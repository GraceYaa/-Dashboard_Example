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5.xml" ContentType="application/vnd.ms-office.activeX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activeX/activeX5.bin" ContentType="application/vnd.ms-office.activeX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45" windowWidth="18990" windowHeight="7290"/>
  </bookViews>
  <sheets>
    <sheet name="Dashboard" sheetId="3" r:id="rId1"/>
    <sheet name="Analysis" sheetId="4" state="hidden" r:id="rId2"/>
    <sheet name="Data" sheetId="1" r:id="rId3"/>
    <sheet name="mapping" sheetId="2" r:id="rId4"/>
  </sheets>
  <definedNames>
    <definedName name="box2chart2Q">OFFSET(Analysis!$BR$15,0,0,1,COUNT(Analysis!$BR$15:$BV$15))</definedName>
    <definedName name="box2chart3Q">OFFSET(Analysis!$BR$16,0,0,1,COUNT(Analysis!$BR$16:$BV$16))</definedName>
    <definedName name="box2chartBottom">OFFSET(Analysis!$BR$14,0,0,1,COUNT(Analysis!$BR$14:$BV$14))</definedName>
    <definedName name="box2chartCategory">OFFSET(Analysis!$BR$19,0,0,1,COUNT(Analysis!$BR$19:$BV$19))</definedName>
    <definedName name="box2chartCount">OFFSET(Analysis!$BR$6,0,0,1,COUNT(Analysis!$BR$6:$BV$6))</definedName>
    <definedName name="box2chartDummy">OFFSET(Analysis!$BR$4,0,0,1,COUNT(Analysis!$BR$4:$BV$4))</definedName>
    <definedName name="box2chartDummyGrid">OFFSET(Analysis!$BR$20,0,0,1,COUNT(Analysis!$BR$20:$BV$20))</definedName>
    <definedName name="box2chartHoursPerDay">OFFSET(Analysis!$BR$5,0,0,1,COUNTIF(Analysis!$BR$5:$BV$5,"?*"))</definedName>
    <definedName name="box2chartMean">OFFSET(Analysis!$BR$7,0,0,1,COUNT(Analysis!$BR$7:$BV$7))</definedName>
    <definedName name="box2chartWminus">OFFSET(Analysis!$BR$17,0,0,1,COUNT(Analysis!$BR$17:$BV$17))</definedName>
    <definedName name="box2chartWplus">OFFSET(Analysis!$BR$18,0,0,1,COUNT(Analysis!$BR$18:$BV$18))</definedName>
    <definedName name="boxchart2Q">OFFSET(Analysis!$BE$15,0,0,1,COUNT(Analysis!$BE$15:$BN$15))</definedName>
    <definedName name="boxchart3Q">OFFSET(Analysis!$BE$16,0,0,1,COUNT(Analysis!$BE$16:$BN$16))</definedName>
    <definedName name="boxchartBenchmark">OFFSET(boxchartJobType,15,0,1,COUNTIF(Analysis!$BE$5:$BN$5,"?*"))</definedName>
    <definedName name="boxchartBenchmarkName">OFFSET(boxchartJobType,16,0,1,COUNTIF(Analysis!$BE$5:$BN$5,"?*"))</definedName>
    <definedName name="boxchartBottom">OFFSET(Analysis!$BE$14,0,0,1,COUNT(Analysis!$BE$14:$BN$14))</definedName>
    <definedName name="boxchartCount">OFFSET(Analysis!$BE$6,0,0,1,COUNT(Analysis!$BE$6:$BN$6))</definedName>
    <definedName name="boxchartDummy">OFFSET(Analysis!$BE$4,0,0,1,COUNT(Analysis!$BE$4:$BN$4))</definedName>
    <definedName name="boxchartJobType">OFFSET(Analysis!$BE$5,0,0,1,COUNTIF(Analysis!$BE$5:$BN$5,"?*"))</definedName>
    <definedName name="boxchartMean">OFFSET(Analysis!$BE$7,0,0,1,COUNT(Analysis!$BE$7:$BN$7))</definedName>
    <definedName name="boxchartOffset">OFFSET(Analysis!$BE$19,0,0,1,COUNT(Analysis!$BE$19:$BN$19))</definedName>
    <definedName name="boxchartWminus">OFFSET(Analysis!$BE$17,0,0,1,COUNT(Analysis!$BE$17:$BN$17))</definedName>
    <definedName name="boxchartWplus">OFFSET(Analysis!$BE$18,0,0,1,COUNT(Analysis!$BE$18:$BN$18))</definedName>
    <definedName name="flagBenchmark">Analysis!$BD$22</definedName>
    <definedName name="flagCountries">Analysis!$X$16</definedName>
    <definedName name="listC1JobTitles">OFFSET(Analysis!$G$5,0,0,COUNTA(Analysis!$G$5:$G$1337),1)</definedName>
    <definedName name="listC2JobTitles">OFFSET(Analysis!$P$5,0,0,COUNTA(Analysis!$G$5:$P$1337),1)</definedName>
    <definedName name="listCountries">OFFSET(Analysis!$W$3,0,0,COUNTA(Analysis!$W$3:$W$111),1)</definedName>
    <definedName name="listCountries2">Analysis!$X$3:$X$14</definedName>
    <definedName name="listJobType">OFFSET(Analysis!#REF!,0,0,COUNTA(Analysis!#REF!),1)</definedName>
    <definedName name="listJobTypeSalary">OFFSET(Analysis!#REF!,0,0,COUNT(Analysis!#REF!),1)</definedName>
    <definedName name="listRankCountries">OFFSET(Analysis!$AC$4,0,0,COUNTA(Analysis!$AC$4:$AC$111),1)</definedName>
    <definedName name="numC1JobTitles">Analysis!$G$4</definedName>
    <definedName name="numC2JobTitles">Analysis!$P$4</definedName>
    <definedName name="numRankCountries">Analysis!$AC$2</definedName>
    <definedName name="numRankCountries2">Analysis!$AE$2</definedName>
    <definedName name="_xlnm.Print_Area" localSheetId="0">Dashboard!$A$1:$S$42</definedName>
    <definedName name="selectC1">Dashboard!$P$4</definedName>
    <definedName name="selectC2">Dashboard!$R$4</definedName>
    <definedName name="selectCountry">Dashboard!$F$4</definedName>
  </definedNames>
  <calcPr calcId="125725"/>
  <pivotCaches>
    <pivotCache cacheId="49" r:id="rId5"/>
  </pivotCaches>
</workbook>
</file>

<file path=xl/calcChain.xml><?xml version="1.0" encoding="utf-8"?>
<calcChain xmlns="http://schemas.openxmlformats.org/spreadsheetml/2006/main">
  <c r="CI10" i="4"/>
  <c r="CI9"/>
  <c r="CH10"/>
  <c r="CH9"/>
  <c r="C11" i="3"/>
  <c r="C12"/>
  <c r="C13"/>
  <c r="C14"/>
  <c r="C15"/>
  <c r="C16"/>
  <c r="C17"/>
  <c r="C18"/>
  <c r="C19"/>
  <c r="C20"/>
  <c r="C21"/>
  <c r="C22"/>
  <c r="C23"/>
  <c r="C24"/>
  <c r="C10"/>
  <c r="B11"/>
  <c r="B12"/>
  <c r="B13"/>
  <c r="B14"/>
  <c r="B15"/>
  <c r="B16"/>
  <c r="B17"/>
  <c r="B18"/>
  <c r="B19"/>
  <c r="B20"/>
  <c r="B21"/>
  <c r="B22"/>
  <c r="B23"/>
  <c r="B24"/>
  <c r="B10"/>
  <c r="AE2" i="4"/>
  <c r="AC2"/>
  <c r="I4" i="3" l="1"/>
  <c r="AL5" i="4"/>
  <c r="AN5"/>
  <c r="AP5"/>
  <c r="AR5"/>
  <c r="AT5"/>
  <c r="AV5"/>
  <c r="AX5"/>
  <c r="AZ5"/>
  <c r="BB5"/>
  <c r="AJ5"/>
  <c r="AL6"/>
  <c r="AJ6"/>
  <c r="CB8"/>
  <c r="CB7"/>
  <c r="CB6"/>
  <c r="CB5"/>
  <c r="AB4"/>
  <c r="P29" i="3"/>
  <c r="P30"/>
  <c r="P31"/>
  <c r="P32"/>
  <c r="P33"/>
  <c r="P28"/>
  <c r="P4" i="4"/>
  <c r="G4"/>
  <c r="R29" i="3"/>
  <c r="R30"/>
  <c r="R31"/>
  <c r="R32"/>
  <c r="R33"/>
  <c r="R28"/>
  <c r="AB5" i="4" l="1"/>
  <c r="AB6" l="1"/>
  <c r="AB7" l="1"/>
  <c r="AB8" l="1"/>
  <c r="AB9" l="1"/>
  <c r="AB10" l="1"/>
  <c r="AB11" l="1"/>
  <c r="AB12" l="1"/>
  <c r="AB13" l="1"/>
  <c r="AB14" l="1"/>
  <c r="AB15" l="1"/>
  <c r="AB16" l="1"/>
  <c r="AB17" l="1"/>
  <c r="AB18" l="1"/>
  <c r="AB19" l="1"/>
  <c r="AB20" l="1"/>
  <c r="AB21" l="1"/>
  <c r="AB22" l="1"/>
  <c r="AB23" l="1"/>
  <c r="AB24" s="1"/>
  <c r="AB25" s="1"/>
  <c r="AB26" s="1"/>
  <c r="AB27" s="1"/>
  <c r="AB28" s="1"/>
  <c r="AB29" s="1"/>
  <c r="AB30" s="1"/>
  <c r="AB31" s="1"/>
  <c r="AB32" s="1"/>
  <c r="AB33" s="1"/>
  <c r="AB34" s="1"/>
  <c r="AB35" s="1"/>
  <c r="AB36" s="1"/>
  <c r="AB37" s="1"/>
  <c r="AB38" s="1"/>
  <c r="AB39" s="1"/>
  <c r="AB40" s="1"/>
  <c r="AB41" s="1"/>
  <c r="AB42" s="1"/>
  <c r="AB43" s="1"/>
  <c r="AB44" s="1"/>
  <c r="AB45" s="1"/>
  <c r="AB46" s="1"/>
  <c r="AB47" s="1"/>
  <c r="AB48" s="1"/>
  <c r="AB49" s="1"/>
  <c r="AB50" s="1"/>
  <c r="AB51" s="1"/>
  <c r="AB52" s="1"/>
  <c r="AB53" s="1"/>
  <c r="AB54" s="1"/>
  <c r="AB55" s="1"/>
  <c r="AB56" s="1"/>
  <c r="AB57" s="1"/>
  <c r="AB58" s="1"/>
  <c r="AB59" s="1"/>
  <c r="AB60" s="1"/>
  <c r="AB61" s="1"/>
  <c r="AB62" s="1"/>
  <c r="AB63" s="1"/>
  <c r="AB64" s="1"/>
  <c r="AB65" s="1"/>
  <c r="AB66" s="1"/>
  <c r="AB67" s="1"/>
  <c r="AB68" s="1"/>
  <c r="AB69" s="1"/>
  <c r="AB70" s="1"/>
  <c r="AB71" s="1"/>
  <c r="AB72" s="1"/>
  <c r="AB73" s="1"/>
  <c r="AB74" s="1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AB105" s="1"/>
  <c r="AB106" s="1"/>
  <c r="AB107" s="1"/>
  <c r="AB108" s="1"/>
  <c r="AB109" s="1"/>
  <c r="AB110" s="1"/>
  <c r="AB111" s="1"/>
  <c r="AB112" s="1"/>
  <c r="AB113" s="1"/>
  <c r="BS5" l="1"/>
  <c r="BT5"/>
  <c r="BT4" s="1"/>
  <c r="BU5"/>
  <c r="BU4" s="1"/>
  <c r="BV5"/>
  <c r="BV4" s="1"/>
  <c r="BR5"/>
  <c r="BR19" s="1"/>
  <c r="BV6"/>
  <c r="BV7" s="1"/>
  <c r="BU6"/>
  <c r="BU7" s="1"/>
  <c r="BT6"/>
  <c r="BT7" s="1"/>
  <c r="BS6"/>
  <c r="BS7" s="1"/>
  <c r="BR6"/>
  <c r="BR7" s="1"/>
  <c r="BS8"/>
  <c r="BT8"/>
  <c r="BU8"/>
  <c r="BV8"/>
  <c r="BS9"/>
  <c r="BT9"/>
  <c r="BU9"/>
  <c r="BV9"/>
  <c r="BS10"/>
  <c r="BT10"/>
  <c r="BU10"/>
  <c r="BV10"/>
  <c r="BS11"/>
  <c r="BT11"/>
  <c r="BU11"/>
  <c r="BV11"/>
  <c r="BS12"/>
  <c r="BT12"/>
  <c r="BU12"/>
  <c r="BV12"/>
  <c r="BS13"/>
  <c r="BT13"/>
  <c r="BU13"/>
  <c r="BV13"/>
  <c r="BR13"/>
  <c r="BR12"/>
  <c r="BR11"/>
  <c r="BR10"/>
  <c r="BR9"/>
  <c r="BR8"/>
  <c r="AL9"/>
  <c r="BF9" s="1"/>
  <c r="AN9"/>
  <c r="BG9" s="1"/>
  <c r="AP9"/>
  <c r="BH9" s="1"/>
  <c r="AR9"/>
  <c r="BI9" s="1"/>
  <c r="AT9"/>
  <c r="BJ9" s="1"/>
  <c r="AV9"/>
  <c r="BK9" s="1"/>
  <c r="AX9"/>
  <c r="BL9" s="1"/>
  <c r="AZ9"/>
  <c r="BM9" s="1"/>
  <c r="BB9"/>
  <c r="AL10"/>
  <c r="BF10" s="1"/>
  <c r="AN10"/>
  <c r="BG10" s="1"/>
  <c r="AP10"/>
  <c r="BH10" s="1"/>
  <c r="AR10"/>
  <c r="BI10" s="1"/>
  <c r="AT10"/>
  <c r="BJ10" s="1"/>
  <c r="AV10"/>
  <c r="BK10" s="1"/>
  <c r="AX10"/>
  <c r="BL10" s="1"/>
  <c r="AZ10"/>
  <c r="BM10" s="1"/>
  <c r="BB10"/>
  <c r="BN10" s="1"/>
  <c r="AL11"/>
  <c r="BF11" s="1"/>
  <c r="AN11"/>
  <c r="BG11" s="1"/>
  <c r="AP11"/>
  <c r="BH11" s="1"/>
  <c r="AR11"/>
  <c r="BI11" s="1"/>
  <c r="AT11"/>
  <c r="BJ11" s="1"/>
  <c r="AV11"/>
  <c r="BK11" s="1"/>
  <c r="AX11"/>
  <c r="BL11" s="1"/>
  <c r="AZ11"/>
  <c r="BM11" s="1"/>
  <c r="BB11"/>
  <c r="BN11" s="1"/>
  <c r="AL12"/>
  <c r="BF12" s="1"/>
  <c r="AN12"/>
  <c r="BG12" s="1"/>
  <c r="AP12"/>
  <c r="BH12" s="1"/>
  <c r="AR12"/>
  <c r="BI12" s="1"/>
  <c r="AT12"/>
  <c r="BJ12" s="1"/>
  <c r="AV12"/>
  <c r="BK12" s="1"/>
  <c r="AX12"/>
  <c r="BL12" s="1"/>
  <c r="AZ12"/>
  <c r="BM12" s="1"/>
  <c r="BB12"/>
  <c r="BN12" s="1"/>
  <c r="AL13"/>
  <c r="BF13" s="1"/>
  <c r="AN13"/>
  <c r="BG13" s="1"/>
  <c r="AP13"/>
  <c r="BH13" s="1"/>
  <c r="AR13"/>
  <c r="BI13" s="1"/>
  <c r="AT13"/>
  <c r="BJ13" s="1"/>
  <c r="AV13"/>
  <c r="BK13" s="1"/>
  <c r="AX13"/>
  <c r="BL13" s="1"/>
  <c r="AZ13"/>
  <c r="BM13" s="1"/>
  <c r="BB13"/>
  <c r="BN13" s="1"/>
  <c r="AJ13"/>
  <c r="BE13" s="1"/>
  <c r="AJ12"/>
  <c r="BE12" s="1"/>
  <c r="AJ11"/>
  <c r="BE11" s="1"/>
  <c r="AJ10"/>
  <c r="BE10" s="1"/>
  <c r="AJ9"/>
  <c r="BE9" s="1"/>
  <c r="BF6"/>
  <c r="BF4" s="1"/>
  <c r="AN6"/>
  <c r="AN8" s="1"/>
  <c r="BG8" s="1"/>
  <c r="AP6"/>
  <c r="BH6" s="1"/>
  <c r="BH4" s="1"/>
  <c r="AR6"/>
  <c r="BI6" s="1"/>
  <c r="BI4" s="1"/>
  <c r="AT6"/>
  <c r="BJ6" s="1"/>
  <c r="BJ4" s="1"/>
  <c r="AV6"/>
  <c r="AV8" s="1"/>
  <c r="BK8" s="1"/>
  <c r="AX6"/>
  <c r="BL6" s="1"/>
  <c r="BL4" s="1"/>
  <c r="AZ6"/>
  <c r="BM6" s="1"/>
  <c r="BM4" s="1"/>
  <c r="BB6"/>
  <c r="BN6" s="1"/>
  <c r="BN4" s="1"/>
  <c r="BE6"/>
  <c r="BE4" s="1"/>
  <c r="BN9"/>
  <c r="AT7"/>
  <c r="BJ7" s="1"/>
  <c r="AV7"/>
  <c r="BK7" s="1"/>
  <c r="AX7"/>
  <c r="BL7" s="1"/>
  <c r="AZ7"/>
  <c r="BM7" s="1"/>
  <c r="BB7"/>
  <c r="BN7" s="1"/>
  <c r="AJ19"/>
  <c r="AL19" s="1"/>
  <c r="AJ7"/>
  <c r="BE7" s="1"/>
  <c r="AN7"/>
  <c r="BG7" s="1"/>
  <c r="AR7"/>
  <c r="BI7" s="1"/>
  <c r="AL7"/>
  <c r="BF7" s="1"/>
  <c r="AP7"/>
  <c r="BH7" s="1"/>
  <c r="BB14" l="1"/>
  <c r="BS18"/>
  <c r="BS17"/>
  <c r="BS16"/>
  <c r="BS15"/>
  <c r="BS14"/>
  <c r="BU18"/>
  <c r="BU17"/>
  <c r="BU16"/>
  <c r="BU15"/>
  <c r="BU14"/>
  <c r="BR14"/>
  <c r="BR16"/>
  <c r="BR18"/>
  <c r="BR15"/>
  <c r="BR17"/>
  <c r="BV18"/>
  <c r="BT18"/>
  <c r="BV17"/>
  <c r="BT17"/>
  <c r="BV16"/>
  <c r="BT16"/>
  <c r="BV15"/>
  <c r="BT15"/>
  <c r="BV14"/>
  <c r="BT14"/>
  <c r="BR20"/>
  <c r="BS20" s="1"/>
  <c r="BT20" s="1"/>
  <c r="BU20" s="1"/>
  <c r="BV20" s="1"/>
  <c r="AR14"/>
  <c r="BI14" s="1"/>
  <c r="AZ14"/>
  <c r="BM14" s="1"/>
  <c r="BS19"/>
  <c r="BT19" s="1"/>
  <c r="BU19" s="1"/>
  <c r="BV19" s="1"/>
  <c r="BS4"/>
  <c r="BR4"/>
  <c r="AL15"/>
  <c r="BF15" s="1"/>
  <c r="AJ18"/>
  <c r="BE18" s="1"/>
  <c r="AP15"/>
  <c r="BH15" s="1"/>
  <c r="AT15"/>
  <c r="BJ15" s="1"/>
  <c r="BB18"/>
  <c r="BN18" s="1"/>
  <c r="BB16"/>
  <c r="BN16" s="1"/>
  <c r="BB17"/>
  <c r="BN17" s="1"/>
  <c r="BB15"/>
  <c r="BN15" s="1"/>
  <c r="AZ18"/>
  <c r="BM18" s="1"/>
  <c r="AZ17"/>
  <c r="BM17" s="1"/>
  <c r="AZ16"/>
  <c r="BM16" s="1"/>
  <c r="AZ15"/>
  <c r="BM15" s="1"/>
  <c r="AJ15"/>
  <c r="BE15" s="1"/>
  <c r="AJ17"/>
  <c r="BE17" s="1"/>
  <c r="AX18"/>
  <c r="BL18" s="1"/>
  <c r="AT18"/>
  <c r="BJ18" s="1"/>
  <c r="AP18"/>
  <c r="BH18" s="1"/>
  <c r="AL18"/>
  <c r="BF18" s="1"/>
  <c r="AV17"/>
  <c r="BK17" s="1"/>
  <c r="AR17"/>
  <c r="BI17" s="1"/>
  <c r="AN17"/>
  <c r="BG17" s="1"/>
  <c r="AX16"/>
  <c r="BL16" s="1"/>
  <c r="AT16"/>
  <c r="BJ16" s="1"/>
  <c r="AP16"/>
  <c r="BH16" s="1"/>
  <c r="AL16"/>
  <c r="BF16" s="1"/>
  <c r="AV15"/>
  <c r="BK15" s="1"/>
  <c r="AR15"/>
  <c r="BI15" s="1"/>
  <c r="AN15"/>
  <c r="BG15" s="1"/>
  <c r="AX14"/>
  <c r="BL14" s="1"/>
  <c r="AT14"/>
  <c r="BJ14" s="1"/>
  <c r="AP14"/>
  <c r="BH14" s="1"/>
  <c r="AL14"/>
  <c r="BF14" s="1"/>
  <c r="AJ14"/>
  <c r="BE14" s="1"/>
  <c r="AJ16"/>
  <c r="BE16" s="1"/>
  <c r="AV18"/>
  <c r="BK18" s="1"/>
  <c r="AR18"/>
  <c r="BI18" s="1"/>
  <c r="AN18"/>
  <c r="BG18" s="1"/>
  <c r="AX17"/>
  <c r="BL17" s="1"/>
  <c r="AT17"/>
  <c r="BJ17" s="1"/>
  <c r="AP17"/>
  <c r="BH17" s="1"/>
  <c r="AL17"/>
  <c r="BF17" s="1"/>
  <c r="AV16"/>
  <c r="BK16" s="1"/>
  <c r="AR16"/>
  <c r="BI16" s="1"/>
  <c r="AN16"/>
  <c r="BG16" s="1"/>
  <c r="AX15"/>
  <c r="BL15" s="1"/>
  <c r="AV14"/>
  <c r="BK14" s="1"/>
  <c r="AN14"/>
  <c r="BG14" s="1"/>
  <c r="BG6"/>
  <c r="BG4" s="1"/>
  <c r="BK6"/>
  <c r="BK4" s="1"/>
  <c r="BH5"/>
  <c r="BJ5"/>
  <c r="AN19"/>
  <c r="BF19"/>
  <c r="AJ8"/>
  <c r="BE8" s="1"/>
  <c r="AZ8"/>
  <c r="BM8" s="1"/>
  <c r="AR8"/>
  <c r="BI8" s="1"/>
  <c r="BN14"/>
  <c r="BN5"/>
  <c r="BL5"/>
  <c r="BF5"/>
  <c r="BM5"/>
  <c r="BK5"/>
  <c r="BI5"/>
  <c r="BG5"/>
  <c r="BE5"/>
  <c r="BE19"/>
  <c r="BB8"/>
  <c r="BN8" s="1"/>
  <c r="AX8"/>
  <c r="BL8" s="1"/>
  <c r="AT8"/>
  <c r="BJ8" s="1"/>
  <c r="AP8"/>
  <c r="BH8" s="1"/>
  <c r="AL8"/>
  <c r="BF8" s="1"/>
  <c r="BN21" l="1"/>
  <c r="BN20"/>
  <c r="BG20"/>
  <c r="BG21"/>
  <c r="BK20"/>
  <c r="BK21"/>
  <c r="BF20"/>
  <c r="BF21"/>
  <c r="BH20"/>
  <c r="BH21"/>
  <c r="BE20"/>
  <c r="BE21"/>
  <c r="BI20"/>
  <c r="BI21"/>
  <c r="BM20"/>
  <c r="BM21"/>
  <c r="BL20"/>
  <c r="BL21"/>
  <c r="BJ20"/>
  <c r="BJ21"/>
  <c r="BG19"/>
  <c r="AP19"/>
  <c r="K923" i="1"/>
  <c r="K372" i="4" l="1"/>
  <c r="L372" s="1"/>
  <c r="AR19"/>
  <c r="BH19"/>
  <c r="C6" i="2"/>
  <c r="G15" i="1" s="1"/>
  <c r="C7" i="2"/>
  <c r="G162" i="1" s="1"/>
  <c r="C8" i="2"/>
  <c r="G37" i="1" s="1"/>
  <c r="C9" i="2"/>
  <c r="G946" i="1" s="1"/>
  <c r="C10" i="2"/>
  <c r="G46" i="1" s="1"/>
  <c r="C11" i="2"/>
  <c r="G327" i="1" s="1"/>
  <c r="C12" i="2"/>
  <c r="G286" i="1" s="1"/>
  <c r="C13" i="2"/>
  <c r="G315" i="1" s="1"/>
  <c r="C14" i="2"/>
  <c r="G361" i="1" s="1"/>
  <c r="C15" i="2"/>
  <c r="G395" i="1" s="1"/>
  <c r="C16" i="2"/>
  <c r="G409" i="1" s="1"/>
  <c r="C17" i="2"/>
  <c r="G794" i="1" s="1"/>
  <c r="C18" i="2"/>
  <c r="G711" i="1" s="1"/>
  <c r="C19" i="2"/>
  <c r="G586" i="1" s="1"/>
  <c r="C20" i="2"/>
  <c r="G730" i="1" s="1"/>
  <c r="C21" i="2"/>
  <c r="G749" i="1" s="1"/>
  <c r="C22" i="2"/>
  <c r="C23"/>
  <c r="G811" i="1" s="1"/>
  <c r="C24" i="2"/>
  <c r="G822" i="1" s="1"/>
  <c r="C26" i="2"/>
  <c r="G1417" i="1" s="1"/>
  <c r="C27" i="2"/>
  <c r="G995" i="1" s="1"/>
  <c r="C28" i="2"/>
  <c r="G1002" i="1" s="1"/>
  <c r="C29" i="2"/>
  <c r="C30"/>
  <c r="G1143" i="1" s="1"/>
  <c r="C31" i="2"/>
  <c r="G1169" i="1" s="1"/>
  <c r="C32" i="2"/>
  <c r="G1173" i="1" s="1"/>
  <c r="C33" i="2"/>
  <c r="G1224" i="1" s="1"/>
  <c r="C34" i="2"/>
  <c r="G1222" i="1" s="1"/>
  <c r="C35" i="2"/>
  <c r="G1237" i="1" s="1"/>
  <c r="C36" i="2"/>
  <c r="G1340" i="1" s="1"/>
  <c r="C37" i="2"/>
  <c r="G1387" i="1" s="1"/>
  <c r="C38" i="2"/>
  <c r="G1547" i="1" s="1"/>
  <c r="C39" i="2"/>
  <c r="G1598" i="1" s="1"/>
  <c r="C40" i="2"/>
  <c r="G1657" i="1" s="1"/>
  <c r="C41" i="2"/>
  <c r="G1725" i="1" s="1"/>
  <c r="C42" i="2"/>
  <c r="G1863" i="1" s="1"/>
  <c r="C5" i="2"/>
  <c r="G12" i="1" s="1"/>
  <c r="G6"/>
  <c r="G7"/>
  <c r="G8"/>
  <c r="G9"/>
  <c r="G10"/>
  <c r="G11"/>
  <c r="G13"/>
  <c r="G14"/>
  <c r="G17"/>
  <c r="G19"/>
  <c r="G20"/>
  <c r="G21"/>
  <c r="G22"/>
  <c r="G23"/>
  <c r="G25"/>
  <c r="G26"/>
  <c r="G27"/>
  <c r="G29"/>
  <c r="G30"/>
  <c r="G31"/>
  <c r="G34"/>
  <c r="G35"/>
  <c r="G36"/>
  <c r="G38"/>
  <c r="G39"/>
  <c r="G40"/>
  <c r="G41"/>
  <c r="G42"/>
  <c r="G43"/>
  <c r="G45"/>
  <c r="G47"/>
  <c r="G48"/>
  <c r="G51"/>
  <c r="G53"/>
  <c r="G54"/>
  <c r="G57"/>
  <c r="G58"/>
  <c r="G59"/>
  <c r="G62"/>
  <c r="G63"/>
  <c r="G64"/>
  <c r="G66"/>
  <c r="G68"/>
  <c r="G71"/>
  <c r="G72"/>
  <c r="G73"/>
  <c r="G74"/>
  <c r="G75"/>
  <c r="G77"/>
  <c r="G79"/>
  <c r="G80"/>
  <c r="G82"/>
  <c r="G83"/>
  <c r="G84"/>
  <c r="G86"/>
  <c r="G87"/>
  <c r="G89"/>
  <c r="G90"/>
  <c r="G91"/>
  <c r="G92"/>
  <c r="G94"/>
  <c r="G95"/>
  <c r="G97"/>
  <c r="G98"/>
  <c r="G99"/>
  <c r="G100"/>
  <c r="G101"/>
  <c r="G102"/>
  <c r="G103"/>
  <c r="G104"/>
  <c r="G105"/>
  <c r="G106"/>
  <c r="G107"/>
  <c r="G108"/>
  <c r="G109"/>
  <c r="G110"/>
  <c r="G111"/>
  <c r="G113"/>
  <c r="G114"/>
  <c r="G115"/>
  <c r="G116"/>
  <c r="G117"/>
  <c r="G118"/>
  <c r="G119"/>
  <c r="G120"/>
  <c r="G121"/>
  <c r="G122"/>
  <c r="G124"/>
  <c r="G125"/>
  <c r="G127"/>
  <c r="G128"/>
  <c r="G129"/>
  <c r="G130"/>
  <c r="G131"/>
  <c r="G132"/>
  <c r="G134"/>
  <c r="G135"/>
  <c r="G137"/>
  <c r="G141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3"/>
  <c r="G164"/>
  <c r="G165"/>
  <c r="G166"/>
  <c r="G169"/>
  <c r="G170"/>
  <c r="G171"/>
  <c r="G175"/>
  <c r="G176"/>
  <c r="G178"/>
  <c r="G179"/>
  <c r="G182"/>
  <c r="G183"/>
  <c r="G184"/>
  <c r="G185"/>
  <c r="G186"/>
  <c r="G187"/>
  <c r="G188"/>
  <c r="G190"/>
  <c r="G191"/>
  <c r="G193"/>
  <c r="G194"/>
  <c r="G195"/>
  <c r="G196"/>
  <c r="G197"/>
  <c r="G199"/>
  <c r="G200"/>
  <c r="G203"/>
  <c r="G204"/>
  <c r="G208"/>
  <c r="G209"/>
  <c r="G210"/>
  <c r="G211"/>
  <c r="G212"/>
  <c r="G213"/>
  <c r="G214"/>
  <c r="G215"/>
  <c r="G216"/>
  <c r="G217"/>
  <c r="G218"/>
  <c r="G219"/>
  <c r="G221"/>
  <c r="G222"/>
  <c r="G223"/>
  <c r="G225"/>
  <c r="G226"/>
  <c r="G230"/>
  <c r="G231"/>
  <c r="G232"/>
  <c r="G233"/>
  <c r="G235"/>
  <c r="G236"/>
  <c r="G240"/>
  <c r="G241"/>
  <c r="G242"/>
  <c r="G243"/>
  <c r="G244"/>
  <c r="G246"/>
  <c r="G247"/>
  <c r="G248"/>
  <c r="G249"/>
  <c r="G250"/>
  <c r="G251"/>
  <c r="G252"/>
  <c r="G253"/>
  <c r="G254"/>
  <c r="G256"/>
  <c r="G258"/>
  <c r="G262"/>
  <c r="G263"/>
  <c r="G264"/>
  <c r="G265"/>
  <c r="G267"/>
  <c r="G268"/>
  <c r="G269"/>
  <c r="G270"/>
  <c r="G271"/>
  <c r="G272"/>
  <c r="G273"/>
  <c r="G274"/>
  <c r="G276"/>
  <c r="G277"/>
  <c r="G278"/>
  <c r="G279"/>
  <c r="G280"/>
  <c r="G281"/>
  <c r="G282"/>
  <c r="G283"/>
  <c r="G284"/>
  <c r="G287"/>
  <c r="G288"/>
  <c r="G289"/>
  <c r="G291"/>
  <c r="G292"/>
  <c r="G294"/>
  <c r="G295"/>
  <c r="G297"/>
  <c r="G298"/>
  <c r="G299"/>
  <c r="G300"/>
  <c r="G301"/>
  <c r="G303"/>
  <c r="G305"/>
  <c r="G306"/>
  <c r="G307"/>
  <c r="G309"/>
  <c r="G311"/>
  <c r="G313"/>
  <c r="G316"/>
  <c r="G317"/>
  <c r="G318"/>
  <c r="G319"/>
  <c r="G321"/>
  <c r="G322"/>
  <c r="G323"/>
  <c r="G325"/>
  <c r="G326"/>
  <c r="G328"/>
  <c r="G329"/>
  <c r="G330"/>
  <c r="G331"/>
  <c r="G333"/>
  <c r="G334"/>
  <c r="G336"/>
  <c r="G337"/>
  <c r="G338"/>
  <c r="G340"/>
  <c r="G341"/>
  <c r="G342"/>
  <c r="G343"/>
  <c r="G344"/>
  <c r="G345"/>
  <c r="G346"/>
  <c r="G348"/>
  <c r="G349"/>
  <c r="G350"/>
  <c r="G352"/>
  <c r="G353"/>
  <c r="G354"/>
  <c r="G356"/>
  <c r="G357"/>
  <c r="G358"/>
  <c r="G359"/>
  <c r="G360"/>
  <c r="G362"/>
  <c r="G364"/>
  <c r="G365"/>
  <c r="G366"/>
  <c r="G367"/>
  <c r="G368"/>
  <c r="G370"/>
  <c r="G371"/>
  <c r="G372"/>
  <c r="G376"/>
  <c r="G378"/>
  <c r="G380"/>
  <c r="G381"/>
  <c r="G382"/>
  <c r="G385"/>
  <c r="G386"/>
  <c r="G387"/>
  <c r="G388"/>
  <c r="G389"/>
  <c r="G391"/>
  <c r="G392"/>
  <c r="G393"/>
  <c r="G394"/>
  <c r="G396"/>
  <c r="G397"/>
  <c r="G398"/>
  <c r="G399"/>
  <c r="G400"/>
  <c r="G401"/>
  <c r="G402"/>
  <c r="G405"/>
  <c r="G406"/>
  <c r="G407"/>
  <c r="G408"/>
  <c r="G410"/>
  <c r="G411"/>
  <c r="G412"/>
  <c r="G413"/>
  <c r="G414"/>
  <c r="G415"/>
  <c r="G418"/>
  <c r="G419"/>
  <c r="G420"/>
  <c r="G421"/>
  <c r="G422"/>
  <c r="G423"/>
  <c r="G425"/>
  <c r="G426"/>
  <c r="G427"/>
  <c r="G428"/>
  <c r="G429"/>
  <c r="G431"/>
  <c r="G432"/>
  <c r="G433"/>
  <c r="G434"/>
  <c r="G435"/>
  <c r="G436"/>
  <c r="G437"/>
  <c r="G441"/>
  <c r="G443"/>
  <c r="G444"/>
  <c r="G445"/>
  <c r="G446"/>
  <c r="G448"/>
  <c r="G450"/>
  <c r="G452"/>
  <c r="G453"/>
  <c r="G455"/>
  <c r="G458"/>
  <c r="G459"/>
  <c r="G460"/>
  <c r="G462"/>
  <c r="G464"/>
  <c r="G467"/>
  <c r="G468"/>
  <c r="G469"/>
  <c r="G471"/>
  <c r="G472"/>
  <c r="G474"/>
  <c r="G475"/>
  <c r="G476"/>
  <c r="G477"/>
  <c r="G478"/>
  <c r="G479"/>
  <c r="G482"/>
  <c r="G483"/>
  <c r="G485"/>
  <c r="G486"/>
  <c r="G487"/>
  <c r="G490"/>
  <c r="G491"/>
  <c r="G493"/>
  <c r="G497"/>
  <c r="G499"/>
  <c r="G500"/>
  <c r="G501"/>
  <c r="G504"/>
  <c r="G506"/>
  <c r="G507"/>
  <c r="G510"/>
  <c r="G511"/>
  <c r="G512"/>
  <c r="G513"/>
  <c r="G514"/>
  <c r="G515"/>
  <c r="G516"/>
  <c r="G518"/>
  <c r="G519"/>
  <c r="G520"/>
  <c r="G522"/>
  <c r="G525"/>
  <c r="G526"/>
  <c r="G528"/>
  <c r="G530"/>
  <c r="G531"/>
  <c r="G532"/>
  <c r="G534"/>
  <c r="G535"/>
  <c r="G536"/>
  <c r="G539"/>
  <c r="G540"/>
  <c r="G541"/>
  <c r="G543"/>
  <c r="G544"/>
  <c r="G545"/>
  <c r="G546"/>
  <c r="G547"/>
  <c r="G548"/>
  <c r="G551"/>
  <c r="G552"/>
  <c r="G553"/>
  <c r="G554"/>
  <c r="G555"/>
  <c r="G556"/>
  <c r="G557"/>
  <c r="G558"/>
  <c r="G559"/>
  <c r="G561"/>
  <c r="G562"/>
  <c r="G565"/>
  <c r="G566"/>
  <c r="G569"/>
  <c r="G570"/>
  <c r="G572"/>
  <c r="G573"/>
  <c r="G575"/>
  <c r="G576"/>
  <c r="G577"/>
  <c r="G579"/>
  <c r="G580"/>
  <c r="G582"/>
  <c r="G583"/>
  <c r="G584"/>
  <c r="G585"/>
  <c r="G587"/>
  <c r="G589"/>
  <c r="G590"/>
  <c r="G592"/>
  <c r="G593"/>
  <c r="G594"/>
  <c r="G595"/>
  <c r="G597"/>
  <c r="G598"/>
  <c r="G599"/>
  <c r="G600"/>
  <c r="G603"/>
  <c r="G605"/>
  <c r="G606"/>
  <c r="G609"/>
  <c r="G610"/>
  <c r="G613"/>
  <c r="G615"/>
  <c r="G616"/>
  <c r="G618"/>
  <c r="G619"/>
  <c r="G620"/>
  <c r="G622"/>
  <c r="G623"/>
  <c r="G625"/>
  <c r="G628"/>
  <c r="G634"/>
  <c r="G638"/>
  <c r="G639"/>
  <c r="G644"/>
  <c r="G645"/>
  <c r="G647"/>
  <c r="G648"/>
  <c r="G652"/>
  <c r="G653"/>
  <c r="G657"/>
  <c r="G660"/>
  <c r="G661"/>
  <c r="G662"/>
  <c r="G663"/>
  <c r="G664"/>
  <c r="G665"/>
  <c r="G667"/>
  <c r="G672"/>
  <c r="G673"/>
  <c r="G674"/>
  <c r="G676"/>
  <c r="G678"/>
  <c r="G679"/>
  <c r="G680"/>
  <c r="G683"/>
  <c r="G685"/>
  <c r="G694"/>
  <c r="G697"/>
  <c r="G704"/>
  <c r="G705"/>
  <c r="G708"/>
  <c r="G712"/>
  <c r="G715"/>
  <c r="G717"/>
  <c r="G720"/>
  <c r="G721"/>
  <c r="G722"/>
  <c r="G724"/>
  <c r="G726"/>
  <c r="G727"/>
  <c r="G728"/>
  <c r="G732"/>
  <c r="G733"/>
  <c r="G734"/>
  <c r="G735"/>
  <c r="G739"/>
  <c r="G740"/>
  <c r="G742"/>
  <c r="G743"/>
  <c r="G746"/>
  <c r="G747"/>
  <c r="G752"/>
  <c r="G753"/>
  <c r="G754"/>
  <c r="G755"/>
  <c r="G757"/>
  <c r="G758"/>
  <c r="G762"/>
  <c r="G764"/>
  <c r="G766"/>
  <c r="G767"/>
  <c r="G774"/>
  <c r="G776"/>
  <c r="G779"/>
  <c r="G781"/>
  <c r="G785"/>
  <c r="G791"/>
  <c r="G792"/>
  <c r="G793"/>
  <c r="G796"/>
  <c r="G798"/>
  <c r="G800"/>
  <c r="G801"/>
  <c r="G802"/>
  <c r="G805"/>
  <c r="G810"/>
  <c r="G813"/>
  <c r="G814"/>
  <c r="G816"/>
  <c r="G818"/>
  <c r="G820"/>
  <c r="G821"/>
  <c r="G827"/>
  <c r="G829"/>
  <c r="G830"/>
  <c r="G831"/>
  <c r="G835"/>
  <c r="G841"/>
  <c r="G843"/>
  <c r="G844"/>
  <c r="G845"/>
  <c r="G846"/>
  <c r="G847"/>
  <c r="G849"/>
  <c r="G850"/>
  <c r="G851"/>
  <c r="G853"/>
  <c r="G854"/>
  <c r="G855"/>
  <c r="G856"/>
  <c r="G857"/>
  <c r="G858"/>
  <c r="G859"/>
  <c r="G860"/>
  <c r="G861"/>
  <c r="G862"/>
  <c r="G863"/>
  <c r="G864"/>
  <c r="G865"/>
  <c r="G867"/>
  <c r="G870"/>
  <c r="G871"/>
  <c r="G874"/>
  <c r="G875"/>
  <c r="G877"/>
  <c r="G879"/>
  <c r="G880"/>
  <c r="G887"/>
  <c r="G889"/>
  <c r="G891"/>
  <c r="G892"/>
  <c r="G894"/>
  <c r="G896"/>
  <c r="G900"/>
  <c r="G902"/>
  <c r="G903"/>
  <c r="G907"/>
  <c r="G912"/>
  <c r="G914"/>
  <c r="G915"/>
  <c r="G916"/>
  <c r="G918"/>
  <c r="G920"/>
  <c r="G923"/>
  <c r="T372" i="4" s="1"/>
  <c r="G924" i="1"/>
  <c r="G925"/>
  <c r="G926"/>
  <c r="G927"/>
  <c r="G928"/>
  <c r="G929"/>
  <c r="G933"/>
  <c r="G935"/>
  <c r="G936"/>
  <c r="G937"/>
  <c r="G939"/>
  <c r="G941"/>
  <c r="G942"/>
  <c r="G943"/>
  <c r="G944"/>
  <c r="G945"/>
  <c r="G949"/>
  <c r="G952"/>
  <c r="G954"/>
  <c r="G957"/>
  <c r="G963"/>
  <c r="G966"/>
  <c r="G969"/>
  <c r="G972"/>
  <c r="G973"/>
  <c r="G978"/>
  <c r="G987"/>
  <c r="G992"/>
  <c r="G997"/>
  <c r="G1000"/>
  <c r="G1001"/>
  <c r="G1004"/>
  <c r="G1005"/>
  <c r="G1008"/>
  <c r="G1010"/>
  <c r="G1013"/>
  <c r="G1017"/>
  <c r="G1018"/>
  <c r="G1019"/>
  <c r="G1023"/>
  <c r="G1025"/>
  <c r="G1030"/>
  <c r="G1031"/>
  <c r="G1032"/>
  <c r="G1037"/>
  <c r="G1038"/>
  <c r="G1043"/>
  <c r="G1044"/>
  <c r="G1045"/>
  <c r="G1047"/>
  <c r="G1049"/>
  <c r="G1050"/>
  <c r="G1051"/>
  <c r="G1053"/>
  <c r="G1056"/>
  <c r="G1059"/>
  <c r="G1067"/>
  <c r="G1073"/>
  <c r="G1084"/>
  <c r="G1097"/>
  <c r="G1099"/>
  <c r="G1101"/>
  <c r="G1106"/>
  <c r="G1109"/>
  <c r="G1116"/>
  <c r="G1117"/>
  <c r="G1118"/>
  <c r="G1122"/>
  <c r="G1123"/>
  <c r="G1128"/>
  <c r="G1129"/>
  <c r="G1130"/>
  <c r="G1133"/>
  <c r="G1137"/>
  <c r="G1138"/>
  <c r="G1139"/>
  <c r="G1140"/>
  <c r="G1141"/>
  <c r="G1142"/>
  <c r="G1145"/>
  <c r="G1146"/>
  <c r="G1147"/>
  <c r="G1151"/>
  <c r="G1157"/>
  <c r="G1160"/>
  <c r="G1162"/>
  <c r="G1163"/>
  <c r="G1164"/>
  <c r="G1165"/>
  <c r="G1168"/>
  <c r="G1170"/>
  <c r="G1171"/>
  <c r="G1172"/>
  <c r="G1174"/>
  <c r="G1175"/>
  <c r="G1176"/>
  <c r="G1177"/>
  <c r="G1178"/>
  <c r="G1181"/>
  <c r="G1185"/>
  <c r="G1186"/>
  <c r="G1188"/>
  <c r="G1189"/>
  <c r="G1190"/>
  <c r="G1192"/>
  <c r="G1195"/>
  <c r="G1196"/>
  <c r="G1197"/>
  <c r="G1198"/>
  <c r="G1199"/>
  <c r="G1203"/>
  <c r="G1204"/>
  <c r="G1205"/>
  <c r="G1206"/>
  <c r="G1208"/>
  <c r="G1212"/>
  <c r="G1221"/>
  <c r="G1225"/>
  <c r="G1226"/>
  <c r="G1227"/>
  <c r="G1230"/>
  <c r="G1231"/>
  <c r="G1233"/>
  <c r="G1235"/>
  <c r="G1239"/>
  <c r="G1242"/>
  <c r="G1243"/>
  <c r="G1244"/>
  <c r="G1246"/>
  <c r="G1247"/>
  <c r="G1248"/>
  <c r="G1250"/>
  <c r="G1251"/>
  <c r="G1252"/>
  <c r="G1255"/>
  <c r="G1257"/>
  <c r="G1258"/>
  <c r="G1260"/>
  <c r="G1261"/>
  <c r="G1262"/>
  <c r="G1263"/>
  <c r="G1264"/>
  <c r="G1266"/>
  <c r="G1267"/>
  <c r="G1268"/>
  <c r="G1269"/>
  <c r="G1270"/>
  <c r="G1271"/>
  <c r="G1275"/>
  <c r="G1276"/>
  <c r="G1278"/>
  <c r="G1283"/>
  <c r="G1289"/>
  <c r="G1290"/>
  <c r="G1293"/>
  <c r="G1297"/>
  <c r="G1298"/>
  <c r="G1299"/>
  <c r="G1300"/>
  <c r="G1308"/>
  <c r="G1309"/>
  <c r="G1311"/>
  <c r="G1315"/>
  <c r="G1316"/>
  <c r="G1318"/>
  <c r="G1319"/>
  <c r="G1322"/>
  <c r="G1324"/>
  <c r="G1327"/>
  <c r="G1329"/>
  <c r="G1331"/>
  <c r="G1333"/>
  <c r="G1336"/>
  <c r="G1337"/>
  <c r="G1341"/>
  <c r="G1343"/>
  <c r="G1345"/>
  <c r="G1346"/>
  <c r="G1347"/>
  <c r="G1348"/>
  <c r="G1349"/>
  <c r="G1350"/>
  <c r="G1351"/>
  <c r="G1352"/>
  <c r="G1353"/>
  <c r="G1354"/>
  <c r="G1355"/>
  <c r="G1356"/>
  <c r="G1357"/>
  <c r="G1358"/>
  <c r="G1359"/>
  <c r="G1361"/>
  <c r="G1363"/>
  <c r="G1364"/>
  <c r="G1365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4"/>
  <c r="G1385"/>
  <c r="G1386"/>
  <c r="G1388"/>
  <c r="G1389"/>
  <c r="G1390"/>
  <c r="G1391"/>
  <c r="G1392"/>
  <c r="G1393"/>
  <c r="G1394"/>
  <c r="G1396"/>
  <c r="G1397"/>
  <c r="G1398"/>
  <c r="G1399"/>
  <c r="G1400"/>
  <c r="G1401"/>
  <c r="G1402"/>
  <c r="G1403"/>
  <c r="G1404"/>
  <c r="G1405"/>
  <c r="G1406"/>
  <c r="G1407"/>
  <c r="G1409"/>
  <c r="G1410"/>
  <c r="G1411"/>
  <c r="G1414"/>
  <c r="G1415"/>
  <c r="G1416"/>
  <c r="G1418"/>
  <c r="G1420"/>
  <c r="G1424"/>
  <c r="G1426"/>
  <c r="G1428"/>
  <c r="G1429"/>
  <c r="G1430"/>
  <c r="G1438"/>
  <c r="G1442"/>
  <c r="G1450"/>
  <c r="G1451"/>
  <c r="G1452"/>
  <c r="G1453"/>
  <c r="G1454"/>
  <c r="G1455"/>
  <c r="G1457"/>
  <c r="G1458"/>
  <c r="G1459"/>
  <c r="G1461"/>
  <c r="G1464"/>
  <c r="G1465"/>
  <c r="G1467"/>
  <c r="G1468"/>
  <c r="G1470"/>
  <c r="G1472"/>
  <c r="G1473"/>
  <c r="G1475"/>
  <c r="G1476"/>
  <c r="G1477"/>
  <c r="G1480"/>
  <c r="G1481"/>
  <c r="G1482"/>
  <c r="G1485"/>
  <c r="G1486"/>
  <c r="G1487"/>
  <c r="G1488"/>
  <c r="G1489"/>
  <c r="G1490"/>
  <c r="G1491"/>
  <c r="G1492"/>
  <c r="G1493"/>
  <c r="G1494"/>
  <c r="G1495"/>
  <c r="G1496"/>
  <c r="G1497"/>
  <c r="G1498"/>
  <c r="G1499"/>
  <c r="G1502"/>
  <c r="G1503"/>
  <c r="G1504"/>
  <c r="G1507"/>
  <c r="G1513"/>
  <c r="G1514"/>
  <c r="G1516"/>
  <c r="G1517"/>
  <c r="G1522"/>
  <c r="G1524"/>
  <c r="G1525"/>
  <c r="G1526"/>
  <c r="G1528"/>
  <c r="G1529"/>
  <c r="G1532"/>
  <c r="G1534"/>
  <c r="G1535"/>
  <c r="G1536"/>
  <c r="G1537"/>
  <c r="G1538"/>
  <c r="G1540"/>
  <c r="G1542"/>
  <c r="G1543"/>
  <c r="G1545"/>
  <c r="G1546"/>
  <c r="G1548"/>
  <c r="G1550"/>
  <c r="G1556"/>
  <c r="G1558"/>
  <c r="G1560"/>
  <c r="G1561"/>
  <c r="G1563"/>
  <c r="G1567"/>
  <c r="G1568"/>
  <c r="G1569"/>
  <c r="G1570"/>
  <c r="G1571"/>
  <c r="G1572"/>
  <c r="G1575"/>
  <c r="G1576"/>
  <c r="G1577"/>
  <c r="G1579"/>
  <c r="G1580"/>
  <c r="G1582"/>
  <c r="G1583"/>
  <c r="G1584"/>
  <c r="G1585"/>
  <c r="G1586"/>
  <c r="G1587"/>
  <c r="G1588"/>
  <c r="G1589"/>
  <c r="G1590"/>
  <c r="G1591"/>
  <c r="G1592"/>
  <c r="G1595"/>
  <c r="G1596"/>
  <c r="G1600"/>
  <c r="G1602"/>
  <c r="G1605"/>
  <c r="G1607"/>
  <c r="G1608"/>
  <c r="G1610"/>
  <c r="G1611"/>
  <c r="G1613"/>
  <c r="G1615"/>
  <c r="G1617"/>
  <c r="G1618"/>
  <c r="G1619"/>
  <c r="G1620"/>
  <c r="G1621"/>
  <c r="G1622"/>
  <c r="G1626"/>
  <c r="G1630"/>
  <c r="G1632"/>
  <c r="G1633"/>
  <c r="G1634"/>
  <c r="G1635"/>
  <c r="G1637"/>
  <c r="G1638"/>
  <c r="G1639"/>
  <c r="G1640"/>
  <c r="G1642"/>
  <c r="G1643"/>
  <c r="G1644"/>
  <c r="G1645"/>
  <c r="G1648"/>
  <c r="G1652"/>
  <c r="G1656"/>
  <c r="G1658"/>
  <c r="G1660"/>
  <c r="G1661"/>
  <c r="G1662"/>
  <c r="G1665"/>
  <c r="G1668"/>
  <c r="G1669"/>
  <c r="G1670"/>
  <c r="G1671"/>
  <c r="G1672"/>
  <c r="G1673"/>
  <c r="G1674"/>
  <c r="G1675"/>
  <c r="G1679"/>
  <c r="G1680"/>
  <c r="G1681"/>
  <c r="G1682"/>
  <c r="G1683"/>
  <c r="G1684"/>
  <c r="G1685"/>
  <c r="G1688"/>
  <c r="G1689"/>
  <c r="G1693"/>
  <c r="G1695"/>
  <c r="G1696"/>
  <c r="G1697"/>
  <c r="G1701"/>
  <c r="G1702"/>
  <c r="G1703"/>
  <c r="G1704"/>
  <c r="G1705"/>
  <c r="G1706"/>
  <c r="G1707"/>
  <c r="G1708"/>
  <c r="G1709"/>
  <c r="G1710"/>
  <c r="G1711"/>
  <c r="G1712"/>
  <c r="G1715"/>
  <c r="G1716"/>
  <c r="G1718"/>
  <c r="G1719"/>
  <c r="G1720"/>
  <c r="G1723"/>
  <c r="G1724"/>
  <c r="G1726"/>
  <c r="G1727"/>
  <c r="G1728"/>
  <c r="G1729"/>
  <c r="G1730"/>
  <c r="G1731"/>
  <c r="G1732"/>
  <c r="G1733"/>
  <c r="G1735"/>
  <c r="G1736"/>
  <c r="G1737"/>
  <c r="G1739"/>
  <c r="G1741"/>
  <c r="G1742"/>
  <c r="G1743"/>
  <c r="G1746"/>
  <c r="G1748"/>
  <c r="G1749"/>
  <c r="G1752"/>
  <c r="G1753"/>
  <c r="G1754"/>
  <c r="G1755"/>
  <c r="G1756"/>
  <c r="G1757"/>
  <c r="G1758"/>
  <c r="G1759"/>
  <c r="G1760"/>
  <c r="G1762"/>
  <c r="G1763"/>
  <c r="G1764"/>
  <c r="G1765"/>
  <c r="G1767"/>
  <c r="G1768"/>
  <c r="G1769"/>
  <c r="G1770"/>
  <c r="G1773"/>
  <c r="G1779"/>
  <c r="G1781"/>
  <c r="G1783"/>
  <c r="G1784"/>
  <c r="G1785"/>
  <c r="G1786"/>
  <c r="G1787"/>
  <c r="G1788"/>
  <c r="G1789"/>
  <c r="G1790"/>
  <c r="G1791"/>
  <c r="G1792"/>
  <c r="G1797"/>
  <c r="G1799"/>
  <c r="G1800"/>
  <c r="G1801"/>
  <c r="G1802"/>
  <c r="G1803"/>
  <c r="G1804"/>
  <c r="G1805"/>
  <c r="G1806"/>
  <c r="G1807"/>
  <c r="G1808"/>
  <c r="G1809"/>
  <c r="G1810"/>
  <c r="G1811"/>
  <c r="G1812"/>
  <c r="G1813"/>
  <c r="G1815"/>
  <c r="G1816"/>
  <c r="G1817"/>
  <c r="G1818"/>
  <c r="G1819"/>
  <c r="G1823"/>
  <c r="G1824"/>
  <c r="G1825"/>
  <c r="G1826"/>
  <c r="G1827"/>
  <c r="G1828"/>
  <c r="G1829"/>
  <c r="G1830"/>
  <c r="G1831"/>
  <c r="G1832"/>
  <c r="G1833"/>
  <c r="G1834"/>
  <c r="G1835"/>
  <c r="G1837"/>
  <c r="G1839"/>
  <c r="G1843"/>
  <c r="G1845"/>
  <c r="G1846"/>
  <c r="G1850"/>
  <c r="G1851"/>
  <c r="G1853"/>
  <c r="G1855"/>
  <c r="G1856"/>
  <c r="G1857"/>
  <c r="G1859"/>
  <c r="G1861"/>
  <c r="G1866"/>
  <c r="G1867"/>
  <c r="G1868"/>
  <c r="G1869"/>
  <c r="G1870"/>
  <c r="G1871"/>
  <c r="G1872"/>
  <c r="G1873"/>
  <c r="G1874"/>
  <c r="G1875"/>
  <c r="G1876"/>
  <c r="G1877"/>
  <c r="G1878"/>
  <c r="G1879"/>
  <c r="G1880"/>
  <c r="G1883"/>
  <c r="G1884"/>
  <c r="G1885"/>
  <c r="G1886"/>
  <c r="G1887"/>
  <c r="G1888"/>
  <c r="G1844" l="1"/>
  <c r="G1814"/>
  <c r="G1798"/>
  <c r="G1641"/>
  <c r="G1500"/>
  <c r="G1342"/>
  <c r="G1339"/>
  <c r="G1304"/>
  <c r="G1219"/>
  <c r="G1086"/>
  <c r="G1014"/>
  <c r="G1006"/>
  <c r="G787"/>
  <c r="G783"/>
  <c r="G780"/>
  <c r="G773"/>
  <c r="G496"/>
  <c r="G1842"/>
  <c r="G1821"/>
  <c r="G1794"/>
  <c r="G1780"/>
  <c r="G1778"/>
  <c r="G1714"/>
  <c r="G1666"/>
  <c r="G1651"/>
  <c r="G1647"/>
  <c r="G1623"/>
  <c r="G1597"/>
  <c r="G1541"/>
  <c r="G1515"/>
  <c r="G1478"/>
  <c r="G1474"/>
  <c r="G1434"/>
  <c r="G1395"/>
  <c r="G1317"/>
  <c r="G1273"/>
  <c r="G1200"/>
  <c r="G1194"/>
  <c r="G1149"/>
  <c r="G1078"/>
  <c r="G1070"/>
  <c r="G1041"/>
  <c r="G1028"/>
  <c r="G1015"/>
  <c r="G999"/>
  <c r="G996"/>
  <c r="G991"/>
  <c r="G979"/>
  <c r="G921"/>
  <c r="G919"/>
  <c r="G817"/>
  <c r="G815"/>
  <c r="G750"/>
  <c r="G698"/>
  <c r="G696"/>
  <c r="G692"/>
  <c r="G637"/>
  <c r="G542"/>
  <c r="G538"/>
  <c r="G373"/>
  <c r="G369"/>
  <c r="G202"/>
  <c r="B372" i="4"/>
  <c r="C372" s="1"/>
  <c r="O372"/>
  <c r="BI19"/>
  <c r="AT19"/>
  <c r="G1882" i="1"/>
  <c r="G1858"/>
  <c r="G1776"/>
  <c r="G1766"/>
  <c r="G1692"/>
  <c r="G1667"/>
  <c r="G1653"/>
  <c r="G1631"/>
  <c r="G1609"/>
  <c r="G1604"/>
  <c r="G1565"/>
  <c r="G1527"/>
  <c r="G1523"/>
  <c r="G1521"/>
  <c r="G1512"/>
  <c r="G1456"/>
  <c r="G1383"/>
  <c r="G1325"/>
  <c r="G1323"/>
  <c r="G1307"/>
  <c r="G1295"/>
  <c r="G1285"/>
  <c r="G1272"/>
  <c r="G1215"/>
  <c r="G1154"/>
  <c r="G1144"/>
  <c r="G1132"/>
  <c r="G1125"/>
  <c r="G1112"/>
  <c r="G1107"/>
  <c r="G1104"/>
  <c r="G1096"/>
  <c r="G1075"/>
  <c r="G1072"/>
  <c r="G1033"/>
  <c r="G977"/>
  <c r="G869"/>
  <c r="G840"/>
  <c r="G819"/>
  <c r="G633"/>
  <c r="G564"/>
  <c r="G523"/>
  <c r="G473"/>
  <c r="G465"/>
  <c r="G463"/>
  <c r="G332"/>
  <c r="G314"/>
  <c r="G245"/>
  <c r="G239"/>
  <c r="G189"/>
  <c r="G173"/>
  <c r="G168"/>
  <c r="G142"/>
  <c r="G140"/>
  <c r="G112"/>
  <c r="G93"/>
  <c r="G78"/>
  <c r="G32"/>
  <c r="G1848"/>
  <c r="G1782"/>
  <c r="G1761"/>
  <c r="G1722"/>
  <c r="G1691"/>
  <c r="G1677"/>
  <c r="G1663"/>
  <c r="G1655"/>
  <c r="G1649"/>
  <c r="G1636"/>
  <c r="G1574"/>
  <c r="G1549"/>
  <c r="G1531"/>
  <c r="G1510"/>
  <c r="G1479"/>
  <c r="G1471"/>
  <c r="G1466"/>
  <c r="G1444"/>
  <c r="G1432"/>
  <c r="G1366"/>
  <c r="G1330"/>
  <c r="G1305"/>
  <c r="G1303"/>
  <c r="G1294"/>
  <c r="G1288"/>
  <c r="G1236"/>
  <c r="G1216"/>
  <c r="G1213"/>
  <c r="G1167"/>
  <c r="G1131"/>
  <c r="G1127"/>
  <c r="G1121"/>
  <c r="G1115"/>
  <c r="G1087"/>
  <c r="G1085"/>
  <c r="G1079"/>
  <c r="G1076"/>
  <c r="G1062"/>
  <c r="G1052"/>
  <c r="G1042"/>
  <c r="G1035"/>
  <c r="G1020"/>
  <c r="G983"/>
  <c r="G955"/>
  <c r="G938"/>
  <c r="G934"/>
  <c r="G873"/>
  <c r="G837"/>
  <c r="G823"/>
  <c r="G790"/>
  <c r="G768"/>
  <c r="G738"/>
  <c r="G713"/>
  <c r="G649"/>
  <c r="G611"/>
  <c r="G588"/>
  <c r="G560"/>
  <c r="G527"/>
  <c r="G517"/>
  <c r="G509"/>
  <c r="G502"/>
  <c r="G484"/>
  <c r="G457"/>
  <c r="G375"/>
  <c r="G355"/>
  <c r="G351"/>
  <c r="G347"/>
  <c r="G310"/>
  <c r="G302"/>
  <c r="G227"/>
  <c r="G207"/>
  <c r="G52"/>
  <c r="G50"/>
  <c r="G308"/>
  <c r="G304"/>
  <c r="G238"/>
  <c r="G192"/>
  <c r="G139"/>
  <c r="G123"/>
  <c r="G69"/>
  <c r="G67"/>
  <c r="G65"/>
  <c r="G61"/>
  <c r="G56"/>
  <c r="G16"/>
  <c r="G1822"/>
  <c r="G1566"/>
  <c r="G1544"/>
  <c r="G1360"/>
  <c r="G1344"/>
  <c r="G1320"/>
  <c r="G1217"/>
  <c r="G1100"/>
  <c r="G1080"/>
  <c r="G1058"/>
  <c r="G384"/>
  <c r="G1744"/>
  <c r="G1111"/>
  <c r="G1105"/>
  <c r="G1064"/>
  <c r="G832"/>
  <c r="G809"/>
  <c r="G1881"/>
  <c r="G1862"/>
  <c r="G1840"/>
  <c r="G1836"/>
  <c r="G1820"/>
  <c r="G1796"/>
  <c r="G1772"/>
  <c r="G1751"/>
  <c r="G1740"/>
  <c r="G1625"/>
  <c r="G1616"/>
  <c r="G1612"/>
  <c r="G1594"/>
  <c r="G1562"/>
  <c r="G1557"/>
  <c r="G1436"/>
  <c r="G1422"/>
  <c r="G1284"/>
  <c r="G1184"/>
  <c r="G1156"/>
  <c r="G1091"/>
  <c r="G1024"/>
  <c r="G988"/>
  <c r="G981"/>
  <c r="G913"/>
  <c r="G883"/>
  <c r="G836"/>
  <c r="G806"/>
  <c r="G702"/>
  <c r="G668"/>
  <c r="G631"/>
  <c r="G339"/>
  <c r="G335"/>
  <c r="G180"/>
  <c r="G1838"/>
  <c r="G1793"/>
  <c r="G1738"/>
  <c r="G1734"/>
  <c r="G1721"/>
  <c r="G1717"/>
  <c r="G1713"/>
  <c r="G1678"/>
  <c r="G1650"/>
  <c r="G1628"/>
  <c r="G1614"/>
  <c r="G1606"/>
  <c r="G1601"/>
  <c r="G1564"/>
  <c r="G1552"/>
  <c r="G1533"/>
  <c r="G1519"/>
  <c r="G1484"/>
  <c r="G1440"/>
  <c r="G1335"/>
  <c r="G1313"/>
  <c r="G1301"/>
  <c r="G1292"/>
  <c r="G1286"/>
  <c r="G1282"/>
  <c r="G1274"/>
  <c r="G1256"/>
  <c r="G1202"/>
  <c r="G1180"/>
  <c r="G1135"/>
  <c r="G1113"/>
  <c r="G1103"/>
  <c r="G1074"/>
  <c r="G1068"/>
  <c r="G1060"/>
  <c r="G1054"/>
  <c r="G1026"/>
  <c r="G1022"/>
  <c r="G1011"/>
  <c r="G985"/>
  <c r="G838"/>
  <c r="G834"/>
  <c r="G804"/>
  <c r="G760"/>
  <c r="G688"/>
  <c r="G666"/>
  <c r="G654"/>
  <c r="G643"/>
  <c r="G607"/>
  <c r="G591"/>
  <c r="G403"/>
  <c r="G1841"/>
  <c r="G1747"/>
  <c r="G1686"/>
  <c r="G1520"/>
  <c r="G1334"/>
  <c r="G1210"/>
  <c r="G1159"/>
  <c r="G1148"/>
  <c r="G1134"/>
  <c r="G1126"/>
  <c r="G1089"/>
  <c r="G737"/>
  <c r="G567"/>
  <c r="G549"/>
  <c r="G481"/>
  <c r="G255"/>
  <c r="G234"/>
  <c r="G1698"/>
  <c r="G1694"/>
  <c r="G1690"/>
  <c r="G1664"/>
  <c r="G1629"/>
  <c r="G1603"/>
  <c r="G1599"/>
  <c r="G1460"/>
  <c r="G1443"/>
  <c r="G1220"/>
  <c r="G1182"/>
  <c r="G1158"/>
  <c r="G1153"/>
  <c r="G1081"/>
  <c r="G1077"/>
  <c r="G906"/>
  <c r="G494"/>
  <c r="G489"/>
  <c r="G456"/>
  <c r="G261"/>
  <c r="G181"/>
  <c r="G161"/>
  <c r="G1254"/>
  <c r="G1864"/>
  <c r="G1854"/>
  <c r="G1849"/>
  <c r="G1775"/>
  <c r="G1750"/>
  <c r="G1659"/>
  <c r="G1627"/>
  <c r="G1573"/>
  <c r="G1530"/>
  <c r="G1518"/>
  <c r="G1509"/>
  <c r="G1462"/>
  <c r="G1234"/>
  <c r="G1229"/>
  <c r="G1209"/>
  <c r="G1166"/>
  <c r="G1152"/>
  <c r="G1119"/>
  <c r="G1095"/>
  <c r="G1083"/>
  <c r="G1071"/>
  <c r="G1066"/>
  <c r="G1055"/>
  <c r="G917"/>
  <c r="G904"/>
  <c r="G736"/>
  <c r="G508"/>
  <c r="G498"/>
  <c r="G488"/>
  <c r="G447"/>
  <c r="G377"/>
  <c r="G324"/>
  <c r="G259"/>
  <c r="G228"/>
  <c r="G206"/>
  <c r="G133"/>
  <c r="G60"/>
  <c r="G1795"/>
  <c r="G1774"/>
  <c r="G1745"/>
  <c r="G1700"/>
  <c r="G1687"/>
  <c r="G1654"/>
  <c r="G1646"/>
  <c r="G1593"/>
  <c r="G1581"/>
  <c r="G1447"/>
  <c r="G1441"/>
  <c r="G1321"/>
  <c r="G1312"/>
  <c r="G1228"/>
  <c r="G1223"/>
  <c r="G1218"/>
  <c r="G1183"/>
  <c r="G1098"/>
  <c r="G1093"/>
  <c r="G1082"/>
  <c r="G1065"/>
  <c r="G895"/>
  <c r="G770"/>
  <c r="G745"/>
  <c r="G568"/>
  <c r="G533"/>
  <c r="G524"/>
  <c r="G470"/>
  <c r="G461"/>
  <c r="G430"/>
  <c r="G416"/>
  <c r="G363"/>
  <c r="G290"/>
  <c r="G136"/>
  <c r="G85"/>
  <c r="G81"/>
  <c r="G55"/>
  <c r="G1699"/>
  <c r="G1554"/>
  <c r="G1238"/>
  <c r="G982"/>
  <c r="G1771"/>
  <c r="G1280"/>
  <c r="G940"/>
  <c r="G1865"/>
  <c r="G1240"/>
  <c r="G960"/>
  <c r="G1860"/>
  <c r="G1852"/>
  <c r="G1214"/>
  <c r="G908"/>
  <c r="G1847"/>
  <c r="G1777"/>
  <c r="G1511"/>
  <c r="G888"/>
  <c r="G670"/>
  <c r="G275"/>
  <c r="G1114"/>
  <c r="G24"/>
  <c r="G28"/>
  <c r="G177"/>
  <c r="G266"/>
  <c r="G404"/>
  <c r="G424"/>
  <c r="G440"/>
  <c r="G596"/>
  <c r="G602"/>
  <c r="G630"/>
  <c r="G642"/>
  <c r="G646"/>
  <c r="G669"/>
  <c r="G677"/>
  <c r="G681"/>
  <c r="G689"/>
  <c r="G693"/>
  <c r="G701"/>
  <c r="G709"/>
  <c r="G725"/>
  <c r="G729"/>
  <c r="G741"/>
  <c r="G761"/>
  <c r="G765"/>
  <c r="G769"/>
  <c r="G777"/>
  <c r="G789"/>
  <c r="G797"/>
  <c r="G812"/>
  <c r="G824"/>
  <c r="G828"/>
  <c r="G839"/>
  <c r="G842"/>
  <c r="G866"/>
  <c r="G878"/>
  <c r="G882"/>
  <c r="G886"/>
  <c r="G893"/>
  <c r="G897"/>
  <c r="G901"/>
  <c r="G905"/>
  <c r="G909"/>
  <c r="G18"/>
  <c r="G33"/>
  <c r="G88"/>
  <c r="G96"/>
  <c r="G143"/>
  <c r="G167"/>
  <c r="G198"/>
  <c r="G201"/>
  <c r="G205"/>
  <c r="G220"/>
  <c r="G224"/>
  <c r="G260"/>
  <c r="G296"/>
  <c r="G312"/>
  <c r="G320"/>
  <c r="G374"/>
  <c r="G390"/>
  <c r="G438"/>
  <c r="G442"/>
  <c r="G454"/>
  <c r="G466"/>
  <c r="G492"/>
  <c r="G604"/>
  <c r="G608"/>
  <c r="G612"/>
  <c r="G632"/>
  <c r="G636"/>
  <c r="G640"/>
  <c r="G651"/>
  <c r="G655"/>
  <c r="G659"/>
  <c r="G675"/>
  <c r="G687"/>
  <c r="G691"/>
  <c r="G695"/>
  <c r="G699"/>
  <c r="G703"/>
  <c r="G707"/>
  <c r="G719"/>
  <c r="G723"/>
  <c r="G731"/>
  <c r="G751"/>
  <c r="G763"/>
  <c r="G771"/>
  <c r="G775"/>
  <c r="G795"/>
  <c r="G799"/>
  <c r="G803"/>
  <c r="G807"/>
  <c r="G826"/>
  <c r="G833"/>
  <c r="G848"/>
  <c r="G868"/>
  <c r="G872"/>
  <c r="G876"/>
  <c r="G884"/>
  <c r="G899"/>
  <c r="G911"/>
  <c r="G922"/>
  <c r="G932"/>
  <c r="G986"/>
  <c r="G994"/>
  <c r="G1009"/>
  <c r="G1021"/>
  <c r="G1029"/>
  <c r="G126"/>
  <c r="G138"/>
  <c r="G172"/>
  <c r="G285"/>
  <c r="G293"/>
  <c r="G379"/>
  <c r="G383"/>
  <c r="G417"/>
  <c r="G439"/>
  <c r="G449"/>
  <c r="G495"/>
  <c r="G503"/>
  <c r="G629"/>
  <c r="G635"/>
  <c r="G641"/>
  <c r="G650"/>
  <c r="G656"/>
  <c r="G682"/>
  <c r="G686"/>
  <c r="G700"/>
  <c r="G706"/>
  <c r="G716"/>
  <c r="G756"/>
  <c r="G784"/>
  <c r="G881"/>
  <c r="G898"/>
  <c r="G910"/>
  <c r="G930"/>
  <c r="G980"/>
  <c r="G984"/>
  <c r="G1003"/>
  <c r="G1007"/>
  <c r="G1012"/>
  <c r="G1016"/>
  <c r="G1034"/>
  <c r="G1046"/>
  <c r="G1057"/>
  <c r="G1061"/>
  <c r="G1069"/>
  <c r="G1088"/>
  <c r="G1092"/>
  <c r="G1108"/>
  <c r="G1120"/>
  <c r="G1124"/>
  <c r="G1155"/>
  <c r="G1179"/>
  <c r="G1187"/>
  <c r="G1191"/>
  <c r="G1207"/>
  <c r="G1211"/>
  <c r="G1253"/>
  <c r="G1265"/>
  <c r="G1287"/>
  <c r="G1291"/>
  <c r="G1302"/>
  <c r="G1306"/>
  <c r="G1310"/>
  <c r="G1314"/>
  <c r="G1338"/>
  <c r="G1362"/>
  <c r="G1421"/>
  <c r="G1425"/>
  <c r="G1433"/>
  <c r="G1437"/>
  <c r="G1445"/>
  <c r="G1449"/>
  <c r="G49"/>
  <c r="G174"/>
  <c r="G229"/>
  <c r="G237"/>
  <c r="G257"/>
  <c r="G451"/>
  <c r="G505"/>
  <c r="G521"/>
  <c r="G621"/>
  <c r="G627"/>
  <c r="G658"/>
  <c r="G684"/>
  <c r="G690"/>
  <c r="G710"/>
  <c r="G714"/>
  <c r="G718"/>
  <c r="G744"/>
  <c r="G748"/>
  <c r="G772"/>
  <c r="G778"/>
  <c r="G782"/>
  <c r="G786"/>
  <c r="G808"/>
  <c r="G825"/>
  <c r="G885"/>
  <c r="G890"/>
  <c r="G931"/>
  <c r="G1027"/>
  <c r="G1048"/>
  <c r="G1063"/>
  <c r="G1090"/>
  <c r="G1102"/>
  <c r="G1110"/>
  <c r="G1150"/>
  <c r="G1161"/>
  <c r="G1193"/>
  <c r="G1201"/>
  <c r="G1259"/>
  <c r="G1277"/>
  <c r="G1281"/>
  <c r="G1296"/>
  <c r="G1332"/>
  <c r="G1408"/>
  <c r="G1419"/>
  <c r="G1423"/>
  <c r="G1435"/>
  <c r="G1439"/>
  <c r="G1483"/>
  <c r="G1501"/>
  <c r="G1505"/>
  <c r="G1508"/>
  <c r="G1539"/>
  <c r="G1555"/>
  <c r="G1559"/>
  <c r="G1578"/>
  <c r="G480"/>
  <c r="G852"/>
  <c r="G998"/>
  <c r="G1136"/>
  <c r="G1040"/>
  <c r="G1094"/>
  <c r="G1431"/>
  <c r="G70"/>
  <c r="G537"/>
  <c r="G614"/>
  <c r="G626"/>
  <c r="G953"/>
  <c r="G961"/>
  <c r="G964"/>
  <c r="G44"/>
  <c r="G76"/>
  <c r="G563"/>
  <c r="G574"/>
  <c r="G578"/>
  <c r="G601"/>
  <c r="G624"/>
  <c r="G671"/>
  <c r="G759"/>
  <c r="G947"/>
  <c r="G951"/>
  <c r="G959"/>
  <c r="G970"/>
  <c r="G974"/>
  <c r="G990"/>
  <c r="G571"/>
  <c r="G581"/>
  <c r="G788"/>
  <c r="G950"/>
  <c r="G956"/>
  <c r="G962"/>
  <c r="G971"/>
  <c r="G976"/>
  <c r="G989"/>
  <c r="G1249"/>
  <c r="G1279"/>
  <c r="G1326"/>
  <c r="G1413"/>
  <c r="G1469"/>
  <c r="G529"/>
  <c r="G617"/>
  <c r="G948"/>
  <c r="G958"/>
  <c r="G968"/>
  <c r="G1036"/>
  <c r="G1241"/>
  <c r="G1245"/>
  <c r="G1328"/>
  <c r="G1412"/>
  <c r="G1427"/>
  <c r="G1463"/>
  <c r="G1551"/>
  <c r="G1676"/>
  <c r="G1553"/>
  <c r="G1448"/>
  <c r="G1039"/>
  <c r="G965"/>
  <c r="G1624"/>
  <c r="G1506"/>
  <c r="G1446"/>
  <c r="G1232"/>
  <c r="G993"/>
  <c r="G975"/>
  <c r="G967"/>
  <c r="G550"/>
  <c r="F372" i="4" l="1"/>
  <c r="AV19"/>
  <c r="BJ19"/>
  <c r="K106" i="1"/>
  <c r="BK19" i="4" l="1"/>
  <c r="AX19"/>
  <c r="K345" i="1"/>
  <c r="K529"/>
  <c r="K405"/>
  <c r="K433"/>
  <c r="K413"/>
  <c r="K533"/>
  <c r="K399"/>
  <c r="K451"/>
  <c r="K553"/>
  <c r="K479"/>
  <c r="K447"/>
  <c r="K509"/>
  <c r="K379"/>
  <c r="K375"/>
  <c r="K473"/>
  <c r="K465"/>
  <c r="K523"/>
  <c r="K371"/>
  <c r="K517"/>
  <c r="K323"/>
  <c r="K497"/>
  <c r="K391"/>
  <c r="K361"/>
  <c r="K487"/>
  <c r="K443"/>
  <c r="K547"/>
  <c r="K503"/>
  <c r="K491"/>
  <c r="K287"/>
  <c r="K177"/>
  <c r="K461"/>
  <c r="K39"/>
  <c r="K365"/>
  <c r="K189"/>
  <c r="K57"/>
  <c r="K205"/>
  <c r="K25"/>
  <c r="K229"/>
  <c r="K223"/>
  <c r="K219"/>
  <c r="K351"/>
  <c r="K239"/>
  <c r="K249"/>
  <c r="K81"/>
  <c r="K73"/>
  <c r="K67"/>
  <c r="K255"/>
  <c r="K53"/>
  <c r="K339"/>
  <c r="K169"/>
  <c r="K524"/>
  <c r="K17"/>
  <c r="K283"/>
  <c r="K119"/>
  <c r="K484"/>
  <c r="K89"/>
  <c r="K9"/>
  <c r="K536"/>
  <c r="K315"/>
  <c r="K123"/>
  <c r="K540"/>
  <c r="K423"/>
  <c r="K275"/>
  <c r="K133"/>
  <c r="K61"/>
  <c r="K13"/>
  <c r="K329"/>
  <c r="K143"/>
  <c r="K35"/>
  <c r="K161"/>
  <c r="K472"/>
  <c r="K550"/>
  <c r="K259"/>
  <c r="K93"/>
  <c r="K404"/>
  <c r="K456"/>
  <c r="K390"/>
  <c r="K70"/>
  <c r="K1876"/>
  <c r="K60"/>
  <c r="K1868"/>
  <c r="K45"/>
  <c r="K442"/>
  <c r="K1822"/>
  <c r="K1885"/>
  <c r="K438"/>
  <c r="K310"/>
  <c r="K132"/>
  <c r="K504"/>
  <c r="K408"/>
  <c r="K452"/>
  <c r="K356"/>
  <c r="K1847"/>
  <c r="K420"/>
  <c r="K302"/>
  <c r="K1875"/>
  <c r="K494"/>
  <c r="K314"/>
  <c r="K162"/>
  <c r="K466"/>
  <c r="K336"/>
  <c r="K34"/>
  <c r="K202"/>
  <c r="K142"/>
  <c r="K306"/>
  <c r="K270"/>
  <c r="K78"/>
  <c r="K508"/>
  <c r="K384"/>
  <c r="K174"/>
  <c r="K234"/>
  <c r="K1867"/>
  <c r="K1843"/>
  <c r="K324"/>
  <c r="K530"/>
  <c r="K376"/>
  <c r="K1860"/>
  <c r="K1820"/>
  <c r="K498"/>
  <c r="K368"/>
  <c r="K192"/>
  <c r="K14"/>
  <c r="K1884"/>
  <c r="K46"/>
  <c r="K426"/>
  <c r="K224"/>
  <c r="K488"/>
  <c r="K346"/>
  <c r="K138"/>
  <c r="K1865"/>
  <c r="K264"/>
  <c r="K212"/>
  <c r="K248"/>
  <c r="K38"/>
  <c r="K1741"/>
  <c r="K1737"/>
  <c r="K1735"/>
  <c r="K1733"/>
  <c r="K1725"/>
  <c r="K1721"/>
  <c r="K1719"/>
  <c r="K1717"/>
  <c r="K1713"/>
  <c r="K1711"/>
  <c r="K1699"/>
  <c r="K1697"/>
  <c r="K1695"/>
  <c r="K1693"/>
  <c r="K184"/>
  <c r="K18"/>
  <c r="K1881"/>
  <c r="K1783"/>
  <c r="K6"/>
  <c r="K1839"/>
  <c r="K1825"/>
  <c r="K292"/>
  <c r="K168"/>
  <c r="K24"/>
  <c r="K88"/>
  <c r="K1842"/>
  <c r="K1826"/>
  <c r="K1883"/>
  <c r="K82"/>
  <c r="K28"/>
  <c r="K112"/>
  <c r="K52"/>
  <c r="K1845"/>
  <c r="K1835"/>
  <c r="K1821"/>
  <c r="K1797"/>
  <c r="K1861"/>
  <c r="K1827"/>
  <c r="K1795"/>
  <c r="K1773"/>
  <c r="K286"/>
  <c r="K1813"/>
  <c r="K1841"/>
  <c r="K1775"/>
  <c r="K1615"/>
  <c r="K1679"/>
  <c r="K1519"/>
  <c r="K1483"/>
  <c r="K1481"/>
  <c r="K1355"/>
  <c r="K1291"/>
  <c r="K1745"/>
  <c r="K1593"/>
  <c r="K1575"/>
  <c r="K1631"/>
  <c r="K1535"/>
  <c r="K1856"/>
  <c r="K1667"/>
  <c r="K1313"/>
  <c r="K1427"/>
  <c r="K1303"/>
  <c r="K1543"/>
  <c r="K1685"/>
  <c r="K1561"/>
  <c r="K1837"/>
  <c r="K1805"/>
  <c r="K1771"/>
  <c r="K1753"/>
  <c r="K1777"/>
  <c r="K1605"/>
  <c r="K1687"/>
  <c r="K1557"/>
  <c r="K1509"/>
  <c r="K1387"/>
  <c r="K1299"/>
  <c r="K1751"/>
  <c r="K1597"/>
  <c r="K1581"/>
  <c r="K1565"/>
  <c r="K1563"/>
  <c r="K1545"/>
  <c r="K1527"/>
  <c r="K1525"/>
  <c r="K1683"/>
  <c r="K1549"/>
  <c r="K1505"/>
  <c r="K1335"/>
  <c r="K1609"/>
  <c r="K1743"/>
  <c r="K1649"/>
  <c r="K1439"/>
  <c r="K1793"/>
  <c r="K1791"/>
  <c r="K1819"/>
  <c r="K1761"/>
  <c r="K1851"/>
  <c r="K1747"/>
  <c r="K1541"/>
  <c r="K1539"/>
  <c r="K1651"/>
  <c r="K1477"/>
  <c r="K1471"/>
  <c r="K1469"/>
  <c r="K1465"/>
  <c r="K1463"/>
  <c r="K1453"/>
  <c r="K1555"/>
  <c r="K1413"/>
  <c r="K1307"/>
  <c r="K1617"/>
  <c r="K1599"/>
  <c r="K1587"/>
  <c r="K1567"/>
  <c r="K1611"/>
  <c r="K1531"/>
  <c r="K1691"/>
  <c r="K1647"/>
  <c r="K1513"/>
  <c r="K1405"/>
  <c r="K1613"/>
  <c r="K1853"/>
  <c r="K1849"/>
  <c r="K1657"/>
  <c r="K1871"/>
  <c r="K1863"/>
  <c r="K1823"/>
  <c r="K1864"/>
  <c r="K1759"/>
  <c r="K1852"/>
  <c r="K1627"/>
  <c r="K1838"/>
  <c r="K1659"/>
  <c r="K1479"/>
  <c r="K1423"/>
  <c r="K1323"/>
  <c r="K1629"/>
  <c r="K1601"/>
  <c r="K1589"/>
  <c r="K1573"/>
  <c r="K1623"/>
  <c r="K1533"/>
  <c r="K1789"/>
  <c r="K1655"/>
  <c r="K1311"/>
  <c r="K1309"/>
  <c r="K1419"/>
  <c r="K1287"/>
  <c r="K1872"/>
  <c r="K1677"/>
  <c r="K1447"/>
  <c r="K1559"/>
  <c r="K1421"/>
  <c r="K1321"/>
  <c r="K1279"/>
  <c r="K1295"/>
  <c r="K1846"/>
  <c r="K1663"/>
  <c r="K1449"/>
  <c r="K1433"/>
  <c r="K1431"/>
  <c r="K1523"/>
  <c r="K1435"/>
  <c r="K1429"/>
  <c r="K1339"/>
  <c r="K1289"/>
  <c r="K321"/>
  <c r="K1319"/>
  <c r="K1515"/>
  <c r="K1681"/>
  <c r="K1553"/>
  <c r="K1437"/>
  <c r="K1501"/>
  <c r="K1493"/>
  <c r="K1361"/>
  <c r="K1325"/>
  <c r="K1283"/>
  <c r="K1269"/>
  <c r="K1317"/>
  <c r="K1267"/>
  <c r="K1255"/>
  <c r="K521"/>
  <c r="K1285"/>
  <c r="K471"/>
  <c r="K1507"/>
  <c r="K1383"/>
  <c r="K1297"/>
  <c r="K84"/>
  <c r="K1161"/>
  <c r="K1159"/>
  <c r="K1157"/>
  <c r="K1155"/>
  <c r="K1153"/>
  <c r="K1151"/>
  <c r="K1149"/>
  <c r="K1147"/>
  <c r="K1371"/>
  <c r="K1603"/>
  <c r="K1689"/>
  <c r="K1641"/>
  <c r="K1635"/>
  <c r="K1441"/>
  <c r="K1511"/>
  <c r="K1443"/>
  <c r="K1521"/>
  <c r="K1517"/>
  <c r="K1409"/>
  <c r="K1305"/>
  <c r="K1625"/>
  <c r="K1779"/>
  <c r="K1653"/>
  <c r="K1445"/>
  <c r="K1551"/>
  <c r="K1547"/>
  <c r="K1417"/>
  <c r="K1301"/>
  <c r="K1273"/>
  <c r="K1425"/>
  <c r="K1275"/>
  <c r="K1263"/>
  <c r="K1249"/>
  <c r="K431"/>
  <c r="K481"/>
  <c r="K1127"/>
  <c r="K1021"/>
  <c r="K995"/>
  <c r="K959"/>
  <c r="K85"/>
  <c r="K506"/>
  <c r="K1217"/>
  <c r="K1177"/>
  <c r="K1173"/>
  <c r="K1143"/>
  <c r="K1099"/>
  <c r="K1065"/>
  <c r="K901"/>
  <c r="K899"/>
  <c r="K897"/>
  <c r="K895"/>
  <c r="K893"/>
  <c r="K891"/>
  <c r="K1011"/>
  <c r="K975"/>
  <c r="K502"/>
  <c r="K360"/>
  <c r="K206"/>
  <c r="K1207"/>
  <c r="K1121"/>
  <c r="K327"/>
  <c r="K261"/>
  <c r="K1281"/>
  <c r="K439"/>
  <c r="K1163"/>
  <c r="K1027"/>
  <c r="K1009"/>
  <c r="K973"/>
  <c r="K373"/>
  <c r="K117"/>
  <c r="K528"/>
  <c r="K238"/>
  <c r="K66"/>
  <c r="K1213"/>
  <c r="K1139"/>
  <c r="K1093"/>
  <c r="K1061"/>
  <c r="K1007"/>
  <c r="K971"/>
  <c r="K516"/>
  <c r="K228"/>
  <c r="K56"/>
  <c r="K1211"/>
  <c r="K1135"/>
  <c r="K1133"/>
  <c r="K1125"/>
  <c r="K1091"/>
  <c r="K1395"/>
  <c r="K1315"/>
  <c r="K1271"/>
  <c r="K1259"/>
  <c r="K495"/>
  <c r="K505"/>
  <c r="K363"/>
  <c r="K1169"/>
  <c r="K121"/>
  <c r="K1245"/>
  <c r="K1033"/>
  <c r="K1017"/>
  <c r="K985"/>
  <c r="K951"/>
  <c r="K59"/>
  <c r="K1209"/>
  <c r="K1123"/>
  <c r="K1089"/>
  <c r="K1057"/>
  <c r="K1001"/>
  <c r="K967"/>
  <c r="K33"/>
  <c r="K320"/>
  <c r="K172"/>
  <c r="K22"/>
  <c r="K1193"/>
  <c r="K1113"/>
  <c r="K221"/>
  <c r="K527"/>
  <c r="K409"/>
  <c r="K374"/>
  <c r="K220"/>
  <c r="K1129"/>
  <c r="K1023"/>
  <c r="K999"/>
  <c r="K965"/>
  <c r="K347"/>
  <c r="K496"/>
  <c r="K36"/>
  <c r="K1205"/>
  <c r="K1119"/>
  <c r="K1085"/>
  <c r="K1053"/>
  <c r="K997"/>
  <c r="K961"/>
  <c r="K167"/>
  <c r="K11"/>
  <c r="K416"/>
  <c r="K278"/>
  <c r="K108"/>
  <c r="K1203"/>
  <c r="K1059"/>
  <c r="K1087"/>
  <c r="K941"/>
  <c r="K935"/>
  <c r="K811"/>
  <c r="K789"/>
  <c r="K771"/>
  <c r="K335"/>
  <c r="K49"/>
  <c r="K382"/>
  <c r="K76"/>
  <c r="K1167"/>
  <c r="K403"/>
  <c r="K395"/>
  <c r="K77"/>
  <c r="K388"/>
  <c r="K1239"/>
  <c r="K1029"/>
  <c r="K1013"/>
  <c r="K977"/>
  <c r="K245"/>
  <c r="K37"/>
  <c r="K26"/>
  <c r="K1201"/>
  <c r="K1115"/>
  <c r="K1081"/>
  <c r="K1049"/>
  <c r="K993"/>
  <c r="K957"/>
  <c r="K181"/>
  <c r="K91"/>
  <c r="K15"/>
  <c r="K430"/>
  <c r="K296"/>
  <c r="K136"/>
  <c r="K1229"/>
  <c r="K1185"/>
  <c r="K377"/>
  <c r="K285"/>
  <c r="K237"/>
  <c r="K201"/>
  <c r="K501"/>
  <c r="K513"/>
  <c r="K369"/>
  <c r="K332"/>
  <c r="K180"/>
  <c r="K1035"/>
  <c r="K1019"/>
  <c r="K991"/>
  <c r="K955"/>
  <c r="K281"/>
  <c r="K69"/>
  <c r="K470"/>
  <c r="K464"/>
  <c r="K312"/>
  <c r="K164"/>
  <c r="K16"/>
  <c r="K1191"/>
  <c r="K1111"/>
  <c r="K1077"/>
  <c r="K1045"/>
  <c r="K989"/>
  <c r="K953"/>
  <c r="K227"/>
  <c r="K43"/>
  <c r="K454"/>
  <c r="K450"/>
  <c r="K308"/>
  <c r="K152"/>
  <c r="K12"/>
  <c r="K1237"/>
  <c r="K1189"/>
  <c r="K1109"/>
  <c r="K1075"/>
  <c r="K1293"/>
  <c r="K1265"/>
  <c r="K1253"/>
  <c r="K457"/>
  <c r="K449"/>
  <c r="K480"/>
  <c r="K44"/>
  <c r="K549"/>
  <c r="K257"/>
  <c r="K1277"/>
  <c r="K417"/>
  <c r="K445"/>
  <c r="K486"/>
  <c r="K350"/>
  <c r="K198"/>
  <c r="K50"/>
  <c r="K1131"/>
  <c r="K1025"/>
  <c r="K1003"/>
  <c r="K969"/>
  <c r="K383"/>
  <c r="K157"/>
  <c r="K542"/>
  <c r="K406"/>
  <c r="K266"/>
  <c r="K96"/>
  <c r="K1233"/>
  <c r="K1187"/>
  <c r="K1107"/>
  <c r="K1073"/>
  <c r="K1041"/>
  <c r="K983"/>
  <c r="K949"/>
  <c r="K475"/>
  <c r="K139"/>
  <c r="K131"/>
  <c r="K55"/>
  <c r="K538"/>
  <c r="K534"/>
  <c r="K400"/>
  <c r="K260"/>
  <c r="K80"/>
  <c r="K1215"/>
  <c r="K1141"/>
  <c r="K355"/>
  <c r="K251"/>
  <c r="K173"/>
  <c r="K463"/>
  <c r="K489"/>
  <c r="K341"/>
  <c r="K7"/>
  <c r="K440"/>
  <c r="K304"/>
  <c r="K140"/>
  <c r="K1241"/>
  <c r="K1031"/>
  <c r="K1015"/>
  <c r="K981"/>
  <c r="K537"/>
  <c r="K531"/>
  <c r="K207"/>
  <c r="K23"/>
  <c r="K424"/>
  <c r="K290"/>
  <c r="K126"/>
  <c r="K1223"/>
  <c r="K1183"/>
  <c r="K1103"/>
  <c r="K1069"/>
  <c r="K947"/>
  <c r="K979"/>
  <c r="K293"/>
  <c r="K65"/>
  <c r="K492"/>
  <c r="K344"/>
  <c r="K190"/>
  <c r="K32"/>
  <c r="K1101"/>
  <c r="K1043"/>
  <c r="K1055"/>
  <c r="K821"/>
  <c r="K801"/>
  <c r="K779"/>
  <c r="K763"/>
  <c r="K729"/>
  <c r="K697"/>
  <c r="K611"/>
  <c r="K745"/>
  <c r="K633"/>
  <c r="K927"/>
  <c r="K855"/>
  <c r="K851"/>
  <c r="K849"/>
  <c r="K727"/>
  <c r="K695"/>
  <c r="K607"/>
  <c r="K911"/>
  <c r="K831"/>
  <c r="K657"/>
  <c r="K1844"/>
  <c r="K655"/>
  <c r="K1095"/>
  <c r="K873"/>
  <c r="K809"/>
  <c r="K787"/>
  <c r="K769"/>
  <c r="K741"/>
  <c r="K709"/>
  <c r="K629"/>
  <c r="K563"/>
  <c r="K1806"/>
  <c r="K1794"/>
  <c r="K1778"/>
  <c r="K1766"/>
  <c r="K1754"/>
  <c r="K1746"/>
  <c r="K1738"/>
  <c r="K1720"/>
  <c r="K1700"/>
  <c r="K1692"/>
  <c r="K1684"/>
  <c r="K1676"/>
  <c r="K1654"/>
  <c r="K1642"/>
  <c r="K1624"/>
  <c r="K759"/>
  <c r="K691"/>
  <c r="K883"/>
  <c r="K1854"/>
  <c r="K1312"/>
  <c r="K1272"/>
  <c r="K1512"/>
  <c r="K1206"/>
  <c r="K1202"/>
  <c r="K1200"/>
  <c r="K1500"/>
  <c r="K1179"/>
  <c r="K1083"/>
  <c r="K1051"/>
  <c r="K1071"/>
  <c r="K871"/>
  <c r="K807"/>
  <c r="K785"/>
  <c r="K767"/>
  <c r="K737"/>
  <c r="K705"/>
  <c r="K621"/>
  <c r="K913"/>
  <c r="K753"/>
  <c r="K719"/>
  <c r="K687"/>
  <c r="K587"/>
  <c r="K887"/>
  <c r="K823"/>
  <c r="K649"/>
  <c r="K1636"/>
  <c r="K1632"/>
  <c r="K1866"/>
  <c r="K1079"/>
  <c r="K869"/>
  <c r="K867"/>
  <c r="K803"/>
  <c r="K783"/>
  <c r="K765"/>
  <c r="K733"/>
  <c r="K701"/>
  <c r="K617"/>
  <c r="K1814"/>
  <c r="K1804"/>
  <c r="K1792"/>
  <c r="K1776"/>
  <c r="K1762"/>
  <c r="K1752"/>
  <c r="K1744"/>
  <c r="K1734"/>
  <c r="K1718"/>
  <c r="K1698"/>
  <c r="K1690"/>
  <c r="K1682"/>
  <c r="K1668"/>
  <c r="K1650"/>
  <c r="K1630"/>
  <c r="K939"/>
  <c r="K739"/>
  <c r="K627"/>
  <c r="K835"/>
  <c r="K1362"/>
  <c r="K1354"/>
  <c r="K1220"/>
  <c r="K1216"/>
  <c r="K1458"/>
  <c r="K1558"/>
  <c r="K1252"/>
  <c r="K713"/>
  <c r="K569"/>
  <c r="K905"/>
  <c r="K903"/>
  <c r="K889"/>
  <c r="K743"/>
  <c r="K711"/>
  <c r="K631"/>
  <c r="K567"/>
  <c r="K945"/>
  <c r="K879"/>
  <c r="K877"/>
  <c r="K677"/>
  <c r="K641"/>
  <c r="K639"/>
  <c r="K555"/>
  <c r="K827"/>
  <c r="K1832"/>
  <c r="K1063"/>
  <c r="K819"/>
  <c r="K799"/>
  <c r="K777"/>
  <c r="K761"/>
  <c r="K725"/>
  <c r="K693"/>
  <c r="K601"/>
  <c r="K1810"/>
  <c r="K1798"/>
  <c r="K1782"/>
  <c r="K1774"/>
  <c r="K1758"/>
  <c r="K1750"/>
  <c r="K1742"/>
  <c r="K1732"/>
  <c r="K1714"/>
  <c r="K1696"/>
  <c r="K1688"/>
  <c r="K1680"/>
  <c r="K1666"/>
  <c r="K1648"/>
  <c r="K1628"/>
  <c r="K921"/>
  <c r="K919"/>
  <c r="K723"/>
  <c r="K597"/>
  <c r="K671"/>
  <c r="K1338"/>
  <c r="K683"/>
  <c r="K1448"/>
  <c r="K1578"/>
  <c r="K1219"/>
  <c r="K1117"/>
  <c r="K1067"/>
  <c r="K1105"/>
  <c r="K1039"/>
  <c r="K817"/>
  <c r="K797"/>
  <c r="K775"/>
  <c r="K755"/>
  <c r="K721"/>
  <c r="K689"/>
  <c r="K685"/>
  <c r="K591"/>
  <c r="K881"/>
  <c r="K735"/>
  <c r="K703"/>
  <c r="K619"/>
  <c r="K925"/>
  <c r="K839"/>
  <c r="K665"/>
  <c r="K1862"/>
  <c r="K675"/>
  <c r="K1520"/>
  <c r="K1047"/>
  <c r="K1037"/>
  <c r="K943"/>
  <c r="K933"/>
  <c r="K815"/>
  <c r="K795"/>
  <c r="K773"/>
  <c r="K751"/>
  <c r="K717"/>
  <c r="K637"/>
  <c r="K581"/>
  <c r="K1808"/>
  <c r="K1796"/>
  <c r="K1780"/>
  <c r="K1772"/>
  <c r="K1756"/>
  <c r="K1748"/>
  <c r="K1740"/>
  <c r="K1722"/>
  <c r="K1706"/>
  <c r="K1694"/>
  <c r="K1686"/>
  <c r="K1678"/>
  <c r="K1664"/>
  <c r="K1646"/>
  <c r="K1626"/>
  <c r="K865"/>
  <c r="K707"/>
  <c r="K917"/>
  <c r="K653"/>
  <c r="K1332"/>
  <c r="K647"/>
  <c r="K1436"/>
  <c r="K1302"/>
  <c r="K1190"/>
  <c r="K1126"/>
  <c r="K1478"/>
  <c r="K1254"/>
  <c r="K1094"/>
  <c r="K1060"/>
  <c r="K976"/>
  <c r="K920"/>
  <c r="K822"/>
  <c r="K814"/>
  <c r="K708"/>
  <c r="K679"/>
  <c r="K1840"/>
  <c r="K1818"/>
  <c r="K1438"/>
  <c r="K1178"/>
  <c r="K1572"/>
  <c r="K1328"/>
  <c r="K1224"/>
  <c r="K1148"/>
  <c r="K1036"/>
  <c r="K1018"/>
  <c r="K1002"/>
  <c r="K928"/>
  <c r="K816"/>
  <c r="K698"/>
  <c r="K680"/>
  <c r="K646"/>
  <c r="K626"/>
  <c r="K578"/>
  <c r="K1592"/>
  <c r="K1342"/>
  <c r="K1226"/>
  <c r="K1096"/>
  <c r="K1070"/>
  <c r="K909"/>
  <c r="K715"/>
  <c r="K571"/>
  <c r="K825"/>
  <c r="K1874"/>
  <c r="K1314"/>
  <c r="K663"/>
  <c r="K1462"/>
  <c r="K1618"/>
  <c r="K1474"/>
  <c r="K1294"/>
  <c r="K792"/>
  <c r="K784"/>
  <c r="K760"/>
  <c r="K748"/>
  <c r="K740"/>
  <c r="K728"/>
  <c r="K588"/>
  <c r="K863"/>
  <c r="K847"/>
  <c r="K805"/>
  <c r="K1426"/>
  <c r="K1284"/>
  <c r="K1098"/>
  <c r="K1064"/>
  <c r="K986"/>
  <c r="K924"/>
  <c r="K918"/>
  <c r="K778"/>
  <c r="K668"/>
  <c r="K669"/>
  <c r="K1456"/>
  <c r="K1180"/>
  <c r="K1590"/>
  <c r="K1408"/>
  <c r="K1234"/>
  <c r="K1154"/>
  <c r="K1038"/>
  <c r="K1016"/>
  <c r="K938"/>
  <c r="K804"/>
  <c r="K802"/>
  <c r="K768"/>
  <c r="K686"/>
  <c r="K670"/>
  <c r="K636"/>
  <c r="K612"/>
  <c r="K937"/>
  <c r="K1422"/>
  <c r="K1288"/>
  <c r="K1164"/>
  <c r="K1074"/>
  <c r="K1046"/>
  <c r="K1044"/>
  <c r="K1000"/>
  <c r="K968"/>
  <c r="K890"/>
  <c r="K800"/>
  <c r="K718"/>
  <c r="K664"/>
  <c r="K1580"/>
  <c r="K1367"/>
  <c r="K798"/>
  <c r="K758"/>
  <c r="K694"/>
  <c r="K1537"/>
  <c r="K1359"/>
  <c r="K1610"/>
  <c r="K1344"/>
  <c r="K1340"/>
  <c r="K1228"/>
  <c r="K1873"/>
  <c r="K1171"/>
  <c r="K1612"/>
  <c r="K1412"/>
  <c r="K1236"/>
  <c r="K1084"/>
  <c r="K1052"/>
  <c r="K966"/>
  <c r="K898"/>
  <c r="K774"/>
  <c r="K656"/>
  <c r="K659"/>
  <c r="K1882"/>
  <c r="K1450"/>
  <c r="K1182"/>
  <c r="K1604"/>
  <c r="K1600"/>
  <c r="K1598"/>
  <c r="K1424"/>
  <c r="K1246"/>
  <c r="K1152"/>
  <c r="K1144"/>
  <c r="K1030"/>
  <c r="K1014"/>
  <c r="K930"/>
  <c r="K702"/>
  <c r="K684"/>
  <c r="K650"/>
  <c r="K632"/>
  <c r="K610"/>
  <c r="K1616"/>
  <c r="K1466"/>
  <c r="K1442"/>
  <c r="K1432"/>
  <c r="K1232"/>
  <c r="K1132"/>
  <c r="K1128"/>
  <c r="K1078"/>
  <c r="K1050"/>
  <c r="K731"/>
  <c r="K613"/>
  <c r="K859"/>
  <c r="K645"/>
  <c r="K1334"/>
  <c r="K1330"/>
  <c r="K1218"/>
  <c r="K837"/>
  <c r="K1452"/>
  <c r="K1594"/>
  <c r="K1418"/>
  <c r="K1214"/>
  <c r="K786"/>
  <c r="K756"/>
  <c r="K746"/>
  <c r="K742"/>
  <c r="K734"/>
  <c r="K732"/>
  <c r="K1032"/>
  <c r="K861"/>
  <c r="K845"/>
  <c r="K1622"/>
  <c r="K1596"/>
  <c r="K1304"/>
  <c r="K1134"/>
  <c r="K1072"/>
  <c r="K994"/>
  <c r="K954"/>
  <c r="K824"/>
  <c r="K712"/>
  <c r="K833"/>
  <c r="K1514"/>
  <c r="K1510"/>
  <c r="K1184"/>
  <c r="K1174"/>
  <c r="K1564"/>
  <c r="K1306"/>
  <c r="K1210"/>
  <c r="K1198"/>
  <c r="K1042"/>
  <c r="K1024"/>
  <c r="K1020"/>
  <c r="K980"/>
  <c r="K808"/>
  <c r="K690"/>
  <c r="K674"/>
  <c r="K640"/>
  <c r="K616"/>
  <c r="K1165"/>
  <c r="K1554"/>
  <c r="K1546"/>
  <c r="K1540"/>
  <c r="K1248"/>
  <c r="K1054"/>
  <c r="K984"/>
  <c r="K982"/>
  <c r="K978"/>
  <c r="K922"/>
  <c r="K852"/>
  <c r="K850"/>
  <c r="K710"/>
  <c r="K1704"/>
  <c r="K1388"/>
  <c r="K1176"/>
  <c r="K1662"/>
  <c r="K1379"/>
  <c r="K1130"/>
  <c r="K559"/>
  <c r="K477"/>
  <c r="K386"/>
  <c r="K319"/>
  <c r="K271"/>
  <c r="K210"/>
  <c r="K155"/>
  <c r="K1879"/>
  <c r="K1124"/>
  <c r="K1120"/>
  <c r="K1118"/>
  <c r="K1114"/>
  <c r="K1112"/>
  <c r="K1110"/>
  <c r="K1108"/>
  <c r="K1106"/>
  <c r="K1104"/>
  <c r="K910"/>
  <c r="K908"/>
  <c r="K906"/>
  <c r="K904"/>
  <c r="K902"/>
  <c r="K878"/>
  <c r="K876"/>
  <c r="K874"/>
  <c r="K872"/>
  <c r="K870"/>
  <c r="K868"/>
  <c r="K866"/>
  <c r="K864"/>
  <c r="K858"/>
  <c r="K848"/>
  <c r="K846"/>
  <c r="K842"/>
  <c r="K840"/>
  <c r="K838"/>
  <c r="K836"/>
  <c r="K834"/>
  <c r="K832"/>
  <c r="K830"/>
  <c r="K560"/>
  <c r="K926"/>
  <c r="K1588"/>
  <c r="K1326"/>
  <c r="K1138"/>
  <c r="K1076"/>
  <c r="K998"/>
  <c r="K958"/>
  <c r="K886"/>
  <c r="K764"/>
  <c r="K730"/>
  <c r="K592"/>
  <c r="K643"/>
  <c r="K1460"/>
  <c r="K1186"/>
  <c r="K1166"/>
  <c r="K1480"/>
  <c r="K1282"/>
  <c r="K1278"/>
  <c r="K1156"/>
  <c r="K1140"/>
  <c r="K1026"/>
  <c r="K1010"/>
  <c r="K934"/>
  <c r="K806"/>
  <c r="K688"/>
  <c r="K672"/>
  <c r="K638"/>
  <c r="K614"/>
  <c r="K1137"/>
  <c r="K1484"/>
  <c r="K1470"/>
  <c r="K1280"/>
  <c r="K1266"/>
  <c r="K1136"/>
  <c r="K1086"/>
  <c r="K1058"/>
  <c r="K747"/>
  <c r="K635"/>
  <c r="K907"/>
  <c r="K661"/>
  <c r="K1360"/>
  <c r="K1274"/>
  <c r="K1530"/>
  <c r="K1440"/>
  <c r="K1568"/>
  <c r="K1322"/>
  <c r="K1316"/>
  <c r="K1238"/>
  <c r="K788"/>
  <c r="K780"/>
  <c r="K752"/>
  <c r="K744"/>
  <c r="K736"/>
  <c r="K662"/>
  <c r="K660"/>
  <c r="K857"/>
  <c r="K843"/>
  <c r="K1570"/>
  <c r="K1366"/>
  <c r="K1212"/>
  <c r="K1208"/>
  <c r="K1080"/>
  <c r="K1048"/>
  <c r="K962"/>
  <c r="K882"/>
  <c r="K880"/>
  <c r="K720"/>
  <c r="K568"/>
  <c r="K1858"/>
  <c r="K1524"/>
  <c r="K1434"/>
  <c r="K1170"/>
  <c r="K1506"/>
  <c r="K1290"/>
  <c r="K1158"/>
  <c r="K1142"/>
  <c r="K1028"/>
  <c r="K1004"/>
  <c r="K812"/>
  <c r="K696"/>
  <c r="K678"/>
  <c r="K644"/>
  <c r="K624"/>
  <c r="K574"/>
  <c r="K570"/>
  <c r="K1574"/>
  <c r="K1292"/>
  <c r="K1194"/>
  <c r="K1092"/>
  <c r="K1066"/>
  <c r="K988"/>
  <c r="K950"/>
  <c r="K888"/>
  <c r="K794"/>
  <c r="K666"/>
  <c r="K1712"/>
  <c r="K1406"/>
  <c r="K1243"/>
  <c r="K518"/>
  <c r="K428"/>
  <c r="K342"/>
  <c r="K294"/>
  <c r="K241"/>
  <c r="K185"/>
  <c r="K1768"/>
  <c r="K1398"/>
  <c r="K1227"/>
  <c r="K1428"/>
  <c r="K1286"/>
  <c r="K598"/>
  <c r="K1869"/>
  <c r="K987"/>
  <c r="K1562"/>
  <c r="K1296"/>
  <c r="K1102"/>
  <c r="K1068"/>
  <c r="K990"/>
  <c r="K948"/>
  <c r="K828"/>
  <c r="K716"/>
  <c r="K1802"/>
  <c r="K1518"/>
  <c r="K1264"/>
  <c r="K1258"/>
  <c r="K1172"/>
  <c r="K1552"/>
  <c r="K1298"/>
  <c r="K1162"/>
  <c r="K1040"/>
  <c r="K1022"/>
  <c r="K1006"/>
  <c r="K942"/>
  <c r="K810"/>
  <c r="K692"/>
  <c r="K676"/>
  <c r="K642"/>
  <c r="K620"/>
  <c r="K564"/>
  <c r="K1566"/>
  <c r="K1300"/>
  <c r="K1222"/>
  <c r="K1088"/>
  <c r="K1062"/>
  <c r="K885"/>
  <c r="K699"/>
  <c r="K931"/>
  <c r="K681"/>
  <c r="K1836"/>
  <c r="K1310"/>
  <c r="K1848"/>
  <c r="K1516"/>
  <c r="K1260"/>
  <c r="K1544"/>
  <c r="K1268"/>
  <c r="K790"/>
  <c r="K782"/>
  <c r="K762"/>
  <c r="K750"/>
  <c r="K738"/>
  <c r="K726"/>
  <c r="K724"/>
  <c r="K1877"/>
  <c r="K853"/>
  <c r="K813"/>
  <c r="K1508"/>
  <c r="K1504"/>
  <c r="K1502"/>
  <c r="K1240"/>
  <c r="K1090"/>
  <c r="K1056"/>
  <c r="K970"/>
  <c r="K894"/>
  <c r="K766"/>
  <c r="K652"/>
  <c r="K651"/>
  <c r="K1446"/>
  <c r="K1614"/>
  <c r="K1468"/>
  <c r="K1464"/>
  <c r="K1444"/>
  <c r="K1256"/>
  <c r="K1150"/>
  <c r="K1034"/>
  <c r="K1012"/>
  <c r="K1008"/>
  <c r="K932"/>
  <c r="K700"/>
  <c r="K682"/>
  <c r="K648"/>
  <c r="K630"/>
  <c r="K608"/>
  <c r="K606"/>
  <c r="K1606"/>
  <c r="K1602"/>
  <c r="K1320"/>
  <c r="K1308"/>
  <c r="K1100"/>
  <c r="K1082"/>
  <c r="K992"/>
  <c r="K960"/>
  <c r="K772"/>
  <c r="K770"/>
  <c r="K1828"/>
  <c r="K1347"/>
  <c r="K1472"/>
  <c r="K599"/>
  <c r="K507"/>
  <c r="K402"/>
  <c r="K330"/>
  <c r="K282"/>
  <c r="K226"/>
  <c r="K170"/>
  <c r="K1800"/>
  <c r="K1878"/>
  <c r="K1661"/>
  <c r="K1475"/>
  <c r="K1350"/>
  <c r="K844"/>
  <c r="K1488"/>
  <c r="K1716"/>
  <c r="K1526"/>
  <c r="K1376"/>
  <c r="K936"/>
  <c r="K1392"/>
  <c r="K1196"/>
  <c r="K596"/>
  <c r="K586"/>
  <c r="K1548"/>
  <c r="K1365"/>
  <c r="K892"/>
  <c r="K875"/>
  <c r="K1620"/>
  <c r="K1736"/>
  <c r="K1556"/>
  <c r="K1386"/>
  <c r="K1221"/>
  <c r="K565"/>
  <c r="K1702"/>
  <c r="K1799"/>
  <c r="K1638"/>
  <c r="K956"/>
  <c r="K884"/>
  <c r="K714"/>
  <c r="K1728"/>
  <c r="K1396"/>
  <c r="K1225"/>
  <c r="K545"/>
  <c r="K460"/>
  <c r="K367"/>
  <c r="K311"/>
  <c r="K267"/>
  <c r="K204"/>
  <c r="K654"/>
  <c r="K1494"/>
  <c r="K1349"/>
  <c r="K625"/>
  <c r="K1857"/>
  <c r="K1829"/>
  <c r="K1181"/>
  <c r="K963"/>
  <c r="K634"/>
  <c r="K1760"/>
  <c r="K1801"/>
  <c r="K1640"/>
  <c r="K1455"/>
  <c r="K1341"/>
  <c r="K673"/>
  <c r="K522"/>
  <c r="K446"/>
  <c r="K1645"/>
  <c r="K1767"/>
  <c r="K1584"/>
  <c r="K1403"/>
  <c r="K1262"/>
  <c r="K583"/>
  <c r="K1671"/>
  <c r="K1381"/>
  <c r="K1168"/>
  <c r="K1639"/>
  <c r="K1375"/>
  <c r="K1116"/>
  <c r="K551"/>
  <c r="K468"/>
  <c r="K380"/>
  <c r="K317"/>
  <c r="K269"/>
  <c r="K208"/>
  <c r="K153"/>
  <c r="K102"/>
  <c r="K1887"/>
  <c r="K1656"/>
  <c r="K1757"/>
  <c r="K1576"/>
  <c r="K1397"/>
  <c r="K1247"/>
  <c r="K585"/>
  <c r="K493"/>
  <c r="K432"/>
  <c r="K1583"/>
  <c r="K1739"/>
  <c r="K1560"/>
  <c r="K1389"/>
  <c r="K1230"/>
  <c r="K1534"/>
  <c r="K1195"/>
  <c r="K618"/>
  <c r="K940"/>
  <c r="K1358"/>
  <c r="K47"/>
  <c r="K90"/>
  <c r="K29"/>
  <c r="K793"/>
  <c r="K841"/>
  <c r="K407"/>
  <c r="K353"/>
  <c r="K279"/>
  <c r="K233"/>
  <c r="K1710"/>
  <c r="K1786"/>
  <c r="K1619"/>
  <c r="K1414"/>
  <c r="K1324"/>
  <c r="K609"/>
  <c r="K482"/>
  <c r="K427"/>
  <c r="K1764"/>
  <c r="K1870"/>
  <c r="K1670"/>
  <c r="K1485"/>
  <c r="K1352"/>
  <c r="K796"/>
  <c r="K178"/>
  <c r="K127"/>
  <c r="K1595"/>
  <c r="K1373"/>
  <c r="K1122"/>
  <c r="K562"/>
  <c r="K421"/>
  <c r="K1486"/>
  <c r="K1345"/>
  <c r="K603"/>
  <c r="K151"/>
  <c r="K122"/>
  <c r="K114"/>
  <c r="K100"/>
  <c r="K30"/>
  <c r="K580"/>
  <c r="K378"/>
  <c r="K313"/>
  <c r="K252"/>
  <c r="K203"/>
  <c r="K1492"/>
  <c r="K1705"/>
  <c r="K1497"/>
  <c r="K1370"/>
  <c r="K912"/>
  <c r="K546"/>
  <c r="K469"/>
  <c r="K1785"/>
  <c r="K1880"/>
  <c r="K1674"/>
  <c r="K916"/>
  <c r="K914"/>
  <c r="K900"/>
  <c r="K896"/>
  <c r="K722"/>
  <c r="K1770"/>
  <c r="K1467"/>
  <c r="K1329"/>
  <c r="K576"/>
  <c r="K1585"/>
  <c r="K1369"/>
  <c r="K972"/>
  <c r="K543"/>
  <c r="K458"/>
  <c r="K362"/>
  <c r="K309"/>
  <c r="K262"/>
  <c r="K199"/>
  <c r="K1859"/>
  <c r="K1831"/>
  <c r="K1811"/>
  <c r="K1005"/>
  <c r="K754"/>
  <c r="K397"/>
  <c r="K343"/>
  <c r="K274"/>
  <c r="K225"/>
  <c r="K1665"/>
  <c r="K1765"/>
  <c r="K1582"/>
  <c r="K1401"/>
  <c r="K1257"/>
  <c r="K593"/>
  <c r="K490"/>
  <c r="K429"/>
  <c r="K166"/>
  <c r="K92"/>
  <c r="K1715"/>
  <c r="K1803"/>
  <c r="K1644"/>
  <c r="K1457"/>
  <c r="K1343"/>
  <c r="K615"/>
  <c r="K1400"/>
  <c r="K1231"/>
  <c r="K1723"/>
  <c r="K1394"/>
  <c r="K1204"/>
  <c r="K573"/>
  <c r="K130"/>
  <c r="K75"/>
  <c r="K410"/>
  <c r="K357"/>
  <c r="K289"/>
  <c r="K236"/>
  <c r="K1726"/>
  <c r="K1790"/>
  <c r="K1634"/>
  <c r="K1420"/>
  <c r="K1333"/>
  <c r="K623"/>
  <c r="K394"/>
  <c r="K338"/>
  <c r="K272"/>
  <c r="K222"/>
  <c r="K171"/>
  <c r="K1660"/>
  <c r="K1784"/>
  <c r="K1608"/>
  <c r="K1410"/>
  <c r="K1318"/>
  <c r="K590"/>
  <c r="K1337"/>
  <c r="K182"/>
  <c r="K137"/>
  <c r="K87"/>
  <c r="K99"/>
  <c r="K62"/>
  <c r="K1579"/>
  <c r="K1250"/>
  <c r="K129"/>
  <c r="K146"/>
  <c r="K1097"/>
  <c r="K1830"/>
  <c r="K1707"/>
  <c r="K1372"/>
  <c r="K605"/>
  <c r="K554"/>
  <c r="K79"/>
  <c r="K577"/>
  <c r="K115"/>
  <c r="K21"/>
  <c r="K1490"/>
  <c r="K1886"/>
  <c r="K1331"/>
  <c r="K541"/>
  <c r="K455"/>
  <c r="K358"/>
  <c r="K303"/>
  <c r="K256"/>
  <c r="K196"/>
  <c r="K579"/>
  <c r="K485"/>
  <c r="K396"/>
  <c r="K325"/>
  <c r="K276"/>
  <c r="K216"/>
  <c r="K163"/>
  <c r="K51"/>
  <c r="K392"/>
  <c r="K333"/>
  <c r="K268"/>
  <c r="K217"/>
  <c r="K1637"/>
  <c r="K1749"/>
  <c r="K1569"/>
  <c r="K1391"/>
  <c r="K1242"/>
  <c r="K575"/>
  <c r="K535"/>
  <c r="K462"/>
  <c r="K158"/>
  <c r="K74"/>
  <c r="K1669"/>
  <c r="K1788"/>
  <c r="K1621"/>
  <c r="K1416"/>
  <c r="K1327"/>
  <c r="K595"/>
  <c r="K1498"/>
  <c r="K1351"/>
  <c r="K557"/>
  <c r="K1787"/>
  <c r="K1402"/>
  <c r="K1235"/>
  <c r="K582"/>
  <c r="K499"/>
  <c r="K398"/>
  <c r="K328"/>
  <c r="K280"/>
  <c r="K218"/>
  <c r="K165"/>
  <c r="K135"/>
  <c r="K125"/>
  <c r="K110"/>
  <c r="K83"/>
  <c r="K63"/>
  <c r="K27"/>
  <c r="K414"/>
  <c r="K364"/>
  <c r="K298"/>
  <c r="K242"/>
  <c r="K1781"/>
  <c r="K1807"/>
  <c r="K1652"/>
  <c r="K1459"/>
  <c r="K1346"/>
  <c r="K818"/>
  <c r="K525"/>
  <c r="K453"/>
  <c r="K193"/>
  <c r="K160"/>
  <c r="K141"/>
  <c r="K113"/>
  <c r="K8"/>
  <c r="K1496"/>
  <c r="K1727"/>
  <c r="K974"/>
  <c r="K946"/>
  <c r="K944"/>
  <c r="K776"/>
  <c r="K602"/>
  <c r="K1532"/>
  <c r="K1357"/>
  <c r="K594"/>
  <c r="K512"/>
  <c r="K415"/>
  <c r="K337"/>
  <c r="K288"/>
  <c r="K232"/>
  <c r="K179"/>
  <c r="K1708"/>
  <c r="K1390"/>
  <c r="K1188"/>
  <c r="K566"/>
  <c r="K1833"/>
  <c r="K1815"/>
  <c r="K1145"/>
  <c r="K915"/>
  <c r="K412"/>
  <c r="K387"/>
  <c r="K359"/>
  <c r="K326"/>
  <c r="K295"/>
  <c r="K263"/>
  <c r="K240"/>
  <c r="K213"/>
  <c r="K1591"/>
  <c r="K1729"/>
  <c r="K1536"/>
  <c r="K1382"/>
  <c r="K1197"/>
  <c r="K556"/>
  <c r="K532"/>
  <c r="K478"/>
  <c r="K459"/>
  <c r="K425"/>
  <c r="K1812"/>
  <c r="K1404"/>
  <c r="K1703"/>
  <c r="K1495"/>
  <c r="K1368"/>
  <c r="K854"/>
  <c r="K109"/>
  <c r="K1476"/>
  <c r="K1336"/>
  <c r="K1850"/>
  <c r="K1461"/>
  <c r="K1270"/>
  <c r="K589"/>
  <c r="K514"/>
  <c r="K419"/>
  <c r="K340"/>
  <c r="K291"/>
  <c r="K235"/>
  <c r="K183"/>
  <c r="K145"/>
  <c r="K116"/>
  <c r="K86"/>
  <c r="K40"/>
  <c r="K558"/>
  <c r="K246"/>
  <c r="K1816"/>
  <c r="K1415"/>
  <c r="K1672"/>
  <c r="K1487"/>
  <c r="K1356"/>
  <c r="K856"/>
  <c r="K519"/>
  <c r="K444"/>
  <c r="K186"/>
  <c r="K134"/>
  <c r="K97"/>
  <c r="K1730"/>
  <c r="K1809"/>
  <c r="K1658"/>
  <c r="K1473"/>
  <c r="K1348"/>
  <c r="K667"/>
  <c r="K175"/>
  <c r="K1380"/>
  <c r="K107"/>
  <c r="K72"/>
  <c r="K1489"/>
  <c r="K820"/>
  <c r="K111"/>
  <c r="K68"/>
  <c r="K103"/>
  <c r="K10"/>
  <c r="K58"/>
  <c r="K94"/>
  <c r="K64"/>
  <c r="K41"/>
  <c r="K1834"/>
  <c r="K829"/>
  <c r="K381"/>
  <c r="K316"/>
  <c r="K254"/>
  <c r="K209"/>
  <c r="K1529"/>
  <c r="K1709"/>
  <c r="K1522"/>
  <c r="K1374"/>
  <c r="K952"/>
  <c r="K544"/>
  <c r="K500"/>
  <c r="K467"/>
  <c r="K434"/>
  <c r="K200"/>
  <c r="K148"/>
  <c r="K1607"/>
  <c r="K1755"/>
  <c r="K1571"/>
  <c r="K1393"/>
  <c r="K1244"/>
  <c r="K572"/>
  <c r="K150"/>
  <c r="K105"/>
  <c r="K1430"/>
  <c r="K1261"/>
  <c r="K604"/>
  <c r="K1675"/>
  <c r="K1385"/>
  <c r="K1146"/>
  <c r="K561"/>
  <c r="K520"/>
  <c r="K483"/>
  <c r="K435"/>
  <c r="K393"/>
  <c r="K348"/>
  <c r="K322"/>
  <c r="K297"/>
  <c r="K273"/>
  <c r="K243"/>
  <c r="K214"/>
  <c r="K187"/>
  <c r="K159"/>
  <c r="K147"/>
  <c r="K128"/>
  <c r="K118"/>
  <c r="K104"/>
  <c r="K95"/>
  <c r="K71"/>
  <c r="K42"/>
  <c r="K20"/>
  <c r="K401"/>
  <c r="K349"/>
  <c r="K277"/>
  <c r="K231"/>
  <c r="K1673"/>
  <c r="K1769"/>
  <c r="K1586"/>
  <c r="K1407"/>
  <c r="K1276"/>
  <c r="K600"/>
  <c r="K511"/>
  <c r="K436"/>
  <c r="K389"/>
  <c r="K331"/>
  <c r="K265"/>
  <c r="K215"/>
  <c r="K156"/>
  <c r="K749"/>
  <c r="K54"/>
  <c r="K1633"/>
  <c r="K1763"/>
  <c r="K996"/>
  <c r="K964"/>
  <c r="K826"/>
  <c r="K706"/>
  <c r="K704"/>
  <c r="K1643"/>
  <c r="K1377"/>
  <c r="K1160"/>
  <c r="K526"/>
  <c r="K437"/>
  <c r="K352"/>
  <c r="K299"/>
  <c r="K247"/>
  <c r="K191"/>
  <c r="K1824"/>
  <c r="K1411"/>
  <c r="K1251"/>
  <c r="K584"/>
  <c r="K510"/>
  <c r="K411"/>
  <c r="K334"/>
  <c r="K284"/>
  <c r="K230"/>
  <c r="K176"/>
  <c r="K1855"/>
  <c r="K1817"/>
  <c r="K1175"/>
  <c r="K929"/>
  <c r="K628"/>
  <c r="K372"/>
  <c r="K307"/>
  <c r="K250"/>
  <c r="K1888"/>
  <c r="K1482"/>
  <c r="K1701"/>
  <c r="K1491"/>
  <c r="K1364"/>
  <c r="K862"/>
  <c r="K548"/>
  <c r="K515"/>
  <c r="K474"/>
  <c r="K441"/>
  <c r="K418"/>
  <c r="K366"/>
  <c r="K300"/>
  <c r="K244"/>
  <c r="K195"/>
  <c r="K144"/>
  <c r="K19"/>
  <c r="K1550"/>
  <c r="K1731"/>
  <c r="K1538"/>
  <c r="K1384"/>
  <c r="K1199"/>
  <c r="K124"/>
  <c r="K1542"/>
  <c r="K1363"/>
  <c r="K622"/>
  <c r="K658"/>
  <c r="K1503"/>
  <c r="K1353"/>
  <c r="K791"/>
  <c r="K539"/>
  <c r="K448"/>
  <c r="K354"/>
  <c r="K301"/>
  <c r="K253"/>
  <c r="K194"/>
  <c r="K149"/>
  <c r="K120"/>
  <c r="K98"/>
  <c r="K48"/>
  <c r="K781"/>
  <c r="K757"/>
  <c r="K385"/>
  <c r="K318"/>
  <c r="K258"/>
  <c r="K211"/>
  <c r="K1577"/>
  <c r="K1724"/>
  <c r="K1528"/>
  <c r="K1378"/>
  <c r="K1192"/>
  <c r="K552"/>
  <c r="K476"/>
  <c r="K422"/>
  <c r="K370"/>
  <c r="K305"/>
  <c r="K197"/>
  <c r="K1454"/>
  <c r="K1499"/>
  <c r="K860"/>
  <c r="K188"/>
  <c r="K1451"/>
  <c r="K154"/>
  <c r="K101"/>
  <c r="K31"/>
  <c r="K1399"/>
  <c r="K309" i="4" l="1"/>
  <c r="L309" s="1"/>
  <c r="T309"/>
  <c r="B309"/>
  <c r="K1173"/>
  <c r="L1173" s="1"/>
  <c r="T1173"/>
  <c r="B1173"/>
  <c r="K952"/>
  <c r="L952" s="1"/>
  <c r="T952"/>
  <c r="B952"/>
  <c r="K991"/>
  <c r="L991" s="1"/>
  <c r="T991"/>
  <c r="B991"/>
  <c r="K987"/>
  <c r="L987" s="1"/>
  <c r="T987"/>
  <c r="B987"/>
  <c r="K311"/>
  <c r="L311" s="1"/>
  <c r="T311"/>
  <c r="B311"/>
  <c r="K940"/>
  <c r="L940" s="1"/>
  <c r="T940"/>
  <c r="B940"/>
  <c r="K931"/>
  <c r="L931" s="1"/>
  <c r="T931"/>
  <c r="B931"/>
  <c r="K378"/>
  <c r="L378" s="1"/>
  <c r="T378"/>
  <c r="B378"/>
  <c r="K1266"/>
  <c r="L1266" s="1"/>
  <c r="B1266"/>
  <c r="T1266"/>
  <c r="K33"/>
  <c r="L33" s="1"/>
  <c r="T33"/>
  <c r="B33"/>
  <c r="K860"/>
  <c r="L860" s="1"/>
  <c r="T860"/>
  <c r="B860"/>
  <c r="K609"/>
  <c r="L609" s="1"/>
  <c r="T609"/>
  <c r="B609"/>
  <c r="K1092"/>
  <c r="L1092" s="1"/>
  <c r="T1092"/>
  <c r="B1092"/>
  <c r="K155"/>
  <c r="L155" s="1"/>
  <c r="T155"/>
  <c r="B155"/>
  <c r="K413"/>
  <c r="L413" s="1"/>
  <c r="T413"/>
  <c r="B413"/>
  <c r="K1212"/>
  <c r="L1212" s="1"/>
  <c r="T1212"/>
  <c r="B1212"/>
  <c r="K725"/>
  <c r="L725" s="1"/>
  <c r="T725"/>
  <c r="B725"/>
  <c r="K1035"/>
  <c r="L1035" s="1"/>
  <c r="T1035"/>
  <c r="B1035"/>
  <c r="K1122"/>
  <c r="L1122" s="1"/>
  <c r="T1122"/>
  <c r="B1122"/>
  <c r="K595"/>
  <c r="L595" s="1"/>
  <c r="T595"/>
  <c r="B595"/>
  <c r="K1124"/>
  <c r="L1124" s="1"/>
  <c r="T1124"/>
  <c r="B1124"/>
  <c r="K710"/>
  <c r="L710" s="1"/>
  <c r="T710"/>
  <c r="B710"/>
  <c r="K21"/>
  <c r="L21" s="1"/>
  <c r="T21"/>
  <c r="B21"/>
  <c r="K842"/>
  <c r="L842" s="1"/>
  <c r="T842"/>
  <c r="B842"/>
  <c r="K1204"/>
  <c r="L1204" s="1"/>
  <c r="T1204"/>
  <c r="B1204"/>
  <c r="K401"/>
  <c r="L401" s="1"/>
  <c r="T401"/>
  <c r="B401"/>
  <c r="K971"/>
  <c r="L971" s="1"/>
  <c r="T971"/>
  <c r="B971"/>
  <c r="K978"/>
  <c r="L978" s="1"/>
  <c r="T978"/>
  <c r="B978"/>
  <c r="K1283"/>
  <c r="L1283" s="1"/>
  <c r="T1283"/>
  <c r="B1283"/>
  <c r="K938"/>
  <c r="L938" s="1"/>
  <c r="T938"/>
  <c r="B938"/>
  <c r="K797"/>
  <c r="L797" s="1"/>
  <c r="T797"/>
  <c r="B797"/>
  <c r="K1107"/>
  <c r="L1107" s="1"/>
  <c r="T1107"/>
  <c r="B1107"/>
  <c r="K1179"/>
  <c r="L1179" s="1"/>
  <c r="T1179"/>
  <c r="B1179"/>
  <c r="K305"/>
  <c r="L305" s="1"/>
  <c r="T305"/>
  <c r="B305"/>
  <c r="K936"/>
  <c r="L936" s="1"/>
  <c r="T936"/>
  <c r="B936"/>
  <c r="K864"/>
  <c r="L864" s="1"/>
  <c r="T864"/>
  <c r="B864"/>
  <c r="K38"/>
  <c r="L38" s="1"/>
  <c r="T38"/>
  <c r="B38"/>
  <c r="K910"/>
  <c r="L910" s="1"/>
  <c r="T910"/>
  <c r="B910"/>
  <c r="K785"/>
  <c r="L785" s="1"/>
  <c r="T785"/>
  <c r="B785"/>
  <c r="K817"/>
  <c r="L817" s="1"/>
  <c r="T817"/>
  <c r="B817"/>
  <c r="K1152"/>
  <c r="L1152" s="1"/>
  <c r="T1152"/>
  <c r="B1152"/>
  <c r="K1261"/>
  <c r="L1261" s="1"/>
  <c r="T1261"/>
  <c r="B1261"/>
  <c r="K646"/>
  <c r="L646" s="1"/>
  <c r="T646"/>
  <c r="B646"/>
  <c r="K985"/>
  <c r="L985" s="1"/>
  <c r="T985"/>
  <c r="B985"/>
  <c r="K1040"/>
  <c r="L1040" s="1"/>
  <c r="T1040"/>
  <c r="B1040"/>
  <c r="K594"/>
  <c r="L594" s="1"/>
  <c r="T594"/>
  <c r="B594"/>
  <c r="K1282"/>
  <c r="L1282" s="1"/>
  <c r="B1282"/>
  <c r="T1282"/>
  <c r="K637"/>
  <c r="L637" s="1"/>
  <c r="T637"/>
  <c r="B637"/>
  <c r="K1157"/>
  <c r="L1157" s="1"/>
  <c r="T1157"/>
  <c r="B1157"/>
  <c r="K806"/>
  <c r="L806" s="1"/>
  <c r="T806"/>
  <c r="B806"/>
  <c r="K51"/>
  <c r="L51" s="1"/>
  <c r="T51"/>
  <c r="B51"/>
  <c r="K393"/>
  <c r="L393" s="1"/>
  <c r="T393"/>
  <c r="B393"/>
  <c r="K423"/>
  <c r="L423" s="1"/>
  <c r="T423"/>
  <c r="B423"/>
  <c r="K945"/>
  <c r="L945" s="1"/>
  <c r="T945"/>
  <c r="B945"/>
  <c r="K267"/>
  <c r="L267" s="1"/>
  <c r="T267"/>
  <c r="B267"/>
  <c r="K908"/>
  <c r="L908" s="1"/>
  <c r="T908"/>
  <c r="B908"/>
  <c r="K1256"/>
  <c r="L1256" s="1"/>
  <c r="B1256"/>
  <c r="T1256"/>
  <c r="K31"/>
  <c r="L31" s="1"/>
  <c r="T31"/>
  <c r="B31"/>
  <c r="K851"/>
  <c r="L851" s="1"/>
  <c r="T851"/>
  <c r="B851"/>
  <c r="K6"/>
  <c r="L6" s="1"/>
  <c r="T6"/>
  <c r="B6"/>
  <c r="K947"/>
  <c r="L947" s="1"/>
  <c r="T947"/>
  <c r="B947"/>
  <c r="K776"/>
  <c r="L776" s="1"/>
  <c r="T776"/>
  <c r="B776"/>
  <c r="K1070"/>
  <c r="L1070" s="1"/>
  <c r="T1070"/>
  <c r="B1070"/>
  <c r="K1118"/>
  <c r="L1118" s="1"/>
  <c r="T1118"/>
  <c r="B1118"/>
  <c r="K691"/>
  <c r="L691" s="1"/>
  <c r="T691"/>
  <c r="B691"/>
  <c r="K1018"/>
  <c r="L1018" s="1"/>
  <c r="T1018"/>
  <c r="B1018"/>
  <c r="K1086"/>
  <c r="L1086" s="1"/>
  <c r="T1086"/>
  <c r="B1086"/>
  <c r="K28"/>
  <c r="L28" s="1"/>
  <c r="T28"/>
  <c r="B28"/>
  <c r="K1335"/>
  <c r="L1335" s="1"/>
  <c r="T1335"/>
  <c r="B1335"/>
  <c r="K26"/>
  <c r="L26" s="1"/>
  <c r="T26"/>
  <c r="B26"/>
  <c r="K3"/>
  <c r="L3" s="1"/>
  <c r="B3"/>
  <c r="T3"/>
  <c r="K821"/>
  <c r="L821" s="1"/>
  <c r="T821"/>
  <c r="B821"/>
  <c r="K1279"/>
  <c r="L1279" s="1"/>
  <c r="T1279"/>
  <c r="B1279"/>
  <c r="K699"/>
  <c r="L699" s="1"/>
  <c r="T699"/>
  <c r="B699"/>
  <c r="K39"/>
  <c r="L39" s="1"/>
  <c r="T39"/>
  <c r="B39"/>
  <c r="K859"/>
  <c r="L859" s="1"/>
  <c r="T859"/>
  <c r="B859"/>
  <c r="K1233"/>
  <c r="L1233" s="1"/>
  <c r="T1233"/>
  <c r="B1233"/>
  <c r="K782"/>
  <c r="L782" s="1"/>
  <c r="T782"/>
  <c r="B782"/>
  <c r="K1083"/>
  <c r="L1083" s="1"/>
  <c r="T1083"/>
  <c r="B1083"/>
  <c r="K1175"/>
  <c r="L1175" s="1"/>
  <c r="T1175"/>
  <c r="B1175"/>
  <c r="K653"/>
  <c r="L653" s="1"/>
  <c r="T653"/>
  <c r="B653"/>
  <c r="K1172"/>
  <c r="L1172" s="1"/>
  <c r="T1172"/>
  <c r="B1172"/>
  <c r="K849"/>
  <c r="L849" s="1"/>
  <c r="T849"/>
  <c r="B849"/>
  <c r="K792"/>
  <c r="L792" s="1"/>
  <c r="T792"/>
  <c r="B792"/>
  <c r="K1093"/>
  <c r="L1093" s="1"/>
  <c r="T1093"/>
  <c r="B1093"/>
  <c r="K1164"/>
  <c r="L1164" s="1"/>
  <c r="T1164"/>
  <c r="B1164"/>
  <c r="K706"/>
  <c r="L706" s="1"/>
  <c r="T706"/>
  <c r="B706"/>
  <c r="K1031"/>
  <c r="L1031" s="1"/>
  <c r="T1031"/>
  <c r="B1031"/>
  <c r="K1114"/>
  <c r="L1114" s="1"/>
  <c r="T1114"/>
  <c r="B1114"/>
  <c r="K454"/>
  <c r="L454" s="1"/>
  <c r="T454"/>
  <c r="B454"/>
  <c r="K1280"/>
  <c r="L1280" s="1"/>
  <c r="B1280"/>
  <c r="T1280"/>
  <c r="K421"/>
  <c r="L421" s="1"/>
  <c r="T421"/>
  <c r="B421"/>
  <c r="K1034"/>
  <c r="L1034" s="1"/>
  <c r="T1034"/>
  <c r="B1034"/>
  <c r="K778"/>
  <c r="L778" s="1"/>
  <c r="T778"/>
  <c r="B778"/>
  <c r="K1219"/>
  <c r="L1219" s="1"/>
  <c r="T1219"/>
  <c r="B1219"/>
  <c r="K345"/>
  <c r="L345" s="1"/>
  <c r="T345"/>
  <c r="B345"/>
  <c r="K363"/>
  <c r="L363" s="1"/>
  <c r="T363"/>
  <c r="B363"/>
  <c r="K1123"/>
  <c r="L1123" s="1"/>
  <c r="T1123"/>
  <c r="B1123"/>
  <c r="K1234"/>
  <c r="L1234" s="1"/>
  <c r="B1234"/>
  <c r="T1234"/>
  <c r="K819"/>
  <c r="L819" s="1"/>
  <c r="T819"/>
  <c r="B819"/>
  <c r="K1154"/>
  <c r="L1154" s="1"/>
  <c r="T1154"/>
  <c r="B1154"/>
  <c r="K29"/>
  <c r="L29" s="1"/>
  <c r="T29"/>
  <c r="B29"/>
  <c r="K52"/>
  <c r="L52" s="1"/>
  <c r="T52"/>
  <c r="B52"/>
  <c r="K935"/>
  <c r="L935" s="1"/>
  <c r="T935"/>
  <c r="B935"/>
  <c r="K11"/>
  <c r="L11" s="1"/>
  <c r="T11"/>
  <c r="B11"/>
  <c r="K822"/>
  <c r="L822" s="1"/>
  <c r="T822"/>
  <c r="B822"/>
  <c r="K245"/>
  <c r="L245" s="1"/>
  <c r="T245"/>
  <c r="B245"/>
  <c r="K934"/>
  <c r="L934" s="1"/>
  <c r="T934"/>
  <c r="B934"/>
  <c r="K1319"/>
  <c r="L1319" s="1"/>
  <c r="T1319"/>
  <c r="B1319"/>
  <c r="K58"/>
  <c r="L58" s="1"/>
  <c r="T58"/>
  <c r="B58"/>
  <c r="K863"/>
  <c r="L863" s="1"/>
  <c r="T863"/>
  <c r="B863"/>
  <c r="K1235"/>
  <c r="L1235" s="1"/>
  <c r="T1235"/>
  <c r="B1235"/>
  <c r="K290"/>
  <c r="L290" s="1"/>
  <c r="T290"/>
  <c r="B290"/>
  <c r="K389"/>
  <c r="L389" s="1"/>
  <c r="T389"/>
  <c r="B389"/>
  <c r="K644"/>
  <c r="L644" s="1"/>
  <c r="T644"/>
  <c r="B644"/>
  <c r="K679"/>
  <c r="L679" s="1"/>
  <c r="T679"/>
  <c r="B679"/>
  <c r="K1009"/>
  <c r="L1009" s="1"/>
  <c r="T1009"/>
  <c r="B1009"/>
  <c r="K1032"/>
  <c r="L1032" s="1"/>
  <c r="T1032"/>
  <c r="B1032"/>
  <c r="K696"/>
  <c r="L696" s="1"/>
  <c r="T696"/>
  <c r="B696"/>
  <c r="K1025"/>
  <c r="L1025" s="1"/>
  <c r="T1025"/>
  <c r="B1025"/>
  <c r="K1105"/>
  <c r="L1105" s="1"/>
  <c r="T1105"/>
  <c r="B1105"/>
  <c r="K565"/>
  <c r="L565" s="1"/>
  <c r="T565"/>
  <c r="B565"/>
  <c r="K1088"/>
  <c r="L1088" s="1"/>
  <c r="T1088"/>
  <c r="B1088"/>
  <c r="K830"/>
  <c r="L830" s="1"/>
  <c r="T830"/>
  <c r="B830"/>
  <c r="K32"/>
  <c r="L32" s="1"/>
  <c r="T32"/>
  <c r="B32"/>
  <c r="K852"/>
  <c r="L852" s="1"/>
  <c r="T852"/>
  <c r="B852"/>
  <c r="K1216"/>
  <c r="L1216" s="1"/>
  <c r="T1216"/>
  <c r="B1216"/>
  <c r="K122"/>
  <c r="L122" s="1"/>
  <c r="T122"/>
  <c r="B122"/>
  <c r="K904"/>
  <c r="L904" s="1"/>
  <c r="T904"/>
  <c r="B904"/>
  <c r="K1250"/>
  <c r="L1250" s="1"/>
  <c r="B1250"/>
  <c r="T1250"/>
  <c r="K83"/>
  <c r="L83" s="1"/>
  <c r="T83"/>
  <c r="B83"/>
  <c r="K630"/>
  <c r="L630" s="1"/>
  <c r="T630"/>
  <c r="B630"/>
  <c r="K1306"/>
  <c r="L1306" s="1"/>
  <c r="B1306"/>
  <c r="T1306"/>
  <c r="K798"/>
  <c r="L798" s="1"/>
  <c r="T798"/>
  <c r="B798"/>
  <c r="K103"/>
  <c r="L103" s="1"/>
  <c r="T103"/>
  <c r="B103"/>
  <c r="K845"/>
  <c r="L845" s="1"/>
  <c r="T845"/>
  <c r="B845"/>
  <c r="K163"/>
  <c r="L163" s="1"/>
  <c r="T163"/>
  <c r="B163"/>
  <c r="K405"/>
  <c r="L405" s="1"/>
  <c r="T405"/>
  <c r="B405"/>
  <c r="K1248"/>
  <c r="L1248" s="1"/>
  <c r="B1248"/>
  <c r="T1248"/>
  <c r="K14"/>
  <c r="L14" s="1"/>
  <c r="T14"/>
  <c r="B14"/>
  <c r="K835"/>
  <c r="L835" s="1"/>
  <c r="T835"/>
  <c r="B835"/>
  <c r="K1185"/>
  <c r="L1185" s="1"/>
  <c r="T1185"/>
  <c r="B1185"/>
  <c r="K324"/>
  <c r="L324" s="1"/>
  <c r="T324"/>
  <c r="B324"/>
  <c r="K814"/>
  <c r="L814" s="1"/>
  <c r="T814"/>
  <c r="B814"/>
  <c r="K35"/>
  <c r="L35" s="1"/>
  <c r="T35"/>
  <c r="B35"/>
  <c r="K645"/>
  <c r="L645" s="1"/>
  <c r="T645"/>
  <c r="B645"/>
  <c r="K385"/>
  <c r="L385" s="1"/>
  <c r="T385"/>
  <c r="B385"/>
  <c r="K975"/>
  <c r="L975" s="1"/>
  <c r="T975"/>
  <c r="B975"/>
  <c r="K937"/>
  <c r="L937" s="1"/>
  <c r="T937"/>
  <c r="B937"/>
  <c r="K799"/>
  <c r="L799" s="1"/>
  <c r="T799"/>
  <c r="B799"/>
  <c r="K1110"/>
  <c r="L1110" s="1"/>
  <c r="T1110"/>
  <c r="B1110"/>
  <c r="K1249"/>
  <c r="L1249" s="1"/>
  <c r="T1249"/>
  <c r="B1249"/>
  <c r="K921"/>
  <c r="L921" s="1"/>
  <c r="T921"/>
  <c r="B921"/>
  <c r="K1277"/>
  <c r="L1277" s="1"/>
  <c r="T1277"/>
  <c r="B1277"/>
  <c r="K221"/>
  <c r="L221" s="1"/>
  <c r="T221"/>
  <c r="B221"/>
  <c r="K441"/>
  <c r="L441" s="1"/>
  <c r="T441"/>
  <c r="B441"/>
  <c r="K549"/>
  <c r="L549" s="1"/>
  <c r="T549"/>
  <c r="B549"/>
  <c r="K769"/>
  <c r="L769" s="1"/>
  <c r="T769"/>
  <c r="B769"/>
  <c r="K1055"/>
  <c r="L1055" s="1"/>
  <c r="T1055"/>
  <c r="B1055"/>
  <c r="K57"/>
  <c r="L57" s="1"/>
  <c r="T57"/>
  <c r="B57"/>
  <c r="K97"/>
  <c r="L97" s="1"/>
  <c r="T97"/>
  <c r="B97"/>
  <c r="K149"/>
  <c r="L149" s="1"/>
  <c r="T149"/>
  <c r="B149"/>
  <c r="K457"/>
  <c r="L457" s="1"/>
  <c r="T457"/>
  <c r="B457"/>
  <c r="K483"/>
  <c r="L483" s="1"/>
  <c r="T483"/>
  <c r="B483"/>
  <c r="K705"/>
  <c r="L705" s="1"/>
  <c r="T705"/>
  <c r="B705"/>
  <c r="K913"/>
  <c r="L913" s="1"/>
  <c r="T913"/>
  <c r="B913"/>
  <c r="K1063"/>
  <c r="L1063" s="1"/>
  <c r="T1063"/>
  <c r="B1063"/>
  <c r="K100"/>
  <c r="L100" s="1"/>
  <c r="T100"/>
  <c r="B100"/>
  <c r="K215"/>
  <c r="L215" s="1"/>
  <c r="T215"/>
  <c r="B215"/>
  <c r="K419"/>
  <c r="L419" s="1"/>
  <c r="T419"/>
  <c r="B419"/>
  <c r="K539"/>
  <c r="L539" s="1"/>
  <c r="T539"/>
  <c r="B539"/>
  <c r="K951"/>
  <c r="L951" s="1"/>
  <c r="T951"/>
  <c r="B951"/>
  <c r="K957"/>
  <c r="L957" s="1"/>
  <c r="T957"/>
  <c r="B957"/>
  <c r="K302"/>
  <c r="L302" s="1"/>
  <c r="T302"/>
  <c r="B302"/>
  <c r="K173"/>
  <c r="L173" s="1"/>
  <c r="T173"/>
  <c r="B173"/>
  <c r="K187"/>
  <c r="L187" s="1"/>
  <c r="T187"/>
  <c r="B187"/>
  <c r="K211"/>
  <c r="L211" s="1"/>
  <c r="T211"/>
  <c r="B211"/>
  <c r="K239"/>
  <c r="L239" s="1"/>
  <c r="T239"/>
  <c r="B239"/>
  <c r="K848"/>
  <c r="L848" s="1"/>
  <c r="T848"/>
  <c r="B848"/>
  <c r="K900"/>
  <c r="L900" s="1"/>
  <c r="T900"/>
  <c r="B900"/>
  <c r="K903"/>
  <c r="L903" s="1"/>
  <c r="T903"/>
  <c r="B903"/>
  <c r="K827"/>
  <c r="L827" s="1"/>
  <c r="T827"/>
  <c r="B827"/>
  <c r="K206"/>
  <c r="L206" s="1"/>
  <c r="T206"/>
  <c r="B206"/>
  <c r="K240"/>
  <c r="L240" s="1"/>
  <c r="T240"/>
  <c r="B240"/>
  <c r="K71"/>
  <c r="L71" s="1"/>
  <c r="T71"/>
  <c r="B71"/>
  <c r="K648"/>
  <c r="L648" s="1"/>
  <c r="T648"/>
  <c r="B648"/>
  <c r="K999"/>
  <c r="L999" s="1"/>
  <c r="T999"/>
  <c r="B999"/>
  <c r="K948"/>
  <c r="L948" s="1"/>
  <c r="T948"/>
  <c r="B948"/>
  <c r="K641"/>
  <c r="L641" s="1"/>
  <c r="T641"/>
  <c r="B641"/>
  <c r="K977"/>
  <c r="L977" s="1"/>
  <c r="T977"/>
  <c r="B977"/>
  <c r="K1026"/>
  <c r="L1026" s="1"/>
  <c r="T1026"/>
  <c r="B1026"/>
  <c r="K230"/>
  <c r="L230" s="1"/>
  <c r="T230"/>
  <c r="B230"/>
  <c r="K802"/>
  <c r="L802" s="1"/>
  <c r="T802"/>
  <c r="B802"/>
  <c r="K107"/>
  <c r="L107" s="1"/>
  <c r="T107"/>
  <c r="B107"/>
  <c r="K812"/>
  <c r="L812" s="1"/>
  <c r="T812"/>
  <c r="B812"/>
  <c r="K833"/>
  <c r="L833" s="1"/>
  <c r="T833"/>
  <c r="B833"/>
  <c r="K1180"/>
  <c r="L1180" s="1"/>
  <c r="T1180"/>
  <c r="B1180"/>
  <c r="K813"/>
  <c r="L813" s="1"/>
  <c r="T813"/>
  <c r="B813"/>
  <c r="K1150"/>
  <c r="L1150" s="1"/>
  <c r="T1150"/>
  <c r="B1150"/>
  <c r="K1337"/>
  <c r="L1337" s="1"/>
  <c r="T1337"/>
  <c r="B1337"/>
  <c r="K77"/>
  <c r="L77" s="1"/>
  <c r="T77"/>
  <c r="B77"/>
  <c r="K624"/>
  <c r="L624" s="1"/>
  <c r="T624"/>
  <c r="B624"/>
  <c r="K1304"/>
  <c r="L1304" s="1"/>
  <c r="B1304"/>
  <c r="T1304"/>
  <c r="K700"/>
  <c r="L700" s="1"/>
  <c r="T700"/>
  <c r="B700"/>
  <c r="K1273"/>
  <c r="L1273" s="1"/>
  <c r="T1273"/>
  <c r="B1273"/>
  <c r="K826"/>
  <c r="L826" s="1"/>
  <c r="T826"/>
  <c r="B826"/>
  <c r="K153"/>
  <c r="L153" s="1"/>
  <c r="T153"/>
  <c r="B153"/>
  <c r="K275"/>
  <c r="L275" s="1"/>
  <c r="T275"/>
  <c r="B275"/>
  <c r="K445"/>
  <c r="L445" s="1"/>
  <c r="T445"/>
  <c r="B445"/>
  <c r="K1082"/>
  <c r="L1082" s="1"/>
  <c r="T1082"/>
  <c r="B1082"/>
  <c r="K198"/>
  <c r="L198" s="1"/>
  <c r="T198"/>
  <c r="B198"/>
  <c r="K49"/>
  <c r="L49" s="1"/>
  <c r="T49"/>
  <c r="B49"/>
  <c r="K856"/>
  <c r="L856" s="1"/>
  <c r="T856"/>
  <c r="B856"/>
  <c r="K1218"/>
  <c r="L1218" s="1"/>
  <c r="T1218"/>
  <c r="B1218"/>
  <c r="K10"/>
  <c r="L10" s="1"/>
  <c r="T10"/>
  <c r="B10"/>
  <c r="K834"/>
  <c r="L834" s="1"/>
  <c r="T834"/>
  <c r="B834"/>
  <c r="K53"/>
  <c r="L53" s="1"/>
  <c r="T53"/>
  <c r="B53"/>
  <c r="K879"/>
  <c r="L879" s="1"/>
  <c r="T879"/>
  <c r="B879"/>
  <c r="K693"/>
  <c r="L693" s="1"/>
  <c r="T693"/>
  <c r="B693"/>
  <c r="K1020"/>
  <c r="L1020" s="1"/>
  <c r="T1020"/>
  <c r="B1020"/>
  <c r="K1056"/>
  <c r="L1056" s="1"/>
  <c r="T1056"/>
  <c r="B1056"/>
  <c r="K823"/>
  <c r="L823" s="1"/>
  <c r="T823"/>
  <c r="B823"/>
  <c r="K1158"/>
  <c r="L1158" s="1"/>
  <c r="T1158"/>
  <c r="B1158"/>
  <c r="K278"/>
  <c r="L278" s="1"/>
  <c r="T278"/>
  <c r="B278"/>
  <c r="K269"/>
  <c r="L269" s="1"/>
  <c r="T269"/>
  <c r="B269"/>
  <c r="K829"/>
  <c r="L829" s="1"/>
  <c r="T829"/>
  <c r="B829"/>
  <c r="K116"/>
  <c r="L116" s="1"/>
  <c r="T116"/>
  <c r="B116"/>
  <c r="K922"/>
  <c r="L922" s="1"/>
  <c r="T922"/>
  <c r="B922"/>
  <c r="K1258"/>
  <c r="L1258" s="1"/>
  <c r="B1258"/>
  <c r="T1258"/>
  <c r="K805"/>
  <c r="L805" s="1"/>
  <c r="T805"/>
  <c r="B805"/>
  <c r="K1121"/>
  <c r="L1121" s="1"/>
  <c r="T1121"/>
  <c r="B1121"/>
  <c r="K1265"/>
  <c r="L1265" s="1"/>
  <c r="T1265"/>
  <c r="B1265"/>
  <c r="K7"/>
  <c r="L7" s="1"/>
  <c r="T7"/>
  <c r="B7"/>
  <c r="K719"/>
  <c r="L719" s="1"/>
  <c r="T719"/>
  <c r="B719"/>
  <c r="K1299"/>
  <c r="L1299" s="1"/>
  <c r="T1299"/>
  <c r="B1299"/>
  <c r="K925"/>
  <c r="L925" s="1"/>
  <c r="T925"/>
  <c r="B925"/>
  <c r="K303"/>
  <c r="L303" s="1"/>
  <c r="T303"/>
  <c r="B303"/>
  <c r="K944"/>
  <c r="L944" s="1"/>
  <c r="T944"/>
  <c r="B944"/>
  <c r="K853"/>
  <c r="L853" s="1"/>
  <c r="T853"/>
  <c r="B853"/>
  <c r="K5"/>
  <c r="L5" s="1"/>
  <c r="T5"/>
  <c r="B5"/>
  <c r="K831"/>
  <c r="L831" s="1"/>
  <c r="T831"/>
  <c r="B831"/>
  <c r="K1178"/>
  <c r="L1178" s="1"/>
  <c r="T1178"/>
  <c r="B1178"/>
  <c r="K364"/>
  <c r="L364" s="1"/>
  <c r="T364"/>
  <c r="B364"/>
  <c r="K1264"/>
  <c r="L1264" s="1"/>
  <c r="B1264"/>
  <c r="T1264"/>
  <c r="K15"/>
  <c r="L15" s="1"/>
  <c r="T15"/>
  <c r="B15"/>
  <c r="K839"/>
  <c r="L839" s="1"/>
  <c r="T839"/>
  <c r="B839"/>
  <c r="K43"/>
  <c r="L43" s="1"/>
  <c r="T43"/>
  <c r="B43"/>
  <c r="K981"/>
  <c r="L981" s="1"/>
  <c r="T981"/>
  <c r="B981"/>
  <c r="K225"/>
  <c r="L225" s="1"/>
  <c r="T225"/>
  <c r="B225"/>
  <c r="K395"/>
  <c r="L395" s="1"/>
  <c r="T395"/>
  <c r="B395"/>
  <c r="K1176"/>
  <c r="L1176" s="1"/>
  <c r="T1176"/>
  <c r="B1176"/>
  <c r="K795"/>
  <c r="L795" s="1"/>
  <c r="T795"/>
  <c r="B795"/>
  <c r="K1101"/>
  <c r="L1101" s="1"/>
  <c r="T1101"/>
  <c r="B1101"/>
  <c r="K1230"/>
  <c r="L1230" s="1"/>
  <c r="B1230"/>
  <c r="T1230"/>
  <c r="K684"/>
  <c r="L684" s="1"/>
  <c r="T684"/>
  <c r="B684"/>
  <c r="K1236"/>
  <c r="L1236" s="1"/>
  <c r="B1236"/>
  <c r="T1236"/>
  <c r="K800"/>
  <c r="L800" s="1"/>
  <c r="T800"/>
  <c r="B800"/>
  <c r="K44"/>
  <c r="L44" s="1"/>
  <c r="T44"/>
  <c r="B44"/>
  <c r="K865"/>
  <c r="L865" s="1"/>
  <c r="T865"/>
  <c r="B865"/>
  <c r="K1237"/>
  <c r="L1237" s="1"/>
  <c r="T1237"/>
  <c r="B1237"/>
  <c r="K24"/>
  <c r="L24" s="1"/>
  <c r="T24"/>
  <c r="B24"/>
  <c r="K840"/>
  <c r="L840" s="1"/>
  <c r="T840"/>
  <c r="B840"/>
  <c r="K1198"/>
  <c r="L1198" s="1"/>
  <c r="T1198"/>
  <c r="B1198"/>
  <c r="K780"/>
  <c r="L780" s="1"/>
  <c r="T780"/>
  <c r="B780"/>
  <c r="K939"/>
  <c r="L939" s="1"/>
  <c r="T939"/>
  <c r="B939"/>
  <c r="K54"/>
  <c r="L54" s="1"/>
  <c r="T54"/>
  <c r="B54"/>
  <c r="K1156"/>
  <c r="L1156" s="1"/>
  <c r="T1156"/>
  <c r="B1156"/>
  <c r="K546"/>
  <c r="L546" s="1"/>
  <c r="T546"/>
  <c r="B546"/>
  <c r="K1028"/>
  <c r="L1028" s="1"/>
  <c r="T1028"/>
  <c r="B1028"/>
  <c r="K786"/>
  <c r="L786" s="1"/>
  <c r="T786"/>
  <c r="B786"/>
  <c r="K767"/>
  <c r="L767" s="1"/>
  <c r="T767"/>
  <c r="B767"/>
  <c r="K1057"/>
  <c r="L1057" s="1"/>
  <c r="T1057"/>
  <c r="B1057"/>
  <c r="K1109"/>
  <c r="L1109" s="1"/>
  <c r="T1109"/>
  <c r="B1109"/>
  <c r="K72"/>
  <c r="L72" s="1"/>
  <c r="T72"/>
  <c r="B72"/>
  <c r="K869"/>
  <c r="L869" s="1"/>
  <c r="T869"/>
  <c r="B869"/>
  <c r="K1239"/>
  <c r="L1239" s="1"/>
  <c r="T1239"/>
  <c r="B1239"/>
  <c r="K22"/>
  <c r="L22" s="1"/>
  <c r="T22"/>
  <c r="B22"/>
  <c r="K843"/>
  <c r="L843" s="1"/>
  <c r="T843"/>
  <c r="B843"/>
  <c r="K680"/>
  <c r="L680" s="1"/>
  <c r="T680"/>
  <c r="B680"/>
  <c r="K64"/>
  <c r="L64" s="1"/>
  <c r="T64"/>
  <c r="B64"/>
  <c r="K906"/>
  <c r="L906" s="1"/>
  <c r="T906"/>
  <c r="B906"/>
  <c r="K1252"/>
  <c r="L1252" s="1"/>
  <c r="B1252"/>
  <c r="T1252"/>
  <c r="K42"/>
  <c r="L42" s="1"/>
  <c r="T42"/>
  <c r="B42"/>
  <c r="K850"/>
  <c r="L850" s="1"/>
  <c r="T850"/>
  <c r="B850"/>
  <c r="K1214"/>
  <c r="L1214" s="1"/>
  <c r="T1214"/>
  <c r="B1214"/>
  <c r="K203"/>
  <c r="L203" s="1"/>
  <c r="T203"/>
  <c r="B203"/>
  <c r="K1260"/>
  <c r="L1260" s="1"/>
  <c r="B1260"/>
  <c r="T1260"/>
  <c r="K1308"/>
  <c r="L1308" s="1"/>
  <c r="B1308"/>
  <c r="T1308"/>
  <c r="K818"/>
  <c r="L818" s="1"/>
  <c r="T818"/>
  <c r="B818"/>
  <c r="K25"/>
  <c r="L25" s="1"/>
  <c r="T25"/>
  <c r="B25"/>
  <c r="K916"/>
  <c r="L916" s="1"/>
  <c r="T916"/>
  <c r="B916"/>
  <c r="K171"/>
  <c r="L171" s="1"/>
  <c r="T171"/>
  <c r="B171"/>
  <c r="K349"/>
  <c r="L349" s="1"/>
  <c r="T349"/>
  <c r="B349"/>
  <c r="K365"/>
  <c r="L365" s="1"/>
  <c r="T365"/>
  <c r="B365"/>
  <c r="K1329"/>
  <c r="L1329" s="1"/>
  <c r="T1329"/>
  <c r="B1329"/>
  <c r="K361"/>
  <c r="L361" s="1"/>
  <c r="T361"/>
  <c r="B361"/>
  <c r="K946"/>
  <c r="L946" s="1"/>
  <c r="T946"/>
  <c r="B946"/>
  <c r="K941"/>
  <c r="L941" s="1"/>
  <c r="T941"/>
  <c r="B941"/>
  <c r="K794"/>
  <c r="L794" s="1"/>
  <c r="T794"/>
  <c r="B794"/>
  <c r="K571"/>
  <c r="L571" s="1"/>
  <c r="T571"/>
  <c r="B571"/>
  <c r="K1044"/>
  <c r="L1044" s="1"/>
  <c r="T1044"/>
  <c r="B1044"/>
  <c r="K801"/>
  <c r="L801" s="1"/>
  <c r="T801"/>
  <c r="B801"/>
  <c r="K1119"/>
  <c r="L1119" s="1"/>
  <c r="T1119"/>
  <c r="B1119"/>
  <c r="K1213"/>
  <c r="L1213" s="1"/>
  <c r="T1213"/>
  <c r="B1213"/>
  <c r="K773"/>
  <c r="L773" s="1"/>
  <c r="T773"/>
  <c r="B773"/>
  <c r="K1068"/>
  <c r="L1068" s="1"/>
  <c r="T1068"/>
  <c r="B1068"/>
  <c r="K1159"/>
  <c r="L1159" s="1"/>
  <c r="T1159"/>
  <c r="B1159"/>
  <c r="K242"/>
  <c r="L242" s="1"/>
  <c r="T242"/>
  <c r="B242"/>
  <c r="K807"/>
  <c r="L807" s="1"/>
  <c r="T807"/>
  <c r="B807"/>
  <c r="K67"/>
  <c r="L67" s="1"/>
  <c r="T67"/>
  <c r="B67"/>
  <c r="K983"/>
  <c r="L983" s="1"/>
  <c r="T983"/>
  <c r="B983"/>
  <c r="K838"/>
  <c r="L838" s="1"/>
  <c r="T838"/>
  <c r="B838"/>
  <c r="K1188"/>
  <c r="L1188" s="1"/>
  <c r="T1188"/>
  <c r="B1188"/>
  <c r="K34"/>
  <c r="L34" s="1"/>
  <c r="T34"/>
  <c r="B34"/>
  <c r="K846"/>
  <c r="L846" s="1"/>
  <c r="T846"/>
  <c r="B846"/>
  <c r="K1206"/>
  <c r="L1206" s="1"/>
  <c r="T1206"/>
  <c r="B1206"/>
  <c r="K1336"/>
  <c r="L1336" s="1"/>
  <c r="B1336"/>
  <c r="T1336"/>
  <c r="K824"/>
  <c r="L824" s="1"/>
  <c r="T824"/>
  <c r="B824"/>
  <c r="K617"/>
  <c r="L617" s="1"/>
  <c r="T617"/>
  <c r="B617"/>
  <c r="K1120"/>
  <c r="L1120" s="1"/>
  <c r="T1120"/>
  <c r="B1120"/>
  <c r="K711"/>
  <c r="L711" s="1"/>
  <c r="T711"/>
  <c r="B711"/>
  <c r="K1033"/>
  <c r="L1033" s="1"/>
  <c r="T1033"/>
  <c r="B1033"/>
  <c r="K1094"/>
  <c r="L1094" s="1"/>
  <c r="T1094"/>
  <c r="B1094"/>
  <c r="K790"/>
  <c r="L790" s="1"/>
  <c r="T790"/>
  <c r="B790"/>
  <c r="K1089"/>
  <c r="L1089" s="1"/>
  <c r="T1089"/>
  <c r="B1089"/>
  <c r="K1209"/>
  <c r="L1209" s="1"/>
  <c r="T1209"/>
  <c r="B1209"/>
  <c r="K412"/>
  <c r="L412" s="1"/>
  <c r="T412"/>
  <c r="B412"/>
  <c r="K1278"/>
  <c r="L1278" s="1"/>
  <c r="B1278"/>
  <c r="T1278"/>
  <c r="K74"/>
  <c r="L74" s="1"/>
  <c r="T74"/>
  <c r="B74"/>
  <c r="K943"/>
  <c r="L943" s="1"/>
  <c r="T943"/>
  <c r="B943"/>
  <c r="K674"/>
  <c r="L674" s="1"/>
  <c r="T674"/>
  <c r="B674"/>
  <c r="K1177"/>
  <c r="L1177" s="1"/>
  <c r="T1177"/>
  <c r="B1177"/>
  <c r="K333"/>
  <c r="L333" s="1"/>
  <c r="T333"/>
  <c r="B333"/>
  <c r="K1087"/>
  <c r="L1087" s="1"/>
  <c r="T1087"/>
  <c r="B1087"/>
  <c r="K1151"/>
  <c r="L1151" s="1"/>
  <c r="T1151"/>
  <c r="B1151"/>
  <c r="K670"/>
  <c r="L670" s="1"/>
  <c r="T670"/>
  <c r="B670"/>
  <c r="K1005"/>
  <c r="L1005" s="1"/>
  <c r="T1005"/>
  <c r="B1005"/>
  <c r="K1069"/>
  <c r="L1069" s="1"/>
  <c r="T1069"/>
  <c r="B1069"/>
  <c r="K341"/>
  <c r="L341" s="1"/>
  <c r="T341"/>
  <c r="B341"/>
  <c r="K997"/>
  <c r="L997" s="1"/>
  <c r="T997"/>
  <c r="B997"/>
  <c r="K45"/>
  <c r="L45" s="1"/>
  <c r="T45"/>
  <c r="B45"/>
  <c r="K841"/>
  <c r="L841" s="1"/>
  <c r="T841"/>
  <c r="B841"/>
  <c r="K825"/>
  <c r="L825" s="1"/>
  <c r="T825"/>
  <c r="B825"/>
  <c r="K1165"/>
  <c r="L1165" s="1"/>
  <c r="T1165"/>
  <c r="B1165"/>
  <c r="K293"/>
  <c r="L293" s="1"/>
  <c r="T293"/>
  <c r="B293"/>
  <c r="K924"/>
  <c r="L924" s="1"/>
  <c r="T924"/>
  <c r="B924"/>
  <c r="K1327"/>
  <c r="L1327" s="1"/>
  <c r="T1327"/>
  <c r="B1327"/>
  <c r="K993"/>
  <c r="L993" s="1"/>
  <c r="T993"/>
  <c r="B993"/>
  <c r="K965"/>
  <c r="L965" s="1"/>
  <c r="T965"/>
  <c r="B965"/>
  <c r="K759"/>
  <c r="L759" s="1"/>
  <c r="T759"/>
  <c r="B759"/>
  <c r="K130"/>
  <c r="L130" s="1"/>
  <c r="T130"/>
  <c r="B130"/>
  <c r="K148"/>
  <c r="L148" s="1"/>
  <c r="T148"/>
  <c r="B148"/>
  <c r="K511"/>
  <c r="L511" s="1"/>
  <c r="T511"/>
  <c r="B511"/>
  <c r="K671"/>
  <c r="L671" s="1"/>
  <c r="T671"/>
  <c r="B671"/>
  <c r="K1015"/>
  <c r="L1015" s="1"/>
  <c r="T1015"/>
  <c r="B1015"/>
  <c r="K69"/>
  <c r="L69" s="1"/>
  <c r="T69"/>
  <c r="B69"/>
  <c r="K125"/>
  <c r="L125" s="1"/>
  <c r="T125"/>
  <c r="B125"/>
  <c r="K259"/>
  <c r="L259" s="1"/>
  <c r="T259"/>
  <c r="B259"/>
  <c r="K455"/>
  <c r="L455" s="1"/>
  <c r="T455"/>
  <c r="B455"/>
  <c r="K489"/>
  <c r="L489" s="1"/>
  <c r="T489"/>
  <c r="B489"/>
  <c r="K747"/>
  <c r="L747" s="1"/>
  <c r="T747"/>
  <c r="B747"/>
  <c r="K621"/>
  <c r="L621" s="1"/>
  <c r="T621"/>
  <c r="B621"/>
  <c r="K713"/>
  <c r="L713" s="1"/>
  <c r="T713"/>
  <c r="B713"/>
  <c r="K1251"/>
  <c r="L1251" s="1"/>
  <c r="T1251"/>
  <c r="B1251"/>
  <c r="K277"/>
  <c r="L277" s="1"/>
  <c r="T277"/>
  <c r="B277"/>
  <c r="K439"/>
  <c r="L439" s="1"/>
  <c r="T439"/>
  <c r="B439"/>
  <c r="K551"/>
  <c r="L551" s="1"/>
  <c r="T551"/>
  <c r="B551"/>
  <c r="K1011"/>
  <c r="L1011" s="1"/>
  <c r="T1011"/>
  <c r="B1011"/>
  <c r="K1318"/>
  <c r="L1318" s="1"/>
  <c r="B1318"/>
  <c r="T1318"/>
  <c r="K735"/>
  <c r="L735" s="1"/>
  <c r="T735"/>
  <c r="B735"/>
  <c r="K676"/>
  <c r="L676" s="1"/>
  <c r="T676"/>
  <c r="B676"/>
  <c r="K1217"/>
  <c r="L1217" s="1"/>
  <c r="T1217"/>
  <c r="B1217"/>
  <c r="K855"/>
  <c r="L855" s="1"/>
  <c r="T855"/>
  <c r="B855"/>
  <c r="K115"/>
  <c r="L115" s="1"/>
  <c r="T115"/>
  <c r="B115"/>
  <c r="K337"/>
  <c r="L337" s="1"/>
  <c r="T337"/>
  <c r="B337"/>
  <c r="K437"/>
  <c r="L437" s="1"/>
  <c r="T437"/>
  <c r="B437"/>
  <c r="K541"/>
  <c r="L541" s="1"/>
  <c r="T541"/>
  <c r="B541"/>
  <c r="K741"/>
  <c r="L741" s="1"/>
  <c r="T741"/>
  <c r="B741"/>
  <c r="K19"/>
  <c r="L19" s="1"/>
  <c r="T19"/>
  <c r="B19"/>
  <c r="K73"/>
  <c r="L73" s="1"/>
  <c r="T73"/>
  <c r="B73"/>
  <c r="K127"/>
  <c r="L127" s="1"/>
  <c r="T127"/>
  <c r="B127"/>
  <c r="K261"/>
  <c r="L261" s="1"/>
  <c r="T261"/>
  <c r="B261"/>
  <c r="K477"/>
  <c r="L477" s="1"/>
  <c r="T477"/>
  <c r="B477"/>
  <c r="K607"/>
  <c r="L607" s="1"/>
  <c r="T607"/>
  <c r="B607"/>
  <c r="K955"/>
  <c r="L955" s="1"/>
  <c r="T955"/>
  <c r="B955"/>
  <c r="K883"/>
  <c r="L883" s="1"/>
  <c r="T883"/>
  <c r="B883"/>
  <c r="K1307"/>
  <c r="L1307" s="1"/>
  <c r="T1307"/>
  <c r="B1307"/>
  <c r="K169"/>
  <c r="L169" s="1"/>
  <c r="T169"/>
  <c r="B169"/>
  <c r="K331"/>
  <c r="L331" s="1"/>
  <c r="T331"/>
  <c r="B331"/>
  <c r="K497"/>
  <c r="L497" s="1"/>
  <c r="T497"/>
  <c r="B497"/>
  <c r="K657"/>
  <c r="L657" s="1"/>
  <c r="T657"/>
  <c r="B657"/>
  <c r="K815"/>
  <c r="L815" s="1"/>
  <c r="T815"/>
  <c r="B815"/>
  <c r="K292"/>
  <c r="L292" s="1"/>
  <c r="T292"/>
  <c r="B292"/>
  <c r="K109"/>
  <c r="L109" s="1"/>
  <c r="T109"/>
  <c r="B109"/>
  <c r="K185"/>
  <c r="L185" s="1"/>
  <c r="T185"/>
  <c r="B185"/>
  <c r="K201"/>
  <c r="L201" s="1"/>
  <c r="T201"/>
  <c r="B201"/>
  <c r="K237"/>
  <c r="L237" s="1"/>
  <c r="T237"/>
  <c r="B237"/>
  <c r="K765"/>
  <c r="L765" s="1"/>
  <c r="T765"/>
  <c r="B765"/>
  <c r="K1017"/>
  <c r="L1017" s="1"/>
  <c r="T1017"/>
  <c r="B1017"/>
  <c r="K979"/>
  <c r="L979" s="1"/>
  <c r="T979"/>
  <c r="B979"/>
  <c r="K809"/>
  <c r="L809" s="1"/>
  <c r="T809"/>
  <c r="B809"/>
  <c r="K356"/>
  <c r="L356" s="1"/>
  <c r="T356"/>
  <c r="B356"/>
  <c r="K196"/>
  <c r="L196" s="1"/>
  <c r="T196"/>
  <c r="B196"/>
  <c r="K535"/>
  <c r="L535" s="1"/>
  <c r="T535"/>
  <c r="B535"/>
  <c r="K715"/>
  <c r="L715" s="1"/>
  <c r="T715"/>
  <c r="B715"/>
  <c r="K919"/>
  <c r="L919" s="1"/>
  <c r="T919"/>
  <c r="B919"/>
  <c r="K586"/>
  <c r="L586" s="1"/>
  <c r="T586"/>
  <c r="B586"/>
  <c r="K87"/>
  <c r="L87" s="1"/>
  <c r="T87"/>
  <c r="B87"/>
  <c r="K137"/>
  <c r="L137" s="1"/>
  <c r="T137"/>
  <c r="B137"/>
  <c r="K383"/>
  <c r="L383" s="1"/>
  <c r="T383"/>
  <c r="B383"/>
  <c r="K475"/>
  <c r="L475" s="1"/>
  <c r="T475"/>
  <c r="B475"/>
  <c r="K605"/>
  <c r="L605" s="1"/>
  <c r="T605"/>
  <c r="B605"/>
  <c r="K731"/>
  <c r="L731" s="1"/>
  <c r="T731"/>
  <c r="B731"/>
  <c r="K615"/>
  <c r="L615" s="1"/>
  <c r="T615"/>
  <c r="B615"/>
  <c r="K909"/>
  <c r="L909" s="1"/>
  <c r="T909"/>
  <c r="B909"/>
  <c r="K41"/>
  <c r="L41" s="1"/>
  <c r="T41"/>
  <c r="B41"/>
  <c r="K213"/>
  <c r="L213" s="1"/>
  <c r="T213"/>
  <c r="B213"/>
  <c r="K407"/>
  <c r="L407" s="1"/>
  <c r="T407"/>
  <c r="B407"/>
  <c r="K525"/>
  <c r="L525" s="1"/>
  <c r="T525"/>
  <c r="B525"/>
  <c r="K775"/>
  <c r="L775" s="1"/>
  <c r="T775"/>
  <c r="B775"/>
  <c r="K375"/>
  <c r="L375" s="1"/>
  <c r="T375"/>
  <c r="B375"/>
  <c r="K279"/>
  <c r="L279" s="1"/>
  <c r="T279"/>
  <c r="B279"/>
  <c r="K283"/>
  <c r="L283" s="1"/>
  <c r="T283"/>
  <c r="B283"/>
  <c r="K287"/>
  <c r="L287" s="1"/>
  <c r="T287"/>
  <c r="B287"/>
  <c r="K291"/>
  <c r="L291" s="1"/>
  <c r="T291"/>
  <c r="B291"/>
  <c r="K297"/>
  <c r="L297" s="1"/>
  <c r="T297"/>
  <c r="B297"/>
  <c r="K313"/>
  <c r="L313" s="1"/>
  <c r="T313"/>
  <c r="B313"/>
  <c r="K317"/>
  <c r="L317" s="1"/>
  <c r="T317"/>
  <c r="B317"/>
  <c r="K321"/>
  <c r="L321" s="1"/>
  <c r="T321"/>
  <c r="B321"/>
  <c r="K325"/>
  <c r="L325" s="1"/>
  <c r="T325"/>
  <c r="B325"/>
  <c r="K351"/>
  <c r="L351" s="1"/>
  <c r="T351"/>
  <c r="B351"/>
  <c r="K355"/>
  <c r="L355" s="1"/>
  <c r="T355"/>
  <c r="B355"/>
  <c r="K359"/>
  <c r="L359" s="1"/>
  <c r="T359"/>
  <c r="B359"/>
  <c r="K555"/>
  <c r="L555" s="1"/>
  <c r="T555"/>
  <c r="B555"/>
  <c r="K559"/>
  <c r="L559" s="1"/>
  <c r="T559"/>
  <c r="B559"/>
  <c r="K563"/>
  <c r="L563" s="1"/>
  <c r="T563"/>
  <c r="B563"/>
  <c r="K569"/>
  <c r="L569" s="1"/>
  <c r="T569"/>
  <c r="B569"/>
  <c r="K1328"/>
  <c r="L1328" s="1"/>
  <c r="B1328"/>
  <c r="T1328"/>
  <c r="K579"/>
  <c r="L579" s="1"/>
  <c r="T579"/>
  <c r="B579"/>
  <c r="K1111"/>
  <c r="L1111" s="1"/>
  <c r="T1111"/>
  <c r="B1111"/>
  <c r="K837"/>
  <c r="L837" s="1"/>
  <c r="T837"/>
  <c r="B837"/>
  <c r="K159"/>
  <c r="L159" s="1"/>
  <c r="T159"/>
  <c r="B159"/>
  <c r="K301"/>
  <c r="L301" s="1"/>
  <c r="T301"/>
  <c r="B301"/>
  <c r="K427"/>
  <c r="L427" s="1"/>
  <c r="T427"/>
  <c r="B427"/>
  <c r="K433"/>
  <c r="L433" s="1"/>
  <c r="T433"/>
  <c r="B433"/>
  <c r="K697"/>
  <c r="L697" s="1"/>
  <c r="T697"/>
  <c r="B697"/>
  <c r="K995"/>
  <c r="L995" s="1"/>
  <c r="T995"/>
  <c r="B995"/>
  <c r="K614"/>
  <c r="L614" s="1"/>
  <c r="T614"/>
  <c r="B614"/>
  <c r="K89"/>
  <c r="L89" s="1"/>
  <c r="T89"/>
  <c r="B89"/>
  <c r="K139"/>
  <c r="L139" s="1"/>
  <c r="T139"/>
  <c r="B139"/>
  <c r="K429"/>
  <c r="L429" s="1"/>
  <c r="T429"/>
  <c r="B429"/>
  <c r="K473"/>
  <c r="L473" s="1"/>
  <c r="T473"/>
  <c r="B473"/>
  <c r="K647"/>
  <c r="L647" s="1"/>
  <c r="T647"/>
  <c r="B647"/>
  <c r="K755"/>
  <c r="L755" s="1"/>
  <c r="T755"/>
  <c r="B755"/>
  <c r="K623"/>
  <c r="L623" s="1"/>
  <c r="T623"/>
  <c r="B623"/>
  <c r="K959"/>
  <c r="L959" s="1"/>
  <c r="T959"/>
  <c r="B959"/>
  <c r="K282"/>
  <c r="L282" s="1"/>
  <c r="T282"/>
  <c r="B282"/>
  <c r="K273"/>
  <c r="L273" s="1"/>
  <c r="T273"/>
  <c r="B273"/>
  <c r="K443"/>
  <c r="L443" s="1"/>
  <c r="T443"/>
  <c r="B443"/>
  <c r="K583"/>
  <c r="L583" s="1"/>
  <c r="T583"/>
  <c r="B583"/>
  <c r="K1045"/>
  <c r="L1045" s="1"/>
  <c r="T1045"/>
  <c r="B1045"/>
  <c r="K294"/>
  <c r="L294" s="1"/>
  <c r="T294"/>
  <c r="B294"/>
  <c r="K481"/>
  <c r="L481" s="1"/>
  <c r="T481"/>
  <c r="B481"/>
  <c r="K183"/>
  <c r="L183" s="1"/>
  <c r="T183"/>
  <c r="B183"/>
  <c r="K195"/>
  <c r="L195" s="1"/>
  <c r="T195"/>
  <c r="B195"/>
  <c r="K235"/>
  <c r="L235" s="1"/>
  <c r="T235"/>
  <c r="B235"/>
  <c r="K867"/>
  <c r="L867" s="1"/>
  <c r="T867"/>
  <c r="B867"/>
  <c r="K901"/>
  <c r="L901" s="1"/>
  <c r="T901"/>
  <c r="B901"/>
  <c r="K667"/>
  <c r="L667" s="1"/>
  <c r="T667"/>
  <c r="B667"/>
  <c r="K783"/>
  <c r="L783" s="1"/>
  <c r="T783"/>
  <c r="B783"/>
  <c r="K308"/>
  <c r="L308" s="1"/>
  <c r="T308"/>
  <c r="B308"/>
  <c r="K180"/>
  <c r="L180" s="1"/>
  <c r="T180"/>
  <c r="B180"/>
  <c r="K527"/>
  <c r="L527" s="1"/>
  <c r="T527"/>
  <c r="B527"/>
  <c r="K581"/>
  <c r="L581" s="1"/>
  <c r="T581"/>
  <c r="B581"/>
  <c r="K881"/>
  <c r="L881" s="1"/>
  <c r="T881"/>
  <c r="B881"/>
  <c r="K915"/>
  <c r="L915" s="1"/>
  <c r="T915"/>
  <c r="B915"/>
  <c r="K59"/>
  <c r="L59" s="1"/>
  <c r="T59"/>
  <c r="B59"/>
  <c r="K99"/>
  <c r="L99" s="1"/>
  <c r="T99"/>
  <c r="B99"/>
  <c r="K151"/>
  <c r="L151" s="1"/>
  <c r="T151"/>
  <c r="B151"/>
  <c r="K463"/>
  <c r="L463" s="1"/>
  <c r="T463"/>
  <c r="B463"/>
  <c r="K593"/>
  <c r="L593" s="1"/>
  <c r="T593"/>
  <c r="B593"/>
  <c r="K695"/>
  <c r="L695" s="1"/>
  <c r="T695"/>
  <c r="B695"/>
  <c r="K1047"/>
  <c r="L1047" s="1"/>
  <c r="T1047"/>
  <c r="B1047"/>
  <c r="K1053"/>
  <c r="L1053" s="1"/>
  <c r="T1053"/>
  <c r="B1053"/>
  <c r="K899"/>
  <c r="L899" s="1"/>
  <c r="T899"/>
  <c r="B899"/>
  <c r="K108"/>
  <c r="L108" s="1"/>
  <c r="T108"/>
  <c r="B108"/>
  <c r="K223"/>
  <c r="L223" s="1"/>
  <c r="T223"/>
  <c r="B223"/>
  <c r="K415"/>
  <c r="L415" s="1"/>
  <c r="T415"/>
  <c r="B415"/>
  <c r="K533"/>
  <c r="L533" s="1"/>
  <c r="T533"/>
  <c r="B533"/>
  <c r="K861"/>
  <c r="L861" s="1"/>
  <c r="T861"/>
  <c r="B861"/>
  <c r="K620"/>
  <c r="L620" s="1"/>
  <c r="T620"/>
  <c r="B620"/>
  <c r="K677"/>
  <c r="L677" s="1"/>
  <c r="T677"/>
  <c r="B677"/>
  <c r="K793"/>
  <c r="L793" s="1"/>
  <c r="T793"/>
  <c r="B793"/>
  <c r="K808"/>
  <c r="L808" s="1"/>
  <c r="T808"/>
  <c r="B808"/>
  <c r="K143"/>
  <c r="L143" s="1"/>
  <c r="T143"/>
  <c r="B143"/>
  <c r="K247"/>
  <c r="L247" s="1"/>
  <c r="T247"/>
  <c r="B247"/>
  <c r="K1029"/>
  <c r="L1029" s="1"/>
  <c r="T1029"/>
  <c r="B1029"/>
  <c r="K167"/>
  <c r="L167" s="1"/>
  <c r="T167"/>
  <c r="B167"/>
  <c r="K339"/>
  <c r="L339" s="1"/>
  <c r="T339"/>
  <c r="B339"/>
  <c r="K449"/>
  <c r="L449" s="1"/>
  <c r="T449"/>
  <c r="B449"/>
  <c r="K495"/>
  <c r="L495" s="1"/>
  <c r="T495"/>
  <c r="B495"/>
  <c r="K613"/>
  <c r="L613" s="1"/>
  <c r="T613"/>
  <c r="B613"/>
  <c r="K871"/>
  <c r="L871" s="1"/>
  <c r="T871"/>
  <c r="B871"/>
  <c r="K61"/>
  <c r="L61" s="1"/>
  <c r="T61"/>
  <c r="B61"/>
  <c r="K119"/>
  <c r="L119" s="1"/>
  <c r="T119"/>
  <c r="B119"/>
  <c r="K217"/>
  <c r="L217" s="1"/>
  <c r="T217"/>
  <c r="B217"/>
  <c r="K253"/>
  <c r="L253" s="1"/>
  <c r="T253"/>
  <c r="B253"/>
  <c r="K465"/>
  <c r="L465" s="1"/>
  <c r="T465"/>
  <c r="B465"/>
  <c r="K603"/>
  <c r="L603" s="1"/>
  <c r="T603"/>
  <c r="B603"/>
  <c r="K857"/>
  <c r="L857" s="1"/>
  <c r="T857"/>
  <c r="B857"/>
  <c r="K629"/>
  <c r="L629" s="1"/>
  <c r="T629"/>
  <c r="B629"/>
  <c r="K118"/>
  <c r="L118" s="1"/>
  <c r="T118"/>
  <c r="B118"/>
  <c r="K227"/>
  <c r="L227" s="1"/>
  <c r="T227"/>
  <c r="B227"/>
  <c r="K373"/>
  <c r="L373" s="1"/>
  <c r="T373"/>
  <c r="B373"/>
  <c r="K513"/>
  <c r="L513" s="1"/>
  <c r="T513"/>
  <c r="B513"/>
  <c r="K733"/>
  <c r="L733" s="1"/>
  <c r="T733"/>
  <c r="B733"/>
  <c r="K254"/>
  <c r="L254" s="1"/>
  <c r="T254"/>
  <c r="B254"/>
  <c r="K312"/>
  <c r="L312" s="1"/>
  <c r="T312"/>
  <c r="B312"/>
  <c r="K177"/>
  <c r="L177" s="1"/>
  <c r="T177"/>
  <c r="B177"/>
  <c r="K197"/>
  <c r="L197" s="1"/>
  <c r="T197"/>
  <c r="B197"/>
  <c r="K233"/>
  <c r="L233" s="1"/>
  <c r="T233"/>
  <c r="B233"/>
  <c r="K743"/>
  <c r="L743" s="1"/>
  <c r="T743"/>
  <c r="B743"/>
  <c r="K1067"/>
  <c r="L1067" s="1"/>
  <c r="T1067"/>
  <c r="B1067"/>
  <c r="K112"/>
  <c r="L112" s="1"/>
  <c r="T112"/>
  <c r="B112"/>
  <c r="K1323"/>
  <c r="L1323" s="1"/>
  <c r="T1323"/>
  <c r="B1323"/>
  <c r="K20"/>
  <c r="L20" s="1"/>
  <c r="T20"/>
  <c r="B20"/>
  <c r="K358"/>
  <c r="L358" s="1"/>
  <c r="T358"/>
  <c r="B358"/>
  <c r="K545"/>
  <c r="L545" s="1"/>
  <c r="T545"/>
  <c r="B545"/>
  <c r="K791"/>
  <c r="L791" s="1"/>
  <c r="T791"/>
  <c r="B791"/>
  <c r="K27"/>
  <c r="L27" s="1"/>
  <c r="T27"/>
  <c r="B27"/>
  <c r="K95"/>
  <c r="L95" s="1"/>
  <c r="T95"/>
  <c r="B95"/>
  <c r="K147"/>
  <c r="L147" s="1"/>
  <c r="T147"/>
  <c r="B147"/>
  <c r="K377"/>
  <c r="L377" s="1"/>
  <c r="T377"/>
  <c r="B377"/>
  <c r="K467"/>
  <c r="L467" s="1"/>
  <c r="T467"/>
  <c r="B467"/>
  <c r="K597"/>
  <c r="L597" s="1"/>
  <c r="T597"/>
  <c r="B597"/>
  <c r="K777"/>
  <c r="L777" s="1"/>
  <c r="T777"/>
  <c r="B777"/>
  <c r="K627"/>
  <c r="L627" s="1"/>
  <c r="T627"/>
  <c r="B627"/>
  <c r="K1267"/>
  <c r="L1267" s="1"/>
  <c r="T1267"/>
  <c r="B1267"/>
  <c r="K128"/>
  <c r="L128" s="1"/>
  <c r="T128"/>
  <c r="B128"/>
  <c r="K263"/>
  <c r="L263" s="1"/>
  <c r="T263"/>
  <c r="B263"/>
  <c r="K369"/>
  <c r="L369" s="1"/>
  <c r="T369"/>
  <c r="B369"/>
  <c r="K509"/>
  <c r="L509" s="1"/>
  <c r="T509"/>
  <c r="B509"/>
  <c r="K703"/>
  <c r="L703" s="1"/>
  <c r="T703"/>
  <c r="B703"/>
  <c r="K575"/>
  <c r="L575" s="1"/>
  <c r="T575"/>
  <c r="B575"/>
  <c r="K751"/>
  <c r="L751" s="1"/>
  <c r="T751"/>
  <c r="B751"/>
  <c r="K96"/>
  <c r="L96" s="1"/>
  <c r="T96"/>
  <c r="B96"/>
  <c r="K102"/>
  <c r="L102" s="1"/>
  <c r="T102"/>
  <c r="B102"/>
  <c r="K156"/>
  <c r="L156" s="1"/>
  <c r="T156"/>
  <c r="B156"/>
  <c r="K1075"/>
  <c r="L1075" s="1"/>
  <c r="T1075"/>
  <c r="B1075"/>
  <c r="K1113"/>
  <c r="L1113" s="1"/>
  <c r="T1113"/>
  <c r="B1113"/>
  <c r="K1135"/>
  <c r="L1135" s="1"/>
  <c r="T1135"/>
  <c r="B1135"/>
  <c r="K1155"/>
  <c r="L1155" s="1"/>
  <c r="T1155"/>
  <c r="B1155"/>
  <c r="K1189"/>
  <c r="L1189" s="1"/>
  <c r="T1189"/>
  <c r="B1189"/>
  <c r="K1205"/>
  <c r="L1205" s="1"/>
  <c r="T1205"/>
  <c r="B1205"/>
  <c r="K1229"/>
  <c r="L1229" s="1"/>
  <c r="T1229"/>
  <c r="B1229"/>
  <c r="K1257"/>
  <c r="L1257" s="1"/>
  <c r="T1257"/>
  <c r="B1257"/>
  <c r="K86"/>
  <c r="L86" s="1"/>
  <c r="T86"/>
  <c r="B86"/>
  <c r="K200"/>
  <c r="L200" s="1"/>
  <c r="T200"/>
  <c r="B200"/>
  <c r="K244"/>
  <c r="L244" s="1"/>
  <c r="T244"/>
  <c r="B244"/>
  <c r="K382"/>
  <c r="L382" s="1"/>
  <c r="T382"/>
  <c r="B382"/>
  <c r="K486"/>
  <c r="L486" s="1"/>
  <c r="T486"/>
  <c r="B486"/>
  <c r="K969"/>
  <c r="L969" s="1"/>
  <c r="T969"/>
  <c r="B969"/>
  <c r="K1311"/>
  <c r="L1311" s="1"/>
  <c r="T1311"/>
  <c r="B1311"/>
  <c r="K288"/>
  <c r="L288" s="1"/>
  <c r="T288"/>
  <c r="B288"/>
  <c r="K68"/>
  <c r="L68" s="1"/>
  <c r="T68"/>
  <c r="B68"/>
  <c r="K184"/>
  <c r="L184" s="1"/>
  <c r="T184"/>
  <c r="B184"/>
  <c r="K40"/>
  <c r="L40" s="1"/>
  <c r="T40"/>
  <c r="B40"/>
  <c r="K138"/>
  <c r="L138" s="1"/>
  <c r="T138"/>
  <c r="B138"/>
  <c r="K204"/>
  <c r="L204" s="1"/>
  <c r="T204"/>
  <c r="B204"/>
  <c r="K246"/>
  <c r="L246" s="1"/>
  <c r="T246"/>
  <c r="B246"/>
  <c r="K488"/>
  <c r="L488" s="1"/>
  <c r="T488"/>
  <c r="B488"/>
  <c r="K516"/>
  <c r="L516" s="1"/>
  <c r="T516"/>
  <c r="B516"/>
  <c r="K668"/>
  <c r="L668" s="1"/>
  <c r="T668"/>
  <c r="B668"/>
  <c r="K897"/>
  <c r="L897" s="1"/>
  <c r="T897"/>
  <c r="B897"/>
  <c r="K787"/>
  <c r="L787" s="1"/>
  <c r="T787"/>
  <c r="B787"/>
  <c r="K46"/>
  <c r="L46" s="1"/>
  <c r="T46"/>
  <c r="B46"/>
  <c r="K368"/>
  <c r="L368" s="1"/>
  <c r="T368"/>
  <c r="B368"/>
  <c r="K1077"/>
  <c r="L1077" s="1"/>
  <c r="T1077"/>
  <c r="B1077"/>
  <c r="K1115"/>
  <c r="L1115" s="1"/>
  <c r="T1115"/>
  <c r="B1115"/>
  <c r="K1137"/>
  <c r="L1137" s="1"/>
  <c r="T1137"/>
  <c r="B1137"/>
  <c r="K1163"/>
  <c r="L1163" s="1"/>
  <c r="T1163"/>
  <c r="B1163"/>
  <c r="K1191"/>
  <c r="L1191" s="1"/>
  <c r="T1191"/>
  <c r="B1191"/>
  <c r="K1207"/>
  <c r="L1207" s="1"/>
  <c r="T1207"/>
  <c r="B1207"/>
  <c r="K1231"/>
  <c r="L1231" s="1"/>
  <c r="T1231"/>
  <c r="B1231"/>
  <c r="K1259"/>
  <c r="L1259" s="1"/>
  <c r="T1259"/>
  <c r="B1259"/>
  <c r="K142"/>
  <c r="L142" s="1"/>
  <c r="T142"/>
  <c r="B142"/>
  <c r="K210"/>
  <c r="L210" s="1"/>
  <c r="T210"/>
  <c r="B210"/>
  <c r="K248"/>
  <c r="L248" s="1"/>
  <c r="T248"/>
  <c r="B248"/>
  <c r="K512"/>
  <c r="L512" s="1"/>
  <c r="T512"/>
  <c r="B512"/>
  <c r="K276"/>
  <c r="L276" s="1"/>
  <c r="T276"/>
  <c r="B276"/>
  <c r="K88"/>
  <c r="L88" s="1"/>
  <c r="T88"/>
  <c r="B88"/>
  <c r="K126"/>
  <c r="L126" s="1"/>
  <c r="T126"/>
  <c r="B126"/>
  <c r="K328"/>
  <c r="L328" s="1"/>
  <c r="T328"/>
  <c r="B328"/>
  <c r="K16"/>
  <c r="L16" s="1"/>
  <c r="T16"/>
  <c r="B16"/>
  <c r="K160"/>
  <c r="L160" s="1"/>
  <c r="T160"/>
  <c r="B160"/>
  <c r="K338"/>
  <c r="L338" s="1"/>
  <c r="T338"/>
  <c r="B338"/>
  <c r="K354"/>
  <c r="L354" s="1"/>
  <c r="T354"/>
  <c r="B354"/>
  <c r="K162"/>
  <c r="L162" s="1"/>
  <c r="T162"/>
  <c r="B162"/>
  <c r="K1007"/>
  <c r="L1007" s="1"/>
  <c r="T1007"/>
  <c r="B1007"/>
  <c r="K665"/>
  <c r="L665" s="1"/>
  <c r="T665"/>
  <c r="B665"/>
  <c r="K803"/>
  <c r="L803" s="1"/>
  <c r="T803"/>
  <c r="B803"/>
  <c r="K284"/>
  <c r="L284" s="1"/>
  <c r="T284"/>
  <c r="B284"/>
  <c r="K188"/>
  <c r="L188" s="1"/>
  <c r="T188"/>
  <c r="B188"/>
  <c r="K48"/>
  <c r="L48" s="1"/>
  <c r="T48"/>
  <c r="B48"/>
  <c r="K796"/>
  <c r="L796" s="1"/>
  <c r="T796"/>
  <c r="B796"/>
  <c r="K219"/>
  <c r="L219" s="1"/>
  <c r="T219"/>
  <c r="B219"/>
  <c r="K409"/>
  <c r="L409" s="1"/>
  <c r="T409"/>
  <c r="B409"/>
  <c r="K531"/>
  <c r="L531" s="1"/>
  <c r="T531"/>
  <c r="B531"/>
  <c r="K757"/>
  <c r="L757" s="1"/>
  <c r="T757"/>
  <c r="B757"/>
  <c r="K1051"/>
  <c r="L1051" s="1"/>
  <c r="T1051"/>
  <c r="B1051"/>
  <c r="K55"/>
  <c r="L55" s="1"/>
  <c r="T55"/>
  <c r="B55"/>
  <c r="K79"/>
  <c r="L79" s="1"/>
  <c r="T79"/>
  <c r="B79"/>
  <c r="K131"/>
  <c r="L131" s="1"/>
  <c r="T131"/>
  <c r="B131"/>
  <c r="K381"/>
  <c r="L381" s="1"/>
  <c r="T381"/>
  <c r="B381"/>
  <c r="K461"/>
  <c r="L461" s="1"/>
  <c r="T461"/>
  <c r="B461"/>
  <c r="K599"/>
  <c r="L599" s="1"/>
  <c r="T599"/>
  <c r="B599"/>
  <c r="K893"/>
  <c r="L893" s="1"/>
  <c r="T893"/>
  <c r="B893"/>
  <c r="K917"/>
  <c r="L917" s="1"/>
  <c r="T917"/>
  <c r="B917"/>
  <c r="K895"/>
  <c r="L895" s="1"/>
  <c r="T895"/>
  <c r="B895"/>
  <c r="K101"/>
  <c r="L101" s="1"/>
  <c r="T101"/>
  <c r="B101"/>
  <c r="K343"/>
  <c r="L343" s="1"/>
  <c r="T343"/>
  <c r="B343"/>
  <c r="K505"/>
  <c r="L505" s="1"/>
  <c r="T505"/>
  <c r="B505"/>
  <c r="K689"/>
  <c r="L689" s="1"/>
  <c r="T689"/>
  <c r="B689"/>
  <c r="K953"/>
  <c r="L953" s="1"/>
  <c r="T953"/>
  <c r="B953"/>
  <c r="K262"/>
  <c r="L262" s="1"/>
  <c r="T262"/>
  <c r="B262"/>
  <c r="K1326"/>
  <c r="L1326" s="1"/>
  <c r="B1326"/>
  <c r="T1326"/>
  <c r="K175"/>
  <c r="L175" s="1"/>
  <c r="T175"/>
  <c r="B175"/>
  <c r="K199"/>
  <c r="L199" s="1"/>
  <c r="T199"/>
  <c r="B199"/>
  <c r="K231"/>
  <c r="L231" s="1"/>
  <c r="T231"/>
  <c r="B231"/>
  <c r="K717"/>
  <c r="L717" s="1"/>
  <c r="T717"/>
  <c r="B717"/>
  <c r="K709"/>
  <c r="L709" s="1"/>
  <c r="T709"/>
  <c r="B709"/>
  <c r="K1297"/>
  <c r="L1297" s="1"/>
  <c r="T1297"/>
  <c r="B1297"/>
  <c r="K1285"/>
  <c r="L1285" s="1"/>
  <c r="T1285"/>
  <c r="B1285"/>
  <c r="K380"/>
  <c r="L380" s="1"/>
  <c r="T380"/>
  <c r="B380"/>
  <c r="K334"/>
  <c r="L334" s="1"/>
  <c r="T334"/>
  <c r="B334"/>
  <c r="K537"/>
  <c r="L537" s="1"/>
  <c r="T537"/>
  <c r="B537"/>
  <c r="K749"/>
  <c r="L749" s="1"/>
  <c r="T749"/>
  <c r="B749"/>
  <c r="K13"/>
  <c r="L13" s="1"/>
  <c r="T13"/>
  <c r="B13"/>
  <c r="K91"/>
  <c r="L91" s="1"/>
  <c r="T91"/>
  <c r="B91"/>
  <c r="K141"/>
  <c r="L141" s="1"/>
  <c r="T141"/>
  <c r="B141"/>
  <c r="K391"/>
  <c r="L391" s="1"/>
  <c r="T391"/>
  <c r="B391"/>
  <c r="K471"/>
  <c r="L471" s="1"/>
  <c r="T471"/>
  <c r="B471"/>
  <c r="K611"/>
  <c r="L611" s="1"/>
  <c r="T611"/>
  <c r="B611"/>
  <c r="K1001"/>
  <c r="L1001" s="1"/>
  <c r="T1001"/>
  <c r="B1001"/>
  <c r="K707"/>
  <c r="L707" s="1"/>
  <c r="T707"/>
  <c r="B707"/>
  <c r="K967"/>
  <c r="L967" s="1"/>
  <c r="T967"/>
  <c r="B967"/>
  <c r="K165"/>
  <c r="L165" s="1"/>
  <c r="T165"/>
  <c r="B165"/>
  <c r="K397"/>
  <c r="L397" s="1"/>
  <c r="T397"/>
  <c r="B397"/>
  <c r="K517"/>
  <c r="L517" s="1"/>
  <c r="T517"/>
  <c r="B517"/>
  <c r="K745"/>
  <c r="L745" s="1"/>
  <c r="T745"/>
  <c r="B745"/>
  <c r="K436"/>
  <c r="L436" s="1"/>
  <c r="T436"/>
  <c r="B436"/>
  <c r="K47"/>
  <c r="L47" s="1"/>
  <c r="T47"/>
  <c r="B47"/>
  <c r="K877"/>
  <c r="L877" s="1"/>
  <c r="T877"/>
  <c r="B877"/>
  <c r="K847"/>
  <c r="L847" s="1"/>
  <c r="T847"/>
  <c r="B847"/>
  <c r="K692"/>
  <c r="L692" s="1"/>
  <c r="T692"/>
  <c r="B692"/>
  <c r="K1161"/>
  <c r="L1161" s="1"/>
  <c r="T1161"/>
  <c r="B1161"/>
  <c r="K243"/>
  <c r="L243" s="1"/>
  <c r="T243"/>
  <c r="B243"/>
  <c r="K399"/>
  <c r="L399" s="1"/>
  <c r="T399"/>
  <c r="B399"/>
  <c r="K515"/>
  <c r="L515" s="1"/>
  <c r="T515"/>
  <c r="B515"/>
  <c r="K643"/>
  <c r="L643" s="1"/>
  <c r="T643"/>
  <c r="B643"/>
  <c r="K1023"/>
  <c r="L1023" s="1"/>
  <c r="T1023"/>
  <c r="B1023"/>
  <c r="K23"/>
  <c r="L23" s="1"/>
  <c r="T23"/>
  <c r="B23"/>
  <c r="K93"/>
  <c r="L93" s="1"/>
  <c r="T93"/>
  <c r="B93"/>
  <c r="K145"/>
  <c r="L145" s="1"/>
  <c r="T145"/>
  <c r="B145"/>
  <c r="K453"/>
  <c r="L453" s="1"/>
  <c r="T453"/>
  <c r="B453"/>
  <c r="K591"/>
  <c r="L591" s="1"/>
  <c r="T591"/>
  <c r="B591"/>
  <c r="K739"/>
  <c r="L739" s="1"/>
  <c r="T739"/>
  <c r="B739"/>
  <c r="K619"/>
  <c r="L619" s="1"/>
  <c r="T619"/>
  <c r="B619"/>
  <c r="K973"/>
  <c r="L973" s="1"/>
  <c r="T973"/>
  <c r="B973"/>
  <c r="K17"/>
  <c r="L17" s="1"/>
  <c r="T17"/>
  <c r="B17"/>
  <c r="K329"/>
  <c r="L329" s="1"/>
  <c r="T329"/>
  <c r="B329"/>
  <c r="K411"/>
  <c r="L411" s="1"/>
  <c r="T411"/>
  <c r="B411"/>
  <c r="K529"/>
  <c r="L529" s="1"/>
  <c r="T529"/>
  <c r="B529"/>
  <c r="K661"/>
  <c r="L661" s="1"/>
  <c r="T661"/>
  <c r="B661"/>
  <c r="K1019"/>
  <c r="L1019" s="1"/>
  <c r="T1019"/>
  <c r="B1019"/>
  <c r="K306"/>
  <c r="L306" s="1"/>
  <c r="T306"/>
  <c r="B306"/>
  <c r="K111"/>
  <c r="L111" s="1"/>
  <c r="T111"/>
  <c r="B111"/>
  <c r="K193"/>
  <c r="L193" s="1"/>
  <c r="T193"/>
  <c r="B193"/>
  <c r="K229"/>
  <c r="L229" s="1"/>
  <c r="T229"/>
  <c r="B229"/>
  <c r="K687"/>
  <c r="L687" s="1"/>
  <c r="T687"/>
  <c r="B687"/>
  <c r="K771"/>
  <c r="L771" s="1"/>
  <c r="T771"/>
  <c r="B771"/>
  <c r="K889"/>
  <c r="L889" s="1"/>
  <c r="T889"/>
  <c r="B889"/>
  <c r="K723"/>
  <c r="L723" s="1"/>
  <c r="T723"/>
  <c r="B723"/>
  <c r="K110"/>
  <c r="L110" s="1"/>
  <c r="T110"/>
  <c r="B110"/>
  <c r="K84"/>
  <c r="L84" s="1"/>
  <c r="T84"/>
  <c r="B84"/>
  <c r="K507"/>
  <c r="L507" s="1"/>
  <c r="T507"/>
  <c r="B507"/>
  <c r="K585"/>
  <c r="L585" s="1"/>
  <c r="T585"/>
  <c r="B585"/>
  <c r="K729"/>
  <c r="L729" s="1"/>
  <c r="T729"/>
  <c r="B729"/>
  <c r="K933"/>
  <c r="L933" s="1"/>
  <c r="T933"/>
  <c r="B933"/>
  <c r="K63"/>
  <c r="L63" s="1"/>
  <c r="T63"/>
  <c r="B63"/>
  <c r="K121"/>
  <c r="L121" s="1"/>
  <c r="T121"/>
  <c r="B121"/>
  <c r="K255"/>
  <c r="L255" s="1"/>
  <c r="T255"/>
  <c r="B255"/>
  <c r="K459"/>
  <c r="L459" s="1"/>
  <c r="T459"/>
  <c r="B459"/>
  <c r="K589"/>
  <c r="L589" s="1"/>
  <c r="T589"/>
  <c r="B589"/>
  <c r="K727"/>
  <c r="L727" s="1"/>
  <c r="T727"/>
  <c r="B727"/>
  <c r="K929"/>
  <c r="L929" s="1"/>
  <c r="T929"/>
  <c r="B929"/>
  <c r="K635"/>
  <c r="L635" s="1"/>
  <c r="T635"/>
  <c r="B635"/>
  <c r="K92"/>
  <c r="L92" s="1"/>
  <c r="T92"/>
  <c r="B92"/>
  <c r="K179"/>
  <c r="L179" s="1"/>
  <c r="T179"/>
  <c r="B179"/>
  <c r="K335"/>
  <c r="L335" s="1"/>
  <c r="T335"/>
  <c r="B335"/>
  <c r="K447"/>
  <c r="L447" s="1"/>
  <c r="T447"/>
  <c r="B447"/>
  <c r="K587"/>
  <c r="L587" s="1"/>
  <c r="T587"/>
  <c r="B587"/>
  <c r="K1037"/>
  <c r="L1037" s="1"/>
  <c r="T1037"/>
  <c r="B1037"/>
  <c r="K9"/>
  <c r="L9" s="1"/>
  <c r="T9"/>
  <c r="B9"/>
  <c r="K281"/>
  <c r="L281" s="1"/>
  <c r="T281"/>
  <c r="B281"/>
  <c r="K285"/>
  <c r="L285" s="1"/>
  <c r="T285"/>
  <c r="B285"/>
  <c r="K289"/>
  <c r="L289" s="1"/>
  <c r="T289"/>
  <c r="B289"/>
  <c r="K295"/>
  <c r="L295" s="1"/>
  <c r="T295"/>
  <c r="B295"/>
  <c r="K307"/>
  <c r="L307" s="1"/>
  <c r="T307"/>
  <c r="B307"/>
  <c r="K315"/>
  <c r="L315" s="1"/>
  <c r="T315"/>
  <c r="B315"/>
  <c r="K319"/>
  <c r="L319" s="1"/>
  <c r="T319"/>
  <c r="B319"/>
  <c r="K323"/>
  <c r="L323" s="1"/>
  <c r="T323"/>
  <c r="B323"/>
  <c r="K327"/>
  <c r="L327" s="1"/>
  <c r="T327"/>
  <c r="B327"/>
  <c r="K353"/>
  <c r="L353" s="1"/>
  <c r="T353"/>
  <c r="B353"/>
  <c r="K357"/>
  <c r="L357" s="1"/>
  <c r="T357"/>
  <c r="B357"/>
  <c r="K553"/>
  <c r="L553" s="1"/>
  <c r="T553"/>
  <c r="B553"/>
  <c r="K557"/>
  <c r="L557" s="1"/>
  <c r="T557"/>
  <c r="B557"/>
  <c r="K561"/>
  <c r="L561" s="1"/>
  <c r="T561"/>
  <c r="B561"/>
  <c r="K567"/>
  <c r="L567" s="1"/>
  <c r="T567"/>
  <c r="B567"/>
  <c r="K573"/>
  <c r="L573" s="1"/>
  <c r="T573"/>
  <c r="B573"/>
  <c r="K8"/>
  <c r="L8" s="1"/>
  <c r="T8"/>
  <c r="B8"/>
  <c r="K828"/>
  <c r="L828" s="1"/>
  <c r="T828"/>
  <c r="B828"/>
  <c r="K625"/>
  <c r="L625" s="1"/>
  <c r="T625"/>
  <c r="B625"/>
  <c r="K1153"/>
  <c r="L1153" s="1"/>
  <c r="T1153"/>
  <c r="B1153"/>
  <c r="K299"/>
  <c r="L299" s="1"/>
  <c r="T299"/>
  <c r="B299"/>
  <c r="K371"/>
  <c r="L371" s="1"/>
  <c r="T371"/>
  <c r="B371"/>
  <c r="K431"/>
  <c r="L431" s="1"/>
  <c r="T431"/>
  <c r="B431"/>
  <c r="K503"/>
  <c r="L503" s="1"/>
  <c r="T503"/>
  <c r="B503"/>
  <c r="K989"/>
  <c r="L989" s="1"/>
  <c r="T989"/>
  <c r="B989"/>
  <c r="K1003"/>
  <c r="L1003" s="1"/>
  <c r="T1003"/>
  <c r="B1003"/>
  <c r="K65"/>
  <c r="L65" s="1"/>
  <c r="T65"/>
  <c r="B65"/>
  <c r="K123"/>
  <c r="L123" s="1"/>
  <c r="T123"/>
  <c r="B123"/>
  <c r="K257"/>
  <c r="L257" s="1"/>
  <c r="T257"/>
  <c r="B257"/>
  <c r="K469"/>
  <c r="L469" s="1"/>
  <c r="T469"/>
  <c r="B469"/>
  <c r="K491"/>
  <c r="L491" s="1"/>
  <c r="T491"/>
  <c r="B491"/>
  <c r="K659"/>
  <c r="L659" s="1"/>
  <c r="T659"/>
  <c r="B659"/>
  <c r="K1013"/>
  <c r="L1013" s="1"/>
  <c r="T1013"/>
  <c r="B1013"/>
  <c r="K633"/>
  <c r="L633" s="1"/>
  <c r="T633"/>
  <c r="B633"/>
  <c r="K963"/>
  <c r="L963" s="1"/>
  <c r="T963"/>
  <c r="B963"/>
  <c r="K161"/>
  <c r="L161" s="1"/>
  <c r="T161"/>
  <c r="B161"/>
  <c r="K403"/>
  <c r="L403" s="1"/>
  <c r="T403"/>
  <c r="B403"/>
  <c r="K521"/>
  <c r="L521" s="1"/>
  <c r="T521"/>
  <c r="B521"/>
  <c r="K753"/>
  <c r="L753" s="1"/>
  <c r="T753"/>
  <c r="B753"/>
  <c r="K1071"/>
  <c r="L1071" s="1"/>
  <c r="T1071"/>
  <c r="B1071"/>
  <c r="K310"/>
  <c r="L310" s="1"/>
  <c r="T310"/>
  <c r="B310"/>
  <c r="K181"/>
  <c r="L181" s="1"/>
  <c r="T181"/>
  <c r="B181"/>
  <c r="K191"/>
  <c r="L191" s="1"/>
  <c r="T191"/>
  <c r="B191"/>
  <c r="K205"/>
  <c r="L205" s="1"/>
  <c r="T205"/>
  <c r="B205"/>
  <c r="K663"/>
  <c r="L663" s="1"/>
  <c r="T663"/>
  <c r="B663"/>
  <c r="K1043"/>
  <c r="L1043" s="1"/>
  <c r="T1043"/>
  <c r="B1043"/>
  <c r="K286"/>
  <c r="L286" s="1"/>
  <c r="T286"/>
  <c r="B286"/>
  <c r="K779"/>
  <c r="L779" s="1"/>
  <c r="T779"/>
  <c r="B779"/>
  <c r="K94"/>
  <c r="L94" s="1"/>
  <c r="T94"/>
  <c r="B94"/>
  <c r="K62"/>
  <c r="L62" s="1"/>
  <c r="T62"/>
  <c r="B62"/>
  <c r="K499"/>
  <c r="L499" s="1"/>
  <c r="T499"/>
  <c r="B499"/>
  <c r="K577"/>
  <c r="L577" s="1"/>
  <c r="T577"/>
  <c r="B577"/>
  <c r="K681"/>
  <c r="L681" s="1"/>
  <c r="T681"/>
  <c r="B681"/>
  <c r="K891"/>
  <c r="L891" s="1"/>
  <c r="T891"/>
  <c r="B891"/>
  <c r="K1065"/>
  <c r="L1065" s="1"/>
  <c r="T1065"/>
  <c r="B1065"/>
  <c r="K81"/>
  <c r="L81" s="1"/>
  <c r="T81"/>
  <c r="B81"/>
  <c r="K133"/>
  <c r="L133" s="1"/>
  <c r="T133"/>
  <c r="B133"/>
  <c r="K379"/>
  <c r="L379" s="1"/>
  <c r="T379"/>
  <c r="B379"/>
  <c r="K479"/>
  <c r="L479" s="1"/>
  <c r="T479"/>
  <c r="B479"/>
  <c r="K601"/>
  <c r="L601" s="1"/>
  <c r="T601"/>
  <c r="B601"/>
  <c r="K873"/>
  <c r="L873" s="1"/>
  <c r="T873"/>
  <c r="B873"/>
  <c r="K1049"/>
  <c r="L1049" s="1"/>
  <c r="T1049"/>
  <c r="B1049"/>
  <c r="K631"/>
  <c r="L631" s="1"/>
  <c r="T631"/>
  <c r="B631"/>
  <c r="K1331"/>
  <c r="L1331" s="1"/>
  <c r="T1331"/>
  <c r="B1331"/>
  <c r="K105"/>
  <c r="L105" s="1"/>
  <c r="T105"/>
  <c r="B105"/>
  <c r="K347"/>
  <c r="L347" s="1"/>
  <c r="T347"/>
  <c r="B347"/>
  <c r="K501"/>
  <c r="L501" s="1"/>
  <c r="T501"/>
  <c r="B501"/>
  <c r="K685"/>
  <c r="L685" s="1"/>
  <c r="T685"/>
  <c r="B685"/>
  <c r="K1061"/>
  <c r="L1061" s="1"/>
  <c r="T1061"/>
  <c r="B1061"/>
  <c r="K1322"/>
  <c r="L1322" s="1"/>
  <c r="B1322"/>
  <c r="T1322"/>
  <c r="K789"/>
  <c r="L789" s="1"/>
  <c r="T789"/>
  <c r="B789"/>
  <c r="K1059"/>
  <c r="L1059" s="1"/>
  <c r="T1059"/>
  <c r="B1059"/>
  <c r="K986"/>
  <c r="L986" s="1"/>
  <c r="T986"/>
  <c r="B986"/>
  <c r="K207"/>
  <c r="L207" s="1"/>
  <c r="T207"/>
  <c r="B207"/>
  <c r="K816"/>
  <c r="L816" s="1"/>
  <c r="T816"/>
  <c r="B816"/>
  <c r="K113"/>
  <c r="L113" s="1"/>
  <c r="T113"/>
  <c r="B113"/>
  <c r="K249"/>
  <c r="L249" s="1"/>
  <c r="T249"/>
  <c r="B249"/>
  <c r="K417"/>
  <c r="L417" s="1"/>
  <c r="T417"/>
  <c r="B417"/>
  <c r="K493"/>
  <c r="L493" s="1"/>
  <c r="T493"/>
  <c r="B493"/>
  <c r="K523"/>
  <c r="L523" s="1"/>
  <c r="T523"/>
  <c r="B523"/>
  <c r="K737"/>
  <c r="L737" s="1"/>
  <c r="T737"/>
  <c r="B737"/>
  <c r="K386"/>
  <c r="L386" s="1"/>
  <c r="T386"/>
  <c r="B386"/>
  <c r="K85"/>
  <c r="L85" s="1"/>
  <c r="T85"/>
  <c r="B85"/>
  <c r="K135"/>
  <c r="L135" s="1"/>
  <c r="T135"/>
  <c r="B135"/>
  <c r="K251"/>
  <c r="L251" s="1"/>
  <c r="T251"/>
  <c r="B251"/>
  <c r="K387"/>
  <c r="L387" s="1"/>
  <c r="T387"/>
  <c r="B387"/>
  <c r="K487"/>
  <c r="L487" s="1"/>
  <c r="T487"/>
  <c r="B487"/>
  <c r="K683"/>
  <c r="L683" s="1"/>
  <c r="T683"/>
  <c r="B683"/>
  <c r="K1039"/>
  <c r="L1039" s="1"/>
  <c r="T1039"/>
  <c r="B1039"/>
  <c r="K905"/>
  <c r="L905" s="1"/>
  <c r="T905"/>
  <c r="B905"/>
  <c r="K117"/>
  <c r="L117" s="1"/>
  <c r="T117"/>
  <c r="B117"/>
  <c r="K367"/>
  <c r="L367" s="1"/>
  <c r="T367"/>
  <c r="B367"/>
  <c r="K435"/>
  <c r="L435" s="1"/>
  <c r="T435"/>
  <c r="B435"/>
  <c r="K547"/>
  <c r="L547" s="1"/>
  <c r="T547"/>
  <c r="B547"/>
  <c r="K875"/>
  <c r="L875" s="1"/>
  <c r="T875"/>
  <c r="B875"/>
  <c r="K296"/>
  <c r="L296" s="1"/>
  <c r="T296"/>
  <c r="B296"/>
  <c r="K37"/>
  <c r="L37" s="1"/>
  <c r="T37"/>
  <c r="B37"/>
  <c r="K189"/>
  <c r="L189" s="1"/>
  <c r="T189"/>
  <c r="B189"/>
  <c r="K209"/>
  <c r="L209" s="1"/>
  <c r="T209"/>
  <c r="B209"/>
  <c r="K241"/>
  <c r="L241" s="1"/>
  <c r="T241"/>
  <c r="B241"/>
  <c r="K923"/>
  <c r="L923" s="1"/>
  <c r="T923"/>
  <c r="B923"/>
  <c r="K911"/>
  <c r="L911" s="1"/>
  <c r="T911"/>
  <c r="B911"/>
  <c r="K763"/>
  <c r="L763" s="1"/>
  <c r="T763"/>
  <c r="B763"/>
  <c r="K274"/>
  <c r="L274" s="1"/>
  <c r="T274"/>
  <c r="B274"/>
  <c r="K164"/>
  <c r="L164" s="1"/>
  <c r="T164"/>
  <c r="B164"/>
  <c r="K519"/>
  <c r="L519" s="1"/>
  <c r="T519"/>
  <c r="B519"/>
  <c r="K675"/>
  <c r="L675" s="1"/>
  <c r="T675"/>
  <c r="B675"/>
  <c r="K1041"/>
  <c r="L1041" s="1"/>
  <c r="T1041"/>
  <c r="B1041"/>
  <c r="K75"/>
  <c r="L75" s="1"/>
  <c r="T75"/>
  <c r="B75"/>
  <c r="K129"/>
  <c r="L129" s="1"/>
  <c r="T129"/>
  <c r="B129"/>
  <c r="K265"/>
  <c r="L265" s="1"/>
  <c r="T265"/>
  <c r="B265"/>
  <c r="K451"/>
  <c r="L451" s="1"/>
  <c r="T451"/>
  <c r="B451"/>
  <c r="K485"/>
  <c r="L485" s="1"/>
  <c r="T485"/>
  <c r="B485"/>
  <c r="K673"/>
  <c r="L673" s="1"/>
  <c r="T673"/>
  <c r="B673"/>
  <c r="K1021"/>
  <c r="L1021" s="1"/>
  <c r="T1021"/>
  <c r="B1021"/>
  <c r="K887"/>
  <c r="L887" s="1"/>
  <c r="T887"/>
  <c r="B887"/>
  <c r="K1289"/>
  <c r="L1289" s="1"/>
  <c r="T1289"/>
  <c r="B1289"/>
  <c r="K157"/>
  <c r="L157" s="1"/>
  <c r="T157"/>
  <c r="B157"/>
  <c r="K271"/>
  <c r="L271" s="1"/>
  <c r="T271"/>
  <c r="B271"/>
  <c r="K425"/>
  <c r="L425" s="1"/>
  <c r="T425"/>
  <c r="B425"/>
  <c r="K543"/>
  <c r="L543" s="1"/>
  <c r="T543"/>
  <c r="B543"/>
  <c r="K927"/>
  <c r="L927" s="1"/>
  <c r="T927"/>
  <c r="B927"/>
  <c r="K639"/>
  <c r="L639" s="1"/>
  <c r="T639"/>
  <c r="B639"/>
  <c r="K885"/>
  <c r="L885" s="1"/>
  <c r="T885"/>
  <c r="B885"/>
  <c r="K781"/>
  <c r="L781" s="1"/>
  <c r="T781"/>
  <c r="B781"/>
  <c r="K366"/>
  <c r="L366" s="1"/>
  <c r="T366"/>
  <c r="B366"/>
  <c r="K314"/>
  <c r="L314" s="1"/>
  <c r="T314"/>
  <c r="B314"/>
  <c r="K1095"/>
  <c r="L1095" s="1"/>
  <c r="T1095"/>
  <c r="B1095"/>
  <c r="K1127"/>
  <c r="L1127" s="1"/>
  <c r="T1127"/>
  <c r="B1127"/>
  <c r="K1143"/>
  <c r="L1143" s="1"/>
  <c r="T1143"/>
  <c r="B1143"/>
  <c r="K1171"/>
  <c r="L1171" s="1"/>
  <c r="T1171"/>
  <c r="B1171"/>
  <c r="K1197"/>
  <c r="L1197" s="1"/>
  <c r="T1197"/>
  <c r="B1197"/>
  <c r="K1221"/>
  <c r="L1221" s="1"/>
  <c r="T1221"/>
  <c r="B1221"/>
  <c r="K1245"/>
  <c r="L1245" s="1"/>
  <c r="T1245"/>
  <c r="B1245"/>
  <c r="K30"/>
  <c r="L30" s="1"/>
  <c r="T30"/>
  <c r="B30"/>
  <c r="K166"/>
  <c r="L166" s="1"/>
  <c r="T166"/>
  <c r="B166"/>
  <c r="K222"/>
  <c r="L222" s="1"/>
  <c r="T222"/>
  <c r="B222"/>
  <c r="K264"/>
  <c r="L264" s="1"/>
  <c r="T264"/>
  <c r="B264"/>
  <c r="K392"/>
  <c r="L392" s="1"/>
  <c r="T392"/>
  <c r="B392"/>
  <c r="K496"/>
  <c r="L496" s="1"/>
  <c r="T496"/>
  <c r="B496"/>
  <c r="K124"/>
  <c r="L124" s="1"/>
  <c r="T124"/>
  <c r="B124"/>
  <c r="K114"/>
  <c r="L114" s="1"/>
  <c r="T114"/>
  <c r="B114"/>
  <c r="K374"/>
  <c r="L374" s="1"/>
  <c r="T374"/>
  <c r="B374"/>
  <c r="K152"/>
  <c r="L152" s="1"/>
  <c r="T152"/>
  <c r="B152"/>
  <c r="K330"/>
  <c r="L330" s="1"/>
  <c r="T330"/>
  <c r="B330"/>
  <c r="K134"/>
  <c r="L134" s="1"/>
  <c r="T134"/>
  <c r="B134"/>
  <c r="K170"/>
  <c r="L170" s="1"/>
  <c r="T170"/>
  <c r="B170"/>
  <c r="K224"/>
  <c r="L224" s="1"/>
  <c r="T224"/>
  <c r="B224"/>
  <c r="K266"/>
  <c r="L266" s="1"/>
  <c r="T266"/>
  <c r="B266"/>
  <c r="K554"/>
  <c r="L554" s="1"/>
  <c r="T554"/>
  <c r="B554"/>
  <c r="K566"/>
  <c r="L566" s="1"/>
  <c r="T566"/>
  <c r="B566"/>
  <c r="K1027"/>
  <c r="L1027" s="1"/>
  <c r="T1027"/>
  <c r="B1027"/>
  <c r="K1079"/>
  <c r="L1079" s="1"/>
  <c r="T1079"/>
  <c r="B1079"/>
  <c r="K1117"/>
  <c r="L1117" s="1"/>
  <c r="T1117"/>
  <c r="B1117"/>
  <c r="K1139"/>
  <c r="L1139" s="1"/>
  <c r="T1139"/>
  <c r="B1139"/>
  <c r="K1167"/>
  <c r="L1167" s="1"/>
  <c r="T1167"/>
  <c r="B1167"/>
  <c r="K1193"/>
  <c r="L1193" s="1"/>
  <c r="T1193"/>
  <c r="B1193"/>
  <c r="K1211"/>
  <c r="L1211" s="1"/>
  <c r="T1211"/>
  <c r="B1211"/>
  <c r="K1241"/>
  <c r="L1241" s="1"/>
  <c r="T1241"/>
  <c r="B1241"/>
  <c r="K1263"/>
  <c r="L1263" s="1"/>
  <c r="T1263"/>
  <c r="B1263"/>
  <c r="K150"/>
  <c r="L150" s="1"/>
  <c r="T150"/>
  <c r="B150"/>
  <c r="K214"/>
  <c r="L214" s="1"/>
  <c r="T214"/>
  <c r="B214"/>
  <c r="K252"/>
  <c r="L252" s="1"/>
  <c r="T252"/>
  <c r="B252"/>
  <c r="K318"/>
  <c r="L318" s="1"/>
  <c r="T318"/>
  <c r="B318"/>
  <c r="K1315"/>
  <c r="L1315" s="1"/>
  <c r="T1315"/>
  <c r="B1315"/>
  <c r="K1085"/>
  <c r="L1085" s="1"/>
  <c r="T1085"/>
  <c r="B1085"/>
  <c r="K272"/>
  <c r="L272" s="1"/>
  <c r="T272"/>
  <c r="B272"/>
  <c r="K36"/>
  <c r="L36" s="1"/>
  <c r="T36"/>
  <c r="B36"/>
  <c r="K168"/>
  <c r="L168" s="1"/>
  <c r="T168"/>
  <c r="B168"/>
  <c r="K362"/>
  <c r="L362" s="1"/>
  <c r="T362"/>
  <c r="B362"/>
  <c r="K154"/>
  <c r="L154" s="1"/>
  <c r="T154"/>
  <c r="B154"/>
  <c r="K216"/>
  <c r="L216" s="1"/>
  <c r="T216"/>
  <c r="B216"/>
  <c r="K256"/>
  <c r="L256" s="1"/>
  <c r="T256"/>
  <c r="B256"/>
  <c r="K520"/>
  <c r="L520" s="1"/>
  <c r="T520"/>
  <c r="B520"/>
  <c r="K532"/>
  <c r="L532" s="1"/>
  <c r="T532"/>
  <c r="B532"/>
  <c r="K949"/>
  <c r="L949" s="1"/>
  <c r="T949"/>
  <c r="B949"/>
  <c r="K651"/>
  <c r="L651" s="1"/>
  <c r="T651"/>
  <c r="B651"/>
  <c r="K961"/>
  <c r="L961" s="1"/>
  <c r="T961"/>
  <c r="B961"/>
  <c r="K761"/>
  <c r="L761" s="1"/>
  <c r="T761"/>
  <c r="B761"/>
  <c r="K332"/>
  <c r="L332" s="1"/>
  <c r="T332"/>
  <c r="B332"/>
  <c r="K208"/>
  <c r="L208" s="1"/>
  <c r="T208"/>
  <c r="B208"/>
  <c r="K1091"/>
  <c r="L1091" s="1"/>
  <c r="T1091"/>
  <c r="B1091"/>
  <c r="K1125"/>
  <c r="L1125" s="1"/>
  <c r="T1125"/>
  <c r="B1125"/>
  <c r="K1141"/>
  <c r="L1141" s="1"/>
  <c r="T1141"/>
  <c r="B1141"/>
  <c r="K1169"/>
  <c r="L1169" s="1"/>
  <c r="T1169"/>
  <c r="B1169"/>
  <c r="K1195"/>
  <c r="L1195" s="1"/>
  <c r="T1195"/>
  <c r="B1195"/>
  <c r="K1215"/>
  <c r="L1215" s="1"/>
  <c r="T1215"/>
  <c r="B1215"/>
  <c r="K1243"/>
  <c r="L1243" s="1"/>
  <c r="T1243"/>
  <c r="B1243"/>
  <c r="K12"/>
  <c r="L12" s="1"/>
  <c r="T12"/>
  <c r="B12"/>
  <c r="K158"/>
  <c r="L158" s="1"/>
  <c r="T158"/>
  <c r="B158"/>
  <c r="K218"/>
  <c r="L218" s="1"/>
  <c r="T218"/>
  <c r="B218"/>
  <c r="K258"/>
  <c r="L258" s="1"/>
  <c r="T258"/>
  <c r="B258"/>
  <c r="K544"/>
  <c r="L544" s="1"/>
  <c r="T544"/>
  <c r="B544"/>
  <c r="K1293"/>
  <c r="L1293" s="1"/>
  <c r="T1293"/>
  <c r="B1293"/>
  <c r="K280"/>
  <c r="L280" s="1"/>
  <c r="T280"/>
  <c r="B280"/>
  <c r="K56"/>
  <c r="L56" s="1"/>
  <c r="T56"/>
  <c r="B56"/>
  <c r="K176"/>
  <c r="L176" s="1"/>
  <c r="T176"/>
  <c r="B176"/>
  <c r="K300"/>
  <c r="L300" s="1"/>
  <c r="T300"/>
  <c r="B300"/>
  <c r="K376"/>
  <c r="L376" s="1"/>
  <c r="T376"/>
  <c r="B376"/>
  <c r="K194"/>
  <c r="L194" s="1"/>
  <c r="T194"/>
  <c r="B194"/>
  <c r="K146"/>
  <c r="L146" s="1"/>
  <c r="T146"/>
  <c r="B146"/>
  <c r="K212"/>
  <c r="L212" s="1"/>
  <c r="T212"/>
  <c r="B212"/>
  <c r="K250"/>
  <c r="L250" s="1"/>
  <c r="T250"/>
  <c r="B250"/>
  <c r="K504"/>
  <c r="L504" s="1"/>
  <c r="T504"/>
  <c r="B504"/>
  <c r="K550"/>
  <c r="L550" s="1"/>
  <c r="T550"/>
  <c r="B550"/>
  <c r="K396"/>
  <c r="L396" s="1"/>
  <c r="T396"/>
  <c r="B396"/>
  <c r="K552"/>
  <c r="L552" s="1"/>
  <c r="T552"/>
  <c r="B552"/>
  <c r="K672"/>
  <c r="L672" s="1"/>
  <c r="T672"/>
  <c r="B672"/>
  <c r="K430"/>
  <c r="L430" s="1"/>
  <c r="T430"/>
  <c r="B430"/>
  <c r="K480"/>
  <c r="L480" s="1"/>
  <c r="T480"/>
  <c r="B480"/>
  <c r="K590"/>
  <c r="L590" s="1"/>
  <c r="T590"/>
  <c r="B590"/>
  <c r="K432"/>
  <c r="L432" s="1"/>
  <c r="T432"/>
  <c r="B432"/>
  <c r="K522"/>
  <c r="L522" s="1"/>
  <c r="T522"/>
  <c r="B522"/>
  <c r="K636"/>
  <c r="L636" s="1"/>
  <c r="T636"/>
  <c r="B636"/>
  <c r="K418"/>
  <c r="L418" s="1"/>
  <c r="T418"/>
  <c r="B418"/>
  <c r="K474"/>
  <c r="L474" s="1"/>
  <c r="T474"/>
  <c r="B474"/>
  <c r="K726"/>
  <c r="L726" s="1"/>
  <c r="T726"/>
  <c r="B726"/>
  <c r="K714"/>
  <c r="L714" s="1"/>
  <c r="T714"/>
  <c r="B714"/>
  <c r="K524"/>
  <c r="L524" s="1"/>
  <c r="T524"/>
  <c r="B524"/>
  <c r="K638"/>
  <c r="L638" s="1"/>
  <c r="T638"/>
  <c r="B638"/>
  <c r="K438"/>
  <c r="L438" s="1"/>
  <c r="T438"/>
  <c r="B438"/>
  <c r="K526"/>
  <c r="L526" s="1"/>
  <c r="T526"/>
  <c r="B526"/>
  <c r="K640"/>
  <c r="L640" s="1"/>
  <c r="T640"/>
  <c r="B640"/>
  <c r="K404"/>
  <c r="L404" s="1"/>
  <c r="T404"/>
  <c r="B404"/>
  <c r="K468"/>
  <c r="L468" s="1"/>
  <c r="T468"/>
  <c r="B468"/>
  <c r="K678"/>
  <c r="L678" s="1"/>
  <c r="T678"/>
  <c r="B678"/>
  <c r="K442"/>
  <c r="L442" s="1"/>
  <c r="T442"/>
  <c r="B442"/>
  <c r="K530"/>
  <c r="L530" s="1"/>
  <c r="T530"/>
  <c r="B530"/>
  <c r="K650"/>
  <c r="L650" s="1"/>
  <c r="T650"/>
  <c r="B650"/>
  <c r="K426"/>
  <c r="L426" s="1"/>
  <c r="T426"/>
  <c r="B426"/>
  <c r="K478"/>
  <c r="L478" s="1"/>
  <c r="T478"/>
  <c r="B478"/>
  <c r="K616"/>
  <c r="L616" s="1"/>
  <c r="T616"/>
  <c r="B616"/>
  <c r="K238"/>
  <c r="L238" s="1"/>
  <c r="T238"/>
  <c r="B238"/>
  <c r="K384"/>
  <c r="L384" s="1"/>
  <c r="T384"/>
  <c r="B384"/>
  <c r="K536"/>
  <c r="L536" s="1"/>
  <c r="T536"/>
  <c r="B536"/>
  <c r="K652"/>
  <c r="L652" s="1"/>
  <c r="T652"/>
  <c r="B652"/>
  <c r="K410"/>
  <c r="L410" s="1"/>
  <c r="T410"/>
  <c r="B410"/>
  <c r="K502"/>
  <c r="L502" s="1"/>
  <c r="T502"/>
  <c r="B502"/>
  <c r="K568"/>
  <c r="L568" s="1"/>
  <c r="T568"/>
  <c r="B568"/>
  <c r="K448"/>
  <c r="L448" s="1"/>
  <c r="T448"/>
  <c r="B448"/>
  <c r="K578"/>
  <c r="L578" s="1"/>
  <c r="T578"/>
  <c r="B578"/>
  <c r="K562"/>
  <c r="L562" s="1"/>
  <c r="T562"/>
  <c r="B562"/>
  <c r="K416"/>
  <c r="L416" s="1"/>
  <c r="T416"/>
  <c r="B416"/>
  <c r="K506"/>
  <c r="L506" s="1"/>
  <c r="T506"/>
  <c r="B506"/>
  <c r="K572"/>
  <c r="L572" s="1"/>
  <c r="T572"/>
  <c r="B572"/>
  <c r="K434"/>
  <c r="L434" s="1"/>
  <c r="T434"/>
  <c r="B434"/>
  <c r="K482"/>
  <c r="L482" s="1"/>
  <c r="T482"/>
  <c r="B482"/>
  <c r="K720"/>
  <c r="L720" s="1"/>
  <c r="T720"/>
  <c r="B720"/>
  <c r="K844"/>
  <c r="L844" s="1"/>
  <c r="T844"/>
  <c r="B844"/>
  <c r="K574"/>
  <c r="L574" s="1"/>
  <c r="T574"/>
  <c r="B574"/>
  <c r="K584"/>
  <c r="L584" s="1"/>
  <c r="T584"/>
  <c r="B584"/>
  <c r="K456"/>
  <c r="L456" s="1"/>
  <c r="T456"/>
  <c r="B456"/>
  <c r="K542"/>
  <c r="L542" s="1"/>
  <c r="T542"/>
  <c r="B542"/>
  <c r="K662"/>
  <c r="L662" s="1"/>
  <c r="T662"/>
  <c r="B662"/>
  <c r="K422"/>
  <c r="L422" s="1"/>
  <c r="T422"/>
  <c r="B422"/>
  <c r="K476"/>
  <c r="L476" s="1"/>
  <c r="T476"/>
  <c r="B476"/>
  <c r="K570"/>
  <c r="L570" s="1"/>
  <c r="T570"/>
  <c r="B570"/>
  <c r="K460"/>
  <c r="L460" s="1"/>
  <c r="T460"/>
  <c r="B460"/>
  <c r="K342"/>
  <c r="L342" s="1"/>
  <c r="T342"/>
  <c r="B342"/>
  <c r="K346"/>
  <c r="L346" s="1"/>
  <c r="T346"/>
  <c r="B346"/>
  <c r="K350"/>
  <c r="L350" s="1"/>
  <c r="T350"/>
  <c r="B350"/>
  <c r="K548"/>
  <c r="L548" s="1"/>
  <c r="T548"/>
  <c r="B548"/>
  <c r="K622"/>
  <c r="L622" s="1"/>
  <c r="T622"/>
  <c r="B622"/>
  <c r="K666"/>
  <c r="L666" s="1"/>
  <c r="T666"/>
  <c r="B666"/>
  <c r="K444"/>
  <c r="L444" s="1"/>
  <c r="T444"/>
  <c r="B444"/>
  <c r="K576"/>
  <c r="L576" s="1"/>
  <c r="T576"/>
  <c r="B576"/>
  <c r="K712"/>
  <c r="L712" s="1"/>
  <c r="T712"/>
  <c r="B712"/>
  <c r="K874"/>
  <c r="L874" s="1"/>
  <c r="T874"/>
  <c r="B874"/>
  <c r="K750"/>
  <c r="L750" s="1"/>
  <c r="T750"/>
  <c r="B750"/>
  <c r="K996"/>
  <c r="L996" s="1"/>
  <c r="T996"/>
  <c r="B996"/>
  <c r="K894"/>
  <c r="L894" s="1"/>
  <c r="T894"/>
  <c r="B894"/>
  <c r="K1228"/>
  <c r="L1228" s="1"/>
  <c r="B1228"/>
  <c r="T1228"/>
  <c r="K754"/>
  <c r="L754" s="1"/>
  <c r="T754"/>
  <c r="B754"/>
  <c r="K966"/>
  <c r="L966" s="1"/>
  <c r="T966"/>
  <c r="B966"/>
  <c r="K892"/>
  <c r="L892" s="1"/>
  <c r="T892"/>
  <c r="B892"/>
  <c r="K890"/>
  <c r="L890" s="1"/>
  <c r="T890"/>
  <c r="B890"/>
  <c r="K1090"/>
  <c r="L1090" s="1"/>
  <c r="T1090"/>
  <c r="B1090"/>
  <c r="K1052"/>
  <c r="L1052" s="1"/>
  <c r="T1052"/>
  <c r="B1052"/>
  <c r="K596"/>
  <c r="L596" s="1"/>
  <c r="T596"/>
  <c r="B596"/>
  <c r="K600"/>
  <c r="L600" s="1"/>
  <c r="T600"/>
  <c r="B600"/>
  <c r="K604"/>
  <c r="L604" s="1"/>
  <c r="T604"/>
  <c r="B604"/>
  <c r="K608"/>
  <c r="L608" s="1"/>
  <c r="T608"/>
  <c r="B608"/>
  <c r="K832"/>
  <c r="L832" s="1"/>
  <c r="T832"/>
  <c r="B832"/>
  <c r="K716"/>
  <c r="L716" s="1"/>
  <c r="T716"/>
  <c r="B716"/>
  <c r="K718"/>
  <c r="L718" s="1"/>
  <c r="T718"/>
  <c r="B718"/>
  <c r="K774"/>
  <c r="L774" s="1"/>
  <c r="T774"/>
  <c r="B774"/>
  <c r="K942"/>
  <c r="L942" s="1"/>
  <c r="T942"/>
  <c r="B942"/>
  <c r="K886"/>
  <c r="L886" s="1"/>
  <c r="T886"/>
  <c r="B886"/>
  <c r="K1130"/>
  <c r="L1130" s="1"/>
  <c r="T1130"/>
  <c r="B1130"/>
  <c r="K768"/>
  <c r="L768" s="1"/>
  <c r="T768"/>
  <c r="B768"/>
  <c r="K738"/>
  <c r="L738" s="1"/>
  <c r="T738"/>
  <c r="B738"/>
  <c r="K878"/>
  <c r="L878" s="1"/>
  <c r="T878"/>
  <c r="B878"/>
  <c r="K972"/>
  <c r="L972" s="1"/>
  <c r="T972"/>
  <c r="B972"/>
  <c r="K882"/>
  <c r="L882" s="1"/>
  <c r="T882"/>
  <c r="B882"/>
  <c r="K1112"/>
  <c r="L1112" s="1"/>
  <c r="T1112"/>
  <c r="B1112"/>
  <c r="K744"/>
  <c r="L744" s="1"/>
  <c r="T744"/>
  <c r="B744"/>
  <c r="K770"/>
  <c r="L770" s="1"/>
  <c r="T770"/>
  <c r="B770"/>
  <c r="K1008"/>
  <c r="L1008" s="1"/>
  <c r="T1008"/>
  <c r="B1008"/>
  <c r="K1126"/>
  <c r="L1126" s="1"/>
  <c r="T1126"/>
  <c r="B1126"/>
  <c r="K736"/>
  <c r="L736" s="1"/>
  <c r="T736"/>
  <c r="B736"/>
  <c r="K758"/>
  <c r="L758" s="1"/>
  <c r="T758"/>
  <c r="B758"/>
  <c r="K1104"/>
  <c r="L1104" s="1"/>
  <c r="T1104"/>
  <c r="B1104"/>
  <c r="K982"/>
  <c r="L982" s="1"/>
  <c r="T982"/>
  <c r="B982"/>
  <c r="K1022"/>
  <c r="L1022" s="1"/>
  <c r="T1022"/>
  <c r="B1022"/>
  <c r="K1050"/>
  <c r="L1050" s="1"/>
  <c r="T1050"/>
  <c r="B1050"/>
  <c r="K772"/>
  <c r="L772" s="1"/>
  <c r="T772"/>
  <c r="B772"/>
  <c r="K928"/>
  <c r="L928" s="1"/>
  <c r="T928"/>
  <c r="B928"/>
  <c r="K1287"/>
  <c r="L1287" s="1"/>
  <c r="T1287"/>
  <c r="B1287"/>
  <c r="K1301"/>
  <c r="L1301" s="1"/>
  <c r="T1301"/>
  <c r="B1301"/>
  <c r="K1313"/>
  <c r="L1313" s="1"/>
  <c r="T1313"/>
  <c r="B1313"/>
  <c r="K1312"/>
  <c r="L1312" s="1"/>
  <c r="B1312"/>
  <c r="T1312"/>
  <c r="K1106"/>
  <c r="L1106" s="1"/>
  <c r="T1106"/>
  <c r="B1106"/>
  <c r="K1302"/>
  <c r="L1302" s="1"/>
  <c r="B1302"/>
  <c r="T1302"/>
  <c r="K854"/>
  <c r="L854" s="1"/>
  <c r="T854"/>
  <c r="B854"/>
  <c r="K1096"/>
  <c r="L1096" s="1"/>
  <c r="T1096"/>
  <c r="B1096"/>
  <c r="K980"/>
  <c r="L980" s="1"/>
  <c r="T980"/>
  <c r="B980"/>
  <c r="K1016"/>
  <c r="L1016" s="1"/>
  <c r="T1016"/>
  <c r="B1016"/>
  <c r="K1048"/>
  <c r="L1048" s="1"/>
  <c r="T1048"/>
  <c r="B1048"/>
  <c r="K756"/>
  <c r="L756" s="1"/>
  <c r="T756"/>
  <c r="B756"/>
  <c r="K1004"/>
  <c r="L1004" s="1"/>
  <c r="T1004"/>
  <c r="B1004"/>
  <c r="K912"/>
  <c r="L912" s="1"/>
  <c r="T912"/>
  <c r="B912"/>
  <c r="K918"/>
  <c r="L918" s="1"/>
  <c r="T918"/>
  <c r="B918"/>
  <c r="K926"/>
  <c r="L926" s="1"/>
  <c r="T926"/>
  <c r="B926"/>
  <c r="K988"/>
  <c r="L988" s="1"/>
  <c r="T988"/>
  <c r="B988"/>
  <c r="K1196"/>
  <c r="L1196" s="1"/>
  <c r="T1196"/>
  <c r="B1196"/>
  <c r="K1210"/>
  <c r="L1210" s="1"/>
  <c r="T1210"/>
  <c r="B1210"/>
  <c r="K1240"/>
  <c r="L1240" s="1"/>
  <c r="B1240"/>
  <c r="T1240"/>
  <c r="K888"/>
  <c r="L888" s="1"/>
  <c r="T888"/>
  <c r="B888"/>
  <c r="K1192"/>
  <c r="L1192" s="1"/>
  <c r="T1192"/>
  <c r="B1192"/>
  <c r="K784"/>
  <c r="L784" s="1"/>
  <c r="T784"/>
  <c r="B784"/>
  <c r="K998"/>
  <c r="L998" s="1"/>
  <c r="T998"/>
  <c r="B998"/>
  <c r="K974"/>
  <c r="L974" s="1"/>
  <c r="T974"/>
  <c r="B974"/>
  <c r="K994"/>
  <c r="L994" s="1"/>
  <c r="T994"/>
  <c r="B994"/>
  <c r="K1014"/>
  <c r="L1014" s="1"/>
  <c r="T1014"/>
  <c r="B1014"/>
  <c r="K1046"/>
  <c r="L1046" s="1"/>
  <c r="T1046"/>
  <c r="B1046"/>
  <c r="K748"/>
  <c r="L748" s="1"/>
  <c r="T748"/>
  <c r="B748"/>
  <c r="K958"/>
  <c r="L958" s="1"/>
  <c r="T958"/>
  <c r="B958"/>
  <c r="K1136"/>
  <c r="L1136" s="1"/>
  <c r="T1136"/>
  <c r="B1136"/>
  <c r="K1226"/>
  <c r="L1226" s="1"/>
  <c r="T1226"/>
  <c r="B1226"/>
  <c r="K1220"/>
  <c r="L1220" s="1"/>
  <c r="T1220"/>
  <c r="B1220"/>
  <c r="K1286"/>
  <c r="L1286" s="1"/>
  <c r="B1286"/>
  <c r="T1286"/>
  <c r="K1134"/>
  <c r="L1134" s="1"/>
  <c r="T1134"/>
  <c r="B1134"/>
  <c r="K752"/>
  <c r="L752" s="1"/>
  <c r="T752"/>
  <c r="B752"/>
  <c r="K762"/>
  <c r="L762" s="1"/>
  <c r="T762"/>
  <c r="B762"/>
  <c r="K1305"/>
  <c r="L1305" s="1"/>
  <c r="T1305"/>
  <c r="B1305"/>
  <c r="K1080"/>
  <c r="L1080" s="1"/>
  <c r="T1080"/>
  <c r="B1080"/>
  <c r="K1042"/>
  <c r="L1042" s="1"/>
  <c r="T1042"/>
  <c r="B1042"/>
  <c r="K740"/>
  <c r="L740" s="1"/>
  <c r="T740"/>
  <c r="B740"/>
  <c r="K930"/>
  <c r="L930" s="1"/>
  <c r="T930"/>
  <c r="B930"/>
  <c r="K968"/>
  <c r="L968" s="1"/>
  <c r="T968"/>
  <c r="B968"/>
  <c r="K1064"/>
  <c r="L1064" s="1"/>
  <c r="T1064"/>
  <c r="B1064"/>
  <c r="K1290"/>
  <c r="L1290" s="1"/>
  <c r="B1290"/>
  <c r="T1290"/>
  <c r="K1244"/>
  <c r="L1244" s="1"/>
  <c r="B1244"/>
  <c r="T1244"/>
  <c r="K1310"/>
  <c r="L1310" s="1"/>
  <c r="B1310"/>
  <c r="T1310"/>
  <c r="K1270"/>
  <c r="L1270" s="1"/>
  <c r="B1270"/>
  <c r="T1270"/>
  <c r="K1294"/>
  <c r="L1294" s="1"/>
  <c r="B1294"/>
  <c r="T1294"/>
  <c r="K1275"/>
  <c r="L1275" s="1"/>
  <c r="T1275"/>
  <c r="B1275"/>
  <c r="K1274"/>
  <c r="L1274" s="1"/>
  <c r="B1274"/>
  <c r="T1274"/>
  <c r="K1330"/>
  <c r="L1330" s="1"/>
  <c r="B1330"/>
  <c r="T1330"/>
  <c r="K1144"/>
  <c r="L1144" s="1"/>
  <c r="T1144"/>
  <c r="B1144"/>
  <c r="K1148"/>
  <c r="L1148" s="1"/>
  <c r="T1148"/>
  <c r="B1148"/>
  <c r="K1162"/>
  <c r="L1162" s="1"/>
  <c r="T1162"/>
  <c r="B1162"/>
  <c r="K1168"/>
  <c r="L1168" s="1"/>
  <c r="T1168"/>
  <c r="B1168"/>
  <c r="K1174"/>
  <c r="L1174" s="1"/>
  <c r="T1174"/>
  <c r="B1174"/>
  <c r="K1184"/>
  <c r="L1184" s="1"/>
  <c r="T1184"/>
  <c r="B1184"/>
  <c r="K1190"/>
  <c r="L1190" s="1"/>
  <c r="T1190"/>
  <c r="B1190"/>
  <c r="K1333"/>
  <c r="L1333" s="1"/>
  <c r="T1333"/>
  <c r="B1333"/>
  <c r="K1309"/>
  <c r="L1309" s="1"/>
  <c r="T1309"/>
  <c r="B1309"/>
  <c r="K1292"/>
  <c r="L1292" s="1"/>
  <c r="B1292"/>
  <c r="T1292"/>
  <c r="K1296"/>
  <c r="L1296" s="1"/>
  <c r="B1296"/>
  <c r="T1296"/>
  <c r="K1334"/>
  <c r="L1334" s="1"/>
  <c r="B1334"/>
  <c r="T1334"/>
  <c r="K1317"/>
  <c r="L1317" s="1"/>
  <c r="T1317"/>
  <c r="B1317"/>
  <c r="K1325"/>
  <c r="L1325" s="1"/>
  <c r="T1325"/>
  <c r="B1325"/>
  <c r="K132"/>
  <c r="L132" s="1"/>
  <c r="T132"/>
  <c r="B132"/>
  <c r="K120"/>
  <c r="L120" s="1"/>
  <c r="T120"/>
  <c r="B120"/>
  <c r="K172"/>
  <c r="L172" s="1"/>
  <c r="T172"/>
  <c r="B172"/>
  <c r="K370"/>
  <c r="L370" s="1"/>
  <c r="T370"/>
  <c r="B370"/>
  <c r="K1097"/>
  <c r="L1097" s="1"/>
  <c r="T1097"/>
  <c r="B1097"/>
  <c r="K1129"/>
  <c r="L1129" s="1"/>
  <c r="T1129"/>
  <c r="B1129"/>
  <c r="K1145"/>
  <c r="L1145" s="1"/>
  <c r="T1145"/>
  <c r="B1145"/>
  <c r="K1181"/>
  <c r="L1181" s="1"/>
  <c r="T1181"/>
  <c r="B1181"/>
  <c r="K1199"/>
  <c r="L1199" s="1"/>
  <c r="T1199"/>
  <c r="B1199"/>
  <c r="K1223"/>
  <c r="L1223" s="1"/>
  <c r="T1223"/>
  <c r="B1223"/>
  <c r="K1247"/>
  <c r="L1247" s="1"/>
  <c r="T1247"/>
  <c r="B1247"/>
  <c r="K50"/>
  <c r="L50" s="1"/>
  <c r="T50"/>
  <c r="B50"/>
  <c r="K174"/>
  <c r="L174" s="1"/>
  <c r="T174"/>
  <c r="B174"/>
  <c r="K226"/>
  <c r="L226" s="1"/>
  <c r="T226"/>
  <c r="B226"/>
  <c r="K268"/>
  <c r="L268" s="1"/>
  <c r="T268"/>
  <c r="B268"/>
  <c r="K1281"/>
  <c r="L1281" s="1"/>
  <c r="T1281"/>
  <c r="B1281"/>
  <c r="K4"/>
  <c r="L4" s="1"/>
  <c r="T4"/>
  <c r="B4"/>
  <c r="K90"/>
  <c r="L90" s="1"/>
  <c r="T90"/>
  <c r="B90"/>
  <c r="K326"/>
  <c r="L326" s="1"/>
  <c r="T326"/>
  <c r="B326"/>
  <c r="K394"/>
  <c r="L394" s="1"/>
  <c r="T394"/>
  <c r="B394"/>
  <c r="K80"/>
  <c r="L80" s="1"/>
  <c r="T80"/>
  <c r="B80"/>
  <c r="K192"/>
  <c r="L192" s="1"/>
  <c r="T192"/>
  <c r="B192"/>
  <c r="K352"/>
  <c r="L352" s="1"/>
  <c r="T352"/>
  <c r="B352"/>
  <c r="K18"/>
  <c r="L18" s="1"/>
  <c r="T18"/>
  <c r="B18"/>
  <c r="K701"/>
  <c r="L701" s="1"/>
  <c r="T701"/>
  <c r="B701"/>
  <c r="K907"/>
  <c r="L907" s="1"/>
  <c r="T907"/>
  <c r="B907"/>
  <c r="K669"/>
  <c r="L669" s="1"/>
  <c r="T669"/>
  <c r="B669"/>
  <c r="K811"/>
  <c r="L811" s="1"/>
  <c r="T811"/>
  <c r="B811"/>
  <c r="K76"/>
  <c r="L76" s="1"/>
  <c r="T76"/>
  <c r="B76"/>
  <c r="K388"/>
  <c r="L388" s="1"/>
  <c r="T388"/>
  <c r="B388"/>
  <c r="K1099"/>
  <c r="L1099" s="1"/>
  <c r="T1099"/>
  <c r="B1099"/>
  <c r="K1131"/>
  <c r="L1131" s="1"/>
  <c r="T1131"/>
  <c r="B1131"/>
  <c r="K1147"/>
  <c r="L1147" s="1"/>
  <c r="T1147"/>
  <c r="B1147"/>
  <c r="K1183"/>
  <c r="L1183" s="1"/>
  <c r="T1183"/>
  <c r="B1183"/>
  <c r="K1201"/>
  <c r="L1201" s="1"/>
  <c r="T1201"/>
  <c r="B1201"/>
  <c r="K1225"/>
  <c r="L1225" s="1"/>
  <c r="T1225"/>
  <c r="B1225"/>
  <c r="K1253"/>
  <c r="L1253" s="1"/>
  <c r="T1253"/>
  <c r="B1253"/>
  <c r="K66"/>
  <c r="L66" s="1"/>
  <c r="T66"/>
  <c r="B66"/>
  <c r="K182"/>
  <c r="L182" s="1"/>
  <c r="T182"/>
  <c r="B182"/>
  <c r="K232"/>
  <c r="L232" s="1"/>
  <c r="T232"/>
  <c r="B232"/>
  <c r="K316"/>
  <c r="L316" s="1"/>
  <c r="T316"/>
  <c r="B316"/>
  <c r="K528"/>
  <c r="L528" s="1"/>
  <c r="T528"/>
  <c r="B528"/>
  <c r="K1081"/>
  <c r="L1081" s="1"/>
  <c r="T1081"/>
  <c r="B1081"/>
  <c r="K98"/>
  <c r="L98" s="1"/>
  <c r="T98"/>
  <c r="B98"/>
  <c r="K336"/>
  <c r="L336" s="1"/>
  <c r="T336"/>
  <c r="B336"/>
  <c r="K136"/>
  <c r="L136" s="1"/>
  <c r="T136"/>
  <c r="B136"/>
  <c r="K202"/>
  <c r="L202" s="1"/>
  <c r="T202"/>
  <c r="B202"/>
  <c r="K70"/>
  <c r="L70" s="1"/>
  <c r="T70"/>
  <c r="B70"/>
  <c r="K186"/>
  <c r="L186" s="1"/>
  <c r="T186"/>
  <c r="B186"/>
  <c r="K234"/>
  <c r="L234" s="1"/>
  <c r="T234"/>
  <c r="B234"/>
  <c r="K320"/>
  <c r="L320" s="1"/>
  <c r="T320"/>
  <c r="B320"/>
  <c r="K500"/>
  <c r="L500" s="1"/>
  <c r="T500"/>
  <c r="B500"/>
  <c r="K628"/>
  <c r="L628" s="1"/>
  <c r="T628"/>
  <c r="B628"/>
  <c r="K649"/>
  <c r="L649" s="1"/>
  <c r="T649"/>
  <c r="B649"/>
  <c r="K655"/>
  <c r="L655" s="1"/>
  <c r="T655"/>
  <c r="B655"/>
  <c r="K721"/>
  <c r="L721" s="1"/>
  <c r="T721"/>
  <c r="B721"/>
  <c r="K1303"/>
  <c r="L1303" s="1"/>
  <c r="T1303"/>
  <c r="B1303"/>
  <c r="K140"/>
  <c r="L140" s="1"/>
  <c r="T140"/>
  <c r="B140"/>
  <c r="K1073"/>
  <c r="L1073" s="1"/>
  <c r="T1073"/>
  <c r="B1073"/>
  <c r="K1103"/>
  <c r="L1103" s="1"/>
  <c r="T1103"/>
  <c r="B1103"/>
  <c r="K1133"/>
  <c r="L1133" s="1"/>
  <c r="T1133"/>
  <c r="B1133"/>
  <c r="K1149"/>
  <c r="L1149" s="1"/>
  <c r="T1149"/>
  <c r="B1149"/>
  <c r="K1187"/>
  <c r="L1187" s="1"/>
  <c r="T1187"/>
  <c r="B1187"/>
  <c r="K1203"/>
  <c r="L1203" s="1"/>
  <c r="T1203"/>
  <c r="B1203"/>
  <c r="K1227"/>
  <c r="L1227" s="1"/>
  <c r="T1227"/>
  <c r="B1227"/>
  <c r="K1255"/>
  <c r="L1255" s="1"/>
  <c r="T1255"/>
  <c r="B1255"/>
  <c r="K78"/>
  <c r="L78" s="1"/>
  <c r="T78"/>
  <c r="B78"/>
  <c r="K190"/>
  <c r="L190" s="1"/>
  <c r="T190"/>
  <c r="B190"/>
  <c r="K236"/>
  <c r="L236" s="1"/>
  <c r="T236"/>
  <c r="B236"/>
  <c r="K322"/>
  <c r="L322" s="1"/>
  <c r="T322"/>
  <c r="B322"/>
  <c r="K104"/>
  <c r="L104" s="1"/>
  <c r="T104"/>
  <c r="B104"/>
  <c r="K106"/>
  <c r="L106" s="1"/>
  <c r="T106"/>
  <c r="B106"/>
  <c r="K360"/>
  <c r="L360" s="1"/>
  <c r="T360"/>
  <c r="B360"/>
  <c r="K144"/>
  <c r="L144" s="1"/>
  <c r="T144"/>
  <c r="B144"/>
  <c r="K298"/>
  <c r="L298" s="1"/>
  <c r="T298"/>
  <c r="B298"/>
  <c r="K304"/>
  <c r="L304" s="1"/>
  <c r="T304"/>
  <c r="B304"/>
  <c r="K82"/>
  <c r="L82" s="1"/>
  <c r="T82"/>
  <c r="B82"/>
  <c r="K60"/>
  <c r="L60" s="1"/>
  <c r="T60"/>
  <c r="B60"/>
  <c r="K178"/>
  <c r="L178" s="1"/>
  <c r="T178"/>
  <c r="B178"/>
  <c r="K228"/>
  <c r="L228" s="1"/>
  <c r="T228"/>
  <c r="B228"/>
  <c r="K270"/>
  <c r="L270" s="1"/>
  <c r="T270"/>
  <c r="B270"/>
  <c r="K492"/>
  <c r="L492" s="1"/>
  <c r="T492"/>
  <c r="B492"/>
  <c r="K428"/>
  <c r="L428" s="1"/>
  <c r="T428"/>
  <c r="B428"/>
  <c r="K518"/>
  <c r="L518" s="1"/>
  <c r="T518"/>
  <c r="B518"/>
  <c r="K632"/>
  <c r="L632" s="1"/>
  <c r="T632"/>
  <c r="B632"/>
  <c r="K464"/>
  <c r="L464" s="1"/>
  <c r="T464"/>
  <c r="B464"/>
  <c r="K690"/>
  <c r="L690" s="1"/>
  <c r="T690"/>
  <c r="B690"/>
  <c r="K664"/>
  <c r="L664" s="1"/>
  <c r="T664"/>
  <c r="B664"/>
  <c r="K398"/>
  <c r="L398" s="1"/>
  <c r="T398"/>
  <c r="B398"/>
  <c r="K490"/>
  <c r="L490" s="1"/>
  <c r="T490"/>
  <c r="B490"/>
  <c r="K556"/>
  <c r="L556" s="1"/>
  <c r="T556"/>
  <c r="B556"/>
  <c r="K682"/>
  <c r="L682" s="1"/>
  <c r="T682"/>
  <c r="B682"/>
  <c r="K452"/>
  <c r="L452" s="1"/>
  <c r="T452"/>
  <c r="B452"/>
  <c r="K580"/>
  <c r="L580" s="1"/>
  <c r="T580"/>
  <c r="B580"/>
  <c r="K702"/>
  <c r="L702" s="1"/>
  <c r="T702"/>
  <c r="B702"/>
  <c r="K742"/>
  <c r="L742" s="1"/>
  <c r="T742"/>
  <c r="B742"/>
  <c r="K558"/>
  <c r="L558" s="1"/>
  <c r="T558"/>
  <c r="B558"/>
  <c r="K686"/>
  <c r="L686" s="1"/>
  <c r="T686"/>
  <c r="B686"/>
  <c r="K402"/>
  <c r="L402" s="1"/>
  <c r="T402"/>
  <c r="B402"/>
  <c r="K494"/>
  <c r="L494" s="1"/>
  <c r="T494"/>
  <c r="B494"/>
  <c r="K560"/>
  <c r="L560" s="1"/>
  <c r="T560"/>
  <c r="B560"/>
  <c r="K440"/>
  <c r="L440" s="1"/>
  <c r="T440"/>
  <c r="B440"/>
  <c r="K484"/>
  <c r="L484" s="1"/>
  <c r="T484"/>
  <c r="B484"/>
  <c r="K634"/>
  <c r="L634" s="1"/>
  <c r="T634"/>
  <c r="B634"/>
  <c r="K406"/>
  <c r="L406" s="1"/>
  <c r="T406"/>
  <c r="B406"/>
  <c r="K498"/>
  <c r="L498" s="1"/>
  <c r="T498"/>
  <c r="B498"/>
  <c r="K564"/>
  <c r="L564" s="1"/>
  <c r="T564"/>
  <c r="B564"/>
  <c r="K462"/>
  <c r="L462" s="1"/>
  <c r="T462"/>
  <c r="B462"/>
  <c r="K688"/>
  <c r="L688" s="1"/>
  <c r="T688"/>
  <c r="B688"/>
  <c r="K220"/>
  <c r="L220" s="1"/>
  <c r="T220"/>
  <c r="B220"/>
  <c r="K260"/>
  <c r="L260" s="1"/>
  <c r="T260"/>
  <c r="B260"/>
  <c r="K390"/>
  <c r="L390" s="1"/>
  <c r="T390"/>
  <c r="B390"/>
  <c r="K508"/>
  <c r="L508" s="1"/>
  <c r="T508"/>
  <c r="B508"/>
  <c r="K446"/>
  <c r="L446" s="1"/>
  <c r="T446"/>
  <c r="B446"/>
  <c r="K534"/>
  <c r="L534" s="1"/>
  <c r="T534"/>
  <c r="B534"/>
  <c r="K654"/>
  <c r="L654" s="1"/>
  <c r="T654"/>
  <c r="B654"/>
  <c r="K414"/>
  <c r="L414" s="1"/>
  <c r="T414"/>
  <c r="B414"/>
  <c r="K472"/>
  <c r="L472" s="1"/>
  <c r="T472"/>
  <c r="B472"/>
  <c r="K642"/>
  <c r="L642" s="1"/>
  <c r="T642"/>
  <c r="B642"/>
  <c r="K450"/>
  <c r="L450" s="1"/>
  <c r="T450"/>
  <c r="B450"/>
  <c r="K538"/>
  <c r="L538" s="1"/>
  <c r="T538"/>
  <c r="B538"/>
  <c r="K658"/>
  <c r="L658" s="1"/>
  <c r="T658"/>
  <c r="B658"/>
  <c r="K400"/>
  <c r="L400" s="1"/>
  <c r="T400"/>
  <c r="B400"/>
  <c r="K466"/>
  <c r="L466" s="1"/>
  <c r="T466"/>
  <c r="B466"/>
  <c r="K694"/>
  <c r="L694" s="1"/>
  <c r="T694"/>
  <c r="B694"/>
  <c r="K618"/>
  <c r="L618" s="1"/>
  <c r="T618"/>
  <c r="B618"/>
  <c r="K708"/>
  <c r="L708" s="1"/>
  <c r="T708"/>
  <c r="B708"/>
  <c r="K764"/>
  <c r="L764" s="1"/>
  <c r="T764"/>
  <c r="B764"/>
  <c r="K540"/>
  <c r="L540" s="1"/>
  <c r="T540"/>
  <c r="B540"/>
  <c r="K582"/>
  <c r="L582" s="1"/>
  <c r="T582"/>
  <c r="B582"/>
  <c r="K660"/>
  <c r="L660" s="1"/>
  <c r="T660"/>
  <c r="B660"/>
  <c r="K420"/>
  <c r="L420" s="1"/>
  <c r="T420"/>
  <c r="B420"/>
  <c r="K510"/>
  <c r="L510" s="1"/>
  <c r="T510"/>
  <c r="B510"/>
  <c r="K588"/>
  <c r="L588" s="1"/>
  <c r="T588"/>
  <c r="B588"/>
  <c r="K458"/>
  <c r="L458" s="1"/>
  <c r="T458"/>
  <c r="B458"/>
  <c r="K612"/>
  <c r="L612" s="1"/>
  <c r="T612"/>
  <c r="B612"/>
  <c r="K730"/>
  <c r="L730" s="1"/>
  <c r="T730"/>
  <c r="B730"/>
  <c r="K656"/>
  <c r="L656" s="1"/>
  <c r="T656"/>
  <c r="B656"/>
  <c r="K424"/>
  <c r="L424" s="1"/>
  <c r="T424"/>
  <c r="B424"/>
  <c r="K340"/>
  <c r="L340" s="1"/>
  <c r="T340"/>
  <c r="B340"/>
  <c r="K344"/>
  <c r="L344" s="1"/>
  <c r="T344"/>
  <c r="B344"/>
  <c r="K348"/>
  <c r="L348" s="1"/>
  <c r="T348"/>
  <c r="B348"/>
  <c r="K514"/>
  <c r="L514" s="1"/>
  <c r="T514"/>
  <c r="B514"/>
  <c r="K592"/>
  <c r="L592" s="1"/>
  <c r="T592"/>
  <c r="B592"/>
  <c r="K626"/>
  <c r="L626" s="1"/>
  <c r="T626"/>
  <c r="B626"/>
  <c r="K408"/>
  <c r="L408" s="1"/>
  <c r="T408"/>
  <c r="B408"/>
  <c r="K470"/>
  <c r="L470" s="1"/>
  <c r="T470"/>
  <c r="B470"/>
  <c r="K698"/>
  <c r="L698" s="1"/>
  <c r="T698"/>
  <c r="B698"/>
  <c r="K724"/>
  <c r="L724" s="1"/>
  <c r="T724"/>
  <c r="B724"/>
  <c r="K722"/>
  <c r="L722" s="1"/>
  <c r="T722"/>
  <c r="B722"/>
  <c r="K866"/>
  <c r="L866" s="1"/>
  <c r="T866"/>
  <c r="B866"/>
  <c r="K1000"/>
  <c r="L1000" s="1"/>
  <c r="T1000"/>
  <c r="B1000"/>
  <c r="K1102"/>
  <c r="L1102" s="1"/>
  <c r="T1102"/>
  <c r="B1102"/>
  <c r="K1074"/>
  <c r="L1074" s="1"/>
  <c r="T1074"/>
  <c r="B1074"/>
  <c r="K858"/>
  <c r="L858" s="1"/>
  <c r="T858"/>
  <c r="B858"/>
  <c r="K970"/>
  <c r="L970" s="1"/>
  <c r="T970"/>
  <c r="B970"/>
  <c r="K960"/>
  <c r="L960" s="1"/>
  <c r="T960"/>
  <c r="B960"/>
  <c r="K1084"/>
  <c r="L1084" s="1"/>
  <c r="T1084"/>
  <c r="B1084"/>
  <c r="K1138"/>
  <c r="L1138" s="1"/>
  <c r="T1138"/>
  <c r="B1138"/>
  <c r="K820"/>
  <c r="L820" s="1"/>
  <c r="T820"/>
  <c r="B820"/>
  <c r="K598"/>
  <c r="L598" s="1"/>
  <c r="T598"/>
  <c r="B598"/>
  <c r="K602"/>
  <c r="L602" s="1"/>
  <c r="T602"/>
  <c r="B602"/>
  <c r="K606"/>
  <c r="L606" s="1"/>
  <c r="T606"/>
  <c r="B606"/>
  <c r="K610"/>
  <c r="L610" s="1"/>
  <c r="T610"/>
  <c r="B610"/>
  <c r="K746"/>
  <c r="L746" s="1"/>
  <c r="T746"/>
  <c r="B746"/>
  <c r="K956"/>
  <c r="L956" s="1"/>
  <c r="T956"/>
  <c r="B956"/>
  <c r="K734"/>
  <c r="L734" s="1"/>
  <c r="T734"/>
  <c r="B734"/>
  <c r="K704"/>
  <c r="L704" s="1"/>
  <c r="T704"/>
  <c r="B704"/>
  <c r="K766"/>
  <c r="L766" s="1"/>
  <c r="T766"/>
  <c r="B766"/>
  <c r="K732"/>
  <c r="L732" s="1"/>
  <c r="T732"/>
  <c r="B732"/>
  <c r="K810"/>
  <c r="L810" s="1"/>
  <c r="T810"/>
  <c r="B810"/>
  <c r="K950"/>
  <c r="L950" s="1"/>
  <c r="T950"/>
  <c r="B950"/>
  <c r="K1002"/>
  <c r="L1002" s="1"/>
  <c r="T1002"/>
  <c r="B1002"/>
  <c r="K964"/>
  <c r="L964" s="1"/>
  <c r="T964"/>
  <c r="B964"/>
  <c r="K788"/>
  <c r="L788" s="1"/>
  <c r="T788"/>
  <c r="B788"/>
  <c r="K884"/>
  <c r="L884" s="1"/>
  <c r="T884"/>
  <c r="B884"/>
  <c r="K880"/>
  <c r="L880" s="1"/>
  <c r="T880"/>
  <c r="B880"/>
  <c r="K898"/>
  <c r="L898" s="1"/>
  <c r="T898"/>
  <c r="B898"/>
  <c r="K1295"/>
  <c r="L1295" s="1"/>
  <c r="T1295"/>
  <c r="B1295"/>
  <c r="K728"/>
  <c r="L728" s="1"/>
  <c r="T728"/>
  <c r="B728"/>
  <c r="K870"/>
  <c r="L870" s="1"/>
  <c r="T870"/>
  <c r="B870"/>
  <c r="K896"/>
  <c r="L896" s="1"/>
  <c r="T896"/>
  <c r="B896"/>
  <c r="K1321"/>
  <c r="L1321" s="1"/>
  <c r="T1321"/>
  <c r="B1321"/>
  <c r="K868"/>
  <c r="L868" s="1"/>
  <c r="T868"/>
  <c r="B868"/>
  <c r="K760"/>
  <c r="L760" s="1"/>
  <c r="T760"/>
  <c r="B760"/>
  <c r="K1238"/>
  <c r="L1238" s="1"/>
  <c r="B1238"/>
  <c r="T1238"/>
  <c r="K1072"/>
  <c r="L1072" s="1"/>
  <c r="T1072"/>
  <c r="B1072"/>
  <c r="K1038"/>
  <c r="L1038" s="1"/>
  <c r="T1038"/>
  <c r="B1038"/>
  <c r="K1078"/>
  <c r="L1078" s="1"/>
  <c r="T1078"/>
  <c r="B1078"/>
  <c r="K872"/>
  <c r="L872" s="1"/>
  <c r="T872"/>
  <c r="B872"/>
  <c r="K1108"/>
  <c r="L1108" s="1"/>
  <c r="T1108"/>
  <c r="B1108"/>
  <c r="K1076"/>
  <c r="L1076" s="1"/>
  <c r="T1076"/>
  <c r="B1076"/>
  <c r="K1208"/>
  <c r="L1208" s="1"/>
  <c r="T1208"/>
  <c r="B1208"/>
  <c r="K1272"/>
  <c r="L1272" s="1"/>
  <c r="B1272"/>
  <c r="T1272"/>
  <c r="K1320"/>
  <c r="L1320" s="1"/>
  <c r="B1320"/>
  <c r="T1320"/>
  <c r="K1298"/>
  <c r="L1298" s="1"/>
  <c r="B1298"/>
  <c r="T1298"/>
  <c r="K1062"/>
  <c r="L1062" s="1"/>
  <c r="T1062"/>
  <c r="B1062"/>
  <c r="K962"/>
  <c r="L962" s="1"/>
  <c r="T962"/>
  <c r="B962"/>
  <c r="K1140"/>
  <c r="L1140" s="1"/>
  <c r="T1140"/>
  <c r="B1140"/>
  <c r="K1060"/>
  <c r="L1060" s="1"/>
  <c r="T1060"/>
  <c r="B1060"/>
  <c r="K1036"/>
  <c r="L1036" s="1"/>
  <c r="T1036"/>
  <c r="B1036"/>
  <c r="K1066"/>
  <c r="L1066" s="1"/>
  <c r="T1066"/>
  <c r="B1066"/>
  <c r="K862"/>
  <c r="L862" s="1"/>
  <c r="T862"/>
  <c r="B862"/>
  <c r="K902"/>
  <c r="L902" s="1"/>
  <c r="T902"/>
  <c r="B902"/>
  <c r="K914"/>
  <c r="L914" s="1"/>
  <c r="T914"/>
  <c r="B914"/>
  <c r="K920"/>
  <c r="L920" s="1"/>
  <c r="T920"/>
  <c r="B920"/>
  <c r="K1100"/>
  <c r="L1100" s="1"/>
  <c r="T1100"/>
  <c r="B1100"/>
  <c r="K990"/>
  <c r="L990" s="1"/>
  <c r="T990"/>
  <c r="B990"/>
  <c r="K1300"/>
  <c r="L1300" s="1"/>
  <c r="B1300"/>
  <c r="T1300"/>
  <c r="K1268"/>
  <c r="L1268" s="1"/>
  <c r="B1268"/>
  <c r="T1268"/>
  <c r="K1242"/>
  <c r="L1242" s="1"/>
  <c r="B1242"/>
  <c r="T1242"/>
  <c r="K1098"/>
  <c r="L1098" s="1"/>
  <c r="T1098"/>
  <c r="B1098"/>
  <c r="K1058"/>
  <c r="L1058" s="1"/>
  <c r="T1058"/>
  <c r="B1058"/>
  <c r="K954"/>
  <c r="L954" s="1"/>
  <c r="T954"/>
  <c r="B954"/>
  <c r="K1132"/>
  <c r="L1132" s="1"/>
  <c r="T1132"/>
  <c r="B1132"/>
  <c r="K976"/>
  <c r="L976" s="1"/>
  <c r="T976"/>
  <c r="B976"/>
  <c r="K1012"/>
  <c r="L1012" s="1"/>
  <c r="T1012"/>
  <c r="B1012"/>
  <c r="K1030"/>
  <c r="L1030" s="1"/>
  <c r="T1030"/>
  <c r="B1030"/>
  <c r="K1200"/>
  <c r="L1200" s="1"/>
  <c r="T1200"/>
  <c r="B1200"/>
  <c r="K836"/>
  <c r="L836" s="1"/>
  <c r="T836"/>
  <c r="B836"/>
  <c r="K1006"/>
  <c r="L1006" s="1"/>
  <c r="T1006"/>
  <c r="B1006"/>
  <c r="K1054"/>
  <c r="L1054" s="1"/>
  <c r="T1054"/>
  <c r="B1054"/>
  <c r="K1202"/>
  <c r="L1202" s="1"/>
  <c r="T1202"/>
  <c r="B1202"/>
  <c r="K1254"/>
  <c r="L1254" s="1"/>
  <c r="B1254"/>
  <c r="T1254"/>
  <c r="K1010"/>
  <c r="L1010" s="1"/>
  <c r="T1010"/>
  <c r="B1010"/>
  <c r="K992"/>
  <c r="L992" s="1"/>
  <c r="T992"/>
  <c r="B992"/>
  <c r="K876"/>
  <c r="L876" s="1"/>
  <c r="T876"/>
  <c r="B876"/>
  <c r="K1116"/>
  <c r="L1116" s="1"/>
  <c r="T1116"/>
  <c r="B1116"/>
  <c r="K984"/>
  <c r="L984" s="1"/>
  <c r="T984"/>
  <c r="B984"/>
  <c r="K1024"/>
  <c r="L1024" s="1"/>
  <c r="T1024"/>
  <c r="B1024"/>
  <c r="K1194"/>
  <c r="L1194" s="1"/>
  <c r="T1194"/>
  <c r="B1194"/>
  <c r="K804"/>
  <c r="L804" s="1"/>
  <c r="T804"/>
  <c r="B804"/>
  <c r="K932"/>
  <c r="L932" s="1"/>
  <c r="T932"/>
  <c r="B932"/>
  <c r="K1128"/>
  <c r="L1128" s="1"/>
  <c r="T1128"/>
  <c r="B1128"/>
  <c r="K1224"/>
  <c r="L1224" s="1"/>
  <c r="T1224"/>
  <c r="B1224"/>
  <c r="K1262"/>
  <c r="L1262" s="1"/>
  <c r="B1262"/>
  <c r="T1262"/>
  <c r="K1222"/>
  <c r="L1222" s="1"/>
  <c r="T1222"/>
  <c r="B1222"/>
  <c r="K1276"/>
  <c r="L1276" s="1"/>
  <c r="B1276"/>
  <c r="T1276"/>
  <c r="K1246"/>
  <c r="L1246" s="1"/>
  <c r="B1246"/>
  <c r="T1246"/>
  <c r="K1284"/>
  <c r="L1284" s="1"/>
  <c r="B1284"/>
  <c r="T1284"/>
  <c r="K1332"/>
  <c r="L1332" s="1"/>
  <c r="B1332"/>
  <c r="T1332"/>
  <c r="K1291"/>
  <c r="L1291" s="1"/>
  <c r="T1291"/>
  <c r="B1291"/>
  <c r="K1288"/>
  <c r="L1288" s="1"/>
  <c r="B1288"/>
  <c r="T1288"/>
  <c r="K1232"/>
  <c r="L1232" s="1"/>
  <c r="B1232"/>
  <c r="T1232"/>
  <c r="K1142"/>
  <c r="L1142" s="1"/>
  <c r="T1142"/>
  <c r="B1142"/>
  <c r="K1146"/>
  <c r="L1146" s="1"/>
  <c r="T1146"/>
  <c r="B1146"/>
  <c r="K1160"/>
  <c r="L1160" s="1"/>
  <c r="T1160"/>
  <c r="B1160"/>
  <c r="K1166"/>
  <c r="L1166" s="1"/>
  <c r="T1166"/>
  <c r="B1166"/>
  <c r="K1170"/>
  <c r="L1170" s="1"/>
  <c r="T1170"/>
  <c r="B1170"/>
  <c r="K1182"/>
  <c r="L1182" s="1"/>
  <c r="T1182"/>
  <c r="B1182"/>
  <c r="K1186"/>
  <c r="L1186" s="1"/>
  <c r="T1186"/>
  <c r="B1186"/>
  <c r="K1314"/>
  <c r="L1314" s="1"/>
  <c r="B1314"/>
  <c r="T1314"/>
  <c r="K1269"/>
  <c r="L1269" s="1"/>
  <c r="T1269"/>
  <c r="B1269"/>
  <c r="K1316"/>
  <c r="L1316" s="1"/>
  <c r="B1316"/>
  <c r="T1316"/>
  <c r="K1324"/>
  <c r="L1324" s="1"/>
  <c r="B1324"/>
  <c r="T1324"/>
  <c r="K1271"/>
  <c r="L1271" s="1"/>
  <c r="T1271"/>
  <c r="B1271"/>
  <c r="AZ19"/>
  <c r="BL19"/>
  <c r="O1271" l="1"/>
  <c r="M1271"/>
  <c r="N1271"/>
  <c r="O1182"/>
  <c r="M1182"/>
  <c r="N1182"/>
  <c r="C1166"/>
  <c r="O1146"/>
  <c r="M1146"/>
  <c r="N1146"/>
  <c r="C1288"/>
  <c r="O1291"/>
  <c r="M1291"/>
  <c r="N1291"/>
  <c r="C1246"/>
  <c r="O1276"/>
  <c r="M1276"/>
  <c r="N1276"/>
  <c r="O1128"/>
  <c r="M1128"/>
  <c r="N1128"/>
  <c r="O804"/>
  <c r="N804"/>
  <c r="M804"/>
  <c r="C1024"/>
  <c r="C1116"/>
  <c r="C992"/>
  <c r="O1254"/>
  <c r="M1254"/>
  <c r="N1254"/>
  <c r="C1054"/>
  <c r="O1054"/>
  <c r="M1054"/>
  <c r="N1054"/>
  <c r="O836"/>
  <c r="N836"/>
  <c r="M836"/>
  <c r="C1030"/>
  <c r="O976"/>
  <c r="M976"/>
  <c r="N976"/>
  <c r="C954"/>
  <c r="C1098"/>
  <c r="C1300"/>
  <c r="O990"/>
  <c r="M990"/>
  <c r="N990"/>
  <c r="C920"/>
  <c r="O902"/>
  <c r="M902"/>
  <c r="N902"/>
  <c r="C1066"/>
  <c r="O1060"/>
  <c r="M1060"/>
  <c r="N1060"/>
  <c r="C962"/>
  <c r="O962"/>
  <c r="M962"/>
  <c r="N962"/>
  <c r="O1298"/>
  <c r="M1298"/>
  <c r="N1298"/>
  <c r="O1076"/>
  <c r="M1076"/>
  <c r="N1076"/>
  <c r="C872"/>
  <c r="C1038"/>
  <c r="O1238"/>
  <c r="M1238"/>
  <c r="N1238"/>
  <c r="C868"/>
  <c r="C728"/>
  <c r="O898"/>
  <c r="M898"/>
  <c r="N898"/>
  <c r="C884"/>
  <c r="O964"/>
  <c r="M964"/>
  <c r="N964"/>
  <c r="C950"/>
  <c r="O732"/>
  <c r="N732"/>
  <c r="M732"/>
  <c r="O704"/>
  <c r="N704"/>
  <c r="M704"/>
  <c r="C956"/>
  <c r="O610"/>
  <c r="N610"/>
  <c r="M610"/>
  <c r="C602"/>
  <c r="O820"/>
  <c r="N820"/>
  <c r="M820"/>
  <c r="O1084"/>
  <c r="M1084"/>
  <c r="N1084"/>
  <c r="C970"/>
  <c r="O1074"/>
  <c r="M1074"/>
  <c r="N1074"/>
  <c r="C1000"/>
  <c r="O698"/>
  <c r="N698"/>
  <c r="M698"/>
  <c r="C408"/>
  <c r="O408"/>
  <c r="N408"/>
  <c r="M408"/>
  <c r="O592"/>
  <c r="N592"/>
  <c r="M592"/>
  <c r="C348"/>
  <c r="O348"/>
  <c r="N348"/>
  <c r="M348"/>
  <c r="C340"/>
  <c r="O656"/>
  <c r="N656"/>
  <c r="M656"/>
  <c r="C612"/>
  <c r="O588"/>
  <c r="N588"/>
  <c r="M588"/>
  <c r="C420"/>
  <c r="O582"/>
  <c r="N582"/>
  <c r="M582"/>
  <c r="C764"/>
  <c r="O618"/>
  <c r="N618"/>
  <c r="M618"/>
  <c r="O466"/>
  <c r="N466"/>
  <c r="M466"/>
  <c r="C658"/>
  <c r="O658"/>
  <c r="N658"/>
  <c r="M658"/>
  <c r="C450"/>
  <c r="O472"/>
  <c r="N472"/>
  <c r="M472"/>
  <c r="C654"/>
  <c r="O446"/>
  <c r="N446"/>
  <c r="M446"/>
  <c r="C390"/>
  <c r="O390"/>
  <c r="N390"/>
  <c r="M390"/>
  <c r="C220"/>
  <c r="O498"/>
  <c r="N498"/>
  <c r="M498"/>
  <c r="C634"/>
  <c r="C440"/>
  <c r="O494"/>
  <c r="N494"/>
  <c r="M494"/>
  <c r="C686"/>
  <c r="O742"/>
  <c r="N742"/>
  <c r="M742"/>
  <c r="C580"/>
  <c r="O682"/>
  <c r="N682"/>
  <c r="M682"/>
  <c r="C490"/>
  <c r="O664"/>
  <c r="N664"/>
  <c r="M664"/>
  <c r="O464"/>
  <c r="N464"/>
  <c r="M464"/>
  <c r="C518"/>
  <c r="O492"/>
  <c r="N492"/>
  <c r="M492"/>
  <c r="C228"/>
  <c r="O60"/>
  <c r="N60"/>
  <c r="M60"/>
  <c r="C304"/>
  <c r="O144"/>
  <c r="N144"/>
  <c r="M144"/>
  <c r="C106"/>
  <c r="O106"/>
  <c r="N106"/>
  <c r="M106"/>
  <c r="C322"/>
  <c r="O190"/>
  <c r="N190"/>
  <c r="M190"/>
  <c r="C1255"/>
  <c r="O1203"/>
  <c r="N1203"/>
  <c r="M1203"/>
  <c r="C1149"/>
  <c r="O1103"/>
  <c r="M1103"/>
  <c r="N1103"/>
  <c r="C140"/>
  <c r="O721"/>
  <c r="M721"/>
  <c r="N721"/>
  <c r="C649"/>
  <c r="O500"/>
  <c r="N500"/>
  <c r="M500"/>
  <c r="O234"/>
  <c r="N234"/>
  <c r="M234"/>
  <c r="C70"/>
  <c r="C98"/>
  <c r="O528"/>
  <c r="N528"/>
  <c r="M528"/>
  <c r="C232"/>
  <c r="O66"/>
  <c r="N66"/>
  <c r="M66"/>
  <c r="C1225"/>
  <c r="O1183"/>
  <c r="N1183"/>
  <c r="M1183"/>
  <c r="C1131"/>
  <c r="O1131"/>
  <c r="M1131"/>
  <c r="N1131"/>
  <c r="O388"/>
  <c r="N388"/>
  <c r="M388"/>
  <c r="C811"/>
  <c r="O907"/>
  <c r="M907"/>
  <c r="N907"/>
  <c r="C18"/>
  <c r="O192"/>
  <c r="N192"/>
  <c r="M192"/>
  <c r="C394"/>
  <c r="O1281"/>
  <c r="M1281"/>
  <c r="N1281"/>
  <c r="C226"/>
  <c r="O1223"/>
  <c r="N1223"/>
  <c r="M1223"/>
  <c r="O1181"/>
  <c r="N1181"/>
  <c r="M1181"/>
  <c r="C1129"/>
  <c r="O370"/>
  <c r="N370"/>
  <c r="M370"/>
  <c r="C120"/>
  <c r="O1325"/>
  <c r="M1325"/>
  <c r="N1325"/>
  <c r="O1292"/>
  <c r="M1292"/>
  <c r="N1292"/>
  <c r="O1333"/>
  <c r="M1333"/>
  <c r="N1333"/>
  <c r="C1184"/>
  <c r="O1168"/>
  <c r="M1168"/>
  <c r="N1168"/>
  <c r="O1148"/>
  <c r="M1148"/>
  <c r="N1148"/>
  <c r="O1330"/>
  <c r="M1330"/>
  <c r="N1330"/>
  <c r="O1275"/>
  <c r="M1275"/>
  <c r="N1275"/>
  <c r="O1270"/>
  <c r="M1270"/>
  <c r="N1270"/>
  <c r="C1290"/>
  <c r="O1064"/>
  <c r="M1064"/>
  <c r="N1064"/>
  <c r="C930"/>
  <c r="O930"/>
  <c r="M930"/>
  <c r="N930"/>
  <c r="O1042"/>
  <c r="M1042"/>
  <c r="N1042"/>
  <c r="C1305"/>
  <c r="C752"/>
  <c r="O1286"/>
  <c r="M1286"/>
  <c r="N1286"/>
  <c r="C1226"/>
  <c r="O958"/>
  <c r="M958"/>
  <c r="N958"/>
  <c r="C1046"/>
  <c r="O994"/>
  <c r="M994"/>
  <c r="N994"/>
  <c r="O998"/>
  <c r="M998"/>
  <c r="N998"/>
  <c r="O1192"/>
  <c r="M1192"/>
  <c r="N1192"/>
  <c r="O1196"/>
  <c r="M1196"/>
  <c r="N1196"/>
  <c r="C926"/>
  <c r="O926"/>
  <c r="M926"/>
  <c r="N926"/>
  <c r="O912"/>
  <c r="M912"/>
  <c r="N912"/>
  <c r="C756"/>
  <c r="O756"/>
  <c r="N756"/>
  <c r="M756"/>
  <c r="C1016"/>
  <c r="O1302"/>
  <c r="M1302"/>
  <c r="N1302"/>
  <c r="O1301"/>
  <c r="M1301"/>
  <c r="N1301"/>
  <c r="C928"/>
  <c r="C1050"/>
  <c r="O982"/>
  <c r="M982"/>
  <c r="N982"/>
  <c r="C758"/>
  <c r="O1126"/>
  <c r="M1126"/>
  <c r="N1126"/>
  <c r="C770"/>
  <c r="O1112"/>
  <c r="M1112"/>
  <c r="N1112"/>
  <c r="O972"/>
  <c r="M972"/>
  <c r="N972"/>
  <c r="C738"/>
  <c r="C1130"/>
  <c r="O942"/>
  <c r="M942"/>
  <c r="N942"/>
  <c r="O718"/>
  <c r="N718"/>
  <c r="M718"/>
  <c r="C832"/>
  <c r="O832"/>
  <c r="N832"/>
  <c r="M832"/>
  <c r="O604"/>
  <c r="N604"/>
  <c r="M604"/>
  <c r="C596"/>
  <c r="O1090"/>
  <c r="M1090"/>
  <c r="N1090"/>
  <c r="C892"/>
  <c r="C754"/>
  <c r="C1228"/>
  <c r="O894"/>
  <c r="N894"/>
  <c r="M894"/>
  <c r="C750"/>
  <c r="O712"/>
  <c r="N712"/>
  <c r="M712"/>
  <c r="C444"/>
  <c r="O622"/>
  <c r="N622"/>
  <c r="M622"/>
  <c r="C350"/>
  <c r="C342"/>
  <c r="O570"/>
  <c r="N570"/>
  <c r="M570"/>
  <c r="O422"/>
  <c r="N422"/>
  <c r="M422"/>
  <c r="C542"/>
  <c r="O584"/>
  <c r="N584"/>
  <c r="M584"/>
  <c r="C844"/>
  <c r="O482"/>
  <c r="N482"/>
  <c r="M482"/>
  <c r="C572"/>
  <c r="O416"/>
  <c r="N416"/>
  <c r="M416"/>
  <c r="C578"/>
  <c r="O410"/>
  <c r="N410"/>
  <c r="M410"/>
  <c r="C536"/>
  <c r="O238"/>
  <c r="N238"/>
  <c r="M238"/>
  <c r="C478"/>
  <c r="O650"/>
  <c r="N650"/>
  <c r="M650"/>
  <c r="C442"/>
  <c r="O468"/>
  <c r="N468"/>
  <c r="M468"/>
  <c r="C640"/>
  <c r="O438"/>
  <c r="N438"/>
  <c r="M438"/>
  <c r="C524"/>
  <c r="O726"/>
  <c r="N726"/>
  <c r="M726"/>
  <c r="C418"/>
  <c r="C522"/>
  <c r="O590"/>
  <c r="N590"/>
  <c r="M590"/>
  <c r="C430"/>
  <c r="O552"/>
  <c r="N552"/>
  <c r="M552"/>
  <c r="O550"/>
  <c r="N550"/>
  <c r="M550"/>
  <c r="C250"/>
  <c r="O146"/>
  <c r="N146"/>
  <c r="M146"/>
  <c r="O376"/>
  <c r="N376"/>
  <c r="M376"/>
  <c r="C176"/>
  <c r="C280"/>
  <c r="O544"/>
  <c r="N544"/>
  <c r="M544"/>
  <c r="C218"/>
  <c r="O1215"/>
  <c r="N1215"/>
  <c r="M1215"/>
  <c r="C1169"/>
  <c r="C1125"/>
  <c r="O208"/>
  <c r="N208"/>
  <c r="M208"/>
  <c r="C761"/>
  <c r="O532"/>
  <c r="N532"/>
  <c r="M532"/>
  <c r="C256"/>
  <c r="O154"/>
  <c r="N154"/>
  <c r="M154"/>
  <c r="C168"/>
  <c r="C1271"/>
  <c r="C1324"/>
  <c r="O1316"/>
  <c r="M1316"/>
  <c r="N1316"/>
  <c r="O1314"/>
  <c r="M1314"/>
  <c r="N1314"/>
  <c r="C1182"/>
  <c r="O1166"/>
  <c r="M1166"/>
  <c r="N1166"/>
  <c r="C1146"/>
  <c r="O1232"/>
  <c r="M1232"/>
  <c r="N1232"/>
  <c r="C1291"/>
  <c r="C1332"/>
  <c r="O1284"/>
  <c r="M1284"/>
  <c r="N1284"/>
  <c r="O1262"/>
  <c r="M1262"/>
  <c r="N1262"/>
  <c r="C1128"/>
  <c r="C804"/>
  <c r="O1024"/>
  <c r="M1024"/>
  <c r="N1024"/>
  <c r="O1116"/>
  <c r="M1116"/>
  <c r="N1116"/>
  <c r="O992"/>
  <c r="M992"/>
  <c r="N992"/>
  <c r="C836"/>
  <c r="O1030"/>
  <c r="M1030"/>
  <c r="N1030"/>
  <c r="C976"/>
  <c r="O954"/>
  <c r="M954"/>
  <c r="N954"/>
  <c r="O1098"/>
  <c r="M1098"/>
  <c r="N1098"/>
  <c r="C1242"/>
  <c r="O1268"/>
  <c r="M1268"/>
  <c r="N1268"/>
  <c r="C990"/>
  <c r="O920"/>
  <c r="M920"/>
  <c r="N920"/>
  <c r="C902"/>
  <c r="O1066"/>
  <c r="M1066"/>
  <c r="N1066"/>
  <c r="C1060"/>
  <c r="C1320"/>
  <c r="O1272"/>
  <c r="M1272"/>
  <c r="N1272"/>
  <c r="C1076"/>
  <c r="O872"/>
  <c r="N872"/>
  <c r="M872"/>
  <c r="O1038"/>
  <c r="M1038"/>
  <c r="N1038"/>
  <c r="O868"/>
  <c r="N868"/>
  <c r="M868"/>
  <c r="C896"/>
  <c r="O896"/>
  <c r="M896"/>
  <c r="N896"/>
  <c r="O728"/>
  <c r="N728"/>
  <c r="M728"/>
  <c r="C898"/>
  <c r="O884"/>
  <c r="N884"/>
  <c r="M884"/>
  <c r="C964"/>
  <c r="O950"/>
  <c r="M950"/>
  <c r="N950"/>
  <c r="C732"/>
  <c r="C704"/>
  <c r="O956"/>
  <c r="M956"/>
  <c r="N956"/>
  <c r="C610"/>
  <c r="O602"/>
  <c r="N602"/>
  <c r="M602"/>
  <c r="C820"/>
  <c r="C1084"/>
  <c r="O970"/>
  <c r="M970"/>
  <c r="N970"/>
  <c r="C1074"/>
  <c r="O1000"/>
  <c r="M1000"/>
  <c r="N1000"/>
  <c r="C722"/>
  <c r="O722"/>
  <c r="N722"/>
  <c r="M722"/>
  <c r="C698"/>
  <c r="C592"/>
  <c r="O340"/>
  <c r="N340"/>
  <c r="M340"/>
  <c r="C656"/>
  <c r="O612"/>
  <c r="N612"/>
  <c r="M612"/>
  <c r="C588"/>
  <c r="O420"/>
  <c r="N420"/>
  <c r="M420"/>
  <c r="C582"/>
  <c r="O764"/>
  <c r="N764"/>
  <c r="M764"/>
  <c r="C618"/>
  <c r="C466"/>
  <c r="O450"/>
  <c r="N450"/>
  <c r="M450"/>
  <c r="C472"/>
  <c r="O654"/>
  <c r="N654"/>
  <c r="M654"/>
  <c r="C446"/>
  <c r="O220"/>
  <c r="N220"/>
  <c r="M220"/>
  <c r="C462"/>
  <c r="O462"/>
  <c r="N462"/>
  <c r="M462"/>
  <c r="C498"/>
  <c r="O634"/>
  <c r="N634"/>
  <c r="M634"/>
  <c r="O440"/>
  <c r="N440"/>
  <c r="M440"/>
  <c r="C494"/>
  <c r="O686"/>
  <c r="N686"/>
  <c r="M686"/>
  <c r="C742"/>
  <c r="O580"/>
  <c r="N580"/>
  <c r="M580"/>
  <c r="C682"/>
  <c r="O490"/>
  <c r="N490"/>
  <c r="M490"/>
  <c r="C664"/>
  <c r="C464"/>
  <c r="O518"/>
  <c r="N518"/>
  <c r="M518"/>
  <c r="C492"/>
  <c r="O228"/>
  <c r="N228"/>
  <c r="M228"/>
  <c r="C60"/>
  <c r="O304"/>
  <c r="N304"/>
  <c r="M304"/>
  <c r="C144"/>
  <c r="O322"/>
  <c r="N322"/>
  <c r="M322"/>
  <c r="C190"/>
  <c r="O1255"/>
  <c r="N1255"/>
  <c r="M1255"/>
  <c r="C1203"/>
  <c r="O1149"/>
  <c r="M1149"/>
  <c r="N1149"/>
  <c r="C1103"/>
  <c r="O140"/>
  <c r="N140"/>
  <c r="M140"/>
  <c r="C721"/>
  <c r="O649"/>
  <c r="M649"/>
  <c r="N649"/>
  <c r="C500"/>
  <c r="C234"/>
  <c r="O70"/>
  <c r="N70"/>
  <c r="M70"/>
  <c r="C136"/>
  <c r="O136"/>
  <c r="N136"/>
  <c r="M136"/>
  <c r="O98"/>
  <c r="N98"/>
  <c r="M98"/>
  <c r="C528"/>
  <c r="O232"/>
  <c r="N232"/>
  <c r="M232"/>
  <c r="C66"/>
  <c r="O1225"/>
  <c r="N1225"/>
  <c r="M1225"/>
  <c r="C1183"/>
  <c r="C388"/>
  <c r="O811"/>
  <c r="M811"/>
  <c r="N811"/>
  <c r="C907"/>
  <c r="O18"/>
  <c r="N18"/>
  <c r="M18"/>
  <c r="C192"/>
  <c r="O394"/>
  <c r="N394"/>
  <c r="M394"/>
  <c r="C90"/>
  <c r="O90"/>
  <c r="N90"/>
  <c r="M90"/>
  <c r="C1281"/>
  <c r="O226"/>
  <c r="N226"/>
  <c r="M226"/>
  <c r="C50"/>
  <c r="O50"/>
  <c r="N50"/>
  <c r="M50"/>
  <c r="C1223"/>
  <c r="C1181"/>
  <c r="O1129"/>
  <c r="M1129"/>
  <c r="N1129"/>
  <c r="C370"/>
  <c r="O120"/>
  <c r="N120"/>
  <c r="M120"/>
  <c r="C1325"/>
  <c r="O1334"/>
  <c r="M1334"/>
  <c r="N1334"/>
  <c r="C1296"/>
  <c r="C1333"/>
  <c r="O1184"/>
  <c r="M1184"/>
  <c r="N1184"/>
  <c r="C1168"/>
  <c r="C1148"/>
  <c r="C1274"/>
  <c r="C1275"/>
  <c r="C1294"/>
  <c r="C1310"/>
  <c r="O1244"/>
  <c r="M1244"/>
  <c r="N1244"/>
  <c r="C1064"/>
  <c r="C1042"/>
  <c r="O1305"/>
  <c r="M1305"/>
  <c r="N1305"/>
  <c r="O752"/>
  <c r="N752"/>
  <c r="M752"/>
  <c r="O1226"/>
  <c r="M1226"/>
  <c r="N1226"/>
  <c r="C958"/>
  <c r="O1046"/>
  <c r="M1046"/>
  <c r="N1046"/>
  <c r="C994"/>
  <c r="C998"/>
  <c r="C1192"/>
  <c r="O1240"/>
  <c r="M1240"/>
  <c r="N1240"/>
  <c r="C1196"/>
  <c r="C912"/>
  <c r="O1016"/>
  <c r="M1016"/>
  <c r="N1016"/>
  <c r="C1096"/>
  <c r="O1096"/>
  <c r="M1096"/>
  <c r="N1096"/>
  <c r="O1312"/>
  <c r="M1312"/>
  <c r="N1312"/>
  <c r="C1301"/>
  <c r="O928"/>
  <c r="M928"/>
  <c r="N928"/>
  <c r="O1050"/>
  <c r="M1050"/>
  <c r="N1050"/>
  <c r="C982"/>
  <c r="O758"/>
  <c r="N758"/>
  <c r="M758"/>
  <c r="C1126"/>
  <c r="O770"/>
  <c r="N770"/>
  <c r="M770"/>
  <c r="C1112"/>
  <c r="C972"/>
  <c r="O738"/>
  <c r="N738"/>
  <c r="M738"/>
  <c r="O1130"/>
  <c r="M1130"/>
  <c r="N1130"/>
  <c r="C942"/>
  <c r="C718"/>
  <c r="C604"/>
  <c r="O596"/>
  <c r="N596"/>
  <c r="M596"/>
  <c r="C1090"/>
  <c r="O892"/>
  <c r="N892"/>
  <c r="M892"/>
  <c r="O754"/>
  <c r="N754"/>
  <c r="M754"/>
  <c r="C894"/>
  <c r="O750"/>
  <c r="N750"/>
  <c r="M750"/>
  <c r="C712"/>
  <c r="O444"/>
  <c r="N444"/>
  <c r="M444"/>
  <c r="C622"/>
  <c r="O350"/>
  <c r="N350"/>
  <c r="M350"/>
  <c r="O342"/>
  <c r="N342"/>
  <c r="M342"/>
  <c r="C570"/>
  <c r="C422"/>
  <c r="O542"/>
  <c r="N542"/>
  <c r="M542"/>
  <c r="C584"/>
  <c r="O844"/>
  <c r="N844"/>
  <c r="M844"/>
  <c r="C482"/>
  <c r="O572"/>
  <c r="N572"/>
  <c r="M572"/>
  <c r="C416"/>
  <c r="O578"/>
  <c r="N578"/>
  <c r="M578"/>
  <c r="C568"/>
  <c r="O568"/>
  <c r="N568"/>
  <c r="M568"/>
  <c r="C410"/>
  <c r="O536"/>
  <c r="N536"/>
  <c r="M536"/>
  <c r="C238"/>
  <c r="O478"/>
  <c r="N478"/>
  <c r="M478"/>
  <c r="C650"/>
  <c r="O442"/>
  <c r="N442"/>
  <c r="M442"/>
  <c r="C468"/>
  <c r="O640"/>
  <c r="N640"/>
  <c r="M640"/>
  <c r="C438"/>
  <c r="O524"/>
  <c r="N524"/>
  <c r="M524"/>
  <c r="C726"/>
  <c r="O418"/>
  <c r="N418"/>
  <c r="M418"/>
  <c r="O522"/>
  <c r="N522"/>
  <c r="M522"/>
  <c r="C590"/>
  <c r="O430"/>
  <c r="N430"/>
  <c r="M430"/>
  <c r="C552"/>
  <c r="C550"/>
  <c r="O250"/>
  <c r="N250"/>
  <c r="M250"/>
  <c r="C146"/>
  <c r="C376"/>
  <c r="O176"/>
  <c r="N176"/>
  <c r="M176"/>
  <c r="O280"/>
  <c r="N280"/>
  <c r="M280"/>
  <c r="C544"/>
  <c r="O218"/>
  <c r="N218"/>
  <c r="M218"/>
  <c r="C12"/>
  <c r="O12"/>
  <c r="N12"/>
  <c r="M12"/>
  <c r="C1215"/>
  <c r="O1169"/>
  <c r="M1169"/>
  <c r="N1169"/>
  <c r="O1125"/>
  <c r="M1125"/>
  <c r="N1125"/>
  <c r="C208"/>
  <c r="O761"/>
  <c r="M761"/>
  <c r="N761"/>
  <c r="C651"/>
  <c r="O651"/>
  <c r="M651"/>
  <c r="N651"/>
  <c r="C532"/>
  <c r="O256"/>
  <c r="N256"/>
  <c r="M256"/>
  <c r="C154"/>
  <c r="O168"/>
  <c r="N168"/>
  <c r="M168"/>
  <c r="C272"/>
  <c r="O272"/>
  <c r="N272"/>
  <c r="M272"/>
  <c r="O1315"/>
  <c r="M1315"/>
  <c r="N1315"/>
  <c r="C252"/>
  <c r="O252"/>
  <c r="N252"/>
  <c r="M252"/>
  <c r="O150"/>
  <c r="N150"/>
  <c r="M150"/>
  <c r="O1241"/>
  <c r="N1241"/>
  <c r="M1241"/>
  <c r="C1193"/>
  <c r="O1139"/>
  <c r="M1139"/>
  <c r="N1139"/>
  <c r="C1079"/>
  <c r="O566"/>
  <c r="N566"/>
  <c r="M566"/>
  <c r="C266"/>
  <c r="O266"/>
  <c r="N266"/>
  <c r="M266"/>
  <c r="O170"/>
  <c r="N170"/>
  <c r="M170"/>
  <c r="C330"/>
  <c r="O330"/>
  <c r="N330"/>
  <c r="M330"/>
  <c r="C374"/>
  <c r="O124"/>
  <c r="N124"/>
  <c r="M124"/>
  <c r="C392"/>
  <c r="O222"/>
  <c r="N222"/>
  <c r="M222"/>
  <c r="C30"/>
  <c r="O1221"/>
  <c r="N1221"/>
  <c r="M1221"/>
  <c r="C1171"/>
  <c r="C1127"/>
  <c r="O314"/>
  <c r="N314"/>
  <c r="M314"/>
  <c r="C781"/>
  <c r="O639"/>
  <c r="M639"/>
  <c r="N639"/>
  <c r="O543"/>
  <c r="M543"/>
  <c r="N543"/>
  <c r="C271"/>
  <c r="O1289"/>
  <c r="M1289"/>
  <c r="N1289"/>
  <c r="C1021"/>
  <c r="O485"/>
  <c r="M485"/>
  <c r="N485"/>
  <c r="C265"/>
  <c r="O75"/>
  <c r="M75"/>
  <c r="N75"/>
  <c r="C675"/>
  <c r="C164"/>
  <c r="O763"/>
  <c r="M763"/>
  <c r="N763"/>
  <c r="O923"/>
  <c r="M923"/>
  <c r="N923"/>
  <c r="C209"/>
  <c r="O37"/>
  <c r="M37"/>
  <c r="N37"/>
  <c r="C875"/>
  <c r="O435"/>
  <c r="M435"/>
  <c r="N435"/>
  <c r="C117"/>
  <c r="O1039"/>
  <c r="N1039"/>
  <c r="M1039"/>
  <c r="C487"/>
  <c r="O251"/>
  <c r="M251"/>
  <c r="N251"/>
  <c r="C85"/>
  <c r="C737"/>
  <c r="O493"/>
  <c r="M493"/>
  <c r="N493"/>
  <c r="C249"/>
  <c r="O816"/>
  <c r="N816"/>
  <c r="M816"/>
  <c r="C986"/>
  <c r="C789"/>
  <c r="C1322"/>
  <c r="O1061"/>
  <c r="N1061"/>
  <c r="M1061"/>
  <c r="C501"/>
  <c r="C105"/>
  <c r="C631"/>
  <c r="O631"/>
  <c r="M631"/>
  <c r="N631"/>
  <c r="O873"/>
  <c r="M873"/>
  <c r="N873"/>
  <c r="C479"/>
  <c r="O479"/>
  <c r="M479"/>
  <c r="N479"/>
  <c r="C133"/>
  <c r="C1065"/>
  <c r="O1065"/>
  <c r="N1065"/>
  <c r="M1065"/>
  <c r="C681"/>
  <c r="O681"/>
  <c r="M681"/>
  <c r="N681"/>
  <c r="C499"/>
  <c r="O499"/>
  <c r="M499"/>
  <c r="N499"/>
  <c r="C94"/>
  <c r="O94"/>
  <c r="N94"/>
  <c r="M94"/>
  <c r="C286"/>
  <c r="O286"/>
  <c r="N286"/>
  <c r="M286"/>
  <c r="C663"/>
  <c r="O663"/>
  <c r="M663"/>
  <c r="N663"/>
  <c r="C191"/>
  <c r="O191"/>
  <c r="M191"/>
  <c r="N191"/>
  <c r="C310"/>
  <c r="O310"/>
  <c r="N310"/>
  <c r="M310"/>
  <c r="C753"/>
  <c r="O753"/>
  <c r="M753"/>
  <c r="N753"/>
  <c r="C403"/>
  <c r="O403"/>
  <c r="N403"/>
  <c r="M403"/>
  <c r="C963"/>
  <c r="O963"/>
  <c r="N963"/>
  <c r="M963"/>
  <c r="C1013"/>
  <c r="O1013"/>
  <c r="N1013"/>
  <c r="M1013"/>
  <c r="C491"/>
  <c r="O491"/>
  <c r="M491"/>
  <c r="N491"/>
  <c r="C257"/>
  <c r="O257"/>
  <c r="M257"/>
  <c r="N257"/>
  <c r="C65"/>
  <c r="O65"/>
  <c r="M65"/>
  <c r="N65"/>
  <c r="C989"/>
  <c r="O989"/>
  <c r="M989"/>
  <c r="N989"/>
  <c r="C431"/>
  <c r="O431"/>
  <c r="M431"/>
  <c r="N431"/>
  <c r="C299"/>
  <c r="O299"/>
  <c r="M299"/>
  <c r="N299"/>
  <c r="C625"/>
  <c r="O625"/>
  <c r="M625"/>
  <c r="N625"/>
  <c r="C8"/>
  <c r="O8"/>
  <c r="N8"/>
  <c r="M8"/>
  <c r="C567"/>
  <c r="O567"/>
  <c r="M567"/>
  <c r="N567"/>
  <c r="C557"/>
  <c r="O557"/>
  <c r="M557"/>
  <c r="N557"/>
  <c r="C357"/>
  <c r="O357"/>
  <c r="M357"/>
  <c r="N357"/>
  <c r="C327"/>
  <c r="O327"/>
  <c r="M327"/>
  <c r="N327"/>
  <c r="C319"/>
  <c r="O319"/>
  <c r="M319"/>
  <c r="N319"/>
  <c r="C307"/>
  <c r="O307"/>
  <c r="M307"/>
  <c r="N307"/>
  <c r="C289"/>
  <c r="O289"/>
  <c r="M289"/>
  <c r="N289"/>
  <c r="C281"/>
  <c r="O281"/>
  <c r="M281"/>
  <c r="N281"/>
  <c r="C1037"/>
  <c r="O1037"/>
  <c r="N1037"/>
  <c r="M1037"/>
  <c r="C447"/>
  <c r="O447"/>
  <c r="M447"/>
  <c r="N447"/>
  <c r="C179"/>
  <c r="O179"/>
  <c r="M179"/>
  <c r="N179"/>
  <c r="C635"/>
  <c r="O635"/>
  <c r="M635"/>
  <c r="N635"/>
  <c r="C727"/>
  <c r="O727"/>
  <c r="M727"/>
  <c r="N727"/>
  <c r="C459"/>
  <c r="O459"/>
  <c r="M459"/>
  <c r="N459"/>
  <c r="C121"/>
  <c r="O121"/>
  <c r="M121"/>
  <c r="N121"/>
  <c r="C933"/>
  <c r="O933"/>
  <c r="M933"/>
  <c r="N933"/>
  <c r="C585"/>
  <c r="O585"/>
  <c r="M585"/>
  <c r="N585"/>
  <c r="C84"/>
  <c r="O84"/>
  <c r="N84"/>
  <c r="M84"/>
  <c r="C723"/>
  <c r="O723"/>
  <c r="M723"/>
  <c r="N723"/>
  <c r="C771"/>
  <c r="O771"/>
  <c r="M771"/>
  <c r="N771"/>
  <c r="C229"/>
  <c r="O229"/>
  <c r="M229"/>
  <c r="N229"/>
  <c r="C111"/>
  <c r="O111"/>
  <c r="M111"/>
  <c r="N111"/>
  <c r="C1019"/>
  <c r="O1019"/>
  <c r="N1019"/>
  <c r="M1019"/>
  <c r="C529"/>
  <c r="O529"/>
  <c r="M529"/>
  <c r="N529"/>
  <c r="C329"/>
  <c r="O329"/>
  <c r="M329"/>
  <c r="N329"/>
  <c r="C973"/>
  <c r="O973"/>
  <c r="N973"/>
  <c r="M973"/>
  <c r="C739"/>
  <c r="O739"/>
  <c r="M739"/>
  <c r="N739"/>
  <c r="C453"/>
  <c r="O453"/>
  <c r="M453"/>
  <c r="N453"/>
  <c r="C93"/>
  <c r="O93"/>
  <c r="M93"/>
  <c r="N93"/>
  <c r="C1023"/>
  <c r="O1023"/>
  <c r="N1023"/>
  <c r="M1023"/>
  <c r="C515"/>
  <c r="O515"/>
  <c r="M515"/>
  <c r="N515"/>
  <c r="C243"/>
  <c r="O243"/>
  <c r="M243"/>
  <c r="N243"/>
  <c r="C692"/>
  <c r="O692"/>
  <c r="N692"/>
  <c r="M692"/>
  <c r="C877"/>
  <c r="O877"/>
  <c r="M877"/>
  <c r="N877"/>
  <c r="C436"/>
  <c r="O436"/>
  <c r="N436"/>
  <c r="M436"/>
  <c r="C517"/>
  <c r="O517"/>
  <c r="M517"/>
  <c r="N517"/>
  <c r="C165"/>
  <c r="O165"/>
  <c r="M165"/>
  <c r="N165"/>
  <c r="C707"/>
  <c r="O707"/>
  <c r="M707"/>
  <c r="N707"/>
  <c r="C611"/>
  <c r="O611"/>
  <c r="M611"/>
  <c r="N611"/>
  <c r="C391"/>
  <c r="O391"/>
  <c r="M391"/>
  <c r="N391"/>
  <c r="C91"/>
  <c r="O91"/>
  <c r="M91"/>
  <c r="N91"/>
  <c r="C749"/>
  <c r="O749"/>
  <c r="M749"/>
  <c r="N749"/>
  <c r="C334"/>
  <c r="O334"/>
  <c r="N334"/>
  <c r="M334"/>
  <c r="C1285"/>
  <c r="O1285"/>
  <c r="M1285"/>
  <c r="N1285"/>
  <c r="C709"/>
  <c r="O709"/>
  <c r="M709"/>
  <c r="N709"/>
  <c r="C231"/>
  <c r="O1324"/>
  <c r="M1324"/>
  <c r="N1324"/>
  <c r="C1316"/>
  <c r="C1269"/>
  <c r="O1269"/>
  <c r="M1269"/>
  <c r="N1269"/>
  <c r="C1314"/>
  <c r="C1186"/>
  <c r="O1186"/>
  <c r="M1186"/>
  <c r="N1186"/>
  <c r="C1170"/>
  <c r="O1170"/>
  <c r="M1170"/>
  <c r="N1170"/>
  <c r="C1160"/>
  <c r="O1160"/>
  <c r="M1160"/>
  <c r="N1160"/>
  <c r="C1142"/>
  <c r="O1142"/>
  <c r="M1142"/>
  <c r="N1142"/>
  <c r="C1232"/>
  <c r="O1288"/>
  <c r="M1288"/>
  <c r="N1288"/>
  <c r="O1332"/>
  <c r="M1332"/>
  <c r="N1332"/>
  <c r="C1284"/>
  <c r="O1246"/>
  <c r="M1246"/>
  <c r="N1246"/>
  <c r="C1276"/>
  <c r="C1222"/>
  <c r="O1222"/>
  <c r="M1222"/>
  <c r="N1222"/>
  <c r="C1262"/>
  <c r="C1224"/>
  <c r="O1224"/>
  <c r="M1224"/>
  <c r="N1224"/>
  <c r="C932"/>
  <c r="O932"/>
  <c r="M932"/>
  <c r="N932"/>
  <c r="C1194"/>
  <c r="O1194"/>
  <c r="M1194"/>
  <c r="N1194"/>
  <c r="C984"/>
  <c r="O984"/>
  <c r="M984"/>
  <c r="N984"/>
  <c r="C876"/>
  <c r="O876"/>
  <c r="N876"/>
  <c r="M876"/>
  <c r="C1010"/>
  <c r="O1010"/>
  <c r="M1010"/>
  <c r="N1010"/>
  <c r="C1254"/>
  <c r="C1202"/>
  <c r="O1202"/>
  <c r="M1202"/>
  <c r="N1202"/>
  <c r="C1006"/>
  <c r="O1006"/>
  <c r="M1006"/>
  <c r="N1006"/>
  <c r="C1200"/>
  <c r="O1200"/>
  <c r="M1200"/>
  <c r="N1200"/>
  <c r="C1012"/>
  <c r="O1012"/>
  <c r="M1012"/>
  <c r="N1012"/>
  <c r="C1132"/>
  <c r="O1132"/>
  <c r="M1132"/>
  <c r="N1132"/>
  <c r="C1058"/>
  <c r="O1058"/>
  <c r="M1058"/>
  <c r="N1058"/>
  <c r="O1242"/>
  <c r="M1242"/>
  <c r="N1242"/>
  <c r="C1268"/>
  <c r="O1300"/>
  <c r="M1300"/>
  <c r="N1300"/>
  <c r="C1100"/>
  <c r="O1100"/>
  <c r="M1100"/>
  <c r="N1100"/>
  <c r="C914"/>
  <c r="O914"/>
  <c r="M914"/>
  <c r="N914"/>
  <c r="C862"/>
  <c r="O862"/>
  <c r="N862"/>
  <c r="M862"/>
  <c r="C1036"/>
  <c r="O1036"/>
  <c r="M1036"/>
  <c r="N1036"/>
  <c r="C1140"/>
  <c r="O1140"/>
  <c r="M1140"/>
  <c r="N1140"/>
  <c r="C1062"/>
  <c r="O1062"/>
  <c r="M1062"/>
  <c r="N1062"/>
  <c r="C1298"/>
  <c r="O1320"/>
  <c r="M1320"/>
  <c r="N1320"/>
  <c r="C1272"/>
  <c r="C1208"/>
  <c r="O1208"/>
  <c r="M1208"/>
  <c r="N1208"/>
  <c r="C1108"/>
  <c r="O1108"/>
  <c r="M1108"/>
  <c r="N1108"/>
  <c r="C1078"/>
  <c r="O1078"/>
  <c r="M1078"/>
  <c r="N1078"/>
  <c r="C1072"/>
  <c r="O1072"/>
  <c r="M1072"/>
  <c r="N1072"/>
  <c r="C1238"/>
  <c r="C760"/>
  <c r="O760"/>
  <c r="N760"/>
  <c r="M760"/>
  <c r="C1321"/>
  <c r="O1321"/>
  <c r="M1321"/>
  <c r="N1321"/>
  <c r="C870"/>
  <c r="O870"/>
  <c r="N870"/>
  <c r="M870"/>
  <c r="C1295"/>
  <c r="O1295"/>
  <c r="M1295"/>
  <c r="N1295"/>
  <c r="C880"/>
  <c r="O880"/>
  <c r="N880"/>
  <c r="M880"/>
  <c r="C788"/>
  <c r="O788"/>
  <c r="N788"/>
  <c r="M788"/>
  <c r="C1002"/>
  <c r="O1002"/>
  <c r="M1002"/>
  <c r="N1002"/>
  <c r="C810"/>
  <c r="O810"/>
  <c r="N810"/>
  <c r="M810"/>
  <c r="C766"/>
  <c r="O766"/>
  <c r="N766"/>
  <c r="M766"/>
  <c r="C734"/>
  <c r="O734"/>
  <c r="N734"/>
  <c r="M734"/>
  <c r="C746"/>
  <c r="O746"/>
  <c r="N746"/>
  <c r="M746"/>
  <c r="C606"/>
  <c r="O606"/>
  <c r="N606"/>
  <c r="M606"/>
  <c r="C598"/>
  <c r="O598"/>
  <c r="N598"/>
  <c r="M598"/>
  <c r="C1138"/>
  <c r="O1138"/>
  <c r="M1138"/>
  <c r="N1138"/>
  <c r="C960"/>
  <c r="O960"/>
  <c r="M960"/>
  <c r="N960"/>
  <c r="C858"/>
  <c r="O858"/>
  <c r="N858"/>
  <c r="M858"/>
  <c r="C1102"/>
  <c r="O1102"/>
  <c r="M1102"/>
  <c r="N1102"/>
  <c r="C866"/>
  <c r="O866"/>
  <c r="N866"/>
  <c r="M866"/>
  <c r="C724"/>
  <c r="O724"/>
  <c r="N724"/>
  <c r="M724"/>
  <c r="C470"/>
  <c r="O470"/>
  <c r="N470"/>
  <c r="M470"/>
  <c r="C626"/>
  <c r="O626"/>
  <c r="N626"/>
  <c r="M626"/>
  <c r="C514"/>
  <c r="O514"/>
  <c r="N514"/>
  <c r="M514"/>
  <c r="C344"/>
  <c r="O344"/>
  <c r="N344"/>
  <c r="M344"/>
  <c r="C424"/>
  <c r="O424"/>
  <c r="N424"/>
  <c r="M424"/>
  <c r="C730"/>
  <c r="O730"/>
  <c r="N730"/>
  <c r="M730"/>
  <c r="C458"/>
  <c r="O458"/>
  <c r="N458"/>
  <c r="M458"/>
  <c r="C510"/>
  <c r="O510"/>
  <c r="N510"/>
  <c r="M510"/>
  <c r="C660"/>
  <c r="O660"/>
  <c r="N660"/>
  <c r="M660"/>
  <c r="C540"/>
  <c r="O540"/>
  <c r="N540"/>
  <c r="M540"/>
  <c r="C708"/>
  <c r="O708"/>
  <c r="N708"/>
  <c r="M708"/>
  <c r="C694"/>
  <c r="O694"/>
  <c r="N694"/>
  <c r="M694"/>
  <c r="C400"/>
  <c r="O400"/>
  <c r="N400"/>
  <c r="M400"/>
  <c r="C538"/>
  <c r="O538"/>
  <c r="N538"/>
  <c r="M538"/>
  <c r="C642"/>
  <c r="O642"/>
  <c r="N642"/>
  <c r="M642"/>
  <c r="C414"/>
  <c r="O414"/>
  <c r="N414"/>
  <c r="M414"/>
  <c r="C534"/>
  <c r="O534"/>
  <c r="N534"/>
  <c r="M534"/>
  <c r="C508"/>
  <c r="O508"/>
  <c r="N508"/>
  <c r="M508"/>
  <c r="C260"/>
  <c r="O260"/>
  <c r="N260"/>
  <c r="M260"/>
  <c r="C688"/>
  <c r="O688"/>
  <c r="N688"/>
  <c r="M688"/>
  <c r="C564"/>
  <c r="O564"/>
  <c r="N564"/>
  <c r="M564"/>
  <c r="C406"/>
  <c r="O406"/>
  <c r="N406"/>
  <c r="M406"/>
  <c r="C484"/>
  <c r="O484"/>
  <c r="N484"/>
  <c r="M484"/>
  <c r="C560"/>
  <c r="O560"/>
  <c r="N560"/>
  <c r="M560"/>
  <c r="C402"/>
  <c r="O402"/>
  <c r="N402"/>
  <c r="M402"/>
  <c r="C558"/>
  <c r="O558"/>
  <c r="N558"/>
  <c r="M558"/>
  <c r="C702"/>
  <c r="O702"/>
  <c r="N702"/>
  <c r="M702"/>
  <c r="C452"/>
  <c r="O452"/>
  <c r="N452"/>
  <c r="M452"/>
  <c r="C556"/>
  <c r="O556"/>
  <c r="N556"/>
  <c r="M556"/>
  <c r="C398"/>
  <c r="O398"/>
  <c r="N398"/>
  <c r="M398"/>
  <c r="C690"/>
  <c r="O690"/>
  <c r="N690"/>
  <c r="M690"/>
  <c r="C632"/>
  <c r="O632"/>
  <c r="N632"/>
  <c r="M632"/>
  <c r="C428"/>
  <c r="O428"/>
  <c r="N428"/>
  <c r="M428"/>
  <c r="C270"/>
  <c r="O270"/>
  <c r="N270"/>
  <c r="M270"/>
  <c r="C178"/>
  <c r="O178"/>
  <c r="N178"/>
  <c r="M178"/>
  <c r="C82"/>
  <c r="O82"/>
  <c r="N82"/>
  <c r="M82"/>
  <c r="C298"/>
  <c r="O298"/>
  <c r="N298"/>
  <c r="M298"/>
  <c r="C360"/>
  <c r="O360"/>
  <c r="N360"/>
  <c r="M360"/>
  <c r="C104"/>
  <c r="O104"/>
  <c r="N104"/>
  <c r="M104"/>
  <c r="C236"/>
  <c r="O236"/>
  <c r="N236"/>
  <c r="M236"/>
  <c r="C78"/>
  <c r="O78"/>
  <c r="N78"/>
  <c r="M78"/>
  <c r="C1227"/>
  <c r="O1227"/>
  <c r="N1227"/>
  <c r="M1227"/>
  <c r="C1187"/>
  <c r="O1187"/>
  <c r="N1187"/>
  <c r="M1187"/>
  <c r="C1133"/>
  <c r="O1133"/>
  <c r="M1133"/>
  <c r="N1133"/>
  <c r="C1073"/>
  <c r="O1073"/>
  <c r="N1073"/>
  <c r="M1073"/>
  <c r="C1303"/>
  <c r="O1303"/>
  <c r="M1303"/>
  <c r="N1303"/>
  <c r="C655"/>
  <c r="O655"/>
  <c r="M655"/>
  <c r="N655"/>
  <c r="C628"/>
  <c r="O628"/>
  <c r="N628"/>
  <c r="M628"/>
  <c r="C320"/>
  <c r="O320"/>
  <c r="N320"/>
  <c r="M320"/>
  <c r="C186"/>
  <c r="O186"/>
  <c r="N186"/>
  <c r="M186"/>
  <c r="C202"/>
  <c r="O202"/>
  <c r="N202"/>
  <c r="M202"/>
  <c r="C336"/>
  <c r="O336"/>
  <c r="N336"/>
  <c r="M336"/>
  <c r="C1081"/>
  <c r="O1081"/>
  <c r="N1081"/>
  <c r="M1081"/>
  <c r="C316"/>
  <c r="O316"/>
  <c r="N316"/>
  <c r="M316"/>
  <c r="C182"/>
  <c r="O182"/>
  <c r="N182"/>
  <c r="M182"/>
  <c r="C1253"/>
  <c r="O1253"/>
  <c r="N1253"/>
  <c r="M1253"/>
  <c r="C1201"/>
  <c r="O1201"/>
  <c r="N1201"/>
  <c r="M1201"/>
  <c r="C1147"/>
  <c r="O1147"/>
  <c r="M1147"/>
  <c r="N1147"/>
  <c r="C1099"/>
  <c r="O1099"/>
  <c r="M1099"/>
  <c r="N1099"/>
  <c r="C76"/>
  <c r="O76"/>
  <c r="N76"/>
  <c r="M76"/>
  <c r="C669"/>
  <c r="O669"/>
  <c r="M669"/>
  <c r="N669"/>
  <c r="C701"/>
  <c r="O701"/>
  <c r="M701"/>
  <c r="N701"/>
  <c r="C352"/>
  <c r="O352"/>
  <c r="N352"/>
  <c r="M352"/>
  <c r="C80"/>
  <c r="O80"/>
  <c r="N80"/>
  <c r="M80"/>
  <c r="C326"/>
  <c r="O326"/>
  <c r="N326"/>
  <c r="M326"/>
  <c r="C4"/>
  <c r="O4"/>
  <c r="M4"/>
  <c r="N4"/>
  <c r="C268"/>
  <c r="O268"/>
  <c r="N268"/>
  <c r="M268"/>
  <c r="C174"/>
  <c r="O174"/>
  <c r="N174"/>
  <c r="M174"/>
  <c r="C1247"/>
  <c r="O1247"/>
  <c r="N1247"/>
  <c r="M1247"/>
  <c r="C1199"/>
  <c r="O1199"/>
  <c r="N1199"/>
  <c r="M1199"/>
  <c r="C1145"/>
  <c r="O1145"/>
  <c r="M1145"/>
  <c r="N1145"/>
  <c r="C1097"/>
  <c r="O1097"/>
  <c r="M1097"/>
  <c r="N1097"/>
  <c r="C172"/>
  <c r="O172"/>
  <c r="N172"/>
  <c r="M172"/>
  <c r="C132"/>
  <c r="O132"/>
  <c r="N132"/>
  <c r="M132"/>
  <c r="C1317"/>
  <c r="O1317"/>
  <c r="M1317"/>
  <c r="N1317"/>
  <c r="C1334"/>
  <c r="O1296"/>
  <c r="M1296"/>
  <c r="N1296"/>
  <c r="C1292"/>
  <c r="C1309"/>
  <c r="O1309"/>
  <c r="M1309"/>
  <c r="N1309"/>
  <c r="C1190"/>
  <c r="O1190"/>
  <c r="M1190"/>
  <c r="N1190"/>
  <c r="C1174"/>
  <c r="O1174"/>
  <c r="M1174"/>
  <c r="N1174"/>
  <c r="C1162"/>
  <c r="O1162"/>
  <c r="M1162"/>
  <c r="N1162"/>
  <c r="C1144"/>
  <c r="O1144"/>
  <c r="M1144"/>
  <c r="N1144"/>
  <c r="C1330"/>
  <c r="O1274"/>
  <c r="M1274"/>
  <c r="N1274"/>
  <c r="O1294"/>
  <c r="M1294"/>
  <c r="N1294"/>
  <c r="C1270"/>
  <c r="O1310"/>
  <c r="M1310"/>
  <c r="N1310"/>
  <c r="C1244"/>
  <c r="O1290"/>
  <c r="M1290"/>
  <c r="N1290"/>
  <c r="C968"/>
  <c r="O968"/>
  <c r="M968"/>
  <c r="N968"/>
  <c r="C740"/>
  <c r="O740"/>
  <c r="N740"/>
  <c r="M740"/>
  <c r="C1080"/>
  <c r="O1080"/>
  <c r="M1080"/>
  <c r="N1080"/>
  <c r="C762"/>
  <c r="O762"/>
  <c r="N762"/>
  <c r="M762"/>
  <c r="C1134"/>
  <c r="O1134"/>
  <c r="M1134"/>
  <c r="N1134"/>
  <c r="C1286"/>
  <c r="C1220"/>
  <c r="O1220"/>
  <c r="M1220"/>
  <c r="N1220"/>
  <c r="C1136"/>
  <c r="O1136"/>
  <c r="M1136"/>
  <c r="N1136"/>
  <c r="C748"/>
  <c r="O748"/>
  <c r="N748"/>
  <c r="M748"/>
  <c r="C1014"/>
  <c r="O1014"/>
  <c r="M1014"/>
  <c r="N1014"/>
  <c r="C974"/>
  <c r="O974"/>
  <c r="M974"/>
  <c r="N974"/>
  <c r="C784"/>
  <c r="O784"/>
  <c r="N784"/>
  <c r="M784"/>
  <c r="C888"/>
  <c r="O888"/>
  <c r="N888"/>
  <c r="M888"/>
  <c r="C1240"/>
  <c r="C1210"/>
  <c r="O1210"/>
  <c r="M1210"/>
  <c r="N1210"/>
  <c r="C988"/>
  <c r="O988"/>
  <c r="M988"/>
  <c r="N988"/>
  <c r="C918"/>
  <c r="O918"/>
  <c r="M918"/>
  <c r="N918"/>
  <c r="C1004"/>
  <c r="O1004"/>
  <c r="M1004"/>
  <c r="N1004"/>
  <c r="C1048"/>
  <c r="O1048"/>
  <c r="M1048"/>
  <c r="N1048"/>
  <c r="C980"/>
  <c r="O980"/>
  <c r="M980"/>
  <c r="N980"/>
  <c r="C854"/>
  <c r="O854"/>
  <c r="N854"/>
  <c r="M854"/>
  <c r="C1302"/>
  <c r="C1106"/>
  <c r="O1106"/>
  <c r="M1106"/>
  <c r="N1106"/>
  <c r="C1312"/>
  <c r="C1313"/>
  <c r="O1313"/>
  <c r="M1313"/>
  <c r="N1313"/>
  <c r="C1287"/>
  <c r="O1287"/>
  <c r="M1287"/>
  <c r="N1287"/>
  <c r="C772"/>
  <c r="O772"/>
  <c r="N772"/>
  <c r="M772"/>
  <c r="C1022"/>
  <c r="O1022"/>
  <c r="M1022"/>
  <c r="N1022"/>
  <c r="C1104"/>
  <c r="O1104"/>
  <c r="M1104"/>
  <c r="N1104"/>
  <c r="C736"/>
  <c r="O736"/>
  <c r="N736"/>
  <c r="M736"/>
  <c r="C1008"/>
  <c r="O1008"/>
  <c r="M1008"/>
  <c r="N1008"/>
  <c r="C744"/>
  <c r="O744"/>
  <c r="N744"/>
  <c r="M744"/>
  <c r="C882"/>
  <c r="O882"/>
  <c r="N882"/>
  <c r="M882"/>
  <c r="C878"/>
  <c r="O878"/>
  <c r="N878"/>
  <c r="M878"/>
  <c r="C768"/>
  <c r="O768"/>
  <c r="N768"/>
  <c r="M768"/>
  <c r="C886"/>
  <c r="O886"/>
  <c r="N886"/>
  <c r="M886"/>
  <c r="C774"/>
  <c r="O774"/>
  <c r="N774"/>
  <c r="M774"/>
  <c r="C716"/>
  <c r="O716"/>
  <c r="N716"/>
  <c r="M716"/>
  <c r="C608"/>
  <c r="O608"/>
  <c r="N608"/>
  <c r="M608"/>
  <c r="C600"/>
  <c r="O600"/>
  <c r="N600"/>
  <c r="M600"/>
  <c r="C1052"/>
  <c r="O1052"/>
  <c r="M1052"/>
  <c r="N1052"/>
  <c r="C890"/>
  <c r="O890"/>
  <c r="N890"/>
  <c r="M890"/>
  <c r="C966"/>
  <c r="O966"/>
  <c r="M966"/>
  <c r="N966"/>
  <c r="O1228"/>
  <c r="M1228"/>
  <c r="N1228"/>
  <c r="C996"/>
  <c r="O996"/>
  <c r="M996"/>
  <c r="N996"/>
  <c r="C874"/>
  <c r="O874"/>
  <c r="N874"/>
  <c r="M874"/>
  <c r="C576"/>
  <c r="O576"/>
  <c r="N576"/>
  <c r="M576"/>
  <c r="C666"/>
  <c r="O666"/>
  <c r="N666"/>
  <c r="M666"/>
  <c r="C548"/>
  <c r="O548"/>
  <c r="N548"/>
  <c r="M548"/>
  <c r="C346"/>
  <c r="O346"/>
  <c r="N346"/>
  <c r="M346"/>
  <c r="C460"/>
  <c r="O460"/>
  <c r="N460"/>
  <c r="M460"/>
  <c r="C476"/>
  <c r="O476"/>
  <c r="N476"/>
  <c r="M476"/>
  <c r="C662"/>
  <c r="O662"/>
  <c r="N662"/>
  <c r="M662"/>
  <c r="C456"/>
  <c r="O456"/>
  <c r="N456"/>
  <c r="M456"/>
  <c r="C574"/>
  <c r="O574"/>
  <c r="N574"/>
  <c r="M574"/>
  <c r="C720"/>
  <c r="O720"/>
  <c r="N720"/>
  <c r="M720"/>
  <c r="C434"/>
  <c r="O434"/>
  <c r="N434"/>
  <c r="M434"/>
  <c r="C506"/>
  <c r="O506"/>
  <c r="N506"/>
  <c r="M506"/>
  <c r="C562"/>
  <c r="O562"/>
  <c r="N562"/>
  <c r="M562"/>
  <c r="C448"/>
  <c r="O448"/>
  <c r="N448"/>
  <c r="M448"/>
  <c r="C502"/>
  <c r="O502"/>
  <c r="N502"/>
  <c r="M502"/>
  <c r="C652"/>
  <c r="O652"/>
  <c r="N652"/>
  <c r="M652"/>
  <c r="C384"/>
  <c r="O384"/>
  <c r="N384"/>
  <c r="M384"/>
  <c r="C616"/>
  <c r="O616"/>
  <c r="N616"/>
  <c r="M616"/>
  <c r="C426"/>
  <c r="O426"/>
  <c r="N426"/>
  <c r="M426"/>
  <c r="C530"/>
  <c r="O530"/>
  <c r="N530"/>
  <c r="M530"/>
  <c r="C678"/>
  <c r="O678"/>
  <c r="N678"/>
  <c r="M678"/>
  <c r="C404"/>
  <c r="O404"/>
  <c r="N404"/>
  <c r="M404"/>
  <c r="C526"/>
  <c r="O526"/>
  <c r="N526"/>
  <c r="M526"/>
  <c r="C638"/>
  <c r="O638"/>
  <c r="N638"/>
  <c r="M638"/>
  <c r="C714"/>
  <c r="O714"/>
  <c r="N714"/>
  <c r="M714"/>
  <c r="C474"/>
  <c r="O474"/>
  <c r="N474"/>
  <c r="M474"/>
  <c r="C636"/>
  <c r="O636"/>
  <c r="N636"/>
  <c r="M636"/>
  <c r="C432"/>
  <c r="O432"/>
  <c r="N432"/>
  <c r="M432"/>
  <c r="C480"/>
  <c r="O480"/>
  <c r="N480"/>
  <c r="M480"/>
  <c r="C672"/>
  <c r="O672"/>
  <c r="N672"/>
  <c r="M672"/>
  <c r="C396"/>
  <c r="O396"/>
  <c r="N396"/>
  <c r="M396"/>
  <c r="C504"/>
  <c r="O504"/>
  <c r="N504"/>
  <c r="M504"/>
  <c r="C212"/>
  <c r="O212"/>
  <c r="N212"/>
  <c r="M212"/>
  <c r="C194"/>
  <c r="O194"/>
  <c r="N194"/>
  <c r="M194"/>
  <c r="C300"/>
  <c r="O300"/>
  <c r="N300"/>
  <c r="M300"/>
  <c r="C56"/>
  <c r="O56"/>
  <c r="N56"/>
  <c r="M56"/>
  <c r="C1293"/>
  <c r="O1293"/>
  <c r="M1293"/>
  <c r="N1293"/>
  <c r="C258"/>
  <c r="O258"/>
  <c r="N258"/>
  <c r="M258"/>
  <c r="C158"/>
  <c r="O158"/>
  <c r="N158"/>
  <c r="M158"/>
  <c r="C1243"/>
  <c r="O1243"/>
  <c r="N1243"/>
  <c r="M1243"/>
  <c r="C1195"/>
  <c r="O1195"/>
  <c r="N1195"/>
  <c r="M1195"/>
  <c r="C1141"/>
  <c r="O1141"/>
  <c r="M1141"/>
  <c r="N1141"/>
  <c r="C1091"/>
  <c r="O1091"/>
  <c r="M1091"/>
  <c r="N1091"/>
  <c r="C332"/>
  <c r="O332"/>
  <c r="N332"/>
  <c r="M332"/>
  <c r="C961"/>
  <c r="O961"/>
  <c r="N961"/>
  <c r="M961"/>
  <c r="C949"/>
  <c r="O949"/>
  <c r="M949"/>
  <c r="N949"/>
  <c r="C520"/>
  <c r="O520"/>
  <c r="N520"/>
  <c r="M520"/>
  <c r="C216"/>
  <c r="O216"/>
  <c r="N216"/>
  <c r="M216"/>
  <c r="C362"/>
  <c r="O362"/>
  <c r="N362"/>
  <c r="M362"/>
  <c r="C36"/>
  <c r="O36"/>
  <c r="N36"/>
  <c r="M36"/>
  <c r="C1085"/>
  <c r="O1085"/>
  <c r="N1085"/>
  <c r="M1085"/>
  <c r="C318"/>
  <c r="O318"/>
  <c r="N318"/>
  <c r="M318"/>
  <c r="C214"/>
  <c r="O214"/>
  <c r="N214"/>
  <c r="M214"/>
  <c r="C1263"/>
  <c r="O1263"/>
  <c r="M1263"/>
  <c r="N1263"/>
  <c r="C1211"/>
  <c r="O1211"/>
  <c r="N1211"/>
  <c r="M1211"/>
  <c r="C1167"/>
  <c r="O1167"/>
  <c r="M1167"/>
  <c r="N1167"/>
  <c r="C1117"/>
  <c r="O1117"/>
  <c r="M1117"/>
  <c r="N1117"/>
  <c r="C1027"/>
  <c r="O1027"/>
  <c r="N1027"/>
  <c r="M1027"/>
  <c r="C554"/>
  <c r="O554"/>
  <c r="N554"/>
  <c r="M554"/>
  <c r="C224"/>
  <c r="O224"/>
  <c r="N224"/>
  <c r="M224"/>
  <c r="C134"/>
  <c r="O134"/>
  <c r="N134"/>
  <c r="M134"/>
  <c r="C152"/>
  <c r="O152"/>
  <c r="N152"/>
  <c r="M152"/>
  <c r="C114"/>
  <c r="O114"/>
  <c r="N114"/>
  <c r="M114"/>
  <c r="C496"/>
  <c r="O496"/>
  <c r="N496"/>
  <c r="M496"/>
  <c r="C264"/>
  <c r="O264"/>
  <c r="N264"/>
  <c r="M264"/>
  <c r="C166"/>
  <c r="O166"/>
  <c r="N166"/>
  <c r="M166"/>
  <c r="C1245"/>
  <c r="O1245"/>
  <c r="N1245"/>
  <c r="M1245"/>
  <c r="C1197"/>
  <c r="O1197"/>
  <c r="N1197"/>
  <c r="M1197"/>
  <c r="C1143"/>
  <c r="O1143"/>
  <c r="M1143"/>
  <c r="N1143"/>
  <c r="C1095"/>
  <c r="O1095"/>
  <c r="M1095"/>
  <c r="N1095"/>
  <c r="C366"/>
  <c r="O366"/>
  <c r="N366"/>
  <c r="M366"/>
  <c r="C885"/>
  <c r="O885"/>
  <c r="M885"/>
  <c r="N885"/>
  <c r="C927"/>
  <c r="O927"/>
  <c r="M927"/>
  <c r="N927"/>
  <c r="C425"/>
  <c r="O425"/>
  <c r="M425"/>
  <c r="N425"/>
  <c r="C157"/>
  <c r="O157"/>
  <c r="M157"/>
  <c r="N157"/>
  <c r="C887"/>
  <c r="O887"/>
  <c r="M887"/>
  <c r="N887"/>
  <c r="C673"/>
  <c r="O673"/>
  <c r="M673"/>
  <c r="N673"/>
  <c r="C451"/>
  <c r="O451"/>
  <c r="M451"/>
  <c r="N451"/>
  <c r="C129"/>
  <c r="O129"/>
  <c r="M129"/>
  <c r="N129"/>
  <c r="C1041"/>
  <c r="O1041"/>
  <c r="N1041"/>
  <c r="M1041"/>
  <c r="C519"/>
  <c r="O519"/>
  <c r="M519"/>
  <c r="N519"/>
  <c r="C274"/>
  <c r="O274"/>
  <c r="N274"/>
  <c r="M274"/>
  <c r="C911"/>
  <c r="O911"/>
  <c r="M911"/>
  <c r="N911"/>
  <c r="C241"/>
  <c r="O241"/>
  <c r="M241"/>
  <c r="N241"/>
  <c r="C189"/>
  <c r="O189"/>
  <c r="M189"/>
  <c r="N189"/>
  <c r="C296"/>
  <c r="O296"/>
  <c r="N296"/>
  <c r="M296"/>
  <c r="C547"/>
  <c r="O547"/>
  <c r="M547"/>
  <c r="N547"/>
  <c r="C367"/>
  <c r="O367"/>
  <c r="M367"/>
  <c r="N367"/>
  <c r="C905"/>
  <c r="O905"/>
  <c r="M905"/>
  <c r="N905"/>
  <c r="C683"/>
  <c r="O683"/>
  <c r="M683"/>
  <c r="N683"/>
  <c r="C387"/>
  <c r="O387"/>
  <c r="M387"/>
  <c r="N387"/>
  <c r="C135"/>
  <c r="O135"/>
  <c r="M135"/>
  <c r="N135"/>
  <c r="C386"/>
  <c r="O386"/>
  <c r="N386"/>
  <c r="M386"/>
  <c r="C523"/>
  <c r="O523"/>
  <c r="M523"/>
  <c r="N523"/>
  <c r="C417"/>
  <c r="O417"/>
  <c r="M417"/>
  <c r="N417"/>
  <c r="C113"/>
  <c r="O113"/>
  <c r="M113"/>
  <c r="N113"/>
  <c r="C207"/>
  <c r="O207"/>
  <c r="M207"/>
  <c r="N207"/>
  <c r="C1059"/>
  <c r="O1059"/>
  <c r="N1059"/>
  <c r="M1059"/>
  <c r="O1322"/>
  <c r="M1322"/>
  <c r="N1322"/>
  <c r="C685"/>
  <c r="O685"/>
  <c r="M685"/>
  <c r="N685"/>
  <c r="C347"/>
  <c r="O347"/>
  <c r="M347"/>
  <c r="N347"/>
  <c r="C1331"/>
  <c r="O1331"/>
  <c r="M1331"/>
  <c r="N1331"/>
  <c r="C1049"/>
  <c r="O1049"/>
  <c r="N1049"/>
  <c r="M1049"/>
  <c r="C601"/>
  <c r="O601"/>
  <c r="M601"/>
  <c r="N601"/>
  <c r="C379"/>
  <c r="O379"/>
  <c r="M379"/>
  <c r="N379"/>
  <c r="C81"/>
  <c r="O81"/>
  <c r="M81"/>
  <c r="N81"/>
  <c r="C891"/>
  <c r="O891"/>
  <c r="M891"/>
  <c r="N891"/>
  <c r="C577"/>
  <c r="O577"/>
  <c r="M577"/>
  <c r="N577"/>
  <c r="C62"/>
  <c r="O62"/>
  <c r="N62"/>
  <c r="M62"/>
  <c r="C779"/>
  <c r="O779"/>
  <c r="M779"/>
  <c r="N779"/>
  <c r="C1043"/>
  <c r="O1043"/>
  <c r="N1043"/>
  <c r="M1043"/>
  <c r="C205"/>
  <c r="O205"/>
  <c r="M205"/>
  <c r="N205"/>
  <c r="C181"/>
  <c r="O181"/>
  <c r="M181"/>
  <c r="N181"/>
  <c r="C1071"/>
  <c r="O1071"/>
  <c r="N1071"/>
  <c r="M1071"/>
  <c r="C521"/>
  <c r="O521"/>
  <c r="M521"/>
  <c r="N521"/>
  <c r="C161"/>
  <c r="O161"/>
  <c r="M161"/>
  <c r="N161"/>
  <c r="C633"/>
  <c r="O633"/>
  <c r="M633"/>
  <c r="N633"/>
  <c r="C659"/>
  <c r="O659"/>
  <c r="M659"/>
  <c r="N659"/>
  <c r="C469"/>
  <c r="O469"/>
  <c r="M469"/>
  <c r="N469"/>
  <c r="C123"/>
  <c r="O123"/>
  <c r="M123"/>
  <c r="N123"/>
  <c r="C1003"/>
  <c r="O1003"/>
  <c r="M1003"/>
  <c r="N1003"/>
  <c r="C503"/>
  <c r="O503"/>
  <c r="M503"/>
  <c r="N503"/>
  <c r="C371"/>
  <c r="O371"/>
  <c r="M371"/>
  <c r="N371"/>
  <c r="C1153"/>
  <c r="O1153"/>
  <c r="M1153"/>
  <c r="N1153"/>
  <c r="C828"/>
  <c r="O828"/>
  <c r="N828"/>
  <c r="M828"/>
  <c r="C573"/>
  <c r="O573"/>
  <c r="M573"/>
  <c r="N573"/>
  <c r="C561"/>
  <c r="O561"/>
  <c r="M561"/>
  <c r="N561"/>
  <c r="C553"/>
  <c r="O553"/>
  <c r="M553"/>
  <c r="N553"/>
  <c r="C353"/>
  <c r="O353"/>
  <c r="M353"/>
  <c r="N353"/>
  <c r="C323"/>
  <c r="O323"/>
  <c r="M323"/>
  <c r="N323"/>
  <c r="C315"/>
  <c r="O315"/>
  <c r="M315"/>
  <c r="N315"/>
  <c r="C295"/>
  <c r="O295"/>
  <c r="M295"/>
  <c r="N295"/>
  <c r="C285"/>
  <c r="O285"/>
  <c r="M285"/>
  <c r="N285"/>
  <c r="C9"/>
  <c r="O9"/>
  <c r="M9"/>
  <c r="N9"/>
  <c r="C587"/>
  <c r="O587"/>
  <c r="M587"/>
  <c r="N587"/>
  <c r="C335"/>
  <c r="O335"/>
  <c r="M335"/>
  <c r="N335"/>
  <c r="C92"/>
  <c r="O92"/>
  <c r="N92"/>
  <c r="M92"/>
  <c r="C929"/>
  <c r="O929"/>
  <c r="M929"/>
  <c r="N929"/>
  <c r="C589"/>
  <c r="O589"/>
  <c r="M589"/>
  <c r="N589"/>
  <c r="C255"/>
  <c r="O255"/>
  <c r="M255"/>
  <c r="N255"/>
  <c r="C63"/>
  <c r="O63"/>
  <c r="M63"/>
  <c r="N63"/>
  <c r="C729"/>
  <c r="O729"/>
  <c r="M729"/>
  <c r="N729"/>
  <c r="C507"/>
  <c r="O507"/>
  <c r="M507"/>
  <c r="N507"/>
  <c r="C110"/>
  <c r="O110"/>
  <c r="N110"/>
  <c r="M110"/>
  <c r="C889"/>
  <c r="O889"/>
  <c r="M889"/>
  <c r="N889"/>
  <c r="C687"/>
  <c r="O687"/>
  <c r="M687"/>
  <c r="N687"/>
  <c r="C193"/>
  <c r="O193"/>
  <c r="M193"/>
  <c r="N193"/>
  <c r="C306"/>
  <c r="O306"/>
  <c r="N306"/>
  <c r="M306"/>
  <c r="C661"/>
  <c r="O661"/>
  <c r="M661"/>
  <c r="N661"/>
  <c r="C411"/>
  <c r="O411"/>
  <c r="N411"/>
  <c r="M411"/>
  <c r="C17"/>
  <c r="O17"/>
  <c r="M17"/>
  <c r="N17"/>
  <c r="C619"/>
  <c r="O619"/>
  <c r="M619"/>
  <c r="N619"/>
  <c r="C591"/>
  <c r="O591"/>
  <c r="M591"/>
  <c r="N591"/>
  <c r="C145"/>
  <c r="O145"/>
  <c r="M145"/>
  <c r="N145"/>
  <c r="C23"/>
  <c r="O23"/>
  <c r="N23"/>
  <c r="M23"/>
  <c r="C643"/>
  <c r="O643"/>
  <c r="M643"/>
  <c r="N643"/>
  <c r="C399"/>
  <c r="O399"/>
  <c r="M399"/>
  <c r="N399"/>
  <c r="C1161"/>
  <c r="O1161"/>
  <c r="M1161"/>
  <c r="N1161"/>
  <c r="C847"/>
  <c r="O847"/>
  <c r="M847"/>
  <c r="N847"/>
  <c r="C47"/>
  <c r="O47"/>
  <c r="N47"/>
  <c r="M47"/>
  <c r="C745"/>
  <c r="O745"/>
  <c r="M745"/>
  <c r="N745"/>
  <c r="C397"/>
  <c r="O397"/>
  <c r="M397"/>
  <c r="N397"/>
  <c r="C967"/>
  <c r="O967"/>
  <c r="N967"/>
  <c r="M967"/>
  <c r="C1001"/>
  <c r="O1001"/>
  <c r="M1001"/>
  <c r="N1001"/>
  <c r="C471"/>
  <c r="O471"/>
  <c r="M471"/>
  <c r="N471"/>
  <c r="C141"/>
  <c r="O141"/>
  <c r="M141"/>
  <c r="N141"/>
  <c r="C13"/>
  <c r="O13"/>
  <c r="M13"/>
  <c r="N13"/>
  <c r="C537"/>
  <c r="O537"/>
  <c r="M537"/>
  <c r="N537"/>
  <c r="C380"/>
  <c r="O380"/>
  <c r="N380"/>
  <c r="M380"/>
  <c r="C1297"/>
  <c r="O1297"/>
  <c r="M1297"/>
  <c r="N1297"/>
  <c r="C717"/>
  <c r="O717"/>
  <c r="M717"/>
  <c r="N717"/>
  <c r="C199"/>
  <c r="O199"/>
  <c r="M199"/>
  <c r="N199"/>
  <c r="O1326"/>
  <c r="M1326"/>
  <c r="N1326"/>
  <c r="C953"/>
  <c r="O953"/>
  <c r="M953"/>
  <c r="N953"/>
  <c r="C505"/>
  <c r="O505"/>
  <c r="M505"/>
  <c r="N505"/>
  <c r="C101"/>
  <c r="O101"/>
  <c r="M101"/>
  <c r="N101"/>
  <c r="C917"/>
  <c r="O917"/>
  <c r="M917"/>
  <c r="N917"/>
  <c r="C599"/>
  <c r="O599"/>
  <c r="M599"/>
  <c r="N599"/>
  <c r="C381"/>
  <c r="O381"/>
  <c r="M381"/>
  <c r="N381"/>
  <c r="C79"/>
  <c r="O79"/>
  <c r="M79"/>
  <c r="N79"/>
  <c r="C1051"/>
  <c r="O1051"/>
  <c r="N1051"/>
  <c r="M1051"/>
  <c r="C531"/>
  <c r="O531"/>
  <c r="M531"/>
  <c r="N531"/>
  <c r="C219"/>
  <c r="O219"/>
  <c r="M219"/>
  <c r="N219"/>
  <c r="C48"/>
  <c r="O48"/>
  <c r="N48"/>
  <c r="M48"/>
  <c r="C284"/>
  <c r="O284"/>
  <c r="N284"/>
  <c r="M284"/>
  <c r="C665"/>
  <c r="O665"/>
  <c r="M665"/>
  <c r="N665"/>
  <c r="C162"/>
  <c r="O162"/>
  <c r="N162"/>
  <c r="M162"/>
  <c r="C338"/>
  <c r="O338"/>
  <c r="N338"/>
  <c r="M338"/>
  <c r="C16"/>
  <c r="O16"/>
  <c r="N16"/>
  <c r="M16"/>
  <c r="C126"/>
  <c r="O126"/>
  <c r="N126"/>
  <c r="M126"/>
  <c r="C276"/>
  <c r="O276"/>
  <c r="N276"/>
  <c r="M276"/>
  <c r="C248"/>
  <c r="O248"/>
  <c r="N248"/>
  <c r="M248"/>
  <c r="C142"/>
  <c r="O142"/>
  <c r="N142"/>
  <c r="M142"/>
  <c r="C1231"/>
  <c r="O1231"/>
  <c r="N1231"/>
  <c r="M1231"/>
  <c r="C1191"/>
  <c r="O1191"/>
  <c r="N1191"/>
  <c r="M1191"/>
  <c r="C1137"/>
  <c r="O1137"/>
  <c r="M1137"/>
  <c r="N1137"/>
  <c r="C1077"/>
  <c r="O1077"/>
  <c r="N1077"/>
  <c r="M1077"/>
  <c r="C46"/>
  <c r="O46"/>
  <c r="N46"/>
  <c r="M46"/>
  <c r="C897"/>
  <c r="O897"/>
  <c r="M897"/>
  <c r="N897"/>
  <c r="C516"/>
  <c r="O516"/>
  <c r="N516"/>
  <c r="M516"/>
  <c r="C246"/>
  <c r="O246"/>
  <c r="N246"/>
  <c r="M246"/>
  <c r="C138"/>
  <c r="O138"/>
  <c r="N138"/>
  <c r="M138"/>
  <c r="C184"/>
  <c r="O184"/>
  <c r="N184"/>
  <c r="M184"/>
  <c r="C288"/>
  <c r="O288"/>
  <c r="N288"/>
  <c r="M288"/>
  <c r="C969"/>
  <c r="O969"/>
  <c r="N969"/>
  <c r="M969"/>
  <c r="C382"/>
  <c r="O382"/>
  <c r="N382"/>
  <c r="M382"/>
  <c r="C200"/>
  <c r="O200"/>
  <c r="N200"/>
  <c r="M200"/>
  <c r="C1257"/>
  <c r="O1257"/>
  <c r="N1257"/>
  <c r="M1257"/>
  <c r="C1205"/>
  <c r="O1205"/>
  <c r="N1205"/>
  <c r="M1205"/>
  <c r="C1155"/>
  <c r="O1155"/>
  <c r="M1155"/>
  <c r="N1155"/>
  <c r="C1113"/>
  <c r="O1113"/>
  <c r="M1113"/>
  <c r="N1113"/>
  <c r="C156"/>
  <c r="O156"/>
  <c r="N156"/>
  <c r="M156"/>
  <c r="C96"/>
  <c r="O96"/>
  <c r="N96"/>
  <c r="M96"/>
  <c r="C575"/>
  <c r="O575"/>
  <c r="M575"/>
  <c r="N575"/>
  <c r="C509"/>
  <c r="O509"/>
  <c r="M509"/>
  <c r="N509"/>
  <c r="C263"/>
  <c r="O263"/>
  <c r="M263"/>
  <c r="N263"/>
  <c r="C1267"/>
  <c r="O1267"/>
  <c r="M1267"/>
  <c r="N1267"/>
  <c r="C777"/>
  <c r="O777"/>
  <c r="M777"/>
  <c r="N777"/>
  <c r="C467"/>
  <c r="O467"/>
  <c r="M467"/>
  <c r="N467"/>
  <c r="C147"/>
  <c r="O147"/>
  <c r="M147"/>
  <c r="N147"/>
  <c r="C27"/>
  <c r="O27"/>
  <c r="N27"/>
  <c r="M27"/>
  <c r="C545"/>
  <c r="O545"/>
  <c r="M545"/>
  <c r="N545"/>
  <c r="C20"/>
  <c r="O20"/>
  <c r="N20"/>
  <c r="M20"/>
  <c r="C112"/>
  <c r="O112"/>
  <c r="N112"/>
  <c r="M112"/>
  <c r="C743"/>
  <c r="O743"/>
  <c r="M743"/>
  <c r="N743"/>
  <c r="C197"/>
  <c r="O197"/>
  <c r="M197"/>
  <c r="N197"/>
  <c r="C312"/>
  <c r="O312"/>
  <c r="N312"/>
  <c r="M312"/>
  <c r="C733"/>
  <c r="O733"/>
  <c r="M733"/>
  <c r="N733"/>
  <c r="C373"/>
  <c r="O373"/>
  <c r="M373"/>
  <c r="N373"/>
  <c r="C118"/>
  <c r="O118"/>
  <c r="N118"/>
  <c r="M118"/>
  <c r="C857"/>
  <c r="O857"/>
  <c r="M857"/>
  <c r="N857"/>
  <c r="C465"/>
  <c r="O465"/>
  <c r="M465"/>
  <c r="N465"/>
  <c r="C217"/>
  <c r="C1315"/>
  <c r="C150"/>
  <c r="C1241"/>
  <c r="O1193"/>
  <c r="N1193"/>
  <c r="M1193"/>
  <c r="C1139"/>
  <c r="O1079"/>
  <c r="N1079"/>
  <c r="M1079"/>
  <c r="C566"/>
  <c r="C170"/>
  <c r="O374"/>
  <c r="N374"/>
  <c r="M374"/>
  <c r="C124"/>
  <c r="O392"/>
  <c r="N392"/>
  <c r="M392"/>
  <c r="C222"/>
  <c r="O30"/>
  <c r="N30"/>
  <c r="M30"/>
  <c r="C1221"/>
  <c r="O1171"/>
  <c r="N1171"/>
  <c r="M1171"/>
  <c r="O1127"/>
  <c r="M1127"/>
  <c r="N1127"/>
  <c r="C314"/>
  <c r="O781"/>
  <c r="M781"/>
  <c r="N781"/>
  <c r="C639"/>
  <c r="C543"/>
  <c r="O271"/>
  <c r="M271"/>
  <c r="N271"/>
  <c r="C1289"/>
  <c r="O1021"/>
  <c r="N1021"/>
  <c r="M1021"/>
  <c r="C485"/>
  <c r="O265"/>
  <c r="M265"/>
  <c r="N265"/>
  <c r="C75"/>
  <c r="O675"/>
  <c r="M675"/>
  <c r="N675"/>
  <c r="O164"/>
  <c r="N164"/>
  <c r="M164"/>
  <c r="C763"/>
  <c r="C923"/>
  <c r="O209"/>
  <c r="M209"/>
  <c r="N209"/>
  <c r="C37"/>
  <c r="O875"/>
  <c r="M875"/>
  <c r="N875"/>
  <c r="C435"/>
  <c r="O117"/>
  <c r="M117"/>
  <c r="N117"/>
  <c r="C1039"/>
  <c r="O487"/>
  <c r="M487"/>
  <c r="N487"/>
  <c r="C251"/>
  <c r="O85"/>
  <c r="M85"/>
  <c r="N85"/>
  <c r="O737"/>
  <c r="M737"/>
  <c r="N737"/>
  <c r="C493"/>
  <c r="O249"/>
  <c r="M249"/>
  <c r="N249"/>
  <c r="C816"/>
  <c r="O986"/>
  <c r="M986"/>
  <c r="N986"/>
  <c r="O789"/>
  <c r="M789"/>
  <c r="N789"/>
  <c r="C1061"/>
  <c r="O501"/>
  <c r="M501"/>
  <c r="N501"/>
  <c r="O105"/>
  <c r="M105"/>
  <c r="N105"/>
  <c r="C873"/>
  <c r="O133"/>
  <c r="M133"/>
  <c r="N133"/>
  <c r="O231"/>
  <c r="M231"/>
  <c r="N231"/>
  <c r="C175"/>
  <c r="O175"/>
  <c r="M175"/>
  <c r="N175"/>
  <c r="C1326"/>
  <c r="C262"/>
  <c r="O262"/>
  <c r="N262"/>
  <c r="M262"/>
  <c r="C689"/>
  <c r="O689"/>
  <c r="M689"/>
  <c r="N689"/>
  <c r="C343"/>
  <c r="O343"/>
  <c r="M343"/>
  <c r="N343"/>
  <c r="C895"/>
  <c r="O895"/>
  <c r="M895"/>
  <c r="N895"/>
  <c r="C893"/>
  <c r="O893"/>
  <c r="M893"/>
  <c r="N893"/>
  <c r="C461"/>
  <c r="O461"/>
  <c r="M461"/>
  <c r="N461"/>
  <c r="C131"/>
  <c r="O131"/>
  <c r="M131"/>
  <c r="N131"/>
  <c r="C55"/>
  <c r="O55"/>
  <c r="N55"/>
  <c r="M55"/>
  <c r="C757"/>
  <c r="O757"/>
  <c r="M757"/>
  <c r="N757"/>
  <c r="C409"/>
  <c r="O409"/>
  <c r="N409"/>
  <c r="M409"/>
  <c r="C796"/>
  <c r="O796"/>
  <c r="N796"/>
  <c r="M796"/>
  <c r="C188"/>
  <c r="O188"/>
  <c r="N188"/>
  <c r="M188"/>
  <c r="C803"/>
  <c r="O803"/>
  <c r="M803"/>
  <c r="N803"/>
  <c r="C1007"/>
  <c r="O1007"/>
  <c r="N1007"/>
  <c r="M1007"/>
  <c r="C354"/>
  <c r="O354"/>
  <c r="N354"/>
  <c r="M354"/>
  <c r="C160"/>
  <c r="O160"/>
  <c r="N160"/>
  <c r="M160"/>
  <c r="C328"/>
  <c r="O328"/>
  <c r="N328"/>
  <c r="M328"/>
  <c r="C88"/>
  <c r="O88"/>
  <c r="N88"/>
  <c r="M88"/>
  <c r="C512"/>
  <c r="O512"/>
  <c r="N512"/>
  <c r="M512"/>
  <c r="C210"/>
  <c r="O210"/>
  <c r="N210"/>
  <c r="M210"/>
  <c r="C1259"/>
  <c r="O1259"/>
  <c r="N1259"/>
  <c r="M1259"/>
  <c r="C1207"/>
  <c r="O1207"/>
  <c r="N1207"/>
  <c r="M1207"/>
  <c r="C1163"/>
  <c r="O1163"/>
  <c r="M1163"/>
  <c r="N1163"/>
  <c r="C1115"/>
  <c r="O1115"/>
  <c r="M1115"/>
  <c r="N1115"/>
  <c r="C368"/>
  <c r="O368"/>
  <c r="N368"/>
  <c r="M368"/>
  <c r="C787"/>
  <c r="O787"/>
  <c r="M787"/>
  <c r="N787"/>
  <c r="C668"/>
  <c r="O668"/>
  <c r="N668"/>
  <c r="M668"/>
  <c r="C488"/>
  <c r="O488"/>
  <c r="N488"/>
  <c r="M488"/>
  <c r="C204"/>
  <c r="O204"/>
  <c r="N204"/>
  <c r="M204"/>
  <c r="C40"/>
  <c r="O40"/>
  <c r="N40"/>
  <c r="M40"/>
  <c r="C68"/>
  <c r="O68"/>
  <c r="N68"/>
  <c r="M68"/>
  <c r="C1311"/>
  <c r="O1311"/>
  <c r="M1311"/>
  <c r="N1311"/>
  <c r="C486"/>
  <c r="O486"/>
  <c r="N486"/>
  <c r="M486"/>
  <c r="C244"/>
  <c r="O244"/>
  <c r="N244"/>
  <c r="M244"/>
  <c r="C86"/>
  <c r="O86"/>
  <c r="N86"/>
  <c r="M86"/>
  <c r="C1229"/>
  <c r="O1229"/>
  <c r="N1229"/>
  <c r="M1229"/>
  <c r="C1189"/>
  <c r="O1189"/>
  <c r="N1189"/>
  <c r="M1189"/>
  <c r="C1135"/>
  <c r="O1135"/>
  <c r="M1135"/>
  <c r="N1135"/>
  <c r="C1075"/>
  <c r="O1075"/>
  <c r="N1075"/>
  <c r="M1075"/>
  <c r="C102"/>
  <c r="O102"/>
  <c r="N102"/>
  <c r="M102"/>
  <c r="C751"/>
  <c r="O751"/>
  <c r="M751"/>
  <c r="N751"/>
  <c r="C703"/>
  <c r="O703"/>
  <c r="M703"/>
  <c r="N703"/>
  <c r="C369"/>
  <c r="O369"/>
  <c r="M369"/>
  <c r="N369"/>
  <c r="C128"/>
  <c r="O128"/>
  <c r="N128"/>
  <c r="M128"/>
  <c r="C627"/>
  <c r="O627"/>
  <c r="M627"/>
  <c r="N627"/>
  <c r="C597"/>
  <c r="O597"/>
  <c r="M597"/>
  <c r="N597"/>
  <c r="C377"/>
  <c r="O377"/>
  <c r="M377"/>
  <c r="N377"/>
  <c r="C95"/>
  <c r="O95"/>
  <c r="M95"/>
  <c r="N95"/>
  <c r="C791"/>
  <c r="O791"/>
  <c r="M791"/>
  <c r="N791"/>
  <c r="C358"/>
  <c r="O358"/>
  <c r="N358"/>
  <c r="M358"/>
  <c r="C1323"/>
  <c r="O1323"/>
  <c r="M1323"/>
  <c r="N1323"/>
  <c r="C1067"/>
  <c r="O1067"/>
  <c r="N1067"/>
  <c r="M1067"/>
  <c r="C233"/>
  <c r="O233"/>
  <c r="M233"/>
  <c r="N233"/>
  <c r="C177"/>
  <c r="O177"/>
  <c r="M177"/>
  <c r="N177"/>
  <c r="C254"/>
  <c r="O254"/>
  <c r="N254"/>
  <c r="M254"/>
  <c r="C513"/>
  <c r="O513"/>
  <c r="M513"/>
  <c r="N513"/>
  <c r="C227"/>
  <c r="O227"/>
  <c r="M227"/>
  <c r="N227"/>
  <c r="C629"/>
  <c r="O629"/>
  <c r="M629"/>
  <c r="N629"/>
  <c r="C603"/>
  <c r="O603"/>
  <c r="M603"/>
  <c r="N603"/>
  <c r="C253"/>
  <c r="O253"/>
  <c r="M253"/>
  <c r="N253"/>
  <c r="O217"/>
  <c r="M217"/>
  <c r="N217"/>
  <c r="C61"/>
  <c r="O61"/>
  <c r="M61"/>
  <c r="N61"/>
  <c r="C613"/>
  <c r="O613"/>
  <c r="M613"/>
  <c r="N613"/>
  <c r="C449"/>
  <c r="O449"/>
  <c r="M449"/>
  <c r="N449"/>
  <c r="C167"/>
  <c r="O167"/>
  <c r="M167"/>
  <c r="N167"/>
  <c r="C247"/>
  <c r="O247"/>
  <c r="M247"/>
  <c r="N247"/>
  <c r="C808"/>
  <c r="O808"/>
  <c r="N808"/>
  <c r="M808"/>
  <c r="C677"/>
  <c r="O677"/>
  <c r="M677"/>
  <c r="N677"/>
  <c r="C861"/>
  <c r="O861"/>
  <c r="M861"/>
  <c r="N861"/>
  <c r="C415"/>
  <c r="O415"/>
  <c r="M415"/>
  <c r="N415"/>
  <c r="C108"/>
  <c r="O108"/>
  <c r="N108"/>
  <c r="M108"/>
  <c r="C1053"/>
  <c r="O1053"/>
  <c r="N1053"/>
  <c r="M1053"/>
  <c r="C695"/>
  <c r="O695"/>
  <c r="M695"/>
  <c r="N695"/>
  <c r="C463"/>
  <c r="O463"/>
  <c r="M463"/>
  <c r="N463"/>
  <c r="C99"/>
  <c r="O99"/>
  <c r="M99"/>
  <c r="N99"/>
  <c r="C915"/>
  <c r="O915"/>
  <c r="M915"/>
  <c r="N915"/>
  <c r="C581"/>
  <c r="O581"/>
  <c r="M581"/>
  <c r="N581"/>
  <c r="C180"/>
  <c r="O180"/>
  <c r="N180"/>
  <c r="M180"/>
  <c r="C783"/>
  <c r="O783"/>
  <c r="M783"/>
  <c r="N783"/>
  <c r="C901"/>
  <c r="O901"/>
  <c r="M901"/>
  <c r="N901"/>
  <c r="C235"/>
  <c r="O235"/>
  <c r="M235"/>
  <c r="N235"/>
  <c r="C183"/>
  <c r="O183"/>
  <c r="M183"/>
  <c r="N183"/>
  <c r="C294"/>
  <c r="O294"/>
  <c r="N294"/>
  <c r="M294"/>
  <c r="C583"/>
  <c r="O583"/>
  <c r="M583"/>
  <c r="N583"/>
  <c r="C273"/>
  <c r="O273"/>
  <c r="M273"/>
  <c r="N273"/>
  <c r="C959"/>
  <c r="O959"/>
  <c r="M959"/>
  <c r="N959"/>
  <c r="C755"/>
  <c r="O755"/>
  <c r="M755"/>
  <c r="N755"/>
  <c r="C473"/>
  <c r="O473"/>
  <c r="M473"/>
  <c r="N473"/>
  <c r="C139"/>
  <c r="O139"/>
  <c r="M139"/>
  <c r="N139"/>
  <c r="C614"/>
  <c r="O614"/>
  <c r="N614"/>
  <c r="M614"/>
  <c r="C697"/>
  <c r="O697"/>
  <c r="M697"/>
  <c r="N697"/>
  <c r="C427"/>
  <c r="O427"/>
  <c r="M427"/>
  <c r="N427"/>
  <c r="C159"/>
  <c r="O159"/>
  <c r="M159"/>
  <c r="N159"/>
  <c r="C1111"/>
  <c r="O1111"/>
  <c r="M1111"/>
  <c r="N1111"/>
  <c r="O1328"/>
  <c r="M1328"/>
  <c r="N1328"/>
  <c r="C563"/>
  <c r="O563"/>
  <c r="M563"/>
  <c r="N563"/>
  <c r="C555"/>
  <c r="O555"/>
  <c r="M555"/>
  <c r="N555"/>
  <c r="C355"/>
  <c r="O355"/>
  <c r="M355"/>
  <c r="N355"/>
  <c r="C325"/>
  <c r="O325"/>
  <c r="M325"/>
  <c r="N325"/>
  <c r="C317"/>
  <c r="O317"/>
  <c r="M317"/>
  <c r="N317"/>
  <c r="C297"/>
  <c r="O297"/>
  <c r="M297"/>
  <c r="N297"/>
  <c r="C287"/>
  <c r="O287"/>
  <c r="M287"/>
  <c r="N287"/>
  <c r="C279"/>
  <c r="O279"/>
  <c r="M279"/>
  <c r="N279"/>
  <c r="C775"/>
  <c r="O775"/>
  <c r="M775"/>
  <c r="N775"/>
  <c r="C407"/>
  <c r="O407"/>
  <c r="N407"/>
  <c r="M407"/>
  <c r="C41"/>
  <c r="O41"/>
  <c r="M41"/>
  <c r="N41"/>
  <c r="C615"/>
  <c r="O615"/>
  <c r="M615"/>
  <c r="N615"/>
  <c r="C605"/>
  <c r="O605"/>
  <c r="M605"/>
  <c r="N605"/>
  <c r="C383"/>
  <c r="O383"/>
  <c r="M383"/>
  <c r="N383"/>
  <c r="C87"/>
  <c r="O87"/>
  <c r="M87"/>
  <c r="N87"/>
  <c r="C919"/>
  <c r="O919"/>
  <c r="M919"/>
  <c r="N919"/>
  <c r="C535"/>
  <c r="O535"/>
  <c r="M535"/>
  <c r="N535"/>
  <c r="C356"/>
  <c r="O356"/>
  <c r="N356"/>
  <c r="M356"/>
  <c r="C979"/>
  <c r="O979"/>
  <c r="N979"/>
  <c r="M979"/>
  <c r="C765"/>
  <c r="O765"/>
  <c r="M765"/>
  <c r="N765"/>
  <c r="C201"/>
  <c r="O201"/>
  <c r="M201"/>
  <c r="N201"/>
  <c r="C109"/>
  <c r="O109"/>
  <c r="M109"/>
  <c r="N109"/>
  <c r="C815"/>
  <c r="O815"/>
  <c r="M815"/>
  <c r="N815"/>
  <c r="C497"/>
  <c r="O497"/>
  <c r="M497"/>
  <c r="N497"/>
  <c r="C169"/>
  <c r="O169"/>
  <c r="M169"/>
  <c r="N169"/>
  <c r="C883"/>
  <c r="O883"/>
  <c r="M883"/>
  <c r="N883"/>
  <c r="C607"/>
  <c r="O607"/>
  <c r="M607"/>
  <c r="N607"/>
  <c r="C261"/>
  <c r="O261"/>
  <c r="M261"/>
  <c r="N261"/>
  <c r="C73"/>
  <c r="O73"/>
  <c r="M73"/>
  <c r="N73"/>
  <c r="C741"/>
  <c r="O741"/>
  <c r="M741"/>
  <c r="N741"/>
  <c r="C437"/>
  <c r="O437"/>
  <c r="M437"/>
  <c r="N437"/>
  <c r="C115"/>
  <c r="O115"/>
  <c r="M115"/>
  <c r="N115"/>
  <c r="C1217"/>
  <c r="O1217"/>
  <c r="N1217"/>
  <c r="M1217"/>
  <c r="C735"/>
  <c r="O735"/>
  <c r="M735"/>
  <c r="N735"/>
  <c r="C1318"/>
  <c r="C1011"/>
  <c r="O1011"/>
  <c r="N1011"/>
  <c r="M1011"/>
  <c r="C439"/>
  <c r="O439"/>
  <c r="M439"/>
  <c r="N439"/>
  <c r="C1251"/>
  <c r="O1251"/>
  <c r="N1251"/>
  <c r="M1251"/>
  <c r="C621"/>
  <c r="O621"/>
  <c r="M621"/>
  <c r="N621"/>
  <c r="C489"/>
  <c r="O489"/>
  <c r="M489"/>
  <c r="N489"/>
  <c r="C259"/>
  <c r="O259"/>
  <c r="M259"/>
  <c r="N259"/>
  <c r="C69"/>
  <c r="O69"/>
  <c r="M69"/>
  <c r="N69"/>
  <c r="C671"/>
  <c r="O671"/>
  <c r="M671"/>
  <c r="N671"/>
  <c r="C148"/>
  <c r="O148"/>
  <c r="N148"/>
  <c r="M148"/>
  <c r="C759"/>
  <c r="O759"/>
  <c r="M759"/>
  <c r="N759"/>
  <c r="C993"/>
  <c r="O993"/>
  <c r="M993"/>
  <c r="N993"/>
  <c r="C924"/>
  <c r="O924"/>
  <c r="M924"/>
  <c r="N924"/>
  <c r="C1165"/>
  <c r="O1165"/>
  <c r="M1165"/>
  <c r="N1165"/>
  <c r="C841"/>
  <c r="O841"/>
  <c r="M841"/>
  <c r="N841"/>
  <c r="C997"/>
  <c r="O997"/>
  <c r="M997"/>
  <c r="N997"/>
  <c r="C1069"/>
  <c r="O1069"/>
  <c r="N1069"/>
  <c r="M1069"/>
  <c r="C670"/>
  <c r="O670"/>
  <c r="N670"/>
  <c r="M670"/>
  <c r="C1087"/>
  <c r="O1087"/>
  <c r="N1087"/>
  <c r="M1087"/>
  <c r="C1177"/>
  <c r="O1177"/>
  <c r="N1177"/>
  <c r="M1177"/>
  <c r="C943"/>
  <c r="O943"/>
  <c r="M943"/>
  <c r="N943"/>
  <c r="O1278"/>
  <c r="M1278"/>
  <c r="N1278"/>
  <c r="C1209"/>
  <c r="O1209"/>
  <c r="N1209"/>
  <c r="M1209"/>
  <c r="C790"/>
  <c r="O790"/>
  <c r="N790"/>
  <c r="M790"/>
  <c r="C1033"/>
  <c r="O1033"/>
  <c r="N1033"/>
  <c r="M1033"/>
  <c r="C1120"/>
  <c r="O1120"/>
  <c r="M1120"/>
  <c r="N1120"/>
  <c r="C824"/>
  <c r="O824"/>
  <c r="N824"/>
  <c r="M824"/>
  <c r="C1336"/>
  <c r="C1206"/>
  <c r="O1206"/>
  <c r="M1206"/>
  <c r="N1206"/>
  <c r="C34"/>
  <c r="O34"/>
  <c r="N34"/>
  <c r="M34"/>
  <c r="C838"/>
  <c r="O838"/>
  <c r="N838"/>
  <c r="M838"/>
  <c r="C67"/>
  <c r="O67"/>
  <c r="M67"/>
  <c r="N67"/>
  <c r="C242"/>
  <c r="O242"/>
  <c r="N242"/>
  <c r="M242"/>
  <c r="C1068"/>
  <c r="O1068"/>
  <c r="M1068"/>
  <c r="N1068"/>
  <c r="C1213"/>
  <c r="O1213"/>
  <c r="N1213"/>
  <c r="M1213"/>
  <c r="C801"/>
  <c r="O801"/>
  <c r="M801"/>
  <c r="N801"/>
  <c r="C571"/>
  <c r="O571"/>
  <c r="M571"/>
  <c r="N571"/>
  <c r="C941"/>
  <c r="O941"/>
  <c r="M941"/>
  <c r="N941"/>
  <c r="C361"/>
  <c r="O361"/>
  <c r="M361"/>
  <c r="N361"/>
  <c r="C365"/>
  <c r="O365"/>
  <c r="M365"/>
  <c r="N365"/>
  <c r="C171"/>
  <c r="O171"/>
  <c r="M171"/>
  <c r="N171"/>
  <c r="C25"/>
  <c r="O25"/>
  <c r="M25"/>
  <c r="N25"/>
  <c r="O1308"/>
  <c r="M1308"/>
  <c r="N1308"/>
  <c r="C1260"/>
  <c r="C203"/>
  <c r="O203"/>
  <c r="M203"/>
  <c r="N203"/>
  <c r="C850"/>
  <c r="O850"/>
  <c r="N850"/>
  <c r="M850"/>
  <c r="O1252"/>
  <c r="M1252"/>
  <c r="N1252"/>
  <c r="C64"/>
  <c r="O64"/>
  <c r="N64"/>
  <c r="M64"/>
  <c r="C843"/>
  <c r="O843"/>
  <c r="M843"/>
  <c r="N843"/>
  <c r="C1239"/>
  <c r="O1239"/>
  <c r="N1239"/>
  <c r="M1239"/>
  <c r="C72"/>
  <c r="O72"/>
  <c r="N72"/>
  <c r="M72"/>
  <c r="C1057"/>
  <c r="O1057"/>
  <c r="N1057"/>
  <c r="M1057"/>
  <c r="C786"/>
  <c r="O786"/>
  <c r="N786"/>
  <c r="M786"/>
  <c r="C546"/>
  <c r="O546"/>
  <c r="N546"/>
  <c r="M546"/>
  <c r="C54"/>
  <c r="O54"/>
  <c r="N54"/>
  <c r="M54"/>
  <c r="C780"/>
  <c r="O780"/>
  <c r="N780"/>
  <c r="M780"/>
  <c r="C840"/>
  <c r="O840"/>
  <c r="N840"/>
  <c r="M840"/>
  <c r="C1237"/>
  <c r="O1237"/>
  <c r="N1237"/>
  <c r="M1237"/>
  <c r="C44"/>
  <c r="O44"/>
  <c r="N44"/>
  <c r="M44"/>
  <c r="O1236"/>
  <c r="M1236"/>
  <c r="N1236"/>
  <c r="O1230"/>
  <c r="M1230"/>
  <c r="N1230"/>
  <c r="C795"/>
  <c r="O795"/>
  <c r="M795"/>
  <c r="N795"/>
  <c r="C395"/>
  <c r="O395"/>
  <c r="M395"/>
  <c r="N395"/>
  <c r="C981"/>
  <c r="O981"/>
  <c r="N981"/>
  <c r="M981"/>
  <c r="C839"/>
  <c r="O839"/>
  <c r="M839"/>
  <c r="N839"/>
  <c r="O1264"/>
  <c r="M1264"/>
  <c r="N1264"/>
  <c r="C1178"/>
  <c r="O1178"/>
  <c r="M1178"/>
  <c r="N1178"/>
  <c r="C5"/>
  <c r="O5"/>
  <c r="M5"/>
  <c r="N5"/>
  <c r="C944"/>
  <c r="O944"/>
  <c r="M944"/>
  <c r="N944"/>
  <c r="C925"/>
  <c r="O925"/>
  <c r="M925"/>
  <c r="N925"/>
  <c r="C719"/>
  <c r="O719"/>
  <c r="M719"/>
  <c r="N719"/>
  <c r="C1265"/>
  <c r="O1265"/>
  <c r="M1265"/>
  <c r="N1265"/>
  <c r="C805"/>
  <c r="O805"/>
  <c r="M805"/>
  <c r="N805"/>
  <c r="C1258"/>
  <c r="C922"/>
  <c r="O922"/>
  <c r="M922"/>
  <c r="N922"/>
  <c r="C829"/>
  <c r="O829"/>
  <c r="M829"/>
  <c r="N829"/>
  <c r="C278"/>
  <c r="O278"/>
  <c r="N278"/>
  <c r="M278"/>
  <c r="C823"/>
  <c r="O823"/>
  <c r="M823"/>
  <c r="N823"/>
  <c r="C1020"/>
  <c r="O1020"/>
  <c r="M1020"/>
  <c r="N1020"/>
  <c r="C879"/>
  <c r="O879"/>
  <c r="M879"/>
  <c r="N879"/>
  <c r="C834"/>
  <c r="O834"/>
  <c r="N834"/>
  <c r="M834"/>
  <c r="C1218"/>
  <c r="O1218"/>
  <c r="M1218"/>
  <c r="N1218"/>
  <c r="C49"/>
  <c r="O49"/>
  <c r="M49"/>
  <c r="N49"/>
  <c r="C1082"/>
  <c r="O1082"/>
  <c r="M1082"/>
  <c r="N1082"/>
  <c r="C275"/>
  <c r="O275"/>
  <c r="M275"/>
  <c r="N275"/>
  <c r="C826"/>
  <c r="O826"/>
  <c r="N826"/>
  <c r="M826"/>
  <c r="C700"/>
  <c r="O700"/>
  <c r="N700"/>
  <c r="M700"/>
  <c r="C1304"/>
  <c r="C624"/>
  <c r="O624"/>
  <c r="N624"/>
  <c r="M624"/>
  <c r="C1337"/>
  <c r="O1337"/>
  <c r="M1337"/>
  <c r="N1337"/>
  <c r="C813"/>
  <c r="O813"/>
  <c r="M813"/>
  <c r="N813"/>
  <c r="C833"/>
  <c r="O833"/>
  <c r="M833"/>
  <c r="N833"/>
  <c r="C107"/>
  <c r="O107"/>
  <c r="M107"/>
  <c r="N107"/>
  <c r="C230"/>
  <c r="O230"/>
  <c r="N230"/>
  <c r="M230"/>
  <c r="C977"/>
  <c r="O977"/>
  <c r="N977"/>
  <c r="M977"/>
  <c r="C948"/>
  <c r="O948"/>
  <c r="M948"/>
  <c r="N948"/>
  <c r="C648"/>
  <c r="O648"/>
  <c r="N648"/>
  <c r="M648"/>
  <c r="C240"/>
  <c r="O240"/>
  <c r="N240"/>
  <c r="M240"/>
  <c r="C827"/>
  <c r="O827"/>
  <c r="M827"/>
  <c r="N827"/>
  <c r="C900"/>
  <c r="O900"/>
  <c r="M900"/>
  <c r="N900"/>
  <c r="C239"/>
  <c r="O239"/>
  <c r="M239"/>
  <c r="N239"/>
  <c r="C187"/>
  <c r="O187"/>
  <c r="M187"/>
  <c r="N187"/>
  <c r="C302"/>
  <c r="O302"/>
  <c r="N302"/>
  <c r="M302"/>
  <c r="C951"/>
  <c r="O951"/>
  <c r="M951"/>
  <c r="N951"/>
  <c r="C419"/>
  <c r="O419"/>
  <c r="M419"/>
  <c r="N419"/>
  <c r="C100"/>
  <c r="O100"/>
  <c r="N100"/>
  <c r="M100"/>
  <c r="C913"/>
  <c r="O913"/>
  <c r="M913"/>
  <c r="N913"/>
  <c r="C483"/>
  <c r="O483"/>
  <c r="M483"/>
  <c r="N483"/>
  <c r="C149"/>
  <c r="O149"/>
  <c r="M149"/>
  <c r="N149"/>
  <c r="C57"/>
  <c r="O57"/>
  <c r="M57"/>
  <c r="N57"/>
  <c r="C769"/>
  <c r="O769"/>
  <c r="M769"/>
  <c r="N769"/>
  <c r="C441"/>
  <c r="O441"/>
  <c r="M441"/>
  <c r="N441"/>
  <c r="C1277"/>
  <c r="O1277"/>
  <c r="M1277"/>
  <c r="N1277"/>
  <c r="C1249"/>
  <c r="O1249"/>
  <c r="N1249"/>
  <c r="M1249"/>
  <c r="C799"/>
  <c r="O799"/>
  <c r="M799"/>
  <c r="N799"/>
  <c r="C975"/>
  <c r="O975"/>
  <c r="N975"/>
  <c r="M975"/>
  <c r="C645"/>
  <c r="O645"/>
  <c r="M645"/>
  <c r="N645"/>
  <c r="C814"/>
  <c r="O814"/>
  <c r="N814"/>
  <c r="M814"/>
  <c r="C1185"/>
  <c r="O1185"/>
  <c r="N1185"/>
  <c r="M1185"/>
  <c r="C14"/>
  <c r="O14"/>
  <c r="N14"/>
  <c r="M14"/>
  <c r="C1248"/>
  <c r="C405"/>
  <c r="O405"/>
  <c r="N405"/>
  <c r="M405"/>
  <c r="C845"/>
  <c r="O845"/>
  <c r="M845"/>
  <c r="N845"/>
  <c r="C798"/>
  <c r="O798"/>
  <c r="N798"/>
  <c r="M798"/>
  <c r="C1306"/>
  <c r="C630"/>
  <c r="O630"/>
  <c r="N630"/>
  <c r="M630"/>
  <c r="O1250"/>
  <c r="M1250"/>
  <c r="N1250"/>
  <c r="C122"/>
  <c r="O122"/>
  <c r="N122"/>
  <c r="M122"/>
  <c r="C852"/>
  <c r="O852"/>
  <c r="N852"/>
  <c r="M852"/>
  <c r="C830"/>
  <c r="O830"/>
  <c r="N830"/>
  <c r="M830"/>
  <c r="C565"/>
  <c r="O565"/>
  <c r="M565"/>
  <c r="N565"/>
  <c r="C1025"/>
  <c r="O1025"/>
  <c r="N1025"/>
  <c r="M1025"/>
  <c r="C1032"/>
  <c r="O1032"/>
  <c r="M1032"/>
  <c r="N1032"/>
  <c r="C679"/>
  <c r="O679"/>
  <c r="M679"/>
  <c r="N679"/>
  <c r="C389"/>
  <c r="O389"/>
  <c r="M389"/>
  <c r="N389"/>
  <c r="C1235"/>
  <c r="O1235"/>
  <c r="N1235"/>
  <c r="M1235"/>
  <c r="C58"/>
  <c r="O58"/>
  <c r="N58"/>
  <c r="M58"/>
  <c r="C934"/>
  <c r="O934"/>
  <c r="M934"/>
  <c r="N934"/>
  <c r="C822"/>
  <c r="O822"/>
  <c r="N822"/>
  <c r="M822"/>
  <c r="C935"/>
  <c r="O935"/>
  <c r="N935"/>
  <c r="M935"/>
  <c r="C29"/>
  <c r="O29"/>
  <c r="M29"/>
  <c r="N29"/>
  <c r="C819"/>
  <c r="O819"/>
  <c r="M819"/>
  <c r="N819"/>
  <c r="C1234"/>
  <c r="C1123"/>
  <c r="O1123"/>
  <c r="M1123"/>
  <c r="N1123"/>
  <c r="C345"/>
  <c r="O345"/>
  <c r="M345"/>
  <c r="N345"/>
  <c r="C778"/>
  <c r="O778"/>
  <c r="N778"/>
  <c r="M778"/>
  <c r="C421"/>
  <c r="O421"/>
  <c r="M421"/>
  <c r="N421"/>
  <c r="C1280"/>
  <c r="C454"/>
  <c r="O454"/>
  <c r="N454"/>
  <c r="M454"/>
  <c r="C1031"/>
  <c r="O1031"/>
  <c r="N1031"/>
  <c r="M1031"/>
  <c r="C1164"/>
  <c r="O1164"/>
  <c r="M1164"/>
  <c r="N1164"/>
  <c r="C792"/>
  <c r="O792"/>
  <c r="N792"/>
  <c r="M792"/>
  <c r="C1172"/>
  <c r="O1172"/>
  <c r="M1172"/>
  <c r="N1172"/>
  <c r="C1175"/>
  <c r="O1175"/>
  <c r="N1175"/>
  <c r="M1175"/>
  <c r="C782"/>
  <c r="O782"/>
  <c r="N782"/>
  <c r="M782"/>
  <c r="C859"/>
  <c r="O859"/>
  <c r="M859"/>
  <c r="N859"/>
  <c r="C699"/>
  <c r="O699"/>
  <c r="M699"/>
  <c r="N699"/>
  <c r="C821"/>
  <c r="O821"/>
  <c r="M821"/>
  <c r="N821"/>
  <c r="C3"/>
  <c r="C26"/>
  <c r="O26"/>
  <c r="N26"/>
  <c r="M26"/>
  <c r="C28"/>
  <c r="O28"/>
  <c r="N28"/>
  <c r="M28"/>
  <c r="C1018"/>
  <c r="O1018"/>
  <c r="M1018"/>
  <c r="N1018"/>
  <c r="C1118"/>
  <c r="O1118"/>
  <c r="M1118"/>
  <c r="N1118"/>
  <c r="C776"/>
  <c r="O776"/>
  <c r="N776"/>
  <c r="M776"/>
  <c r="C6"/>
  <c r="O6"/>
  <c r="M6"/>
  <c r="N6"/>
  <c r="C31"/>
  <c r="O31"/>
  <c r="N31"/>
  <c r="M31"/>
  <c r="C1256"/>
  <c r="C908"/>
  <c r="O908"/>
  <c r="M908"/>
  <c r="N908"/>
  <c r="C945"/>
  <c r="O945"/>
  <c r="M945"/>
  <c r="N945"/>
  <c r="C393"/>
  <c r="O393"/>
  <c r="M393"/>
  <c r="N393"/>
  <c r="C806"/>
  <c r="O806"/>
  <c r="N806"/>
  <c r="M806"/>
  <c r="C637"/>
  <c r="O637"/>
  <c r="M637"/>
  <c r="N637"/>
  <c r="C1282"/>
  <c r="C594"/>
  <c r="O594"/>
  <c r="N594"/>
  <c r="M594"/>
  <c r="C985"/>
  <c r="O985"/>
  <c r="M985"/>
  <c r="N985"/>
  <c r="C1261"/>
  <c r="O1261"/>
  <c r="M1261"/>
  <c r="N1261"/>
  <c r="C817"/>
  <c r="O817"/>
  <c r="M817"/>
  <c r="N817"/>
  <c r="C910"/>
  <c r="O910"/>
  <c r="M910"/>
  <c r="N910"/>
  <c r="C864"/>
  <c r="O864"/>
  <c r="N864"/>
  <c r="M864"/>
  <c r="C305"/>
  <c r="O305"/>
  <c r="M305"/>
  <c r="N305"/>
  <c r="C1107"/>
  <c r="O1107"/>
  <c r="M1107"/>
  <c r="N1107"/>
  <c r="C938"/>
  <c r="O938"/>
  <c r="M938"/>
  <c r="N938"/>
  <c r="C978"/>
  <c r="O978"/>
  <c r="M978"/>
  <c r="N978"/>
  <c r="C401"/>
  <c r="O401"/>
  <c r="M401"/>
  <c r="N401"/>
  <c r="C842"/>
  <c r="O842"/>
  <c r="N842"/>
  <c r="M842"/>
  <c r="C710"/>
  <c r="O710"/>
  <c r="N710"/>
  <c r="M710"/>
  <c r="C595"/>
  <c r="O595"/>
  <c r="M595"/>
  <c r="N595"/>
  <c r="C1035"/>
  <c r="O1035"/>
  <c r="N1035"/>
  <c r="M1035"/>
  <c r="C1212"/>
  <c r="O1212"/>
  <c r="M1212"/>
  <c r="N1212"/>
  <c r="C155"/>
  <c r="O155"/>
  <c r="M155"/>
  <c r="N155"/>
  <c r="C609"/>
  <c r="O609"/>
  <c r="M609"/>
  <c r="N609"/>
  <c r="C33"/>
  <c r="O33"/>
  <c r="M33"/>
  <c r="N33"/>
  <c r="C1266"/>
  <c r="C378"/>
  <c r="O378"/>
  <c r="N378"/>
  <c r="M378"/>
  <c r="C940"/>
  <c r="O940"/>
  <c r="M940"/>
  <c r="N940"/>
  <c r="C987"/>
  <c r="O987"/>
  <c r="M987"/>
  <c r="N987"/>
  <c r="C952"/>
  <c r="O952"/>
  <c r="M952"/>
  <c r="N952"/>
  <c r="C309"/>
  <c r="O309"/>
  <c r="M309"/>
  <c r="N309"/>
  <c r="C119"/>
  <c r="O119"/>
  <c r="M119"/>
  <c r="N119"/>
  <c r="C871"/>
  <c r="O871"/>
  <c r="M871"/>
  <c r="N871"/>
  <c r="C495"/>
  <c r="O495"/>
  <c r="M495"/>
  <c r="N495"/>
  <c r="C339"/>
  <c r="O339"/>
  <c r="M339"/>
  <c r="N339"/>
  <c r="C1029"/>
  <c r="O1029"/>
  <c r="N1029"/>
  <c r="M1029"/>
  <c r="C143"/>
  <c r="O143"/>
  <c r="M143"/>
  <c r="N143"/>
  <c r="C793"/>
  <c r="O793"/>
  <c r="M793"/>
  <c r="N793"/>
  <c r="C620"/>
  <c r="O620"/>
  <c r="N620"/>
  <c r="M620"/>
  <c r="C533"/>
  <c r="O533"/>
  <c r="M533"/>
  <c r="N533"/>
  <c r="C223"/>
  <c r="O223"/>
  <c r="M223"/>
  <c r="N223"/>
  <c r="C899"/>
  <c r="O899"/>
  <c r="M899"/>
  <c r="N899"/>
  <c r="C1047"/>
  <c r="O1047"/>
  <c r="N1047"/>
  <c r="M1047"/>
  <c r="C593"/>
  <c r="O593"/>
  <c r="M593"/>
  <c r="N593"/>
  <c r="C151"/>
  <c r="O151"/>
  <c r="M151"/>
  <c r="N151"/>
  <c r="C59"/>
  <c r="O59"/>
  <c r="M59"/>
  <c r="N59"/>
  <c r="C881"/>
  <c r="O881"/>
  <c r="M881"/>
  <c r="N881"/>
  <c r="C527"/>
  <c r="O527"/>
  <c r="M527"/>
  <c r="N527"/>
  <c r="C308"/>
  <c r="O308"/>
  <c r="N308"/>
  <c r="M308"/>
  <c r="C667"/>
  <c r="O667"/>
  <c r="M667"/>
  <c r="N667"/>
  <c r="C867"/>
  <c r="O867"/>
  <c r="M867"/>
  <c r="N867"/>
  <c r="C195"/>
  <c r="O195"/>
  <c r="M195"/>
  <c r="N195"/>
  <c r="C481"/>
  <c r="O481"/>
  <c r="M481"/>
  <c r="N481"/>
  <c r="C1045"/>
  <c r="O1045"/>
  <c r="N1045"/>
  <c r="M1045"/>
  <c r="C443"/>
  <c r="O443"/>
  <c r="M443"/>
  <c r="N443"/>
  <c r="C282"/>
  <c r="O282"/>
  <c r="N282"/>
  <c r="M282"/>
  <c r="C623"/>
  <c r="O623"/>
  <c r="M623"/>
  <c r="N623"/>
  <c r="C647"/>
  <c r="O647"/>
  <c r="M647"/>
  <c r="N647"/>
  <c r="C429"/>
  <c r="O429"/>
  <c r="M429"/>
  <c r="N429"/>
  <c r="C89"/>
  <c r="O89"/>
  <c r="M89"/>
  <c r="N89"/>
  <c r="C995"/>
  <c r="O995"/>
  <c r="M995"/>
  <c r="N995"/>
  <c r="C433"/>
  <c r="O433"/>
  <c r="M433"/>
  <c r="N433"/>
  <c r="C301"/>
  <c r="O301"/>
  <c r="M301"/>
  <c r="N301"/>
  <c r="C837"/>
  <c r="O837"/>
  <c r="M837"/>
  <c r="N837"/>
  <c r="C579"/>
  <c r="O579"/>
  <c r="M579"/>
  <c r="N579"/>
  <c r="C1328"/>
  <c r="C569"/>
  <c r="O569"/>
  <c r="M569"/>
  <c r="N569"/>
  <c r="C559"/>
  <c r="O559"/>
  <c r="M559"/>
  <c r="N559"/>
  <c r="C359"/>
  <c r="O359"/>
  <c r="M359"/>
  <c r="N359"/>
  <c r="C351"/>
  <c r="O351"/>
  <c r="M351"/>
  <c r="N351"/>
  <c r="C321"/>
  <c r="O321"/>
  <c r="M321"/>
  <c r="N321"/>
  <c r="C313"/>
  <c r="O313"/>
  <c r="M313"/>
  <c r="N313"/>
  <c r="C291"/>
  <c r="O291"/>
  <c r="M291"/>
  <c r="N291"/>
  <c r="C283"/>
  <c r="O283"/>
  <c r="M283"/>
  <c r="N283"/>
  <c r="C375"/>
  <c r="O375"/>
  <c r="M375"/>
  <c r="N375"/>
  <c r="C525"/>
  <c r="O525"/>
  <c r="M525"/>
  <c r="N525"/>
  <c r="C213"/>
  <c r="O213"/>
  <c r="M213"/>
  <c r="N213"/>
  <c r="C909"/>
  <c r="O909"/>
  <c r="M909"/>
  <c r="N909"/>
  <c r="C731"/>
  <c r="O731"/>
  <c r="M731"/>
  <c r="N731"/>
  <c r="C475"/>
  <c r="O475"/>
  <c r="M475"/>
  <c r="N475"/>
  <c r="C137"/>
  <c r="O137"/>
  <c r="M137"/>
  <c r="N137"/>
  <c r="C586"/>
  <c r="O586"/>
  <c r="N586"/>
  <c r="M586"/>
  <c r="C715"/>
  <c r="O715"/>
  <c r="M715"/>
  <c r="N715"/>
  <c r="C196"/>
  <c r="O196"/>
  <c r="N196"/>
  <c r="M196"/>
  <c r="C809"/>
  <c r="O809"/>
  <c r="M809"/>
  <c r="N809"/>
  <c r="C1017"/>
  <c r="O1017"/>
  <c r="N1017"/>
  <c r="M1017"/>
  <c r="C237"/>
  <c r="O237"/>
  <c r="M237"/>
  <c r="N237"/>
  <c r="C185"/>
  <c r="O185"/>
  <c r="M185"/>
  <c r="N185"/>
  <c r="C292"/>
  <c r="O292"/>
  <c r="N292"/>
  <c r="M292"/>
  <c r="C657"/>
  <c r="O657"/>
  <c r="M657"/>
  <c r="N657"/>
  <c r="C331"/>
  <c r="O331"/>
  <c r="M331"/>
  <c r="N331"/>
  <c r="C1307"/>
  <c r="O1307"/>
  <c r="M1307"/>
  <c r="N1307"/>
  <c r="C955"/>
  <c r="O955"/>
  <c r="M955"/>
  <c r="N955"/>
  <c r="C477"/>
  <c r="O477"/>
  <c r="M477"/>
  <c r="N477"/>
  <c r="C127"/>
  <c r="O127"/>
  <c r="M127"/>
  <c r="N127"/>
  <c r="C19"/>
  <c r="O19"/>
  <c r="N19"/>
  <c r="M19"/>
  <c r="C541"/>
  <c r="O541"/>
  <c r="M541"/>
  <c r="N541"/>
  <c r="C337"/>
  <c r="O337"/>
  <c r="M337"/>
  <c r="N337"/>
  <c r="C855"/>
  <c r="O855"/>
  <c r="M855"/>
  <c r="N855"/>
  <c r="C676"/>
  <c r="O676"/>
  <c r="N676"/>
  <c r="M676"/>
  <c r="O1318"/>
  <c r="M1318"/>
  <c r="N1318"/>
  <c r="C551"/>
  <c r="O551"/>
  <c r="M551"/>
  <c r="N551"/>
  <c r="C277"/>
  <c r="O277"/>
  <c r="M277"/>
  <c r="N277"/>
  <c r="C713"/>
  <c r="O713"/>
  <c r="M713"/>
  <c r="N713"/>
  <c r="C747"/>
  <c r="O747"/>
  <c r="M747"/>
  <c r="N747"/>
  <c r="C455"/>
  <c r="O455"/>
  <c r="M455"/>
  <c r="N455"/>
  <c r="C125"/>
  <c r="O125"/>
  <c r="M125"/>
  <c r="N125"/>
  <c r="C1015"/>
  <c r="O1015"/>
  <c r="N1015"/>
  <c r="M1015"/>
  <c r="C511"/>
  <c r="O511"/>
  <c r="M511"/>
  <c r="N511"/>
  <c r="C130"/>
  <c r="O130"/>
  <c r="N130"/>
  <c r="M130"/>
  <c r="C965"/>
  <c r="O965"/>
  <c r="N965"/>
  <c r="M965"/>
  <c r="C1327"/>
  <c r="O1327"/>
  <c r="M1327"/>
  <c r="N1327"/>
  <c r="C293"/>
  <c r="O293"/>
  <c r="M293"/>
  <c r="N293"/>
  <c r="C825"/>
  <c r="O825"/>
  <c r="M825"/>
  <c r="N825"/>
  <c r="C45"/>
  <c r="O45"/>
  <c r="M45"/>
  <c r="N45"/>
  <c r="C341"/>
  <c r="O341"/>
  <c r="M341"/>
  <c r="N341"/>
  <c r="C1005"/>
  <c r="O1005"/>
  <c r="M1005"/>
  <c r="N1005"/>
  <c r="C1151"/>
  <c r="O1151"/>
  <c r="M1151"/>
  <c r="N1151"/>
  <c r="C333"/>
  <c r="O333"/>
  <c r="M333"/>
  <c r="N333"/>
  <c r="C674"/>
  <c r="O674"/>
  <c r="N674"/>
  <c r="M674"/>
  <c r="C74"/>
  <c r="O74"/>
  <c r="N74"/>
  <c r="M74"/>
  <c r="C1278"/>
  <c r="C412"/>
  <c r="O412"/>
  <c r="N412"/>
  <c r="M412"/>
  <c r="C1089"/>
  <c r="O1089"/>
  <c r="N1089"/>
  <c r="M1089"/>
  <c r="C1094"/>
  <c r="O1094"/>
  <c r="M1094"/>
  <c r="N1094"/>
  <c r="C711"/>
  <c r="O711"/>
  <c r="M711"/>
  <c r="N711"/>
  <c r="C617"/>
  <c r="O617"/>
  <c r="M617"/>
  <c r="N617"/>
  <c r="O1336"/>
  <c r="M1336"/>
  <c r="N1336"/>
  <c r="C846"/>
  <c r="O846"/>
  <c r="N846"/>
  <c r="M846"/>
  <c r="C1188"/>
  <c r="O1188"/>
  <c r="M1188"/>
  <c r="N1188"/>
  <c r="C983"/>
  <c r="O983"/>
  <c r="M983"/>
  <c r="N983"/>
  <c r="C807"/>
  <c r="O807"/>
  <c r="M807"/>
  <c r="N807"/>
  <c r="C1159"/>
  <c r="O1159"/>
  <c r="M1159"/>
  <c r="N1159"/>
  <c r="C773"/>
  <c r="O773"/>
  <c r="M773"/>
  <c r="N773"/>
  <c r="C1119"/>
  <c r="O1119"/>
  <c r="M1119"/>
  <c r="N1119"/>
  <c r="C1044"/>
  <c r="O1044"/>
  <c r="M1044"/>
  <c r="N1044"/>
  <c r="C794"/>
  <c r="O794"/>
  <c r="N794"/>
  <c r="M794"/>
  <c r="C946"/>
  <c r="O946"/>
  <c r="M946"/>
  <c r="N946"/>
  <c r="C1329"/>
  <c r="O1329"/>
  <c r="M1329"/>
  <c r="N1329"/>
  <c r="C349"/>
  <c r="O349"/>
  <c r="M349"/>
  <c r="N349"/>
  <c r="C916"/>
  <c r="O916"/>
  <c r="M916"/>
  <c r="N916"/>
  <c r="C818"/>
  <c r="O818"/>
  <c r="N818"/>
  <c r="M818"/>
  <c r="C1308"/>
  <c r="O1260"/>
  <c r="M1260"/>
  <c r="N1260"/>
  <c r="C1214"/>
  <c r="O1214"/>
  <c r="M1214"/>
  <c r="N1214"/>
  <c r="C42"/>
  <c r="O42"/>
  <c r="N42"/>
  <c r="M42"/>
  <c r="C1252"/>
  <c r="C906"/>
  <c r="O906"/>
  <c r="M906"/>
  <c r="N906"/>
  <c r="C680"/>
  <c r="O680"/>
  <c r="N680"/>
  <c r="M680"/>
  <c r="C22"/>
  <c r="O22"/>
  <c r="N22"/>
  <c r="M22"/>
  <c r="C869"/>
  <c r="O869"/>
  <c r="M869"/>
  <c r="N869"/>
  <c r="C1109"/>
  <c r="O1109"/>
  <c r="M1109"/>
  <c r="N1109"/>
  <c r="C767"/>
  <c r="O767"/>
  <c r="M767"/>
  <c r="N767"/>
  <c r="C1028"/>
  <c r="O1028"/>
  <c r="M1028"/>
  <c r="N1028"/>
  <c r="C1156"/>
  <c r="O1156"/>
  <c r="M1156"/>
  <c r="N1156"/>
  <c r="C939"/>
  <c r="O939"/>
  <c r="M939"/>
  <c r="N939"/>
  <c r="C1198"/>
  <c r="O1198"/>
  <c r="M1198"/>
  <c r="N1198"/>
  <c r="C24"/>
  <c r="O24"/>
  <c r="N24"/>
  <c r="M24"/>
  <c r="C865"/>
  <c r="O865"/>
  <c r="M865"/>
  <c r="N865"/>
  <c r="C800"/>
  <c r="O800"/>
  <c r="N800"/>
  <c r="M800"/>
  <c r="C1236"/>
  <c r="C684"/>
  <c r="O684"/>
  <c r="N684"/>
  <c r="M684"/>
  <c r="C1230"/>
  <c r="C1101"/>
  <c r="O1101"/>
  <c r="M1101"/>
  <c r="N1101"/>
  <c r="C1176"/>
  <c r="O1176"/>
  <c r="M1176"/>
  <c r="N1176"/>
  <c r="C225"/>
  <c r="O225"/>
  <c r="M225"/>
  <c r="N225"/>
  <c r="C43"/>
  <c r="O43"/>
  <c r="N43"/>
  <c r="M43"/>
  <c r="C15"/>
  <c r="O15"/>
  <c r="N15"/>
  <c r="M15"/>
  <c r="C1264"/>
  <c r="C364"/>
  <c r="O364"/>
  <c r="N364"/>
  <c r="M364"/>
  <c r="C831"/>
  <c r="O831"/>
  <c r="M831"/>
  <c r="N831"/>
  <c r="C853"/>
  <c r="O853"/>
  <c r="M853"/>
  <c r="N853"/>
  <c r="C303"/>
  <c r="O303"/>
  <c r="M303"/>
  <c r="N303"/>
  <c r="C1299"/>
  <c r="O1299"/>
  <c r="M1299"/>
  <c r="N1299"/>
  <c r="C7"/>
  <c r="O7"/>
  <c r="N7"/>
  <c r="M7"/>
  <c r="C1121"/>
  <c r="O1121"/>
  <c r="M1121"/>
  <c r="N1121"/>
  <c r="O1258"/>
  <c r="M1258"/>
  <c r="N1258"/>
  <c r="C116"/>
  <c r="O116"/>
  <c r="N116"/>
  <c r="M116"/>
  <c r="C269"/>
  <c r="O269"/>
  <c r="M269"/>
  <c r="N269"/>
  <c r="C1158"/>
  <c r="O1158"/>
  <c r="M1158"/>
  <c r="N1158"/>
  <c r="C1056"/>
  <c r="O1056"/>
  <c r="M1056"/>
  <c r="N1056"/>
  <c r="C693"/>
  <c r="O693"/>
  <c r="M693"/>
  <c r="N693"/>
  <c r="C53"/>
  <c r="O53"/>
  <c r="M53"/>
  <c r="N53"/>
  <c r="C10"/>
  <c r="O10"/>
  <c r="N10"/>
  <c r="M10"/>
  <c r="C856"/>
  <c r="O856"/>
  <c r="N856"/>
  <c r="M856"/>
  <c r="C198"/>
  <c r="O198"/>
  <c r="N198"/>
  <c r="M198"/>
  <c r="C445"/>
  <c r="O445"/>
  <c r="M445"/>
  <c r="N445"/>
  <c r="C153"/>
  <c r="O153"/>
  <c r="M153"/>
  <c r="N153"/>
  <c r="C1273"/>
  <c r="O1273"/>
  <c r="M1273"/>
  <c r="N1273"/>
  <c r="O1304"/>
  <c r="M1304"/>
  <c r="N1304"/>
  <c r="C77"/>
  <c r="O77"/>
  <c r="M77"/>
  <c r="N77"/>
  <c r="C1150"/>
  <c r="O1150"/>
  <c r="M1150"/>
  <c r="N1150"/>
  <c r="C1180"/>
  <c r="O1180"/>
  <c r="M1180"/>
  <c r="N1180"/>
  <c r="C812"/>
  <c r="O812"/>
  <c r="N812"/>
  <c r="M812"/>
  <c r="C802"/>
  <c r="O802"/>
  <c r="N802"/>
  <c r="M802"/>
  <c r="C1026"/>
  <c r="O1026"/>
  <c r="M1026"/>
  <c r="N1026"/>
  <c r="C641"/>
  <c r="O641"/>
  <c r="M641"/>
  <c r="N641"/>
  <c r="C999"/>
  <c r="O999"/>
  <c r="M999"/>
  <c r="N999"/>
  <c r="C71"/>
  <c r="O71"/>
  <c r="M71"/>
  <c r="N71"/>
  <c r="C206"/>
  <c r="O206"/>
  <c r="N206"/>
  <c r="M206"/>
  <c r="C903"/>
  <c r="O903"/>
  <c r="M903"/>
  <c r="N903"/>
  <c r="C848"/>
  <c r="O848"/>
  <c r="N848"/>
  <c r="M848"/>
  <c r="C211"/>
  <c r="O211"/>
  <c r="M211"/>
  <c r="N211"/>
  <c r="C173"/>
  <c r="O173"/>
  <c r="M173"/>
  <c r="N173"/>
  <c r="C957"/>
  <c r="O957"/>
  <c r="M957"/>
  <c r="N957"/>
  <c r="C539"/>
  <c r="O539"/>
  <c r="M539"/>
  <c r="N539"/>
  <c r="C215"/>
  <c r="O215"/>
  <c r="M215"/>
  <c r="N215"/>
  <c r="C1063"/>
  <c r="O1063"/>
  <c r="N1063"/>
  <c r="M1063"/>
  <c r="C705"/>
  <c r="O705"/>
  <c r="M705"/>
  <c r="N705"/>
  <c r="C457"/>
  <c r="O457"/>
  <c r="M457"/>
  <c r="N457"/>
  <c r="C97"/>
  <c r="O97"/>
  <c r="M97"/>
  <c r="N97"/>
  <c r="C1055"/>
  <c r="O1055"/>
  <c r="N1055"/>
  <c r="M1055"/>
  <c r="C549"/>
  <c r="O549"/>
  <c r="M549"/>
  <c r="N549"/>
  <c r="C221"/>
  <c r="O221"/>
  <c r="M221"/>
  <c r="N221"/>
  <c r="C921"/>
  <c r="O921"/>
  <c r="M921"/>
  <c r="N921"/>
  <c r="C1110"/>
  <c r="O1110"/>
  <c r="M1110"/>
  <c r="N1110"/>
  <c r="C937"/>
  <c r="O937"/>
  <c r="M937"/>
  <c r="N937"/>
  <c r="C385"/>
  <c r="O385"/>
  <c r="M385"/>
  <c r="N385"/>
  <c r="C35"/>
  <c r="O35"/>
  <c r="N35"/>
  <c r="M35"/>
  <c r="C324"/>
  <c r="O324"/>
  <c r="N324"/>
  <c r="M324"/>
  <c r="C835"/>
  <c r="O835"/>
  <c r="M835"/>
  <c r="N835"/>
  <c r="O1248"/>
  <c r="M1248"/>
  <c r="N1248"/>
  <c r="C163"/>
  <c r="O163"/>
  <c r="M163"/>
  <c r="N163"/>
  <c r="C103"/>
  <c r="O103"/>
  <c r="M103"/>
  <c r="N103"/>
  <c r="O1306"/>
  <c r="M1306"/>
  <c r="N1306"/>
  <c r="C83"/>
  <c r="O83"/>
  <c r="M83"/>
  <c r="N83"/>
  <c r="C1250"/>
  <c r="C904"/>
  <c r="O904"/>
  <c r="M904"/>
  <c r="N904"/>
  <c r="C1216"/>
  <c r="O1216"/>
  <c r="M1216"/>
  <c r="N1216"/>
  <c r="C32"/>
  <c r="O32"/>
  <c r="N32"/>
  <c r="M32"/>
  <c r="C1088"/>
  <c r="O1088"/>
  <c r="M1088"/>
  <c r="N1088"/>
  <c r="C1105"/>
  <c r="O1105"/>
  <c r="M1105"/>
  <c r="N1105"/>
  <c r="C696"/>
  <c r="O696"/>
  <c r="N696"/>
  <c r="M696"/>
  <c r="C1009"/>
  <c r="O1009"/>
  <c r="N1009"/>
  <c r="M1009"/>
  <c r="C644"/>
  <c r="O644"/>
  <c r="N644"/>
  <c r="M644"/>
  <c r="C290"/>
  <c r="O290"/>
  <c r="N290"/>
  <c r="M290"/>
  <c r="C863"/>
  <c r="O863"/>
  <c r="M863"/>
  <c r="N863"/>
  <c r="C1319"/>
  <c r="O1319"/>
  <c r="M1319"/>
  <c r="N1319"/>
  <c r="C245"/>
  <c r="O245"/>
  <c r="M245"/>
  <c r="N245"/>
  <c r="C11"/>
  <c r="O11"/>
  <c r="N11"/>
  <c r="M11"/>
  <c r="C52"/>
  <c r="O52"/>
  <c r="N52"/>
  <c r="M52"/>
  <c r="C1154"/>
  <c r="O1154"/>
  <c r="M1154"/>
  <c r="N1154"/>
  <c r="O1234"/>
  <c r="M1234"/>
  <c r="N1234"/>
  <c r="C363"/>
  <c r="O363"/>
  <c r="M363"/>
  <c r="N363"/>
  <c r="C1219"/>
  <c r="O1219"/>
  <c r="N1219"/>
  <c r="M1219"/>
  <c r="C1034"/>
  <c r="O1034"/>
  <c r="M1034"/>
  <c r="N1034"/>
  <c r="O1280"/>
  <c r="M1280"/>
  <c r="N1280"/>
  <c r="C1114"/>
  <c r="O1114"/>
  <c r="M1114"/>
  <c r="N1114"/>
  <c r="C706"/>
  <c r="O706"/>
  <c r="N706"/>
  <c r="M706"/>
  <c r="C1093"/>
  <c r="O1093"/>
  <c r="M1093"/>
  <c r="N1093"/>
  <c r="C849"/>
  <c r="O849"/>
  <c r="M849"/>
  <c r="N849"/>
  <c r="C653"/>
  <c r="O653"/>
  <c r="M653"/>
  <c r="N653"/>
  <c r="C1083"/>
  <c r="O1083"/>
  <c r="N1083"/>
  <c r="M1083"/>
  <c r="C1233"/>
  <c r="O1233"/>
  <c r="N1233"/>
  <c r="M1233"/>
  <c r="C39"/>
  <c r="O39"/>
  <c r="N39"/>
  <c r="M39"/>
  <c r="C1279"/>
  <c r="O1279"/>
  <c r="M1279"/>
  <c r="N1279"/>
  <c r="O3"/>
  <c r="R21" i="3"/>
  <c r="M3" i="4"/>
  <c r="N3"/>
  <c r="N372"/>
  <c r="M372"/>
  <c r="C1335"/>
  <c r="O1335"/>
  <c r="M1335"/>
  <c r="N1335"/>
  <c r="C1086"/>
  <c r="O1086"/>
  <c r="M1086"/>
  <c r="N1086"/>
  <c r="C691"/>
  <c r="O691"/>
  <c r="M691"/>
  <c r="N691"/>
  <c r="C1070"/>
  <c r="O1070"/>
  <c r="M1070"/>
  <c r="N1070"/>
  <c r="C947"/>
  <c r="O947"/>
  <c r="M947"/>
  <c r="N947"/>
  <c r="C851"/>
  <c r="O851"/>
  <c r="M851"/>
  <c r="N851"/>
  <c r="O1256"/>
  <c r="M1256"/>
  <c r="N1256"/>
  <c r="C267"/>
  <c r="O267"/>
  <c r="M267"/>
  <c r="N267"/>
  <c r="C423"/>
  <c r="O423"/>
  <c r="M423"/>
  <c r="N423"/>
  <c r="C51"/>
  <c r="O51"/>
  <c r="N51"/>
  <c r="M51"/>
  <c r="C1157"/>
  <c r="O1157"/>
  <c r="M1157"/>
  <c r="N1157"/>
  <c r="O1282"/>
  <c r="M1282"/>
  <c r="N1282"/>
  <c r="C1040"/>
  <c r="O1040"/>
  <c r="M1040"/>
  <c r="N1040"/>
  <c r="C646"/>
  <c r="O646"/>
  <c r="N646"/>
  <c r="M646"/>
  <c r="C1152"/>
  <c r="O1152"/>
  <c r="M1152"/>
  <c r="N1152"/>
  <c r="C785"/>
  <c r="O785"/>
  <c r="M785"/>
  <c r="N785"/>
  <c r="C38"/>
  <c r="O38"/>
  <c r="N38"/>
  <c r="M38"/>
  <c r="C936"/>
  <c r="O936"/>
  <c r="M936"/>
  <c r="N936"/>
  <c r="C1179"/>
  <c r="O1179"/>
  <c r="N1179"/>
  <c r="M1179"/>
  <c r="C797"/>
  <c r="O797"/>
  <c r="M797"/>
  <c r="N797"/>
  <c r="C1283"/>
  <c r="O1283"/>
  <c r="M1283"/>
  <c r="N1283"/>
  <c r="C971"/>
  <c r="O971"/>
  <c r="N971"/>
  <c r="M971"/>
  <c r="C1204"/>
  <c r="O1204"/>
  <c r="M1204"/>
  <c r="N1204"/>
  <c r="C21"/>
  <c r="O21"/>
  <c r="M21"/>
  <c r="N21"/>
  <c r="C1124"/>
  <c r="O1124"/>
  <c r="M1124"/>
  <c r="N1124"/>
  <c r="C1122"/>
  <c r="O1122"/>
  <c r="M1122"/>
  <c r="N1122"/>
  <c r="C725"/>
  <c r="O725"/>
  <c r="M725"/>
  <c r="N725"/>
  <c r="C413"/>
  <c r="O413"/>
  <c r="M413"/>
  <c r="N413"/>
  <c r="C1092"/>
  <c r="O1092"/>
  <c r="M1092"/>
  <c r="N1092"/>
  <c r="C860"/>
  <c r="O860"/>
  <c r="N860"/>
  <c r="M860"/>
  <c r="O1266"/>
  <c r="M1266"/>
  <c r="N1266"/>
  <c r="C931"/>
  <c r="O931"/>
  <c r="M931"/>
  <c r="N931"/>
  <c r="C311"/>
  <c r="O311"/>
  <c r="M311"/>
  <c r="N311"/>
  <c r="C991"/>
  <c r="O991"/>
  <c r="M991"/>
  <c r="N991"/>
  <c r="C1173"/>
  <c r="O1173"/>
  <c r="N1173"/>
  <c r="M1173"/>
  <c r="BM19"/>
  <c r="BB19"/>
  <c r="BN19" s="1"/>
  <c r="F1173" l="1"/>
  <c r="D1173"/>
  <c r="E1173"/>
  <c r="F1092"/>
  <c r="E1092"/>
  <c r="D1092"/>
  <c r="F725"/>
  <c r="E725"/>
  <c r="D725"/>
  <c r="F1124"/>
  <c r="E1124"/>
  <c r="D1124"/>
  <c r="F1204"/>
  <c r="D1204"/>
  <c r="E1204"/>
  <c r="F1283"/>
  <c r="D1283"/>
  <c r="E1283"/>
  <c r="F1179"/>
  <c r="E1179"/>
  <c r="D1179"/>
  <c r="F38"/>
  <c r="E38"/>
  <c r="D38"/>
  <c r="F1152"/>
  <c r="D1152"/>
  <c r="E1152"/>
  <c r="F1040"/>
  <c r="D1040"/>
  <c r="E1040"/>
  <c r="F1157"/>
  <c r="D1157"/>
  <c r="E1157"/>
  <c r="F423"/>
  <c r="D423"/>
  <c r="E423"/>
  <c r="F947"/>
  <c r="E947"/>
  <c r="D947"/>
  <c r="F691"/>
  <c r="E691"/>
  <c r="D691"/>
  <c r="F1335"/>
  <c r="D1335"/>
  <c r="E1335"/>
  <c r="F39"/>
  <c r="E39"/>
  <c r="D39"/>
  <c r="F1083"/>
  <c r="D1083"/>
  <c r="E1083"/>
  <c r="F849"/>
  <c r="E849"/>
  <c r="D849"/>
  <c r="F706"/>
  <c r="E706"/>
  <c r="D706"/>
  <c r="F1219"/>
  <c r="D1219"/>
  <c r="E1219"/>
  <c r="F52"/>
  <c r="E52"/>
  <c r="D52"/>
  <c r="F245"/>
  <c r="E245"/>
  <c r="D245"/>
  <c r="F863"/>
  <c r="D863"/>
  <c r="E863"/>
  <c r="F644"/>
  <c r="E644"/>
  <c r="D644"/>
  <c r="F696"/>
  <c r="D696"/>
  <c r="E696"/>
  <c r="F1088"/>
  <c r="D1088"/>
  <c r="E1088"/>
  <c r="F1216"/>
  <c r="E1216"/>
  <c r="D1216"/>
  <c r="F83"/>
  <c r="D83"/>
  <c r="E83"/>
  <c r="F103"/>
  <c r="D103"/>
  <c r="E103"/>
  <c r="F324"/>
  <c r="D324"/>
  <c r="E324"/>
  <c r="F385"/>
  <c r="D385"/>
  <c r="E385"/>
  <c r="F1110"/>
  <c r="E1110"/>
  <c r="D1110"/>
  <c r="F221"/>
  <c r="D221"/>
  <c r="E221"/>
  <c r="F1055"/>
  <c r="E1055"/>
  <c r="D1055"/>
  <c r="F457"/>
  <c r="D457"/>
  <c r="E457"/>
  <c r="F1063"/>
  <c r="D1063"/>
  <c r="E1063"/>
  <c r="F539"/>
  <c r="D539"/>
  <c r="E539"/>
  <c r="F173"/>
  <c r="E173"/>
  <c r="D173"/>
  <c r="F848"/>
  <c r="E848"/>
  <c r="D848"/>
  <c r="F206"/>
  <c r="E206"/>
  <c r="D206"/>
  <c r="F999"/>
  <c r="D999"/>
  <c r="E999"/>
  <c r="F1026"/>
  <c r="E1026"/>
  <c r="D1026"/>
  <c r="F812"/>
  <c r="D812"/>
  <c r="E812"/>
  <c r="F1150"/>
  <c r="E1150"/>
  <c r="D1150"/>
  <c r="F153"/>
  <c r="D153"/>
  <c r="E153"/>
  <c r="F198"/>
  <c r="E198"/>
  <c r="D198"/>
  <c r="F10"/>
  <c r="E10"/>
  <c r="D10"/>
  <c r="F693"/>
  <c r="D693"/>
  <c r="E693"/>
  <c r="F1158"/>
  <c r="E1158"/>
  <c r="D1158"/>
  <c r="F116"/>
  <c r="E116"/>
  <c r="D116"/>
  <c r="F1121"/>
  <c r="D1121"/>
  <c r="E1121"/>
  <c r="F1299"/>
  <c r="D1299"/>
  <c r="E1299"/>
  <c r="F853"/>
  <c r="E853"/>
  <c r="D853"/>
  <c r="F364"/>
  <c r="E364"/>
  <c r="D364"/>
  <c r="F1264"/>
  <c r="D1264"/>
  <c r="E1264"/>
  <c r="F43"/>
  <c r="E43"/>
  <c r="D43"/>
  <c r="F1176"/>
  <c r="D1176"/>
  <c r="E1176"/>
  <c r="F684"/>
  <c r="D684"/>
  <c r="E684"/>
  <c r="F1236"/>
  <c r="E1236"/>
  <c r="D1236"/>
  <c r="F865"/>
  <c r="E865"/>
  <c r="D865"/>
  <c r="F1198"/>
  <c r="E1198"/>
  <c r="D1198"/>
  <c r="F1156"/>
  <c r="E1156"/>
  <c r="D1156"/>
  <c r="F767"/>
  <c r="D767"/>
  <c r="E767"/>
  <c r="F869"/>
  <c r="D869"/>
  <c r="E869"/>
  <c r="F680"/>
  <c r="E680"/>
  <c r="D680"/>
  <c r="F42"/>
  <c r="E42"/>
  <c r="D42"/>
  <c r="F1308"/>
  <c r="E1308"/>
  <c r="D1308"/>
  <c r="F916"/>
  <c r="D916"/>
  <c r="E916"/>
  <c r="F1329"/>
  <c r="E1329"/>
  <c r="D1329"/>
  <c r="F794"/>
  <c r="E794"/>
  <c r="D794"/>
  <c r="F1119"/>
  <c r="E1119"/>
  <c r="D1119"/>
  <c r="F1159"/>
  <c r="D1159"/>
  <c r="E1159"/>
  <c r="F983"/>
  <c r="E983"/>
  <c r="D983"/>
  <c r="F846"/>
  <c r="D846"/>
  <c r="E846"/>
  <c r="F617"/>
  <c r="D617"/>
  <c r="E617"/>
  <c r="F1094"/>
  <c r="E1094"/>
  <c r="D1094"/>
  <c r="F412"/>
  <c r="D412"/>
  <c r="E412"/>
  <c r="F1278"/>
  <c r="D1278"/>
  <c r="E1278"/>
  <c r="F674"/>
  <c r="D674"/>
  <c r="E674"/>
  <c r="F1151"/>
  <c r="D1151"/>
  <c r="E1151"/>
  <c r="F341"/>
  <c r="E341"/>
  <c r="D341"/>
  <c r="F825"/>
  <c r="E825"/>
  <c r="D825"/>
  <c r="F1327"/>
  <c r="D1327"/>
  <c r="E1327"/>
  <c r="F130"/>
  <c r="E130"/>
  <c r="D130"/>
  <c r="F1015"/>
  <c r="E1015"/>
  <c r="D1015"/>
  <c r="F455"/>
  <c r="D455"/>
  <c r="E455"/>
  <c r="F713"/>
  <c r="E713"/>
  <c r="D713"/>
  <c r="F551"/>
  <c r="E551"/>
  <c r="D551"/>
  <c r="F676"/>
  <c r="E676"/>
  <c r="D676"/>
  <c r="F337"/>
  <c r="D337"/>
  <c r="E337"/>
  <c r="F19"/>
  <c r="D19"/>
  <c r="E19"/>
  <c r="F477"/>
  <c r="D477"/>
  <c r="E477"/>
  <c r="F1307"/>
  <c r="E1307"/>
  <c r="D1307"/>
  <c r="F657"/>
  <c r="E657"/>
  <c r="D657"/>
  <c r="F185"/>
  <c r="D185"/>
  <c r="E185"/>
  <c r="F1017"/>
  <c r="D1017"/>
  <c r="E1017"/>
  <c r="F196"/>
  <c r="D196"/>
  <c r="E196"/>
  <c r="F586"/>
  <c r="D586"/>
  <c r="E586"/>
  <c r="F475"/>
  <c r="E475"/>
  <c r="D475"/>
  <c r="F909"/>
  <c r="E909"/>
  <c r="D909"/>
  <c r="F525"/>
  <c r="E525"/>
  <c r="D525"/>
  <c r="F283"/>
  <c r="E283"/>
  <c r="D283"/>
  <c r="F313"/>
  <c r="D313"/>
  <c r="E313"/>
  <c r="F351"/>
  <c r="D351"/>
  <c r="E351"/>
  <c r="F559"/>
  <c r="D559"/>
  <c r="E559"/>
  <c r="F579"/>
  <c r="E579"/>
  <c r="D579"/>
  <c r="F301"/>
  <c r="E301"/>
  <c r="D301"/>
  <c r="F995"/>
  <c r="D995"/>
  <c r="E995"/>
  <c r="F429"/>
  <c r="D429"/>
  <c r="E429"/>
  <c r="F623"/>
  <c r="D623"/>
  <c r="E623"/>
  <c r="F443"/>
  <c r="D443"/>
  <c r="E443"/>
  <c r="F481"/>
  <c r="E481"/>
  <c r="D481"/>
  <c r="F867"/>
  <c r="E867"/>
  <c r="D867"/>
  <c r="F308"/>
  <c r="E308"/>
  <c r="D308"/>
  <c r="F881"/>
  <c r="E881"/>
  <c r="D881"/>
  <c r="F151"/>
  <c r="E151"/>
  <c r="D151"/>
  <c r="F1047"/>
  <c r="E1047"/>
  <c r="D1047"/>
  <c r="F223"/>
  <c r="D223"/>
  <c r="E223"/>
  <c r="F620"/>
  <c r="D620"/>
  <c r="E620"/>
  <c r="F143"/>
  <c r="D143"/>
  <c r="E143"/>
  <c r="F339"/>
  <c r="E339"/>
  <c r="D339"/>
  <c r="F871"/>
  <c r="D871"/>
  <c r="E871"/>
  <c r="F309"/>
  <c r="E309"/>
  <c r="D309"/>
  <c r="F987"/>
  <c r="E987"/>
  <c r="D987"/>
  <c r="F378"/>
  <c r="D378"/>
  <c r="E378"/>
  <c r="F1266"/>
  <c r="D1266"/>
  <c r="E1266"/>
  <c r="F609"/>
  <c r="D609"/>
  <c r="E609"/>
  <c r="F1212"/>
  <c r="D1212"/>
  <c r="E1212"/>
  <c r="F595"/>
  <c r="D595"/>
  <c r="E595"/>
  <c r="F842"/>
  <c r="D842"/>
  <c r="E842"/>
  <c r="F978"/>
  <c r="E978"/>
  <c r="D978"/>
  <c r="F1107"/>
  <c r="D1107"/>
  <c r="E1107"/>
  <c r="F864"/>
  <c r="D864"/>
  <c r="E864"/>
  <c r="F817"/>
  <c r="E817"/>
  <c r="D817"/>
  <c r="F985"/>
  <c r="E985"/>
  <c r="D985"/>
  <c r="F637"/>
  <c r="E637"/>
  <c r="D637"/>
  <c r="F393"/>
  <c r="D393"/>
  <c r="E393"/>
  <c r="F908"/>
  <c r="D908"/>
  <c r="E908"/>
  <c r="F1256"/>
  <c r="D1256"/>
  <c r="E1256"/>
  <c r="F6"/>
  <c r="E6"/>
  <c r="D6"/>
  <c r="F1118"/>
  <c r="E1118"/>
  <c r="D1118"/>
  <c r="F28"/>
  <c r="E28"/>
  <c r="D28"/>
  <c r="F821"/>
  <c r="E821"/>
  <c r="D821"/>
  <c r="F859"/>
  <c r="E859"/>
  <c r="D859"/>
  <c r="F1175"/>
  <c r="D1175"/>
  <c r="E1175"/>
  <c r="F792"/>
  <c r="D792"/>
  <c r="E792"/>
  <c r="F1031"/>
  <c r="D1031"/>
  <c r="E1031"/>
  <c r="F421"/>
  <c r="E421"/>
  <c r="D421"/>
  <c r="F345"/>
  <c r="D345"/>
  <c r="E345"/>
  <c r="F819"/>
  <c r="E819"/>
  <c r="D819"/>
  <c r="F935"/>
  <c r="D935"/>
  <c r="E935"/>
  <c r="F934"/>
  <c r="D934"/>
  <c r="E934"/>
  <c r="F1235"/>
  <c r="D1235"/>
  <c r="E1235"/>
  <c r="R20" i="3"/>
  <c r="R25"/>
  <c r="F311" i="4"/>
  <c r="E311"/>
  <c r="D311"/>
  <c r="F991"/>
  <c r="D991"/>
  <c r="E991"/>
  <c r="F931"/>
  <c r="E931"/>
  <c r="D931"/>
  <c r="F860"/>
  <c r="D860"/>
  <c r="E860"/>
  <c r="F413"/>
  <c r="E413"/>
  <c r="D413"/>
  <c r="F1122"/>
  <c r="D1122"/>
  <c r="E1122"/>
  <c r="F21"/>
  <c r="D21"/>
  <c r="E21"/>
  <c r="F971"/>
  <c r="E971"/>
  <c r="D971"/>
  <c r="F797"/>
  <c r="E797"/>
  <c r="D797"/>
  <c r="F936"/>
  <c r="D936"/>
  <c r="E936"/>
  <c r="F785"/>
  <c r="E785"/>
  <c r="D785"/>
  <c r="F646"/>
  <c r="E646"/>
  <c r="D646"/>
  <c r="F51"/>
  <c r="D51"/>
  <c r="E51"/>
  <c r="F267"/>
  <c r="E267"/>
  <c r="D267"/>
  <c r="F851"/>
  <c r="E851"/>
  <c r="D851"/>
  <c r="F1070"/>
  <c r="E1070"/>
  <c r="D1070"/>
  <c r="F1086"/>
  <c r="E1086"/>
  <c r="D1086"/>
  <c r="F1279"/>
  <c r="D1279"/>
  <c r="E1279"/>
  <c r="F1233"/>
  <c r="D1233"/>
  <c r="E1233"/>
  <c r="F653"/>
  <c r="E653"/>
  <c r="D653"/>
  <c r="F1093"/>
  <c r="D1093"/>
  <c r="E1093"/>
  <c r="F1114"/>
  <c r="D1114"/>
  <c r="E1114"/>
  <c r="F1034"/>
  <c r="D1034"/>
  <c r="E1034"/>
  <c r="F363"/>
  <c r="D363"/>
  <c r="E363"/>
  <c r="F1154"/>
  <c r="E1154"/>
  <c r="D1154"/>
  <c r="F11"/>
  <c r="E11"/>
  <c r="D11"/>
  <c r="F1319"/>
  <c r="D1319"/>
  <c r="E1319"/>
  <c r="F290"/>
  <c r="D290"/>
  <c r="E290"/>
  <c r="F1009"/>
  <c r="D1009"/>
  <c r="E1009"/>
  <c r="F1105"/>
  <c r="D1105"/>
  <c r="E1105"/>
  <c r="F32"/>
  <c r="E32"/>
  <c r="D32"/>
  <c r="F904"/>
  <c r="E904"/>
  <c r="D904"/>
  <c r="F1250"/>
  <c r="D1250"/>
  <c r="E1250"/>
  <c r="F163"/>
  <c r="E163"/>
  <c r="D163"/>
  <c r="F835"/>
  <c r="E835"/>
  <c r="D835"/>
  <c r="F35"/>
  <c r="D35"/>
  <c r="E35"/>
  <c r="F937"/>
  <c r="E937"/>
  <c r="D937"/>
  <c r="F921"/>
  <c r="E921"/>
  <c r="D921"/>
  <c r="F549"/>
  <c r="E549"/>
  <c r="D549"/>
  <c r="F97"/>
  <c r="D97"/>
  <c r="E97"/>
  <c r="F705"/>
  <c r="E705"/>
  <c r="D705"/>
  <c r="F215"/>
  <c r="D215"/>
  <c r="E215"/>
  <c r="F957"/>
  <c r="E957"/>
  <c r="D957"/>
  <c r="F211"/>
  <c r="E211"/>
  <c r="D211"/>
  <c r="F903"/>
  <c r="D903"/>
  <c r="E903"/>
  <c r="F71"/>
  <c r="D71"/>
  <c r="E71"/>
  <c r="F641"/>
  <c r="E641"/>
  <c r="D641"/>
  <c r="F802"/>
  <c r="E802"/>
  <c r="D802"/>
  <c r="F1180"/>
  <c r="D1180"/>
  <c r="E1180"/>
  <c r="F77"/>
  <c r="E77"/>
  <c r="D77"/>
  <c r="F1273"/>
  <c r="D1273"/>
  <c r="E1273"/>
  <c r="F445"/>
  <c r="D445"/>
  <c r="E445"/>
  <c r="F856"/>
  <c r="D856"/>
  <c r="E856"/>
  <c r="F53"/>
  <c r="D53"/>
  <c r="E53"/>
  <c r="F1056"/>
  <c r="D1056"/>
  <c r="E1056"/>
  <c r="F269"/>
  <c r="E269"/>
  <c r="D269"/>
  <c r="F7"/>
  <c r="E7"/>
  <c r="D7"/>
  <c r="F303"/>
  <c r="D303"/>
  <c r="E303"/>
  <c r="F831"/>
  <c r="D831"/>
  <c r="E831"/>
  <c r="F15"/>
  <c r="D15"/>
  <c r="E15"/>
  <c r="F225"/>
  <c r="E225"/>
  <c r="D225"/>
  <c r="F1101"/>
  <c r="D1101"/>
  <c r="E1101"/>
  <c r="F1230"/>
  <c r="E1230"/>
  <c r="D1230"/>
  <c r="F800"/>
  <c r="D800"/>
  <c r="E800"/>
  <c r="F24"/>
  <c r="E24"/>
  <c r="D24"/>
  <c r="F939"/>
  <c r="E939"/>
  <c r="D939"/>
  <c r="F1028"/>
  <c r="E1028"/>
  <c r="D1028"/>
  <c r="F1109"/>
  <c r="E1109"/>
  <c r="D1109"/>
  <c r="F22"/>
  <c r="E22"/>
  <c r="D22"/>
  <c r="F906"/>
  <c r="D906"/>
  <c r="E906"/>
  <c r="F1252"/>
  <c r="E1252"/>
  <c r="D1252"/>
  <c r="F1214"/>
  <c r="E1214"/>
  <c r="D1214"/>
  <c r="F818"/>
  <c r="E818"/>
  <c r="D818"/>
  <c r="F349"/>
  <c r="D349"/>
  <c r="E349"/>
  <c r="F946"/>
  <c r="D946"/>
  <c r="E946"/>
  <c r="F1044"/>
  <c r="E1044"/>
  <c r="D1044"/>
  <c r="F773"/>
  <c r="D773"/>
  <c r="E773"/>
  <c r="F807"/>
  <c r="D807"/>
  <c r="E807"/>
  <c r="F1188"/>
  <c r="E1188"/>
  <c r="D1188"/>
  <c r="F711"/>
  <c r="D711"/>
  <c r="E711"/>
  <c r="F1089"/>
  <c r="D1089"/>
  <c r="E1089"/>
  <c r="F74"/>
  <c r="E74"/>
  <c r="D74"/>
  <c r="F333"/>
  <c r="E333"/>
  <c r="D333"/>
  <c r="F1005"/>
  <c r="D1005"/>
  <c r="E1005"/>
  <c r="F45"/>
  <c r="D45"/>
  <c r="E45"/>
  <c r="F293"/>
  <c r="D293"/>
  <c r="E293"/>
  <c r="F965"/>
  <c r="D965"/>
  <c r="E965"/>
  <c r="F511"/>
  <c r="D511"/>
  <c r="E511"/>
  <c r="F125"/>
  <c r="D125"/>
  <c r="E125"/>
  <c r="F747"/>
  <c r="E747"/>
  <c r="D747"/>
  <c r="F277"/>
  <c r="D277"/>
  <c r="E277"/>
  <c r="F855"/>
  <c r="E855"/>
  <c r="D855"/>
  <c r="F541"/>
  <c r="D541"/>
  <c r="E541"/>
  <c r="F127"/>
  <c r="E127"/>
  <c r="D127"/>
  <c r="F955"/>
  <c r="E955"/>
  <c r="D955"/>
  <c r="F331"/>
  <c r="D331"/>
  <c r="E331"/>
  <c r="F292"/>
  <c r="E292"/>
  <c r="D292"/>
  <c r="F237"/>
  <c r="D237"/>
  <c r="E237"/>
  <c r="F809"/>
  <c r="E809"/>
  <c r="D809"/>
  <c r="F715"/>
  <c r="E715"/>
  <c r="D715"/>
  <c r="F137"/>
  <c r="D137"/>
  <c r="E137"/>
  <c r="F731"/>
  <c r="E731"/>
  <c r="D731"/>
  <c r="F213"/>
  <c r="E213"/>
  <c r="D213"/>
  <c r="F375"/>
  <c r="E375"/>
  <c r="D375"/>
  <c r="F291"/>
  <c r="E291"/>
  <c r="D291"/>
  <c r="F321"/>
  <c r="E321"/>
  <c r="D321"/>
  <c r="F359"/>
  <c r="E359"/>
  <c r="D359"/>
  <c r="F569"/>
  <c r="D569"/>
  <c r="E569"/>
  <c r="F1328"/>
  <c r="D1328"/>
  <c r="E1328"/>
  <c r="F837"/>
  <c r="D837"/>
  <c r="E837"/>
  <c r="F433"/>
  <c r="E433"/>
  <c r="D433"/>
  <c r="F89"/>
  <c r="E89"/>
  <c r="D89"/>
  <c r="F647"/>
  <c r="D647"/>
  <c r="E647"/>
  <c r="F282"/>
  <c r="D282"/>
  <c r="E282"/>
  <c r="F1045"/>
  <c r="E1045"/>
  <c r="D1045"/>
  <c r="F195"/>
  <c r="D195"/>
  <c r="E195"/>
  <c r="F667"/>
  <c r="E667"/>
  <c r="D667"/>
  <c r="F527"/>
  <c r="D527"/>
  <c r="E527"/>
  <c r="F59"/>
  <c r="D59"/>
  <c r="E59"/>
  <c r="F593"/>
  <c r="E593"/>
  <c r="D593"/>
  <c r="F899"/>
  <c r="E899"/>
  <c r="D899"/>
  <c r="F533"/>
  <c r="E533"/>
  <c r="D533"/>
  <c r="F793"/>
  <c r="E793"/>
  <c r="D793"/>
  <c r="F1029"/>
  <c r="E1029"/>
  <c r="D1029"/>
  <c r="F495"/>
  <c r="D495"/>
  <c r="E495"/>
  <c r="F119"/>
  <c r="E119"/>
  <c r="D119"/>
  <c r="F952"/>
  <c r="D952"/>
  <c r="E952"/>
  <c r="F940"/>
  <c r="D940"/>
  <c r="E940"/>
  <c r="F33"/>
  <c r="D33"/>
  <c r="E33"/>
  <c r="F155"/>
  <c r="D155"/>
  <c r="E155"/>
  <c r="F1035"/>
  <c r="E1035"/>
  <c r="D1035"/>
  <c r="F710"/>
  <c r="E710"/>
  <c r="D710"/>
  <c r="F401"/>
  <c r="E401"/>
  <c r="D401"/>
  <c r="F938"/>
  <c r="D938"/>
  <c r="E938"/>
  <c r="F305"/>
  <c r="D305"/>
  <c r="E305"/>
  <c r="F910"/>
  <c r="E910"/>
  <c r="D910"/>
  <c r="F1261"/>
  <c r="D1261"/>
  <c r="E1261"/>
  <c r="F594"/>
  <c r="D594"/>
  <c r="E594"/>
  <c r="F1282"/>
  <c r="E1282"/>
  <c r="D1282"/>
  <c r="F806"/>
  <c r="E806"/>
  <c r="D806"/>
  <c r="F945"/>
  <c r="E945"/>
  <c r="D945"/>
  <c r="F31"/>
  <c r="E31"/>
  <c r="D31"/>
  <c r="F776"/>
  <c r="E776"/>
  <c r="D776"/>
  <c r="F1018"/>
  <c r="D1018"/>
  <c r="E1018"/>
  <c r="F26"/>
  <c r="E26"/>
  <c r="D26"/>
  <c r="F3"/>
  <c r="D3"/>
  <c r="P21" i="3"/>
  <c r="E3" i="4"/>
  <c r="E372"/>
  <c r="D372"/>
  <c r="F699"/>
  <c r="E699"/>
  <c r="D699"/>
  <c r="F782"/>
  <c r="D782"/>
  <c r="E782"/>
  <c r="F1172"/>
  <c r="D1172"/>
  <c r="E1172"/>
  <c r="F1164"/>
  <c r="D1164"/>
  <c r="E1164"/>
  <c r="F454"/>
  <c r="E454"/>
  <c r="D454"/>
  <c r="F1280"/>
  <c r="D1280"/>
  <c r="E1280"/>
  <c r="F778"/>
  <c r="E778"/>
  <c r="D778"/>
  <c r="F1123"/>
  <c r="D1123"/>
  <c r="E1123"/>
  <c r="F1234"/>
  <c r="D1234"/>
  <c r="E1234"/>
  <c r="F29"/>
  <c r="D29"/>
  <c r="E29"/>
  <c r="F822"/>
  <c r="E822"/>
  <c r="D822"/>
  <c r="F58"/>
  <c r="E58"/>
  <c r="D58"/>
  <c r="F389"/>
  <c r="D389"/>
  <c r="E389"/>
  <c r="R22" i="3"/>
  <c r="F679" i="4"/>
  <c r="E679"/>
  <c r="D679"/>
  <c r="F1025"/>
  <c r="D1025"/>
  <c r="E1025"/>
  <c r="F830"/>
  <c r="D830"/>
  <c r="E830"/>
  <c r="F122"/>
  <c r="E122"/>
  <c r="D122"/>
  <c r="F630"/>
  <c r="E630"/>
  <c r="D630"/>
  <c r="F1306"/>
  <c r="D1306"/>
  <c r="E1306"/>
  <c r="F845"/>
  <c r="E845"/>
  <c r="D845"/>
  <c r="F14"/>
  <c r="D14"/>
  <c r="E14"/>
  <c r="F814"/>
  <c r="E814"/>
  <c r="D814"/>
  <c r="F975"/>
  <c r="E975"/>
  <c r="D975"/>
  <c r="F1249"/>
  <c r="D1249"/>
  <c r="E1249"/>
  <c r="F441"/>
  <c r="E441"/>
  <c r="D441"/>
  <c r="F57"/>
  <c r="E57"/>
  <c r="D57"/>
  <c r="F483"/>
  <c r="D483"/>
  <c r="E483"/>
  <c r="F100"/>
  <c r="D100"/>
  <c r="E100"/>
  <c r="F951"/>
  <c r="D951"/>
  <c r="E951"/>
  <c r="F187"/>
  <c r="D187"/>
  <c r="E187"/>
  <c r="F900"/>
  <c r="E900"/>
  <c r="D900"/>
  <c r="F240"/>
  <c r="D240"/>
  <c r="E240"/>
  <c r="F948"/>
  <c r="D948"/>
  <c r="E948"/>
  <c r="F230"/>
  <c r="E230"/>
  <c r="D230"/>
  <c r="F833"/>
  <c r="E833"/>
  <c r="D833"/>
  <c r="F1337"/>
  <c r="E1337"/>
  <c r="D1337"/>
  <c r="F700"/>
  <c r="D700"/>
  <c r="E700"/>
  <c r="F275"/>
  <c r="E275"/>
  <c r="D275"/>
  <c r="F49"/>
  <c r="D49"/>
  <c r="E49"/>
  <c r="F834"/>
  <c r="D834"/>
  <c r="E834"/>
  <c r="F1020"/>
  <c r="D1020"/>
  <c r="E1020"/>
  <c r="F278"/>
  <c r="E278"/>
  <c r="D278"/>
  <c r="F922"/>
  <c r="D922"/>
  <c r="E922"/>
  <c r="F1258"/>
  <c r="D1258"/>
  <c r="E1258"/>
  <c r="F1265"/>
  <c r="D1265"/>
  <c r="E1265"/>
  <c r="F925"/>
  <c r="E925"/>
  <c r="D925"/>
  <c r="F5"/>
  <c r="E5"/>
  <c r="D5"/>
  <c r="F981"/>
  <c r="E981"/>
  <c r="D981"/>
  <c r="F795"/>
  <c r="E795"/>
  <c r="D795"/>
  <c r="F1237"/>
  <c r="D1237"/>
  <c r="E1237"/>
  <c r="F780"/>
  <c r="D780"/>
  <c r="E780"/>
  <c r="F546"/>
  <c r="E546"/>
  <c r="D546"/>
  <c r="F1057"/>
  <c r="D1057"/>
  <c r="E1057"/>
  <c r="F1239"/>
  <c r="D1239"/>
  <c r="E1239"/>
  <c r="F64"/>
  <c r="E64"/>
  <c r="D64"/>
  <c r="F850"/>
  <c r="D850"/>
  <c r="E850"/>
  <c r="F171"/>
  <c r="D171"/>
  <c r="E171"/>
  <c r="F361"/>
  <c r="E361"/>
  <c r="D361"/>
  <c r="F571"/>
  <c r="E571"/>
  <c r="D571"/>
  <c r="F1213"/>
  <c r="E1213"/>
  <c r="D1213"/>
  <c r="F242"/>
  <c r="E242"/>
  <c r="D242"/>
  <c r="F838"/>
  <c r="E838"/>
  <c r="D838"/>
  <c r="F1206"/>
  <c r="D1206"/>
  <c r="E1206"/>
  <c r="F1336"/>
  <c r="E1336"/>
  <c r="D1336"/>
  <c r="F1120"/>
  <c r="D1120"/>
  <c r="E1120"/>
  <c r="F790"/>
  <c r="D790"/>
  <c r="E790"/>
  <c r="F1177"/>
  <c r="D1177"/>
  <c r="E1177"/>
  <c r="F670"/>
  <c r="D670"/>
  <c r="E670"/>
  <c r="F997"/>
  <c r="D997"/>
  <c r="E997"/>
  <c r="F1165"/>
  <c r="D1165"/>
  <c r="E1165"/>
  <c r="F993"/>
  <c r="E993"/>
  <c r="D993"/>
  <c r="F148"/>
  <c r="E148"/>
  <c r="D148"/>
  <c r="F69"/>
  <c r="E69"/>
  <c r="D69"/>
  <c r="F489"/>
  <c r="E489"/>
  <c r="D489"/>
  <c r="F1251"/>
  <c r="D1251"/>
  <c r="E1251"/>
  <c r="F1011"/>
  <c r="E1011"/>
  <c r="D1011"/>
  <c r="F1318"/>
  <c r="D1318"/>
  <c r="E1318"/>
  <c r="F1217"/>
  <c r="D1217"/>
  <c r="E1217"/>
  <c r="F437"/>
  <c r="E437"/>
  <c r="D437"/>
  <c r="F73"/>
  <c r="E73"/>
  <c r="D73"/>
  <c r="F607"/>
  <c r="E607"/>
  <c r="D607"/>
  <c r="F169"/>
  <c r="D169"/>
  <c r="E169"/>
  <c r="F815"/>
  <c r="D815"/>
  <c r="E815"/>
  <c r="F201"/>
  <c r="D201"/>
  <c r="E201"/>
  <c r="F979"/>
  <c r="E979"/>
  <c r="D979"/>
  <c r="F535"/>
  <c r="E535"/>
  <c r="D535"/>
  <c r="F87"/>
  <c r="D87"/>
  <c r="E87"/>
  <c r="F605"/>
  <c r="E605"/>
  <c r="D605"/>
  <c r="F41"/>
  <c r="E41"/>
  <c r="D41"/>
  <c r="F775"/>
  <c r="D775"/>
  <c r="E775"/>
  <c r="F287"/>
  <c r="D287"/>
  <c r="E287"/>
  <c r="F317"/>
  <c r="D317"/>
  <c r="E317"/>
  <c r="F355"/>
  <c r="D355"/>
  <c r="E355"/>
  <c r="F563"/>
  <c r="E563"/>
  <c r="D563"/>
  <c r="F1111"/>
  <c r="E1111"/>
  <c r="D1111"/>
  <c r="F427"/>
  <c r="E427"/>
  <c r="D427"/>
  <c r="F614"/>
  <c r="E614"/>
  <c r="D614"/>
  <c r="F473"/>
  <c r="D473"/>
  <c r="E473"/>
  <c r="F959"/>
  <c r="D959"/>
  <c r="E959"/>
  <c r="F583"/>
  <c r="D583"/>
  <c r="E583"/>
  <c r="F183"/>
  <c r="D183"/>
  <c r="E183"/>
  <c r="F901"/>
  <c r="D901"/>
  <c r="E901"/>
  <c r="F180"/>
  <c r="E180"/>
  <c r="D180"/>
  <c r="F915"/>
  <c r="E915"/>
  <c r="D915"/>
  <c r="F463"/>
  <c r="E463"/>
  <c r="D463"/>
  <c r="F1053"/>
  <c r="D1053"/>
  <c r="E1053"/>
  <c r="F415"/>
  <c r="E415"/>
  <c r="D415"/>
  <c r="F677"/>
  <c r="D677"/>
  <c r="E677"/>
  <c r="F247"/>
  <c r="E247"/>
  <c r="D247"/>
  <c r="F449"/>
  <c r="D449"/>
  <c r="E449"/>
  <c r="F61"/>
  <c r="E61"/>
  <c r="D61"/>
  <c r="F253"/>
  <c r="E253"/>
  <c r="D253"/>
  <c r="F629"/>
  <c r="D629"/>
  <c r="E629"/>
  <c r="F513"/>
  <c r="E513"/>
  <c r="D513"/>
  <c r="F177"/>
  <c r="D177"/>
  <c r="E177"/>
  <c r="F1067"/>
  <c r="D1067"/>
  <c r="E1067"/>
  <c r="F358"/>
  <c r="E358"/>
  <c r="D358"/>
  <c r="F95"/>
  <c r="E95"/>
  <c r="D95"/>
  <c r="F597"/>
  <c r="E597"/>
  <c r="D597"/>
  <c r="F128"/>
  <c r="E128"/>
  <c r="D128"/>
  <c r="F703"/>
  <c r="D703"/>
  <c r="E703"/>
  <c r="F102"/>
  <c r="E102"/>
  <c r="D102"/>
  <c r="F1135"/>
  <c r="D1135"/>
  <c r="E1135"/>
  <c r="F1229"/>
  <c r="D1229"/>
  <c r="E1229"/>
  <c r="F244"/>
  <c r="D244"/>
  <c r="E244"/>
  <c r="F1311"/>
  <c r="D1311"/>
  <c r="E1311"/>
  <c r="F40"/>
  <c r="E40"/>
  <c r="D40"/>
  <c r="F488"/>
  <c r="E488"/>
  <c r="D488"/>
  <c r="F787"/>
  <c r="E787"/>
  <c r="D787"/>
  <c r="F1115"/>
  <c r="D1115"/>
  <c r="E1115"/>
  <c r="F1207"/>
  <c r="D1207"/>
  <c r="E1207"/>
  <c r="F210"/>
  <c r="E210"/>
  <c r="D210"/>
  <c r="F88"/>
  <c r="E88"/>
  <c r="D88"/>
  <c r="F160"/>
  <c r="E160"/>
  <c r="D160"/>
  <c r="F1007"/>
  <c r="D1007"/>
  <c r="E1007"/>
  <c r="F188"/>
  <c r="E188"/>
  <c r="D188"/>
  <c r="F409"/>
  <c r="D409"/>
  <c r="E409"/>
  <c r="F55"/>
  <c r="D55"/>
  <c r="E55"/>
  <c r="F461"/>
  <c r="E461"/>
  <c r="D461"/>
  <c r="F895"/>
  <c r="D895"/>
  <c r="E895"/>
  <c r="F689"/>
  <c r="E689"/>
  <c r="D689"/>
  <c r="F175"/>
  <c r="E175"/>
  <c r="D175"/>
  <c r="F873"/>
  <c r="E873"/>
  <c r="D873"/>
  <c r="F1061"/>
  <c r="D1061"/>
  <c r="E1061"/>
  <c r="F816"/>
  <c r="D816"/>
  <c r="E816"/>
  <c r="F1039"/>
  <c r="D1039"/>
  <c r="E1039"/>
  <c r="F37"/>
  <c r="D37"/>
  <c r="E37"/>
  <c r="F485"/>
  <c r="D485"/>
  <c r="E485"/>
  <c r="F543"/>
  <c r="D543"/>
  <c r="E543"/>
  <c r="F639"/>
  <c r="D639"/>
  <c r="E639"/>
  <c r="F222"/>
  <c r="E222"/>
  <c r="D222"/>
  <c r="F170"/>
  <c r="E170"/>
  <c r="D170"/>
  <c r="F566"/>
  <c r="E566"/>
  <c r="D566"/>
  <c r="F1241"/>
  <c r="D1241"/>
  <c r="E1241"/>
  <c r="F150"/>
  <c r="E150"/>
  <c r="D150"/>
  <c r="F1315"/>
  <c r="D1315"/>
  <c r="E1315"/>
  <c r="F217"/>
  <c r="D217"/>
  <c r="E217"/>
  <c r="F857"/>
  <c r="E857"/>
  <c r="D857"/>
  <c r="F373"/>
  <c r="D373"/>
  <c r="E373"/>
  <c r="F312"/>
  <c r="D312"/>
  <c r="E312"/>
  <c r="F743"/>
  <c r="D743"/>
  <c r="E743"/>
  <c r="F20"/>
  <c r="E20"/>
  <c r="D20"/>
  <c r="F27"/>
  <c r="D27"/>
  <c r="E27"/>
  <c r="F467"/>
  <c r="E467"/>
  <c r="D467"/>
  <c r="F1267"/>
  <c r="D1267"/>
  <c r="E1267"/>
  <c r="F509"/>
  <c r="D509"/>
  <c r="E509"/>
  <c r="F96"/>
  <c r="E96"/>
  <c r="D96"/>
  <c r="F1113"/>
  <c r="D1113"/>
  <c r="E1113"/>
  <c r="F1205"/>
  <c r="D1205"/>
  <c r="E1205"/>
  <c r="F200"/>
  <c r="D200"/>
  <c r="E200"/>
  <c r="F969"/>
  <c r="E969"/>
  <c r="D969"/>
  <c r="F184"/>
  <c r="E184"/>
  <c r="D184"/>
  <c r="F246"/>
  <c r="E246"/>
  <c r="D246"/>
  <c r="F897"/>
  <c r="E897"/>
  <c r="D897"/>
  <c r="F1077"/>
  <c r="E1077"/>
  <c r="D1077"/>
  <c r="F1191"/>
  <c r="D1191"/>
  <c r="E1191"/>
  <c r="F142"/>
  <c r="E142"/>
  <c r="D142"/>
  <c r="F276"/>
  <c r="E276"/>
  <c r="D276"/>
  <c r="F16"/>
  <c r="E16"/>
  <c r="D16"/>
  <c r="F162"/>
  <c r="E162"/>
  <c r="D162"/>
  <c r="F284"/>
  <c r="E284"/>
  <c r="D284"/>
  <c r="F219"/>
  <c r="E219"/>
  <c r="D219"/>
  <c r="F1051"/>
  <c r="D1051"/>
  <c r="E1051"/>
  <c r="F381"/>
  <c r="E381"/>
  <c r="D381"/>
  <c r="F917"/>
  <c r="E917"/>
  <c r="D917"/>
  <c r="F505"/>
  <c r="D505"/>
  <c r="E505"/>
  <c r="F717"/>
  <c r="E717"/>
  <c r="D717"/>
  <c r="F380"/>
  <c r="E380"/>
  <c r="D380"/>
  <c r="F13"/>
  <c r="E13"/>
  <c r="D13"/>
  <c r="F471"/>
  <c r="D471"/>
  <c r="E471"/>
  <c r="F967"/>
  <c r="D967"/>
  <c r="E967"/>
  <c r="F745"/>
  <c r="E745"/>
  <c r="D745"/>
  <c r="F847"/>
  <c r="D847"/>
  <c r="E847"/>
  <c r="F399"/>
  <c r="D399"/>
  <c r="E399"/>
  <c r="F23"/>
  <c r="D23"/>
  <c r="E23"/>
  <c r="F591"/>
  <c r="D591"/>
  <c r="E591"/>
  <c r="F17"/>
  <c r="E17"/>
  <c r="D17"/>
  <c r="F661"/>
  <c r="E661"/>
  <c r="D661"/>
  <c r="F193"/>
  <c r="E193"/>
  <c r="D193"/>
  <c r="F889"/>
  <c r="E889"/>
  <c r="D889"/>
  <c r="F507"/>
  <c r="E507"/>
  <c r="D507"/>
  <c r="F63"/>
  <c r="D63"/>
  <c r="E63"/>
  <c r="F589"/>
  <c r="D589"/>
  <c r="E589"/>
  <c r="F92"/>
  <c r="E92"/>
  <c r="D92"/>
  <c r="F587"/>
  <c r="E587"/>
  <c r="D587"/>
  <c r="F285"/>
  <c r="D285"/>
  <c r="E285"/>
  <c r="F315"/>
  <c r="E315"/>
  <c r="D315"/>
  <c r="F353"/>
  <c r="E353"/>
  <c r="D353"/>
  <c r="F561"/>
  <c r="D561"/>
  <c r="E561"/>
  <c r="F828"/>
  <c r="D828"/>
  <c r="E828"/>
  <c r="F371"/>
  <c r="E371"/>
  <c r="D371"/>
  <c r="F1003"/>
  <c r="D1003"/>
  <c r="E1003"/>
  <c r="F469"/>
  <c r="E469"/>
  <c r="D469"/>
  <c r="F633"/>
  <c r="E633"/>
  <c r="D633"/>
  <c r="F521"/>
  <c r="D521"/>
  <c r="E521"/>
  <c r="F181"/>
  <c r="E181"/>
  <c r="D181"/>
  <c r="F1043"/>
  <c r="D1043"/>
  <c r="E1043"/>
  <c r="F62"/>
  <c r="D62"/>
  <c r="E62"/>
  <c r="F891"/>
  <c r="E891"/>
  <c r="D891"/>
  <c r="F379"/>
  <c r="E379"/>
  <c r="D379"/>
  <c r="F1049"/>
  <c r="D1049"/>
  <c r="E1049"/>
  <c r="F347"/>
  <c r="E347"/>
  <c r="D347"/>
  <c r="F207"/>
  <c r="D207"/>
  <c r="E207"/>
  <c r="F417"/>
  <c r="D417"/>
  <c r="E417"/>
  <c r="F386"/>
  <c r="E386"/>
  <c r="D386"/>
  <c r="F387"/>
  <c r="E387"/>
  <c r="D387"/>
  <c r="F905"/>
  <c r="E905"/>
  <c r="D905"/>
  <c r="F547"/>
  <c r="D547"/>
  <c r="E547"/>
  <c r="F189"/>
  <c r="D189"/>
  <c r="E189"/>
  <c r="F911"/>
  <c r="E911"/>
  <c r="D911"/>
  <c r="F519"/>
  <c r="E519"/>
  <c r="D519"/>
  <c r="F129"/>
  <c r="E129"/>
  <c r="D129"/>
  <c r="F673"/>
  <c r="E673"/>
  <c r="D673"/>
  <c r="F157"/>
  <c r="E157"/>
  <c r="D157"/>
  <c r="F927"/>
  <c r="D927"/>
  <c r="E927"/>
  <c r="F366"/>
  <c r="D366"/>
  <c r="E366"/>
  <c r="F1143"/>
  <c r="E1143"/>
  <c r="D1143"/>
  <c r="F1245"/>
  <c r="E1245"/>
  <c r="D1245"/>
  <c r="F264"/>
  <c r="E264"/>
  <c r="D264"/>
  <c r="F114"/>
  <c r="E114"/>
  <c r="D114"/>
  <c r="F134"/>
  <c r="E134"/>
  <c r="D134"/>
  <c r="F554"/>
  <c r="D554"/>
  <c r="E554"/>
  <c r="F1117"/>
  <c r="D1117"/>
  <c r="E1117"/>
  <c r="F1211"/>
  <c r="E1211"/>
  <c r="D1211"/>
  <c r="F214"/>
  <c r="D214"/>
  <c r="E214"/>
  <c r="F1085"/>
  <c r="D1085"/>
  <c r="E1085"/>
  <c r="F362"/>
  <c r="D362"/>
  <c r="E362"/>
  <c r="F520"/>
  <c r="E520"/>
  <c r="D520"/>
  <c r="F961"/>
  <c r="E961"/>
  <c r="D961"/>
  <c r="F1091"/>
  <c r="D1091"/>
  <c r="E1091"/>
  <c r="F1195"/>
  <c r="E1195"/>
  <c r="D1195"/>
  <c r="F158"/>
  <c r="E158"/>
  <c r="D158"/>
  <c r="F1293"/>
  <c r="D1293"/>
  <c r="E1293"/>
  <c r="F300"/>
  <c r="E300"/>
  <c r="D300"/>
  <c r="F212"/>
  <c r="D212"/>
  <c r="E212"/>
  <c r="F396"/>
  <c r="D396"/>
  <c r="E396"/>
  <c r="F480"/>
  <c r="D480"/>
  <c r="E480"/>
  <c r="F636"/>
  <c r="D636"/>
  <c r="E636"/>
  <c r="F714"/>
  <c r="D714"/>
  <c r="E714"/>
  <c r="F526"/>
  <c r="D526"/>
  <c r="E526"/>
  <c r="F678"/>
  <c r="D678"/>
  <c r="E678"/>
  <c r="F426"/>
  <c r="E426"/>
  <c r="D426"/>
  <c r="F384"/>
  <c r="E384"/>
  <c r="D384"/>
  <c r="F502"/>
  <c r="E502"/>
  <c r="D502"/>
  <c r="F562"/>
  <c r="D562"/>
  <c r="E562"/>
  <c r="F434"/>
  <c r="E434"/>
  <c r="D434"/>
  <c r="F574"/>
  <c r="D574"/>
  <c r="E574"/>
  <c r="F662"/>
  <c r="D662"/>
  <c r="E662"/>
  <c r="F460"/>
  <c r="D460"/>
  <c r="E460"/>
  <c r="F548"/>
  <c r="E548"/>
  <c r="D548"/>
  <c r="F576"/>
  <c r="E576"/>
  <c r="D576"/>
  <c r="F996"/>
  <c r="E996"/>
  <c r="D996"/>
  <c r="F966"/>
  <c r="E966"/>
  <c r="D966"/>
  <c r="F1052"/>
  <c r="D1052"/>
  <c r="E1052"/>
  <c r="F608"/>
  <c r="D608"/>
  <c r="E608"/>
  <c r="F774"/>
  <c r="E774"/>
  <c r="D774"/>
  <c r="F768"/>
  <c r="D768"/>
  <c r="E768"/>
  <c r="F882"/>
  <c r="D882"/>
  <c r="E882"/>
  <c r="F1008"/>
  <c r="E1008"/>
  <c r="D1008"/>
  <c r="F1104"/>
  <c r="D1104"/>
  <c r="E1104"/>
  <c r="F772"/>
  <c r="E772"/>
  <c r="D772"/>
  <c r="F1313"/>
  <c r="D1313"/>
  <c r="E1313"/>
  <c r="F1312"/>
  <c r="E1312"/>
  <c r="D1312"/>
  <c r="F854"/>
  <c r="E854"/>
  <c r="D854"/>
  <c r="F1048"/>
  <c r="D1048"/>
  <c r="E1048"/>
  <c r="F918"/>
  <c r="E918"/>
  <c r="D918"/>
  <c r="F1210"/>
  <c r="D1210"/>
  <c r="E1210"/>
  <c r="F1240"/>
  <c r="D1240"/>
  <c r="E1240"/>
  <c r="F784"/>
  <c r="D784"/>
  <c r="E784"/>
  <c r="F1014"/>
  <c r="D1014"/>
  <c r="E1014"/>
  <c r="F1136"/>
  <c r="D1136"/>
  <c r="E1136"/>
  <c r="F1134"/>
  <c r="E1134"/>
  <c r="D1134"/>
  <c r="F1080"/>
  <c r="D1080"/>
  <c r="E1080"/>
  <c r="F968"/>
  <c r="E968"/>
  <c r="D968"/>
  <c r="F1270"/>
  <c r="E1270"/>
  <c r="D1270"/>
  <c r="F1330"/>
  <c r="D1330"/>
  <c r="E1330"/>
  <c r="F1162"/>
  <c r="D1162"/>
  <c r="E1162"/>
  <c r="F1190"/>
  <c r="E1190"/>
  <c r="D1190"/>
  <c r="F1334"/>
  <c r="D1334"/>
  <c r="E1334"/>
  <c r="F132"/>
  <c r="D132"/>
  <c r="E132"/>
  <c r="F1097"/>
  <c r="D1097"/>
  <c r="E1097"/>
  <c r="F1199"/>
  <c r="D1199"/>
  <c r="E1199"/>
  <c r="F174"/>
  <c r="E174"/>
  <c r="D174"/>
  <c r="F4"/>
  <c r="E4"/>
  <c r="D4"/>
  <c r="F80"/>
  <c r="E80"/>
  <c r="D80"/>
  <c r="F701"/>
  <c r="E701"/>
  <c r="D701"/>
  <c r="F76"/>
  <c r="E76"/>
  <c r="D76"/>
  <c r="F1147"/>
  <c r="D1147"/>
  <c r="E1147"/>
  <c r="F1253"/>
  <c r="D1253"/>
  <c r="E1253"/>
  <c r="F316"/>
  <c r="E316"/>
  <c r="D316"/>
  <c r="F336"/>
  <c r="E336"/>
  <c r="D336"/>
  <c r="F186"/>
  <c r="E186"/>
  <c r="D186"/>
  <c r="F628"/>
  <c r="E628"/>
  <c r="D628"/>
  <c r="F1303"/>
  <c r="D1303"/>
  <c r="E1303"/>
  <c r="F1133"/>
  <c r="D1133"/>
  <c r="E1133"/>
  <c r="F1227"/>
  <c r="E1227"/>
  <c r="D1227"/>
  <c r="F236"/>
  <c r="E236"/>
  <c r="D236"/>
  <c r="F360"/>
  <c r="E360"/>
  <c r="D360"/>
  <c r="F82"/>
  <c r="E82"/>
  <c r="D82"/>
  <c r="F270"/>
  <c r="D270"/>
  <c r="E270"/>
  <c r="F632"/>
  <c r="D632"/>
  <c r="E632"/>
  <c r="F398"/>
  <c r="E398"/>
  <c r="D398"/>
  <c r="F452"/>
  <c r="E452"/>
  <c r="D452"/>
  <c r="F558"/>
  <c r="E558"/>
  <c r="D558"/>
  <c r="F560"/>
  <c r="E560"/>
  <c r="D560"/>
  <c r="F406"/>
  <c r="E406"/>
  <c r="D406"/>
  <c r="F688"/>
  <c r="D688"/>
  <c r="E688"/>
  <c r="F508"/>
  <c r="E508"/>
  <c r="D508"/>
  <c r="F414"/>
  <c r="D414"/>
  <c r="E414"/>
  <c r="F538"/>
  <c r="E538"/>
  <c r="D538"/>
  <c r="F694"/>
  <c r="E694"/>
  <c r="D694"/>
  <c r="F540"/>
  <c r="D540"/>
  <c r="E540"/>
  <c r="F510"/>
  <c r="D510"/>
  <c r="E510"/>
  <c r="F730"/>
  <c r="E730"/>
  <c r="D730"/>
  <c r="F344"/>
  <c r="E344"/>
  <c r="D344"/>
  <c r="F626"/>
  <c r="E626"/>
  <c r="D626"/>
  <c r="F724"/>
  <c r="E724"/>
  <c r="D724"/>
  <c r="F1102"/>
  <c r="E1102"/>
  <c r="D1102"/>
  <c r="F960"/>
  <c r="D960"/>
  <c r="E960"/>
  <c r="F598"/>
  <c r="D598"/>
  <c r="E598"/>
  <c r="F746"/>
  <c r="E746"/>
  <c r="D746"/>
  <c r="F766"/>
  <c r="E766"/>
  <c r="D766"/>
  <c r="F1002"/>
  <c r="D1002"/>
  <c r="E1002"/>
  <c r="F880"/>
  <c r="D880"/>
  <c r="E880"/>
  <c r="F870"/>
  <c r="E870"/>
  <c r="D870"/>
  <c r="F760"/>
  <c r="D760"/>
  <c r="E760"/>
  <c r="F1238"/>
  <c r="D1238"/>
  <c r="E1238"/>
  <c r="F1078"/>
  <c r="E1078"/>
  <c r="D1078"/>
  <c r="F1208"/>
  <c r="D1208"/>
  <c r="E1208"/>
  <c r="F1272"/>
  <c r="E1272"/>
  <c r="D1272"/>
  <c r="F1062"/>
  <c r="E1062"/>
  <c r="D1062"/>
  <c r="F1036"/>
  <c r="D1036"/>
  <c r="E1036"/>
  <c r="F914"/>
  <c r="D914"/>
  <c r="E914"/>
  <c r="F1268"/>
  <c r="E1268"/>
  <c r="D1268"/>
  <c r="F1058"/>
  <c r="E1058"/>
  <c r="D1058"/>
  <c r="F1012"/>
  <c r="E1012"/>
  <c r="D1012"/>
  <c r="F1006"/>
  <c r="D1006"/>
  <c r="E1006"/>
  <c r="F1010"/>
  <c r="E1010"/>
  <c r="D1010"/>
  <c r="F984"/>
  <c r="D984"/>
  <c r="E984"/>
  <c r="F932"/>
  <c r="E932"/>
  <c r="D932"/>
  <c r="F1222"/>
  <c r="D1222"/>
  <c r="E1222"/>
  <c r="F1276"/>
  <c r="E1276"/>
  <c r="D1276"/>
  <c r="F1142"/>
  <c r="D1142"/>
  <c r="E1142"/>
  <c r="F1170"/>
  <c r="D1170"/>
  <c r="E1170"/>
  <c r="F1269"/>
  <c r="D1269"/>
  <c r="E1269"/>
  <c r="F1316"/>
  <c r="E1316"/>
  <c r="D1316"/>
  <c r="F709"/>
  <c r="D709"/>
  <c r="E709"/>
  <c r="F334"/>
  <c r="E334"/>
  <c r="D334"/>
  <c r="F91"/>
  <c r="D91"/>
  <c r="E91"/>
  <c r="F611"/>
  <c r="E611"/>
  <c r="D611"/>
  <c r="F165"/>
  <c r="E165"/>
  <c r="D165"/>
  <c r="F436"/>
  <c r="D436"/>
  <c r="E436"/>
  <c r="F692"/>
  <c r="D692"/>
  <c r="E692"/>
  <c r="F515"/>
  <c r="D515"/>
  <c r="E515"/>
  <c r="F93"/>
  <c r="D93"/>
  <c r="E93"/>
  <c r="F739"/>
  <c r="E739"/>
  <c r="D739"/>
  <c r="F329"/>
  <c r="E329"/>
  <c r="D329"/>
  <c r="F1019"/>
  <c r="D1019"/>
  <c r="E1019"/>
  <c r="F229"/>
  <c r="D229"/>
  <c r="E229"/>
  <c r="F723"/>
  <c r="E723"/>
  <c r="D723"/>
  <c r="F585"/>
  <c r="D585"/>
  <c r="E585"/>
  <c r="F121"/>
  <c r="D121"/>
  <c r="E121"/>
  <c r="F727"/>
  <c r="E727"/>
  <c r="D727"/>
  <c r="F179"/>
  <c r="D179"/>
  <c r="E179"/>
  <c r="F1037"/>
  <c r="D1037"/>
  <c r="E1037"/>
  <c r="F289"/>
  <c r="D289"/>
  <c r="E289"/>
  <c r="F319"/>
  <c r="D319"/>
  <c r="E319"/>
  <c r="F357"/>
  <c r="E357"/>
  <c r="D357"/>
  <c r="F567"/>
  <c r="E567"/>
  <c r="D567"/>
  <c r="F625"/>
  <c r="E625"/>
  <c r="D625"/>
  <c r="F431"/>
  <c r="E431"/>
  <c r="D431"/>
  <c r="F65"/>
  <c r="E65"/>
  <c r="D65"/>
  <c r="F491"/>
  <c r="D491"/>
  <c r="E491"/>
  <c r="F963"/>
  <c r="E963"/>
  <c r="D963"/>
  <c r="F753"/>
  <c r="E753"/>
  <c r="D753"/>
  <c r="F191"/>
  <c r="E191"/>
  <c r="D191"/>
  <c r="F286"/>
  <c r="E286"/>
  <c r="D286"/>
  <c r="F499"/>
  <c r="E499"/>
  <c r="D499"/>
  <c r="F1065"/>
  <c r="D1065"/>
  <c r="E1065"/>
  <c r="F133"/>
  <c r="E133"/>
  <c r="D133"/>
  <c r="F1322"/>
  <c r="D1322"/>
  <c r="E1322"/>
  <c r="F789"/>
  <c r="E789"/>
  <c r="D789"/>
  <c r="F986"/>
  <c r="D986"/>
  <c r="E986"/>
  <c r="F737"/>
  <c r="E737"/>
  <c r="D737"/>
  <c r="F85"/>
  <c r="E85"/>
  <c r="D85"/>
  <c r="F117"/>
  <c r="E117"/>
  <c r="D117"/>
  <c r="F209"/>
  <c r="D209"/>
  <c r="E209"/>
  <c r="F164"/>
  <c r="E164"/>
  <c r="D164"/>
  <c r="F675"/>
  <c r="E675"/>
  <c r="D675"/>
  <c r="F1021"/>
  <c r="D1021"/>
  <c r="E1021"/>
  <c r="F1127"/>
  <c r="D1127"/>
  <c r="E1127"/>
  <c r="F1171"/>
  <c r="D1171"/>
  <c r="E1171"/>
  <c r="F392"/>
  <c r="D392"/>
  <c r="E392"/>
  <c r="F330"/>
  <c r="E330"/>
  <c r="D330"/>
  <c r="F266"/>
  <c r="E266"/>
  <c r="D266"/>
  <c r="F1193"/>
  <c r="D1193"/>
  <c r="E1193"/>
  <c r="F154"/>
  <c r="E154"/>
  <c r="D154"/>
  <c r="F651"/>
  <c r="D651"/>
  <c r="E651"/>
  <c r="F12"/>
  <c r="E12"/>
  <c r="D12"/>
  <c r="F550"/>
  <c r="E550"/>
  <c r="D550"/>
  <c r="F552"/>
  <c r="D552"/>
  <c r="E552"/>
  <c r="F438"/>
  <c r="D438"/>
  <c r="E438"/>
  <c r="F650"/>
  <c r="E650"/>
  <c r="D650"/>
  <c r="F410"/>
  <c r="E410"/>
  <c r="D410"/>
  <c r="F416"/>
  <c r="D416"/>
  <c r="E416"/>
  <c r="F584"/>
  <c r="D584"/>
  <c r="E584"/>
  <c r="F712"/>
  <c r="D712"/>
  <c r="E712"/>
  <c r="F604"/>
  <c r="D604"/>
  <c r="E604"/>
  <c r="F718"/>
  <c r="E718"/>
  <c r="D718"/>
  <c r="F942"/>
  <c r="E942"/>
  <c r="D942"/>
  <c r="F972"/>
  <c r="D972"/>
  <c r="E972"/>
  <c r="F1112"/>
  <c r="D1112"/>
  <c r="E1112"/>
  <c r="F982"/>
  <c r="E982"/>
  <c r="D982"/>
  <c r="F1301"/>
  <c r="D1301"/>
  <c r="E1301"/>
  <c r="F1096"/>
  <c r="E1096"/>
  <c r="D1096"/>
  <c r="F1192"/>
  <c r="D1192"/>
  <c r="E1192"/>
  <c r="F998"/>
  <c r="D998"/>
  <c r="E998"/>
  <c r="F994"/>
  <c r="D994"/>
  <c r="E994"/>
  <c r="F1042"/>
  <c r="D1042"/>
  <c r="E1042"/>
  <c r="F1064"/>
  <c r="E1064"/>
  <c r="D1064"/>
  <c r="F1333"/>
  <c r="D1333"/>
  <c r="E1333"/>
  <c r="F1296"/>
  <c r="E1296"/>
  <c r="D1296"/>
  <c r="F370"/>
  <c r="D370"/>
  <c r="E370"/>
  <c r="F50"/>
  <c r="E50"/>
  <c r="D50"/>
  <c r="F90"/>
  <c r="E90"/>
  <c r="D90"/>
  <c r="F907"/>
  <c r="E907"/>
  <c r="D907"/>
  <c r="F66"/>
  <c r="E66"/>
  <c r="D66"/>
  <c r="F234"/>
  <c r="D234"/>
  <c r="E234"/>
  <c r="F500"/>
  <c r="E500"/>
  <c r="D500"/>
  <c r="F1103"/>
  <c r="D1103"/>
  <c r="E1103"/>
  <c r="F190"/>
  <c r="D190"/>
  <c r="E190"/>
  <c r="F60"/>
  <c r="E60"/>
  <c r="D60"/>
  <c r="F464"/>
  <c r="D464"/>
  <c r="E464"/>
  <c r="F664"/>
  <c r="D664"/>
  <c r="E664"/>
  <c r="F742"/>
  <c r="E742"/>
  <c r="D742"/>
  <c r="F462"/>
  <c r="E462"/>
  <c r="D462"/>
  <c r="F472"/>
  <c r="E472"/>
  <c r="D472"/>
  <c r="F582"/>
  <c r="E582"/>
  <c r="D582"/>
  <c r="F656"/>
  <c r="D656"/>
  <c r="E656"/>
  <c r="F722"/>
  <c r="D722"/>
  <c r="E722"/>
  <c r="F1084"/>
  <c r="D1084"/>
  <c r="E1084"/>
  <c r="F820"/>
  <c r="D820"/>
  <c r="E820"/>
  <c r="F704"/>
  <c r="E704"/>
  <c r="D704"/>
  <c r="F732"/>
  <c r="D732"/>
  <c r="E732"/>
  <c r="F898"/>
  <c r="E898"/>
  <c r="D898"/>
  <c r="F896"/>
  <c r="D896"/>
  <c r="E896"/>
  <c r="F1320"/>
  <c r="D1320"/>
  <c r="E1320"/>
  <c r="F1060"/>
  <c r="E1060"/>
  <c r="D1060"/>
  <c r="F990"/>
  <c r="E990"/>
  <c r="D990"/>
  <c r="F836"/>
  <c r="E836"/>
  <c r="D836"/>
  <c r="F1146"/>
  <c r="D1146"/>
  <c r="E1146"/>
  <c r="F256"/>
  <c r="E256"/>
  <c r="D256"/>
  <c r="F1125"/>
  <c r="E1125"/>
  <c r="D1125"/>
  <c r="F1169"/>
  <c r="D1169"/>
  <c r="E1169"/>
  <c r="F280"/>
  <c r="D280"/>
  <c r="E280"/>
  <c r="F176"/>
  <c r="E176"/>
  <c r="D176"/>
  <c r="F250"/>
  <c r="E250"/>
  <c r="D250"/>
  <c r="F430"/>
  <c r="E430"/>
  <c r="D430"/>
  <c r="F524"/>
  <c r="D524"/>
  <c r="E524"/>
  <c r="F442"/>
  <c r="E442"/>
  <c r="D442"/>
  <c r="F536"/>
  <c r="D536"/>
  <c r="E536"/>
  <c r="F572"/>
  <c r="D572"/>
  <c r="E572"/>
  <c r="F542"/>
  <c r="E542"/>
  <c r="D542"/>
  <c r="F342"/>
  <c r="D342"/>
  <c r="E342"/>
  <c r="F350"/>
  <c r="D350"/>
  <c r="E350"/>
  <c r="F750"/>
  <c r="E750"/>
  <c r="D750"/>
  <c r="F596"/>
  <c r="E596"/>
  <c r="D596"/>
  <c r="F832"/>
  <c r="E832"/>
  <c r="D832"/>
  <c r="F1130"/>
  <c r="D1130"/>
  <c r="E1130"/>
  <c r="F738"/>
  <c r="D738"/>
  <c r="E738"/>
  <c r="F770"/>
  <c r="D770"/>
  <c r="E770"/>
  <c r="F1050"/>
  <c r="D1050"/>
  <c r="E1050"/>
  <c r="F928"/>
  <c r="D928"/>
  <c r="E928"/>
  <c r="F1016"/>
  <c r="D1016"/>
  <c r="E1016"/>
  <c r="F1226"/>
  <c r="D1226"/>
  <c r="E1226"/>
  <c r="F1290"/>
  <c r="D1290"/>
  <c r="E1290"/>
  <c r="F120"/>
  <c r="E120"/>
  <c r="D120"/>
  <c r="F394"/>
  <c r="E394"/>
  <c r="D394"/>
  <c r="F811"/>
  <c r="E811"/>
  <c r="D811"/>
  <c r="F1131"/>
  <c r="E1131"/>
  <c r="D1131"/>
  <c r="F232"/>
  <c r="D232"/>
  <c r="E232"/>
  <c r="F140"/>
  <c r="E140"/>
  <c r="D140"/>
  <c r="F1255"/>
  <c r="D1255"/>
  <c r="E1255"/>
  <c r="F106"/>
  <c r="E106"/>
  <c r="D106"/>
  <c r="F228"/>
  <c r="E228"/>
  <c r="D228"/>
  <c r="F580"/>
  <c r="E580"/>
  <c r="D580"/>
  <c r="F440"/>
  <c r="E440"/>
  <c r="D440"/>
  <c r="F634"/>
  <c r="D634"/>
  <c r="E634"/>
  <c r="F390"/>
  <c r="D390"/>
  <c r="E390"/>
  <c r="F450"/>
  <c r="D450"/>
  <c r="E450"/>
  <c r="F420"/>
  <c r="E420"/>
  <c r="D420"/>
  <c r="F340"/>
  <c r="D340"/>
  <c r="E340"/>
  <c r="F1000"/>
  <c r="D1000"/>
  <c r="E1000"/>
  <c r="F956"/>
  <c r="D956"/>
  <c r="E956"/>
  <c r="F950"/>
  <c r="E950"/>
  <c r="D950"/>
  <c r="F728"/>
  <c r="D728"/>
  <c r="E728"/>
  <c r="F868"/>
  <c r="E868"/>
  <c r="D868"/>
  <c r="F962"/>
  <c r="D962"/>
  <c r="E962"/>
  <c r="F920"/>
  <c r="D920"/>
  <c r="E920"/>
  <c r="F1030"/>
  <c r="D1030"/>
  <c r="E1030"/>
  <c r="F1054"/>
  <c r="D1054"/>
  <c r="E1054"/>
  <c r="F1246"/>
  <c r="E1246"/>
  <c r="D1246"/>
  <c r="F1166"/>
  <c r="D1166"/>
  <c r="E1166"/>
  <c r="F1032"/>
  <c r="E1032"/>
  <c r="D1032"/>
  <c r="F565"/>
  <c r="E565"/>
  <c r="D565"/>
  <c r="F852"/>
  <c r="E852"/>
  <c r="D852"/>
  <c r="F798"/>
  <c r="E798"/>
  <c r="D798"/>
  <c r="F405"/>
  <c r="E405"/>
  <c r="D405"/>
  <c r="F1248"/>
  <c r="D1248"/>
  <c r="E1248"/>
  <c r="F1185"/>
  <c r="D1185"/>
  <c r="E1185"/>
  <c r="F645"/>
  <c r="E645"/>
  <c r="D645"/>
  <c r="F799"/>
  <c r="D799"/>
  <c r="E799"/>
  <c r="F1277"/>
  <c r="E1277"/>
  <c r="D1277"/>
  <c r="F769"/>
  <c r="E769"/>
  <c r="D769"/>
  <c r="F149"/>
  <c r="E149"/>
  <c r="D149"/>
  <c r="F913"/>
  <c r="E913"/>
  <c r="D913"/>
  <c r="F419"/>
  <c r="E419"/>
  <c r="D419"/>
  <c r="F302"/>
  <c r="D302"/>
  <c r="E302"/>
  <c r="F239"/>
  <c r="D239"/>
  <c r="E239"/>
  <c r="F827"/>
  <c r="E827"/>
  <c r="D827"/>
  <c r="F648"/>
  <c r="E648"/>
  <c r="D648"/>
  <c r="F977"/>
  <c r="E977"/>
  <c r="D977"/>
  <c r="F107"/>
  <c r="E107"/>
  <c r="D107"/>
  <c r="F813"/>
  <c r="E813"/>
  <c r="D813"/>
  <c r="F624"/>
  <c r="D624"/>
  <c r="E624"/>
  <c r="F1304"/>
  <c r="E1304"/>
  <c r="D1304"/>
  <c r="F826"/>
  <c r="D826"/>
  <c r="E826"/>
  <c r="F1082"/>
  <c r="D1082"/>
  <c r="E1082"/>
  <c r="F1218"/>
  <c r="E1218"/>
  <c r="D1218"/>
  <c r="F879"/>
  <c r="D879"/>
  <c r="E879"/>
  <c r="F823"/>
  <c r="D823"/>
  <c r="E823"/>
  <c r="F829"/>
  <c r="E829"/>
  <c r="D829"/>
  <c r="F805"/>
  <c r="D805"/>
  <c r="E805"/>
  <c r="F719"/>
  <c r="D719"/>
  <c r="E719"/>
  <c r="F944"/>
  <c r="D944"/>
  <c r="E944"/>
  <c r="F1178"/>
  <c r="D1178"/>
  <c r="E1178"/>
  <c r="F839"/>
  <c r="D839"/>
  <c r="E839"/>
  <c r="F395"/>
  <c r="E395"/>
  <c r="D395"/>
  <c r="F44"/>
  <c r="E44"/>
  <c r="D44"/>
  <c r="F840"/>
  <c r="D840"/>
  <c r="E840"/>
  <c r="F54"/>
  <c r="E54"/>
  <c r="D54"/>
  <c r="F786"/>
  <c r="E786"/>
  <c r="D786"/>
  <c r="F72"/>
  <c r="D72"/>
  <c r="E72"/>
  <c r="F843"/>
  <c r="E843"/>
  <c r="D843"/>
  <c r="F203"/>
  <c r="D203"/>
  <c r="E203"/>
  <c r="F1260"/>
  <c r="D1260"/>
  <c r="E1260"/>
  <c r="F25"/>
  <c r="E25"/>
  <c r="D25"/>
  <c r="F365"/>
  <c r="E365"/>
  <c r="D365"/>
  <c r="F941"/>
  <c r="E941"/>
  <c r="D941"/>
  <c r="F801"/>
  <c r="E801"/>
  <c r="D801"/>
  <c r="F1068"/>
  <c r="D1068"/>
  <c r="E1068"/>
  <c r="F67"/>
  <c r="D67"/>
  <c r="E67"/>
  <c r="F34"/>
  <c r="E34"/>
  <c r="D34"/>
  <c r="F824"/>
  <c r="D824"/>
  <c r="E824"/>
  <c r="F1033"/>
  <c r="D1033"/>
  <c r="E1033"/>
  <c r="F1209"/>
  <c r="D1209"/>
  <c r="E1209"/>
  <c r="F943"/>
  <c r="D943"/>
  <c r="E943"/>
  <c r="F1087"/>
  <c r="D1087"/>
  <c r="E1087"/>
  <c r="F1069"/>
  <c r="D1069"/>
  <c r="E1069"/>
  <c r="F841"/>
  <c r="E841"/>
  <c r="D841"/>
  <c r="F924"/>
  <c r="D924"/>
  <c r="E924"/>
  <c r="F759"/>
  <c r="D759"/>
  <c r="E759"/>
  <c r="F671"/>
  <c r="D671"/>
  <c r="E671"/>
  <c r="F259"/>
  <c r="E259"/>
  <c r="D259"/>
  <c r="F621"/>
  <c r="D621"/>
  <c r="E621"/>
  <c r="F439"/>
  <c r="E439"/>
  <c r="D439"/>
  <c r="F735"/>
  <c r="D735"/>
  <c r="E735"/>
  <c r="F115"/>
  <c r="E115"/>
  <c r="D115"/>
  <c r="F741"/>
  <c r="D741"/>
  <c r="E741"/>
  <c r="F261"/>
  <c r="D261"/>
  <c r="E261"/>
  <c r="F883"/>
  <c r="E883"/>
  <c r="D883"/>
  <c r="F497"/>
  <c r="D497"/>
  <c r="E497"/>
  <c r="F109"/>
  <c r="D109"/>
  <c r="E109"/>
  <c r="F765"/>
  <c r="E765"/>
  <c r="D765"/>
  <c r="F356"/>
  <c r="D356"/>
  <c r="E356"/>
  <c r="F919"/>
  <c r="E919"/>
  <c r="D919"/>
  <c r="F383"/>
  <c r="D383"/>
  <c r="E383"/>
  <c r="F615"/>
  <c r="D615"/>
  <c r="E615"/>
  <c r="F407"/>
  <c r="E407"/>
  <c r="D407"/>
  <c r="F279"/>
  <c r="D279"/>
  <c r="E279"/>
  <c r="F297"/>
  <c r="D297"/>
  <c r="E297"/>
  <c r="F325"/>
  <c r="E325"/>
  <c r="D325"/>
  <c r="F555"/>
  <c r="D555"/>
  <c r="E555"/>
  <c r="F159"/>
  <c r="D159"/>
  <c r="E159"/>
  <c r="F697"/>
  <c r="E697"/>
  <c r="D697"/>
  <c r="F139"/>
  <c r="E139"/>
  <c r="D139"/>
  <c r="F755"/>
  <c r="E755"/>
  <c r="D755"/>
  <c r="F273"/>
  <c r="D273"/>
  <c r="E273"/>
  <c r="F294"/>
  <c r="D294"/>
  <c r="E294"/>
  <c r="F235"/>
  <c r="D235"/>
  <c r="E235"/>
  <c r="F783"/>
  <c r="D783"/>
  <c r="E783"/>
  <c r="F581"/>
  <c r="D581"/>
  <c r="E581"/>
  <c r="F99"/>
  <c r="E99"/>
  <c r="D99"/>
  <c r="F695"/>
  <c r="D695"/>
  <c r="E695"/>
  <c r="F108"/>
  <c r="E108"/>
  <c r="D108"/>
  <c r="F861"/>
  <c r="E861"/>
  <c r="D861"/>
  <c r="F808"/>
  <c r="E808"/>
  <c r="D808"/>
  <c r="F167"/>
  <c r="D167"/>
  <c r="E167"/>
  <c r="F613"/>
  <c r="D613"/>
  <c r="E613"/>
  <c r="F603"/>
  <c r="D603"/>
  <c r="E603"/>
  <c r="F227"/>
  <c r="D227"/>
  <c r="E227"/>
  <c r="F254"/>
  <c r="D254"/>
  <c r="E254"/>
  <c r="F233"/>
  <c r="E233"/>
  <c r="D233"/>
  <c r="F1323"/>
  <c r="E1323"/>
  <c r="D1323"/>
  <c r="F791"/>
  <c r="E791"/>
  <c r="D791"/>
  <c r="F377"/>
  <c r="D377"/>
  <c r="E377"/>
  <c r="F627"/>
  <c r="D627"/>
  <c r="E627"/>
  <c r="F369"/>
  <c r="D369"/>
  <c r="E369"/>
  <c r="F751"/>
  <c r="D751"/>
  <c r="E751"/>
  <c r="F1075"/>
  <c r="D1075"/>
  <c r="E1075"/>
  <c r="F1189"/>
  <c r="D1189"/>
  <c r="E1189"/>
  <c r="F86"/>
  <c r="D86"/>
  <c r="E86"/>
  <c r="F486"/>
  <c r="D486"/>
  <c r="E486"/>
  <c r="F68"/>
  <c r="D68"/>
  <c r="E68"/>
  <c r="F204"/>
  <c r="D204"/>
  <c r="E204"/>
  <c r="F668"/>
  <c r="D668"/>
  <c r="E668"/>
  <c r="F368"/>
  <c r="D368"/>
  <c r="E368"/>
  <c r="F1163"/>
  <c r="E1163"/>
  <c r="D1163"/>
  <c r="F1259"/>
  <c r="E1259"/>
  <c r="D1259"/>
  <c r="F512"/>
  <c r="E512"/>
  <c r="D512"/>
  <c r="F328"/>
  <c r="E328"/>
  <c r="D328"/>
  <c r="F354"/>
  <c r="E354"/>
  <c r="D354"/>
  <c r="F803"/>
  <c r="E803"/>
  <c r="D803"/>
  <c r="F796"/>
  <c r="D796"/>
  <c r="E796"/>
  <c r="F757"/>
  <c r="E757"/>
  <c r="D757"/>
  <c r="F131"/>
  <c r="D131"/>
  <c r="E131"/>
  <c r="F893"/>
  <c r="E893"/>
  <c r="D893"/>
  <c r="F343"/>
  <c r="D343"/>
  <c r="E343"/>
  <c r="F262"/>
  <c r="D262"/>
  <c r="E262"/>
  <c r="F1326"/>
  <c r="D1326"/>
  <c r="E1326"/>
  <c r="F493"/>
  <c r="E493"/>
  <c r="D493"/>
  <c r="F251"/>
  <c r="D251"/>
  <c r="E251"/>
  <c r="F435"/>
  <c r="D435"/>
  <c r="E435"/>
  <c r="F923"/>
  <c r="E923"/>
  <c r="D923"/>
  <c r="F763"/>
  <c r="E763"/>
  <c r="D763"/>
  <c r="F75"/>
  <c r="E75"/>
  <c r="D75"/>
  <c r="F1289"/>
  <c r="E1289"/>
  <c r="D1289"/>
  <c r="F314"/>
  <c r="D314"/>
  <c r="E314"/>
  <c r="F1221"/>
  <c r="D1221"/>
  <c r="E1221"/>
  <c r="F124"/>
  <c r="E124"/>
  <c r="D124"/>
  <c r="F1139"/>
  <c r="D1139"/>
  <c r="E1139"/>
  <c r="F465"/>
  <c r="D465"/>
  <c r="E465"/>
  <c r="F118"/>
  <c r="E118"/>
  <c r="D118"/>
  <c r="F733"/>
  <c r="E733"/>
  <c r="D733"/>
  <c r="F197"/>
  <c r="D197"/>
  <c r="E197"/>
  <c r="F112"/>
  <c r="E112"/>
  <c r="D112"/>
  <c r="F545"/>
  <c r="E545"/>
  <c r="D545"/>
  <c r="F147"/>
  <c r="E147"/>
  <c r="D147"/>
  <c r="F777"/>
  <c r="E777"/>
  <c r="D777"/>
  <c r="F263"/>
  <c r="D263"/>
  <c r="E263"/>
  <c r="F575"/>
  <c r="D575"/>
  <c r="E575"/>
  <c r="F156"/>
  <c r="E156"/>
  <c r="D156"/>
  <c r="F1155"/>
  <c r="D1155"/>
  <c r="E1155"/>
  <c r="F1257"/>
  <c r="D1257"/>
  <c r="E1257"/>
  <c r="F382"/>
  <c r="E382"/>
  <c r="D382"/>
  <c r="F288"/>
  <c r="D288"/>
  <c r="E288"/>
  <c r="F138"/>
  <c r="E138"/>
  <c r="D138"/>
  <c r="F516"/>
  <c r="E516"/>
  <c r="D516"/>
  <c r="F46"/>
  <c r="D46"/>
  <c r="E46"/>
  <c r="F1137"/>
  <c r="D1137"/>
  <c r="E1137"/>
  <c r="F1231"/>
  <c r="D1231"/>
  <c r="E1231"/>
  <c r="F248"/>
  <c r="E248"/>
  <c r="D248"/>
  <c r="D126"/>
  <c r="F126"/>
  <c r="E126"/>
  <c r="F338"/>
  <c r="E338"/>
  <c r="D338"/>
  <c r="F665"/>
  <c r="E665"/>
  <c r="D665"/>
  <c r="F48"/>
  <c r="E48"/>
  <c r="D48"/>
  <c r="F531"/>
  <c r="D531"/>
  <c r="E531"/>
  <c r="F79"/>
  <c r="D79"/>
  <c r="E79"/>
  <c r="F599"/>
  <c r="E599"/>
  <c r="D599"/>
  <c r="F101"/>
  <c r="D101"/>
  <c r="E101"/>
  <c r="F953"/>
  <c r="E953"/>
  <c r="D953"/>
  <c r="F199"/>
  <c r="D199"/>
  <c r="E199"/>
  <c r="F1297"/>
  <c r="E1297"/>
  <c r="D1297"/>
  <c r="F537"/>
  <c r="E537"/>
  <c r="D537"/>
  <c r="F141"/>
  <c r="D141"/>
  <c r="E141"/>
  <c r="F1001"/>
  <c r="D1001"/>
  <c r="E1001"/>
  <c r="F397"/>
  <c r="D397"/>
  <c r="E397"/>
  <c r="F47"/>
  <c r="E47"/>
  <c r="D47"/>
  <c r="F1161"/>
  <c r="D1161"/>
  <c r="E1161"/>
  <c r="F643"/>
  <c r="E643"/>
  <c r="D643"/>
  <c r="F145"/>
  <c r="E145"/>
  <c r="D145"/>
  <c r="F619"/>
  <c r="E619"/>
  <c r="D619"/>
  <c r="F411"/>
  <c r="E411"/>
  <c r="D411"/>
  <c r="F306"/>
  <c r="D306"/>
  <c r="E306"/>
  <c r="F687"/>
  <c r="D687"/>
  <c r="E687"/>
  <c r="F110"/>
  <c r="D110"/>
  <c r="E110"/>
  <c r="F729"/>
  <c r="E729"/>
  <c r="D729"/>
  <c r="F255"/>
  <c r="D255"/>
  <c r="E255"/>
  <c r="F929"/>
  <c r="E929"/>
  <c r="D929"/>
  <c r="F335"/>
  <c r="E335"/>
  <c r="D335"/>
  <c r="F9"/>
  <c r="D9"/>
  <c r="E9"/>
  <c r="F295"/>
  <c r="D295"/>
  <c r="E295"/>
  <c r="F323"/>
  <c r="D323"/>
  <c r="E323"/>
  <c r="F553"/>
  <c r="E553"/>
  <c r="D553"/>
  <c r="F573"/>
  <c r="E573"/>
  <c r="D573"/>
  <c r="F1153"/>
  <c r="D1153"/>
  <c r="E1153"/>
  <c r="F503"/>
  <c r="D503"/>
  <c r="E503"/>
  <c r="F123"/>
  <c r="D123"/>
  <c r="E123"/>
  <c r="F659"/>
  <c r="E659"/>
  <c r="D659"/>
  <c r="F161"/>
  <c r="E161"/>
  <c r="D161"/>
  <c r="F1071"/>
  <c r="D1071"/>
  <c r="E1071"/>
  <c r="F205"/>
  <c r="E205"/>
  <c r="D205"/>
  <c r="F779"/>
  <c r="E779"/>
  <c r="D779"/>
  <c r="F577"/>
  <c r="D577"/>
  <c r="E577"/>
  <c r="F81"/>
  <c r="D81"/>
  <c r="E81"/>
  <c r="F601"/>
  <c r="E601"/>
  <c r="D601"/>
  <c r="F1331"/>
  <c r="D1331"/>
  <c r="E1331"/>
  <c r="F685"/>
  <c r="D685"/>
  <c r="E685"/>
  <c r="F1059"/>
  <c r="D1059"/>
  <c r="E1059"/>
  <c r="F113"/>
  <c r="E113"/>
  <c r="D113"/>
  <c r="F523"/>
  <c r="E523"/>
  <c r="D523"/>
  <c r="F135"/>
  <c r="E135"/>
  <c r="D135"/>
  <c r="F683"/>
  <c r="E683"/>
  <c r="D683"/>
  <c r="F367"/>
  <c r="D367"/>
  <c r="E367"/>
  <c r="F296"/>
  <c r="E296"/>
  <c r="D296"/>
  <c r="F241"/>
  <c r="E241"/>
  <c r="D241"/>
  <c r="F274"/>
  <c r="D274"/>
  <c r="E274"/>
  <c r="F1041"/>
  <c r="D1041"/>
  <c r="E1041"/>
  <c r="F451"/>
  <c r="E451"/>
  <c r="D451"/>
  <c r="F887"/>
  <c r="D887"/>
  <c r="E887"/>
  <c r="F425"/>
  <c r="D425"/>
  <c r="E425"/>
  <c r="F885"/>
  <c r="D885"/>
  <c r="E885"/>
  <c r="F1095"/>
  <c r="D1095"/>
  <c r="E1095"/>
  <c r="F1197"/>
  <c r="D1197"/>
  <c r="E1197"/>
  <c r="F166"/>
  <c r="E166"/>
  <c r="D166"/>
  <c r="F496"/>
  <c r="D496"/>
  <c r="E496"/>
  <c r="F152"/>
  <c r="E152"/>
  <c r="D152"/>
  <c r="F224"/>
  <c r="D224"/>
  <c r="E224"/>
  <c r="F1027"/>
  <c r="D1027"/>
  <c r="E1027"/>
  <c r="F1167"/>
  <c r="D1167"/>
  <c r="E1167"/>
  <c r="F1263"/>
  <c r="D1263"/>
  <c r="E1263"/>
  <c r="F318"/>
  <c r="E318"/>
  <c r="D318"/>
  <c r="E36"/>
  <c r="D36"/>
  <c r="F36"/>
  <c r="F216"/>
  <c r="E216"/>
  <c r="D216"/>
  <c r="F949"/>
  <c r="D949"/>
  <c r="E949"/>
  <c r="F332"/>
  <c r="D332"/>
  <c r="E332"/>
  <c r="F1141"/>
  <c r="E1141"/>
  <c r="D1141"/>
  <c r="F1243"/>
  <c r="E1243"/>
  <c r="D1243"/>
  <c r="F258"/>
  <c r="D258"/>
  <c r="E258"/>
  <c r="F56"/>
  <c r="E56"/>
  <c r="D56"/>
  <c r="F194"/>
  <c r="E194"/>
  <c r="D194"/>
  <c r="F504"/>
  <c r="D504"/>
  <c r="E504"/>
  <c r="F672"/>
  <c r="D672"/>
  <c r="E672"/>
  <c r="F432"/>
  <c r="D432"/>
  <c r="E432"/>
  <c r="F474"/>
  <c r="E474"/>
  <c r="D474"/>
  <c r="F638"/>
  <c r="E638"/>
  <c r="D638"/>
  <c r="F404"/>
  <c r="D404"/>
  <c r="E404"/>
  <c r="F530"/>
  <c r="E530"/>
  <c r="D530"/>
  <c r="F616"/>
  <c r="D616"/>
  <c r="E616"/>
  <c r="F652"/>
  <c r="D652"/>
  <c r="E652"/>
  <c r="F448"/>
  <c r="D448"/>
  <c r="E448"/>
  <c r="F506"/>
  <c r="D506"/>
  <c r="E506"/>
  <c r="F720"/>
  <c r="E720"/>
  <c r="D720"/>
  <c r="F456"/>
  <c r="E456"/>
  <c r="D456"/>
  <c r="F476"/>
  <c r="D476"/>
  <c r="E476"/>
  <c r="F346"/>
  <c r="E346"/>
  <c r="D346"/>
  <c r="F666"/>
  <c r="D666"/>
  <c r="E666"/>
  <c r="F874"/>
  <c r="D874"/>
  <c r="E874"/>
  <c r="F890"/>
  <c r="D890"/>
  <c r="E890"/>
  <c r="F600"/>
  <c r="D600"/>
  <c r="E600"/>
  <c r="F716"/>
  <c r="D716"/>
  <c r="E716"/>
  <c r="F886"/>
  <c r="E886"/>
  <c r="D886"/>
  <c r="F878"/>
  <c r="D878"/>
  <c r="E878"/>
  <c r="F744"/>
  <c r="E744"/>
  <c r="D744"/>
  <c r="F736"/>
  <c r="D736"/>
  <c r="E736"/>
  <c r="F1022"/>
  <c r="D1022"/>
  <c r="E1022"/>
  <c r="F1287"/>
  <c r="D1287"/>
  <c r="E1287"/>
  <c r="F1106"/>
  <c r="E1106"/>
  <c r="D1106"/>
  <c r="F1302"/>
  <c r="D1302"/>
  <c r="E1302"/>
  <c r="F980"/>
  <c r="E980"/>
  <c r="D980"/>
  <c r="F1004"/>
  <c r="D1004"/>
  <c r="E1004"/>
  <c r="F988"/>
  <c r="D988"/>
  <c r="E988"/>
  <c r="F888"/>
  <c r="D888"/>
  <c r="E888"/>
  <c r="F974"/>
  <c r="E974"/>
  <c r="D974"/>
  <c r="F748"/>
  <c r="D748"/>
  <c r="E748"/>
  <c r="F1220"/>
  <c r="E1220"/>
  <c r="D1220"/>
  <c r="F1286"/>
  <c r="D1286"/>
  <c r="E1286"/>
  <c r="F762"/>
  <c r="D762"/>
  <c r="E762"/>
  <c r="F740"/>
  <c r="E740"/>
  <c r="D740"/>
  <c r="F1244"/>
  <c r="D1244"/>
  <c r="E1244"/>
  <c r="F1144"/>
  <c r="D1144"/>
  <c r="E1144"/>
  <c r="F1174"/>
  <c r="E1174"/>
  <c r="D1174"/>
  <c r="F1309"/>
  <c r="E1309"/>
  <c r="D1309"/>
  <c r="F1292"/>
  <c r="E1292"/>
  <c r="D1292"/>
  <c r="F1317"/>
  <c r="E1317"/>
  <c r="D1317"/>
  <c r="F172"/>
  <c r="E172"/>
  <c r="D172"/>
  <c r="F1145"/>
  <c r="D1145"/>
  <c r="E1145"/>
  <c r="F1247"/>
  <c r="D1247"/>
  <c r="E1247"/>
  <c r="F268"/>
  <c r="D268"/>
  <c r="E268"/>
  <c r="F326"/>
  <c r="D326"/>
  <c r="E326"/>
  <c r="F352"/>
  <c r="D352"/>
  <c r="E352"/>
  <c r="F669"/>
  <c r="E669"/>
  <c r="D669"/>
  <c r="F1099"/>
  <c r="E1099"/>
  <c r="D1099"/>
  <c r="F1201"/>
  <c r="D1201"/>
  <c r="E1201"/>
  <c r="F182"/>
  <c r="E182"/>
  <c r="D182"/>
  <c r="F1081"/>
  <c r="D1081"/>
  <c r="E1081"/>
  <c r="F202"/>
  <c r="E202"/>
  <c r="D202"/>
  <c r="F320"/>
  <c r="D320"/>
  <c r="E320"/>
  <c r="F655"/>
  <c r="E655"/>
  <c r="D655"/>
  <c r="F1073"/>
  <c r="D1073"/>
  <c r="E1073"/>
  <c r="F1187"/>
  <c r="D1187"/>
  <c r="E1187"/>
  <c r="F78"/>
  <c r="E78"/>
  <c r="D78"/>
  <c r="F104"/>
  <c r="E104"/>
  <c r="D104"/>
  <c r="F298"/>
  <c r="D298"/>
  <c r="E298"/>
  <c r="F178"/>
  <c r="E178"/>
  <c r="D178"/>
  <c r="F428"/>
  <c r="D428"/>
  <c r="E428"/>
  <c r="F690"/>
  <c r="E690"/>
  <c r="D690"/>
  <c r="F556"/>
  <c r="D556"/>
  <c r="E556"/>
  <c r="F702"/>
  <c r="D702"/>
  <c r="E702"/>
  <c r="F402"/>
  <c r="E402"/>
  <c r="D402"/>
  <c r="F484"/>
  <c r="E484"/>
  <c r="D484"/>
  <c r="F564"/>
  <c r="D564"/>
  <c r="E564"/>
  <c r="F260"/>
  <c r="E260"/>
  <c r="D260"/>
  <c r="F534"/>
  <c r="E534"/>
  <c r="D534"/>
  <c r="F642"/>
  <c r="D642"/>
  <c r="E642"/>
  <c r="F400"/>
  <c r="D400"/>
  <c r="E400"/>
  <c r="F708"/>
  <c r="E708"/>
  <c r="D708"/>
  <c r="F660"/>
  <c r="D660"/>
  <c r="E660"/>
  <c r="F458"/>
  <c r="E458"/>
  <c r="D458"/>
  <c r="F424"/>
  <c r="E424"/>
  <c r="D424"/>
  <c r="F514"/>
  <c r="D514"/>
  <c r="E514"/>
  <c r="F470"/>
  <c r="E470"/>
  <c r="D470"/>
  <c r="F866"/>
  <c r="E866"/>
  <c r="D866"/>
  <c r="F858"/>
  <c r="D858"/>
  <c r="E858"/>
  <c r="F1138"/>
  <c r="E1138"/>
  <c r="D1138"/>
  <c r="F606"/>
  <c r="D606"/>
  <c r="E606"/>
  <c r="F734"/>
  <c r="D734"/>
  <c r="E734"/>
  <c r="F810"/>
  <c r="E810"/>
  <c r="D810"/>
  <c r="F788"/>
  <c r="E788"/>
  <c r="D788"/>
  <c r="F1295"/>
  <c r="D1295"/>
  <c r="E1295"/>
  <c r="F1321"/>
  <c r="D1321"/>
  <c r="E1321"/>
  <c r="F1072"/>
  <c r="D1072"/>
  <c r="E1072"/>
  <c r="F1108"/>
  <c r="E1108"/>
  <c r="D1108"/>
  <c r="F1298"/>
  <c r="D1298"/>
  <c r="E1298"/>
  <c r="F1140"/>
  <c r="E1140"/>
  <c r="D1140"/>
  <c r="F862"/>
  <c r="D862"/>
  <c r="E862"/>
  <c r="F1100"/>
  <c r="D1100"/>
  <c r="E1100"/>
  <c r="F1132"/>
  <c r="D1132"/>
  <c r="E1132"/>
  <c r="F1200"/>
  <c r="D1200"/>
  <c r="E1200"/>
  <c r="F1202"/>
  <c r="E1202"/>
  <c r="D1202"/>
  <c r="F1254"/>
  <c r="E1254"/>
  <c r="D1254"/>
  <c r="F876"/>
  <c r="D876"/>
  <c r="E876"/>
  <c r="F1194"/>
  <c r="D1194"/>
  <c r="E1194"/>
  <c r="F1224"/>
  <c r="E1224"/>
  <c r="D1224"/>
  <c r="F1262"/>
  <c r="E1262"/>
  <c r="D1262"/>
  <c r="F1284"/>
  <c r="E1284"/>
  <c r="D1284"/>
  <c r="F1232"/>
  <c r="E1232"/>
  <c r="D1232"/>
  <c r="F1160"/>
  <c r="E1160"/>
  <c r="D1160"/>
  <c r="F1186"/>
  <c r="D1186"/>
  <c r="E1186"/>
  <c r="F1314"/>
  <c r="D1314"/>
  <c r="E1314"/>
  <c r="F231"/>
  <c r="E231"/>
  <c r="D231"/>
  <c r="F1285"/>
  <c r="E1285"/>
  <c r="D1285"/>
  <c r="F749"/>
  <c r="E749"/>
  <c r="D749"/>
  <c r="F391"/>
  <c r="E391"/>
  <c r="D391"/>
  <c r="F707"/>
  <c r="E707"/>
  <c r="D707"/>
  <c r="F517"/>
  <c r="E517"/>
  <c r="D517"/>
  <c r="F877"/>
  <c r="E877"/>
  <c r="D877"/>
  <c r="F243"/>
  <c r="D243"/>
  <c r="E243"/>
  <c r="F1023"/>
  <c r="D1023"/>
  <c r="E1023"/>
  <c r="F453"/>
  <c r="D453"/>
  <c r="E453"/>
  <c r="F973"/>
  <c r="E973"/>
  <c r="D973"/>
  <c r="F529"/>
  <c r="D529"/>
  <c r="E529"/>
  <c r="F111"/>
  <c r="D111"/>
  <c r="E111"/>
  <c r="F771"/>
  <c r="E771"/>
  <c r="D771"/>
  <c r="F84"/>
  <c r="E84"/>
  <c r="D84"/>
  <c r="F933"/>
  <c r="D933"/>
  <c r="E933"/>
  <c r="F459"/>
  <c r="E459"/>
  <c r="D459"/>
  <c r="F635"/>
  <c r="D635"/>
  <c r="E635"/>
  <c r="F447"/>
  <c r="D447"/>
  <c r="E447"/>
  <c r="F281"/>
  <c r="D281"/>
  <c r="E281"/>
  <c r="F307"/>
  <c r="E307"/>
  <c r="D307"/>
  <c r="F327"/>
  <c r="E327"/>
  <c r="D327"/>
  <c r="F557"/>
  <c r="E557"/>
  <c r="D557"/>
  <c r="F8"/>
  <c r="D8"/>
  <c r="E8"/>
  <c r="F299"/>
  <c r="E299"/>
  <c r="D299"/>
  <c r="F989"/>
  <c r="E989"/>
  <c r="D989"/>
  <c r="F257"/>
  <c r="D257"/>
  <c r="E257"/>
  <c r="F1013"/>
  <c r="E1013"/>
  <c r="D1013"/>
  <c r="F403"/>
  <c r="D403"/>
  <c r="E403"/>
  <c r="F310"/>
  <c r="D310"/>
  <c r="E310"/>
  <c r="F663"/>
  <c r="D663"/>
  <c r="E663"/>
  <c r="F94"/>
  <c r="D94"/>
  <c r="E94"/>
  <c r="F681"/>
  <c r="E681"/>
  <c r="D681"/>
  <c r="F479"/>
  <c r="D479"/>
  <c r="E479"/>
  <c r="F631"/>
  <c r="E631"/>
  <c r="D631"/>
  <c r="F105"/>
  <c r="D105"/>
  <c r="E105"/>
  <c r="F501"/>
  <c r="E501"/>
  <c r="D501"/>
  <c r="F249"/>
  <c r="E249"/>
  <c r="D249"/>
  <c r="F487"/>
  <c r="E487"/>
  <c r="D487"/>
  <c r="F875"/>
  <c r="E875"/>
  <c r="D875"/>
  <c r="F265"/>
  <c r="D265"/>
  <c r="E265"/>
  <c r="F271"/>
  <c r="D271"/>
  <c r="E271"/>
  <c r="F781"/>
  <c r="E781"/>
  <c r="D781"/>
  <c r="F30"/>
  <c r="E30"/>
  <c r="D30"/>
  <c r="F374"/>
  <c r="D374"/>
  <c r="E374"/>
  <c r="F1079"/>
  <c r="E1079"/>
  <c r="D1079"/>
  <c r="F252"/>
  <c r="D252"/>
  <c r="E252"/>
  <c r="F272"/>
  <c r="D272"/>
  <c r="E272"/>
  <c r="F532"/>
  <c r="E532"/>
  <c r="D532"/>
  <c r="F208"/>
  <c r="D208"/>
  <c r="E208"/>
  <c r="F1215"/>
  <c r="D1215"/>
  <c r="E1215"/>
  <c r="F544"/>
  <c r="D544"/>
  <c r="E544"/>
  <c r="F376"/>
  <c r="D376"/>
  <c r="E376"/>
  <c r="F146"/>
  <c r="E146"/>
  <c r="D146"/>
  <c r="F590"/>
  <c r="E590"/>
  <c r="D590"/>
  <c r="F726"/>
  <c r="E726"/>
  <c r="D726"/>
  <c r="F468"/>
  <c r="D468"/>
  <c r="E468"/>
  <c r="F238"/>
  <c r="E238"/>
  <c r="D238"/>
  <c r="F568"/>
  <c r="D568"/>
  <c r="E568"/>
  <c r="F482"/>
  <c r="E482"/>
  <c r="D482"/>
  <c r="F422"/>
  <c r="D422"/>
  <c r="E422"/>
  <c r="F570"/>
  <c r="D570"/>
  <c r="E570"/>
  <c r="F622"/>
  <c r="E622"/>
  <c r="D622"/>
  <c r="F894"/>
  <c r="D894"/>
  <c r="E894"/>
  <c r="F1090"/>
  <c r="D1090"/>
  <c r="E1090"/>
  <c r="F1126"/>
  <c r="D1126"/>
  <c r="E1126"/>
  <c r="F912"/>
  <c r="D912"/>
  <c r="E912"/>
  <c r="F1196"/>
  <c r="D1196"/>
  <c r="E1196"/>
  <c r="F958"/>
  <c r="E958"/>
  <c r="D958"/>
  <c r="F1310"/>
  <c r="D1310"/>
  <c r="E1310"/>
  <c r="F1294"/>
  <c r="D1294"/>
  <c r="E1294"/>
  <c r="F1275"/>
  <c r="E1275"/>
  <c r="D1275"/>
  <c r="F1274"/>
  <c r="D1274"/>
  <c r="E1274"/>
  <c r="F1148"/>
  <c r="D1148"/>
  <c r="E1148"/>
  <c r="F1168"/>
  <c r="D1168"/>
  <c r="E1168"/>
  <c r="F1325"/>
  <c r="E1325"/>
  <c r="D1325"/>
  <c r="F1181"/>
  <c r="D1181"/>
  <c r="E1181"/>
  <c r="F1223"/>
  <c r="D1223"/>
  <c r="E1223"/>
  <c r="F1281"/>
  <c r="D1281"/>
  <c r="E1281"/>
  <c r="F192"/>
  <c r="E192"/>
  <c r="D192"/>
  <c r="F388"/>
  <c r="D388"/>
  <c r="E388"/>
  <c r="F1183"/>
  <c r="D1183"/>
  <c r="E1183"/>
  <c r="F528"/>
  <c r="D528"/>
  <c r="E528"/>
  <c r="F136"/>
  <c r="D136"/>
  <c r="E136"/>
  <c r="F721"/>
  <c r="E721"/>
  <c r="D721"/>
  <c r="F1203"/>
  <c r="D1203"/>
  <c r="E1203"/>
  <c r="F144"/>
  <c r="E144"/>
  <c r="D144"/>
  <c r="F492"/>
  <c r="D492"/>
  <c r="E492"/>
  <c r="F682"/>
  <c r="E682"/>
  <c r="D682"/>
  <c r="F494"/>
  <c r="D494"/>
  <c r="E494"/>
  <c r="F498"/>
  <c r="D498"/>
  <c r="E498"/>
  <c r="F446"/>
  <c r="D446"/>
  <c r="E446"/>
  <c r="F466"/>
  <c r="E466"/>
  <c r="D466"/>
  <c r="F618"/>
  <c r="D618"/>
  <c r="E618"/>
  <c r="F588"/>
  <c r="D588"/>
  <c r="E588"/>
  <c r="F592"/>
  <c r="E592"/>
  <c r="D592"/>
  <c r="F698"/>
  <c r="D698"/>
  <c r="E698"/>
  <c r="F1074"/>
  <c r="D1074"/>
  <c r="E1074"/>
  <c r="F610"/>
  <c r="D610"/>
  <c r="E610"/>
  <c r="F964"/>
  <c r="E964"/>
  <c r="D964"/>
  <c r="F1076"/>
  <c r="D1076"/>
  <c r="E1076"/>
  <c r="F902"/>
  <c r="D902"/>
  <c r="E902"/>
  <c r="F1242"/>
  <c r="D1242"/>
  <c r="E1242"/>
  <c r="F976"/>
  <c r="D976"/>
  <c r="E976"/>
  <c r="F804"/>
  <c r="E804"/>
  <c r="D804"/>
  <c r="F1128"/>
  <c r="D1128"/>
  <c r="E1128"/>
  <c r="F1332"/>
  <c r="E1332"/>
  <c r="D1332"/>
  <c r="F1291"/>
  <c r="E1291"/>
  <c r="D1291"/>
  <c r="F1182"/>
  <c r="E1182"/>
  <c r="D1182"/>
  <c r="F1324"/>
  <c r="E1324"/>
  <c r="D1324"/>
  <c r="F1271"/>
  <c r="D1271"/>
  <c r="E1271"/>
  <c r="F168"/>
  <c r="E168"/>
  <c r="D168"/>
  <c r="F761"/>
  <c r="E761"/>
  <c r="D761"/>
  <c r="F218"/>
  <c r="E218"/>
  <c r="D218"/>
  <c r="F522"/>
  <c r="D522"/>
  <c r="E522"/>
  <c r="F418"/>
  <c r="D418"/>
  <c r="E418"/>
  <c r="F640"/>
  <c r="D640"/>
  <c r="E640"/>
  <c r="F478"/>
  <c r="D478"/>
  <c r="E478"/>
  <c r="F578"/>
  <c r="E578"/>
  <c r="D578"/>
  <c r="F844"/>
  <c r="D844"/>
  <c r="E844"/>
  <c r="F444"/>
  <c r="D444"/>
  <c r="E444"/>
  <c r="F1228"/>
  <c r="D1228"/>
  <c r="E1228"/>
  <c r="F754"/>
  <c r="E754"/>
  <c r="D754"/>
  <c r="F892"/>
  <c r="D892"/>
  <c r="E892"/>
  <c r="F758"/>
  <c r="E758"/>
  <c r="D758"/>
  <c r="F756"/>
  <c r="E756"/>
  <c r="D756"/>
  <c r="F926"/>
  <c r="D926"/>
  <c r="E926"/>
  <c r="F1046"/>
  <c r="E1046"/>
  <c r="D1046"/>
  <c r="F752"/>
  <c r="D752"/>
  <c r="E752"/>
  <c r="F1305"/>
  <c r="D1305"/>
  <c r="E1305"/>
  <c r="F930"/>
  <c r="E930"/>
  <c r="D930"/>
  <c r="F1184"/>
  <c r="D1184"/>
  <c r="E1184"/>
  <c r="F1129"/>
  <c r="D1129"/>
  <c r="E1129"/>
  <c r="F226"/>
  <c r="D226"/>
  <c r="E226"/>
  <c r="F18"/>
  <c r="E18"/>
  <c r="D18"/>
  <c r="F1225"/>
  <c r="D1225"/>
  <c r="E1225"/>
  <c r="F98"/>
  <c r="E98"/>
  <c r="D98"/>
  <c r="F70"/>
  <c r="E70"/>
  <c r="D70"/>
  <c r="F649"/>
  <c r="E649"/>
  <c r="D649"/>
  <c r="F1149"/>
  <c r="D1149"/>
  <c r="E1149"/>
  <c r="F322"/>
  <c r="E322"/>
  <c r="D322"/>
  <c r="F304"/>
  <c r="E304"/>
  <c r="D304"/>
  <c r="F518"/>
  <c r="E518"/>
  <c r="D518"/>
  <c r="F490"/>
  <c r="E490"/>
  <c r="D490"/>
  <c r="F686"/>
  <c r="E686"/>
  <c r="D686"/>
  <c r="F220"/>
  <c r="D220"/>
  <c r="E220"/>
  <c r="F654"/>
  <c r="D654"/>
  <c r="E654"/>
  <c r="F658"/>
  <c r="D658"/>
  <c r="E658"/>
  <c r="F764"/>
  <c r="D764"/>
  <c r="E764"/>
  <c r="F612"/>
  <c r="E612"/>
  <c r="D612"/>
  <c r="F348"/>
  <c r="D348"/>
  <c r="E348"/>
  <c r="F408"/>
  <c r="E408"/>
  <c r="D408"/>
  <c r="F970"/>
  <c r="D970"/>
  <c r="E970"/>
  <c r="F602"/>
  <c r="E602"/>
  <c r="D602"/>
  <c r="F884"/>
  <c r="E884"/>
  <c r="D884"/>
  <c r="F1038"/>
  <c r="E1038"/>
  <c r="D1038"/>
  <c r="F872"/>
  <c r="E872"/>
  <c r="D872"/>
  <c r="F1066"/>
  <c r="D1066"/>
  <c r="E1066"/>
  <c r="F1300"/>
  <c r="E1300"/>
  <c r="D1300"/>
  <c r="F1098"/>
  <c r="D1098"/>
  <c r="E1098"/>
  <c r="F954"/>
  <c r="D954"/>
  <c r="E954"/>
  <c r="F992"/>
  <c r="D992"/>
  <c r="E992"/>
  <c r="F1116"/>
  <c r="D1116"/>
  <c r="E1116"/>
  <c r="F1024"/>
  <c r="E1024"/>
  <c r="D1024"/>
  <c r="F1288"/>
  <c r="D1288"/>
  <c r="E1288"/>
  <c r="P22" i="3" l="1"/>
  <c r="P20"/>
  <c r="P25"/>
</calcChain>
</file>

<file path=xl/sharedStrings.xml><?xml version="1.0" encoding="utf-8"?>
<sst xmlns="http://schemas.openxmlformats.org/spreadsheetml/2006/main" count="14159" uniqueCount="4090">
  <si>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</si>
  <si>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</si>
  <si>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</si>
  <si>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</si>
  <si>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</si>
  <si>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</si>
  <si>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</si>
  <si>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</si>
  <si>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</si>
  <si>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</si>
  <si>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</si>
  <si>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</si>
  <si>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</si>
  <si>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</si>
  <si>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</si>
  <si>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</si>
  <si>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</si>
  <si>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</si>
  <si>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</si>
  <si>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</si>
  <si>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</si>
  <si>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</si>
  <si>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</si>
  <si>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</si>
  <si>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</si>
  <si>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</si>
  <si>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</si>
  <si>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</si>
  <si>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</si>
  <si>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</si>
  <si>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</si>
  <si>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</si>
  <si>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</si>
  <si>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</si>
  <si>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</si>
  <si>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</si>
  <si>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</si>
  <si>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</si>
  <si>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</si>
  <si>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</si>
  <si>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</si>
  <si>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</si>
  <si>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</si>
  <si>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</si>
  <si>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</si>
  <si>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</si>
  <si>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</si>
  <si>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</si>
  <si>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</si>
  <si>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</si>
  <si>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</si>
  <si>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</si>
  <si>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</si>
  <si>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</si>
  <si>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</si>
  <si>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</si>
  <si>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</si>
  <si>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</si>
  <si>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</si>
  <si>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</si>
  <si>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</si>
  <si>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</si>
  <si>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</si>
  <si>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</si>
  <si>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</si>
  <si>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</si>
  <si>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</si>
  <si>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</si>
  <si>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</si>
  <si>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</si>
  <si>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</si>
  <si>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</si>
  <si>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</si>
  <si>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</si>
  <si>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</si>
  <si>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</si>
  <si>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</si>
  <si>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</si>
  <si>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</si>
  <si>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</si>
  <si>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</si>
  <si>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</si>
  <si>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</si>
  <si>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</si>
  <si>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</si>
  <si>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</si>
  <si>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</si>
  <si>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</si>
  <si>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</si>
  <si>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</si>
  <si>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</si>
  <si>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</si>
  <si>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</si>
  <si>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</si>
  <si>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</si>
  <si>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</si>
  <si>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</si>
  <si>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</si>
  <si>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</si>
  <si>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</si>
  <si>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</si>
  <si>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</si>
  <si>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</si>
  <si>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</si>
  <si>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</si>
  <si>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</si>
  <si>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</si>
  <si>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</si>
  <si>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</si>
  <si>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</si>
  <si>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</si>
  <si>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</si>
  <si>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</si>
  <si>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</si>
  <si>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</si>
  <si>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</si>
  <si>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</si>
  <si>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</si>
  <si>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</si>
  <si>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</si>
  <si>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</si>
  <si>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</si>
  <si>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</si>
  <si>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</si>
  <si>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</si>
  <si>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</si>
  <si>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</si>
  <si>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</si>
  <si>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</si>
  <si>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</si>
  <si>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</si>
  <si>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</si>
  <si>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</si>
  <si>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</si>
  <si>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</si>
  <si>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</si>
  <si>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</si>
  <si>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</si>
  <si>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</si>
  <si>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</si>
  <si>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</si>
  <si>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</si>
  <si>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</si>
  <si>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</si>
  <si>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</si>
  <si>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</si>
  <si>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</si>
  <si>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</si>
  <si>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</si>
  <si>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</si>
  <si>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</si>
  <si>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</si>
  <si>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</si>
  <si>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</si>
  <si>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</si>
  <si>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</si>
  <si>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</si>
  <si>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</si>
  <si>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</si>
  <si>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</si>
  <si>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</si>
  <si>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</si>
  <si>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</si>
  <si>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</si>
  <si>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</si>
  <si>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</si>
  <si>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</si>
  <si>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</si>
  <si>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</si>
  <si>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</si>
  <si>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</si>
  <si>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</si>
  <si>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</si>
  <si>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</si>
  <si>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</si>
  <si>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</si>
  <si>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</si>
  <si>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</si>
  <si>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</si>
  <si>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</si>
  <si>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</si>
  <si>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</si>
  <si>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</si>
  <si>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</si>
  <si>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</si>
  <si>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</si>
  <si>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</si>
  <si>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</si>
  <si>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</si>
  <si>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</si>
  <si>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</si>
  <si>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</si>
  <si>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</si>
  <si>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</si>
  <si>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</si>
  <si>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</si>
  <si>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</si>
  <si>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</si>
  <si>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</si>
  <si>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</si>
  <si>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</si>
  <si>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</si>
  <si>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</si>
  <si>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</si>
  <si>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</si>
  <si>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</si>
  <si>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</si>
  <si>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</si>
  <si>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</si>
  <si>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</si>
  <si>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</si>
  <si>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</si>
  <si>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</si>
  <si>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</si>
  <si>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</si>
  <si>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</si>
  <si>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</si>
  <si>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</si>
  <si>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</si>
  <si>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</si>
  <si>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</si>
  <si>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</si>
  <si>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</si>
  <si>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</si>
  <si>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</si>
  <si>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</si>
  <si>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</si>
  <si>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</si>
  <si>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</si>
  <si>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</si>
  <si>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</si>
  <si>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</si>
  <si>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</si>
  <si>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</si>
  <si>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</si>
  <si>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</si>
  <si>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</si>
  <si>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</si>
  <si>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</si>
  <si>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</si>
  <si>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</si>
  <si>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</si>
  <si>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</si>
  <si>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</si>
  <si>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</si>
  <si>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</si>
  <si>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</si>
  <si>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</si>
  <si>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</si>
  <si>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</si>
  <si>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</si>
  <si>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</si>
  <si>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</si>
  <si>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</si>
  <si>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</si>
  <si>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</si>
  <si>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</si>
  <si>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</si>
  <si>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</si>
  <si>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</si>
  <si>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</si>
  <si>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</si>
  <si>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</si>
  <si>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</si>
  <si>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</si>
  <si>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</si>
  <si>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</si>
  <si>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</si>
  <si>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</si>
  <si>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</si>
  <si>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</si>
  <si>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</si>
  <si>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</si>
  <si>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</si>
  <si>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</si>
  <si>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</si>
  <si>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</si>
  <si>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</si>
  <si>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</si>
  <si>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</si>
  <si>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</si>
  <si>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</si>
  <si>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</si>
  <si>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</si>
  <si>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</si>
  <si>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</si>
  <si>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</si>
  <si>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</si>
  <si>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</si>
  <si>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</si>
  <si>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</si>
  <si>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</si>
  <si>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</si>
  <si>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</si>
  <si>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</si>
  <si>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</si>
  <si>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</si>
  <si>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</si>
  <si>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</si>
  <si>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</si>
  <si>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</si>
  <si>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</si>
  <si>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</si>
  <si>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</si>
  <si>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</si>
  <si>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</si>
  <si>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</si>
  <si>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</si>
  <si>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</si>
  <si>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</si>
  <si>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</si>
  <si>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</si>
  <si>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</si>
  <si>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</si>
  <si>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</si>
  <si>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</si>
  <si>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</si>
  <si>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</si>
  <si>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</si>
  <si>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</si>
  <si>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</si>
  <si>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</si>
  <si>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</si>
  <si>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</si>
  <si>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</si>
  <si>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</si>
  <si>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</si>
  <si>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</si>
  <si>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</si>
  <si>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</si>
  <si>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</si>
  <si>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</si>
  <si>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</si>
  <si>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</si>
  <si>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</si>
  <si>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</si>
  <si>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</si>
  <si>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</si>
  <si>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</si>
  <si>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</si>
  <si>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</si>
  <si>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</si>
  <si>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</si>
  <si>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</si>
  <si>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</si>
  <si>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</si>
  <si>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</si>
  <si>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</si>
  <si>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</si>
  <si>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</si>
  <si>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</si>
  <si>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</si>
  <si>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</si>
  <si>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</si>
  <si>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</si>
  <si>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</si>
  <si>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</si>
  <si>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</si>
  <si>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</si>
  <si>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</si>
  <si>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</si>
  <si>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</si>
  <si>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</si>
  <si>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</si>
  <si>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</si>
  <si>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</si>
  <si>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</si>
  <si>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</si>
  <si>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</si>
  <si>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</si>
  <si>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</si>
  <si>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</si>
  <si>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</si>
  <si>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</si>
  <si>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</si>
  <si>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</si>
  <si>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</si>
  <si>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</si>
  <si>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</si>
  <si>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</si>
  <si>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</si>
  <si>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</si>
  <si>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</si>
  <si>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</si>
  <si>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</si>
  <si>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</si>
  <si>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</si>
  <si>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</si>
  <si>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</si>
  <si>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</si>
  <si>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</si>
  <si>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</si>
  <si>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</si>
  <si>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</si>
  <si>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</si>
  <si>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</si>
  <si>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</si>
  <si>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</si>
  <si>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</si>
  <si>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</si>
  <si>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</si>
  <si>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</si>
  <si>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</si>
  <si>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</si>
  <si>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</si>
  <si>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</si>
  <si>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</si>
  <si>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</si>
  <si>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</si>
  <si>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</si>
  <si>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</si>
  <si>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</si>
  <si>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</si>
  <si>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</si>
  <si>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</si>
  <si>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</si>
  <si>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</si>
  <si>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</si>
  <si>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</si>
  <si>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</si>
  <si>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</si>
  <si>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</si>
  <si>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</si>
  <si>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</si>
  <si>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</si>
  <si>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</si>
  <si>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</si>
  <si>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</si>
  <si>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</si>
  <si>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</si>
  <si>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</si>
  <si>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</si>
  <si>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</si>
  <si>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</si>
  <si>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</si>
  <si>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</si>
  <si>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</si>
  <si>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</si>
  <si>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</si>
  <si>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</si>
  <si>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</si>
  <si>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</si>
  <si>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</si>
  <si>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</si>
  <si>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</si>
  <si>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</si>
  <si>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</si>
  <si>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</si>
  <si>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</si>
  <si>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</si>
  <si>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</si>
  <si>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</si>
  <si>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</si>
  <si>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</si>
  <si>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</si>
  <si>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</si>
  <si>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</si>
  <si>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</si>
  <si>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</si>
  <si>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</si>
  <si>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</si>
  <si>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</si>
  <si>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</si>
  <si>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</si>
  <si>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</si>
  <si>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</si>
  <si>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</si>
  <si>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</si>
  <si>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</si>
  <si>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</si>
  <si>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</si>
  <si>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</si>
  <si>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</si>
  <si>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</si>
  <si>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</si>
  <si>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</si>
  <si>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</si>
  <si>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</si>
  <si>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</si>
  <si>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</si>
  <si>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</si>
  <si>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</si>
  <si>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</si>
  <si>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</si>
  <si>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</si>
  <si>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</si>
  <si>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</si>
  <si>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</si>
  <si>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</si>
  <si>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</si>
  <si>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</si>
  <si>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</si>
  <si>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</si>
  <si>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</si>
  <si>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</si>
  <si>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</si>
  <si>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</si>
  <si>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</si>
  <si>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</si>
  <si>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</si>
  <si>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</si>
  <si>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</si>
  <si>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</si>
  <si>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</si>
  <si>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</si>
  <si>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</si>
  <si>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</si>
  <si>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</si>
  <si>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</si>
  <si>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</si>
  <si>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</si>
  <si>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</si>
  <si>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</si>
  <si>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</si>
  <si>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</si>
  <si>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</si>
  <si>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</si>
  <si>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</si>
  <si>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</si>
  <si>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</si>
  <si>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</si>
  <si>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</si>
  <si>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</si>
  <si>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</si>
  <si>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</si>
  <si>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</si>
  <si>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</si>
  <si>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</si>
  <si>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</si>
  <si>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</si>
  <si>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</si>
  <si>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</si>
  <si>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</si>
  <si>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</si>
  <si>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</si>
  <si>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</si>
  <si>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</si>
  <si>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</si>
  <si>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</si>
  <si>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</si>
  <si>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</si>
  <si>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</si>
  <si>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</si>
  <si>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</si>
  <si>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</si>
  <si>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</si>
  <si>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</si>
  <si>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</si>
  <si>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</si>
  <si>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</si>
  <si>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</si>
  <si>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</si>
  <si>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</si>
  <si>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</si>
  <si>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</si>
  <si>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</si>
  <si>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</si>
  <si>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</si>
  <si>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</si>
  <si>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</si>
  <si>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</si>
  <si>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</si>
  <si>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</si>
  <si>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</si>
  <si>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</si>
  <si>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</si>
  <si>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</si>
  <si>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</si>
  <si>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</si>
  <si>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</si>
  <si>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</si>
  <si>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</si>
  <si>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</si>
  <si>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</si>
  <si>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</si>
  <si>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</si>
  <si>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</si>
  <si>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</si>
  <si>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</si>
  <si>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</si>
  <si>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</si>
  <si>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</si>
  <si>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</si>
  <si>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</si>
  <si>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</si>
  <si>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</si>
  <si>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</si>
  <si>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</si>
  <si>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</si>
  <si>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</si>
  <si>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</si>
  <si>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</si>
  <si>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</si>
  <si>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</si>
  <si>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</si>
  <si>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</si>
  <si>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</si>
  <si>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</si>
  <si>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</si>
  <si>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</si>
  <si>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</si>
  <si>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</si>
  <si>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</si>
  <si>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</si>
  <si>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</si>
  <si>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</si>
  <si>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</si>
  <si>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</si>
  <si>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</si>
  <si>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</si>
  <si>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</si>
  <si>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</si>
  <si>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</si>
  <si>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</si>
  <si>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</si>
  <si>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</si>
  <si>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</si>
  <si>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</si>
  <si>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</si>
  <si>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</si>
  <si>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</si>
  <si>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</si>
  <si>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</si>
  <si>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</si>
  <si>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</si>
  <si>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</si>
  <si>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</si>
  <si>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</si>
  <si>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</si>
  <si>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</si>
  <si>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</si>
  <si>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</si>
  <si>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</si>
  <si>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</si>
  <si>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</si>
  <si>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</si>
  <si>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</si>
  <si>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</si>
  <si>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</si>
  <si>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</si>
  <si>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</si>
  <si>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</si>
  <si>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</si>
  <si>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</si>
  <si>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</si>
  <si>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</si>
  <si>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</si>
  <si>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</si>
  <si>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</si>
  <si>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</si>
  <si>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</si>
  <si>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</si>
  <si>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</si>
  <si>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</si>
  <si>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</si>
  <si>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</si>
  <si>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</si>
  <si>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</si>
  <si>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</si>
  <si>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</si>
  <si>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</si>
  <si>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</si>
  <si>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</si>
  <si>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</si>
  <si>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</si>
  <si>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</si>
  <si>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</si>
  <si>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</si>
  <si>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</si>
  <si>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</si>
  <si>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</si>
  <si>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</si>
  <si>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</si>
  <si>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</si>
  <si>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</si>
  <si>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</si>
  <si>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</si>
  <si>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</si>
  <si>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</si>
  <si>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</si>
  <si>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</si>
  <si>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</si>
  <si>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</si>
  <si>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</si>
  <si>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</si>
  <si>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</si>
  <si>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</si>
  <si>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</si>
  <si>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</si>
  <si>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</si>
  <si>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</si>
  <si>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</si>
  <si>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</si>
  <si>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</si>
  <si>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</si>
  <si>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</si>
  <si>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</si>
  <si>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</si>
  <si>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</si>
  <si>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</si>
  <si>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</si>
  <si>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</si>
  <si>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</si>
  <si>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</si>
  <si>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</si>
  <si>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</si>
  <si>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</si>
  <si>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</si>
  <si>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</si>
  <si>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</si>
  <si>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</si>
  <si>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</si>
  <si>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</si>
  <si>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</si>
  <si>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</si>
  <si>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</si>
  <si>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</si>
  <si>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</si>
  <si>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</si>
  <si>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</si>
  <si>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</si>
  <si>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</si>
  <si>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</si>
  <si>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</si>
  <si>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</si>
  <si>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</si>
  <si>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</si>
  <si>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</si>
  <si>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</si>
  <si>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</si>
  <si>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</si>
  <si>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</si>
  <si>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</si>
  <si>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</si>
  <si>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</si>
  <si>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</si>
  <si>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</si>
  <si>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</si>
  <si>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</si>
  <si>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</si>
  <si>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</si>
  <si>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</si>
  <si>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</si>
  <si>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</si>
  <si>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</si>
  <si>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</si>
  <si>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</si>
  <si>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</si>
  <si>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</si>
  <si>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</si>
  <si>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</si>
  <si>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</si>
  <si>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</si>
  <si>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</si>
  <si>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</si>
  <si>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</si>
  <si>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</si>
  <si>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</si>
  <si>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</si>
  <si>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</si>
  <si>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</si>
  <si>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</si>
  <si>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</si>
  <si>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</si>
  <si>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</si>
  <si>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</si>
  <si>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</si>
  <si>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</si>
  <si>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</si>
  <si>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</si>
  <si>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</si>
  <si>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</si>
  <si>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</si>
  <si>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</si>
  <si>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</si>
  <si>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</si>
  <si>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</si>
  <si>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</si>
  <si>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</si>
  <si>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</si>
  <si>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</si>
  <si>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</si>
  <si>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</si>
  <si>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</si>
  <si>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</si>
  <si>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</si>
  <si>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</si>
  <si>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</si>
  <si>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</si>
  <si>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</si>
  <si>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</si>
  <si>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</si>
  <si>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</si>
  <si>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</si>
  <si>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</si>
  <si>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</si>
  <si>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</si>
  <si>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</si>
  <si>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</si>
  <si>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</si>
  <si>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</si>
  <si>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</si>
  <si>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</si>
  <si>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</si>
  <si>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</si>
  <si>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</si>
  <si>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</si>
  <si>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</si>
  <si>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</si>
  <si>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</si>
  <si>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</si>
  <si>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</si>
  <si>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</si>
  <si>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</si>
  <si>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</si>
  <si>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</si>
  <si>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</si>
  <si>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</si>
  <si>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</si>
  <si>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</si>
  <si>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</si>
  <si>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</si>
  <si>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</si>
  <si>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</si>
  <si>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</si>
  <si>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</si>
  <si>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</si>
  <si>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</si>
  <si>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</si>
  <si>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</si>
  <si>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</si>
  <si>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</si>
  <si>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</si>
  <si>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</si>
  <si>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</si>
  <si>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</si>
  <si>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</si>
  <si>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</si>
  <si>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</si>
  <si>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</si>
  <si>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</si>
  <si>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</si>
  <si>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</si>
  <si>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</si>
  <si>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</si>
  <si>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</si>
  <si>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</si>
  <si>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</si>
  <si>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</si>
  <si>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</si>
  <si>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</si>
  <si>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</si>
  <si>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</si>
  <si>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</si>
  <si>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</si>
  <si>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</si>
  <si>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</si>
  <si>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</si>
  <si>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</si>
  <si>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</si>
  <si>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</si>
  <si>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</si>
  <si>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</si>
  <si>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</si>
  <si>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</si>
  <si>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</si>
  <si>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</si>
  <si>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</si>
  <si>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</si>
  <si>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</si>
  <si>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</si>
  <si>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</si>
  <si>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</si>
  <si>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</si>
  <si>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</si>
  <si>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</si>
  <si>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</si>
  <si>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</si>
  <si>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</si>
  <si>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</si>
  <si>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</si>
  <si>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</si>
  <si>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</si>
  <si>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</si>
  <si>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</si>
  <si>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</si>
  <si>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</si>
  <si>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</si>
  <si>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</si>
  <si>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</si>
  <si>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</si>
  <si>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</si>
  <si>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</si>
  <si>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</si>
  <si>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</si>
  <si>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</si>
  <si>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</si>
  <si>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</si>
  <si>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</si>
  <si>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</si>
  <si>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</si>
  <si>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</si>
  <si>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</si>
  <si>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</si>
  <si>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</si>
  <si>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</si>
  <si>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</si>
  <si>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</si>
  <si>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</si>
  <si>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</si>
  <si>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</si>
  <si>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</si>
  <si>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</si>
  <si>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</si>
  <si>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</si>
  <si>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</si>
  <si>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</si>
  <si>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</si>
  <si>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</si>
  <si>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</si>
  <si>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</si>
  <si>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</si>
  <si>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</si>
  <si>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</si>
  <si>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</si>
  <si>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</si>
  <si>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</si>
  <si>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</si>
  <si>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</si>
  <si>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</si>
  <si>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</si>
  <si>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</si>
  <si>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</si>
  <si>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</si>
  <si>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</si>
  <si>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</si>
  <si>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</si>
  <si>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</si>
  <si>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</si>
  <si>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</si>
  <si>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</si>
  <si>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</si>
  <si>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</si>
  <si>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</si>
  <si>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</si>
  <si>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</si>
  <si>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</si>
  <si>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</si>
  <si>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</si>
  <si>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</si>
  <si>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</si>
  <si>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</si>
  <si>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</si>
  <si>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</si>
  <si>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</si>
  <si>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</si>
  <si>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</si>
  <si>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</si>
  <si>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</si>
  <si>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</si>
  <si>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</si>
  <si>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</si>
  <si>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</si>
  <si>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</si>
  <si>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</si>
  <si>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</si>
  <si>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</si>
  <si>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</si>
  <si>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</si>
  <si>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</si>
  <si>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</si>
  <si>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</si>
  <si>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</si>
  <si>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</si>
  <si>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</si>
  <si>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</si>
  <si>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</si>
  <si>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</si>
  <si>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</si>
  <si>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</si>
  <si>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</si>
  <si>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</si>
  <si>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</si>
  <si>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</si>
  <si>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</si>
  <si>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</si>
  <si>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</si>
  <si>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</si>
  <si>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</si>
  <si>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</si>
  <si>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</si>
  <si>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</si>
  <si>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</si>
  <si>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</si>
  <si>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</si>
  <si>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</si>
  <si>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</si>
  <si>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</si>
  <si>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</si>
  <si>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</si>
  <si>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</si>
  <si>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</si>
  <si>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</si>
  <si>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</si>
  <si>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</si>
  <si>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</si>
  <si>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</si>
  <si>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</si>
  <si>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</si>
  <si>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</si>
  <si>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</si>
  <si>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</si>
  <si>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</si>
  <si>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</si>
  <si>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</si>
  <si>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</si>
  <si>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</si>
  <si>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</si>
  <si>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</si>
  <si>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</si>
  <si>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</si>
  <si>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</si>
  <si>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</si>
  <si>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</si>
  <si>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</si>
  <si>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</si>
  <si>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</si>
  <si>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</si>
  <si>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</si>
  <si>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</si>
  <si>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</si>
  <si>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</si>
  <si>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</si>
  <si>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</si>
  <si>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</si>
  <si>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</si>
  <si>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</si>
  <si>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</si>
  <si>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</si>
  <si>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</si>
  <si>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</si>
  <si>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</si>
  <si>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</si>
  <si>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</si>
  <si>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</si>
  <si>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</si>
  <si>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</si>
  <si>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</si>
  <si>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</si>
  <si>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</si>
  <si>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</si>
  <si>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</si>
  <si>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</si>
  <si>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</si>
  <si>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</si>
  <si>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</si>
  <si>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</si>
  <si>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</si>
  <si>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</si>
  <si>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</si>
  <si>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</si>
  <si>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</si>
  <si>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</si>
  <si>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</si>
  <si>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</si>
  <si>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</si>
  <si>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</si>
  <si>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</si>
  <si>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</si>
  <si>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</si>
  <si>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</si>
  <si>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</si>
  <si>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</si>
  <si>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</si>
  <si>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</si>
  <si>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</si>
  <si>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</si>
  <si>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</si>
  <si>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</si>
  <si>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</si>
  <si>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</si>
  <si>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</si>
  <si>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</si>
  <si>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</si>
  <si>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</si>
  <si>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</si>
  <si>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</si>
  <si>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</si>
  <si>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</si>
  <si>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</si>
  <si>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</si>
  <si>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</si>
  <si>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</si>
  <si>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</si>
  <si>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</si>
  <si>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</si>
  <si>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</si>
  <si>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</si>
  <si>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</si>
  <si>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</si>
  <si>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</si>
  <si>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</si>
  <si>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</si>
  <si>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</si>
  <si>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</si>
  <si>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</si>
  <si>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</si>
  <si>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</si>
  <si>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</si>
  <si>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</si>
  <si>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</si>
  <si>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</si>
  <si>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</si>
  <si>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</si>
  <si>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</si>
  <si>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</si>
  <si>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</si>
  <si>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</si>
  <si>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</si>
  <si>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</si>
  <si>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</si>
  <si>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</si>
  <si>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</si>
  <si>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</si>
  <si>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</si>
  <si>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</si>
  <si>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</si>
  <si>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</si>
  <si>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</si>
  <si>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</si>
  <si>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</si>
  <si>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</si>
  <si>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</si>
  <si>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</si>
  <si>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</si>
  <si>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</si>
  <si>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</si>
  <si>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</si>
  <si>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</si>
  <si>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</si>
  <si>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</si>
  <si>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</si>
  <si>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</si>
  <si>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</si>
  <si>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</si>
  <si>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</si>
  <si>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</si>
  <si>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</si>
  <si>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</si>
  <si>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</si>
  <si>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</si>
  <si>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</si>
  <si>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</si>
  <si>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</si>
  <si>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</si>
  <si>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</si>
  <si>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</si>
  <si>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</si>
  <si>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</si>
  <si>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</si>
  <si>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</si>
  <si>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</si>
  <si>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</si>
  <si>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</si>
  <si>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</si>
  <si>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</si>
  <si>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</si>
  <si>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</si>
  <si>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</si>
  <si>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</si>
  <si>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</si>
  <si>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</si>
  <si>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</si>
  <si>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</si>
  <si>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</si>
  <si>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</si>
  <si>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</si>
  <si>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</si>
  <si>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</si>
  <si>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</si>
  <si>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</si>
  <si>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</si>
  <si>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</si>
  <si>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</si>
  <si>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</si>
  <si>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</si>
  <si>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</si>
  <si>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</si>
  <si>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</si>
  <si>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</si>
  <si>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</si>
  <si>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</si>
  <si>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</si>
  <si>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</si>
  <si>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</si>
  <si>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</si>
  <si>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</si>
  <si>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</si>
  <si>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</si>
  <si>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</si>
  <si>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</si>
  <si>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</si>
  <si>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</si>
  <si>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</si>
  <si>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</si>
  <si>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</si>
  <si>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</si>
  <si>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</si>
  <si>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</si>
  <si>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</si>
  <si>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</si>
  <si>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</si>
  <si>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</si>
  <si>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</si>
  <si>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</si>
  <si>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</si>
  <si>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</si>
  <si>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</si>
  <si>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</si>
  <si>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</si>
  <si>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</si>
  <si>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</si>
  <si>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</si>
  <si>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</si>
  <si>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</si>
  <si>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</si>
  <si>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</si>
  <si>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</si>
  <si>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</si>
  <si>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</si>
  <si>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</si>
  <si>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</si>
  <si>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</si>
  <si>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</si>
  <si>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</si>
  <si>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</si>
  <si>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</si>
  <si>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</si>
  <si>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</si>
  <si>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</si>
  <si>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</si>
  <si>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</si>
  <si>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</si>
  <si>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</si>
  <si>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</si>
  <si>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</si>
  <si>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</si>
  <si>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</si>
  <si>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</si>
  <si>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</si>
  <si>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</si>
  <si>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</si>
  <si>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</si>
  <si>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</si>
  <si>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</si>
  <si>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</si>
  <si>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</si>
  <si>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</si>
  <si>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</si>
  <si>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</si>
  <si>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</si>
  <si>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</si>
  <si>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</si>
  <si>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</si>
  <si>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</si>
  <si>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</si>
  <si>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</si>
  <si>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</si>
  <si>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</si>
  <si>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</si>
  <si>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</si>
  <si>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</si>
  <si>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</si>
  <si>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</si>
  <si>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</si>
  <si>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</si>
  <si>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</si>
  <si>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</si>
  <si>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</si>
  <si>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</si>
  <si>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</si>
  <si>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</si>
  <si>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</si>
  <si>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</si>
  <si>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</si>
  <si>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</si>
  <si>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</si>
  <si>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</si>
  <si>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</si>
  <si>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</si>
  <si>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</si>
  <si>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</si>
  <si>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</si>
  <si>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</si>
  <si>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</si>
  <si>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</si>
  <si>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</si>
  <si>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</si>
  <si>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</si>
  <si>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</si>
  <si>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</si>
  <si>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</si>
  <si>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</si>
  <si>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</si>
  <si>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</si>
  <si>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</si>
  <si>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</si>
  <si>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</si>
  <si>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</si>
  <si>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</si>
  <si>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</si>
  <si>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</si>
  <si>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</si>
  <si>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</si>
  <si>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</si>
  <si>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</si>
  <si>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</si>
  <si>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</si>
  <si>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</si>
  <si>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</si>
  <si>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</si>
  <si>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</si>
  <si>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</si>
  <si>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</si>
  <si>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</si>
  <si>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</si>
  <si>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</si>
  <si>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</si>
  <si>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</si>
  <si>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</si>
  <si>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</si>
  <si>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</si>
  <si>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</si>
  <si>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</si>
  <si>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</si>
  <si>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</si>
  <si>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</si>
  <si>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</si>
  <si>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</si>
  <si>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</si>
  <si>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</si>
  <si>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</si>
  <si>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</si>
  <si>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</si>
  <si>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</si>
  <si>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</si>
  <si>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</si>
  <si>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</si>
  <si>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</si>
  <si>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</si>
  <si>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</si>
  <si>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</si>
  <si>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</si>
  <si>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</si>
  <si>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</si>
  <si>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</si>
  <si>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</si>
  <si>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</si>
  <si>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</si>
  <si>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</si>
  <si>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</si>
  <si>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</si>
  <si>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</si>
  <si>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</si>
  <si>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</si>
  <si>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</si>
  <si>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</si>
  <si>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</si>
  <si>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</si>
  <si>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</si>
  <si>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</si>
  <si>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</si>
  <si>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</si>
  <si>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</si>
  <si>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</si>
  <si>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</si>
  <si>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</si>
  <si>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</si>
  <si>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</si>
  <si>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</si>
  <si>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</si>
  <si>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</si>
  <si>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</si>
  <si>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</si>
  <si>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</si>
  <si>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</si>
  <si>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</si>
  <si>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</si>
  <si>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</si>
  <si>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</si>
  <si>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</si>
  <si>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</si>
  <si>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</si>
  <si>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</si>
  <si>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</si>
  <si>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</si>
  <si>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</si>
  <si>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</si>
  <si>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</si>
  <si>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</si>
  <si>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</si>
  <si>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</si>
  <si>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</si>
  <si>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</si>
  <si>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</si>
  <si>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</si>
  <si>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</si>
  <si>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</si>
  <si>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</si>
  <si>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</si>
  <si>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</si>
  <si>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</si>
  <si>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</si>
  <si>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</si>
  <si>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</si>
  <si>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</si>
  <si>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</si>
  <si>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</si>
  <si>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</si>
  <si>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</si>
  <si>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</si>
  <si>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</si>
  <si>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</si>
  <si>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</si>
  <si>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</si>
  <si>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</si>
  <si>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</si>
  <si>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</si>
  <si>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</si>
  <si>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</si>
  <si>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</si>
  <si>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</si>
  <si>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</si>
  <si>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</si>
  <si>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</si>
  <si>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</si>
  <si>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</si>
  <si>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</si>
  <si>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</si>
  <si>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</si>
  <si>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</si>
  <si>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</si>
  <si>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</si>
  <si>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</si>
  <si>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</si>
  <si>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</si>
  <si>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</si>
  <si>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</si>
  <si>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</si>
  <si>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</si>
  <si>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</si>
  <si>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</si>
  <si>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</si>
  <si>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</si>
  <si>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</si>
  <si>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</si>
  <si>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</si>
  <si>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</si>
  <si>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</si>
  <si>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</si>
  <si>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</si>
  <si>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</si>
  <si>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</si>
  <si>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</si>
  <si>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</si>
  <si>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</si>
  <si>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</si>
  <si>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</si>
  <si>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</si>
  <si>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</si>
  <si>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</si>
  <si>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</si>
  <si>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</si>
  <si>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</si>
  <si>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</si>
  <si>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</si>
  <si>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</si>
  <si>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</si>
  <si>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</si>
  <si>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</si>
  <si>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</si>
  <si>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</si>
  <si>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</si>
  <si>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</si>
  <si>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</si>
  <si>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</si>
  <si>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</si>
  <si>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</si>
  <si>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</si>
  <si>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</si>
  <si>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</si>
  <si>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</si>
  <si>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</si>
  <si>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</si>
  <si>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</si>
  <si>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</si>
  <si>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</si>
  <si>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</si>
  <si>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</si>
  <si>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</si>
  <si>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</si>
  <si>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</si>
  <si>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</si>
  <si>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</si>
  <si>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</si>
  <si>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</si>
  <si>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</si>
  <si>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</si>
  <si>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</si>
  <si>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</si>
  <si>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</si>
  <si>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</si>
  <si>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</si>
  <si>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</si>
  <si>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</si>
  <si>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</si>
  <si>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</si>
  <si>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</si>
  <si>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</si>
  <si>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</si>
  <si>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</si>
  <si>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</si>
  <si>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</si>
  <si>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</si>
  <si>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</si>
  <si>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</si>
  <si>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</si>
  <si>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</si>
  <si>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</si>
  <si>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</si>
  <si>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</si>
  <si>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</si>
  <si>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</si>
  <si>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</si>
  <si>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</si>
  <si>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</si>
  <si>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</si>
  <si>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</si>
  <si>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</si>
  <si>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</si>
  <si>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</si>
  <si>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</si>
  <si>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</si>
  <si>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</si>
  <si>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</si>
  <si>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</si>
  <si>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</si>
  <si>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</si>
  <si>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</si>
  <si>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</si>
  <si>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</si>
  <si>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</si>
  <si>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</si>
  <si>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</si>
  <si>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</si>
  <si>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</si>
  <si>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</si>
  <si>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</si>
  <si>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</si>
  <si>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</si>
  <si>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</si>
  <si>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</si>
  <si>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</si>
  <si>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</si>
  <si>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</si>
  <si>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</si>
  <si>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</si>
  <si>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</si>
  <si>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</si>
  <si>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</si>
  <si>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</si>
  <si>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</si>
  <si>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</si>
  <si>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</si>
  <si>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</si>
  <si>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</si>
  <si>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</si>
  <si>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</si>
  <si>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</si>
  <si>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</si>
  <si>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</si>
  <si>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</si>
  <si>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</si>
  <si>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</si>
  <si>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</si>
  <si>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</si>
  <si>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</si>
  <si>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</si>
  <si>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</si>
  <si>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</si>
  <si>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</si>
  <si>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</si>
  <si>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</si>
  <si>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</si>
  <si>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</si>
  <si>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</si>
  <si>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</si>
  <si>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</si>
  <si>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</si>
  <si>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</si>
  <si>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</si>
  <si>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</si>
  <si>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</si>
  <si>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</si>
  <si>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</si>
  <si>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</si>
  <si>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</si>
  <si>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</si>
  <si>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</si>
  <si>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</si>
  <si>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</si>
  <si>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</si>
  <si>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</si>
  <si>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</si>
  <si>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</si>
  <si>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</si>
  <si>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</si>
  <si>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</si>
  <si>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</si>
  <si>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</si>
  <si>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</si>
  <si>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</si>
  <si>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</si>
  <si>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</si>
  <si>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</si>
  <si>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</si>
  <si>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</si>
  <si>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</si>
  <si>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</si>
  <si>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</si>
  <si>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</si>
  <si>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</si>
  <si>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</si>
  <si>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</si>
  <si>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</si>
  <si>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</si>
  <si>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</si>
  <si>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</si>
  <si>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</si>
  <si>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</si>
  <si>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</si>
  <si>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</si>
  <si>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</si>
  <si>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</si>
  <si>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</si>
  <si>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</si>
  <si>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</si>
  <si>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</si>
  <si>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</si>
  <si>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</si>
  <si>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</si>
  <si>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</si>
  <si>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</si>
  <si>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</si>
  <si>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</si>
  <si>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</si>
  <si>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</si>
  <si>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</si>
  <si>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</si>
  <si>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</si>
  <si>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</si>
  <si>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</si>
  <si>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</si>
  <si>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</si>
  <si>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</si>
  <si>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</si>
  <si>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</si>
  <si>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</si>
  <si>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</si>
  <si>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</si>
  <si>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</si>
  <si>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</si>
  <si>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</si>
  <si>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</si>
  <si>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</si>
  <si>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</si>
  <si>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</si>
  <si>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</si>
  <si>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</si>
  <si>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</si>
  <si>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</si>
  <si>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</si>
  <si>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</si>
  <si>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</si>
  <si>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</si>
  <si>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</si>
  <si>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</si>
  <si>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</si>
  <si>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</si>
  <si>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</si>
  <si>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</si>
  <si>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</si>
  <si>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</si>
  <si>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</si>
  <si>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</si>
  <si>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</si>
  <si>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</si>
  <si>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</si>
  <si>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</si>
  <si>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</si>
  <si>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</si>
  <si>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</si>
  <si>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</si>
  <si>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</si>
  <si>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</si>
  <si>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</si>
  <si>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</si>
  <si>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</si>
  <si>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</si>
  <si>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</si>
  <si>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</si>
  <si>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</si>
  <si>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</si>
  <si>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</si>
  <si>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</si>
  <si>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</si>
  <si>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</si>
  <si>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</si>
  <si>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</si>
  <si>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</si>
  <si>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</si>
  <si>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</si>
  <si>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</si>
  <si>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</si>
  <si>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</si>
  <si>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</si>
  <si>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</si>
  <si>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</si>
  <si>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</si>
  <si>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</si>
  <si>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</si>
  <si>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</si>
  <si>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</si>
  <si>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</si>
  <si>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</si>
  <si>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</si>
  <si>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</si>
  <si>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</si>
  <si>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</si>
  <si>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</si>
  <si>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</si>
  <si>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</si>
  <si>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</si>
  <si>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</si>
  <si>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</si>
  <si>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</si>
  <si>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</si>
  <si>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</si>
  <si>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</si>
  <si>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</si>
  <si>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</si>
  <si>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</si>
  <si>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</si>
  <si>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</si>
  <si>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</si>
  <si>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</si>
  <si>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</si>
  <si>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</si>
  <si>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</si>
  <si>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</si>
  <si>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</si>
  <si>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</si>
  <si>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</si>
  <si>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</si>
  <si>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</si>
  <si>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</si>
  <si>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</si>
  <si>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</si>
  <si>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</si>
  <si>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</si>
  <si>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</si>
  <si>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</si>
  <si>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</si>
  <si>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</si>
  <si>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</si>
  <si>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</si>
  <si>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</si>
  <si>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</si>
  <si>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</si>
  <si>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</si>
  <si>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</si>
  <si>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</si>
  <si>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</si>
  <si>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</si>
  <si>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</si>
  <si>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</si>
  <si>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</si>
  <si>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</si>
  <si>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</si>
  <si>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</si>
  <si>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</si>
  <si>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</si>
  <si>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</si>
  <si>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</si>
  <si>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</si>
  <si>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</si>
  <si>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</si>
  <si>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</si>
  <si>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</si>
  <si>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</si>
  <si>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</si>
  <si>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</si>
  <si>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</si>
  <si>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</si>
  <si>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</si>
  <si>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</si>
  <si>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</si>
  <si>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</si>
  <si>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</si>
  <si>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</si>
  <si>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</si>
  <si>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</si>
  <si>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</si>
  <si>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</si>
  <si>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</si>
  <si>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</si>
  <si>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</si>
  <si>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</si>
  <si>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</si>
  <si>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</si>
  <si>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</si>
  <si>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</si>
  <si>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</si>
  <si>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</si>
  <si>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</si>
  <si>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</si>
  <si>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</si>
  <si>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</si>
  <si>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</si>
  <si>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</si>
  <si>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</si>
  <si>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</si>
  <si>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</si>
  <si>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</si>
  <si>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</si>
  <si>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</si>
  <si>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</si>
  <si>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</si>
  <si>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</si>
  <si>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</si>
  <si>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</si>
  <si>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</si>
  <si>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</si>
  <si>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</si>
  <si>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</si>
  <si>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</si>
  <si>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</si>
  <si>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</si>
  <si>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</si>
  <si>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</si>
  <si>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</si>
  <si>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</si>
  <si>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</si>
  <si>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</si>
  <si>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</si>
  <si>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</si>
  <si>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</si>
  <si>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</si>
  <si>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</si>
  <si>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</si>
  <si>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</si>
  <si>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</si>
  <si>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</si>
  <si>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</si>
  <si>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</si>
  <si>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</si>
  <si>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</si>
  <si>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</si>
  <si>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</si>
  <si>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</si>
  <si>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</si>
  <si>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</si>
  <si>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</si>
  <si>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</si>
  <si>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</si>
  <si>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</si>
  <si>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</si>
  <si>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</si>
  <si>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</si>
  <si>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</si>
  <si>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</si>
  <si>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</si>
  <si>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</si>
  <si>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</si>
  <si>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</si>
  <si>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</si>
  <si>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</si>
  <si>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</si>
  <si>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</si>
  <si>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</si>
  <si>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</si>
  <si>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</si>
  <si>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</si>
  <si>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</si>
  <si>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</si>
  <si>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</si>
  <si>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</si>
  <si>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</si>
  <si>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</si>
  <si>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</si>
  <si>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</si>
  <si>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</si>
  <si>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</si>
  <si>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</si>
  <si>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</si>
  <si>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</si>
  <si>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</si>
  <si>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</si>
  <si>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</si>
  <si>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</si>
  <si>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</si>
  <si>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</si>
  <si>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</si>
  <si>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</si>
  <si>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</si>
  <si>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</si>
  <si>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</si>
  <si>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</si>
  <si>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</si>
  <si>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</si>
  <si>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</si>
  <si>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</si>
  <si>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</si>
  <si>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</si>
  <si>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</si>
  <si>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</si>
  <si>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</si>
  <si>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</si>
  <si>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</si>
  <si>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</si>
  <si>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</si>
  <si>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</si>
  <si>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</si>
  <si>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</si>
  <si>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</si>
  <si>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</si>
  <si>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</si>
  <si>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</si>
  <si>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</si>
  <si>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</si>
  <si>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</si>
  <si>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</si>
  <si>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</si>
  <si>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</si>
  <si>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</si>
  <si>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</si>
  <si>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</si>
  <si>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</si>
  <si>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</si>
  <si>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</si>
  <si>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</si>
  <si>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</si>
  <si>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</si>
  <si>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</si>
  <si>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</si>
  <si>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</si>
  <si>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</si>
  <si>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</si>
  <si>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</si>
  <si>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</si>
  <si>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</si>
  <si>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</si>
  <si>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</si>
  <si>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</si>
  <si>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</si>
  <si>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</si>
  <si>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</si>
  <si>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</si>
  <si>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</si>
  <si>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</si>
  <si>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</si>
  <si>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</si>
  <si>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</si>
  <si>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</si>
  <si>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</si>
  <si>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</si>
  <si>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</si>
  <si>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</si>
  <si>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</si>
  <si>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</si>
  <si>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</si>
  <si>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</si>
  <si>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</si>
  <si>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</si>
  <si>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</si>
  <si>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</si>
  <si>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</si>
  <si>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</si>
  <si>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</si>
  <si>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</si>
  <si>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</si>
  <si>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</si>
  <si>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</si>
  <si>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</si>
  <si>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</si>
  <si>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</si>
  <si>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</si>
  <si>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</si>
  <si>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</si>
  <si>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</si>
  <si>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</si>
  <si>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</si>
  <si>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</si>
  <si>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</si>
  <si>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</si>
  <si>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</si>
  <si>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</si>
  <si>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</si>
  <si>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</si>
  <si>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</si>
  <si>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</si>
  <si>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</si>
  <si>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</si>
  <si>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</si>
  <si>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</si>
  <si>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</si>
  <si>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</si>
  <si>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</si>
  <si>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</si>
  <si>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</si>
  <si>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</si>
  <si>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</si>
  <si>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</si>
  <si>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</si>
  <si>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</si>
  <si>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</si>
  <si>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</si>
  <si>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</si>
  <si>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</si>
  <si>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</si>
  <si>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</si>
  <si>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</si>
  <si>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</si>
  <si>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</si>
  <si>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</si>
  <si>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</si>
  <si>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</si>
  <si>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</si>
  <si>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</si>
  <si>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</si>
  <si>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</si>
  <si>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</si>
  <si>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</si>
  <si>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</si>
  <si>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</si>
  <si>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</si>
  <si>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</si>
  <si>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</si>
  <si>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</si>
  <si>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</si>
  <si>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</si>
  <si>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</si>
  <si>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</si>
  <si>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</si>
  <si>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</si>
  <si>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</si>
  <si>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</si>
  <si>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</si>
  <si>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</si>
  <si>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</si>
  <si>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</si>
  <si>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</si>
  <si>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</si>
  <si>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</si>
  <si>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</si>
  <si>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</si>
  <si>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</si>
  <si>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</si>
  <si>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</si>
  <si>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</si>
  <si>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</si>
  <si>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</si>
  <si>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</si>
  <si>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</si>
  <si>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</si>
  <si>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</si>
  <si>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</si>
  <si>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</si>
  <si>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</si>
  <si>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</si>
  <si>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</si>
  <si>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</si>
  <si>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</si>
  <si>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</si>
  <si>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</si>
  <si>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</si>
  <si>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</si>
  <si>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</si>
  <si>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</si>
  <si>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</si>
  <si>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</si>
  <si>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</si>
  <si>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</si>
  <si>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</si>
  <si>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</si>
  <si>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</si>
  <si>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</si>
  <si>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</si>
  <si>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</si>
  <si>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</si>
  <si>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</si>
  <si>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</si>
  <si>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</si>
  <si>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</si>
  <si>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</si>
  <si>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</si>
  <si>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</si>
  <si>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</si>
  <si>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</si>
  <si>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</si>
  <si>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</si>
  <si>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</si>
  <si>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</si>
  <si>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</si>
  <si>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</si>
  <si>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</si>
  <si>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</si>
  <si>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</si>
  <si>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</si>
  <si>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</si>
  <si>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</si>
  <si>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</si>
  <si>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</si>
  <si>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</si>
  <si>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</si>
  <si>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</si>
  <si>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</si>
  <si>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</si>
  <si>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</si>
  <si>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</si>
  <si>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</si>
  <si>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</si>
  <si>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</si>
  <si>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</si>
  <si>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</si>
  <si>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</si>
  <si>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</si>
  <si>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</si>
  <si>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</si>
  <si>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</si>
  <si>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</si>
  <si>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</si>
  <si>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</si>
  <si>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</si>
  <si>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</si>
  <si>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</si>
  <si>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</si>
  <si>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</si>
  <si>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</si>
  <si>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</si>
  <si>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</si>
  <si>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</si>
  <si>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</si>
  <si>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</si>
  <si>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</si>
  <si>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</si>
  <si>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</si>
  <si>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</si>
  <si>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</si>
  <si>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</si>
  <si>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</si>
  <si>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</si>
  <si>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</si>
  <si>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</si>
  <si>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</si>
  <si>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</si>
  <si>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</si>
  <si>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</si>
  <si>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</si>
  <si>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</si>
  <si>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</si>
  <si>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</si>
  <si>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</si>
  <si>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</si>
  <si>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</si>
  <si>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</si>
  <si>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</si>
  <si>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</si>
  <si>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</si>
  <si>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</si>
  <si>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</si>
  <si>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</si>
  <si>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</si>
  <si>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</si>
  <si>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</si>
  <si>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</si>
  <si>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</si>
  <si>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</si>
  <si>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</si>
  <si>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</si>
  <si>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</si>
  <si>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</si>
  <si>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</si>
  <si>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</si>
  <si>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</si>
  <si>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</si>
  <si>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</si>
  <si>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</si>
  <si>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</si>
  <si>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</si>
  <si>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</si>
  <si>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</si>
  <si>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</si>
  <si>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</si>
  <si>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</si>
  <si>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</si>
  <si>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</si>
  <si>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</si>
  <si>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</si>
  <si>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</si>
  <si>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</si>
  <si>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</si>
  <si>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</si>
  <si>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</si>
  <si>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</si>
  <si>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</si>
  <si>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</si>
  <si>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</si>
  <si>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</si>
  <si>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</si>
  <si>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</si>
  <si>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</si>
  <si>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</si>
  <si>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</si>
  <si>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</si>
  <si>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</si>
  <si>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</si>
  <si>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</si>
  <si>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</si>
  <si>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</si>
  <si>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</si>
  <si>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</si>
  <si>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</si>
  <si>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</si>
  <si>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</si>
  <si>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</si>
  <si>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</si>
  <si>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</si>
  <si>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</si>
  <si>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</si>
  <si>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</si>
  <si>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</si>
  <si>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</si>
  <si>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</si>
  <si>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</si>
  <si>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</si>
  <si>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</si>
  <si>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</si>
  <si>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</si>
  <si>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</si>
  <si>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</si>
  <si>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</si>
  <si>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</si>
  <si>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</si>
  <si>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</si>
  <si>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</si>
  <si>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</si>
  <si>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</si>
  <si>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</si>
  <si>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</si>
  <si>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</si>
  <si>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</si>
  <si>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</si>
  <si>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</si>
  <si>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</si>
  <si>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</si>
  <si>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</si>
  <si>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</si>
  <si>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</si>
  <si>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</si>
  <si>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</si>
  <si>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</si>
  <si>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</si>
  <si>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</si>
  <si>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</si>
  <si>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</si>
  <si>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</si>
  <si>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</si>
  <si>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</si>
  <si>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</si>
  <si>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</si>
  <si>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</si>
  <si>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</si>
  <si>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</si>
  <si>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</si>
  <si>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</si>
  <si>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</si>
  <si>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</si>
  <si>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</si>
  <si>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</si>
  <si>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</si>
  <si>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</si>
  <si>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</si>
  <si>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</si>
  <si>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</si>
  <si>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</si>
  <si>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</si>
  <si>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</si>
  <si>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</si>
  <si>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</si>
  <si>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</si>
  <si>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</si>
  <si>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</si>
  <si>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</si>
  <si>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</si>
  <si>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</si>
  <si>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</si>
  <si>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</si>
  <si>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</si>
  <si>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</si>
  <si>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</si>
  <si>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</si>
  <si>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</si>
  <si>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</si>
  <si>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</si>
  <si>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</si>
  <si>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</si>
  <si>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</si>
  <si>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</si>
  <si>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</si>
  <si>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</si>
  <si>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</si>
  <si>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</si>
  <si>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</si>
  <si>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</si>
  <si>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</si>
  <si>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</si>
  <si>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</si>
  <si>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</si>
  <si>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</si>
  <si>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</si>
  <si>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</si>
  <si>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</si>
  <si>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</si>
  <si>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</si>
  <si>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</si>
  <si>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</si>
  <si>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</si>
  <si>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</si>
  <si>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</si>
  <si>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</si>
  <si>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</si>
  <si>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</si>
  <si>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</si>
  <si>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</si>
  <si>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</si>
  <si>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</si>
  <si>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</si>
  <si>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</si>
  <si>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</si>
  <si>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</si>
  <si>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</si>
  <si>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</si>
  <si>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</si>
  <si>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</si>
  <si>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</si>
  <si>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</si>
  <si>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</si>
  <si>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</si>
  <si>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</si>
  <si>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</si>
  <si>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</si>
  <si>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</si>
  <si>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</si>
  <si>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</si>
  <si>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</si>
  <si>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</si>
  <si>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</si>
  <si>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</si>
  <si>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</si>
  <si>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</si>
  <si>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</si>
  <si>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</si>
  <si>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</si>
  <si>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</si>
  <si>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</si>
  <si>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</si>
  <si>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</si>
  <si>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</si>
  <si>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</si>
  <si>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</si>
  <si>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</si>
  <si>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</si>
  <si>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</si>
  <si>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</si>
  <si>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</si>
  <si>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</si>
  <si>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</si>
  <si>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</si>
  <si>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</si>
  <si>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</si>
  <si>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</si>
  <si>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</si>
  <si>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</si>
  <si>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</si>
  <si>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</si>
  <si>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</si>
  <si>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</si>
  <si>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</si>
  <si>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</si>
  <si>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</si>
  <si>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</si>
  <si>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</si>
  <si>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</si>
  <si>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</si>
  <si>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</si>
  <si>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</si>
  <si>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</si>
  <si>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</si>
  <si>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</si>
  <si>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</si>
  <si>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</si>
  <si>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</si>
  <si>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</si>
  <si>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</si>
  <si>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</si>
  <si>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</si>
  <si>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</si>
  <si>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</si>
  <si>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</si>
  <si>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</si>
  <si>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</si>
  <si>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</si>
  <si>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</si>
  <si>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</si>
  <si>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</si>
  <si>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</si>
  <si>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</si>
  <si>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</si>
  <si>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</si>
  <si>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</si>
  <si>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</si>
  <si>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</si>
  <si>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</si>
  <si>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</si>
  <si>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</si>
  <si>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</si>
  <si>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</si>
  <si>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</si>
  <si>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</si>
  <si>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</si>
  <si>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</si>
  <si>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</si>
  <si>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</si>
  <si>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</si>
  <si>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</si>
  <si>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</si>
  <si>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</si>
  <si>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</si>
  <si>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</si>
  <si>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</si>
  <si>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</si>
  <si>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</si>
  <si>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</si>
  <si>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</si>
  <si>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</si>
  <si>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</si>
  <si>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</si>
  <si>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</si>
  <si>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</si>
  <si>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</si>
  <si>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</si>
  <si>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</si>
  <si>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</si>
  <si>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</si>
  <si>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</si>
  <si>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</si>
  <si>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</si>
  <si>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</si>
  <si>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</si>
  <si>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</si>
  <si>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</si>
  <si>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</si>
  <si>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</si>
  <si>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</si>
  <si>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</si>
  <si>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</si>
  <si>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</si>
  <si>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</si>
  <si>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</si>
  <si>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</si>
  <si>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</si>
  <si>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</si>
  <si>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</si>
  <si>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</si>
  <si>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</si>
  <si>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</si>
  <si>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</si>
  <si>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</si>
  <si>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</si>
  <si>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</si>
  <si>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</si>
  <si>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</si>
  <si>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</si>
  <si>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</si>
  <si>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</si>
  <si>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</si>
  <si>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</si>
  <si>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</si>
  <si>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</si>
  <si>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</si>
  <si>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</si>
  <si>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</si>
  <si>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</si>
  <si>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</si>
  <si>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</si>
  <si>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</si>
  <si>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</si>
  <si>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</si>
  <si>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</si>
  <si>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</si>
  <si>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</si>
  <si>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</si>
  <si>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</si>
  <si>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</si>
  <si>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</si>
  <si>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</si>
  <si>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</si>
  <si>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</si>
  <si>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</si>
  <si>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</si>
  <si>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</si>
  <si>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</si>
  <si>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</si>
  <si>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</si>
  <si>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</si>
  <si>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</si>
  <si>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</si>
  <si>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</si>
  <si>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</si>
  <si>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</si>
  <si>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</si>
  <si>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</si>
  <si>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</si>
  <si>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</si>
  <si>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</si>
  <si>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</si>
  <si>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</si>
  <si>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</si>
  <si>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</si>
  <si>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</si>
  <si>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</si>
  <si>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</si>
  <si>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</si>
  <si>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</si>
  <si>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</si>
  <si>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</si>
  <si>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</si>
  <si>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</si>
  <si>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</si>
  <si>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</si>
  <si>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</si>
  <si>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</si>
  <si>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</si>
  <si>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</si>
  <si>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</si>
  <si>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</si>
  <si>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</si>
  <si>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</si>
  <si>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</si>
  <si>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</si>
  <si>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</si>
  <si>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</si>
  <si>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</si>
  <si>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</si>
  <si>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</si>
  <si>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</si>
  <si>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</si>
  <si>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</si>
  <si>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</si>
  <si>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</si>
  <si>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</si>
  <si>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</si>
  <si>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</si>
  <si>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</si>
  <si>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</si>
  <si>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</si>
  <si>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</si>
  <si>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</si>
  <si>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</si>
  <si>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</si>
  <si>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</si>
  <si>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</si>
  <si>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</si>
  <si>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</si>
  <si>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</si>
  <si>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</si>
  <si>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</si>
  <si>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</si>
  <si>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</si>
  <si>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</si>
  <si>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</si>
  <si>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</si>
  <si>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</si>
  <si>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</si>
  <si>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</si>
  <si>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</si>
  <si>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</si>
  <si>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</si>
  <si>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</si>
  <si>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</si>
  <si>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</si>
  <si>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</si>
  <si>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</si>
  <si>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</si>
  <si>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</si>
  <si>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</si>
  <si>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</si>
  <si>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</si>
  <si>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</si>
  <si>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</si>
  <si>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</si>
  <si>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</si>
  <si>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</si>
  <si>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</si>
  <si>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</si>
  <si>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</si>
  <si>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</si>
  <si>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</si>
  <si>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</si>
  <si>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</si>
  <si>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</si>
  <si>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</si>
  <si>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</si>
  <si>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</si>
  <si>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</si>
  <si>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</si>
  <si>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</si>
  <si>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</si>
  <si>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</si>
  <si>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</si>
  <si>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</si>
  <si>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</si>
  <si>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</si>
  <si>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</si>
  <si>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</si>
  <si>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</si>
  <si>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</si>
  <si>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</si>
  <si>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</si>
  <si>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</si>
  <si>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</si>
  <si>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</si>
  <si>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</si>
  <si>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</si>
  <si>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</si>
  <si>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</si>
  <si>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</si>
  <si>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</si>
  <si>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</si>
  <si>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</si>
  <si>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</si>
  <si>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</si>
  <si>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</si>
  <si>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</si>
  <si>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</si>
  <si>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</si>
  <si>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</si>
  <si>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</si>
  <si>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</si>
  <si>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</si>
  <si>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</si>
  <si>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</si>
  <si>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</si>
  <si>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</si>
  <si>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</si>
  <si>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</si>
  <si>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</si>
  <si>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</si>
  <si>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</si>
  <si>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</si>
  <si>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</si>
  <si>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</si>
  <si>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</si>
  <si>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</si>
  <si>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</si>
  <si>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</si>
  <si>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</si>
  <si>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</si>
  <si>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</si>
  <si>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</si>
  <si>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</si>
  <si>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</si>
  <si>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</si>
  <si>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</si>
  <si>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</si>
  <si>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</si>
  <si>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</si>
  <si>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</si>
  <si>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</si>
  <si>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</si>
  <si>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</si>
  <si>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</si>
  <si>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</si>
  <si>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</si>
  <si>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</si>
  <si>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</si>
  <si>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</si>
  <si>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</si>
  <si>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</si>
  <si>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</si>
  <si>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</si>
  <si>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</si>
  <si>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</si>
  <si>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</si>
  <si>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</si>
  <si>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</si>
  <si>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</si>
  <si>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</si>
  <si>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</si>
  <si>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</si>
  <si>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</si>
  <si>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</si>
  <si>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</si>
  <si>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</si>
  <si>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</si>
  <si>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</si>
  <si>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</si>
  <si>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</si>
  <si>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</si>
  <si>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</si>
  <si>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</si>
  <si>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</si>
  <si>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</si>
  <si>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</si>
  <si>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</si>
  <si>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</si>
  <si>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</si>
  <si>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</si>
  <si>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</si>
  <si>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</si>
  <si>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</si>
  <si>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</si>
  <si>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</si>
  <si>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</si>
  <si>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</si>
  <si>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</si>
  <si>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</si>
  <si>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</si>
  <si>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</si>
  <si>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</si>
  <si>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</si>
  <si>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</si>
  <si>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</si>
  <si>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</si>
  <si>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</si>
  <si>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</si>
  <si>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</si>
  <si>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</si>
  <si>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</si>
  <si>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</si>
  <si>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</si>
  <si>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</si>
  <si>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</si>
  <si>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</si>
  <si>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</si>
  <si>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</si>
  <si>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</si>
  <si>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</si>
  <si>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</si>
  <si>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</si>
  <si>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</si>
  <si>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</si>
  <si>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</si>
  <si>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</si>
  <si>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</si>
  <si>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</si>
  <si>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</si>
  <si>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</si>
  <si>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</si>
  <si>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</si>
  <si>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</si>
  <si>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</si>
  <si>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</si>
  <si>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</si>
  <si>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</si>
  <si>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</si>
  <si>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</si>
  <si>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</si>
  <si>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</si>
  <si>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</si>
  <si>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</si>
  <si>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</si>
  <si>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</si>
  <si>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</si>
  <si>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</si>
  <si>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</si>
  <si>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</si>
  <si>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</si>
  <si>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</si>
  <si>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</si>
  <si>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</si>
  <si>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</si>
  <si>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</si>
  <si>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</si>
  <si>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</si>
  <si>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</si>
  <si>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</si>
  <si>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</si>
  <si>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</si>
  <si>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</si>
  <si>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</si>
  <si>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</si>
  <si>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</si>
  <si>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</si>
  <si>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</si>
  <si>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</si>
  <si>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</si>
  <si>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</si>
  <si>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</si>
  <si>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</si>
  <si>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</si>
  <si>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</si>
  <si>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</si>
  <si>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</si>
  <si>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</si>
  <si>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</si>
  <si>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</si>
  <si>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</si>
  <si>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</si>
  <si>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</si>
  <si>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</si>
  <si>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</si>
  <si>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</si>
  <si>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</si>
  <si>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</si>
  <si>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</si>
  <si>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</si>
  <si>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</si>
  <si>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</si>
  <si>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</si>
  <si>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</si>
  <si>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</si>
  <si>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</si>
  <si>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</si>
  <si>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</si>
  <si>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</si>
  <si>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</si>
  <si>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</si>
  <si>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</si>
  <si>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</si>
  <si>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</si>
  <si>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</si>
  <si>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</si>
  <si>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</si>
  <si>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</si>
  <si>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</si>
  <si>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</si>
  <si>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</si>
  <si>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</si>
  <si>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</si>
  <si>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</si>
  <si>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</si>
  <si>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</si>
  <si>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</si>
  <si>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</si>
  <si>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</si>
  <si>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</si>
  <si>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</si>
  <si>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</si>
  <si>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</si>
  <si>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</si>
  <si>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</si>
  <si>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</si>
  <si>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</si>
  <si>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</si>
  <si>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</si>
  <si>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</si>
  <si>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</si>
  <si>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</si>
  <si>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</si>
  <si>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</si>
  <si>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</si>
  <si>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</si>
  <si>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</si>
  <si>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</si>
  <si>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</si>
  <si>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</si>
  <si>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</si>
  <si>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</si>
  <si>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</si>
  <si>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</si>
  <si>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</si>
  <si>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</si>
  <si>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</si>
  <si>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</si>
  <si>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</si>
  <si>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</si>
  <si>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</si>
  <si>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</si>
  <si>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</si>
  <si>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</si>
  <si>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</si>
  <si>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</si>
  <si>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</si>
  <si>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</si>
  <si>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</si>
  <si>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</si>
  <si>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</si>
  <si>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</si>
  <si>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</si>
  <si>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</si>
  <si>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</si>
  <si>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</si>
  <si>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</si>
  <si>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</si>
  <si>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</si>
  <si>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</si>
  <si>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</si>
  <si>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</si>
  <si>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</si>
  <si>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</si>
  <si>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</si>
  <si>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</si>
  <si>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</si>
  <si>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</si>
  <si>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</si>
  <si>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</si>
  <si>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</si>
  <si>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</si>
  <si>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</si>
  <si>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</si>
  <si>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</si>
  <si>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</si>
  <si>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</si>
  <si>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</si>
  <si>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</si>
  <si>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</si>
  <si>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</si>
  <si>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</si>
  <si>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</si>
  <si>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</si>
  <si>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</si>
  <si>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</si>
  <si>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</si>
  <si>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</si>
  <si>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</si>
  <si>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</si>
  <si>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</si>
  <si>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</si>
  <si>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</si>
  <si>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</si>
  <si>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</si>
  <si>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</si>
  <si>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</si>
  <si>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</si>
  <si>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</si>
  <si>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</si>
  <si>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</si>
  <si>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</si>
  <si>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</si>
  <si>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</si>
  <si>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</si>
  <si>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</si>
  <si>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</si>
  <si>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</si>
  <si>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</si>
  <si>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</si>
  <si>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</si>
  <si>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</si>
  <si>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</si>
  <si>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</si>
  <si>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</si>
  <si>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</si>
  <si>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</si>
  <si>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</si>
  <si>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</si>
  <si>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</si>
  <si>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</si>
  <si>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</si>
  <si>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</si>
  <si>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</si>
  <si>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</si>
  <si>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</si>
  <si>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</si>
  <si>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</si>
  <si>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</si>
  <si>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</si>
  <si>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</si>
  <si>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</si>
  <si>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</si>
  <si>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</si>
  <si>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</si>
  <si>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</si>
  <si>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</si>
  <si>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</si>
  <si>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</si>
  <si>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</si>
  <si>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</si>
  <si>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</si>
  <si>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</si>
  <si>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</si>
  <si>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</si>
  <si>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</si>
  <si>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</si>
  <si>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</si>
  <si>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</si>
  <si>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</si>
  <si>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</si>
  <si>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</si>
  <si>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</si>
  <si>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</si>
  <si>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</si>
  <si>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</si>
  <si>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</si>
  <si>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</si>
  <si>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</si>
  <si>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</si>
  <si>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</si>
  <si>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</si>
  <si>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</si>
  <si>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</si>
  <si>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</si>
  <si>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</si>
  <si>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</si>
  <si>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</si>
  <si>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</si>
  <si>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</si>
  <si>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</si>
  <si>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</si>
  <si>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</si>
  <si>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</si>
  <si>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</si>
  <si>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</si>
  <si>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</si>
  <si>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</si>
  <si>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</si>
  <si>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</si>
  <si>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</si>
  <si>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</si>
  <si>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</si>
  <si>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</si>
  <si>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</si>
  <si>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</si>
  <si>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</si>
  <si>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</si>
  <si>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</si>
  <si>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</si>
  <si>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</si>
  <si>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</si>
  <si>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</si>
  <si>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</si>
  <si>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</si>
  <si>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</si>
  <si>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</si>
  <si>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</si>
  <si>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</si>
  <si>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</si>
  <si>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</si>
  <si>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</si>
  <si>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</si>
  <si>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</si>
  <si>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</si>
  <si>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</si>
  <si>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</si>
  <si>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</si>
  <si>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</si>
  <si>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</si>
  <si>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</si>
  <si>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</si>
  <si>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</si>
  <si>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</si>
  <si>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</si>
  <si>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</si>
  <si>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</si>
  <si>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</si>
  <si>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</si>
  <si>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</si>
  <si>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</si>
  <si>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</si>
  <si>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</si>
  <si>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</si>
  <si>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</si>
  <si>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</si>
  <si>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</si>
  <si>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</si>
  <si>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</si>
  <si>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</si>
  <si>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</si>
  <si>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</si>
  <si>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</si>
  <si>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</si>
  <si>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</si>
  <si>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</si>
  <si>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</si>
  <si>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</si>
  <si>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</si>
  <si>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</si>
  <si>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</si>
  <si>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</si>
  <si>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</si>
  <si>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</si>
  <si>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</si>
  <si>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</si>
  <si>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</si>
  <si>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</si>
  <si>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</si>
  <si>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</si>
  <si>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</si>
  <si>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</si>
  <si>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</si>
  <si>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</si>
  <si>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</si>
  <si>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</si>
  <si>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</si>
  <si>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</si>
  <si>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</si>
  <si>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</si>
  <si>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</si>
  <si>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</si>
  <si>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</si>
  <si>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</si>
  <si>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</si>
  <si>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</si>
  <si>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</si>
  <si>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</si>
  <si>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</si>
  <si>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</si>
  <si>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</si>
  <si>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</si>
  <si>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</si>
  <si>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</si>
  <si>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</si>
  <si>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</si>
  <si>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</si>
  <si>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</si>
  <si>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</si>
  <si>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</si>
  <si>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</si>
  <si>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</si>
  <si>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</si>
  <si>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</si>
  <si>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</si>
  <si>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</si>
  <si>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</si>
  <si>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</si>
  <si>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</si>
  <si>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</si>
  <si>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</si>
  <si>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</si>
  <si>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</si>
  <si>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</si>
  <si>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</si>
  <si>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</si>
  <si>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</si>
  <si>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</si>
  <si>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</si>
  <si>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</si>
  <si>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</si>
  <si>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</si>
  <si>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</si>
  <si>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</si>
  <si>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</si>
  <si>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</si>
  <si>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</si>
  <si>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</si>
  <si>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</si>
  <si>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</si>
  <si>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</si>
  <si>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</si>
  <si>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</si>
  <si>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</si>
  <si>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</si>
  <si>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</si>
  <si>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</si>
  <si>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</si>
  <si>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</si>
  <si>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</si>
  <si>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</si>
  <si>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</si>
  <si>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</si>
  <si>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</si>
  <si>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</si>
  <si>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</si>
  <si>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</si>
  <si>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</si>
  <si>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</si>
  <si>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</si>
  <si>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</si>
  <si>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</si>
  <si>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</si>
  <si>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</si>
  <si>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</si>
  <si>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</si>
  <si>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</si>
  <si>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</si>
  <si>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</si>
  <si>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</si>
  <si>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</si>
  <si>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</si>
  <si>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</si>
  <si>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</si>
  <si>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</si>
  <si>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</si>
  <si>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</si>
  <si>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</si>
  <si>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</si>
  <si>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</si>
  <si>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</si>
  <si>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</si>
  <si>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</si>
  <si>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</si>
  <si>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</si>
  <si>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</si>
  <si>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</si>
  <si>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</si>
  <si>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</si>
  <si>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</si>
  <si>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</si>
  <si>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</si>
  <si>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</si>
  <si>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</si>
  <si>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</si>
  <si>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</si>
  <si>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</si>
  <si>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</si>
  <si>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</si>
  <si>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</si>
  <si>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</si>
  <si>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</si>
  <si>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</si>
  <si>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</si>
  <si>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</si>
  <si>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</si>
  <si>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</si>
  <si>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</si>
  <si>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</si>
  <si>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</si>
  <si>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</si>
  <si>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</si>
  <si>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</si>
  <si>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</si>
  <si>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</si>
  <si>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</si>
  <si>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</si>
  <si>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</si>
  <si>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</si>
  <si>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</si>
  <si>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</si>
  <si>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</si>
  <si>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</si>
  <si>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</si>
  <si>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</si>
  <si>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</si>
  <si>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</si>
  <si>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</si>
  <si>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</si>
  <si>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</si>
  <si>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</si>
  <si>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</si>
  <si>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</si>
  <si>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</si>
  <si>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</si>
  <si>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</si>
  <si>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</si>
  <si>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</si>
  <si>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</si>
  <si>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</si>
  <si>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</si>
  <si>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</si>
  <si>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</si>
  <si>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</si>
  <si>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</si>
  <si>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</si>
  <si>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</si>
  <si>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</si>
  <si>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</si>
  <si>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</si>
  <si>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</si>
  <si>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</si>
  <si>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</si>
  <si>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</si>
  <si>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</si>
  <si>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</si>
  <si>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</si>
  <si>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</si>
  <si>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</si>
  <si>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</si>
  <si>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</si>
  <si>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</si>
  <si>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</si>
  <si>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</si>
  <si>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</si>
  <si>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</si>
  <si>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</si>
  <si>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</si>
  <si>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</si>
  <si>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</si>
  <si>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</si>
  <si>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</si>
  <si>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</si>
  <si>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</si>
  <si>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</si>
  <si>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</si>
  <si>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</si>
  <si>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</si>
  <si>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</si>
  <si>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</si>
  <si>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</si>
  <si>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</si>
  <si>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</si>
  <si>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</si>
  <si>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</si>
  <si>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</si>
  <si>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</si>
  <si>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</si>
  <si>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</si>
  <si>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</si>
  <si>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</si>
  <si>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</si>
  <si>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</si>
  <si>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</si>
  <si>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</si>
  <si>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</si>
  <si>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</si>
  <si>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</si>
  <si>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</si>
  <si>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</si>
  <si>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</si>
  <si>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</si>
  <si>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</si>
  <si>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</si>
  <si>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</si>
  <si>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</si>
  <si>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</si>
  <si>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</si>
  <si>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</si>
  <si>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</si>
  <si>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</si>
  <si>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</si>
  <si>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</si>
  <si>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</si>
  <si>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</si>
  <si>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</si>
  <si>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</si>
  <si>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</si>
  <si>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</si>
  <si>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</si>
  <si>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</si>
  <si>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</si>
  <si>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</si>
  <si>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</si>
  <si>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</si>
  <si>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</si>
  <si>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</si>
  <si>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</si>
  <si>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</si>
  <si>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</si>
  <si>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</si>
  <si>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</si>
  <si>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</si>
  <si>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</si>
  <si>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</si>
  <si>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</si>
  <si>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</si>
  <si>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</si>
  <si>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</si>
  <si>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</si>
  <si>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</si>
  <si>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</si>
  <si>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</si>
  <si>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</si>
  <si>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</si>
  <si>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</si>
  <si>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</si>
  <si>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</si>
  <si>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</si>
  <si>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</si>
  <si>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</si>
  <si>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</si>
  <si>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</si>
  <si>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</si>
  <si>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</si>
  <si>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</si>
  <si>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</si>
  <si>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</si>
  <si>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</si>
  <si>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</si>
  <si>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</si>
  <si>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</si>
  <si>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</si>
  <si>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</si>
  <si>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</si>
  <si>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</si>
  <si>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</si>
  <si>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</si>
  <si>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</si>
  <si>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</si>
  <si>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</si>
  <si>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</si>
  <si>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</si>
  <si>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</si>
  <si>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</si>
  <si>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</si>
  <si>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</si>
  <si>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</si>
  <si>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</si>
  <si>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</si>
  <si>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</si>
  <si>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</si>
  <si>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</si>
  <si>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</si>
  <si>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</si>
  <si>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</si>
  <si>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</si>
  <si>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</si>
  <si>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</si>
  <si>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</si>
  <si>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</si>
  <si>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</si>
  <si>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</si>
  <si>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</si>
  <si>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</si>
  <si>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</si>
  <si>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</si>
  <si>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</si>
  <si>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</si>
  <si>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</si>
  <si>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</si>
  <si>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</si>
  <si>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</si>
  <si>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</si>
  <si>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</si>
  <si>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</si>
  <si>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</si>
  <si>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</si>
  <si>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</si>
  <si>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</si>
  <si>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</si>
  <si>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</si>
  <si>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</si>
  <si>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</si>
  <si>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</si>
  <si>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</si>
  <si>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</si>
  <si>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</si>
  <si>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</si>
  <si>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</si>
  <si>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</si>
  <si>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</si>
  <si>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</si>
  <si>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</si>
  <si>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</si>
  <si>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</si>
  <si>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</si>
  <si>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</si>
  <si>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</si>
  <si>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</si>
  <si>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</si>
  <si>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</si>
  <si>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</si>
  <si>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</si>
  <si>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</si>
  <si>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</si>
  <si>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</si>
  <si>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</si>
  <si>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</si>
  <si>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</si>
  <si>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</si>
  <si>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</si>
  <si>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</si>
  <si>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</si>
  <si>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</si>
  <si>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</si>
  <si>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</si>
  <si>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</si>
  <si>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</si>
  <si>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</si>
  <si>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</si>
  <si>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</si>
  <si>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</si>
  <si>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</si>
  <si>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</si>
  <si>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</si>
  <si>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</si>
  <si>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</si>
  <si>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</si>
  <si>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</si>
  <si>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</si>
  <si>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</si>
  <si>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</si>
  <si>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</si>
  <si>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</si>
  <si>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</si>
  <si>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</si>
  <si>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</si>
  <si>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</si>
  <si>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</si>
  <si>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</si>
  <si>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</si>
  <si>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</si>
  <si>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</si>
  <si>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</si>
  <si>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</si>
  <si>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</si>
  <si>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</si>
  <si>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</si>
  <si>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</si>
  <si>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</si>
  <si>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</si>
  <si>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</si>
  <si>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</si>
  <si>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</si>
  <si>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</si>
  <si>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</si>
  <si>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</si>
  <si>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</si>
  <si>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</si>
  <si>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</si>
  <si>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</si>
  <si>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</si>
  <si>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</si>
  <si>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</si>
  <si>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</si>
  <si>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</si>
  <si>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</si>
  <si>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</si>
  <si>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</si>
  <si>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</si>
  <si>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</si>
  <si>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</si>
  <si>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</si>
  <si>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</si>
  <si>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</si>
  <si>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</si>
  <si>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</si>
  <si>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</si>
  <si>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</si>
  <si>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</si>
  <si>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</si>
  <si>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</si>
  <si>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</si>
  <si>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</si>
  <si>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</si>
  <si>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</si>
  <si>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</si>
  <si>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</si>
  <si>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</si>
  <si>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</si>
  <si>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</si>
  <si>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</si>
  <si>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</si>
  <si>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</si>
  <si>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</si>
  <si>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</si>
  <si>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</si>
  <si>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</si>
  <si>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</si>
  <si>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</si>
  <si>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</si>
  <si>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</si>
  <si>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</si>
  <si>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</si>
  <si>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</si>
  <si>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</si>
  <si>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</si>
  <si>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</si>
  <si>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</si>
  <si>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</si>
  <si>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</si>
  <si>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</si>
  <si>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</si>
  <si>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</si>
  <si>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</si>
  <si>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</si>
  <si>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</si>
  <si>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</si>
  <si>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</si>
  <si>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</si>
  <si>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</si>
  <si>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</si>
  <si>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</si>
  <si>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</si>
  <si>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</si>
  <si>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</si>
  <si>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</si>
  <si>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</si>
  <si>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</si>
  <si>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</si>
  <si>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</si>
  <si>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</si>
  <si>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</si>
  <si>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</si>
  <si>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</si>
  <si>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</si>
  <si>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</si>
  <si>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</si>
  <si>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</si>
  <si>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</si>
  <si>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</si>
  <si>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</si>
  <si>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</si>
  <si>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</si>
  <si>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</si>
  <si>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</si>
  <si>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</si>
  <si>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</si>
  <si>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</si>
  <si>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</si>
  <si>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</si>
  <si>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</si>
  <si>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</si>
  <si>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</si>
  <si>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</si>
  <si>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</si>
  <si>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</si>
  <si>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</si>
  <si>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</si>
  <si>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</si>
  <si>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</si>
  <si>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</si>
  <si>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</si>
  <si>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</si>
  <si>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</si>
  <si>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</si>
  <si>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</si>
  <si>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</si>
  <si>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</si>
  <si>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</si>
  <si>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</si>
  <si>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</si>
  <si>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</si>
  <si>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</si>
  <si>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</si>
  <si>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</si>
  <si>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</si>
  <si>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</si>
  <si>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</si>
  <si>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</si>
  <si>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</si>
  <si>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</si>
  <si>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</si>
  <si>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</si>
  <si>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</si>
  <si>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</si>
  <si>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</si>
  <si>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</si>
  <si>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</si>
  <si>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</si>
  <si>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</si>
  <si>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</si>
  <si>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</si>
  <si>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</si>
  <si>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</si>
  <si>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</si>
  <si>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</si>
  <si>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</si>
  <si>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</si>
  <si>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</si>
  <si>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</si>
  <si>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</si>
  <si>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</si>
  <si>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</si>
  <si>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</si>
  <si>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</si>
  <si>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</si>
  <si>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</si>
  <si>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</si>
  <si>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</si>
  <si>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</si>
  <si>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</si>
  <si>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</si>
  <si>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</si>
  <si>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</si>
  <si>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</si>
  <si>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</si>
  <si>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</si>
  <si>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</si>
  <si>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</si>
  <si>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</si>
  <si>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</si>
  <si>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</si>
  <si>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</si>
  <si>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</si>
  <si>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</si>
  <si>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</si>
  <si>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</si>
  <si>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</si>
  <si>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</si>
  <si>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</si>
  <si>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</si>
  <si>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</si>
  <si>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</si>
  <si>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</si>
  <si>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</si>
  <si>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</si>
  <si>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</si>
  <si>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</si>
  <si>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</si>
  <si>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</si>
  <si>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</si>
  <si>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</si>
  <si>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</si>
  <si>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</si>
  <si>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</si>
  <si>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</si>
  <si>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</si>
  <si>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</si>
  <si>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</si>
  <si>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</si>
  <si>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</si>
  <si>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</si>
  <si>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</si>
  <si>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</si>
  <si>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</si>
  <si>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</si>
  <si>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</si>
  <si>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</si>
  <si>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</si>
  <si>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</si>
  <si>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</si>
  <si>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</si>
  <si>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</si>
  <si>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</si>
  <si>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</si>
  <si>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</si>
  <si>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</si>
  <si>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</si>
  <si>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</si>
  <si>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</si>
  <si>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</si>
  <si>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</si>
  <si>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</si>
  <si>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</si>
  <si>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</si>
  <si>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</si>
  <si>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</si>
  <si>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</si>
  <si>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</si>
  <si>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</si>
  <si>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</si>
  <si>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</si>
  <si>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</si>
  <si>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</si>
  <si>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</si>
  <si>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</si>
  <si>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</si>
  <si>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</si>
  <si>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</si>
  <si>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</si>
  <si>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</si>
  <si>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</si>
  <si>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</si>
  <si>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</si>
  <si>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</si>
  <si>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</si>
  <si>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</si>
  <si>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</si>
  <si>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</si>
  <si>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</si>
  <si>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</si>
  <si>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</si>
  <si>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</si>
  <si>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</si>
  <si>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</si>
  <si>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</si>
  <si>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</si>
  <si>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</si>
  <si>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</si>
  <si>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</si>
  <si>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</si>
  <si>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</si>
  <si>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</si>
  <si>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</si>
  <si>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</si>
  <si>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</si>
  <si>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</si>
  <si>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</si>
  <si>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</si>
  <si>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</si>
  <si>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</si>
  <si>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</si>
  <si>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</si>
  <si>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</si>
  <si>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</si>
  <si>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</si>
  <si>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</si>
  <si>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</si>
  <si>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</si>
  <si>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</si>
  <si>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</si>
  <si>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</si>
  <si>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</si>
  <si>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</si>
  <si>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</si>
  <si>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</si>
  <si>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</si>
  <si>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</si>
  <si>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</si>
  <si>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</si>
  <si>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</si>
  <si>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</si>
  <si>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</si>
  <si>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</si>
  <si>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</si>
  <si>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</si>
  <si>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</si>
  <si>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</si>
  <si>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</si>
  <si>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</si>
  <si>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</si>
  <si>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</si>
  <si>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</si>
  <si>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</si>
  <si>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</si>
  <si>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</si>
  <si>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</si>
  <si>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</si>
  <si>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</si>
  <si>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</si>
  <si>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</si>
  <si>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</si>
  <si>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</si>
  <si>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</si>
  <si>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</si>
  <si>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</si>
  <si>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</si>
  <si>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</si>
  <si>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</si>
  <si>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</si>
  <si>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</si>
  <si>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</si>
  <si>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</si>
  <si>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</si>
  <si>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</si>
  <si>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</si>
  <si>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</si>
  <si>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</si>
  <si>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</si>
  <si>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</si>
  <si>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</si>
  <si>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</si>
  <si>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</si>
  <si>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</si>
  <si>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</si>
  <si>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</si>
  <si>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</si>
  <si>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</si>
  <si>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</si>
  <si>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</si>
  <si>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</si>
  <si>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</si>
  <si>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</si>
  <si>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</si>
  <si>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</si>
  <si>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</si>
  <si>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</si>
  <si>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</si>
  <si>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</si>
  <si>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</si>
  <si>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</si>
  <si>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</si>
  <si>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</si>
  <si>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</si>
  <si>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</si>
  <si>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</si>
  <si>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</si>
  <si>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</si>
  <si>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</si>
  <si>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</si>
  <si>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</si>
  <si>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</si>
  <si>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</si>
  <si>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</si>
  <si>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</si>
  <si>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</si>
  <si>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</si>
  <si>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</si>
  <si>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</si>
  <si>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</si>
  <si>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</si>
  <si>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</si>
  <si>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</si>
  <si>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</si>
  <si>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</si>
  <si>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</si>
  <si>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</si>
  <si>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</si>
  <si>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</si>
  <si>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</si>
  <si>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</si>
  <si>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</si>
  <si>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</si>
  <si>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</si>
  <si>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</si>
  <si>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</si>
  <si>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</si>
  <si>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</si>
  <si>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</si>
  <si>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</si>
  <si>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</si>
  <si>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</si>
  <si>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</si>
  <si>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</si>
  <si>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</si>
  <si>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</si>
  <si>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</si>
  <si>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</si>
  <si>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</si>
  <si>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</si>
  <si>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</si>
  <si>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</si>
  <si>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</si>
  <si>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</si>
  <si>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</si>
  <si>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</si>
  <si>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</si>
  <si>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</si>
  <si>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</si>
  <si>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</si>
  <si>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</si>
  <si>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</si>
  <si>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</si>
  <si>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</si>
  <si>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</si>
  <si>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</si>
  <si>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</si>
  <si>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</si>
  <si>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</si>
  <si>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</si>
  <si>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</si>
  <si>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</si>
  <si>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</si>
  <si>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</si>
  <si>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</si>
  <si>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</si>
  <si>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</si>
  <si>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</si>
  <si>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</si>
  <si>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</si>
  <si>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</si>
  <si>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</si>
  <si>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</si>
  <si>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</si>
  <si>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</si>
  <si>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</si>
  <si>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</si>
  <si>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</si>
  <si>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</si>
  <si>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</si>
  <si>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</si>
  <si>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</si>
  <si>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</si>
  <si>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</si>
  <si>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</si>
  <si>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</si>
  <si>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</si>
  <si>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</si>
  <si>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</si>
  <si>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</si>
  <si>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</si>
  <si>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</si>
  <si>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</si>
  <si>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</si>
  <si>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</si>
  <si>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</si>
  <si>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</si>
  <si>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</si>
  <si>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</si>
  <si>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</si>
  <si>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</si>
  <si>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</si>
  <si>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</si>
  <si>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</si>
  <si>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</si>
  <si>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</si>
  <si>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</si>
  <si>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</si>
  <si>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</si>
  <si>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</si>
  <si>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</si>
  <si>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</si>
  <si>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</si>
  <si>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</si>
  <si>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</si>
  <si>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</si>
  <si>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</si>
  <si>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</si>
  <si>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</si>
  <si>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</si>
  <si>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</si>
  <si>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</si>
  <si>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</si>
  <si>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</si>
  <si>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</si>
  <si>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</si>
  <si>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</si>
  <si>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</si>
  <si>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</si>
  <si>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</si>
  <si>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</si>
  <si>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</si>
  <si>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</si>
  <si>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</si>
  <si>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</si>
  <si>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</si>
  <si>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</si>
  <si>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</si>
  <si>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</si>
  <si>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</si>
  <si>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</si>
  <si>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</si>
  <si>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</si>
  <si>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</si>
  <si>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</si>
  <si>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</si>
  <si>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</si>
  <si>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</si>
  <si>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Arabian Gulf</t>
  </si>
  <si>
    <t>Mozambique</t>
  </si>
  <si>
    <t>Sum of Salary in USD</t>
  </si>
  <si>
    <t>Average of Salary in USD</t>
  </si>
  <si>
    <t>Count</t>
  </si>
  <si>
    <t>Mean</t>
  </si>
  <si>
    <t>SD</t>
  </si>
  <si>
    <t>Min</t>
  </si>
  <si>
    <t>Q1</t>
  </si>
  <si>
    <t>Median</t>
  </si>
  <si>
    <t>Q3</t>
  </si>
  <si>
    <t>Max</t>
  </si>
  <si>
    <t>Bottom</t>
  </si>
  <si>
    <t>2Q Box</t>
  </si>
  <si>
    <t>3Q Box</t>
  </si>
  <si>
    <t>Whisker-</t>
  </si>
  <si>
    <t>Whisker+</t>
  </si>
  <si>
    <t>Offset</t>
  </si>
  <si>
    <t>Count of Your Salary</t>
  </si>
  <si>
    <t>dummy</t>
  </si>
  <si>
    <t>Category axis</t>
  </si>
  <si>
    <t>Hours Per Day</t>
  </si>
  <si>
    <t/>
  </si>
  <si>
    <t>Dummy gridline</t>
  </si>
  <si>
    <t>All</t>
  </si>
  <si>
    <t>VS.</t>
  </si>
  <si>
    <t>Average Salary</t>
  </si>
  <si>
    <t>C1 clean</t>
  </si>
  <si>
    <t>C2 clean</t>
  </si>
  <si>
    <t>C1 highest</t>
  </si>
  <si>
    <t>C1 lowest</t>
  </si>
  <si>
    <t>C2 highest</t>
  </si>
  <si>
    <t>C2 lowest</t>
  </si>
  <si>
    <t>Avg Yrs of Experience</t>
  </si>
  <si>
    <t>C1 exp</t>
  </si>
  <si>
    <t>C2 exp</t>
  </si>
  <si>
    <t>C1 Job Title</t>
  </si>
  <si>
    <t>C2 Job Title</t>
  </si>
  <si>
    <t>.</t>
  </si>
  <si>
    <t>EXPERIENCE</t>
  </si>
  <si>
    <t>SALARY</t>
  </si>
  <si>
    <t>l</t>
  </si>
  <si>
    <t>u</t>
  </si>
  <si>
    <t>JOB TITLES</t>
  </si>
  <si>
    <t>Highest Earners (top 10%)</t>
  </si>
  <si>
    <t>Lowest Earners (bottom 10%)</t>
  </si>
  <si>
    <t>Salary by Job Type</t>
  </si>
  <si>
    <t>Avg Salary Rank</t>
  </si>
  <si>
    <t>Salary by Hours Working in Excel Per Day</t>
  </si>
  <si>
    <t>Excel Salary Survey Dashboard</t>
  </si>
  <si>
    <t>Comparison by Country: Salary by Years of Experience</t>
  </si>
  <si>
    <t>First Choice in Comparison</t>
  </si>
  <si>
    <t>Second Choice in Comparison</t>
  </si>
  <si>
    <t>C1</t>
  </si>
  <si>
    <t>C2</t>
  </si>
  <si>
    <t>Non-choices</t>
  </si>
  <si>
    <t>listCountries</t>
  </si>
  <si>
    <t>rankCountries</t>
  </si>
  <si>
    <t>Job Type Box and Whisker</t>
  </si>
  <si>
    <t>Hours Per Day Box and Whisker</t>
  </si>
  <si>
    <t>Salary Benchmarks</t>
  </si>
  <si>
    <t>Hourly</t>
  </si>
  <si>
    <t>Annual</t>
  </si>
  <si>
    <t>CXO &amp; Top Mgmt</t>
  </si>
  <si>
    <t>Source: BLS</t>
  </si>
  <si>
    <t>Benchmark</t>
  </si>
  <si>
    <t>Benchmark Name</t>
  </si>
  <si>
    <t>Flag</t>
  </si>
  <si>
    <t>Parameters</t>
  </si>
  <si>
    <t>listCountries2</t>
  </si>
  <si>
    <t xml:space="preserve">Show Countries with &gt;15 Responses Only   </t>
  </si>
  <si>
    <t xml:space="preserve">Show Benchmarks   </t>
  </si>
  <si>
    <t xml:space="preserve">Select Country   </t>
  </si>
  <si>
    <t>country</t>
  </si>
  <si>
    <t>avg salary</t>
  </si>
  <si>
    <t>rankCountries2</t>
  </si>
  <si>
    <t>(All)</t>
  </si>
  <si>
    <t>Values</t>
  </si>
  <si>
    <t>Average of Years of Experience</t>
  </si>
  <si>
    <t>Headline</t>
  </si>
  <si>
    <t xml:space="preserve">Select Country    </t>
  </si>
  <si>
    <t xml:space="preserve">Symbol    </t>
  </si>
</sst>
</file>

<file path=xl/styles.xml><?xml version="1.0" encoding="utf-8"?>
<styleSheet xmlns="http://schemas.openxmlformats.org/spreadsheetml/2006/main">
  <numFmts count="3">
    <numFmt numFmtId="42" formatCode="_(&quot;$&quot;* #,##0_);_(&quot;$&quot;* \(#,##0\);_(&quot;$&quot;* &quot;-&quot;_);_(@_)"/>
    <numFmt numFmtId="164" formatCode="d\ mmmm\ yyyy\,\ h:mm\ AM/PM"/>
    <numFmt numFmtId="165" formatCode="0.00\ %"/>
  </numFmts>
  <fonts count="2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rgb="FF00B0F0"/>
      <name val="Wingdings"/>
      <charset val="2"/>
    </font>
    <font>
      <sz val="11"/>
      <color rgb="FFC00000"/>
      <name val="Wingdings"/>
      <charset val="2"/>
    </font>
    <font>
      <sz val="18"/>
      <color theme="1"/>
      <name val="Arial Black"/>
      <family val="2"/>
    </font>
    <font>
      <sz val="20"/>
      <color theme="0"/>
      <name val="Arial Black"/>
      <family val="2"/>
    </font>
    <font>
      <sz val="12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2"/>
      <color theme="0"/>
      <name val="Arial Black"/>
      <family val="2"/>
    </font>
    <font>
      <b/>
      <sz val="12"/>
      <color theme="1"/>
      <name val="Franklin Gothic Demi"/>
      <family val="2"/>
    </font>
    <font>
      <b/>
      <sz val="16"/>
      <color theme="1"/>
      <name val="Calibri"/>
      <family val="2"/>
      <scheme val="minor"/>
    </font>
    <font>
      <sz val="12"/>
      <color theme="1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89800"/>
      </left>
      <right style="thin">
        <color rgb="FFC89800"/>
      </right>
      <top style="thin">
        <color rgb="FFC89800"/>
      </top>
      <bottom style="thin">
        <color rgb="FFC8980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rgb="FFC89800"/>
      </left>
      <right/>
      <top/>
      <bottom/>
      <diagonal/>
    </border>
    <border>
      <left style="thin">
        <color rgb="FFC89800"/>
      </left>
      <right/>
      <top style="thin">
        <color rgb="FFC89800"/>
      </top>
      <bottom style="thin">
        <color rgb="FFC8980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rgb="FFC89800"/>
      </top>
      <bottom style="thin">
        <color rgb="FFC898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6" fillId="0" borderId="0"/>
  </cellStyleXfs>
  <cellXfs count="81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0" fontId="0" fillId="0" borderId="0" xfId="0" applyNumberFormat="1"/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/>
    <xf numFmtId="2" fontId="0" fillId="0" borderId="0" xfId="0" applyNumberFormat="1"/>
    <xf numFmtId="0" fontId="6" fillId="0" borderId="0" xfId="0" applyFont="1" applyFill="1"/>
    <xf numFmtId="0" fontId="8" fillId="0" borderId="0" xfId="0" applyFont="1"/>
    <xf numFmtId="0" fontId="0" fillId="0" borderId="0" xfId="0" applyFill="1"/>
    <xf numFmtId="0" fontId="0" fillId="5" borderId="1" xfId="0" applyFill="1" applyBorder="1"/>
    <xf numFmtId="0" fontId="10" fillId="0" borderId="0" xfId="0" applyFont="1" applyAlignment="1">
      <alignment horizontal="center"/>
    </xf>
    <xf numFmtId="0" fontId="0" fillId="0" borderId="0" xfId="0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5" borderId="6" xfId="0" applyFill="1" applyBorder="1"/>
    <xf numFmtId="0" fontId="7" fillId="0" borderId="5" xfId="0" applyFont="1" applyBorder="1"/>
    <xf numFmtId="0" fontId="12" fillId="0" borderId="5" xfId="0" applyFont="1" applyBorder="1" applyAlignment="1">
      <alignment horizontal="left"/>
    </xf>
    <xf numFmtId="42" fontId="9" fillId="5" borderId="1" xfId="0" applyNumberFormat="1" applyFont="1" applyFill="1" applyBorder="1" applyAlignment="1">
      <alignment vertical="center"/>
    </xf>
    <xf numFmtId="42" fontId="9" fillId="5" borderId="6" xfId="0" applyNumberFormat="1" applyFont="1" applyFill="1" applyBorder="1" applyAlignment="1">
      <alignment vertical="center"/>
    </xf>
    <xf numFmtId="4" fontId="11" fillId="0" borderId="8" xfId="0" applyNumberFormat="1" applyFont="1" applyBorder="1"/>
    <xf numFmtId="0" fontId="17" fillId="0" borderId="0" xfId="0" applyFont="1" applyAlignment="1">
      <alignment horizontal="right"/>
    </xf>
    <xf numFmtId="0" fontId="17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0" fontId="16" fillId="0" borderId="0" xfId="0" applyFont="1" applyFill="1" applyAlignment="1"/>
    <xf numFmtId="0" fontId="16" fillId="6" borderId="0" xfId="0" applyFont="1" applyFill="1" applyBorder="1" applyAlignment="1"/>
    <xf numFmtId="0" fontId="19" fillId="6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19" fillId="6" borderId="0" xfId="0" applyFont="1" applyFill="1" applyBorder="1" applyAlignment="1">
      <alignment vertical="center"/>
    </xf>
    <xf numFmtId="0" fontId="0" fillId="6" borderId="0" xfId="0" applyFill="1"/>
    <xf numFmtId="0" fontId="19" fillId="6" borderId="0" xfId="0" applyFont="1" applyFill="1"/>
    <xf numFmtId="0" fontId="0" fillId="0" borderId="0" xfId="0" applyFill="1" applyBorder="1" applyAlignment="1"/>
    <xf numFmtId="165" fontId="0" fillId="0" borderId="0" xfId="0" applyNumberFormat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3" borderId="1" xfId="0" applyFill="1" applyBorder="1" applyAlignment="1">
      <alignment horizontal="left" vertical="center"/>
    </xf>
    <xf numFmtId="42" fontId="0" fillId="3" borderId="1" xfId="0" applyNumberFormat="1" applyFill="1" applyBorder="1" applyAlignment="1">
      <alignment horizontal="right" vertical="center"/>
    </xf>
    <xf numFmtId="4" fontId="9" fillId="5" borderId="7" xfId="0" applyNumberFormat="1" applyFont="1" applyFill="1" applyBorder="1" applyAlignment="1">
      <alignment vertical="center"/>
    </xf>
    <xf numFmtId="3" fontId="0" fillId="0" borderId="0" xfId="0" applyNumberFormat="1"/>
    <xf numFmtId="0" fontId="15" fillId="0" borderId="0" xfId="0" applyFont="1" applyAlignment="1">
      <alignment vertical="center"/>
    </xf>
    <xf numFmtId="0" fontId="19" fillId="6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2" fontId="0" fillId="0" borderId="0" xfId="0" applyNumberFormat="1" applyFill="1" applyBorder="1" applyAlignment="1">
      <alignment horizontal="right" vertical="center"/>
    </xf>
    <xf numFmtId="0" fontId="0" fillId="0" borderId="8" xfId="0" applyFill="1" applyBorder="1" applyAlignment="1">
      <alignment horizontal="left" vertical="center"/>
    </xf>
    <xf numFmtId="42" fontId="0" fillId="0" borderId="8" xfId="0" applyNumberFormat="1" applyFill="1" applyBorder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20" fillId="4" borderId="2" xfId="0" applyFont="1" applyFill="1" applyBorder="1" applyAlignment="1">
      <alignment horizontal="left" vertical="center"/>
    </xf>
    <xf numFmtId="0" fontId="14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42" fontId="0" fillId="0" borderId="0" xfId="0" applyNumberFormat="1"/>
    <xf numFmtId="9" fontId="0" fillId="0" borderId="0" xfId="0" applyNumberFormat="1"/>
    <xf numFmtId="0" fontId="20" fillId="0" borderId="9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0" fillId="0" borderId="4" xfId="0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0" fillId="4" borderId="10" xfId="0" applyFont="1" applyFill="1" applyBorder="1" applyAlignment="1">
      <alignment horizontal="center" vertical="center"/>
    </xf>
    <xf numFmtId="0" fontId="20" fillId="4" borderId="17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left" vertical="top" wrapText="1"/>
    </xf>
    <xf numFmtId="0" fontId="0" fillId="5" borderId="8" xfId="0" applyFont="1" applyFill="1" applyBorder="1" applyAlignment="1">
      <alignment horizontal="left" vertical="top" wrapText="1"/>
    </xf>
    <xf numFmtId="0" fontId="0" fillId="5" borderId="12" xfId="0" applyFont="1" applyFill="1" applyBorder="1" applyAlignment="1">
      <alignment horizontal="left" vertical="top" wrapText="1"/>
    </xf>
    <xf numFmtId="0" fontId="0" fillId="5" borderId="4" xfId="0" applyFont="1" applyFill="1" applyBorder="1" applyAlignment="1">
      <alignment horizontal="left" vertical="top" wrapText="1"/>
    </xf>
    <xf numFmtId="0" fontId="0" fillId="5" borderId="0" xfId="0" applyFont="1" applyFill="1" applyBorder="1" applyAlignment="1">
      <alignment horizontal="left" vertical="top" wrapText="1"/>
    </xf>
    <xf numFmtId="0" fontId="0" fillId="5" borderId="13" xfId="0" applyFont="1" applyFill="1" applyBorder="1" applyAlignment="1">
      <alignment horizontal="left" vertical="top" wrapText="1"/>
    </xf>
    <xf numFmtId="0" fontId="0" fillId="5" borderId="14" xfId="0" applyFont="1" applyFill="1" applyBorder="1" applyAlignment="1">
      <alignment horizontal="left" vertical="top" wrapText="1"/>
    </xf>
    <xf numFmtId="0" fontId="0" fillId="5" borderId="15" xfId="0" applyFont="1" applyFill="1" applyBorder="1" applyAlignment="1">
      <alignment horizontal="left" vertical="top" wrapText="1"/>
    </xf>
    <xf numFmtId="0" fontId="0" fillId="5" borderId="16" xfId="0" applyFont="1" applyFill="1" applyBorder="1" applyAlignment="1">
      <alignment horizontal="left" vertical="top" wrapText="1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10"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relativeIndent="1" justifyLastLine="0" shrinkToFit="0" readingOrder="0"/>
    </dxf>
    <dxf>
      <numFmt numFmtId="164" formatCode="d\ mmmm\ yyyy\,\ h:mm\ AM/PM"/>
      <alignment horizontal="left" vertical="bottom" textRotation="0" wrapText="0" indent="0" relativeIndent="255" justifyLastLine="0" shrinkToFit="0" readingOrder="0"/>
    </dxf>
    <dxf>
      <font>
        <strike/>
        <color theme="1" tint="0.499984740745262"/>
      </font>
    </dxf>
    <dxf>
      <numFmt numFmtId="32" formatCode="_(&quot;$&quot;* #,##0_);_(&quot;$&quot;* \(#,##0\);_(&quot;$&quot;* &quot;-&quot;_);_(@_)"/>
    </dxf>
    <dxf>
      <numFmt numFmtId="32" formatCode="_(&quot;$&quot;* #,##0_);_(&quot;$&quot;* \(#,##0\);_(&quot;$&quot;* &quot;-&quot;_);_(@_)"/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C89800"/>
      <color rgb="FFF2F2F2"/>
      <color rgb="FF7030A0"/>
      <color rgb="FFFA5CEF"/>
      <color rgb="FFC8C8C8"/>
      <color rgb="FFFFC000"/>
      <color rgb="FF00B0F0"/>
      <color rgb="FFC00000"/>
      <color rgb="FF99FF66"/>
      <color rgb="FF7F7F7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356875676603569"/>
          <c:y val="4.5407636738906139E-2"/>
          <c:w val="0.65116674547279529"/>
          <c:h val="0.7632972397739054"/>
        </c:manualLayout>
      </c:layout>
      <c:barChart>
        <c:barDir val="bar"/>
        <c:grouping val="stacked"/>
        <c:ser>
          <c:idx val="4"/>
          <c:order val="0"/>
          <c:tx>
            <c:strRef>
              <c:f>Analysis!$BD$4</c:f>
              <c:strCache>
                <c:ptCount val="1"/>
                <c:pt idx="0">
                  <c:v>dummy</c:v>
                </c:pt>
              </c:strCache>
            </c:strRef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-0.25797859123408989"/>
                  <c:y val="0"/>
                </c:manualLayout>
              </c:layout>
              <c:tx>
                <c:strRef>
                  <c:f>Analysis!$BE$6</c:f>
                  <c:strCache>
                    <c:ptCount val="1"/>
                    <c:pt idx="0">
                      <c:v>297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1"/>
              <c:layout>
                <c:manualLayout>
                  <c:x val="-0.25797859123408989"/>
                  <c:y val="0"/>
                </c:manualLayout>
              </c:layout>
              <c:tx>
                <c:strRef>
                  <c:f>Analysis!$BF$6</c:f>
                  <c:strCache>
                    <c:ptCount val="1"/>
                    <c:pt idx="0">
                      <c:v>145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2"/>
              <c:layout>
                <c:manualLayout>
                  <c:x val="-0.26380404643776895"/>
                  <c:y val="0"/>
                </c:manualLayout>
              </c:layout>
              <c:tx>
                <c:strRef>
                  <c:f>Analysis!$BG$6</c:f>
                  <c:strCache>
                    <c:ptCount val="1"/>
                    <c:pt idx="0">
                      <c:v>42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3"/>
              <c:layout>
                <c:manualLayout>
                  <c:x val="-0.26380404643776895"/>
                  <c:y val="0"/>
                </c:manualLayout>
              </c:layout>
              <c:tx>
                <c:strRef>
                  <c:f>Analysis!$BH$6</c:f>
                  <c:strCache>
                    <c:ptCount val="1"/>
                    <c:pt idx="0">
                      <c:v>39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4"/>
              <c:layout>
                <c:manualLayout>
                  <c:x val="-0.26380404643776895"/>
                  <c:y val="0"/>
                </c:manualLayout>
              </c:layout>
              <c:tx>
                <c:strRef>
                  <c:f>Analysis!$BI$6</c:f>
                  <c:strCache>
                    <c:ptCount val="1"/>
                    <c:pt idx="0">
                      <c:v>26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5"/>
              <c:layout>
                <c:manualLayout>
                  <c:x val="-0.26380404643776895"/>
                  <c:y val="0"/>
                </c:manualLayout>
              </c:layout>
              <c:tx>
                <c:strRef>
                  <c:f>Analysis!$BJ$6</c:f>
                  <c:strCache>
                    <c:ptCount val="1"/>
                    <c:pt idx="0">
                      <c:v>25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6"/>
              <c:layout>
                <c:manualLayout>
                  <c:x val="-0.26380404643776895"/>
                  <c:y val="0"/>
                </c:manualLayout>
              </c:layout>
              <c:tx>
                <c:strRef>
                  <c:f>Analysis!$BK$6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7"/>
              <c:layout>
                <c:manualLayout>
                  <c:x val="-0.26380404643776895"/>
                  <c:y val="0"/>
                </c:manualLayout>
              </c:layout>
              <c:tx>
                <c:strRef>
                  <c:f>Analysis!$BL$6</c:f>
                  <c:strCache>
                    <c:ptCount val="1"/>
                    <c:pt idx="0">
                      <c:v>17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8"/>
              <c:layout>
                <c:manualLayout>
                  <c:x val="-0.26962950164144867"/>
                  <c:y val="0"/>
                </c:manualLayout>
              </c:layout>
              <c:tx>
                <c:strRef>
                  <c:f>Analysis!$BM$6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dLbl>
              <c:idx val="9"/>
              <c:layout>
                <c:manualLayout>
                  <c:x val="-0.26962950164144867"/>
                  <c:y val="0"/>
                </c:manualLayout>
              </c:layout>
              <c:tx>
                <c:strRef>
                  <c:f>Analysis!$BN$6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Val val="1"/>
            </c:dLbl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[0]!boxchartJobType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CXO or Top Mgmt.</c:v>
                </c:pt>
                <c:pt idx="4">
                  <c:v>Engineer</c:v>
                </c:pt>
                <c:pt idx="5">
                  <c:v>Specialist</c:v>
                </c:pt>
                <c:pt idx="6">
                  <c:v>Consultant</c:v>
                </c:pt>
                <c:pt idx="7">
                  <c:v>Controller</c:v>
                </c:pt>
                <c:pt idx="8">
                  <c:v>Reporting</c:v>
                </c:pt>
                <c:pt idx="9">
                  <c:v>Misc.</c:v>
                </c:pt>
              </c:strCache>
            </c:strRef>
          </c:cat>
          <c:val>
            <c:numRef>
              <c:f>[0]!boxchartDummy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0"/>
          <c:order val="1"/>
          <c:tx>
            <c:strRef>
              <c:f>Analysis!$BD$14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  <a:ln>
              <a:noFill/>
            </a:ln>
          </c:spPr>
          <c:dLbls>
            <c:delete val="1"/>
          </c:dLbls>
          <c:errBars>
            <c:errBarType val="minus"/>
            <c:errValType val="cust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[0]!boxchartWminus</c:f>
                <c:numCache>
                  <c:formatCode>General</c:formatCode>
                  <c:ptCount val="10"/>
                  <c:pt idx="0">
                    <c:v>36000</c:v>
                  </c:pt>
                  <c:pt idx="1">
                    <c:v>37500</c:v>
                  </c:pt>
                  <c:pt idx="2">
                    <c:v>22870</c:v>
                  </c:pt>
                  <c:pt idx="3">
                    <c:v>74000</c:v>
                  </c:pt>
                  <c:pt idx="4">
                    <c:v>33750</c:v>
                  </c:pt>
                  <c:pt idx="5">
                    <c:v>14000</c:v>
                  </c:pt>
                  <c:pt idx="6">
                    <c:v>57750</c:v>
                  </c:pt>
                  <c:pt idx="7">
                    <c:v>41000</c:v>
                  </c:pt>
                  <c:pt idx="8">
                    <c:v>0</c:v>
                  </c:pt>
                  <c:pt idx="9">
                    <c:v>0</c:v>
                  </c:pt>
                </c:numCache>
              </c:numRef>
            </c:minus>
            <c:spPr>
              <a:ln w="9525">
                <a:solidFill>
                  <a:srgbClr val="7F7F7F"/>
                </a:solidFill>
              </a:ln>
            </c:spPr>
          </c:errBars>
          <c:cat>
            <c:strRef>
              <c:f>[0]!boxchartJobType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CXO or Top Mgmt.</c:v>
                </c:pt>
                <c:pt idx="4">
                  <c:v>Engineer</c:v>
                </c:pt>
                <c:pt idx="5">
                  <c:v>Specialist</c:v>
                </c:pt>
                <c:pt idx="6">
                  <c:v>Consultant</c:v>
                </c:pt>
                <c:pt idx="7">
                  <c:v>Controller</c:v>
                </c:pt>
                <c:pt idx="8">
                  <c:v>Reporting</c:v>
                </c:pt>
                <c:pt idx="9">
                  <c:v>Misc.</c:v>
                </c:pt>
              </c:strCache>
            </c:strRef>
          </c:cat>
          <c:val>
            <c:numRef>
              <c:f>[0]!boxchartBottom</c:f>
              <c:numCache>
                <c:formatCode>#,##0</c:formatCode>
                <c:ptCount val="10"/>
                <c:pt idx="0">
                  <c:v>46000</c:v>
                </c:pt>
                <c:pt idx="1">
                  <c:v>52500</c:v>
                </c:pt>
                <c:pt idx="2">
                  <c:v>45750</c:v>
                </c:pt>
                <c:pt idx="3">
                  <c:v>90000</c:v>
                </c:pt>
                <c:pt idx="4">
                  <c:v>57750</c:v>
                </c:pt>
                <c:pt idx="5">
                  <c:v>45000</c:v>
                </c:pt>
                <c:pt idx="6">
                  <c:v>69750</c:v>
                </c:pt>
                <c:pt idx="7">
                  <c:v>65000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val>
        </c:ser>
        <c:ser>
          <c:idx val="1"/>
          <c:order val="2"/>
          <c:tx>
            <c:strRef>
              <c:f>Analysis!$BD$15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prstClr val="white">
                <a:lumMod val="85000"/>
              </a:prstClr>
            </a:solidFill>
            <a:ln>
              <a:solidFill>
                <a:srgbClr val="7F7F7F"/>
              </a:solidFill>
            </a:ln>
          </c:spPr>
          <c:dLbls>
            <c:delete val="1"/>
          </c:dLbls>
          <c:cat>
            <c:strRef>
              <c:f>[0]!boxchartJobType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CXO or Top Mgmt.</c:v>
                </c:pt>
                <c:pt idx="4">
                  <c:v>Engineer</c:v>
                </c:pt>
                <c:pt idx="5">
                  <c:v>Specialist</c:v>
                </c:pt>
                <c:pt idx="6">
                  <c:v>Consultant</c:v>
                </c:pt>
                <c:pt idx="7">
                  <c:v>Controller</c:v>
                </c:pt>
                <c:pt idx="8">
                  <c:v>Reporting</c:v>
                </c:pt>
                <c:pt idx="9">
                  <c:v>Misc.</c:v>
                </c:pt>
              </c:strCache>
            </c:strRef>
          </c:cat>
          <c:val>
            <c:numRef>
              <c:f>[0]!boxchart2Q</c:f>
              <c:numCache>
                <c:formatCode>#,##0</c:formatCode>
                <c:ptCount val="10"/>
                <c:pt idx="0">
                  <c:v>14000</c:v>
                </c:pt>
                <c:pt idx="1">
                  <c:v>17500</c:v>
                </c:pt>
                <c:pt idx="2">
                  <c:v>13250</c:v>
                </c:pt>
                <c:pt idx="3">
                  <c:v>24000</c:v>
                </c:pt>
                <c:pt idx="4">
                  <c:v>15500</c:v>
                </c:pt>
                <c:pt idx="5">
                  <c:v>5000</c:v>
                </c:pt>
                <c:pt idx="6">
                  <c:v>17750</c:v>
                </c:pt>
                <c:pt idx="7">
                  <c:v>15000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val>
        </c:ser>
        <c:ser>
          <c:idx val="2"/>
          <c:order val="3"/>
          <c:tx>
            <c:strRef>
              <c:f>Analysis!$BD$16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7F7F7F"/>
              </a:solidFill>
            </a:ln>
          </c:spPr>
          <c:dLbls>
            <c:delete val="1"/>
          </c:dLbls>
          <c:errBars>
            <c:errBarType val="plus"/>
            <c:errValType val="cust"/>
            <c:plus>
              <c:numRef>
                <c:f>[0]!boxchartWplus</c:f>
                <c:numCache>
                  <c:formatCode>General</c:formatCode>
                  <c:ptCount val="10"/>
                  <c:pt idx="0">
                    <c:v>85000</c:v>
                  </c:pt>
                  <c:pt idx="1">
                    <c:v>310000</c:v>
                  </c:pt>
                  <c:pt idx="2">
                    <c:v>75000</c:v>
                  </c:pt>
                  <c:pt idx="3">
                    <c:v>150000</c:v>
                  </c:pt>
                  <c:pt idx="4">
                    <c:v>45000</c:v>
                  </c:pt>
                  <c:pt idx="5">
                    <c:v>327000</c:v>
                  </c:pt>
                  <c:pt idx="6">
                    <c:v>136750</c:v>
                  </c:pt>
                  <c:pt idx="7">
                    <c:v>115000</c:v>
                  </c:pt>
                  <c:pt idx="8">
                    <c:v>0</c:v>
                  </c:pt>
                  <c:pt idx="9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9525">
                <a:solidFill>
                  <a:srgbClr val="7F7F7F"/>
                </a:solidFill>
              </a:ln>
            </c:spPr>
          </c:errBars>
          <c:cat>
            <c:strRef>
              <c:f>[0]!boxchartJobType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CXO or Top Mgmt.</c:v>
                </c:pt>
                <c:pt idx="4">
                  <c:v>Engineer</c:v>
                </c:pt>
                <c:pt idx="5">
                  <c:v>Specialist</c:v>
                </c:pt>
                <c:pt idx="6">
                  <c:v>Consultant</c:v>
                </c:pt>
                <c:pt idx="7">
                  <c:v>Controller</c:v>
                </c:pt>
                <c:pt idx="8">
                  <c:v>Reporting</c:v>
                </c:pt>
                <c:pt idx="9">
                  <c:v>Misc.</c:v>
                </c:pt>
              </c:strCache>
            </c:strRef>
          </c:cat>
          <c:val>
            <c:numRef>
              <c:f>[0]!boxchart3Q</c:f>
              <c:numCache>
                <c:formatCode>#,##0</c:formatCode>
                <c:ptCount val="10"/>
                <c:pt idx="0">
                  <c:v>15000</c:v>
                </c:pt>
                <c:pt idx="1">
                  <c:v>20000</c:v>
                </c:pt>
                <c:pt idx="2">
                  <c:v>16000</c:v>
                </c:pt>
                <c:pt idx="3">
                  <c:v>36000</c:v>
                </c:pt>
                <c:pt idx="4">
                  <c:v>11750</c:v>
                </c:pt>
                <c:pt idx="5">
                  <c:v>23000</c:v>
                </c:pt>
                <c:pt idx="6">
                  <c:v>25750</c:v>
                </c:pt>
                <c:pt idx="7">
                  <c:v>19000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val>
        </c:ser>
        <c:dLbls>
          <c:showVal val="1"/>
        </c:dLbls>
        <c:gapWidth val="50"/>
        <c:overlap val="100"/>
        <c:axId val="147079168"/>
        <c:axId val="147080704"/>
      </c:barChart>
      <c:scatterChart>
        <c:scatterStyle val="lineMarker"/>
        <c:ser>
          <c:idx val="3"/>
          <c:order val="4"/>
          <c:tx>
            <c:strRef>
              <c:f>Analysis!$BD$19</c:f>
              <c:strCache>
                <c:ptCount val="1"/>
                <c:pt idx="0">
                  <c:v>Offset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dLbls>
            <c:delete val="1"/>
          </c:dLbls>
          <c:xVal>
            <c:numRef>
              <c:f>[0]!boxchartMean</c:f>
              <c:numCache>
                <c:formatCode>#,##0</c:formatCode>
                <c:ptCount val="10"/>
                <c:pt idx="0">
                  <c:v>62583.737373737371</c:v>
                </c:pt>
                <c:pt idx="1">
                  <c:v>77581.710344827588</c:v>
                </c:pt>
                <c:pt idx="2">
                  <c:v>64737.190476190473</c:v>
                </c:pt>
                <c:pt idx="3">
                  <c:v>125615.38461538461</c:v>
                </c:pt>
                <c:pt idx="4">
                  <c:v>72056.153846153844</c:v>
                </c:pt>
                <c:pt idx="5">
                  <c:v>69800</c:v>
                </c:pt>
                <c:pt idx="6">
                  <c:v>98388.888888888891</c:v>
                </c:pt>
                <c:pt idx="7">
                  <c:v>87813.23529411765</c:v>
                </c:pt>
                <c:pt idx="8" formatCode="General">
                  <c:v>58200</c:v>
                </c:pt>
                <c:pt idx="9" formatCode="General">
                  <c:v>83820.333333333328</c:v>
                </c:pt>
              </c:numCache>
            </c:numRef>
          </c:xVal>
          <c:yVal>
            <c:numRef>
              <c:f>[0]!boxchartOffset</c:f>
              <c:numCache>
                <c:formatCode>General</c:formatCode>
                <c:ptCount val="10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</c:numCache>
            </c:numRef>
          </c:yVal>
        </c:ser>
        <c:ser>
          <c:idx val="5"/>
          <c:order val="5"/>
          <c:tx>
            <c:strRef>
              <c:f>Analysis!$BD$20</c:f>
              <c:strCache>
                <c:ptCount val="1"/>
                <c:pt idx="0">
                  <c:v>Benchmark</c:v>
                </c:pt>
              </c:strCache>
            </c:strRef>
          </c:tx>
          <c:spPr>
            <a:ln w="28575">
              <a:noFill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rgbClr val="7030A0"/>
              </a:solidFill>
              <a:ln w="12700" cmpd="sng">
                <a:solidFill>
                  <a:schemeClr val="bg1"/>
                </a:solidFill>
                <a:prstDash val="solid"/>
                <a:headEnd type="none" w="sm" len="sm"/>
                <a:tailEnd type="none" w="sm" len="sm"/>
              </a:ln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</c:spPr>
          </c:marker>
          <c:dLbls>
            <c:delete val="1"/>
          </c:dLbls>
          <c:xVal>
            <c:numRef>
              <c:f>[0]!boxchartBenchmark</c:f>
              <c:numCache>
                <c:formatCode>General</c:formatCode>
                <c:ptCount val="10"/>
                <c:pt idx="0">
                  <c:v>72829.440000000002</c:v>
                </c:pt>
                <c:pt idx="1">
                  <c:v>#N/A</c:v>
                </c:pt>
                <c:pt idx="2">
                  <c:v>61241.039999999994</c:v>
                </c:pt>
                <c:pt idx="3">
                  <c:v>#N/A</c:v>
                </c:pt>
                <c:pt idx="4">
                  <c:v>87675.12000000001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[0]!boxchartOffset</c:f>
              <c:numCache>
                <c:formatCode>General</c:formatCode>
                <c:ptCount val="10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</c:numCache>
            </c:numRef>
          </c:yVal>
        </c:ser>
        <c:dLbls>
          <c:showVal val="1"/>
        </c:dLbls>
        <c:axId val="147088128"/>
        <c:axId val="147082240"/>
      </c:scatterChart>
      <c:catAx>
        <c:axId val="147079168"/>
        <c:scaling>
          <c:orientation val="maxMin"/>
        </c:scaling>
        <c:axPos val="l"/>
        <c:majorGridlines>
          <c:spPr>
            <a:ln>
              <a:solidFill>
                <a:srgbClr val="F2F2F2"/>
              </a:solidFill>
            </a:ln>
          </c:spPr>
        </c:majorGridlines>
        <c:majorTickMark val="none"/>
        <c:tickLblPos val="nextTo"/>
        <c:spPr>
          <a:noFill/>
        </c:spPr>
        <c:txPr>
          <a:bodyPr/>
          <a:lstStyle/>
          <a:p>
            <a:pPr>
              <a:defRPr sz="1050"/>
            </a:pPr>
            <a:endParaRPr lang="en-US"/>
          </a:p>
        </c:txPr>
        <c:crossAx val="147080704"/>
        <c:crosses val="autoZero"/>
        <c:auto val="1"/>
        <c:lblAlgn val="ctr"/>
        <c:lblOffset val="100"/>
        <c:tickLblSkip val="1"/>
        <c:tickMarkSkip val="1"/>
      </c:catAx>
      <c:valAx>
        <c:axId val="147080704"/>
        <c:scaling>
          <c:orientation val="minMax"/>
        </c:scaling>
        <c:axPos val="b"/>
        <c:numFmt formatCode="_(&quot;$&quot;* #,##0_);_(&quot;$&quot;* \(#,##0\);_(&quot;$&quot;* &quot;-&quot;_);_(@_)" sourceLinked="0"/>
        <c:tickLblPos val="nextTo"/>
        <c:crossAx val="147079168"/>
        <c:crosses val="max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0.76116369880523849"/>
                <c:y val="0.88065280595794027"/>
              </c:manualLayout>
            </c:layout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  <c:valAx>
        <c:axId val="147082240"/>
        <c:scaling>
          <c:orientation val="maxMin"/>
        </c:scaling>
        <c:axPos val="r"/>
        <c:numFmt formatCode="General" sourceLinked="1"/>
        <c:tickLblPos val="none"/>
        <c:spPr>
          <a:ln>
            <a:noFill/>
          </a:ln>
        </c:spPr>
        <c:crossAx val="147088128"/>
        <c:crosses val="max"/>
        <c:crossBetween val="midCat"/>
        <c:majorUnit val="1"/>
        <c:minorUnit val="0.5"/>
      </c:valAx>
      <c:valAx>
        <c:axId val="147088128"/>
        <c:scaling>
          <c:orientation val="minMax"/>
        </c:scaling>
        <c:delete val="1"/>
        <c:axPos val="b"/>
        <c:numFmt formatCode="#,##0" sourceLinked="1"/>
        <c:tickLblPos val="none"/>
        <c:crossAx val="147082240"/>
        <c:crosses val="max"/>
        <c:crossBetween val="midCat"/>
        <c:dispUnits>
          <c:builtInUnit val="thousands"/>
          <c:dispUnitsLbl>
            <c:layout/>
          </c:dispUnitsLbl>
        </c:dispUnits>
      </c:valAx>
      <c:spPr>
        <a:noFill/>
      </c:spPr>
    </c:plotArea>
    <c:plotVisOnly val="1"/>
    <c:dispBlanksAs val="gap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>
        <c:manualLayout>
          <c:layoutTarget val="inner"/>
          <c:xMode val="edge"/>
          <c:yMode val="edge"/>
          <c:x val="0.1963796052483015"/>
          <c:y val="2.2415131992798421E-2"/>
          <c:w val="0.77100750075751434"/>
          <c:h val="0.8082172074754197"/>
        </c:manualLayout>
      </c:layout>
      <c:scatterChart>
        <c:scatterStyle val="lineMarker"/>
        <c:ser>
          <c:idx val="1"/>
          <c:order val="0"/>
          <c:tx>
            <c:strRef>
              <c:f>Analysis!$T$2</c:f>
              <c:strCache>
                <c:ptCount val="1"/>
                <c:pt idx="0">
                  <c:v>Non-choices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C8C8C8"/>
              </a:solidFill>
              <a:ln>
                <a:noFill/>
              </a:ln>
            </c:spPr>
          </c:marker>
          <c:xVal>
            <c:numRef>
              <c:f>Data!$M$554:$M$1888</c:f>
              <c:numCache>
                <c:formatCode>General</c:formatCode>
                <c:ptCount val="1335"/>
                <c:pt idx="0">
                  <c:v>5</c:v>
                </c:pt>
                <c:pt idx="1">
                  <c:v>20</c:v>
                </c:pt>
                <c:pt idx="2">
                  <c:v>7</c:v>
                </c:pt>
                <c:pt idx="3">
                  <c:v>20</c:v>
                </c:pt>
                <c:pt idx="4">
                  <c:v>1</c:v>
                </c:pt>
                <c:pt idx="5">
                  <c:v>10</c:v>
                </c:pt>
                <c:pt idx="6">
                  <c:v>6</c:v>
                </c:pt>
                <c:pt idx="7">
                  <c:v>2</c:v>
                </c:pt>
                <c:pt idx="8">
                  <c:v>11</c:v>
                </c:pt>
                <c:pt idx="9">
                  <c:v>20</c:v>
                </c:pt>
                <c:pt idx="10">
                  <c:v>23</c:v>
                </c:pt>
                <c:pt idx="11">
                  <c:v>11</c:v>
                </c:pt>
                <c:pt idx="12">
                  <c:v>6</c:v>
                </c:pt>
                <c:pt idx="13">
                  <c:v>27</c:v>
                </c:pt>
                <c:pt idx="14">
                  <c:v>10</c:v>
                </c:pt>
                <c:pt idx="15">
                  <c:v>6</c:v>
                </c:pt>
                <c:pt idx="16">
                  <c:v>20</c:v>
                </c:pt>
                <c:pt idx="17">
                  <c:v>8</c:v>
                </c:pt>
                <c:pt idx="18">
                  <c:v>15</c:v>
                </c:pt>
                <c:pt idx="19">
                  <c:v>22</c:v>
                </c:pt>
                <c:pt idx="20">
                  <c:v>27</c:v>
                </c:pt>
                <c:pt idx="21">
                  <c:v>3</c:v>
                </c:pt>
                <c:pt idx="22">
                  <c:v>10</c:v>
                </c:pt>
                <c:pt idx="23">
                  <c:v>30</c:v>
                </c:pt>
                <c:pt idx="24">
                  <c:v>10</c:v>
                </c:pt>
                <c:pt idx="25">
                  <c:v>15</c:v>
                </c:pt>
                <c:pt idx="26">
                  <c:v>3</c:v>
                </c:pt>
                <c:pt idx="27">
                  <c:v>16</c:v>
                </c:pt>
                <c:pt idx="28">
                  <c:v>25</c:v>
                </c:pt>
                <c:pt idx="29">
                  <c:v>8</c:v>
                </c:pt>
                <c:pt idx="30">
                  <c:v>3</c:v>
                </c:pt>
                <c:pt idx="31">
                  <c:v>7</c:v>
                </c:pt>
                <c:pt idx="32">
                  <c:v>10</c:v>
                </c:pt>
                <c:pt idx="33">
                  <c:v>10</c:v>
                </c:pt>
                <c:pt idx="34">
                  <c:v>4</c:v>
                </c:pt>
                <c:pt idx="35">
                  <c:v>7</c:v>
                </c:pt>
                <c:pt idx="36">
                  <c:v>5</c:v>
                </c:pt>
                <c:pt idx="37">
                  <c:v>3</c:v>
                </c:pt>
                <c:pt idx="38">
                  <c:v>25</c:v>
                </c:pt>
                <c:pt idx="39">
                  <c:v>15</c:v>
                </c:pt>
                <c:pt idx="40">
                  <c:v>7</c:v>
                </c:pt>
                <c:pt idx="41">
                  <c:v>20</c:v>
                </c:pt>
                <c:pt idx="42">
                  <c:v>5</c:v>
                </c:pt>
                <c:pt idx="43">
                  <c:v>10</c:v>
                </c:pt>
                <c:pt idx="44">
                  <c:v>17</c:v>
                </c:pt>
                <c:pt idx="45">
                  <c:v>18</c:v>
                </c:pt>
                <c:pt idx="46">
                  <c:v>5</c:v>
                </c:pt>
                <c:pt idx="47">
                  <c:v>20</c:v>
                </c:pt>
                <c:pt idx="48">
                  <c:v>10</c:v>
                </c:pt>
                <c:pt idx="49">
                  <c:v>8</c:v>
                </c:pt>
                <c:pt idx="50">
                  <c:v>3</c:v>
                </c:pt>
                <c:pt idx="51">
                  <c:v>5</c:v>
                </c:pt>
                <c:pt idx="52">
                  <c:v>20</c:v>
                </c:pt>
                <c:pt idx="53">
                  <c:v>6</c:v>
                </c:pt>
                <c:pt idx="54">
                  <c:v>10</c:v>
                </c:pt>
                <c:pt idx="55">
                  <c:v>15</c:v>
                </c:pt>
                <c:pt idx="56">
                  <c:v>23</c:v>
                </c:pt>
                <c:pt idx="57">
                  <c:v>32</c:v>
                </c:pt>
                <c:pt idx="58">
                  <c:v>3</c:v>
                </c:pt>
                <c:pt idx="59">
                  <c:v>26</c:v>
                </c:pt>
                <c:pt idx="60">
                  <c:v>20</c:v>
                </c:pt>
                <c:pt idx="61">
                  <c:v>20</c:v>
                </c:pt>
                <c:pt idx="62">
                  <c:v>6</c:v>
                </c:pt>
                <c:pt idx="63">
                  <c:v>1</c:v>
                </c:pt>
                <c:pt idx="64">
                  <c:v>10</c:v>
                </c:pt>
                <c:pt idx="65">
                  <c:v>5</c:v>
                </c:pt>
                <c:pt idx="66">
                  <c:v>4</c:v>
                </c:pt>
                <c:pt idx="67">
                  <c:v>12</c:v>
                </c:pt>
                <c:pt idx="68">
                  <c:v>3</c:v>
                </c:pt>
                <c:pt idx="69">
                  <c:v>12</c:v>
                </c:pt>
                <c:pt idx="70">
                  <c:v>10</c:v>
                </c:pt>
                <c:pt idx="71">
                  <c:v>20</c:v>
                </c:pt>
                <c:pt idx="72">
                  <c:v>4</c:v>
                </c:pt>
                <c:pt idx="73">
                  <c:v>3</c:v>
                </c:pt>
                <c:pt idx="74">
                  <c:v>8</c:v>
                </c:pt>
                <c:pt idx="75">
                  <c:v>3</c:v>
                </c:pt>
                <c:pt idx="76">
                  <c:v>2</c:v>
                </c:pt>
                <c:pt idx="77">
                  <c:v>1.5</c:v>
                </c:pt>
                <c:pt idx="78">
                  <c:v>6</c:v>
                </c:pt>
                <c:pt idx="79">
                  <c:v>5</c:v>
                </c:pt>
                <c:pt idx="80">
                  <c:v>30</c:v>
                </c:pt>
                <c:pt idx="81">
                  <c:v>1</c:v>
                </c:pt>
                <c:pt idx="82">
                  <c:v>5</c:v>
                </c:pt>
                <c:pt idx="83">
                  <c:v>11</c:v>
                </c:pt>
                <c:pt idx="84">
                  <c:v>4</c:v>
                </c:pt>
                <c:pt idx="85">
                  <c:v>1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8</c:v>
                </c:pt>
                <c:pt idx="91">
                  <c:v>3</c:v>
                </c:pt>
                <c:pt idx="92">
                  <c:v>10</c:v>
                </c:pt>
                <c:pt idx="93">
                  <c:v>9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11</c:v>
                </c:pt>
                <c:pt idx="98">
                  <c:v>12</c:v>
                </c:pt>
                <c:pt idx="99">
                  <c:v>10</c:v>
                </c:pt>
                <c:pt idx="100">
                  <c:v>4.5</c:v>
                </c:pt>
                <c:pt idx="101">
                  <c:v>3</c:v>
                </c:pt>
                <c:pt idx="102">
                  <c:v>8</c:v>
                </c:pt>
                <c:pt idx="103">
                  <c:v>8</c:v>
                </c:pt>
                <c:pt idx="104">
                  <c:v>3</c:v>
                </c:pt>
                <c:pt idx="105">
                  <c:v>3</c:v>
                </c:pt>
                <c:pt idx="106">
                  <c:v>12</c:v>
                </c:pt>
                <c:pt idx="107">
                  <c:v>15</c:v>
                </c:pt>
                <c:pt idx="108">
                  <c:v>7.3</c:v>
                </c:pt>
                <c:pt idx="109">
                  <c:v>1</c:v>
                </c:pt>
                <c:pt idx="110">
                  <c:v>6</c:v>
                </c:pt>
                <c:pt idx="111">
                  <c:v>4.5</c:v>
                </c:pt>
                <c:pt idx="112">
                  <c:v>4.5</c:v>
                </c:pt>
                <c:pt idx="113">
                  <c:v>15</c:v>
                </c:pt>
                <c:pt idx="114">
                  <c:v>5</c:v>
                </c:pt>
                <c:pt idx="115">
                  <c:v>4</c:v>
                </c:pt>
                <c:pt idx="116">
                  <c:v>9</c:v>
                </c:pt>
                <c:pt idx="117">
                  <c:v>20</c:v>
                </c:pt>
                <c:pt idx="118">
                  <c:v>3</c:v>
                </c:pt>
                <c:pt idx="119">
                  <c:v>18</c:v>
                </c:pt>
                <c:pt idx="120">
                  <c:v>2</c:v>
                </c:pt>
                <c:pt idx="121">
                  <c:v>3</c:v>
                </c:pt>
                <c:pt idx="122">
                  <c:v>4</c:v>
                </c:pt>
                <c:pt idx="123">
                  <c:v>7</c:v>
                </c:pt>
                <c:pt idx="124">
                  <c:v>7</c:v>
                </c:pt>
                <c:pt idx="125">
                  <c:v>10</c:v>
                </c:pt>
                <c:pt idx="126">
                  <c:v>20</c:v>
                </c:pt>
                <c:pt idx="127">
                  <c:v>3</c:v>
                </c:pt>
                <c:pt idx="128">
                  <c:v>2</c:v>
                </c:pt>
                <c:pt idx="129">
                  <c:v>23</c:v>
                </c:pt>
                <c:pt idx="130">
                  <c:v>6</c:v>
                </c:pt>
                <c:pt idx="131">
                  <c:v>2</c:v>
                </c:pt>
                <c:pt idx="132">
                  <c:v>4</c:v>
                </c:pt>
                <c:pt idx="133">
                  <c:v>4.5</c:v>
                </c:pt>
                <c:pt idx="134">
                  <c:v>5</c:v>
                </c:pt>
                <c:pt idx="135">
                  <c:v>14</c:v>
                </c:pt>
                <c:pt idx="136">
                  <c:v>7</c:v>
                </c:pt>
                <c:pt idx="137">
                  <c:v>7</c:v>
                </c:pt>
                <c:pt idx="138">
                  <c:v>2</c:v>
                </c:pt>
                <c:pt idx="139">
                  <c:v>2</c:v>
                </c:pt>
                <c:pt idx="140">
                  <c:v>10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4</c:v>
                </c:pt>
                <c:pt idx="146">
                  <c:v>8</c:v>
                </c:pt>
                <c:pt idx="147">
                  <c:v>0</c:v>
                </c:pt>
                <c:pt idx="148">
                  <c:v>5</c:v>
                </c:pt>
                <c:pt idx="149">
                  <c:v>2</c:v>
                </c:pt>
                <c:pt idx="150">
                  <c:v>2</c:v>
                </c:pt>
                <c:pt idx="151">
                  <c:v>12</c:v>
                </c:pt>
                <c:pt idx="152">
                  <c:v>1</c:v>
                </c:pt>
                <c:pt idx="153">
                  <c:v>2</c:v>
                </c:pt>
                <c:pt idx="154">
                  <c:v>10</c:v>
                </c:pt>
                <c:pt idx="155">
                  <c:v>7</c:v>
                </c:pt>
                <c:pt idx="156">
                  <c:v>6</c:v>
                </c:pt>
                <c:pt idx="157">
                  <c:v>15</c:v>
                </c:pt>
                <c:pt idx="158">
                  <c:v>6</c:v>
                </c:pt>
                <c:pt idx="159">
                  <c:v>2</c:v>
                </c:pt>
                <c:pt idx="160">
                  <c:v>4</c:v>
                </c:pt>
                <c:pt idx="161">
                  <c:v>3</c:v>
                </c:pt>
                <c:pt idx="162">
                  <c:v>6</c:v>
                </c:pt>
                <c:pt idx="163">
                  <c:v>2</c:v>
                </c:pt>
                <c:pt idx="164">
                  <c:v>1</c:v>
                </c:pt>
                <c:pt idx="165">
                  <c:v>7</c:v>
                </c:pt>
                <c:pt idx="166">
                  <c:v>3.5</c:v>
                </c:pt>
                <c:pt idx="167">
                  <c:v>10</c:v>
                </c:pt>
                <c:pt idx="168">
                  <c:v>12</c:v>
                </c:pt>
                <c:pt idx="169">
                  <c:v>4</c:v>
                </c:pt>
                <c:pt idx="170">
                  <c:v>10</c:v>
                </c:pt>
                <c:pt idx="171">
                  <c:v>13</c:v>
                </c:pt>
                <c:pt idx="172">
                  <c:v>8</c:v>
                </c:pt>
                <c:pt idx="173">
                  <c:v>15</c:v>
                </c:pt>
                <c:pt idx="174">
                  <c:v>15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2</c:v>
                </c:pt>
                <c:pt idx="179">
                  <c:v>7</c:v>
                </c:pt>
                <c:pt idx="180">
                  <c:v>2</c:v>
                </c:pt>
                <c:pt idx="181">
                  <c:v>12</c:v>
                </c:pt>
                <c:pt idx="182">
                  <c:v>5</c:v>
                </c:pt>
                <c:pt idx="183">
                  <c:v>1.5</c:v>
                </c:pt>
                <c:pt idx="184">
                  <c:v>15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7</c:v>
                </c:pt>
                <c:pt idx="189">
                  <c:v>7</c:v>
                </c:pt>
                <c:pt idx="190">
                  <c:v>8</c:v>
                </c:pt>
                <c:pt idx="191">
                  <c:v>8</c:v>
                </c:pt>
                <c:pt idx="192">
                  <c:v>4.5</c:v>
                </c:pt>
                <c:pt idx="193">
                  <c:v>6</c:v>
                </c:pt>
                <c:pt idx="194">
                  <c:v>5.5</c:v>
                </c:pt>
                <c:pt idx="195">
                  <c:v>5</c:v>
                </c:pt>
                <c:pt idx="196">
                  <c:v>20</c:v>
                </c:pt>
                <c:pt idx="197">
                  <c:v>5</c:v>
                </c:pt>
                <c:pt idx="198">
                  <c:v>1</c:v>
                </c:pt>
                <c:pt idx="199">
                  <c:v>15</c:v>
                </c:pt>
                <c:pt idx="200">
                  <c:v>20</c:v>
                </c:pt>
                <c:pt idx="201">
                  <c:v>2</c:v>
                </c:pt>
                <c:pt idx="202">
                  <c:v>2</c:v>
                </c:pt>
                <c:pt idx="203">
                  <c:v>5</c:v>
                </c:pt>
                <c:pt idx="204">
                  <c:v>4</c:v>
                </c:pt>
                <c:pt idx="205">
                  <c:v>11</c:v>
                </c:pt>
                <c:pt idx="206">
                  <c:v>14</c:v>
                </c:pt>
                <c:pt idx="207">
                  <c:v>10</c:v>
                </c:pt>
                <c:pt idx="208">
                  <c:v>20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2.5</c:v>
                </c:pt>
                <c:pt idx="213">
                  <c:v>15</c:v>
                </c:pt>
                <c:pt idx="214">
                  <c:v>18</c:v>
                </c:pt>
                <c:pt idx="215">
                  <c:v>11</c:v>
                </c:pt>
                <c:pt idx="216">
                  <c:v>7</c:v>
                </c:pt>
                <c:pt idx="217">
                  <c:v>2.4</c:v>
                </c:pt>
                <c:pt idx="218">
                  <c:v>7</c:v>
                </c:pt>
                <c:pt idx="219">
                  <c:v>7</c:v>
                </c:pt>
                <c:pt idx="220">
                  <c:v>12</c:v>
                </c:pt>
                <c:pt idx="221">
                  <c:v>5</c:v>
                </c:pt>
                <c:pt idx="222">
                  <c:v>1</c:v>
                </c:pt>
                <c:pt idx="223">
                  <c:v>4</c:v>
                </c:pt>
                <c:pt idx="224">
                  <c:v>7</c:v>
                </c:pt>
                <c:pt idx="225">
                  <c:v>12</c:v>
                </c:pt>
                <c:pt idx="226">
                  <c:v>20</c:v>
                </c:pt>
                <c:pt idx="227">
                  <c:v>10</c:v>
                </c:pt>
                <c:pt idx="228">
                  <c:v>1.5</c:v>
                </c:pt>
                <c:pt idx="229">
                  <c:v>5</c:v>
                </c:pt>
                <c:pt idx="230">
                  <c:v>2</c:v>
                </c:pt>
                <c:pt idx="231">
                  <c:v>8</c:v>
                </c:pt>
                <c:pt idx="232">
                  <c:v>6</c:v>
                </c:pt>
                <c:pt idx="233">
                  <c:v>10</c:v>
                </c:pt>
                <c:pt idx="234">
                  <c:v>10</c:v>
                </c:pt>
                <c:pt idx="235">
                  <c:v>7</c:v>
                </c:pt>
                <c:pt idx="236">
                  <c:v>15</c:v>
                </c:pt>
                <c:pt idx="237">
                  <c:v>10</c:v>
                </c:pt>
                <c:pt idx="238">
                  <c:v>4</c:v>
                </c:pt>
                <c:pt idx="239">
                  <c:v>10</c:v>
                </c:pt>
                <c:pt idx="240">
                  <c:v>40</c:v>
                </c:pt>
                <c:pt idx="241">
                  <c:v>2</c:v>
                </c:pt>
                <c:pt idx="242">
                  <c:v>15</c:v>
                </c:pt>
                <c:pt idx="243">
                  <c:v>6</c:v>
                </c:pt>
                <c:pt idx="244">
                  <c:v>16</c:v>
                </c:pt>
                <c:pt idx="245">
                  <c:v>2</c:v>
                </c:pt>
                <c:pt idx="246">
                  <c:v>5</c:v>
                </c:pt>
                <c:pt idx="247">
                  <c:v>15</c:v>
                </c:pt>
                <c:pt idx="248">
                  <c:v>5</c:v>
                </c:pt>
                <c:pt idx="249">
                  <c:v>3</c:v>
                </c:pt>
                <c:pt idx="250">
                  <c:v>5</c:v>
                </c:pt>
                <c:pt idx="251">
                  <c:v>13</c:v>
                </c:pt>
                <c:pt idx="252">
                  <c:v>0</c:v>
                </c:pt>
                <c:pt idx="253">
                  <c:v>3</c:v>
                </c:pt>
                <c:pt idx="254">
                  <c:v>1</c:v>
                </c:pt>
                <c:pt idx="255">
                  <c:v>12</c:v>
                </c:pt>
                <c:pt idx="256">
                  <c:v>3</c:v>
                </c:pt>
                <c:pt idx="257">
                  <c:v>3</c:v>
                </c:pt>
                <c:pt idx="258">
                  <c:v>5</c:v>
                </c:pt>
                <c:pt idx="259">
                  <c:v>27</c:v>
                </c:pt>
                <c:pt idx="260">
                  <c:v>5</c:v>
                </c:pt>
                <c:pt idx="261">
                  <c:v>1.1000000000000001</c:v>
                </c:pt>
                <c:pt idx="262">
                  <c:v>7</c:v>
                </c:pt>
                <c:pt idx="263">
                  <c:v>4</c:v>
                </c:pt>
                <c:pt idx="264">
                  <c:v>10</c:v>
                </c:pt>
                <c:pt idx="265">
                  <c:v>2</c:v>
                </c:pt>
                <c:pt idx="266">
                  <c:v>20</c:v>
                </c:pt>
                <c:pt idx="267">
                  <c:v>1</c:v>
                </c:pt>
                <c:pt idx="268">
                  <c:v>6</c:v>
                </c:pt>
                <c:pt idx="269">
                  <c:v>5</c:v>
                </c:pt>
                <c:pt idx="270">
                  <c:v>20</c:v>
                </c:pt>
                <c:pt idx="271">
                  <c:v>18</c:v>
                </c:pt>
                <c:pt idx="272">
                  <c:v>10</c:v>
                </c:pt>
                <c:pt idx="273">
                  <c:v>6</c:v>
                </c:pt>
                <c:pt idx="274">
                  <c:v>9</c:v>
                </c:pt>
                <c:pt idx="275">
                  <c:v>1</c:v>
                </c:pt>
                <c:pt idx="276">
                  <c:v>10</c:v>
                </c:pt>
                <c:pt idx="277">
                  <c:v>2</c:v>
                </c:pt>
                <c:pt idx="278">
                  <c:v>20</c:v>
                </c:pt>
                <c:pt idx="279">
                  <c:v>18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8</c:v>
                </c:pt>
                <c:pt idx="284">
                  <c:v>6.5</c:v>
                </c:pt>
                <c:pt idx="285">
                  <c:v>3.5</c:v>
                </c:pt>
                <c:pt idx="286">
                  <c:v>10</c:v>
                </c:pt>
                <c:pt idx="287">
                  <c:v>15</c:v>
                </c:pt>
                <c:pt idx="288">
                  <c:v>1</c:v>
                </c:pt>
                <c:pt idx="289">
                  <c:v>1</c:v>
                </c:pt>
                <c:pt idx="290">
                  <c:v>10</c:v>
                </c:pt>
                <c:pt idx="291">
                  <c:v>4</c:v>
                </c:pt>
                <c:pt idx="292">
                  <c:v>2</c:v>
                </c:pt>
                <c:pt idx="293">
                  <c:v>5</c:v>
                </c:pt>
                <c:pt idx="294">
                  <c:v>8</c:v>
                </c:pt>
                <c:pt idx="295">
                  <c:v>10</c:v>
                </c:pt>
                <c:pt idx="296">
                  <c:v>15</c:v>
                </c:pt>
                <c:pt idx="297">
                  <c:v>13</c:v>
                </c:pt>
                <c:pt idx="298">
                  <c:v>2</c:v>
                </c:pt>
                <c:pt idx="299">
                  <c:v>8</c:v>
                </c:pt>
                <c:pt idx="300">
                  <c:v>2</c:v>
                </c:pt>
                <c:pt idx="301">
                  <c:v>14</c:v>
                </c:pt>
                <c:pt idx="302">
                  <c:v>15</c:v>
                </c:pt>
                <c:pt idx="303">
                  <c:v>25</c:v>
                </c:pt>
                <c:pt idx="304">
                  <c:v>6</c:v>
                </c:pt>
                <c:pt idx="305">
                  <c:v>4</c:v>
                </c:pt>
                <c:pt idx="306">
                  <c:v>10</c:v>
                </c:pt>
                <c:pt idx="307">
                  <c:v>15</c:v>
                </c:pt>
                <c:pt idx="308">
                  <c:v>8</c:v>
                </c:pt>
                <c:pt idx="309">
                  <c:v>12</c:v>
                </c:pt>
                <c:pt idx="310">
                  <c:v>6</c:v>
                </c:pt>
                <c:pt idx="311">
                  <c:v>18</c:v>
                </c:pt>
                <c:pt idx="312">
                  <c:v>1</c:v>
                </c:pt>
                <c:pt idx="313">
                  <c:v>11</c:v>
                </c:pt>
                <c:pt idx="314">
                  <c:v>10</c:v>
                </c:pt>
                <c:pt idx="315">
                  <c:v>4</c:v>
                </c:pt>
                <c:pt idx="316">
                  <c:v>3</c:v>
                </c:pt>
                <c:pt idx="317">
                  <c:v>3</c:v>
                </c:pt>
                <c:pt idx="318">
                  <c:v>5</c:v>
                </c:pt>
                <c:pt idx="319">
                  <c:v>4</c:v>
                </c:pt>
                <c:pt idx="320">
                  <c:v>20</c:v>
                </c:pt>
                <c:pt idx="321">
                  <c:v>1</c:v>
                </c:pt>
                <c:pt idx="322">
                  <c:v>6</c:v>
                </c:pt>
                <c:pt idx="323">
                  <c:v>4</c:v>
                </c:pt>
                <c:pt idx="324">
                  <c:v>5</c:v>
                </c:pt>
                <c:pt idx="325">
                  <c:v>15</c:v>
                </c:pt>
                <c:pt idx="326">
                  <c:v>10</c:v>
                </c:pt>
                <c:pt idx="327">
                  <c:v>8</c:v>
                </c:pt>
                <c:pt idx="328">
                  <c:v>8</c:v>
                </c:pt>
                <c:pt idx="329">
                  <c:v>17</c:v>
                </c:pt>
                <c:pt idx="330">
                  <c:v>5</c:v>
                </c:pt>
                <c:pt idx="331">
                  <c:v>3</c:v>
                </c:pt>
                <c:pt idx="332">
                  <c:v>5</c:v>
                </c:pt>
                <c:pt idx="333">
                  <c:v>3</c:v>
                </c:pt>
                <c:pt idx="334">
                  <c:v>10</c:v>
                </c:pt>
                <c:pt idx="335">
                  <c:v>13</c:v>
                </c:pt>
                <c:pt idx="336">
                  <c:v>3.5</c:v>
                </c:pt>
                <c:pt idx="337">
                  <c:v>6</c:v>
                </c:pt>
                <c:pt idx="338">
                  <c:v>6</c:v>
                </c:pt>
                <c:pt idx="339">
                  <c:v>9</c:v>
                </c:pt>
                <c:pt idx="340">
                  <c:v>5</c:v>
                </c:pt>
                <c:pt idx="341">
                  <c:v>10</c:v>
                </c:pt>
                <c:pt idx="342">
                  <c:v>10</c:v>
                </c:pt>
                <c:pt idx="343">
                  <c:v>3</c:v>
                </c:pt>
                <c:pt idx="344">
                  <c:v>2</c:v>
                </c:pt>
                <c:pt idx="345">
                  <c:v>5</c:v>
                </c:pt>
                <c:pt idx="346">
                  <c:v>9</c:v>
                </c:pt>
                <c:pt idx="347">
                  <c:v>6</c:v>
                </c:pt>
                <c:pt idx="348">
                  <c:v>15</c:v>
                </c:pt>
                <c:pt idx="349">
                  <c:v>20</c:v>
                </c:pt>
                <c:pt idx="350">
                  <c:v>16</c:v>
                </c:pt>
                <c:pt idx="351">
                  <c:v>0.5</c:v>
                </c:pt>
                <c:pt idx="352">
                  <c:v>11</c:v>
                </c:pt>
                <c:pt idx="353">
                  <c:v>8</c:v>
                </c:pt>
                <c:pt idx="354">
                  <c:v>7</c:v>
                </c:pt>
                <c:pt idx="355">
                  <c:v>4</c:v>
                </c:pt>
                <c:pt idx="356">
                  <c:v>8</c:v>
                </c:pt>
                <c:pt idx="357">
                  <c:v>8</c:v>
                </c:pt>
                <c:pt idx="358">
                  <c:v>25</c:v>
                </c:pt>
                <c:pt idx="359">
                  <c:v>3</c:v>
                </c:pt>
                <c:pt idx="360">
                  <c:v>4</c:v>
                </c:pt>
                <c:pt idx="361">
                  <c:v>20</c:v>
                </c:pt>
                <c:pt idx="362">
                  <c:v>3</c:v>
                </c:pt>
                <c:pt idx="363">
                  <c:v>10</c:v>
                </c:pt>
                <c:pt idx="364">
                  <c:v>15</c:v>
                </c:pt>
                <c:pt idx="365">
                  <c:v>8</c:v>
                </c:pt>
                <c:pt idx="366">
                  <c:v>5</c:v>
                </c:pt>
                <c:pt idx="367">
                  <c:v>8</c:v>
                </c:pt>
                <c:pt idx="368">
                  <c:v>1</c:v>
                </c:pt>
                <c:pt idx="369">
                  <c:v>8</c:v>
                </c:pt>
                <c:pt idx="370">
                  <c:v>6</c:v>
                </c:pt>
                <c:pt idx="371">
                  <c:v>12</c:v>
                </c:pt>
                <c:pt idx="372">
                  <c:v>30</c:v>
                </c:pt>
                <c:pt idx="373">
                  <c:v>10</c:v>
                </c:pt>
                <c:pt idx="374">
                  <c:v>3</c:v>
                </c:pt>
                <c:pt idx="375">
                  <c:v>4</c:v>
                </c:pt>
                <c:pt idx="376">
                  <c:v>2</c:v>
                </c:pt>
                <c:pt idx="377">
                  <c:v>11</c:v>
                </c:pt>
                <c:pt idx="378">
                  <c:v>4</c:v>
                </c:pt>
                <c:pt idx="379">
                  <c:v>2</c:v>
                </c:pt>
                <c:pt idx="380">
                  <c:v>3</c:v>
                </c:pt>
                <c:pt idx="381">
                  <c:v>4.5</c:v>
                </c:pt>
                <c:pt idx="382">
                  <c:v>4</c:v>
                </c:pt>
                <c:pt idx="383">
                  <c:v>15</c:v>
                </c:pt>
                <c:pt idx="384">
                  <c:v>4</c:v>
                </c:pt>
                <c:pt idx="385">
                  <c:v>10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10</c:v>
                </c:pt>
                <c:pt idx="391">
                  <c:v>20</c:v>
                </c:pt>
                <c:pt idx="392">
                  <c:v>25</c:v>
                </c:pt>
                <c:pt idx="393">
                  <c:v>20</c:v>
                </c:pt>
                <c:pt idx="394">
                  <c:v>13</c:v>
                </c:pt>
                <c:pt idx="395">
                  <c:v>2</c:v>
                </c:pt>
                <c:pt idx="396">
                  <c:v>5</c:v>
                </c:pt>
                <c:pt idx="397">
                  <c:v>6</c:v>
                </c:pt>
                <c:pt idx="398">
                  <c:v>3</c:v>
                </c:pt>
                <c:pt idx="399">
                  <c:v>1</c:v>
                </c:pt>
                <c:pt idx="400">
                  <c:v>1.5</c:v>
                </c:pt>
                <c:pt idx="401">
                  <c:v>20</c:v>
                </c:pt>
                <c:pt idx="402">
                  <c:v>2</c:v>
                </c:pt>
                <c:pt idx="403">
                  <c:v>2</c:v>
                </c:pt>
                <c:pt idx="404">
                  <c:v>15</c:v>
                </c:pt>
                <c:pt idx="405">
                  <c:v>5</c:v>
                </c:pt>
                <c:pt idx="406">
                  <c:v>15</c:v>
                </c:pt>
                <c:pt idx="407">
                  <c:v>4</c:v>
                </c:pt>
                <c:pt idx="408">
                  <c:v>3</c:v>
                </c:pt>
                <c:pt idx="409">
                  <c:v>10</c:v>
                </c:pt>
                <c:pt idx="410">
                  <c:v>8</c:v>
                </c:pt>
                <c:pt idx="411">
                  <c:v>7</c:v>
                </c:pt>
                <c:pt idx="412">
                  <c:v>8</c:v>
                </c:pt>
                <c:pt idx="413">
                  <c:v>2.5</c:v>
                </c:pt>
                <c:pt idx="414">
                  <c:v>35</c:v>
                </c:pt>
                <c:pt idx="415">
                  <c:v>3</c:v>
                </c:pt>
                <c:pt idx="416">
                  <c:v>2</c:v>
                </c:pt>
                <c:pt idx="417">
                  <c:v>4</c:v>
                </c:pt>
                <c:pt idx="418">
                  <c:v>10</c:v>
                </c:pt>
                <c:pt idx="419">
                  <c:v>6</c:v>
                </c:pt>
                <c:pt idx="420">
                  <c:v>6</c:v>
                </c:pt>
                <c:pt idx="421">
                  <c:v>20</c:v>
                </c:pt>
                <c:pt idx="422">
                  <c:v>5</c:v>
                </c:pt>
                <c:pt idx="423">
                  <c:v>4</c:v>
                </c:pt>
                <c:pt idx="424">
                  <c:v>3</c:v>
                </c:pt>
                <c:pt idx="425">
                  <c:v>0</c:v>
                </c:pt>
                <c:pt idx="426">
                  <c:v>6</c:v>
                </c:pt>
                <c:pt idx="427">
                  <c:v>7</c:v>
                </c:pt>
                <c:pt idx="428">
                  <c:v>2</c:v>
                </c:pt>
                <c:pt idx="429">
                  <c:v>25</c:v>
                </c:pt>
                <c:pt idx="430">
                  <c:v>6</c:v>
                </c:pt>
                <c:pt idx="431">
                  <c:v>8</c:v>
                </c:pt>
                <c:pt idx="432">
                  <c:v>10</c:v>
                </c:pt>
                <c:pt idx="433">
                  <c:v>3</c:v>
                </c:pt>
                <c:pt idx="434">
                  <c:v>7</c:v>
                </c:pt>
                <c:pt idx="435">
                  <c:v>14</c:v>
                </c:pt>
                <c:pt idx="436">
                  <c:v>8</c:v>
                </c:pt>
                <c:pt idx="437">
                  <c:v>1</c:v>
                </c:pt>
                <c:pt idx="438">
                  <c:v>8</c:v>
                </c:pt>
                <c:pt idx="439">
                  <c:v>2</c:v>
                </c:pt>
                <c:pt idx="440">
                  <c:v>2.5</c:v>
                </c:pt>
                <c:pt idx="441">
                  <c:v>3</c:v>
                </c:pt>
                <c:pt idx="442">
                  <c:v>6</c:v>
                </c:pt>
                <c:pt idx="443">
                  <c:v>4</c:v>
                </c:pt>
                <c:pt idx="444">
                  <c:v>3</c:v>
                </c:pt>
                <c:pt idx="445">
                  <c:v>3</c:v>
                </c:pt>
                <c:pt idx="446">
                  <c:v>6</c:v>
                </c:pt>
                <c:pt idx="447">
                  <c:v>6</c:v>
                </c:pt>
                <c:pt idx="448">
                  <c:v>15</c:v>
                </c:pt>
                <c:pt idx="449">
                  <c:v>15</c:v>
                </c:pt>
                <c:pt idx="450">
                  <c:v>5</c:v>
                </c:pt>
                <c:pt idx="451">
                  <c:v>9</c:v>
                </c:pt>
                <c:pt idx="452">
                  <c:v>4</c:v>
                </c:pt>
                <c:pt idx="453">
                  <c:v>13</c:v>
                </c:pt>
                <c:pt idx="454">
                  <c:v>5</c:v>
                </c:pt>
                <c:pt idx="455">
                  <c:v>3.5</c:v>
                </c:pt>
                <c:pt idx="456">
                  <c:v>4</c:v>
                </c:pt>
                <c:pt idx="457">
                  <c:v>5</c:v>
                </c:pt>
                <c:pt idx="458">
                  <c:v>5</c:v>
                </c:pt>
                <c:pt idx="459">
                  <c:v>4.5999999999999996</c:v>
                </c:pt>
                <c:pt idx="460">
                  <c:v>2</c:v>
                </c:pt>
                <c:pt idx="461">
                  <c:v>10</c:v>
                </c:pt>
                <c:pt idx="462">
                  <c:v>3.5</c:v>
                </c:pt>
                <c:pt idx="463">
                  <c:v>5</c:v>
                </c:pt>
                <c:pt idx="464">
                  <c:v>3</c:v>
                </c:pt>
                <c:pt idx="465">
                  <c:v>5</c:v>
                </c:pt>
                <c:pt idx="466">
                  <c:v>10</c:v>
                </c:pt>
                <c:pt idx="467">
                  <c:v>25</c:v>
                </c:pt>
                <c:pt idx="468">
                  <c:v>12</c:v>
                </c:pt>
                <c:pt idx="469">
                  <c:v>5</c:v>
                </c:pt>
                <c:pt idx="470">
                  <c:v>8</c:v>
                </c:pt>
                <c:pt idx="471">
                  <c:v>7</c:v>
                </c:pt>
                <c:pt idx="472">
                  <c:v>8</c:v>
                </c:pt>
                <c:pt idx="473">
                  <c:v>4</c:v>
                </c:pt>
                <c:pt idx="474">
                  <c:v>5</c:v>
                </c:pt>
                <c:pt idx="475">
                  <c:v>5</c:v>
                </c:pt>
                <c:pt idx="476">
                  <c:v>15</c:v>
                </c:pt>
                <c:pt idx="477">
                  <c:v>6</c:v>
                </c:pt>
                <c:pt idx="478">
                  <c:v>3</c:v>
                </c:pt>
                <c:pt idx="479">
                  <c:v>10</c:v>
                </c:pt>
                <c:pt idx="480">
                  <c:v>2</c:v>
                </c:pt>
                <c:pt idx="481">
                  <c:v>8</c:v>
                </c:pt>
                <c:pt idx="482">
                  <c:v>4</c:v>
                </c:pt>
                <c:pt idx="483">
                  <c:v>16</c:v>
                </c:pt>
                <c:pt idx="484">
                  <c:v>8</c:v>
                </c:pt>
                <c:pt idx="485">
                  <c:v>20</c:v>
                </c:pt>
                <c:pt idx="486">
                  <c:v>10</c:v>
                </c:pt>
                <c:pt idx="487">
                  <c:v>5</c:v>
                </c:pt>
                <c:pt idx="488">
                  <c:v>16</c:v>
                </c:pt>
                <c:pt idx="489">
                  <c:v>7</c:v>
                </c:pt>
                <c:pt idx="490">
                  <c:v>7</c:v>
                </c:pt>
                <c:pt idx="491">
                  <c:v>5</c:v>
                </c:pt>
                <c:pt idx="492">
                  <c:v>3</c:v>
                </c:pt>
                <c:pt idx="493">
                  <c:v>8</c:v>
                </c:pt>
                <c:pt idx="494">
                  <c:v>7</c:v>
                </c:pt>
                <c:pt idx="495">
                  <c:v>1</c:v>
                </c:pt>
                <c:pt idx="496">
                  <c:v>26</c:v>
                </c:pt>
                <c:pt idx="497">
                  <c:v>9</c:v>
                </c:pt>
                <c:pt idx="498">
                  <c:v>0</c:v>
                </c:pt>
                <c:pt idx="499">
                  <c:v>5</c:v>
                </c:pt>
                <c:pt idx="500">
                  <c:v>10</c:v>
                </c:pt>
                <c:pt idx="501">
                  <c:v>12</c:v>
                </c:pt>
                <c:pt idx="502">
                  <c:v>6</c:v>
                </c:pt>
                <c:pt idx="503">
                  <c:v>3.5</c:v>
                </c:pt>
                <c:pt idx="504">
                  <c:v>15</c:v>
                </c:pt>
                <c:pt idx="505">
                  <c:v>10</c:v>
                </c:pt>
                <c:pt idx="506">
                  <c:v>9</c:v>
                </c:pt>
                <c:pt idx="507">
                  <c:v>4</c:v>
                </c:pt>
                <c:pt idx="508">
                  <c:v>1</c:v>
                </c:pt>
                <c:pt idx="509">
                  <c:v>8</c:v>
                </c:pt>
                <c:pt idx="510">
                  <c:v>10</c:v>
                </c:pt>
                <c:pt idx="511">
                  <c:v>1</c:v>
                </c:pt>
                <c:pt idx="512">
                  <c:v>22</c:v>
                </c:pt>
                <c:pt idx="513">
                  <c:v>30</c:v>
                </c:pt>
                <c:pt idx="514">
                  <c:v>3</c:v>
                </c:pt>
                <c:pt idx="515">
                  <c:v>3</c:v>
                </c:pt>
                <c:pt idx="516">
                  <c:v>10</c:v>
                </c:pt>
                <c:pt idx="517">
                  <c:v>25</c:v>
                </c:pt>
                <c:pt idx="518">
                  <c:v>5</c:v>
                </c:pt>
                <c:pt idx="519">
                  <c:v>7</c:v>
                </c:pt>
                <c:pt idx="520">
                  <c:v>23</c:v>
                </c:pt>
                <c:pt idx="521">
                  <c:v>3</c:v>
                </c:pt>
                <c:pt idx="522">
                  <c:v>4</c:v>
                </c:pt>
                <c:pt idx="523">
                  <c:v>10</c:v>
                </c:pt>
                <c:pt idx="524">
                  <c:v>20</c:v>
                </c:pt>
                <c:pt idx="525">
                  <c:v>11</c:v>
                </c:pt>
                <c:pt idx="526">
                  <c:v>10</c:v>
                </c:pt>
                <c:pt idx="527">
                  <c:v>8</c:v>
                </c:pt>
                <c:pt idx="528">
                  <c:v>14</c:v>
                </c:pt>
                <c:pt idx="529">
                  <c:v>3</c:v>
                </c:pt>
                <c:pt idx="530">
                  <c:v>4</c:v>
                </c:pt>
                <c:pt idx="531">
                  <c:v>20</c:v>
                </c:pt>
                <c:pt idx="532">
                  <c:v>15</c:v>
                </c:pt>
                <c:pt idx="533">
                  <c:v>10</c:v>
                </c:pt>
                <c:pt idx="534">
                  <c:v>5</c:v>
                </c:pt>
                <c:pt idx="535">
                  <c:v>6</c:v>
                </c:pt>
                <c:pt idx="536">
                  <c:v>3</c:v>
                </c:pt>
                <c:pt idx="537">
                  <c:v>8</c:v>
                </c:pt>
                <c:pt idx="538">
                  <c:v>5</c:v>
                </c:pt>
                <c:pt idx="539">
                  <c:v>10</c:v>
                </c:pt>
                <c:pt idx="540">
                  <c:v>15</c:v>
                </c:pt>
                <c:pt idx="541">
                  <c:v>8</c:v>
                </c:pt>
                <c:pt idx="542">
                  <c:v>3</c:v>
                </c:pt>
                <c:pt idx="543">
                  <c:v>7</c:v>
                </c:pt>
                <c:pt idx="544">
                  <c:v>15</c:v>
                </c:pt>
                <c:pt idx="545">
                  <c:v>14</c:v>
                </c:pt>
                <c:pt idx="546">
                  <c:v>5</c:v>
                </c:pt>
                <c:pt idx="547">
                  <c:v>16</c:v>
                </c:pt>
                <c:pt idx="548">
                  <c:v>7</c:v>
                </c:pt>
                <c:pt idx="549">
                  <c:v>1</c:v>
                </c:pt>
                <c:pt idx="550">
                  <c:v>4</c:v>
                </c:pt>
                <c:pt idx="551">
                  <c:v>12</c:v>
                </c:pt>
                <c:pt idx="552">
                  <c:v>8</c:v>
                </c:pt>
                <c:pt idx="553">
                  <c:v>14</c:v>
                </c:pt>
                <c:pt idx="554">
                  <c:v>22</c:v>
                </c:pt>
                <c:pt idx="555">
                  <c:v>9</c:v>
                </c:pt>
                <c:pt idx="556">
                  <c:v>5</c:v>
                </c:pt>
                <c:pt idx="557">
                  <c:v>2</c:v>
                </c:pt>
                <c:pt idx="558">
                  <c:v>14</c:v>
                </c:pt>
                <c:pt idx="559">
                  <c:v>10</c:v>
                </c:pt>
                <c:pt idx="560">
                  <c:v>2</c:v>
                </c:pt>
                <c:pt idx="561">
                  <c:v>20</c:v>
                </c:pt>
                <c:pt idx="562">
                  <c:v>5</c:v>
                </c:pt>
                <c:pt idx="563">
                  <c:v>2</c:v>
                </c:pt>
                <c:pt idx="564">
                  <c:v>5</c:v>
                </c:pt>
                <c:pt idx="565">
                  <c:v>14</c:v>
                </c:pt>
                <c:pt idx="566">
                  <c:v>5</c:v>
                </c:pt>
                <c:pt idx="567">
                  <c:v>15</c:v>
                </c:pt>
                <c:pt idx="568">
                  <c:v>4</c:v>
                </c:pt>
                <c:pt idx="569">
                  <c:v>2</c:v>
                </c:pt>
                <c:pt idx="570">
                  <c:v>6</c:v>
                </c:pt>
                <c:pt idx="571">
                  <c:v>20</c:v>
                </c:pt>
                <c:pt idx="572">
                  <c:v>10</c:v>
                </c:pt>
                <c:pt idx="573">
                  <c:v>5</c:v>
                </c:pt>
                <c:pt idx="574">
                  <c:v>20</c:v>
                </c:pt>
                <c:pt idx="575">
                  <c:v>5</c:v>
                </c:pt>
                <c:pt idx="576">
                  <c:v>20</c:v>
                </c:pt>
                <c:pt idx="577">
                  <c:v>10</c:v>
                </c:pt>
                <c:pt idx="578">
                  <c:v>10</c:v>
                </c:pt>
                <c:pt idx="579">
                  <c:v>13</c:v>
                </c:pt>
                <c:pt idx="580">
                  <c:v>5</c:v>
                </c:pt>
                <c:pt idx="581">
                  <c:v>5</c:v>
                </c:pt>
                <c:pt idx="582">
                  <c:v>15</c:v>
                </c:pt>
                <c:pt idx="583">
                  <c:v>20</c:v>
                </c:pt>
                <c:pt idx="584">
                  <c:v>6</c:v>
                </c:pt>
                <c:pt idx="585">
                  <c:v>25</c:v>
                </c:pt>
                <c:pt idx="586">
                  <c:v>17</c:v>
                </c:pt>
                <c:pt idx="587">
                  <c:v>2</c:v>
                </c:pt>
                <c:pt idx="588">
                  <c:v>4</c:v>
                </c:pt>
                <c:pt idx="589">
                  <c:v>3</c:v>
                </c:pt>
                <c:pt idx="590">
                  <c:v>20</c:v>
                </c:pt>
                <c:pt idx="591">
                  <c:v>20</c:v>
                </c:pt>
                <c:pt idx="592">
                  <c:v>14</c:v>
                </c:pt>
                <c:pt idx="593">
                  <c:v>5</c:v>
                </c:pt>
                <c:pt idx="594">
                  <c:v>15</c:v>
                </c:pt>
                <c:pt idx="595">
                  <c:v>7</c:v>
                </c:pt>
                <c:pt idx="596">
                  <c:v>0.8</c:v>
                </c:pt>
                <c:pt idx="597">
                  <c:v>18</c:v>
                </c:pt>
                <c:pt idx="598">
                  <c:v>4</c:v>
                </c:pt>
                <c:pt idx="599">
                  <c:v>15</c:v>
                </c:pt>
                <c:pt idx="600">
                  <c:v>6</c:v>
                </c:pt>
                <c:pt idx="601">
                  <c:v>6</c:v>
                </c:pt>
                <c:pt idx="602">
                  <c:v>21</c:v>
                </c:pt>
                <c:pt idx="603">
                  <c:v>5</c:v>
                </c:pt>
                <c:pt idx="604">
                  <c:v>2</c:v>
                </c:pt>
                <c:pt idx="605">
                  <c:v>9</c:v>
                </c:pt>
                <c:pt idx="606">
                  <c:v>1</c:v>
                </c:pt>
                <c:pt idx="607">
                  <c:v>1.5</c:v>
                </c:pt>
                <c:pt idx="608">
                  <c:v>25</c:v>
                </c:pt>
                <c:pt idx="609">
                  <c:v>10</c:v>
                </c:pt>
                <c:pt idx="610">
                  <c:v>21</c:v>
                </c:pt>
                <c:pt idx="611">
                  <c:v>12</c:v>
                </c:pt>
                <c:pt idx="612">
                  <c:v>2</c:v>
                </c:pt>
                <c:pt idx="613">
                  <c:v>8</c:v>
                </c:pt>
                <c:pt idx="614">
                  <c:v>10</c:v>
                </c:pt>
                <c:pt idx="615">
                  <c:v>10</c:v>
                </c:pt>
                <c:pt idx="616">
                  <c:v>7</c:v>
                </c:pt>
                <c:pt idx="617">
                  <c:v>2</c:v>
                </c:pt>
                <c:pt idx="618">
                  <c:v>7.9</c:v>
                </c:pt>
                <c:pt idx="619">
                  <c:v>9</c:v>
                </c:pt>
                <c:pt idx="620">
                  <c:v>25</c:v>
                </c:pt>
                <c:pt idx="621">
                  <c:v>2</c:v>
                </c:pt>
                <c:pt idx="622">
                  <c:v>6</c:v>
                </c:pt>
                <c:pt idx="623">
                  <c:v>20</c:v>
                </c:pt>
                <c:pt idx="624">
                  <c:v>3</c:v>
                </c:pt>
                <c:pt idx="625">
                  <c:v>15</c:v>
                </c:pt>
                <c:pt idx="626">
                  <c:v>13</c:v>
                </c:pt>
                <c:pt idx="627">
                  <c:v>1.5</c:v>
                </c:pt>
                <c:pt idx="628">
                  <c:v>10</c:v>
                </c:pt>
                <c:pt idx="629">
                  <c:v>10</c:v>
                </c:pt>
                <c:pt idx="630">
                  <c:v>1</c:v>
                </c:pt>
                <c:pt idx="631">
                  <c:v>12</c:v>
                </c:pt>
                <c:pt idx="632">
                  <c:v>14</c:v>
                </c:pt>
                <c:pt idx="633">
                  <c:v>13</c:v>
                </c:pt>
                <c:pt idx="634">
                  <c:v>6</c:v>
                </c:pt>
                <c:pt idx="635">
                  <c:v>5</c:v>
                </c:pt>
                <c:pt idx="636">
                  <c:v>25</c:v>
                </c:pt>
                <c:pt idx="637">
                  <c:v>3</c:v>
                </c:pt>
                <c:pt idx="638">
                  <c:v>12</c:v>
                </c:pt>
                <c:pt idx="639">
                  <c:v>4</c:v>
                </c:pt>
                <c:pt idx="640">
                  <c:v>3</c:v>
                </c:pt>
                <c:pt idx="641">
                  <c:v>10</c:v>
                </c:pt>
                <c:pt idx="642">
                  <c:v>13</c:v>
                </c:pt>
                <c:pt idx="643">
                  <c:v>15</c:v>
                </c:pt>
                <c:pt idx="644">
                  <c:v>5</c:v>
                </c:pt>
                <c:pt idx="645">
                  <c:v>30</c:v>
                </c:pt>
                <c:pt idx="646">
                  <c:v>2</c:v>
                </c:pt>
                <c:pt idx="647">
                  <c:v>8.5</c:v>
                </c:pt>
                <c:pt idx="648">
                  <c:v>6</c:v>
                </c:pt>
                <c:pt idx="649">
                  <c:v>6</c:v>
                </c:pt>
                <c:pt idx="650">
                  <c:v>11</c:v>
                </c:pt>
                <c:pt idx="651">
                  <c:v>25</c:v>
                </c:pt>
                <c:pt idx="652">
                  <c:v>1</c:v>
                </c:pt>
                <c:pt idx="653">
                  <c:v>6</c:v>
                </c:pt>
                <c:pt idx="654">
                  <c:v>15</c:v>
                </c:pt>
                <c:pt idx="655">
                  <c:v>2</c:v>
                </c:pt>
                <c:pt idx="656">
                  <c:v>8</c:v>
                </c:pt>
                <c:pt idx="657">
                  <c:v>1</c:v>
                </c:pt>
                <c:pt idx="658">
                  <c:v>12</c:v>
                </c:pt>
                <c:pt idx="659">
                  <c:v>15</c:v>
                </c:pt>
                <c:pt idx="660">
                  <c:v>10</c:v>
                </c:pt>
                <c:pt idx="661">
                  <c:v>12</c:v>
                </c:pt>
                <c:pt idx="662">
                  <c:v>8</c:v>
                </c:pt>
                <c:pt idx="663">
                  <c:v>20</c:v>
                </c:pt>
                <c:pt idx="664">
                  <c:v>10</c:v>
                </c:pt>
                <c:pt idx="665">
                  <c:v>3</c:v>
                </c:pt>
                <c:pt idx="666">
                  <c:v>14</c:v>
                </c:pt>
                <c:pt idx="667">
                  <c:v>1</c:v>
                </c:pt>
                <c:pt idx="668">
                  <c:v>2</c:v>
                </c:pt>
                <c:pt idx="669">
                  <c:v>10</c:v>
                </c:pt>
                <c:pt idx="670">
                  <c:v>17</c:v>
                </c:pt>
                <c:pt idx="671">
                  <c:v>5</c:v>
                </c:pt>
                <c:pt idx="672">
                  <c:v>10</c:v>
                </c:pt>
                <c:pt idx="673">
                  <c:v>7</c:v>
                </c:pt>
                <c:pt idx="674">
                  <c:v>25</c:v>
                </c:pt>
                <c:pt idx="675">
                  <c:v>1</c:v>
                </c:pt>
                <c:pt idx="676">
                  <c:v>25</c:v>
                </c:pt>
                <c:pt idx="677">
                  <c:v>16</c:v>
                </c:pt>
                <c:pt idx="678">
                  <c:v>5</c:v>
                </c:pt>
                <c:pt idx="679">
                  <c:v>15</c:v>
                </c:pt>
                <c:pt idx="680">
                  <c:v>1</c:v>
                </c:pt>
                <c:pt idx="681">
                  <c:v>6</c:v>
                </c:pt>
                <c:pt idx="682">
                  <c:v>15</c:v>
                </c:pt>
                <c:pt idx="683">
                  <c:v>2</c:v>
                </c:pt>
                <c:pt idx="684">
                  <c:v>2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18</c:v>
                </c:pt>
                <c:pt idx="689">
                  <c:v>12</c:v>
                </c:pt>
                <c:pt idx="690">
                  <c:v>10</c:v>
                </c:pt>
                <c:pt idx="691">
                  <c:v>15</c:v>
                </c:pt>
                <c:pt idx="692">
                  <c:v>4</c:v>
                </c:pt>
                <c:pt idx="693">
                  <c:v>20</c:v>
                </c:pt>
                <c:pt idx="694">
                  <c:v>3</c:v>
                </c:pt>
                <c:pt idx="695">
                  <c:v>2</c:v>
                </c:pt>
                <c:pt idx="696">
                  <c:v>8</c:v>
                </c:pt>
                <c:pt idx="697">
                  <c:v>7</c:v>
                </c:pt>
                <c:pt idx="698">
                  <c:v>12</c:v>
                </c:pt>
                <c:pt idx="699">
                  <c:v>29</c:v>
                </c:pt>
                <c:pt idx="700">
                  <c:v>20</c:v>
                </c:pt>
                <c:pt idx="701">
                  <c:v>10</c:v>
                </c:pt>
                <c:pt idx="702">
                  <c:v>6</c:v>
                </c:pt>
                <c:pt idx="703">
                  <c:v>3</c:v>
                </c:pt>
                <c:pt idx="704">
                  <c:v>10</c:v>
                </c:pt>
                <c:pt idx="705">
                  <c:v>10</c:v>
                </c:pt>
                <c:pt idx="706">
                  <c:v>8</c:v>
                </c:pt>
                <c:pt idx="707">
                  <c:v>27</c:v>
                </c:pt>
                <c:pt idx="708">
                  <c:v>6</c:v>
                </c:pt>
                <c:pt idx="709">
                  <c:v>12</c:v>
                </c:pt>
                <c:pt idx="710">
                  <c:v>5</c:v>
                </c:pt>
                <c:pt idx="711">
                  <c:v>3</c:v>
                </c:pt>
                <c:pt idx="712">
                  <c:v>10</c:v>
                </c:pt>
                <c:pt idx="713">
                  <c:v>12</c:v>
                </c:pt>
                <c:pt idx="714">
                  <c:v>4</c:v>
                </c:pt>
                <c:pt idx="715">
                  <c:v>7</c:v>
                </c:pt>
                <c:pt idx="716">
                  <c:v>12</c:v>
                </c:pt>
                <c:pt idx="717">
                  <c:v>1</c:v>
                </c:pt>
                <c:pt idx="718">
                  <c:v>15</c:v>
                </c:pt>
                <c:pt idx="719">
                  <c:v>2</c:v>
                </c:pt>
                <c:pt idx="720">
                  <c:v>1.5</c:v>
                </c:pt>
                <c:pt idx="721">
                  <c:v>8</c:v>
                </c:pt>
                <c:pt idx="722">
                  <c:v>6</c:v>
                </c:pt>
                <c:pt idx="723">
                  <c:v>7</c:v>
                </c:pt>
                <c:pt idx="724">
                  <c:v>17</c:v>
                </c:pt>
                <c:pt idx="725">
                  <c:v>10</c:v>
                </c:pt>
                <c:pt idx="726">
                  <c:v>30</c:v>
                </c:pt>
                <c:pt idx="727">
                  <c:v>5</c:v>
                </c:pt>
                <c:pt idx="728">
                  <c:v>2</c:v>
                </c:pt>
                <c:pt idx="729">
                  <c:v>10</c:v>
                </c:pt>
                <c:pt idx="730">
                  <c:v>4.5</c:v>
                </c:pt>
                <c:pt idx="731">
                  <c:v>8</c:v>
                </c:pt>
                <c:pt idx="732">
                  <c:v>3</c:v>
                </c:pt>
                <c:pt idx="733">
                  <c:v>6</c:v>
                </c:pt>
                <c:pt idx="734">
                  <c:v>5</c:v>
                </c:pt>
                <c:pt idx="735">
                  <c:v>20</c:v>
                </c:pt>
                <c:pt idx="736">
                  <c:v>2</c:v>
                </c:pt>
                <c:pt idx="737">
                  <c:v>9</c:v>
                </c:pt>
                <c:pt idx="738">
                  <c:v>28</c:v>
                </c:pt>
                <c:pt idx="739">
                  <c:v>25</c:v>
                </c:pt>
                <c:pt idx="740">
                  <c:v>7</c:v>
                </c:pt>
                <c:pt idx="741">
                  <c:v>10</c:v>
                </c:pt>
                <c:pt idx="742">
                  <c:v>0.1</c:v>
                </c:pt>
                <c:pt idx="743">
                  <c:v>10</c:v>
                </c:pt>
                <c:pt idx="744">
                  <c:v>0.5</c:v>
                </c:pt>
                <c:pt idx="745">
                  <c:v>0.6</c:v>
                </c:pt>
                <c:pt idx="746">
                  <c:v>1</c:v>
                </c:pt>
                <c:pt idx="747">
                  <c:v>7</c:v>
                </c:pt>
                <c:pt idx="748">
                  <c:v>2</c:v>
                </c:pt>
                <c:pt idx="749">
                  <c:v>16</c:v>
                </c:pt>
                <c:pt idx="750">
                  <c:v>4</c:v>
                </c:pt>
                <c:pt idx="751">
                  <c:v>12</c:v>
                </c:pt>
                <c:pt idx="752">
                  <c:v>4</c:v>
                </c:pt>
                <c:pt idx="753">
                  <c:v>15</c:v>
                </c:pt>
                <c:pt idx="754">
                  <c:v>5</c:v>
                </c:pt>
                <c:pt idx="755">
                  <c:v>20</c:v>
                </c:pt>
                <c:pt idx="756">
                  <c:v>3</c:v>
                </c:pt>
                <c:pt idx="757">
                  <c:v>5</c:v>
                </c:pt>
                <c:pt idx="758">
                  <c:v>2</c:v>
                </c:pt>
                <c:pt idx="759">
                  <c:v>7</c:v>
                </c:pt>
                <c:pt idx="760">
                  <c:v>21</c:v>
                </c:pt>
                <c:pt idx="761">
                  <c:v>12</c:v>
                </c:pt>
                <c:pt idx="762">
                  <c:v>4</c:v>
                </c:pt>
                <c:pt idx="763">
                  <c:v>4</c:v>
                </c:pt>
                <c:pt idx="764">
                  <c:v>4.5</c:v>
                </c:pt>
                <c:pt idx="765">
                  <c:v>6.4</c:v>
                </c:pt>
                <c:pt idx="766">
                  <c:v>15</c:v>
                </c:pt>
                <c:pt idx="767">
                  <c:v>6</c:v>
                </c:pt>
                <c:pt idx="768">
                  <c:v>5</c:v>
                </c:pt>
                <c:pt idx="769">
                  <c:v>15</c:v>
                </c:pt>
                <c:pt idx="770">
                  <c:v>14</c:v>
                </c:pt>
                <c:pt idx="771">
                  <c:v>3</c:v>
                </c:pt>
                <c:pt idx="772">
                  <c:v>5.5</c:v>
                </c:pt>
                <c:pt idx="773">
                  <c:v>2</c:v>
                </c:pt>
                <c:pt idx="774">
                  <c:v>30</c:v>
                </c:pt>
                <c:pt idx="775">
                  <c:v>15</c:v>
                </c:pt>
                <c:pt idx="776">
                  <c:v>20</c:v>
                </c:pt>
                <c:pt idx="777">
                  <c:v>7</c:v>
                </c:pt>
                <c:pt idx="778">
                  <c:v>8</c:v>
                </c:pt>
                <c:pt idx="779">
                  <c:v>10</c:v>
                </c:pt>
                <c:pt idx="780">
                  <c:v>1</c:v>
                </c:pt>
                <c:pt idx="781">
                  <c:v>7</c:v>
                </c:pt>
                <c:pt idx="782">
                  <c:v>25</c:v>
                </c:pt>
                <c:pt idx="783">
                  <c:v>12</c:v>
                </c:pt>
                <c:pt idx="784">
                  <c:v>5.6</c:v>
                </c:pt>
                <c:pt idx="785">
                  <c:v>12</c:v>
                </c:pt>
                <c:pt idx="786">
                  <c:v>8</c:v>
                </c:pt>
                <c:pt idx="787">
                  <c:v>30</c:v>
                </c:pt>
                <c:pt idx="788">
                  <c:v>15</c:v>
                </c:pt>
                <c:pt idx="789">
                  <c:v>10</c:v>
                </c:pt>
                <c:pt idx="790">
                  <c:v>15</c:v>
                </c:pt>
                <c:pt idx="791">
                  <c:v>3</c:v>
                </c:pt>
                <c:pt idx="792">
                  <c:v>1</c:v>
                </c:pt>
                <c:pt idx="793">
                  <c:v>20</c:v>
                </c:pt>
                <c:pt idx="794">
                  <c:v>7</c:v>
                </c:pt>
                <c:pt idx="795">
                  <c:v>33</c:v>
                </c:pt>
                <c:pt idx="796">
                  <c:v>0.5</c:v>
                </c:pt>
                <c:pt idx="797">
                  <c:v>22</c:v>
                </c:pt>
                <c:pt idx="798">
                  <c:v>8</c:v>
                </c:pt>
                <c:pt idx="799">
                  <c:v>17</c:v>
                </c:pt>
                <c:pt idx="800">
                  <c:v>20</c:v>
                </c:pt>
                <c:pt idx="801">
                  <c:v>12</c:v>
                </c:pt>
                <c:pt idx="802">
                  <c:v>25</c:v>
                </c:pt>
                <c:pt idx="803">
                  <c:v>5</c:v>
                </c:pt>
                <c:pt idx="804">
                  <c:v>22</c:v>
                </c:pt>
                <c:pt idx="805">
                  <c:v>14</c:v>
                </c:pt>
                <c:pt idx="806">
                  <c:v>7</c:v>
                </c:pt>
                <c:pt idx="807">
                  <c:v>6</c:v>
                </c:pt>
                <c:pt idx="808">
                  <c:v>15</c:v>
                </c:pt>
                <c:pt idx="809">
                  <c:v>25</c:v>
                </c:pt>
                <c:pt idx="810">
                  <c:v>15</c:v>
                </c:pt>
                <c:pt idx="811">
                  <c:v>30</c:v>
                </c:pt>
                <c:pt idx="812">
                  <c:v>15</c:v>
                </c:pt>
                <c:pt idx="813">
                  <c:v>6</c:v>
                </c:pt>
                <c:pt idx="814">
                  <c:v>7</c:v>
                </c:pt>
                <c:pt idx="815">
                  <c:v>10</c:v>
                </c:pt>
                <c:pt idx="816">
                  <c:v>10</c:v>
                </c:pt>
                <c:pt idx="817">
                  <c:v>6</c:v>
                </c:pt>
                <c:pt idx="818">
                  <c:v>14</c:v>
                </c:pt>
                <c:pt idx="819">
                  <c:v>25</c:v>
                </c:pt>
                <c:pt idx="820">
                  <c:v>10</c:v>
                </c:pt>
                <c:pt idx="821">
                  <c:v>8</c:v>
                </c:pt>
                <c:pt idx="822">
                  <c:v>30</c:v>
                </c:pt>
                <c:pt idx="823">
                  <c:v>8</c:v>
                </c:pt>
                <c:pt idx="824">
                  <c:v>10</c:v>
                </c:pt>
                <c:pt idx="825">
                  <c:v>14</c:v>
                </c:pt>
                <c:pt idx="826">
                  <c:v>1</c:v>
                </c:pt>
                <c:pt idx="827">
                  <c:v>1</c:v>
                </c:pt>
                <c:pt idx="828">
                  <c:v>15</c:v>
                </c:pt>
                <c:pt idx="829">
                  <c:v>4</c:v>
                </c:pt>
                <c:pt idx="830">
                  <c:v>30</c:v>
                </c:pt>
                <c:pt idx="831">
                  <c:v>21</c:v>
                </c:pt>
                <c:pt idx="832">
                  <c:v>13</c:v>
                </c:pt>
                <c:pt idx="833">
                  <c:v>20</c:v>
                </c:pt>
                <c:pt idx="834">
                  <c:v>15</c:v>
                </c:pt>
                <c:pt idx="835">
                  <c:v>10</c:v>
                </c:pt>
                <c:pt idx="836">
                  <c:v>29</c:v>
                </c:pt>
                <c:pt idx="837">
                  <c:v>6</c:v>
                </c:pt>
                <c:pt idx="838">
                  <c:v>12</c:v>
                </c:pt>
                <c:pt idx="839">
                  <c:v>20</c:v>
                </c:pt>
                <c:pt idx="840">
                  <c:v>5</c:v>
                </c:pt>
                <c:pt idx="841">
                  <c:v>1</c:v>
                </c:pt>
                <c:pt idx="842">
                  <c:v>20</c:v>
                </c:pt>
                <c:pt idx="843">
                  <c:v>7</c:v>
                </c:pt>
                <c:pt idx="844">
                  <c:v>2</c:v>
                </c:pt>
                <c:pt idx="845">
                  <c:v>16</c:v>
                </c:pt>
                <c:pt idx="846">
                  <c:v>9</c:v>
                </c:pt>
                <c:pt idx="847">
                  <c:v>12</c:v>
                </c:pt>
                <c:pt idx="848">
                  <c:v>10</c:v>
                </c:pt>
                <c:pt idx="849">
                  <c:v>9</c:v>
                </c:pt>
                <c:pt idx="850">
                  <c:v>10</c:v>
                </c:pt>
                <c:pt idx="851">
                  <c:v>3</c:v>
                </c:pt>
                <c:pt idx="852">
                  <c:v>10</c:v>
                </c:pt>
                <c:pt idx="853">
                  <c:v>20</c:v>
                </c:pt>
                <c:pt idx="854">
                  <c:v>5.5</c:v>
                </c:pt>
                <c:pt idx="855">
                  <c:v>8</c:v>
                </c:pt>
                <c:pt idx="856">
                  <c:v>2</c:v>
                </c:pt>
                <c:pt idx="857">
                  <c:v>25</c:v>
                </c:pt>
                <c:pt idx="858">
                  <c:v>11</c:v>
                </c:pt>
                <c:pt idx="859">
                  <c:v>5</c:v>
                </c:pt>
                <c:pt idx="860">
                  <c:v>18</c:v>
                </c:pt>
                <c:pt idx="861">
                  <c:v>1.5</c:v>
                </c:pt>
                <c:pt idx="862">
                  <c:v>5</c:v>
                </c:pt>
                <c:pt idx="863">
                  <c:v>3</c:v>
                </c:pt>
                <c:pt idx="864">
                  <c:v>5</c:v>
                </c:pt>
                <c:pt idx="865">
                  <c:v>4</c:v>
                </c:pt>
                <c:pt idx="866">
                  <c:v>20</c:v>
                </c:pt>
                <c:pt idx="867">
                  <c:v>7</c:v>
                </c:pt>
                <c:pt idx="868">
                  <c:v>4</c:v>
                </c:pt>
                <c:pt idx="869">
                  <c:v>36</c:v>
                </c:pt>
                <c:pt idx="870">
                  <c:v>8</c:v>
                </c:pt>
                <c:pt idx="871">
                  <c:v>0</c:v>
                </c:pt>
                <c:pt idx="872">
                  <c:v>10</c:v>
                </c:pt>
                <c:pt idx="873">
                  <c:v>10</c:v>
                </c:pt>
                <c:pt idx="874">
                  <c:v>6</c:v>
                </c:pt>
                <c:pt idx="875">
                  <c:v>2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2</c:v>
                </c:pt>
                <c:pt idx="880">
                  <c:v>6</c:v>
                </c:pt>
                <c:pt idx="881">
                  <c:v>15</c:v>
                </c:pt>
                <c:pt idx="882">
                  <c:v>6</c:v>
                </c:pt>
                <c:pt idx="883">
                  <c:v>12</c:v>
                </c:pt>
                <c:pt idx="884">
                  <c:v>5</c:v>
                </c:pt>
                <c:pt idx="885">
                  <c:v>7</c:v>
                </c:pt>
                <c:pt idx="886">
                  <c:v>11</c:v>
                </c:pt>
                <c:pt idx="887">
                  <c:v>5</c:v>
                </c:pt>
                <c:pt idx="888">
                  <c:v>10</c:v>
                </c:pt>
                <c:pt idx="889">
                  <c:v>35</c:v>
                </c:pt>
                <c:pt idx="890">
                  <c:v>7</c:v>
                </c:pt>
                <c:pt idx="891">
                  <c:v>1.6</c:v>
                </c:pt>
                <c:pt idx="892">
                  <c:v>7</c:v>
                </c:pt>
                <c:pt idx="893">
                  <c:v>20</c:v>
                </c:pt>
                <c:pt idx="894">
                  <c:v>2</c:v>
                </c:pt>
                <c:pt idx="895">
                  <c:v>3</c:v>
                </c:pt>
                <c:pt idx="896">
                  <c:v>6</c:v>
                </c:pt>
                <c:pt idx="897">
                  <c:v>2</c:v>
                </c:pt>
                <c:pt idx="898">
                  <c:v>19</c:v>
                </c:pt>
                <c:pt idx="899">
                  <c:v>10</c:v>
                </c:pt>
                <c:pt idx="900">
                  <c:v>9</c:v>
                </c:pt>
                <c:pt idx="901">
                  <c:v>15</c:v>
                </c:pt>
                <c:pt idx="902">
                  <c:v>14</c:v>
                </c:pt>
                <c:pt idx="903">
                  <c:v>13</c:v>
                </c:pt>
                <c:pt idx="904">
                  <c:v>4</c:v>
                </c:pt>
                <c:pt idx="905">
                  <c:v>12</c:v>
                </c:pt>
                <c:pt idx="906">
                  <c:v>10</c:v>
                </c:pt>
                <c:pt idx="907">
                  <c:v>10</c:v>
                </c:pt>
                <c:pt idx="908">
                  <c:v>8</c:v>
                </c:pt>
                <c:pt idx="909">
                  <c:v>17</c:v>
                </c:pt>
                <c:pt idx="910">
                  <c:v>13</c:v>
                </c:pt>
                <c:pt idx="911">
                  <c:v>8</c:v>
                </c:pt>
                <c:pt idx="912">
                  <c:v>7</c:v>
                </c:pt>
                <c:pt idx="913">
                  <c:v>10</c:v>
                </c:pt>
                <c:pt idx="914">
                  <c:v>4</c:v>
                </c:pt>
                <c:pt idx="915">
                  <c:v>20</c:v>
                </c:pt>
                <c:pt idx="916">
                  <c:v>5</c:v>
                </c:pt>
                <c:pt idx="917">
                  <c:v>8</c:v>
                </c:pt>
                <c:pt idx="918">
                  <c:v>5</c:v>
                </c:pt>
                <c:pt idx="919">
                  <c:v>2</c:v>
                </c:pt>
                <c:pt idx="920">
                  <c:v>8</c:v>
                </c:pt>
                <c:pt idx="921">
                  <c:v>14</c:v>
                </c:pt>
                <c:pt idx="922">
                  <c:v>10</c:v>
                </c:pt>
                <c:pt idx="923">
                  <c:v>6</c:v>
                </c:pt>
                <c:pt idx="924">
                  <c:v>21</c:v>
                </c:pt>
                <c:pt idx="925">
                  <c:v>15</c:v>
                </c:pt>
                <c:pt idx="926">
                  <c:v>5</c:v>
                </c:pt>
                <c:pt idx="927">
                  <c:v>1</c:v>
                </c:pt>
                <c:pt idx="928">
                  <c:v>3</c:v>
                </c:pt>
                <c:pt idx="929">
                  <c:v>10</c:v>
                </c:pt>
                <c:pt idx="930">
                  <c:v>4</c:v>
                </c:pt>
                <c:pt idx="931">
                  <c:v>15</c:v>
                </c:pt>
                <c:pt idx="932">
                  <c:v>15</c:v>
                </c:pt>
                <c:pt idx="933">
                  <c:v>20</c:v>
                </c:pt>
                <c:pt idx="934">
                  <c:v>10</c:v>
                </c:pt>
                <c:pt idx="935">
                  <c:v>1.5</c:v>
                </c:pt>
                <c:pt idx="936">
                  <c:v>5</c:v>
                </c:pt>
                <c:pt idx="937">
                  <c:v>22</c:v>
                </c:pt>
                <c:pt idx="938">
                  <c:v>18</c:v>
                </c:pt>
                <c:pt idx="939">
                  <c:v>2</c:v>
                </c:pt>
                <c:pt idx="940">
                  <c:v>27</c:v>
                </c:pt>
                <c:pt idx="941">
                  <c:v>3</c:v>
                </c:pt>
                <c:pt idx="942">
                  <c:v>8</c:v>
                </c:pt>
                <c:pt idx="943">
                  <c:v>6</c:v>
                </c:pt>
                <c:pt idx="944">
                  <c:v>14</c:v>
                </c:pt>
                <c:pt idx="945">
                  <c:v>11</c:v>
                </c:pt>
                <c:pt idx="946">
                  <c:v>3</c:v>
                </c:pt>
                <c:pt idx="947">
                  <c:v>8</c:v>
                </c:pt>
                <c:pt idx="948">
                  <c:v>8</c:v>
                </c:pt>
                <c:pt idx="949">
                  <c:v>30</c:v>
                </c:pt>
                <c:pt idx="950">
                  <c:v>0</c:v>
                </c:pt>
                <c:pt idx="951">
                  <c:v>3</c:v>
                </c:pt>
                <c:pt idx="952">
                  <c:v>5</c:v>
                </c:pt>
                <c:pt idx="953">
                  <c:v>18</c:v>
                </c:pt>
                <c:pt idx="954">
                  <c:v>6</c:v>
                </c:pt>
                <c:pt idx="955">
                  <c:v>14</c:v>
                </c:pt>
                <c:pt idx="956">
                  <c:v>15</c:v>
                </c:pt>
                <c:pt idx="957">
                  <c:v>15</c:v>
                </c:pt>
                <c:pt idx="958">
                  <c:v>8</c:v>
                </c:pt>
                <c:pt idx="959">
                  <c:v>5</c:v>
                </c:pt>
                <c:pt idx="960">
                  <c:v>4</c:v>
                </c:pt>
                <c:pt idx="961">
                  <c:v>5</c:v>
                </c:pt>
                <c:pt idx="962">
                  <c:v>5</c:v>
                </c:pt>
                <c:pt idx="963">
                  <c:v>8</c:v>
                </c:pt>
                <c:pt idx="964">
                  <c:v>7</c:v>
                </c:pt>
                <c:pt idx="965">
                  <c:v>10</c:v>
                </c:pt>
                <c:pt idx="966">
                  <c:v>3</c:v>
                </c:pt>
                <c:pt idx="967">
                  <c:v>5</c:v>
                </c:pt>
                <c:pt idx="968">
                  <c:v>17</c:v>
                </c:pt>
                <c:pt idx="969">
                  <c:v>7</c:v>
                </c:pt>
                <c:pt idx="970">
                  <c:v>5</c:v>
                </c:pt>
                <c:pt idx="971">
                  <c:v>15</c:v>
                </c:pt>
                <c:pt idx="972">
                  <c:v>8</c:v>
                </c:pt>
                <c:pt idx="973">
                  <c:v>10</c:v>
                </c:pt>
                <c:pt idx="974">
                  <c:v>15</c:v>
                </c:pt>
                <c:pt idx="975">
                  <c:v>5</c:v>
                </c:pt>
                <c:pt idx="976">
                  <c:v>2</c:v>
                </c:pt>
                <c:pt idx="977">
                  <c:v>5</c:v>
                </c:pt>
                <c:pt idx="978">
                  <c:v>25</c:v>
                </c:pt>
                <c:pt idx="979">
                  <c:v>30</c:v>
                </c:pt>
                <c:pt idx="980">
                  <c:v>8</c:v>
                </c:pt>
                <c:pt idx="981">
                  <c:v>4</c:v>
                </c:pt>
                <c:pt idx="982">
                  <c:v>1</c:v>
                </c:pt>
                <c:pt idx="983">
                  <c:v>8</c:v>
                </c:pt>
                <c:pt idx="984">
                  <c:v>15</c:v>
                </c:pt>
                <c:pt idx="985">
                  <c:v>9</c:v>
                </c:pt>
                <c:pt idx="986">
                  <c:v>8</c:v>
                </c:pt>
                <c:pt idx="987">
                  <c:v>5</c:v>
                </c:pt>
                <c:pt idx="988">
                  <c:v>10</c:v>
                </c:pt>
                <c:pt idx="989">
                  <c:v>2</c:v>
                </c:pt>
                <c:pt idx="990">
                  <c:v>30</c:v>
                </c:pt>
                <c:pt idx="991">
                  <c:v>15</c:v>
                </c:pt>
                <c:pt idx="992">
                  <c:v>3</c:v>
                </c:pt>
                <c:pt idx="993">
                  <c:v>8</c:v>
                </c:pt>
                <c:pt idx="994">
                  <c:v>15</c:v>
                </c:pt>
                <c:pt idx="995">
                  <c:v>7</c:v>
                </c:pt>
                <c:pt idx="996">
                  <c:v>10</c:v>
                </c:pt>
                <c:pt idx="997">
                  <c:v>20</c:v>
                </c:pt>
                <c:pt idx="998">
                  <c:v>6</c:v>
                </c:pt>
                <c:pt idx="999">
                  <c:v>30</c:v>
                </c:pt>
                <c:pt idx="1000">
                  <c:v>5</c:v>
                </c:pt>
                <c:pt idx="1001">
                  <c:v>8</c:v>
                </c:pt>
                <c:pt idx="1002">
                  <c:v>3.5</c:v>
                </c:pt>
                <c:pt idx="1003">
                  <c:v>2.5</c:v>
                </c:pt>
                <c:pt idx="1004">
                  <c:v>6</c:v>
                </c:pt>
                <c:pt idx="1005">
                  <c:v>6</c:v>
                </c:pt>
                <c:pt idx="1006">
                  <c:v>5</c:v>
                </c:pt>
                <c:pt idx="1007">
                  <c:v>9</c:v>
                </c:pt>
                <c:pt idx="1008">
                  <c:v>4</c:v>
                </c:pt>
                <c:pt idx="1009">
                  <c:v>6</c:v>
                </c:pt>
                <c:pt idx="1010">
                  <c:v>5</c:v>
                </c:pt>
                <c:pt idx="1011">
                  <c:v>10</c:v>
                </c:pt>
                <c:pt idx="1012">
                  <c:v>12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12</c:v>
                </c:pt>
                <c:pt idx="1017">
                  <c:v>12</c:v>
                </c:pt>
                <c:pt idx="1018">
                  <c:v>1</c:v>
                </c:pt>
                <c:pt idx="1019">
                  <c:v>3</c:v>
                </c:pt>
                <c:pt idx="1020">
                  <c:v>10</c:v>
                </c:pt>
                <c:pt idx="1021">
                  <c:v>15</c:v>
                </c:pt>
                <c:pt idx="1022">
                  <c:v>2</c:v>
                </c:pt>
                <c:pt idx="1023">
                  <c:v>1</c:v>
                </c:pt>
                <c:pt idx="1024">
                  <c:v>1</c:v>
                </c:pt>
                <c:pt idx="1025">
                  <c:v>20</c:v>
                </c:pt>
                <c:pt idx="1026">
                  <c:v>5</c:v>
                </c:pt>
                <c:pt idx="1027">
                  <c:v>1</c:v>
                </c:pt>
                <c:pt idx="1028">
                  <c:v>1</c:v>
                </c:pt>
                <c:pt idx="1029">
                  <c:v>10</c:v>
                </c:pt>
                <c:pt idx="1030">
                  <c:v>2</c:v>
                </c:pt>
                <c:pt idx="1031">
                  <c:v>12</c:v>
                </c:pt>
                <c:pt idx="1032">
                  <c:v>8</c:v>
                </c:pt>
                <c:pt idx="1033">
                  <c:v>4</c:v>
                </c:pt>
                <c:pt idx="1034">
                  <c:v>5</c:v>
                </c:pt>
                <c:pt idx="1035">
                  <c:v>8</c:v>
                </c:pt>
                <c:pt idx="1036">
                  <c:v>1</c:v>
                </c:pt>
                <c:pt idx="1037">
                  <c:v>12</c:v>
                </c:pt>
                <c:pt idx="1038">
                  <c:v>2.5</c:v>
                </c:pt>
                <c:pt idx="1039">
                  <c:v>9</c:v>
                </c:pt>
                <c:pt idx="1040">
                  <c:v>2</c:v>
                </c:pt>
                <c:pt idx="1041">
                  <c:v>1</c:v>
                </c:pt>
                <c:pt idx="1042">
                  <c:v>16</c:v>
                </c:pt>
                <c:pt idx="1043">
                  <c:v>5</c:v>
                </c:pt>
                <c:pt idx="1044">
                  <c:v>7</c:v>
                </c:pt>
                <c:pt idx="1045">
                  <c:v>5</c:v>
                </c:pt>
                <c:pt idx="1046">
                  <c:v>5</c:v>
                </c:pt>
                <c:pt idx="1047">
                  <c:v>4</c:v>
                </c:pt>
                <c:pt idx="1048">
                  <c:v>7</c:v>
                </c:pt>
                <c:pt idx="1049">
                  <c:v>18</c:v>
                </c:pt>
                <c:pt idx="1050">
                  <c:v>10</c:v>
                </c:pt>
                <c:pt idx="1051">
                  <c:v>9</c:v>
                </c:pt>
                <c:pt idx="1052">
                  <c:v>13</c:v>
                </c:pt>
                <c:pt idx="1053">
                  <c:v>10</c:v>
                </c:pt>
                <c:pt idx="1054">
                  <c:v>4</c:v>
                </c:pt>
                <c:pt idx="1055">
                  <c:v>5</c:v>
                </c:pt>
                <c:pt idx="1056">
                  <c:v>3</c:v>
                </c:pt>
                <c:pt idx="1057">
                  <c:v>5</c:v>
                </c:pt>
                <c:pt idx="1058">
                  <c:v>4</c:v>
                </c:pt>
                <c:pt idx="1059">
                  <c:v>3</c:v>
                </c:pt>
                <c:pt idx="1060">
                  <c:v>4</c:v>
                </c:pt>
                <c:pt idx="1061">
                  <c:v>3</c:v>
                </c:pt>
                <c:pt idx="1062">
                  <c:v>5</c:v>
                </c:pt>
                <c:pt idx="1063">
                  <c:v>3</c:v>
                </c:pt>
                <c:pt idx="1064">
                  <c:v>1</c:v>
                </c:pt>
                <c:pt idx="1065">
                  <c:v>9</c:v>
                </c:pt>
                <c:pt idx="1066">
                  <c:v>14</c:v>
                </c:pt>
                <c:pt idx="1067">
                  <c:v>15</c:v>
                </c:pt>
                <c:pt idx="1068">
                  <c:v>2</c:v>
                </c:pt>
                <c:pt idx="1069">
                  <c:v>8</c:v>
                </c:pt>
                <c:pt idx="1070">
                  <c:v>6</c:v>
                </c:pt>
                <c:pt idx="1071">
                  <c:v>15</c:v>
                </c:pt>
                <c:pt idx="1072">
                  <c:v>20</c:v>
                </c:pt>
                <c:pt idx="1073">
                  <c:v>23</c:v>
                </c:pt>
                <c:pt idx="1074">
                  <c:v>2.5</c:v>
                </c:pt>
                <c:pt idx="1075">
                  <c:v>17</c:v>
                </c:pt>
                <c:pt idx="1076">
                  <c:v>11</c:v>
                </c:pt>
                <c:pt idx="1077">
                  <c:v>1</c:v>
                </c:pt>
                <c:pt idx="1078">
                  <c:v>6</c:v>
                </c:pt>
                <c:pt idx="1079">
                  <c:v>12</c:v>
                </c:pt>
                <c:pt idx="1080">
                  <c:v>10</c:v>
                </c:pt>
                <c:pt idx="1081">
                  <c:v>8</c:v>
                </c:pt>
                <c:pt idx="1082">
                  <c:v>12</c:v>
                </c:pt>
                <c:pt idx="1083">
                  <c:v>3</c:v>
                </c:pt>
                <c:pt idx="1084">
                  <c:v>3</c:v>
                </c:pt>
                <c:pt idx="1085">
                  <c:v>15</c:v>
                </c:pt>
                <c:pt idx="1086">
                  <c:v>10</c:v>
                </c:pt>
                <c:pt idx="1087">
                  <c:v>5</c:v>
                </c:pt>
                <c:pt idx="1088">
                  <c:v>8</c:v>
                </c:pt>
                <c:pt idx="1089">
                  <c:v>2</c:v>
                </c:pt>
                <c:pt idx="1090">
                  <c:v>1</c:v>
                </c:pt>
                <c:pt idx="1091">
                  <c:v>6</c:v>
                </c:pt>
                <c:pt idx="1092">
                  <c:v>25</c:v>
                </c:pt>
                <c:pt idx="1093">
                  <c:v>5</c:v>
                </c:pt>
                <c:pt idx="1094">
                  <c:v>6</c:v>
                </c:pt>
                <c:pt idx="1095">
                  <c:v>6</c:v>
                </c:pt>
                <c:pt idx="1096">
                  <c:v>4</c:v>
                </c:pt>
                <c:pt idx="1097">
                  <c:v>16</c:v>
                </c:pt>
                <c:pt idx="1098">
                  <c:v>12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8</c:v>
                </c:pt>
                <c:pt idx="1103">
                  <c:v>5</c:v>
                </c:pt>
                <c:pt idx="1104">
                  <c:v>12</c:v>
                </c:pt>
                <c:pt idx="1105">
                  <c:v>10</c:v>
                </c:pt>
                <c:pt idx="1106">
                  <c:v>8</c:v>
                </c:pt>
                <c:pt idx="1107">
                  <c:v>3</c:v>
                </c:pt>
                <c:pt idx="1108">
                  <c:v>9</c:v>
                </c:pt>
                <c:pt idx="1109">
                  <c:v>3</c:v>
                </c:pt>
                <c:pt idx="1110">
                  <c:v>8</c:v>
                </c:pt>
                <c:pt idx="1111">
                  <c:v>4</c:v>
                </c:pt>
                <c:pt idx="1112">
                  <c:v>4</c:v>
                </c:pt>
                <c:pt idx="1113">
                  <c:v>1.5</c:v>
                </c:pt>
                <c:pt idx="1114">
                  <c:v>5</c:v>
                </c:pt>
                <c:pt idx="1115">
                  <c:v>1</c:v>
                </c:pt>
                <c:pt idx="1116">
                  <c:v>4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2</c:v>
                </c:pt>
                <c:pt idx="1121">
                  <c:v>1</c:v>
                </c:pt>
                <c:pt idx="1122">
                  <c:v>5</c:v>
                </c:pt>
                <c:pt idx="1123">
                  <c:v>2</c:v>
                </c:pt>
                <c:pt idx="1124">
                  <c:v>4</c:v>
                </c:pt>
                <c:pt idx="1125">
                  <c:v>5</c:v>
                </c:pt>
                <c:pt idx="1126">
                  <c:v>14</c:v>
                </c:pt>
                <c:pt idx="1127">
                  <c:v>13</c:v>
                </c:pt>
                <c:pt idx="1128">
                  <c:v>8</c:v>
                </c:pt>
                <c:pt idx="1129">
                  <c:v>3</c:v>
                </c:pt>
                <c:pt idx="1130">
                  <c:v>6</c:v>
                </c:pt>
                <c:pt idx="1131">
                  <c:v>6</c:v>
                </c:pt>
                <c:pt idx="1132">
                  <c:v>15</c:v>
                </c:pt>
                <c:pt idx="1133">
                  <c:v>25</c:v>
                </c:pt>
                <c:pt idx="1134">
                  <c:v>8</c:v>
                </c:pt>
                <c:pt idx="1135">
                  <c:v>2</c:v>
                </c:pt>
                <c:pt idx="1136">
                  <c:v>2</c:v>
                </c:pt>
                <c:pt idx="1137">
                  <c:v>20</c:v>
                </c:pt>
                <c:pt idx="1138">
                  <c:v>2</c:v>
                </c:pt>
                <c:pt idx="1139">
                  <c:v>5</c:v>
                </c:pt>
                <c:pt idx="1140">
                  <c:v>2</c:v>
                </c:pt>
                <c:pt idx="1141">
                  <c:v>4</c:v>
                </c:pt>
                <c:pt idx="1142">
                  <c:v>11</c:v>
                </c:pt>
                <c:pt idx="1143">
                  <c:v>2</c:v>
                </c:pt>
                <c:pt idx="1144">
                  <c:v>5</c:v>
                </c:pt>
                <c:pt idx="1145">
                  <c:v>3</c:v>
                </c:pt>
                <c:pt idx="1146">
                  <c:v>8</c:v>
                </c:pt>
                <c:pt idx="1147">
                  <c:v>2</c:v>
                </c:pt>
                <c:pt idx="1148">
                  <c:v>4</c:v>
                </c:pt>
                <c:pt idx="1149">
                  <c:v>2.5</c:v>
                </c:pt>
                <c:pt idx="1150">
                  <c:v>5</c:v>
                </c:pt>
                <c:pt idx="1151">
                  <c:v>10</c:v>
                </c:pt>
                <c:pt idx="1152">
                  <c:v>4</c:v>
                </c:pt>
                <c:pt idx="1153">
                  <c:v>15</c:v>
                </c:pt>
                <c:pt idx="1154">
                  <c:v>1</c:v>
                </c:pt>
                <c:pt idx="1155">
                  <c:v>7</c:v>
                </c:pt>
                <c:pt idx="1156">
                  <c:v>1</c:v>
                </c:pt>
                <c:pt idx="1157">
                  <c:v>4</c:v>
                </c:pt>
                <c:pt idx="1158">
                  <c:v>20</c:v>
                </c:pt>
                <c:pt idx="1159">
                  <c:v>9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0</c:v>
                </c:pt>
                <c:pt idx="1164">
                  <c:v>0</c:v>
                </c:pt>
                <c:pt idx="1165">
                  <c:v>6</c:v>
                </c:pt>
                <c:pt idx="1166">
                  <c:v>3</c:v>
                </c:pt>
                <c:pt idx="1167">
                  <c:v>3</c:v>
                </c:pt>
                <c:pt idx="1168">
                  <c:v>20</c:v>
                </c:pt>
                <c:pt idx="1169">
                  <c:v>16</c:v>
                </c:pt>
                <c:pt idx="1170">
                  <c:v>4</c:v>
                </c:pt>
                <c:pt idx="1171">
                  <c:v>6</c:v>
                </c:pt>
                <c:pt idx="1172">
                  <c:v>11</c:v>
                </c:pt>
                <c:pt idx="1173">
                  <c:v>6</c:v>
                </c:pt>
                <c:pt idx="1174">
                  <c:v>5</c:v>
                </c:pt>
                <c:pt idx="1175">
                  <c:v>2</c:v>
                </c:pt>
                <c:pt idx="1176">
                  <c:v>13</c:v>
                </c:pt>
                <c:pt idx="1177">
                  <c:v>3</c:v>
                </c:pt>
                <c:pt idx="1178">
                  <c:v>5</c:v>
                </c:pt>
                <c:pt idx="1179">
                  <c:v>3</c:v>
                </c:pt>
                <c:pt idx="1180">
                  <c:v>5</c:v>
                </c:pt>
                <c:pt idx="1181">
                  <c:v>15</c:v>
                </c:pt>
                <c:pt idx="1182">
                  <c:v>15</c:v>
                </c:pt>
                <c:pt idx="1183">
                  <c:v>9</c:v>
                </c:pt>
                <c:pt idx="1184">
                  <c:v>0</c:v>
                </c:pt>
                <c:pt idx="1185">
                  <c:v>10</c:v>
                </c:pt>
                <c:pt idx="1186">
                  <c:v>9</c:v>
                </c:pt>
                <c:pt idx="1187">
                  <c:v>7</c:v>
                </c:pt>
                <c:pt idx="1188">
                  <c:v>12</c:v>
                </c:pt>
                <c:pt idx="1189">
                  <c:v>3</c:v>
                </c:pt>
                <c:pt idx="1190">
                  <c:v>4</c:v>
                </c:pt>
                <c:pt idx="1191">
                  <c:v>7</c:v>
                </c:pt>
                <c:pt idx="1192">
                  <c:v>1</c:v>
                </c:pt>
                <c:pt idx="1193">
                  <c:v>3</c:v>
                </c:pt>
                <c:pt idx="1194">
                  <c:v>3</c:v>
                </c:pt>
                <c:pt idx="1195">
                  <c:v>9</c:v>
                </c:pt>
                <c:pt idx="1196">
                  <c:v>16</c:v>
                </c:pt>
                <c:pt idx="1197">
                  <c:v>1</c:v>
                </c:pt>
                <c:pt idx="1198">
                  <c:v>3</c:v>
                </c:pt>
                <c:pt idx="1199">
                  <c:v>12</c:v>
                </c:pt>
                <c:pt idx="1200">
                  <c:v>2</c:v>
                </c:pt>
                <c:pt idx="1201">
                  <c:v>2</c:v>
                </c:pt>
                <c:pt idx="1202">
                  <c:v>1</c:v>
                </c:pt>
                <c:pt idx="1203">
                  <c:v>12</c:v>
                </c:pt>
                <c:pt idx="1204">
                  <c:v>2</c:v>
                </c:pt>
                <c:pt idx="1205">
                  <c:v>2</c:v>
                </c:pt>
                <c:pt idx="1206">
                  <c:v>12</c:v>
                </c:pt>
                <c:pt idx="1207">
                  <c:v>1</c:v>
                </c:pt>
                <c:pt idx="1208">
                  <c:v>3</c:v>
                </c:pt>
                <c:pt idx="1209">
                  <c:v>14</c:v>
                </c:pt>
                <c:pt idx="1210">
                  <c:v>10</c:v>
                </c:pt>
                <c:pt idx="1211">
                  <c:v>13</c:v>
                </c:pt>
                <c:pt idx="1212">
                  <c:v>4</c:v>
                </c:pt>
                <c:pt idx="1213">
                  <c:v>10</c:v>
                </c:pt>
                <c:pt idx="1214">
                  <c:v>3</c:v>
                </c:pt>
                <c:pt idx="1215">
                  <c:v>4</c:v>
                </c:pt>
                <c:pt idx="1216">
                  <c:v>3</c:v>
                </c:pt>
                <c:pt idx="1217">
                  <c:v>12</c:v>
                </c:pt>
                <c:pt idx="1218">
                  <c:v>4</c:v>
                </c:pt>
                <c:pt idx="1219">
                  <c:v>5</c:v>
                </c:pt>
                <c:pt idx="1220">
                  <c:v>20</c:v>
                </c:pt>
                <c:pt idx="1221">
                  <c:v>1</c:v>
                </c:pt>
                <c:pt idx="1222">
                  <c:v>8</c:v>
                </c:pt>
                <c:pt idx="1223">
                  <c:v>15</c:v>
                </c:pt>
                <c:pt idx="1224">
                  <c:v>8</c:v>
                </c:pt>
                <c:pt idx="1225">
                  <c:v>3</c:v>
                </c:pt>
                <c:pt idx="1226">
                  <c:v>4</c:v>
                </c:pt>
                <c:pt idx="1227">
                  <c:v>2</c:v>
                </c:pt>
                <c:pt idx="1228">
                  <c:v>14</c:v>
                </c:pt>
                <c:pt idx="1229">
                  <c:v>2</c:v>
                </c:pt>
                <c:pt idx="1230">
                  <c:v>5</c:v>
                </c:pt>
                <c:pt idx="1231">
                  <c:v>20</c:v>
                </c:pt>
                <c:pt idx="1232">
                  <c:v>5</c:v>
                </c:pt>
                <c:pt idx="1233">
                  <c:v>25</c:v>
                </c:pt>
                <c:pt idx="1234">
                  <c:v>20</c:v>
                </c:pt>
                <c:pt idx="1235">
                  <c:v>10</c:v>
                </c:pt>
                <c:pt idx="1236">
                  <c:v>20</c:v>
                </c:pt>
                <c:pt idx="1237">
                  <c:v>1</c:v>
                </c:pt>
                <c:pt idx="1238">
                  <c:v>0.3</c:v>
                </c:pt>
                <c:pt idx="1239">
                  <c:v>10</c:v>
                </c:pt>
                <c:pt idx="1240">
                  <c:v>6</c:v>
                </c:pt>
                <c:pt idx="1241">
                  <c:v>7</c:v>
                </c:pt>
                <c:pt idx="1242">
                  <c:v>7</c:v>
                </c:pt>
                <c:pt idx="1243">
                  <c:v>6</c:v>
                </c:pt>
                <c:pt idx="1244">
                  <c:v>10</c:v>
                </c:pt>
                <c:pt idx="1245">
                  <c:v>15</c:v>
                </c:pt>
                <c:pt idx="1246">
                  <c:v>9</c:v>
                </c:pt>
                <c:pt idx="1247">
                  <c:v>0</c:v>
                </c:pt>
                <c:pt idx="1248">
                  <c:v>9</c:v>
                </c:pt>
                <c:pt idx="1249">
                  <c:v>6</c:v>
                </c:pt>
                <c:pt idx="1250">
                  <c:v>5</c:v>
                </c:pt>
                <c:pt idx="1251">
                  <c:v>5</c:v>
                </c:pt>
                <c:pt idx="1252">
                  <c:v>3</c:v>
                </c:pt>
                <c:pt idx="1253">
                  <c:v>15</c:v>
                </c:pt>
                <c:pt idx="1254">
                  <c:v>23</c:v>
                </c:pt>
                <c:pt idx="1255">
                  <c:v>3</c:v>
                </c:pt>
                <c:pt idx="1256">
                  <c:v>0</c:v>
                </c:pt>
                <c:pt idx="1257">
                  <c:v>1</c:v>
                </c:pt>
                <c:pt idx="1258">
                  <c:v>15</c:v>
                </c:pt>
                <c:pt idx="1259">
                  <c:v>1</c:v>
                </c:pt>
                <c:pt idx="1260">
                  <c:v>7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0.3</c:v>
                </c:pt>
                <c:pt idx="1265">
                  <c:v>5</c:v>
                </c:pt>
                <c:pt idx="1266">
                  <c:v>10</c:v>
                </c:pt>
                <c:pt idx="1267">
                  <c:v>4</c:v>
                </c:pt>
                <c:pt idx="1268">
                  <c:v>10</c:v>
                </c:pt>
                <c:pt idx="1269">
                  <c:v>10</c:v>
                </c:pt>
                <c:pt idx="1270">
                  <c:v>8</c:v>
                </c:pt>
                <c:pt idx="1271">
                  <c:v>8</c:v>
                </c:pt>
                <c:pt idx="1272">
                  <c:v>20</c:v>
                </c:pt>
                <c:pt idx="1273">
                  <c:v>10</c:v>
                </c:pt>
                <c:pt idx="1274">
                  <c:v>10</c:v>
                </c:pt>
                <c:pt idx="1275">
                  <c:v>10</c:v>
                </c:pt>
                <c:pt idx="1276">
                  <c:v>6</c:v>
                </c:pt>
                <c:pt idx="1277">
                  <c:v>18</c:v>
                </c:pt>
                <c:pt idx="1278">
                  <c:v>10</c:v>
                </c:pt>
                <c:pt idx="1279">
                  <c:v>6</c:v>
                </c:pt>
                <c:pt idx="1280">
                  <c:v>1</c:v>
                </c:pt>
                <c:pt idx="1281">
                  <c:v>2</c:v>
                </c:pt>
                <c:pt idx="1282">
                  <c:v>12</c:v>
                </c:pt>
                <c:pt idx="1283">
                  <c:v>5</c:v>
                </c:pt>
                <c:pt idx="1284">
                  <c:v>6</c:v>
                </c:pt>
                <c:pt idx="1285">
                  <c:v>12</c:v>
                </c:pt>
                <c:pt idx="1286">
                  <c:v>9</c:v>
                </c:pt>
                <c:pt idx="1287">
                  <c:v>20</c:v>
                </c:pt>
                <c:pt idx="1288">
                  <c:v>2</c:v>
                </c:pt>
                <c:pt idx="1289">
                  <c:v>15</c:v>
                </c:pt>
                <c:pt idx="1290">
                  <c:v>4</c:v>
                </c:pt>
                <c:pt idx="1291">
                  <c:v>1.5</c:v>
                </c:pt>
                <c:pt idx="1292">
                  <c:v>10</c:v>
                </c:pt>
                <c:pt idx="1293">
                  <c:v>3</c:v>
                </c:pt>
                <c:pt idx="1294">
                  <c:v>6</c:v>
                </c:pt>
                <c:pt idx="1295">
                  <c:v>20</c:v>
                </c:pt>
                <c:pt idx="1296">
                  <c:v>1</c:v>
                </c:pt>
                <c:pt idx="1297">
                  <c:v>2</c:v>
                </c:pt>
                <c:pt idx="1298">
                  <c:v>3</c:v>
                </c:pt>
                <c:pt idx="1299">
                  <c:v>27</c:v>
                </c:pt>
                <c:pt idx="1300">
                  <c:v>34</c:v>
                </c:pt>
                <c:pt idx="1301">
                  <c:v>5</c:v>
                </c:pt>
                <c:pt idx="1302">
                  <c:v>10</c:v>
                </c:pt>
                <c:pt idx="1303">
                  <c:v>5</c:v>
                </c:pt>
                <c:pt idx="1304">
                  <c:v>8</c:v>
                </c:pt>
                <c:pt idx="1305">
                  <c:v>12</c:v>
                </c:pt>
                <c:pt idx="1306">
                  <c:v>8</c:v>
                </c:pt>
                <c:pt idx="1307">
                  <c:v>4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8</c:v>
                </c:pt>
                <c:pt idx="1312">
                  <c:v>5</c:v>
                </c:pt>
                <c:pt idx="1313">
                  <c:v>10</c:v>
                </c:pt>
                <c:pt idx="1314">
                  <c:v>2</c:v>
                </c:pt>
                <c:pt idx="1315">
                  <c:v>4</c:v>
                </c:pt>
                <c:pt idx="1316">
                  <c:v>1</c:v>
                </c:pt>
                <c:pt idx="1317">
                  <c:v>3</c:v>
                </c:pt>
                <c:pt idx="1318">
                  <c:v>6</c:v>
                </c:pt>
                <c:pt idx="1319">
                  <c:v>3</c:v>
                </c:pt>
                <c:pt idx="1320">
                  <c:v>1.6</c:v>
                </c:pt>
                <c:pt idx="1321">
                  <c:v>6</c:v>
                </c:pt>
                <c:pt idx="1322">
                  <c:v>5</c:v>
                </c:pt>
                <c:pt idx="1323">
                  <c:v>10</c:v>
                </c:pt>
                <c:pt idx="1324">
                  <c:v>3.5</c:v>
                </c:pt>
                <c:pt idx="1325">
                  <c:v>8</c:v>
                </c:pt>
                <c:pt idx="1326">
                  <c:v>15</c:v>
                </c:pt>
                <c:pt idx="1327">
                  <c:v>3</c:v>
                </c:pt>
                <c:pt idx="1328">
                  <c:v>20</c:v>
                </c:pt>
                <c:pt idx="1329">
                  <c:v>21</c:v>
                </c:pt>
                <c:pt idx="1330">
                  <c:v>4</c:v>
                </c:pt>
                <c:pt idx="1331">
                  <c:v>5</c:v>
                </c:pt>
                <c:pt idx="1332">
                  <c:v>3</c:v>
                </c:pt>
                <c:pt idx="1333">
                  <c:v>5</c:v>
                </c:pt>
                <c:pt idx="1334">
                  <c:v>10</c:v>
                </c:pt>
              </c:numCache>
            </c:numRef>
          </c:xVal>
          <c:yVal>
            <c:numRef>
              <c:f>Analysis!$T$3:$T$1337</c:f>
              <c:numCache>
                <c:formatCode>General</c:formatCode>
                <c:ptCount val="1335"/>
                <c:pt idx="0">
                  <c:v>54000</c:v>
                </c:pt>
                <c:pt idx="1">
                  <c:v>15600</c:v>
                </c:pt>
                <c:pt idx="2">
                  <c:v>35000</c:v>
                </c:pt>
                <c:pt idx="3">
                  <c:v>188000</c:v>
                </c:pt>
                <c:pt idx="4">
                  <c:v>27500</c:v>
                </c:pt>
                <c:pt idx="5">
                  <c:v>140000</c:v>
                </c:pt>
                <c:pt idx="6">
                  <c:v>69871.969144538423</c:v>
                </c:pt>
                <c:pt idx="7">
                  <c:v>45000</c:v>
                </c:pt>
                <c:pt idx="8">
                  <c:v>95000</c:v>
                </c:pt>
                <c:pt idx="9">
                  <c:v>158085.99674240855</c:v>
                </c:pt>
                <c:pt idx="10">
                  <c:v>63807.047488395103</c:v>
                </c:pt>
                <c:pt idx="11">
                  <c:v>38000</c:v>
                </c:pt>
                <c:pt idx="12">
                  <c:v>90000</c:v>
                </c:pt>
                <c:pt idx="13">
                  <c:v>45393.934235537781</c:v>
                </c:pt>
                <c:pt idx="14">
                  <c:v>33099.743713412965</c:v>
                </c:pt>
                <c:pt idx="15">
                  <c:v>4285</c:v>
                </c:pt>
                <c:pt idx="16">
                  <c:v>6000</c:v>
                </c:pt>
                <c:pt idx="17">
                  <c:v>22438.012440857987</c:v>
                </c:pt>
                <c:pt idx="18">
                  <c:v>90000</c:v>
                </c:pt>
                <c:pt idx="19">
                  <c:v>150000</c:v>
                </c:pt>
                <c:pt idx="20">
                  <c:v>132588.25533234264</c:v>
                </c:pt>
                <c:pt idx="21">
                  <c:v>45000</c:v>
                </c:pt>
                <c:pt idx="22">
                  <c:v>50000</c:v>
                </c:pt>
                <c:pt idx="23">
                  <c:v>300000</c:v>
                </c:pt>
                <c:pt idx="24">
                  <c:v>104030.78495306884</c:v>
                </c:pt>
                <c:pt idx="25">
                  <c:v>115000</c:v>
                </c:pt>
                <c:pt idx="26">
                  <c:v>70000</c:v>
                </c:pt>
                <c:pt idx="27">
                  <c:v>108110.42357867939</c:v>
                </c:pt>
                <c:pt idx="28">
                  <c:v>75000</c:v>
                </c:pt>
                <c:pt idx="29">
                  <c:v>40414</c:v>
                </c:pt>
                <c:pt idx="30">
                  <c:v>65000</c:v>
                </c:pt>
                <c:pt idx="31">
                  <c:v>120000</c:v>
                </c:pt>
                <c:pt idx="32">
                  <c:v>15092.18020692008</c:v>
                </c:pt>
                <c:pt idx="33">
                  <c:v>36000</c:v>
                </c:pt>
                <c:pt idx="34">
                  <c:v>63519.971949580387</c:v>
                </c:pt>
                <c:pt idx="35">
                  <c:v>108000</c:v>
                </c:pt>
                <c:pt idx="36">
                  <c:v>75000</c:v>
                </c:pt>
                <c:pt idx="37">
                  <c:v>7123.1666749770275</c:v>
                </c:pt>
                <c:pt idx="38">
                  <c:v>50000</c:v>
                </c:pt>
                <c:pt idx="39">
                  <c:v>45000</c:v>
                </c:pt>
                <c:pt idx="40">
                  <c:v>45000</c:v>
                </c:pt>
                <c:pt idx="41">
                  <c:v>90000</c:v>
                </c:pt>
                <c:pt idx="42">
                  <c:v>4273.9000049862161</c:v>
                </c:pt>
                <c:pt idx="43">
                  <c:v>50000</c:v>
                </c:pt>
                <c:pt idx="44">
                  <c:v>65000</c:v>
                </c:pt>
                <c:pt idx="45">
                  <c:v>70000</c:v>
                </c:pt>
                <c:pt idx="46">
                  <c:v>160000</c:v>
                </c:pt>
                <c:pt idx="47">
                  <c:v>101990.96564026357</c:v>
                </c:pt>
                <c:pt idx="48">
                  <c:v>6767.0083412281756</c:v>
                </c:pt>
                <c:pt idx="49">
                  <c:v>30000</c:v>
                </c:pt>
                <c:pt idx="50">
                  <c:v>7479.3250087258784</c:v>
                </c:pt>
                <c:pt idx="51">
                  <c:v>61000</c:v>
                </c:pt>
                <c:pt idx="52">
                  <c:v>13800</c:v>
                </c:pt>
                <c:pt idx="53">
                  <c:v>15136.729184326183</c:v>
                </c:pt>
                <c:pt idx="54">
                  <c:v>32054.250037396621</c:v>
                </c:pt>
                <c:pt idx="55">
                  <c:v>80000</c:v>
                </c:pt>
                <c:pt idx="56">
                  <c:v>21000</c:v>
                </c:pt>
                <c:pt idx="57">
                  <c:v>245840.3807575817</c:v>
                </c:pt>
                <c:pt idx="58">
                  <c:v>2849.2666699908109</c:v>
                </c:pt>
                <c:pt idx="59">
                  <c:v>8400</c:v>
                </c:pt>
                <c:pt idx="60">
                  <c:v>86692.320794224041</c:v>
                </c:pt>
                <c:pt idx="61">
                  <c:v>50000</c:v>
                </c:pt>
                <c:pt idx="62">
                  <c:v>4000</c:v>
                </c:pt>
                <c:pt idx="63">
                  <c:v>101990.96564026357</c:v>
                </c:pt>
                <c:pt idx="64">
                  <c:v>95000</c:v>
                </c:pt>
                <c:pt idx="65">
                  <c:v>10000</c:v>
                </c:pt>
                <c:pt idx="66">
                  <c:v>4200</c:v>
                </c:pt>
                <c:pt idx="67">
                  <c:v>12821.700014958649</c:v>
                </c:pt>
                <c:pt idx="68">
                  <c:v>39000</c:v>
                </c:pt>
                <c:pt idx="69">
                  <c:v>60000</c:v>
                </c:pt>
                <c:pt idx="70">
                  <c:v>173384.64158844808</c:v>
                </c:pt>
                <c:pt idx="71">
                  <c:v>125000</c:v>
                </c:pt>
                <c:pt idx="72">
                  <c:v>79552.953199405587</c:v>
                </c:pt>
                <c:pt idx="73">
                  <c:v>3561.5833374885137</c:v>
                </c:pt>
                <c:pt idx="74">
                  <c:v>80000</c:v>
                </c:pt>
                <c:pt idx="75">
                  <c:v>10684.750012465542</c:v>
                </c:pt>
                <c:pt idx="76">
                  <c:v>5342.3750062327708</c:v>
                </c:pt>
                <c:pt idx="77">
                  <c:v>71231.666749770273</c:v>
                </c:pt>
                <c:pt idx="78">
                  <c:v>80135.625093491559</c:v>
                </c:pt>
                <c:pt idx="79">
                  <c:v>54084.883766667976</c:v>
                </c:pt>
                <c:pt idx="80">
                  <c:v>53000</c:v>
                </c:pt>
                <c:pt idx="81">
                  <c:v>5342.3750062327708</c:v>
                </c:pt>
                <c:pt idx="82">
                  <c:v>7123.1666749770275</c:v>
                </c:pt>
                <c:pt idx="83">
                  <c:v>10684.750012465542</c:v>
                </c:pt>
                <c:pt idx="84">
                  <c:v>4000</c:v>
                </c:pt>
                <c:pt idx="85">
                  <c:v>8000</c:v>
                </c:pt>
                <c:pt idx="86">
                  <c:v>2671.1875031163854</c:v>
                </c:pt>
                <c:pt idx="87">
                  <c:v>14246.333349954055</c:v>
                </c:pt>
                <c:pt idx="88">
                  <c:v>8547.8000099724322</c:v>
                </c:pt>
                <c:pt idx="89">
                  <c:v>7693.0200089751897</c:v>
                </c:pt>
                <c:pt idx="90">
                  <c:v>4000</c:v>
                </c:pt>
                <c:pt idx="91">
                  <c:v>5400</c:v>
                </c:pt>
                <c:pt idx="92">
                  <c:v>186983.12521814698</c:v>
                </c:pt>
                <c:pt idx="93">
                  <c:v>21500</c:v>
                </c:pt>
                <c:pt idx="94">
                  <c:v>15000</c:v>
                </c:pt>
                <c:pt idx="95">
                  <c:v>2122.8177433598262</c:v>
                </c:pt>
                <c:pt idx="96">
                  <c:v>16917.52085307044</c:v>
                </c:pt>
                <c:pt idx="97">
                  <c:v>2938.3062534280239</c:v>
                </c:pt>
                <c:pt idx="98">
                  <c:v>16800</c:v>
                </c:pt>
                <c:pt idx="99">
                  <c:v>37000</c:v>
                </c:pt>
                <c:pt idx="100">
                  <c:v>5342.3750062327708</c:v>
                </c:pt>
                <c:pt idx="101">
                  <c:v>3561.5833374885137</c:v>
                </c:pt>
                <c:pt idx="102">
                  <c:v>8547.8000099724322</c:v>
                </c:pt>
                <c:pt idx="103">
                  <c:v>5800</c:v>
                </c:pt>
                <c:pt idx="104">
                  <c:v>4095.8208381117906</c:v>
                </c:pt>
                <c:pt idx="105">
                  <c:v>4914.9850057341491</c:v>
                </c:pt>
                <c:pt idx="106">
                  <c:v>24000</c:v>
                </c:pt>
                <c:pt idx="107">
                  <c:v>24000</c:v>
                </c:pt>
                <c:pt idx="108">
                  <c:v>8738</c:v>
                </c:pt>
                <c:pt idx="109">
                  <c:v>15000</c:v>
                </c:pt>
                <c:pt idx="110">
                  <c:v>56400</c:v>
                </c:pt>
                <c:pt idx="111">
                  <c:v>10200</c:v>
                </c:pt>
                <c:pt idx="112">
                  <c:v>5787.5729234188348</c:v>
                </c:pt>
                <c:pt idx="113">
                  <c:v>105000</c:v>
                </c:pt>
                <c:pt idx="114">
                  <c:v>4451.9791718606421</c:v>
                </c:pt>
                <c:pt idx="115">
                  <c:v>8369.7208430980063</c:v>
                </c:pt>
                <c:pt idx="116">
                  <c:v>17067.637625607145</c:v>
                </c:pt>
                <c:pt idx="117">
                  <c:v>101990.96564026357</c:v>
                </c:pt>
                <c:pt idx="118">
                  <c:v>3917.7416712373652</c:v>
                </c:pt>
                <c:pt idx="119">
                  <c:v>52000</c:v>
                </c:pt>
                <c:pt idx="120">
                  <c:v>4630.058338735068</c:v>
                </c:pt>
                <c:pt idx="121">
                  <c:v>2136.9500024931081</c:v>
                </c:pt>
                <c:pt idx="122">
                  <c:v>13000</c:v>
                </c:pt>
                <c:pt idx="123">
                  <c:v>2564.3400029917298</c:v>
                </c:pt>
                <c:pt idx="124">
                  <c:v>20479.104190558952</c:v>
                </c:pt>
                <c:pt idx="125">
                  <c:v>33500</c:v>
                </c:pt>
                <c:pt idx="126">
                  <c:v>50000</c:v>
                </c:pt>
                <c:pt idx="127">
                  <c:v>5342.3750062327708</c:v>
                </c:pt>
                <c:pt idx="128">
                  <c:v>11539.530013462785</c:v>
                </c:pt>
                <c:pt idx="129">
                  <c:v>7000</c:v>
                </c:pt>
                <c:pt idx="130">
                  <c:v>6767.0083412281756</c:v>
                </c:pt>
                <c:pt idx="131">
                  <c:v>3000</c:v>
                </c:pt>
                <c:pt idx="132">
                  <c:v>4451.9791718606421</c:v>
                </c:pt>
                <c:pt idx="133">
                  <c:v>2671.1875031163854</c:v>
                </c:pt>
                <c:pt idx="134">
                  <c:v>4957.7240057840108</c:v>
                </c:pt>
                <c:pt idx="135">
                  <c:v>3205.4250037396623</c:v>
                </c:pt>
                <c:pt idx="136">
                  <c:v>14246.333349954055</c:v>
                </c:pt>
                <c:pt idx="137">
                  <c:v>5342.3750062327708</c:v>
                </c:pt>
                <c:pt idx="138">
                  <c:v>6588.9291743537506</c:v>
                </c:pt>
                <c:pt idx="139">
                  <c:v>6588.9291743537506</c:v>
                </c:pt>
                <c:pt idx="140">
                  <c:v>35000</c:v>
                </c:pt>
                <c:pt idx="141">
                  <c:v>12821.700014958649</c:v>
                </c:pt>
                <c:pt idx="142">
                  <c:v>10684.750012465542</c:v>
                </c:pt>
                <c:pt idx="143">
                  <c:v>10000</c:v>
                </c:pt>
                <c:pt idx="144">
                  <c:v>2136.9500024931081</c:v>
                </c:pt>
                <c:pt idx="145">
                  <c:v>8547.8000099724322</c:v>
                </c:pt>
                <c:pt idx="146">
                  <c:v>8013.5625093491553</c:v>
                </c:pt>
                <c:pt idx="147">
                  <c:v>7123.1666749770275</c:v>
                </c:pt>
                <c:pt idx="148">
                  <c:v>40958.208381117904</c:v>
                </c:pt>
                <c:pt idx="149">
                  <c:v>11325.835013213473</c:v>
                </c:pt>
                <c:pt idx="150">
                  <c:v>15000</c:v>
                </c:pt>
                <c:pt idx="151">
                  <c:v>12000</c:v>
                </c:pt>
                <c:pt idx="152">
                  <c:v>8903.9583437212841</c:v>
                </c:pt>
                <c:pt idx="153">
                  <c:v>8903.9583437212841</c:v>
                </c:pt>
                <c:pt idx="154">
                  <c:v>12821.700014958649</c:v>
                </c:pt>
                <c:pt idx="155">
                  <c:v>3205.4250037396623</c:v>
                </c:pt>
                <c:pt idx="156">
                  <c:v>6677.9687577909626</c:v>
                </c:pt>
                <c:pt idx="157">
                  <c:v>67794.987956419791</c:v>
                </c:pt>
                <c:pt idx="158">
                  <c:v>31250</c:v>
                </c:pt>
                <c:pt idx="159">
                  <c:v>2165.2740982270229</c:v>
                </c:pt>
                <c:pt idx="160">
                  <c:v>7123.1666749770275</c:v>
                </c:pt>
                <c:pt idx="161">
                  <c:v>130000</c:v>
                </c:pt>
                <c:pt idx="162">
                  <c:v>4451.9791718606421</c:v>
                </c:pt>
                <c:pt idx="163">
                  <c:v>9600</c:v>
                </c:pt>
                <c:pt idx="164">
                  <c:v>6945.0875081026015</c:v>
                </c:pt>
                <c:pt idx="165">
                  <c:v>10684.750012465542</c:v>
                </c:pt>
                <c:pt idx="166">
                  <c:v>8547.8000099724322</c:v>
                </c:pt>
                <c:pt idx="167">
                  <c:v>35000</c:v>
                </c:pt>
                <c:pt idx="168">
                  <c:v>17807.916687442568</c:v>
                </c:pt>
                <c:pt idx="169">
                  <c:v>3205.4250037396623</c:v>
                </c:pt>
                <c:pt idx="170">
                  <c:v>60000</c:v>
                </c:pt>
                <c:pt idx="171">
                  <c:v>14246.333349954055</c:v>
                </c:pt>
                <c:pt idx="172">
                  <c:v>10684.750012465542</c:v>
                </c:pt>
                <c:pt idx="173">
                  <c:v>40000</c:v>
                </c:pt>
                <c:pt idx="174">
                  <c:v>5022</c:v>
                </c:pt>
                <c:pt idx="175">
                  <c:v>7301.2458418514525</c:v>
                </c:pt>
                <c:pt idx="176">
                  <c:v>19831.432821021317</c:v>
                </c:pt>
                <c:pt idx="177">
                  <c:v>10684.750012465542</c:v>
                </c:pt>
                <c:pt idx="178">
                  <c:v>4800</c:v>
                </c:pt>
                <c:pt idx="179">
                  <c:v>83846.362973446114</c:v>
                </c:pt>
                <c:pt idx="180">
                  <c:v>15000</c:v>
                </c:pt>
                <c:pt idx="181">
                  <c:v>10000</c:v>
                </c:pt>
                <c:pt idx="182">
                  <c:v>116637.19213297902</c:v>
                </c:pt>
                <c:pt idx="183">
                  <c:v>34357.533974522659</c:v>
                </c:pt>
                <c:pt idx="184">
                  <c:v>102451.58768437347</c:v>
                </c:pt>
                <c:pt idx="185">
                  <c:v>16000</c:v>
                </c:pt>
                <c:pt idx="186">
                  <c:v>6000</c:v>
                </c:pt>
                <c:pt idx="187">
                  <c:v>6410.8500074793246</c:v>
                </c:pt>
                <c:pt idx="188">
                  <c:v>36000</c:v>
                </c:pt>
                <c:pt idx="189">
                  <c:v>20000</c:v>
                </c:pt>
                <c:pt idx="190">
                  <c:v>4273.9000049862161</c:v>
                </c:pt>
                <c:pt idx="191">
                  <c:v>37828.278529614821</c:v>
                </c:pt>
                <c:pt idx="192">
                  <c:v>11000</c:v>
                </c:pt>
                <c:pt idx="193">
                  <c:v>8000</c:v>
                </c:pt>
                <c:pt idx="194">
                  <c:v>4006.7812546745777</c:v>
                </c:pt>
                <c:pt idx="195">
                  <c:v>9171.0323574730355</c:v>
                </c:pt>
                <c:pt idx="196">
                  <c:v>4273.9000049862161</c:v>
                </c:pt>
                <c:pt idx="197">
                  <c:v>12465.541681209797</c:v>
                </c:pt>
                <c:pt idx="198">
                  <c:v>24000</c:v>
                </c:pt>
                <c:pt idx="199">
                  <c:v>20000</c:v>
                </c:pt>
                <c:pt idx="200">
                  <c:v>62000</c:v>
                </c:pt>
                <c:pt idx="201">
                  <c:v>14960</c:v>
                </c:pt>
                <c:pt idx="202">
                  <c:v>2136.9500024931081</c:v>
                </c:pt>
                <c:pt idx="203">
                  <c:v>30232</c:v>
                </c:pt>
                <c:pt idx="204">
                  <c:v>41000</c:v>
                </c:pt>
                <c:pt idx="205">
                  <c:v>96891.417358250401</c:v>
                </c:pt>
                <c:pt idx="206">
                  <c:v>21369.500024931083</c:v>
                </c:pt>
                <c:pt idx="207">
                  <c:v>3650.6229209257262</c:v>
                </c:pt>
                <c:pt idx="208">
                  <c:v>19068</c:v>
                </c:pt>
                <c:pt idx="209">
                  <c:v>5342.3750062327708</c:v>
                </c:pt>
                <c:pt idx="210">
                  <c:v>48000</c:v>
                </c:pt>
                <c:pt idx="211">
                  <c:v>3917.7416712373652</c:v>
                </c:pt>
                <c:pt idx="212">
                  <c:v>13500</c:v>
                </c:pt>
                <c:pt idx="213">
                  <c:v>45000</c:v>
                </c:pt>
                <c:pt idx="214">
                  <c:v>69871.969144538423</c:v>
                </c:pt>
                <c:pt idx="215">
                  <c:v>8547.8000099724322</c:v>
                </c:pt>
                <c:pt idx="216">
                  <c:v>9146.5655463031271</c:v>
                </c:pt>
                <c:pt idx="217">
                  <c:v>10150.512511842264</c:v>
                </c:pt>
                <c:pt idx="218">
                  <c:v>11325.835013213473</c:v>
                </c:pt>
                <c:pt idx="219">
                  <c:v>1910.5359690238436</c:v>
                </c:pt>
                <c:pt idx="220">
                  <c:v>36000</c:v>
                </c:pt>
                <c:pt idx="221">
                  <c:v>40067.812546745779</c:v>
                </c:pt>
                <c:pt idx="222">
                  <c:v>16000</c:v>
                </c:pt>
                <c:pt idx="223">
                  <c:v>4273.9000049862161</c:v>
                </c:pt>
                <c:pt idx="224">
                  <c:v>7123.1666749770275</c:v>
                </c:pt>
                <c:pt idx="225">
                  <c:v>10000</c:v>
                </c:pt>
                <c:pt idx="226">
                  <c:v>64901.860520001574</c:v>
                </c:pt>
                <c:pt idx="227">
                  <c:v>65000</c:v>
                </c:pt>
                <c:pt idx="228">
                  <c:v>8013.5625093491553</c:v>
                </c:pt>
                <c:pt idx="229">
                  <c:v>98336.152303032693</c:v>
                </c:pt>
                <c:pt idx="230">
                  <c:v>2671.1875031163854</c:v>
                </c:pt>
                <c:pt idx="231">
                  <c:v>96000</c:v>
                </c:pt>
                <c:pt idx="232">
                  <c:v>20514.720023933838</c:v>
                </c:pt>
                <c:pt idx="233">
                  <c:v>19055.991584874118</c:v>
                </c:pt>
                <c:pt idx="234">
                  <c:v>66294.12766617132</c:v>
                </c:pt>
                <c:pt idx="235">
                  <c:v>6713.584591165848</c:v>
                </c:pt>
                <c:pt idx="236">
                  <c:v>45709.169889951241</c:v>
                </c:pt>
                <c:pt idx="237">
                  <c:v>48500</c:v>
                </c:pt>
                <c:pt idx="238">
                  <c:v>10684.750012465542</c:v>
                </c:pt>
                <c:pt idx="239">
                  <c:v>33900</c:v>
                </c:pt>
                <c:pt idx="240">
                  <c:v>109729.60187662003</c:v>
                </c:pt>
                <c:pt idx="241">
                  <c:v>15136.729184326183</c:v>
                </c:pt>
                <c:pt idx="242">
                  <c:v>85000</c:v>
                </c:pt>
                <c:pt idx="243">
                  <c:v>8013.5625093491553</c:v>
                </c:pt>
                <c:pt idx="244">
                  <c:v>48000</c:v>
                </c:pt>
                <c:pt idx="245">
                  <c:v>3027.3458368652364</c:v>
                </c:pt>
                <c:pt idx="246">
                  <c:v>13100</c:v>
                </c:pt>
                <c:pt idx="247">
                  <c:v>60000</c:v>
                </c:pt>
                <c:pt idx="248">
                  <c:v>24000</c:v>
                </c:pt>
                <c:pt idx="249">
                  <c:v>4273.9000049862161</c:v>
                </c:pt>
                <c:pt idx="250">
                  <c:v>11575.14584683767</c:v>
                </c:pt>
                <c:pt idx="251">
                  <c:v>95000</c:v>
                </c:pt>
                <c:pt idx="252">
                  <c:v>9188.8850107203652</c:v>
                </c:pt>
                <c:pt idx="253">
                  <c:v>8975.1900104710548</c:v>
                </c:pt>
                <c:pt idx="254">
                  <c:v>2564.3400029917298</c:v>
                </c:pt>
                <c:pt idx="255">
                  <c:v>86689.804963700633</c:v>
                </c:pt>
                <c:pt idx="256">
                  <c:v>15500</c:v>
                </c:pt>
                <c:pt idx="257">
                  <c:v>148284.35006969364</c:v>
                </c:pt>
                <c:pt idx="258">
                  <c:v>10684.750012465542</c:v>
                </c:pt>
                <c:pt idx="259">
                  <c:v>75000</c:v>
                </c:pt>
                <c:pt idx="260">
                  <c:v>12000</c:v>
                </c:pt>
                <c:pt idx="261">
                  <c:v>30273.458368652366</c:v>
                </c:pt>
                <c:pt idx="262">
                  <c:v>30000</c:v>
                </c:pt>
                <c:pt idx="263">
                  <c:v>6410.8500074793246</c:v>
                </c:pt>
                <c:pt idx="264">
                  <c:v>100000</c:v>
                </c:pt>
                <c:pt idx="265">
                  <c:v>53356.776437647524</c:v>
                </c:pt>
                <c:pt idx="266">
                  <c:v>40000</c:v>
                </c:pt>
                <c:pt idx="267">
                  <c:v>9794.354178093412</c:v>
                </c:pt>
                <c:pt idx="268">
                  <c:v>18499.860539512854</c:v>
                </c:pt>
                <c:pt idx="269">
                  <c:v>19818.231248269083</c:v>
                </c:pt>
                <c:pt idx="270">
                  <c:v>10684.750012465542</c:v>
                </c:pt>
                <c:pt idx="271">
                  <c:v>10684.750012465542</c:v>
                </c:pt>
                <c:pt idx="272">
                  <c:v>17807.916687442568</c:v>
                </c:pt>
                <c:pt idx="273">
                  <c:v>13000</c:v>
                </c:pt>
                <c:pt idx="274">
                  <c:v>16027.125018698311</c:v>
                </c:pt>
                <c:pt idx="275">
                  <c:v>85000</c:v>
                </c:pt>
                <c:pt idx="276">
                  <c:v>6000</c:v>
                </c:pt>
                <c:pt idx="277">
                  <c:v>30000</c:v>
                </c:pt>
                <c:pt idx="278">
                  <c:v>157617.8272067284</c:v>
                </c:pt>
                <c:pt idx="279">
                  <c:v>21369.500024931083</c:v>
                </c:pt>
                <c:pt idx="280">
                  <c:v>3561.5833374885137</c:v>
                </c:pt>
                <c:pt idx="281">
                  <c:v>5000</c:v>
                </c:pt>
                <c:pt idx="282">
                  <c:v>3561.5833374885137</c:v>
                </c:pt>
                <c:pt idx="283">
                  <c:v>38111.983169748237</c:v>
                </c:pt>
                <c:pt idx="284">
                  <c:v>17807.916687442568</c:v>
                </c:pt>
                <c:pt idx="285">
                  <c:v>11575.14584683767</c:v>
                </c:pt>
                <c:pt idx="286">
                  <c:v>98336.152303032693</c:v>
                </c:pt>
                <c:pt idx="287">
                  <c:v>92500</c:v>
                </c:pt>
                <c:pt idx="288">
                  <c:v>9794.354178093412</c:v>
                </c:pt>
                <c:pt idx="289">
                  <c:v>32000</c:v>
                </c:pt>
                <c:pt idx="290">
                  <c:v>55000</c:v>
                </c:pt>
                <c:pt idx="291">
                  <c:v>40000</c:v>
                </c:pt>
                <c:pt idx="292">
                  <c:v>3000</c:v>
                </c:pt>
                <c:pt idx="293">
                  <c:v>43600</c:v>
                </c:pt>
                <c:pt idx="294">
                  <c:v>9616.275011218986</c:v>
                </c:pt>
                <c:pt idx="295">
                  <c:v>35000</c:v>
                </c:pt>
                <c:pt idx="296">
                  <c:v>12000</c:v>
                </c:pt>
                <c:pt idx="297">
                  <c:v>5000</c:v>
                </c:pt>
                <c:pt idx="298">
                  <c:v>16337.518501630093</c:v>
                </c:pt>
                <c:pt idx="299">
                  <c:v>65000</c:v>
                </c:pt>
                <c:pt idx="300">
                  <c:v>40000</c:v>
                </c:pt>
                <c:pt idx="301">
                  <c:v>98000</c:v>
                </c:pt>
                <c:pt idx="302">
                  <c:v>50000</c:v>
                </c:pt>
                <c:pt idx="303">
                  <c:v>135000</c:v>
                </c:pt>
                <c:pt idx="304">
                  <c:v>125000</c:v>
                </c:pt>
                <c:pt idx="305">
                  <c:v>4500</c:v>
                </c:pt>
                <c:pt idx="306">
                  <c:v>115000</c:v>
                </c:pt>
                <c:pt idx="307">
                  <c:v>70000</c:v>
                </c:pt>
                <c:pt idx="308">
                  <c:v>60000</c:v>
                </c:pt>
                <c:pt idx="309">
                  <c:v>87456</c:v>
                </c:pt>
                <c:pt idx="310">
                  <c:v>26400</c:v>
                </c:pt>
                <c:pt idx="311">
                  <c:v>12000</c:v>
                </c:pt>
                <c:pt idx="312">
                  <c:v>2564.3400029917298</c:v>
                </c:pt>
                <c:pt idx="313">
                  <c:v>62000</c:v>
                </c:pt>
                <c:pt idx="314">
                  <c:v>5342.3750062327708</c:v>
                </c:pt>
                <c:pt idx="315">
                  <c:v>50815.977559664309</c:v>
                </c:pt>
                <c:pt idx="316">
                  <c:v>25560</c:v>
                </c:pt>
                <c:pt idx="317">
                  <c:v>12821.700014958649</c:v>
                </c:pt>
                <c:pt idx="318">
                  <c:v>10684.750012465542</c:v>
                </c:pt>
                <c:pt idx="319">
                  <c:v>4457.9172610556352</c:v>
                </c:pt>
                <c:pt idx="320">
                  <c:v>125000</c:v>
                </c:pt>
                <c:pt idx="321">
                  <c:v>43000</c:v>
                </c:pt>
                <c:pt idx="322">
                  <c:v>7123.1666749770275</c:v>
                </c:pt>
                <c:pt idx="323">
                  <c:v>10000</c:v>
                </c:pt>
                <c:pt idx="324">
                  <c:v>8903.9583437212841</c:v>
                </c:pt>
                <c:pt idx="325">
                  <c:v>36500</c:v>
                </c:pt>
                <c:pt idx="326">
                  <c:v>100000</c:v>
                </c:pt>
                <c:pt idx="327">
                  <c:v>7123.1666749770275</c:v>
                </c:pt>
                <c:pt idx="328">
                  <c:v>40958.208381117904</c:v>
                </c:pt>
                <c:pt idx="329">
                  <c:v>21369.500024931083</c:v>
                </c:pt>
                <c:pt idx="330">
                  <c:v>2136.9500024931081</c:v>
                </c:pt>
                <c:pt idx="331">
                  <c:v>8903.9583437212841</c:v>
                </c:pt>
                <c:pt idx="332">
                  <c:v>17807.916687442568</c:v>
                </c:pt>
                <c:pt idx="333">
                  <c:v>15136.729184326183</c:v>
                </c:pt>
                <c:pt idx="334">
                  <c:v>3982.448779308334</c:v>
                </c:pt>
                <c:pt idx="335">
                  <c:v>15600</c:v>
                </c:pt>
                <c:pt idx="336">
                  <c:v>3205.4250037396623</c:v>
                </c:pt>
                <c:pt idx="337">
                  <c:v>10000</c:v>
                </c:pt>
                <c:pt idx="338">
                  <c:v>75010</c:v>
                </c:pt>
                <c:pt idx="339">
                  <c:v>10684.750012465542</c:v>
                </c:pt>
                <c:pt idx="340">
                  <c:v>16350</c:v>
                </c:pt>
                <c:pt idx="341">
                  <c:v>126094.26176538273</c:v>
                </c:pt>
                <c:pt idx="342">
                  <c:v>60000</c:v>
                </c:pt>
                <c:pt idx="343">
                  <c:v>23150.291693675339</c:v>
                </c:pt>
                <c:pt idx="344">
                  <c:v>13801.135432767991</c:v>
                </c:pt>
                <c:pt idx="345">
                  <c:v>18698.312521814696</c:v>
                </c:pt>
                <c:pt idx="346">
                  <c:v>36000</c:v>
                </c:pt>
                <c:pt idx="347">
                  <c:v>8654.6475100970874</c:v>
                </c:pt>
                <c:pt idx="348">
                  <c:v>102451.58768437347</c:v>
                </c:pt>
                <c:pt idx="349">
                  <c:v>36400</c:v>
                </c:pt>
                <c:pt idx="350">
                  <c:v>101206.40684944032</c:v>
                </c:pt>
                <c:pt idx="351">
                  <c:v>5342.3750062327708</c:v>
                </c:pt>
                <c:pt idx="352">
                  <c:v>28310.79811950968</c:v>
                </c:pt>
                <c:pt idx="353">
                  <c:v>26043.18849932796</c:v>
                </c:pt>
                <c:pt idx="354">
                  <c:v>96891.417358250401</c:v>
                </c:pt>
                <c:pt idx="355">
                  <c:v>2564.3400029917298</c:v>
                </c:pt>
                <c:pt idx="356">
                  <c:v>3205.4250037396623</c:v>
                </c:pt>
                <c:pt idx="357">
                  <c:v>10684.750012465542</c:v>
                </c:pt>
                <c:pt idx="358">
                  <c:v>150000</c:v>
                </c:pt>
                <c:pt idx="359">
                  <c:v>12465.541681209797</c:v>
                </c:pt>
                <c:pt idx="360">
                  <c:v>19055.991584874118</c:v>
                </c:pt>
                <c:pt idx="361">
                  <c:v>105000</c:v>
                </c:pt>
                <c:pt idx="362">
                  <c:v>24000</c:v>
                </c:pt>
                <c:pt idx="363">
                  <c:v>78808.913603364199</c:v>
                </c:pt>
                <c:pt idx="364">
                  <c:v>42000</c:v>
                </c:pt>
                <c:pt idx="365">
                  <c:v>9490.1984044603923</c:v>
                </c:pt>
                <c:pt idx="366">
                  <c:v>60000</c:v>
                </c:pt>
                <c:pt idx="367">
                  <c:v>17807.916687442568</c:v>
                </c:pt>
                <c:pt idx="368">
                  <c:v>12465.541681209797</c:v>
                </c:pt>
                <c:pt idx="369">
                  <c:v>20571</c:v>
                </c:pt>
                <c:pt idx="370">
                  <c:v>3480</c:v>
                </c:pt>
                <c:pt idx="371">
                  <c:v>18060</c:v>
                </c:pt>
                <c:pt idx="372">
                  <c:v>30000</c:v>
                </c:pt>
                <c:pt idx="373">
                  <c:v>24000</c:v>
                </c:pt>
                <c:pt idx="374">
                  <c:v>80289.244544269619</c:v>
                </c:pt>
                <c:pt idx="375">
                  <c:v>70000</c:v>
                </c:pt>
                <c:pt idx="376">
                  <c:v>8547.8000099724322</c:v>
                </c:pt>
                <c:pt idx="377">
                  <c:v>10684.750012465542</c:v>
                </c:pt>
                <c:pt idx="378">
                  <c:v>10684.750012465542</c:v>
                </c:pt>
                <c:pt idx="379">
                  <c:v>20000</c:v>
                </c:pt>
                <c:pt idx="380">
                  <c:v>53356.776437647524</c:v>
                </c:pt>
                <c:pt idx="381">
                  <c:v>36000</c:v>
                </c:pt>
                <c:pt idx="382">
                  <c:v>57000</c:v>
                </c:pt>
                <c:pt idx="383">
                  <c:v>135000</c:v>
                </c:pt>
                <c:pt idx="384">
                  <c:v>95279.957924370581</c:v>
                </c:pt>
                <c:pt idx="385">
                  <c:v>57167.974754622352</c:v>
                </c:pt>
                <c:pt idx="386">
                  <c:v>12326.656394453004</c:v>
                </c:pt>
                <c:pt idx="387">
                  <c:v>8000</c:v>
                </c:pt>
                <c:pt idx="388">
                  <c:v>48000</c:v>
                </c:pt>
                <c:pt idx="389">
                  <c:v>40000</c:v>
                </c:pt>
                <c:pt idx="390">
                  <c:v>59819.107020370408</c:v>
                </c:pt>
                <c:pt idx="391">
                  <c:v>150000</c:v>
                </c:pt>
                <c:pt idx="392">
                  <c:v>81592.772512210868</c:v>
                </c:pt>
                <c:pt idx="393">
                  <c:v>96891.417358250401</c:v>
                </c:pt>
                <c:pt idx="394">
                  <c:v>91791.869076237213</c:v>
                </c:pt>
                <c:pt idx="395">
                  <c:v>15000</c:v>
                </c:pt>
                <c:pt idx="396">
                  <c:v>66294.12766617132</c:v>
                </c:pt>
                <c:pt idx="397">
                  <c:v>101990.96564026357</c:v>
                </c:pt>
                <c:pt idx="398">
                  <c:v>60000</c:v>
                </c:pt>
                <c:pt idx="399">
                  <c:v>43856.11522531334</c:v>
                </c:pt>
                <c:pt idx="400">
                  <c:v>45616</c:v>
                </c:pt>
                <c:pt idx="401">
                  <c:v>75770.868892469181</c:v>
                </c:pt>
                <c:pt idx="402">
                  <c:v>57726.886552389187</c:v>
                </c:pt>
                <c:pt idx="403">
                  <c:v>20000</c:v>
                </c:pt>
                <c:pt idx="404">
                  <c:v>203981.93128052715</c:v>
                </c:pt>
                <c:pt idx="405">
                  <c:v>50995.482820131787</c:v>
                </c:pt>
                <c:pt idx="406">
                  <c:v>127488.70705032947</c:v>
                </c:pt>
                <c:pt idx="407">
                  <c:v>66294.12766617132</c:v>
                </c:pt>
                <c:pt idx="408">
                  <c:v>63234.398696963413</c:v>
                </c:pt>
                <c:pt idx="409">
                  <c:v>260000</c:v>
                </c:pt>
                <c:pt idx="410">
                  <c:v>112190.06220428993</c:v>
                </c:pt>
                <c:pt idx="411">
                  <c:v>71393.675948184507</c:v>
                </c:pt>
                <c:pt idx="412">
                  <c:v>85000</c:v>
                </c:pt>
                <c:pt idx="413">
                  <c:v>95871.50770184776</c:v>
                </c:pt>
                <c:pt idx="414">
                  <c:v>109130.33323508203</c:v>
                </c:pt>
                <c:pt idx="415">
                  <c:v>36000</c:v>
                </c:pt>
                <c:pt idx="416">
                  <c:v>122389.15876831629</c:v>
                </c:pt>
                <c:pt idx="417">
                  <c:v>53035.30213293706</c:v>
                </c:pt>
                <c:pt idx="418">
                  <c:v>125000</c:v>
                </c:pt>
                <c:pt idx="419">
                  <c:v>19000</c:v>
                </c:pt>
                <c:pt idx="420">
                  <c:v>93831.688389042494</c:v>
                </c:pt>
                <c:pt idx="421">
                  <c:v>101990.96564026357</c:v>
                </c:pt>
                <c:pt idx="422">
                  <c:v>122389.15876831629</c:v>
                </c:pt>
                <c:pt idx="423">
                  <c:v>34417.653306061438</c:v>
                </c:pt>
                <c:pt idx="424">
                  <c:v>12000</c:v>
                </c:pt>
                <c:pt idx="425">
                  <c:v>3632.815004238284</c:v>
                </c:pt>
                <c:pt idx="426">
                  <c:v>21369.500024931083</c:v>
                </c:pt>
                <c:pt idx="427">
                  <c:v>8903.9583437212841</c:v>
                </c:pt>
                <c:pt idx="428">
                  <c:v>15206.427249917633</c:v>
                </c:pt>
                <c:pt idx="429">
                  <c:v>143565.85684888897</c:v>
                </c:pt>
                <c:pt idx="430">
                  <c:v>9705.3145946561999</c:v>
                </c:pt>
                <c:pt idx="431">
                  <c:v>17807.916687442568</c:v>
                </c:pt>
                <c:pt idx="432">
                  <c:v>3205.4250037396623</c:v>
                </c:pt>
                <c:pt idx="433">
                  <c:v>45000</c:v>
                </c:pt>
                <c:pt idx="434">
                  <c:v>12465.541681209797</c:v>
                </c:pt>
                <c:pt idx="435">
                  <c:v>95871.50770184776</c:v>
                </c:pt>
                <c:pt idx="436">
                  <c:v>173384.64158844808</c:v>
                </c:pt>
                <c:pt idx="437">
                  <c:v>11575.14584683767</c:v>
                </c:pt>
                <c:pt idx="438">
                  <c:v>18000</c:v>
                </c:pt>
                <c:pt idx="439">
                  <c:v>71393.675948184507</c:v>
                </c:pt>
                <c:pt idx="440">
                  <c:v>6232.7708406048987</c:v>
                </c:pt>
                <c:pt idx="441">
                  <c:v>1805.7739622442759</c:v>
                </c:pt>
                <c:pt idx="442">
                  <c:v>11397.066679963244</c:v>
                </c:pt>
                <c:pt idx="443">
                  <c:v>15000</c:v>
                </c:pt>
                <c:pt idx="444">
                  <c:v>37612.869087708088</c:v>
                </c:pt>
                <c:pt idx="445">
                  <c:v>6499.8895909165376</c:v>
                </c:pt>
                <c:pt idx="446">
                  <c:v>20000</c:v>
                </c:pt>
                <c:pt idx="447">
                  <c:v>7265</c:v>
                </c:pt>
                <c:pt idx="448">
                  <c:v>72571.80269935554</c:v>
                </c:pt>
                <c:pt idx="449">
                  <c:v>8013.5625093491553</c:v>
                </c:pt>
                <c:pt idx="450">
                  <c:v>10150.512511842264</c:v>
                </c:pt>
                <c:pt idx="451">
                  <c:v>65000</c:v>
                </c:pt>
                <c:pt idx="452">
                  <c:v>3184.2266150397395</c:v>
                </c:pt>
                <c:pt idx="453">
                  <c:v>10898.445012714852</c:v>
                </c:pt>
                <c:pt idx="454">
                  <c:v>10800</c:v>
                </c:pt>
                <c:pt idx="455">
                  <c:v>2136.9500024931081</c:v>
                </c:pt>
                <c:pt idx="456">
                  <c:v>45000</c:v>
                </c:pt>
                <c:pt idx="457">
                  <c:v>7123.1666749770275</c:v>
                </c:pt>
                <c:pt idx="458">
                  <c:v>5342.3750062327708</c:v>
                </c:pt>
                <c:pt idx="459">
                  <c:v>18000</c:v>
                </c:pt>
                <c:pt idx="460">
                  <c:v>4840.0244548604041</c:v>
                </c:pt>
                <c:pt idx="461">
                  <c:v>7479.3250087258784</c:v>
                </c:pt>
                <c:pt idx="462">
                  <c:v>3739.6625043629392</c:v>
                </c:pt>
                <c:pt idx="463">
                  <c:v>42000</c:v>
                </c:pt>
                <c:pt idx="464">
                  <c:v>28000</c:v>
                </c:pt>
                <c:pt idx="465">
                  <c:v>6000</c:v>
                </c:pt>
                <c:pt idx="466">
                  <c:v>43867.345148271634</c:v>
                </c:pt>
                <c:pt idx="467">
                  <c:v>17807.916687442568</c:v>
                </c:pt>
                <c:pt idx="468">
                  <c:v>10684.750012465542</c:v>
                </c:pt>
                <c:pt idx="469">
                  <c:v>60000</c:v>
                </c:pt>
                <c:pt idx="470">
                  <c:v>8476.5683432226633</c:v>
                </c:pt>
                <c:pt idx="471">
                  <c:v>8700</c:v>
                </c:pt>
                <c:pt idx="472">
                  <c:v>3561.5833374885137</c:v>
                </c:pt>
                <c:pt idx="473">
                  <c:v>3205.4250037396623</c:v>
                </c:pt>
                <c:pt idx="474">
                  <c:v>4487.5950052355274</c:v>
                </c:pt>
                <c:pt idx="475">
                  <c:v>12465.541681209797</c:v>
                </c:pt>
                <c:pt idx="476">
                  <c:v>2400</c:v>
                </c:pt>
                <c:pt idx="477">
                  <c:v>55000</c:v>
                </c:pt>
                <c:pt idx="478">
                  <c:v>12000</c:v>
                </c:pt>
                <c:pt idx="479">
                  <c:v>55262.375596134938</c:v>
                </c:pt>
                <c:pt idx="480">
                  <c:v>21369.500024931083</c:v>
                </c:pt>
                <c:pt idx="481">
                  <c:v>40980.635073749385</c:v>
                </c:pt>
                <c:pt idx="482">
                  <c:v>50995.482820131787</c:v>
                </c:pt>
                <c:pt idx="483">
                  <c:v>20326.391023865726</c:v>
                </c:pt>
                <c:pt idx="484">
                  <c:v>12000</c:v>
                </c:pt>
                <c:pt idx="485">
                  <c:v>29261.227167098674</c:v>
                </c:pt>
                <c:pt idx="486">
                  <c:v>14630.613583549337</c:v>
                </c:pt>
                <c:pt idx="487">
                  <c:v>7265.630008476568</c:v>
                </c:pt>
                <c:pt idx="488">
                  <c:v>44132.991617883956</c:v>
                </c:pt>
                <c:pt idx="489">
                  <c:v>9438.1958443445619</c:v>
                </c:pt>
                <c:pt idx="490">
                  <c:v>18000</c:v>
                </c:pt>
                <c:pt idx="491">
                  <c:v>3561.5833374885137</c:v>
                </c:pt>
                <c:pt idx="492">
                  <c:v>3561.5833374885137</c:v>
                </c:pt>
                <c:pt idx="493">
                  <c:v>5100</c:v>
                </c:pt>
                <c:pt idx="494">
                  <c:v>21369.500024931083</c:v>
                </c:pt>
                <c:pt idx="495">
                  <c:v>5342.3750062327708</c:v>
                </c:pt>
                <c:pt idx="496">
                  <c:v>50000</c:v>
                </c:pt>
                <c:pt idx="497">
                  <c:v>28492.66669990811</c:v>
                </c:pt>
                <c:pt idx="498">
                  <c:v>24588.381044249632</c:v>
                </c:pt>
                <c:pt idx="499">
                  <c:v>7000</c:v>
                </c:pt>
                <c:pt idx="500">
                  <c:v>7799.8675090998449</c:v>
                </c:pt>
                <c:pt idx="501">
                  <c:v>78808.913603364199</c:v>
                </c:pt>
                <c:pt idx="502">
                  <c:v>6720</c:v>
                </c:pt>
                <c:pt idx="503">
                  <c:v>4451.9791718606421</c:v>
                </c:pt>
                <c:pt idx="504">
                  <c:v>47285.348162018527</c:v>
                </c:pt>
                <c:pt idx="505">
                  <c:v>7200</c:v>
                </c:pt>
                <c:pt idx="506">
                  <c:v>44519.791718606422</c:v>
                </c:pt>
                <c:pt idx="507">
                  <c:v>2493.1083362419595</c:v>
                </c:pt>
                <c:pt idx="508">
                  <c:v>31523.565441345683</c:v>
                </c:pt>
                <c:pt idx="509">
                  <c:v>21369.500024931083</c:v>
                </c:pt>
                <c:pt idx="510">
                  <c:v>126094.26176538273</c:v>
                </c:pt>
                <c:pt idx="511">
                  <c:v>99299.231140238902</c:v>
                </c:pt>
                <c:pt idx="512">
                  <c:v>86689.804963700633</c:v>
                </c:pt>
                <c:pt idx="513">
                  <c:v>50000</c:v>
                </c:pt>
                <c:pt idx="514">
                  <c:v>4273.9000049862161</c:v>
                </c:pt>
                <c:pt idx="515">
                  <c:v>4451.9791718606421</c:v>
                </c:pt>
                <c:pt idx="516">
                  <c:v>10684.750012465542</c:v>
                </c:pt>
                <c:pt idx="517">
                  <c:v>63835.220018725006</c:v>
                </c:pt>
                <c:pt idx="518">
                  <c:v>36252.100257547536</c:v>
                </c:pt>
                <c:pt idx="519">
                  <c:v>7960</c:v>
                </c:pt>
                <c:pt idx="520">
                  <c:v>8903.9583437212841</c:v>
                </c:pt>
                <c:pt idx="521">
                  <c:v>50815.977559664309</c:v>
                </c:pt>
                <c:pt idx="522">
                  <c:v>47285.348162018527</c:v>
                </c:pt>
                <c:pt idx="523">
                  <c:v>75656.557059229643</c:v>
                </c:pt>
                <c:pt idx="524">
                  <c:v>4273.9000049862161</c:v>
                </c:pt>
                <c:pt idx="525">
                  <c:v>47004.779242689488</c:v>
                </c:pt>
                <c:pt idx="526">
                  <c:v>47285.348162018527</c:v>
                </c:pt>
                <c:pt idx="527">
                  <c:v>91418.339779902482</c:v>
                </c:pt>
                <c:pt idx="528">
                  <c:v>124518.08349331544</c:v>
                </c:pt>
                <c:pt idx="529">
                  <c:v>69213.140283018583</c:v>
                </c:pt>
                <c:pt idx="530">
                  <c:v>3500</c:v>
                </c:pt>
                <c:pt idx="531">
                  <c:v>63047.130882691366</c:v>
                </c:pt>
                <c:pt idx="532">
                  <c:v>72412.768022521646</c:v>
                </c:pt>
                <c:pt idx="533">
                  <c:v>50815.977559664309</c:v>
                </c:pt>
                <c:pt idx="534">
                  <c:v>21369.500024931083</c:v>
                </c:pt>
                <c:pt idx="535">
                  <c:v>55166.239522354947</c:v>
                </c:pt>
                <c:pt idx="536">
                  <c:v>3205.4250037396623</c:v>
                </c:pt>
                <c:pt idx="537">
                  <c:v>10684.750012465542</c:v>
                </c:pt>
                <c:pt idx="538">
                  <c:v>5342.3750062327708</c:v>
                </c:pt>
                <c:pt idx="539">
                  <c:v>118213.37040504631</c:v>
                </c:pt>
                <c:pt idx="540">
                  <c:v>12192.177986291113</c:v>
                </c:pt>
                <c:pt idx="541">
                  <c:v>70928.022243027779</c:v>
                </c:pt>
                <c:pt idx="542">
                  <c:v>39404.456801682099</c:v>
                </c:pt>
                <c:pt idx="543">
                  <c:v>18987</c:v>
                </c:pt>
                <c:pt idx="544">
                  <c:v>44921.080753917595</c:v>
                </c:pt>
                <c:pt idx="545">
                  <c:v>60000</c:v>
                </c:pt>
                <c:pt idx="546">
                  <c:v>71243.257897441246</c:v>
                </c:pt>
                <c:pt idx="547">
                  <c:v>4487.5950052355274</c:v>
                </c:pt>
                <c:pt idx="548">
                  <c:v>4314.929445034084</c:v>
                </c:pt>
                <c:pt idx="549">
                  <c:v>3739.6625043629392</c:v>
                </c:pt>
                <c:pt idx="550">
                  <c:v>76223.966339496474</c:v>
                </c:pt>
                <c:pt idx="551">
                  <c:v>32666.305522511171</c:v>
                </c:pt>
                <c:pt idx="552">
                  <c:v>19000</c:v>
                </c:pt>
                <c:pt idx="553">
                  <c:v>63519.971949580387</c:v>
                </c:pt>
                <c:pt idx="554">
                  <c:v>16027.125018698311</c:v>
                </c:pt>
                <c:pt idx="555">
                  <c:v>7123.1666749770275</c:v>
                </c:pt>
                <c:pt idx="556">
                  <c:v>2675.675098121621</c:v>
                </c:pt>
                <c:pt idx="557">
                  <c:v>23642.674081009263</c:v>
                </c:pt>
                <c:pt idx="558">
                  <c:v>57167.974754622352</c:v>
                </c:pt>
                <c:pt idx="559">
                  <c:v>42739.000049862167</c:v>
                </c:pt>
                <c:pt idx="560">
                  <c:v>5120.2912876821438</c:v>
                </c:pt>
                <c:pt idx="561">
                  <c:v>127039.94389916077</c:v>
                </c:pt>
                <c:pt idx="562">
                  <c:v>90000</c:v>
                </c:pt>
                <c:pt idx="563">
                  <c:v>7123.1666749770275</c:v>
                </c:pt>
                <c:pt idx="564">
                  <c:v>10000</c:v>
                </c:pt>
                <c:pt idx="565">
                  <c:v>45709.169889951241</c:v>
                </c:pt>
                <c:pt idx="566">
                  <c:v>3561.5833374885137</c:v>
                </c:pt>
                <c:pt idx="567">
                  <c:v>38111.983169748237</c:v>
                </c:pt>
                <c:pt idx="568">
                  <c:v>60000</c:v>
                </c:pt>
                <c:pt idx="569">
                  <c:v>40000</c:v>
                </c:pt>
                <c:pt idx="570">
                  <c:v>15190.15293438851</c:v>
                </c:pt>
                <c:pt idx="571">
                  <c:v>114335.9495092447</c:v>
                </c:pt>
                <c:pt idx="572">
                  <c:v>36252.100257547536</c:v>
                </c:pt>
                <c:pt idx="573">
                  <c:v>47285.348162018527</c:v>
                </c:pt>
                <c:pt idx="574">
                  <c:v>88927.960729412545</c:v>
                </c:pt>
                <c:pt idx="575">
                  <c:v>6000</c:v>
                </c:pt>
                <c:pt idx="576">
                  <c:v>35000</c:v>
                </c:pt>
                <c:pt idx="577">
                  <c:v>55166.239522354947</c:v>
                </c:pt>
                <c:pt idx="578">
                  <c:v>1783.166904422254</c:v>
                </c:pt>
                <c:pt idx="579">
                  <c:v>13500</c:v>
                </c:pt>
                <c:pt idx="580">
                  <c:v>59106.685202523156</c:v>
                </c:pt>
                <c:pt idx="581">
                  <c:v>12608.005014709339</c:v>
                </c:pt>
                <c:pt idx="582">
                  <c:v>44654.095718350931</c:v>
                </c:pt>
                <c:pt idx="583">
                  <c:v>69000</c:v>
                </c:pt>
                <c:pt idx="584">
                  <c:v>6000</c:v>
                </c:pt>
                <c:pt idx="585">
                  <c:v>8903.9583437212841</c:v>
                </c:pt>
                <c:pt idx="586">
                  <c:v>30000</c:v>
                </c:pt>
                <c:pt idx="587">
                  <c:v>8600</c:v>
                </c:pt>
                <c:pt idx="588">
                  <c:v>81600</c:v>
                </c:pt>
                <c:pt idx="589">
                  <c:v>15404.364569961488</c:v>
                </c:pt>
                <c:pt idx="590">
                  <c:v>63918.498996971248</c:v>
                </c:pt>
                <c:pt idx="591">
                  <c:v>75000</c:v>
                </c:pt>
                <c:pt idx="592">
                  <c:v>59000</c:v>
                </c:pt>
                <c:pt idx="593">
                  <c:v>50000</c:v>
                </c:pt>
                <c:pt idx="594">
                  <c:v>126094.26176538273</c:v>
                </c:pt>
                <c:pt idx="595">
                  <c:v>26691.183012544854</c:v>
                </c:pt>
                <c:pt idx="596">
                  <c:v>8903.9583437212841</c:v>
                </c:pt>
                <c:pt idx="597">
                  <c:v>8725</c:v>
                </c:pt>
                <c:pt idx="598">
                  <c:v>50437.70470615309</c:v>
                </c:pt>
                <c:pt idx="599">
                  <c:v>67775.665698893223</c:v>
                </c:pt>
                <c:pt idx="600">
                  <c:v>52118.160720607324</c:v>
                </c:pt>
                <c:pt idx="601">
                  <c:v>3561.5833374885137</c:v>
                </c:pt>
                <c:pt idx="602">
                  <c:v>8013.5625093491553</c:v>
                </c:pt>
                <c:pt idx="603">
                  <c:v>28000</c:v>
                </c:pt>
                <c:pt idx="604">
                  <c:v>50064.150455673145</c:v>
                </c:pt>
                <c:pt idx="605">
                  <c:v>50437.70470615309</c:v>
                </c:pt>
                <c:pt idx="606">
                  <c:v>27840</c:v>
                </c:pt>
                <c:pt idx="607">
                  <c:v>6232.7708406048987</c:v>
                </c:pt>
                <c:pt idx="608">
                  <c:v>50000</c:v>
                </c:pt>
                <c:pt idx="609">
                  <c:v>48000</c:v>
                </c:pt>
                <c:pt idx="610">
                  <c:v>24000</c:v>
                </c:pt>
                <c:pt idx="611">
                  <c:v>75000</c:v>
                </c:pt>
                <c:pt idx="612">
                  <c:v>58799.349940520107</c:v>
                </c:pt>
                <c:pt idx="613">
                  <c:v>21228.177433598263</c:v>
                </c:pt>
                <c:pt idx="614">
                  <c:v>60000</c:v>
                </c:pt>
                <c:pt idx="615">
                  <c:v>18018.883790212141</c:v>
                </c:pt>
                <c:pt idx="616">
                  <c:v>7200</c:v>
                </c:pt>
                <c:pt idx="617">
                  <c:v>56000</c:v>
                </c:pt>
                <c:pt idx="618">
                  <c:v>9616.275011218986</c:v>
                </c:pt>
                <c:pt idx="619">
                  <c:v>51497.005988023957</c:v>
                </c:pt>
                <c:pt idx="620">
                  <c:v>104172.75399731184</c:v>
                </c:pt>
                <c:pt idx="621">
                  <c:v>88000</c:v>
                </c:pt>
                <c:pt idx="622">
                  <c:v>80000</c:v>
                </c:pt>
                <c:pt idx="623">
                  <c:v>19000</c:v>
                </c:pt>
                <c:pt idx="624">
                  <c:v>19055.991584874118</c:v>
                </c:pt>
                <c:pt idx="625">
                  <c:v>8547.8000099724322</c:v>
                </c:pt>
                <c:pt idx="626">
                  <c:v>19588.708356186824</c:v>
                </c:pt>
                <c:pt idx="627">
                  <c:v>61000</c:v>
                </c:pt>
                <c:pt idx="628">
                  <c:v>53590.061250287661</c:v>
                </c:pt>
                <c:pt idx="629">
                  <c:v>53590.061250287661</c:v>
                </c:pt>
                <c:pt idx="630">
                  <c:v>4451.9791718606421</c:v>
                </c:pt>
                <c:pt idx="631">
                  <c:v>25407.988779832154</c:v>
                </c:pt>
                <c:pt idx="632">
                  <c:v>23000</c:v>
                </c:pt>
                <c:pt idx="633">
                  <c:v>16027.125018698311</c:v>
                </c:pt>
                <c:pt idx="634">
                  <c:v>60000</c:v>
                </c:pt>
                <c:pt idx="635">
                  <c:v>4800</c:v>
                </c:pt>
                <c:pt idx="636">
                  <c:v>106815.148267971</c:v>
                </c:pt>
                <c:pt idx="637">
                  <c:v>8903.9583437212841</c:v>
                </c:pt>
                <c:pt idx="638">
                  <c:v>60000</c:v>
                </c:pt>
                <c:pt idx="639">
                  <c:v>46300.583387350678</c:v>
                </c:pt>
                <c:pt idx="640">
                  <c:v>13355.937515581925</c:v>
                </c:pt>
                <c:pt idx="641">
                  <c:v>74000</c:v>
                </c:pt>
                <c:pt idx="642">
                  <c:v>95856</c:v>
                </c:pt>
                <c:pt idx="643">
                  <c:v>40000</c:v>
                </c:pt>
                <c:pt idx="644">
                  <c:v>4400</c:v>
                </c:pt>
                <c:pt idx="645">
                  <c:v>90000</c:v>
                </c:pt>
                <c:pt idx="646">
                  <c:v>8013.5625093491553</c:v>
                </c:pt>
                <c:pt idx="647">
                  <c:v>17807.916687442568</c:v>
                </c:pt>
                <c:pt idx="648">
                  <c:v>12465.541681209797</c:v>
                </c:pt>
                <c:pt idx="649">
                  <c:v>80000</c:v>
                </c:pt>
                <c:pt idx="650">
                  <c:v>100000</c:v>
                </c:pt>
                <c:pt idx="651">
                  <c:v>49200</c:v>
                </c:pt>
                <c:pt idx="652">
                  <c:v>9000</c:v>
                </c:pt>
                <c:pt idx="653">
                  <c:v>5342.3750062327708</c:v>
                </c:pt>
                <c:pt idx="654">
                  <c:v>40000</c:v>
                </c:pt>
                <c:pt idx="655">
                  <c:v>40980.635073749385</c:v>
                </c:pt>
                <c:pt idx="656">
                  <c:v>45709.169889951241</c:v>
                </c:pt>
                <c:pt idx="657">
                  <c:v>7123.1666749770275</c:v>
                </c:pt>
                <c:pt idx="658">
                  <c:v>100000</c:v>
                </c:pt>
                <c:pt idx="659">
                  <c:v>78764.765217479682</c:v>
                </c:pt>
                <c:pt idx="660">
                  <c:v>152986.44846039536</c:v>
                </c:pt>
                <c:pt idx="661">
                  <c:v>44463.980364706273</c:v>
                </c:pt>
                <c:pt idx="662">
                  <c:v>38111.983169748237</c:v>
                </c:pt>
                <c:pt idx="663">
                  <c:v>118213.37040504631</c:v>
                </c:pt>
                <c:pt idx="664">
                  <c:v>39404.456801682099</c:v>
                </c:pt>
                <c:pt idx="665">
                  <c:v>90198.36016840415</c:v>
                </c:pt>
                <c:pt idx="666">
                  <c:v>47285.348162018527</c:v>
                </c:pt>
                <c:pt idx="667">
                  <c:v>56000</c:v>
                </c:pt>
                <c:pt idx="668">
                  <c:v>5082.6943786459069</c:v>
                </c:pt>
                <c:pt idx="669">
                  <c:v>53590.061250287661</c:v>
                </c:pt>
                <c:pt idx="670">
                  <c:v>76906.906752939132</c:v>
                </c:pt>
                <c:pt idx="671">
                  <c:v>85000</c:v>
                </c:pt>
                <c:pt idx="672">
                  <c:v>72000</c:v>
                </c:pt>
                <c:pt idx="673">
                  <c:v>55000</c:v>
                </c:pt>
                <c:pt idx="674">
                  <c:v>67775.665698893223</c:v>
                </c:pt>
                <c:pt idx="675">
                  <c:v>40586.590505732565</c:v>
                </c:pt>
                <c:pt idx="676">
                  <c:v>50846</c:v>
                </c:pt>
                <c:pt idx="677">
                  <c:v>63000</c:v>
                </c:pt>
                <c:pt idx="678">
                  <c:v>81592.772512210868</c:v>
                </c:pt>
                <c:pt idx="679">
                  <c:v>50700</c:v>
                </c:pt>
                <c:pt idx="680">
                  <c:v>31523.565441345683</c:v>
                </c:pt>
                <c:pt idx="681">
                  <c:v>70000</c:v>
                </c:pt>
                <c:pt idx="682">
                  <c:v>63918.498996971248</c:v>
                </c:pt>
                <c:pt idx="683">
                  <c:v>7261.724659606657</c:v>
                </c:pt>
                <c:pt idx="684">
                  <c:v>11404.820437438224</c:v>
                </c:pt>
                <c:pt idx="685">
                  <c:v>120000</c:v>
                </c:pt>
                <c:pt idx="686">
                  <c:v>91791.869076237213</c:v>
                </c:pt>
                <c:pt idx="687">
                  <c:v>112190.06220428993</c:v>
                </c:pt>
                <c:pt idx="688">
                  <c:v>40000</c:v>
                </c:pt>
                <c:pt idx="689">
                  <c:v>107000</c:v>
                </c:pt>
                <c:pt idx="690">
                  <c:v>82000</c:v>
                </c:pt>
                <c:pt idx="691">
                  <c:v>101990.96564026357</c:v>
                </c:pt>
                <c:pt idx="692">
                  <c:v>43000</c:v>
                </c:pt>
                <c:pt idx="693">
                  <c:v>69000</c:v>
                </c:pt>
                <c:pt idx="694">
                  <c:v>30000</c:v>
                </c:pt>
                <c:pt idx="695">
                  <c:v>48955.663507326513</c:v>
                </c:pt>
                <c:pt idx="696">
                  <c:v>70000</c:v>
                </c:pt>
                <c:pt idx="697">
                  <c:v>45000</c:v>
                </c:pt>
                <c:pt idx="698">
                  <c:v>35000</c:v>
                </c:pt>
                <c:pt idx="699">
                  <c:v>8903.9583437212841</c:v>
                </c:pt>
                <c:pt idx="700">
                  <c:v>28353.650809742252</c:v>
                </c:pt>
                <c:pt idx="701">
                  <c:v>11800</c:v>
                </c:pt>
                <c:pt idx="702">
                  <c:v>6410.8500074793246</c:v>
                </c:pt>
                <c:pt idx="703">
                  <c:v>50000</c:v>
                </c:pt>
                <c:pt idx="704">
                  <c:v>85000</c:v>
                </c:pt>
                <c:pt idx="705">
                  <c:v>17807.916687442568</c:v>
                </c:pt>
                <c:pt idx="706">
                  <c:v>16027.125018698311</c:v>
                </c:pt>
                <c:pt idx="707">
                  <c:v>192000</c:v>
                </c:pt>
                <c:pt idx="708">
                  <c:v>54000</c:v>
                </c:pt>
                <c:pt idx="709">
                  <c:v>18000</c:v>
                </c:pt>
                <c:pt idx="710">
                  <c:v>5342.3750062327708</c:v>
                </c:pt>
                <c:pt idx="711">
                  <c:v>7123.1666749770275</c:v>
                </c:pt>
                <c:pt idx="712">
                  <c:v>15000</c:v>
                </c:pt>
                <c:pt idx="713">
                  <c:v>14000</c:v>
                </c:pt>
                <c:pt idx="714">
                  <c:v>8000</c:v>
                </c:pt>
                <c:pt idx="715">
                  <c:v>12500</c:v>
                </c:pt>
                <c:pt idx="716">
                  <c:v>140000</c:v>
                </c:pt>
                <c:pt idx="717">
                  <c:v>12000</c:v>
                </c:pt>
                <c:pt idx="718">
                  <c:v>38111.983169748237</c:v>
                </c:pt>
                <c:pt idx="719">
                  <c:v>10684.750012465542</c:v>
                </c:pt>
                <c:pt idx="720">
                  <c:v>6232.7708406048987</c:v>
                </c:pt>
                <c:pt idx="721">
                  <c:v>45000</c:v>
                </c:pt>
                <c:pt idx="722">
                  <c:v>80000</c:v>
                </c:pt>
                <c:pt idx="723">
                  <c:v>26711.875031163851</c:v>
                </c:pt>
                <c:pt idx="724">
                  <c:v>100000</c:v>
                </c:pt>
                <c:pt idx="725">
                  <c:v>69353.856635379227</c:v>
                </c:pt>
                <c:pt idx="726">
                  <c:v>49975.573163729154</c:v>
                </c:pt>
                <c:pt idx="727">
                  <c:v>10239.552095279476</c:v>
                </c:pt>
                <c:pt idx="728">
                  <c:v>8903.9583437212841</c:v>
                </c:pt>
                <c:pt idx="729">
                  <c:v>36000</c:v>
                </c:pt>
                <c:pt idx="730">
                  <c:v>3739.6625043629392</c:v>
                </c:pt>
                <c:pt idx="731">
                  <c:v>61614.372791092981</c:v>
                </c:pt>
                <c:pt idx="732">
                  <c:v>3561.5833374885137</c:v>
                </c:pt>
                <c:pt idx="733">
                  <c:v>6410.8500074793246</c:v>
                </c:pt>
                <c:pt idx="734">
                  <c:v>36206.384011260823</c:v>
                </c:pt>
                <c:pt idx="735">
                  <c:v>13500</c:v>
                </c:pt>
                <c:pt idx="736">
                  <c:v>3000</c:v>
                </c:pt>
                <c:pt idx="737">
                  <c:v>21369.500024931083</c:v>
                </c:pt>
                <c:pt idx="738">
                  <c:v>10684.750012465542</c:v>
                </c:pt>
                <c:pt idx="739">
                  <c:v>176585.52201983347</c:v>
                </c:pt>
                <c:pt idx="740">
                  <c:v>54627.175876639136</c:v>
                </c:pt>
                <c:pt idx="741">
                  <c:v>30489.586535798586</c:v>
                </c:pt>
                <c:pt idx="742">
                  <c:v>5591.6858398569666</c:v>
                </c:pt>
                <c:pt idx="743">
                  <c:v>82000</c:v>
                </c:pt>
                <c:pt idx="744">
                  <c:v>10000</c:v>
                </c:pt>
                <c:pt idx="745">
                  <c:v>9000</c:v>
                </c:pt>
                <c:pt idx="746">
                  <c:v>9000</c:v>
                </c:pt>
                <c:pt idx="747">
                  <c:v>11753.225013712095</c:v>
                </c:pt>
                <c:pt idx="748">
                  <c:v>3632.815004238284</c:v>
                </c:pt>
                <c:pt idx="749">
                  <c:v>95279.957924370581</c:v>
                </c:pt>
                <c:pt idx="750">
                  <c:v>70928.022243027779</c:v>
                </c:pt>
                <c:pt idx="751">
                  <c:v>52086.37699865592</c:v>
                </c:pt>
                <c:pt idx="752">
                  <c:v>4897.177089046706</c:v>
                </c:pt>
                <c:pt idx="753">
                  <c:v>63807.047488395103</c:v>
                </c:pt>
                <c:pt idx="754">
                  <c:v>24000</c:v>
                </c:pt>
                <c:pt idx="755">
                  <c:v>60000</c:v>
                </c:pt>
                <c:pt idx="756">
                  <c:v>5342.3750062327708</c:v>
                </c:pt>
                <c:pt idx="757">
                  <c:v>8903.9583437212841</c:v>
                </c:pt>
                <c:pt idx="758">
                  <c:v>40980.635073749385</c:v>
                </c:pt>
                <c:pt idx="759">
                  <c:v>10684.750012465542</c:v>
                </c:pt>
                <c:pt idx="760">
                  <c:v>21369.500024931083</c:v>
                </c:pt>
                <c:pt idx="761">
                  <c:v>18000</c:v>
                </c:pt>
                <c:pt idx="762">
                  <c:v>41000</c:v>
                </c:pt>
                <c:pt idx="763">
                  <c:v>28492.66669990811</c:v>
                </c:pt>
                <c:pt idx="764">
                  <c:v>49500</c:v>
                </c:pt>
                <c:pt idx="765">
                  <c:v>6600</c:v>
                </c:pt>
                <c:pt idx="766">
                  <c:v>110332.47904470989</c:v>
                </c:pt>
                <c:pt idx="767">
                  <c:v>47285.348162018527</c:v>
                </c:pt>
                <c:pt idx="768">
                  <c:v>5300</c:v>
                </c:pt>
                <c:pt idx="769">
                  <c:v>43828.780645210471</c:v>
                </c:pt>
                <c:pt idx="770">
                  <c:v>80000</c:v>
                </c:pt>
                <c:pt idx="771">
                  <c:v>11518.711713336908</c:v>
                </c:pt>
                <c:pt idx="772">
                  <c:v>152986.44846039536</c:v>
                </c:pt>
                <c:pt idx="773">
                  <c:v>125000</c:v>
                </c:pt>
                <c:pt idx="774">
                  <c:v>101990.96564026357</c:v>
                </c:pt>
                <c:pt idx="775">
                  <c:v>105000</c:v>
                </c:pt>
                <c:pt idx="776">
                  <c:v>50815.977559664309</c:v>
                </c:pt>
                <c:pt idx="777">
                  <c:v>75000</c:v>
                </c:pt>
                <c:pt idx="778">
                  <c:v>4451.9791718606421</c:v>
                </c:pt>
                <c:pt idx="779">
                  <c:v>110000</c:v>
                </c:pt>
                <c:pt idx="780">
                  <c:v>42556.81334581667</c:v>
                </c:pt>
                <c:pt idx="781">
                  <c:v>8013.5625093491553</c:v>
                </c:pt>
                <c:pt idx="782">
                  <c:v>125000</c:v>
                </c:pt>
                <c:pt idx="783">
                  <c:v>60000</c:v>
                </c:pt>
                <c:pt idx="784">
                  <c:v>39355.495879248076</c:v>
                </c:pt>
                <c:pt idx="785">
                  <c:v>57167.974754622352</c:v>
                </c:pt>
                <c:pt idx="786">
                  <c:v>50694.322109187968</c:v>
                </c:pt>
                <c:pt idx="787">
                  <c:v>57500</c:v>
                </c:pt>
                <c:pt idx="788">
                  <c:v>78764.765217479682</c:v>
                </c:pt>
                <c:pt idx="789">
                  <c:v>80000</c:v>
                </c:pt>
                <c:pt idx="790">
                  <c:v>70928.022243027779</c:v>
                </c:pt>
                <c:pt idx="791">
                  <c:v>33000</c:v>
                </c:pt>
                <c:pt idx="792">
                  <c:v>100000</c:v>
                </c:pt>
                <c:pt idx="793">
                  <c:v>60000</c:v>
                </c:pt>
                <c:pt idx="794">
                  <c:v>95000</c:v>
                </c:pt>
                <c:pt idx="795">
                  <c:v>24000</c:v>
                </c:pt>
                <c:pt idx="796">
                  <c:v>50000</c:v>
                </c:pt>
                <c:pt idx="797">
                  <c:v>103000</c:v>
                </c:pt>
                <c:pt idx="798">
                  <c:v>36000</c:v>
                </c:pt>
                <c:pt idx="799">
                  <c:v>85000</c:v>
                </c:pt>
                <c:pt idx="800">
                  <c:v>100000</c:v>
                </c:pt>
                <c:pt idx="801">
                  <c:v>83000</c:v>
                </c:pt>
                <c:pt idx="802">
                  <c:v>85000</c:v>
                </c:pt>
                <c:pt idx="803">
                  <c:v>120000</c:v>
                </c:pt>
                <c:pt idx="804">
                  <c:v>69960</c:v>
                </c:pt>
                <c:pt idx="805">
                  <c:v>97000</c:v>
                </c:pt>
                <c:pt idx="806">
                  <c:v>94570.696324037053</c:v>
                </c:pt>
                <c:pt idx="807">
                  <c:v>39000</c:v>
                </c:pt>
                <c:pt idx="808">
                  <c:v>4451.9791718606421</c:v>
                </c:pt>
                <c:pt idx="809">
                  <c:v>62000</c:v>
                </c:pt>
                <c:pt idx="810">
                  <c:v>44000</c:v>
                </c:pt>
                <c:pt idx="811">
                  <c:v>150000</c:v>
                </c:pt>
                <c:pt idx="812">
                  <c:v>228671.89901848941</c:v>
                </c:pt>
                <c:pt idx="813">
                  <c:v>73500</c:v>
                </c:pt>
                <c:pt idx="814">
                  <c:v>77500</c:v>
                </c:pt>
                <c:pt idx="815">
                  <c:v>60800</c:v>
                </c:pt>
                <c:pt idx="816">
                  <c:v>136000</c:v>
                </c:pt>
                <c:pt idx="817">
                  <c:v>20000</c:v>
                </c:pt>
                <c:pt idx="818">
                  <c:v>95000</c:v>
                </c:pt>
                <c:pt idx="819">
                  <c:v>130000</c:v>
                </c:pt>
                <c:pt idx="820">
                  <c:v>65000</c:v>
                </c:pt>
                <c:pt idx="821">
                  <c:v>80000</c:v>
                </c:pt>
                <c:pt idx="822">
                  <c:v>37000</c:v>
                </c:pt>
                <c:pt idx="823">
                  <c:v>40000</c:v>
                </c:pt>
                <c:pt idx="824">
                  <c:v>49000</c:v>
                </c:pt>
                <c:pt idx="825">
                  <c:v>65000</c:v>
                </c:pt>
                <c:pt idx="826">
                  <c:v>55000</c:v>
                </c:pt>
                <c:pt idx="827">
                  <c:v>40000</c:v>
                </c:pt>
                <c:pt idx="828">
                  <c:v>60000</c:v>
                </c:pt>
                <c:pt idx="829">
                  <c:v>45734.379803697877</c:v>
                </c:pt>
                <c:pt idx="830">
                  <c:v>150000</c:v>
                </c:pt>
                <c:pt idx="831">
                  <c:v>88000</c:v>
                </c:pt>
                <c:pt idx="832">
                  <c:v>64500</c:v>
                </c:pt>
                <c:pt idx="833">
                  <c:v>57600</c:v>
                </c:pt>
                <c:pt idx="834">
                  <c:v>50000</c:v>
                </c:pt>
                <c:pt idx="835">
                  <c:v>120000</c:v>
                </c:pt>
                <c:pt idx="836">
                  <c:v>107000</c:v>
                </c:pt>
                <c:pt idx="837">
                  <c:v>40000</c:v>
                </c:pt>
                <c:pt idx="838">
                  <c:v>81000</c:v>
                </c:pt>
                <c:pt idx="839">
                  <c:v>45000</c:v>
                </c:pt>
                <c:pt idx="840">
                  <c:v>49000</c:v>
                </c:pt>
                <c:pt idx="841">
                  <c:v>13355.937515581925</c:v>
                </c:pt>
                <c:pt idx="842">
                  <c:v>72000</c:v>
                </c:pt>
                <c:pt idx="843">
                  <c:v>50000</c:v>
                </c:pt>
                <c:pt idx="844">
                  <c:v>57678</c:v>
                </c:pt>
                <c:pt idx="845">
                  <c:v>80442</c:v>
                </c:pt>
                <c:pt idx="846">
                  <c:v>75000</c:v>
                </c:pt>
                <c:pt idx="847">
                  <c:v>61000</c:v>
                </c:pt>
                <c:pt idx="848">
                  <c:v>77000</c:v>
                </c:pt>
                <c:pt idx="849">
                  <c:v>92000</c:v>
                </c:pt>
                <c:pt idx="850">
                  <c:v>72000</c:v>
                </c:pt>
                <c:pt idx="851">
                  <c:v>14000</c:v>
                </c:pt>
                <c:pt idx="852">
                  <c:v>111000</c:v>
                </c:pt>
                <c:pt idx="853">
                  <c:v>80000</c:v>
                </c:pt>
                <c:pt idx="854">
                  <c:v>57875.729234188344</c:v>
                </c:pt>
                <c:pt idx="855">
                  <c:v>25000</c:v>
                </c:pt>
                <c:pt idx="856">
                  <c:v>24000</c:v>
                </c:pt>
                <c:pt idx="857">
                  <c:v>61000</c:v>
                </c:pt>
                <c:pt idx="858">
                  <c:v>56095.031102144967</c:v>
                </c:pt>
                <c:pt idx="859">
                  <c:v>71393.675948184507</c:v>
                </c:pt>
                <c:pt idx="860">
                  <c:v>96230</c:v>
                </c:pt>
                <c:pt idx="861">
                  <c:v>75000</c:v>
                </c:pt>
                <c:pt idx="862">
                  <c:v>102000</c:v>
                </c:pt>
                <c:pt idx="863">
                  <c:v>19008.034062397041</c:v>
                </c:pt>
                <c:pt idx="864">
                  <c:v>4356</c:v>
                </c:pt>
                <c:pt idx="865">
                  <c:v>5342.3750062327708</c:v>
                </c:pt>
                <c:pt idx="866">
                  <c:v>67000</c:v>
                </c:pt>
                <c:pt idx="867">
                  <c:v>8547.8000099724322</c:v>
                </c:pt>
                <c:pt idx="868">
                  <c:v>16027.125018698311</c:v>
                </c:pt>
                <c:pt idx="869">
                  <c:v>10684.750012465542</c:v>
                </c:pt>
                <c:pt idx="870">
                  <c:v>30000</c:v>
                </c:pt>
                <c:pt idx="871">
                  <c:v>8903.9583437212841</c:v>
                </c:pt>
                <c:pt idx="872">
                  <c:v>20000</c:v>
                </c:pt>
                <c:pt idx="873">
                  <c:v>87712.230450626681</c:v>
                </c:pt>
                <c:pt idx="874">
                  <c:v>17807.916687442568</c:v>
                </c:pt>
                <c:pt idx="875">
                  <c:v>41000</c:v>
                </c:pt>
                <c:pt idx="876">
                  <c:v>60000</c:v>
                </c:pt>
                <c:pt idx="877">
                  <c:v>32187.34988380854</c:v>
                </c:pt>
                <c:pt idx="878">
                  <c:v>39879.404680246938</c:v>
                </c:pt>
                <c:pt idx="879">
                  <c:v>5698.5333399816218</c:v>
                </c:pt>
                <c:pt idx="880">
                  <c:v>7123.1666749770275</c:v>
                </c:pt>
                <c:pt idx="881">
                  <c:v>4451.9791718606421</c:v>
                </c:pt>
                <c:pt idx="882">
                  <c:v>6410.8500074793246</c:v>
                </c:pt>
                <c:pt idx="883">
                  <c:v>20479.104190558952</c:v>
                </c:pt>
                <c:pt idx="884">
                  <c:v>11040.908346214392</c:v>
                </c:pt>
                <c:pt idx="885">
                  <c:v>17807.916687442568</c:v>
                </c:pt>
                <c:pt idx="886">
                  <c:v>3561.5833374885137</c:v>
                </c:pt>
                <c:pt idx="887">
                  <c:v>26795.030625143831</c:v>
                </c:pt>
                <c:pt idx="888">
                  <c:v>20400</c:v>
                </c:pt>
                <c:pt idx="889">
                  <c:v>39404.456801682099</c:v>
                </c:pt>
                <c:pt idx="890">
                  <c:v>149907.13380100971</c:v>
                </c:pt>
                <c:pt idx="891">
                  <c:v>4095.8208381117906</c:v>
                </c:pt>
                <c:pt idx="892">
                  <c:v>127488.70705032947</c:v>
                </c:pt>
                <c:pt idx="893">
                  <c:v>58318.59606648951</c:v>
                </c:pt>
                <c:pt idx="894">
                  <c:v>9509.8988293070688</c:v>
                </c:pt>
                <c:pt idx="895">
                  <c:v>12821.700014958649</c:v>
                </c:pt>
                <c:pt idx="896">
                  <c:v>4000</c:v>
                </c:pt>
                <c:pt idx="897">
                  <c:v>42000</c:v>
                </c:pt>
                <c:pt idx="898">
                  <c:v>3200</c:v>
                </c:pt>
                <c:pt idx="899">
                  <c:v>60000</c:v>
                </c:pt>
                <c:pt idx="900">
                  <c:v>85000</c:v>
                </c:pt>
                <c:pt idx="901">
                  <c:v>109000</c:v>
                </c:pt>
                <c:pt idx="902">
                  <c:v>76223.966339496474</c:v>
                </c:pt>
                <c:pt idx="903">
                  <c:v>77000</c:v>
                </c:pt>
                <c:pt idx="904">
                  <c:v>25000</c:v>
                </c:pt>
                <c:pt idx="905">
                  <c:v>64000</c:v>
                </c:pt>
                <c:pt idx="906">
                  <c:v>231119.74856804207</c:v>
                </c:pt>
                <c:pt idx="907">
                  <c:v>76000</c:v>
                </c:pt>
                <c:pt idx="908">
                  <c:v>15761.782720672842</c:v>
                </c:pt>
                <c:pt idx="909">
                  <c:v>168285.09330643489</c:v>
                </c:pt>
                <c:pt idx="910">
                  <c:v>50000</c:v>
                </c:pt>
                <c:pt idx="911">
                  <c:v>7200</c:v>
                </c:pt>
                <c:pt idx="912">
                  <c:v>53356.776437647524</c:v>
                </c:pt>
                <c:pt idx="913">
                  <c:v>45000</c:v>
                </c:pt>
                <c:pt idx="914">
                  <c:v>5000</c:v>
                </c:pt>
                <c:pt idx="915">
                  <c:v>75473.31457379504</c:v>
                </c:pt>
                <c:pt idx="916">
                  <c:v>15000</c:v>
                </c:pt>
                <c:pt idx="917">
                  <c:v>42558.381206218859</c:v>
                </c:pt>
                <c:pt idx="918">
                  <c:v>61000</c:v>
                </c:pt>
                <c:pt idx="919">
                  <c:v>66000</c:v>
                </c:pt>
                <c:pt idx="920">
                  <c:v>4950.6008391090336</c:v>
                </c:pt>
                <c:pt idx="921">
                  <c:v>55000</c:v>
                </c:pt>
                <c:pt idx="922">
                  <c:v>32000</c:v>
                </c:pt>
                <c:pt idx="923">
                  <c:v>18000</c:v>
                </c:pt>
                <c:pt idx="924">
                  <c:v>11575.14584683767</c:v>
                </c:pt>
                <c:pt idx="925">
                  <c:v>63519.971949580387</c:v>
                </c:pt>
                <c:pt idx="926">
                  <c:v>71231.666749770273</c:v>
                </c:pt>
                <c:pt idx="927">
                  <c:v>10000</c:v>
                </c:pt>
                <c:pt idx="928">
                  <c:v>74300</c:v>
                </c:pt>
                <c:pt idx="929">
                  <c:v>26711.875031163851</c:v>
                </c:pt>
                <c:pt idx="930">
                  <c:v>9545.0433444692171</c:v>
                </c:pt>
                <c:pt idx="931">
                  <c:v>95000</c:v>
                </c:pt>
                <c:pt idx="932">
                  <c:v>64300</c:v>
                </c:pt>
                <c:pt idx="933">
                  <c:v>250000</c:v>
                </c:pt>
                <c:pt idx="934">
                  <c:v>89000</c:v>
                </c:pt>
                <c:pt idx="935">
                  <c:v>75000</c:v>
                </c:pt>
                <c:pt idx="936">
                  <c:v>45000</c:v>
                </c:pt>
                <c:pt idx="937">
                  <c:v>127500</c:v>
                </c:pt>
                <c:pt idx="938">
                  <c:v>170000</c:v>
                </c:pt>
                <c:pt idx="939">
                  <c:v>9600</c:v>
                </c:pt>
                <c:pt idx="940">
                  <c:v>62000</c:v>
                </c:pt>
                <c:pt idx="941">
                  <c:v>22000</c:v>
                </c:pt>
                <c:pt idx="942">
                  <c:v>45000</c:v>
                </c:pt>
                <c:pt idx="943">
                  <c:v>145000</c:v>
                </c:pt>
                <c:pt idx="944">
                  <c:v>89000</c:v>
                </c:pt>
                <c:pt idx="945">
                  <c:v>38000</c:v>
                </c:pt>
                <c:pt idx="946">
                  <c:v>49168.076151516347</c:v>
                </c:pt>
                <c:pt idx="947">
                  <c:v>8903.9583437212841</c:v>
                </c:pt>
                <c:pt idx="948">
                  <c:v>10000</c:v>
                </c:pt>
                <c:pt idx="949">
                  <c:v>105000</c:v>
                </c:pt>
                <c:pt idx="950">
                  <c:v>12000</c:v>
                </c:pt>
                <c:pt idx="951">
                  <c:v>3561.5833374885137</c:v>
                </c:pt>
                <c:pt idx="952">
                  <c:v>86692.320794224041</c:v>
                </c:pt>
                <c:pt idx="953">
                  <c:v>8000</c:v>
                </c:pt>
                <c:pt idx="954">
                  <c:v>6767.0083412281756</c:v>
                </c:pt>
                <c:pt idx="955">
                  <c:v>48073.437298052166</c:v>
                </c:pt>
                <c:pt idx="956">
                  <c:v>76223.966339496474</c:v>
                </c:pt>
                <c:pt idx="957">
                  <c:v>85333.333333333328</c:v>
                </c:pt>
                <c:pt idx="958">
                  <c:v>76223.981237173866</c:v>
                </c:pt>
                <c:pt idx="959">
                  <c:v>30000</c:v>
                </c:pt>
                <c:pt idx="960">
                  <c:v>34000</c:v>
                </c:pt>
                <c:pt idx="961">
                  <c:v>3205.4250037396623</c:v>
                </c:pt>
                <c:pt idx="962">
                  <c:v>45000</c:v>
                </c:pt>
                <c:pt idx="963">
                  <c:v>24864</c:v>
                </c:pt>
                <c:pt idx="964">
                  <c:v>47285.348162018527</c:v>
                </c:pt>
                <c:pt idx="965">
                  <c:v>17807.916687442568</c:v>
                </c:pt>
                <c:pt idx="966">
                  <c:v>55166.239522354947</c:v>
                </c:pt>
                <c:pt idx="967">
                  <c:v>69871.969144538423</c:v>
                </c:pt>
                <c:pt idx="968">
                  <c:v>70970</c:v>
                </c:pt>
                <c:pt idx="969">
                  <c:v>76223.966339496474</c:v>
                </c:pt>
                <c:pt idx="970">
                  <c:v>110000</c:v>
                </c:pt>
                <c:pt idx="971">
                  <c:v>14400</c:v>
                </c:pt>
                <c:pt idx="972">
                  <c:v>125000</c:v>
                </c:pt>
                <c:pt idx="973">
                  <c:v>72768.752704244194</c:v>
                </c:pt>
                <c:pt idx="974">
                  <c:v>59000</c:v>
                </c:pt>
                <c:pt idx="975">
                  <c:v>71500</c:v>
                </c:pt>
                <c:pt idx="976">
                  <c:v>39404.456801682099</c:v>
                </c:pt>
                <c:pt idx="977">
                  <c:v>88927.960729412545</c:v>
                </c:pt>
                <c:pt idx="978">
                  <c:v>90000</c:v>
                </c:pt>
                <c:pt idx="979">
                  <c:v>12465.541681209797</c:v>
                </c:pt>
                <c:pt idx="980">
                  <c:v>40000</c:v>
                </c:pt>
                <c:pt idx="981">
                  <c:v>30000</c:v>
                </c:pt>
                <c:pt idx="982">
                  <c:v>46325</c:v>
                </c:pt>
                <c:pt idx="983">
                  <c:v>15000</c:v>
                </c:pt>
                <c:pt idx="984">
                  <c:v>31200</c:v>
                </c:pt>
                <c:pt idx="985">
                  <c:v>8903.9583437212841</c:v>
                </c:pt>
                <c:pt idx="986">
                  <c:v>15840</c:v>
                </c:pt>
                <c:pt idx="987">
                  <c:v>15136.729184326183</c:v>
                </c:pt>
                <c:pt idx="988">
                  <c:v>41000</c:v>
                </c:pt>
                <c:pt idx="989">
                  <c:v>11000</c:v>
                </c:pt>
                <c:pt idx="990">
                  <c:v>55166.239522354947</c:v>
                </c:pt>
                <c:pt idx="991">
                  <c:v>5689.2125418690484</c:v>
                </c:pt>
                <c:pt idx="992">
                  <c:v>17728</c:v>
                </c:pt>
                <c:pt idx="993">
                  <c:v>13745.704467353951</c:v>
                </c:pt>
                <c:pt idx="994">
                  <c:v>50000</c:v>
                </c:pt>
                <c:pt idx="995">
                  <c:v>78668.921842426149</c:v>
                </c:pt>
                <c:pt idx="996">
                  <c:v>85000</c:v>
                </c:pt>
                <c:pt idx="997">
                  <c:v>101990.96564026357</c:v>
                </c:pt>
                <c:pt idx="998">
                  <c:v>100614.72928405051</c:v>
                </c:pt>
                <c:pt idx="999">
                  <c:v>86692.320794224041</c:v>
                </c:pt>
                <c:pt idx="1000">
                  <c:v>122389.15876831629</c:v>
                </c:pt>
                <c:pt idx="1001">
                  <c:v>6410.8500074793246</c:v>
                </c:pt>
                <c:pt idx="1002">
                  <c:v>44000</c:v>
                </c:pt>
                <c:pt idx="1003">
                  <c:v>4451.9791718606421</c:v>
                </c:pt>
                <c:pt idx="1004">
                  <c:v>4500</c:v>
                </c:pt>
                <c:pt idx="1005">
                  <c:v>30273.458368652366</c:v>
                </c:pt>
                <c:pt idx="1006">
                  <c:v>52000</c:v>
                </c:pt>
                <c:pt idx="1007">
                  <c:v>75000</c:v>
                </c:pt>
                <c:pt idx="1008">
                  <c:v>17807.916687442568</c:v>
                </c:pt>
                <c:pt idx="1009">
                  <c:v>177600</c:v>
                </c:pt>
                <c:pt idx="1010">
                  <c:v>11575.14584683767</c:v>
                </c:pt>
                <c:pt idx="1011">
                  <c:v>26678.388218823762</c:v>
                </c:pt>
                <c:pt idx="1012">
                  <c:v>126094.26176538273</c:v>
                </c:pt>
                <c:pt idx="1013">
                  <c:v>6000</c:v>
                </c:pt>
                <c:pt idx="1014">
                  <c:v>10000</c:v>
                </c:pt>
                <c:pt idx="1015">
                  <c:v>50000</c:v>
                </c:pt>
                <c:pt idx="1016">
                  <c:v>10000</c:v>
                </c:pt>
                <c:pt idx="1017">
                  <c:v>50000</c:v>
                </c:pt>
                <c:pt idx="1018">
                  <c:v>20000</c:v>
                </c:pt>
                <c:pt idx="1019">
                  <c:v>31523.565441345683</c:v>
                </c:pt>
                <c:pt idx="1020">
                  <c:v>63519.971949580387</c:v>
                </c:pt>
                <c:pt idx="1021">
                  <c:v>35063.024516168378</c:v>
                </c:pt>
                <c:pt idx="1022">
                  <c:v>55000</c:v>
                </c:pt>
                <c:pt idx="1023">
                  <c:v>38000</c:v>
                </c:pt>
                <c:pt idx="1024">
                  <c:v>32054.250037396621</c:v>
                </c:pt>
                <c:pt idx="1025">
                  <c:v>35500</c:v>
                </c:pt>
                <c:pt idx="1026">
                  <c:v>62000</c:v>
                </c:pt>
                <c:pt idx="1027">
                  <c:v>33887.832849446611</c:v>
                </c:pt>
                <c:pt idx="1028">
                  <c:v>60000</c:v>
                </c:pt>
                <c:pt idx="1029">
                  <c:v>32884</c:v>
                </c:pt>
                <c:pt idx="1030">
                  <c:v>42000</c:v>
                </c:pt>
                <c:pt idx="1031">
                  <c:v>68000</c:v>
                </c:pt>
                <c:pt idx="1032">
                  <c:v>85000</c:v>
                </c:pt>
                <c:pt idx="1033">
                  <c:v>13000</c:v>
                </c:pt>
                <c:pt idx="1034">
                  <c:v>15000</c:v>
                </c:pt>
                <c:pt idx="1035">
                  <c:v>50000</c:v>
                </c:pt>
                <c:pt idx="1036">
                  <c:v>7000</c:v>
                </c:pt>
                <c:pt idx="1037">
                  <c:v>140000</c:v>
                </c:pt>
                <c:pt idx="1038">
                  <c:v>7123.1666749770275</c:v>
                </c:pt>
                <c:pt idx="1039">
                  <c:v>58318.59606648951</c:v>
                </c:pt>
                <c:pt idx="1040">
                  <c:v>12109.383347460946</c:v>
                </c:pt>
                <c:pt idx="1041">
                  <c:v>55000</c:v>
                </c:pt>
                <c:pt idx="1042">
                  <c:v>60000</c:v>
                </c:pt>
                <c:pt idx="1043">
                  <c:v>5698.5333399816218</c:v>
                </c:pt>
                <c:pt idx="1044">
                  <c:v>9376.2513877177607</c:v>
                </c:pt>
                <c:pt idx="1045">
                  <c:v>94570.696324037053</c:v>
                </c:pt>
                <c:pt idx="1046">
                  <c:v>36000</c:v>
                </c:pt>
                <c:pt idx="1047">
                  <c:v>65889.291743537498</c:v>
                </c:pt>
                <c:pt idx="1048">
                  <c:v>106000</c:v>
                </c:pt>
                <c:pt idx="1049">
                  <c:v>82888.5550559455</c:v>
                </c:pt>
                <c:pt idx="1050">
                  <c:v>59819.107020370408</c:v>
                </c:pt>
                <c:pt idx="1051">
                  <c:v>6545</c:v>
                </c:pt>
                <c:pt idx="1052">
                  <c:v>17807.916687442568</c:v>
                </c:pt>
                <c:pt idx="1053">
                  <c:v>54000</c:v>
                </c:pt>
                <c:pt idx="1054">
                  <c:v>100000</c:v>
                </c:pt>
                <c:pt idx="1055">
                  <c:v>49168.076151516347</c:v>
                </c:pt>
                <c:pt idx="1056">
                  <c:v>4019</c:v>
                </c:pt>
                <c:pt idx="1057">
                  <c:v>15000</c:v>
                </c:pt>
                <c:pt idx="1058">
                  <c:v>17807.916687442568</c:v>
                </c:pt>
                <c:pt idx="1059">
                  <c:v>12000</c:v>
                </c:pt>
                <c:pt idx="1060">
                  <c:v>2225.989585930321</c:v>
                </c:pt>
                <c:pt idx="1061">
                  <c:v>86000</c:v>
                </c:pt>
                <c:pt idx="1062">
                  <c:v>6054.6916737304728</c:v>
                </c:pt>
                <c:pt idx="1063">
                  <c:v>3360</c:v>
                </c:pt>
                <c:pt idx="1064">
                  <c:v>10000</c:v>
                </c:pt>
                <c:pt idx="1065">
                  <c:v>70000</c:v>
                </c:pt>
                <c:pt idx="1066">
                  <c:v>155000</c:v>
                </c:pt>
                <c:pt idx="1067">
                  <c:v>225000</c:v>
                </c:pt>
                <c:pt idx="1068">
                  <c:v>10000</c:v>
                </c:pt>
                <c:pt idx="1069">
                  <c:v>5342.3750062327708</c:v>
                </c:pt>
                <c:pt idx="1070">
                  <c:v>85672.4111378214</c:v>
                </c:pt>
                <c:pt idx="1071">
                  <c:v>4273.9000049862161</c:v>
                </c:pt>
                <c:pt idx="1072">
                  <c:v>8903.9583437212841</c:v>
                </c:pt>
                <c:pt idx="1073">
                  <c:v>66199.48742682593</c:v>
                </c:pt>
                <c:pt idx="1074">
                  <c:v>5698.5333399816218</c:v>
                </c:pt>
                <c:pt idx="1075">
                  <c:v>34675.92198548025</c:v>
                </c:pt>
                <c:pt idx="1076">
                  <c:v>31200</c:v>
                </c:pt>
                <c:pt idx="1077">
                  <c:v>55068.245289698301</c:v>
                </c:pt>
                <c:pt idx="1078">
                  <c:v>13000</c:v>
                </c:pt>
                <c:pt idx="1079">
                  <c:v>92000</c:v>
                </c:pt>
                <c:pt idx="1080">
                  <c:v>85000</c:v>
                </c:pt>
                <c:pt idx="1081">
                  <c:v>11000</c:v>
                </c:pt>
                <c:pt idx="1082">
                  <c:v>38111.983169748237</c:v>
                </c:pt>
                <c:pt idx="1083">
                  <c:v>49000</c:v>
                </c:pt>
                <c:pt idx="1084">
                  <c:v>59000</c:v>
                </c:pt>
                <c:pt idx="1085">
                  <c:v>55000</c:v>
                </c:pt>
                <c:pt idx="1086">
                  <c:v>75000</c:v>
                </c:pt>
                <c:pt idx="1087">
                  <c:v>50307.817784067665</c:v>
                </c:pt>
                <c:pt idx="1088">
                  <c:v>30500</c:v>
                </c:pt>
                <c:pt idx="1089">
                  <c:v>80000</c:v>
                </c:pt>
                <c:pt idx="1090">
                  <c:v>12000</c:v>
                </c:pt>
                <c:pt idx="1091">
                  <c:v>48500</c:v>
                </c:pt>
                <c:pt idx="1092">
                  <c:v>63047.130882691366</c:v>
                </c:pt>
                <c:pt idx="1093">
                  <c:v>3419.1200039889732</c:v>
                </c:pt>
                <c:pt idx="1094">
                  <c:v>87734.690296543267</c:v>
                </c:pt>
                <c:pt idx="1095">
                  <c:v>56628.754645950656</c:v>
                </c:pt>
                <c:pt idx="1096">
                  <c:v>8013.5625093491553</c:v>
                </c:pt>
                <c:pt idx="1097">
                  <c:v>3561.5833374885137</c:v>
                </c:pt>
                <c:pt idx="1098">
                  <c:v>62000</c:v>
                </c:pt>
                <c:pt idx="1099">
                  <c:v>26678.388218823762</c:v>
                </c:pt>
                <c:pt idx="1100">
                  <c:v>70928.022243027779</c:v>
                </c:pt>
                <c:pt idx="1101">
                  <c:v>41923.181486723057</c:v>
                </c:pt>
                <c:pt idx="1102">
                  <c:v>90000</c:v>
                </c:pt>
                <c:pt idx="1103">
                  <c:v>67700.452577525488</c:v>
                </c:pt>
                <c:pt idx="1104">
                  <c:v>85000</c:v>
                </c:pt>
                <c:pt idx="1105">
                  <c:v>78808.913603364199</c:v>
                </c:pt>
                <c:pt idx="1106">
                  <c:v>65000</c:v>
                </c:pt>
                <c:pt idx="1107">
                  <c:v>75000</c:v>
                </c:pt>
                <c:pt idx="1108">
                  <c:v>92000</c:v>
                </c:pt>
                <c:pt idx="1109">
                  <c:v>50815.977559664309</c:v>
                </c:pt>
                <c:pt idx="1110">
                  <c:v>55954.328658388586</c:v>
                </c:pt>
                <c:pt idx="1111">
                  <c:v>45000</c:v>
                </c:pt>
                <c:pt idx="1112">
                  <c:v>7123.1666749770275</c:v>
                </c:pt>
                <c:pt idx="1113">
                  <c:v>49443.946165553374</c:v>
                </c:pt>
                <c:pt idx="1114">
                  <c:v>45000</c:v>
                </c:pt>
                <c:pt idx="1115">
                  <c:v>60000</c:v>
                </c:pt>
                <c:pt idx="1116">
                  <c:v>65000</c:v>
                </c:pt>
                <c:pt idx="1117">
                  <c:v>73000</c:v>
                </c:pt>
                <c:pt idx="1118">
                  <c:v>54000</c:v>
                </c:pt>
                <c:pt idx="1119">
                  <c:v>81000</c:v>
                </c:pt>
                <c:pt idx="1120">
                  <c:v>10000</c:v>
                </c:pt>
                <c:pt idx="1121">
                  <c:v>42000</c:v>
                </c:pt>
                <c:pt idx="1122">
                  <c:v>81592.772512210868</c:v>
                </c:pt>
                <c:pt idx="1123">
                  <c:v>35401.014829091764</c:v>
                </c:pt>
                <c:pt idx="1124">
                  <c:v>8903.9583437212841</c:v>
                </c:pt>
                <c:pt idx="1125">
                  <c:v>10684.750012465542</c:v>
                </c:pt>
                <c:pt idx="1126">
                  <c:v>8400</c:v>
                </c:pt>
                <c:pt idx="1127">
                  <c:v>9794.354178093412</c:v>
                </c:pt>
                <c:pt idx="1128">
                  <c:v>14400</c:v>
                </c:pt>
                <c:pt idx="1129">
                  <c:v>2671.1875031163854</c:v>
                </c:pt>
                <c:pt idx="1130">
                  <c:v>22000</c:v>
                </c:pt>
                <c:pt idx="1131">
                  <c:v>100000</c:v>
                </c:pt>
                <c:pt idx="1132">
                  <c:v>63047.130882691366</c:v>
                </c:pt>
                <c:pt idx="1133">
                  <c:v>56742.417794422225</c:v>
                </c:pt>
                <c:pt idx="1134">
                  <c:v>25000</c:v>
                </c:pt>
                <c:pt idx="1135">
                  <c:v>8903.9583437212841</c:v>
                </c:pt>
                <c:pt idx="1136">
                  <c:v>42556.81334581667</c:v>
                </c:pt>
                <c:pt idx="1137">
                  <c:v>131770.4440860638</c:v>
                </c:pt>
                <c:pt idx="1138">
                  <c:v>68835.306612122877</c:v>
                </c:pt>
                <c:pt idx="1139">
                  <c:v>6000</c:v>
                </c:pt>
                <c:pt idx="1140">
                  <c:v>78808.913603364199</c:v>
                </c:pt>
                <c:pt idx="1141">
                  <c:v>7497.1329254133216</c:v>
                </c:pt>
                <c:pt idx="1142">
                  <c:v>10000</c:v>
                </c:pt>
                <c:pt idx="1143">
                  <c:v>6410.8500074793246</c:v>
                </c:pt>
                <c:pt idx="1144">
                  <c:v>63047.130882691366</c:v>
                </c:pt>
                <c:pt idx="1145">
                  <c:v>61194.579384158147</c:v>
                </c:pt>
                <c:pt idx="1146">
                  <c:v>115061.01386091174</c:v>
                </c:pt>
                <c:pt idx="1147">
                  <c:v>45000</c:v>
                </c:pt>
                <c:pt idx="1148">
                  <c:v>36000</c:v>
                </c:pt>
                <c:pt idx="1149">
                  <c:v>68000</c:v>
                </c:pt>
                <c:pt idx="1150">
                  <c:v>75000</c:v>
                </c:pt>
                <c:pt idx="1151">
                  <c:v>88000</c:v>
                </c:pt>
                <c:pt idx="1152">
                  <c:v>4594.4425053601826</c:v>
                </c:pt>
                <c:pt idx="1153">
                  <c:v>69000</c:v>
                </c:pt>
                <c:pt idx="1154">
                  <c:v>30000</c:v>
                </c:pt>
                <c:pt idx="1155">
                  <c:v>80000</c:v>
                </c:pt>
                <c:pt idx="1156">
                  <c:v>75000</c:v>
                </c:pt>
                <c:pt idx="1157">
                  <c:v>31200</c:v>
                </c:pt>
                <c:pt idx="1158">
                  <c:v>85000</c:v>
                </c:pt>
                <c:pt idx="1159">
                  <c:v>16917.52085307044</c:v>
                </c:pt>
                <c:pt idx="1160">
                  <c:v>3205.4250037396623</c:v>
                </c:pt>
                <c:pt idx="1161">
                  <c:v>60000</c:v>
                </c:pt>
                <c:pt idx="1162">
                  <c:v>60000</c:v>
                </c:pt>
                <c:pt idx="1163">
                  <c:v>14246.333349954055</c:v>
                </c:pt>
                <c:pt idx="1164">
                  <c:v>14246.333349954055</c:v>
                </c:pt>
                <c:pt idx="1165">
                  <c:v>28995</c:v>
                </c:pt>
                <c:pt idx="1166">
                  <c:v>21903.737525554359</c:v>
                </c:pt>
                <c:pt idx="1167">
                  <c:v>20122.945856810104</c:v>
                </c:pt>
                <c:pt idx="1168">
                  <c:v>70928.022243027779</c:v>
                </c:pt>
                <c:pt idx="1169">
                  <c:v>67000</c:v>
                </c:pt>
                <c:pt idx="1170">
                  <c:v>30000</c:v>
                </c:pt>
                <c:pt idx="1171">
                  <c:v>148102.22862117883</c:v>
                </c:pt>
                <c:pt idx="1172">
                  <c:v>71500</c:v>
                </c:pt>
                <c:pt idx="1173">
                  <c:v>67000</c:v>
                </c:pt>
                <c:pt idx="1174">
                  <c:v>40000</c:v>
                </c:pt>
                <c:pt idx="1175">
                  <c:v>65000</c:v>
                </c:pt>
                <c:pt idx="1176">
                  <c:v>72000</c:v>
                </c:pt>
                <c:pt idx="1177">
                  <c:v>52500</c:v>
                </c:pt>
                <c:pt idx="1178">
                  <c:v>5320</c:v>
                </c:pt>
                <c:pt idx="1179">
                  <c:v>18000</c:v>
                </c:pt>
                <c:pt idx="1180">
                  <c:v>2493.1083362419595</c:v>
                </c:pt>
                <c:pt idx="1181">
                  <c:v>21342.710575059013</c:v>
                </c:pt>
                <c:pt idx="1182">
                  <c:v>85000</c:v>
                </c:pt>
                <c:pt idx="1183">
                  <c:v>80000</c:v>
                </c:pt>
                <c:pt idx="1184">
                  <c:v>8903.9583437212841</c:v>
                </c:pt>
                <c:pt idx="1185">
                  <c:v>125000</c:v>
                </c:pt>
                <c:pt idx="1186">
                  <c:v>23150.291693675339</c:v>
                </c:pt>
                <c:pt idx="1187">
                  <c:v>12000</c:v>
                </c:pt>
                <c:pt idx="1188">
                  <c:v>30000</c:v>
                </c:pt>
                <c:pt idx="1189">
                  <c:v>91468.759607395754</c:v>
                </c:pt>
                <c:pt idx="1190">
                  <c:v>35148.775467100437</c:v>
                </c:pt>
                <c:pt idx="1191">
                  <c:v>49153.119414418252</c:v>
                </c:pt>
                <c:pt idx="1192">
                  <c:v>2671.1875031163854</c:v>
                </c:pt>
                <c:pt idx="1193">
                  <c:v>42556.81334581667</c:v>
                </c:pt>
                <c:pt idx="1194">
                  <c:v>42556.81334581667</c:v>
                </c:pt>
                <c:pt idx="1195">
                  <c:v>74461</c:v>
                </c:pt>
                <c:pt idx="1196">
                  <c:v>41768.724209783031</c:v>
                </c:pt>
                <c:pt idx="1197">
                  <c:v>8547.8000099724322</c:v>
                </c:pt>
                <c:pt idx="1198">
                  <c:v>2400</c:v>
                </c:pt>
                <c:pt idx="1199">
                  <c:v>3000</c:v>
                </c:pt>
                <c:pt idx="1200">
                  <c:v>11000</c:v>
                </c:pt>
                <c:pt idx="1201">
                  <c:v>40000</c:v>
                </c:pt>
                <c:pt idx="1202">
                  <c:v>3600</c:v>
                </c:pt>
                <c:pt idx="1203">
                  <c:v>56600</c:v>
                </c:pt>
                <c:pt idx="1204">
                  <c:v>33600</c:v>
                </c:pt>
                <c:pt idx="1205">
                  <c:v>33600</c:v>
                </c:pt>
                <c:pt idx="1206">
                  <c:v>100000</c:v>
                </c:pt>
                <c:pt idx="1207">
                  <c:v>39334.460921213074</c:v>
                </c:pt>
                <c:pt idx="1208">
                  <c:v>7123.1666749770275</c:v>
                </c:pt>
                <c:pt idx="1209">
                  <c:v>65000</c:v>
                </c:pt>
                <c:pt idx="1210">
                  <c:v>65000</c:v>
                </c:pt>
                <c:pt idx="1211">
                  <c:v>65000</c:v>
                </c:pt>
                <c:pt idx="1212">
                  <c:v>76702.198796365497</c:v>
                </c:pt>
                <c:pt idx="1213">
                  <c:v>63000</c:v>
                </c:pt>
                <c:pt idx="1214">
                  <c:v>87000</c:v>
                </c:pt>
                <c:pt idx="1215">
                  <c:v>45000</c:v>
                </c:pt>
                <c:pt idx="1216">
                  <c:v>85000</c:v>
                </c:pt>
                <c:pt idx="1217">
                  <c:v>159105.90639881117</c:v>
                </c:pt>
                <c:pt idx="1218">
                  <c:v>9972.4333449678379</c:v>
                </c:pt>
                <c:pt idx="1219">
                  <c:v>14000</c:v>
                </c:pt>
                <c:pt idx="1220">
                  <c:v>50437.70470615309</c:v>
                </c:pt>
                <c:pt idx="1221">
                  <c:v>50437.70470615309</c:v>
                </c:pt>
                <c:pt idx="1222">
                  <c:v>13603.016099449767</c:v>
                </c:pt>
                <c:pt idx="1223">
                  <c:v>147886.90017838217</c:v>
                </c:pt>
                <c:pt idx="1224">
                  <c:v>4986.216672483919</c:v>
                </c:pt>
                <c:pt idx="1225">
                  <c:v>4800</c:v>
                </c:pt>
                <c:pt idx="1226">
                  <c:v>8013.5625093491553</c:v>
                </c:pt>
                <c:pt idx="1227">
                  <c:v>80000</c:v>
                </c:pt>
                <c:pt idx="1228">
                  <c:v>57167.974754622352</c:v>
                </c:pt>
                <c:pt idx="1229">
                  <c:v>20000</c:v>
                </c:pt>
                <c:pt idx="1230">
                  <c:v>70000</c:v>
                </c:pt>
                <c:pt idx="1231">
                  <c:v>214000</c:v>
                </c:pt>
                <c:pt idx="1232">
                  <c:v>78000</c:v>
                </c:pt>
                <c:pt idx="1233">
                  <c:v>42307</c:v>
                </c:pt>
                <c:pt idx="1234">
                  <c:v>33250</c:v>
                </c:pt>
                <c:pt idx="1235">
                  <c:v>24391.669228638868</c:v>
                </c:pt>
                <c:pt idx="1236">
                  <c:v>120000</c:v>
                </c:pt>
                <c:pt idx="1237">
                  <c:v>20000</c:v>
                </c:pt>
                <c:pt idx="1238">
                  <c:v>15000</c:v>
                </c:pt>
                <c:pt idx="1239">
                  <c:v>17807.916687442568</c:v>
                </c:pt>
                <c:pt idx="1240">
                  <c:v>16027.125018698311</c:v>
                </c:pt>
                <c:pt idx="1241">
                  <c:v>56742.417794422225</c:v>
                </c:pt>
                <c:pt idx="1242">
                  <c:v>21369.500024931083</c:v>
                </c:pt>
                <c:pt idx="1243">
                  <c:v>7568.3645921630914</c:v>
                </c:pt>
                <c:pt idx="1244">
                  <c:v>78808.913603364199</c:v>
                </c:pt>
                <c:pt idx="1245">
                  <c:v>60000</c:v>
                </c:pt>
                <c:pt idx="1246">
                  <c:v>57000</c:v>
                </c:pt>
                <c:pt idx="1247">
                  <c:v>40000</c:v>
                </c:pt>
                <c:pt idx="1248">
                  <c:v>80000</c:v>
                </c:pt>
                <c:pt idx="1249">
                  <c:v>118000</c:v>
                </c:pt>
                <c:pt idx="1250">
                  <c:v>60000</c:v>
                </c:pt>
                <c:pt idx="1251">
                  <c:v>6720</c:v>
                </c:pt>
                <c:pt idx="1252">
                  <c:v>20640</c:v>
                </c:pt>
                <c:pt idx="1253">
                  <c:v>50000</c:v>
                </c:pt>
                <c:pt idx="1254">
                  <c:v>24000</c:v>
                </c:pt>
                <c:pt idx="1255">
                  <c:v>60000</c:v>
                </c:pt>
                <c:pt idx="1256">
                  <c:v>37500</c:v>
                </c:pt>
                <c:pt idx="1257">
                  <c:v>40000</c:v>
                </c:pt>
                <c:pt idx="1258">
                  <c:v>85000</c:v>
                </c:pt>
                <c:pt idx="1259">
                  <c:v>30000</c:v>
                </c:pt>
                <c:pt idx="1260">
                  <c:v>52801.972114254015</c:v>
                </c:pt>
                <c:pt idx="1261">
                  <c:v>29000</c:v>
                </c:pt>
                <c:pt idx="1262">
                  <c:v>48000</c:v>
                </c:pt>
                <c:pt idx="1263">
                  <c:v>48000</c:v>
                </c:pt>
                <c:pt idx="1264">
                  <c:v>8400</c:v>
                </c:pt>
                <c:pt idx="1265">
                  <c:v>4808.137505609493</c:v>
                </c:pt>
                <c:pt idx="1266">
                  <c:v>24931.083362419595</c:v>
                </c:pt>
                <c:pt idx="1267">
                  <c:v>12465.541681209797</c:v>
                </c:pt>
                <c:pt idx="1268">
                  <c:v>31523.565441345683</c:v>
                </c:pt>
                <c:pt idx="1269">
                  <c:v>17807.916687442568</c:v>
                </c:pt>
                <c:pt idx="1270">
                  <c:v>112000</c:v>
                </c:pt>
                <c:pt idx="1271">
                  <c:v>11000</c:v>
                </c:pt>
                <c:pt idx="1272">
                  <c:v>114335.9495092447</c:v>
                </c:pt>
                <c:pt idx="1273">
                  <c:v>16110</c:v>
                </c:pt>
                <c:pt idx="1274">
                  <c:v>72000</c:v>
                </c:pt>
                <c:pt idx="1275">
                  <c:v>60000</c:v>
                </c:pt>
                <c:pt idx="1276">
                  <c:v>67000</c:v>
                </c:pt>
                <c:pt idx="1277">
                  <c:v>54000</c:v>
                </c:pt>
                <c:pt idx="1278">
                  <c:v>38666</c:v>
                </c:pt>
                <c:pt idx="1279">
                  <c:v>63000</c:v>
                </c:pt>
                <c:pt idx="1280">
                  <c:v>63000</c:v>
                </c:pt>
                <c:pt idx="1281">
                  <c:v>6410.8500074793246</c:v>
                </c:pt>
                <c:pt idx="1282">
                  <c:v>10684.750012465542</c:v>
                </c:pt>
                <c:pt idx="1283">
                  <c:v>40000</c:v>
                </c:pt>
                <c:pt idx="1284">
                  <c:v>6232.7708406048987</c:v>
                </c:pt>
                <c:pt idx="1285">
                  <c:v>41712.231189497601</c:v>
                </c:pt>
                <c:pt idx="1286">
                  <c:v>12465.541681209797</c:v>
                </c:pt>
                <c:pt idx="1287">
                  <c:v>32311.654577379326</c:v>
                </c:pt>
                <c:pt idx="1288">
                  <c:v>7123.1666749770275</c:v>
                </c:pt>
                <c:pt idx="1289">
                  <c:v>100000</c:v>
                </c:pt>
                <c:pt idx="1290">
                  <c:v>59819.107020370408</c:v>
                </c:pt>
                <c:pt idx="1291">
                  <c:v>25000</c:v>
                </c:pt>
                <c:pt idx="1292">
                  <c:v>5000</c:v>
                </c:pt>
                <c:pt idx="1293">
                  <c:v>64254.308353366054</c:v>
                </c:pt>
                <c:pt idx="1294">
                  <c:v>76223.966339496474</c:v>
                </c:pt>
                <c:pt idx="1295">
                  <c:v>102542.54233725216</c:v>
                </c:pt>
                <c:pt idx="1296">
                  <c:v>46000</c:v>
                </c:pt>
                <c:pt idx="1297">
                  <c:v>5000</c:v>
                </c:pt>
                <c:pt idx="1298">
                  <c:v>77819.106783521114</c:v>
                </c:pt>
                <c:pt idx="1299">
                  <c:v>6232.7708406048987</c:v>
                </c:pt>
                <c:pt idx="1300">
                  <c:v>55166.239522354947</c:v>
                </c:pt>
                <c:pt idx="1301">
                  <c:v>45000</c:v>
                </c:pt>
                <c:pt idx="1302">
                  <c:v>60000</c:v>
                </c:pt>
                <c:pt idx="1303">
                  <c:v>43000</c:v>
                </c:pt>
                <c:pt idx="1304">
                  <c:v>35571.184291765021</c:v>
                </c:pt>
                <c:pt idx="1305">
                  <c:v>48000</c:v>
                </c:pt>
                <c:pt idx="1306">
                  <c:v>122389.15876831629</c:v>
                </c:pt>
                <c:pt idx="1307">
                  <c:v>4000</c:v>
                </c:pt>
                <c:pt idx="1308">
                  <c:v>4451.9791718606421</c:v>
                </c:pt>
                <c:pt idx="1309">
                  <c:v>2953.8461538461538</c:v>
                </c:pt>
                <c:pt idx="1310">
                  <c:v>39404.456801682099</c:v>
                </c:pt>
                <c:pt idx="1311">
                  <c:v>75473.31457379504</c:v>
                </c:pt>
                <c:pt idx="1312">
                  <c:v>13355.937515581925</c:v>
                </c:pt>
                <c:pt idx="1313">
                  <c:v>25000</c:v>
                </c:pt>
                <c:pt idx="1314">
                  <c:v>7479.3250087258784</c:v>
                </c:pt>
                <c:pt idx="1315">
                  <c:v>62000</c:v>
                </c:pt>
                <c:pt idx="1316">
                  <c:v>48000</c:v>
                </c:pt>
                <c:pt idx="1317">
                  <c:v>5000</c:v>
                </c:pt>
                <c:pt idx="1318">
                  <c:v>4914.9850057341491</c:v>
                </c:pt>
                <c:pt idx="1319">
                  <c:v>75000</c:v>
                </c:pt>
                <c:pt idx="1320">
                  <c:v>4451.9791718606421</c:v>
                </c:pt>
                <c:pt idx="1321">
                  <c:v>8400</c:v>
                </c:pt>
                <c:pt idx="1322">
                  <c:v>20000</c:v>
                </c:pt>
                <c:pt idx="1323">
                  <c:v>110000</c:v>
                </c:pt>
                <c:pt idx="1324">
                  <c:v>50000</c:v>
                </c:pt>
                <c:pt idx="1325">
                  <c:v>46000</c:v>
                </c:pt>
                <c:pt idx="1326">
                  <c:v>115000</c:v>
                </c:pt>
                <c:pt idx="1327">
                  <c:v>3205.4250037396623</c:v>
                </c:pt>
                <c:pt idx="1328">
                  <c:v>76223.966339496474</c:v>
                </c:pt>
                <c:pt idx="1329">
                  <c:v>52500</c:v>
                </c:pt>
                <c:pt idx="1330">
                  <c:v>100800</c:v>
                </c:pt>
                <c:pt idx="1331">
                  <c:v>21000</c:v>
                </c:pt>
                <c:pt idx="1332">
                  <c:v>40000</c:v>
                </c:pt>
                <c:pt idx="1333">
                  <c:v>46359</c:v>
                </c:pt>
                <c:pt idx="1334">
                  <c:v>70000</c:v>
                </c:pt>
              </c:numCache>
            </c:numRef>
          </c:yVal>
        </c:ser>
        <c:ser>
          <c:idx val="3"/>
          <c:order val="1"/>
          <c:tx>
            <c:strRef>
              <c:f>Analysis!$K$2</c:f>
              <c:strCache>
                <c:ptCount val="1"/>
                <c:pt idx="0">
                  <c:v>C2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B0F0"/>
              </a:solidFill>
              <a:ln>
                <a:noFill/>
              </a:ln>
            </c:spPr>
          </c:marker>
          <c:xVal>
            <c:numRef>
              <c:f>Data!$M$554:$M$1888</c:f>
              <c:numCache>
                <c:formatCode>General</c:formatCode>
                <c:ptCount val="1335"/>
                <c:pt idx="0">
                  <c:v>5</c:v>
                </c:pt>
                <c:pt idx="1">
                  <c:v>20</c:v>
                </c:pt>
                <c:pt idx="2">
                  <c:v>7</c:v>
                </c:pt>
                <c:pt idx="3">
                  <c:v>20</c:v>
                </c:pt>
                <c:pt idx="4">
                  <c:v>1</c:v>
                </c:pt>
                <c:pt idx="5">
                  <c:v>10</c:v>
                </c:pt>
                <c:pt idx="6">
                  <c:v>6</c:v>
                </c:pt>
                <c:pt idx="7">
                  <c:v>2</c:v>
                </c:pt>
                <c:pt idx="8">
                  <c:v>11</c:v>
                </c:pt>
                <c:pt idx="9">
                  <c:v>20</c:v>
                </c:pt>
                <c:pt idx="10">
                  <c:v>23</c:v>
                </c:pt>
                <c:pt idx="11">
                  <c:v>11</c:v>
                </c:pt>
                <c:pt idx="12">
                  <c:v>6</c:v>
                </c:pt>
                <c:pt idx="13">
                  <c:v>27</c:v>
                </c:pt>
                <c:pt idx="14">
                  <c:v>10</c:v>
                </c:pt>
                <c:pt idx="15">
                  <c:v>6</c:v>
                </c:pt>
                <c:pt idx="16">
                  <c:v>20</c:v>
                </c:pt>
                <c:pt idx="17">
                  <c:v>8</c:v>
                </c:pt>
                <c:pt idx="18">
                  <c:v>15</c:v>
                </c:pt>
                <c:pt idx="19">
                  <c:v>22</c:v>
                </c:pt>
                <c:pt idx="20">
                  <c:v>27</c:v>
                </c:pt>
                <c:pt idx="21">
                  <c:v>3</c:v>
                </c:pt>
                <c:pt idx="22">
                  <c:v>10</c:v>
                </c:pt>
                <c:pt idx="23">
                  <c:v>30</c:v>
                </c:pt>
                <c:pt idx="24">
                  <c:v>10</c:v>
                </c:pt>
                <c:pt idx="25">
                  <c:v>15</c:v>
                </c:pt>
                <c:pt idx="26">
                  <c:v>3</c:v>
                </c:pt>
                <c:pt idx="27">
                  <c:v>16</c:v>
                </c:pt>
                <c:pt idx="28">
                  <c:v>25</c:v>
                </c:pt>
                <c:pt idx="29">
                  <c:v>8</c:v>
                </c:pt>
                <c:pt idx="30">
                  <c:v>3</c:v>
                </c:pt>
                <c:pt idx="31">
                  <c:v>7</c:v>
                </c:pt>
                <c:pt idx="32">
                  <c:v>10</c:v>
                </c:pt>
                <c:pt idx="33">
                  <c:v>10</c:v>
                </c:pt>
                <c:pt idx="34">
                  <c:v>4</c:v>
                </c:pt>
                <c:pt idx="35">
                  <c:v>7</c:v>
                </c:pt>
                <c:pt idx="36">
                  <c:v>5</c:v>
                </c:pt>
                <c:pt idx="37">
                  <c:v>3</c:v>
                </c:pt>
                <c:pt idx="38">
                  <c:v>25</c:v>
                </c:pt>
                <c:pt idx="39">
                  <c:v>15</c:v>
                </c:pt>
                <c:pt idx="40">
                  <c:v>7</c:v>
                </c:pt>
                <c:pt idx="41">
                  <c:v>20</c:v>
                </c:pt>
                <c:pt idx="42">
                  <c:v>5</c:v>
                </c:pt>
                <c:pt idx="43">
                  <c:v>10</c:v>
                </c:pt>
                <c:pt idx="44">
                  <c:v>17</c:v>
                </c:pt>
                <c:pt idx="45">
                  <c:v>18</c:v>
                </c:pt>
                <c:pt idx="46">
                  <c:v>5</c:v>
                </c:pt>
                <c:pt idx="47">
                  <c:v>20</c:v>
                </c:pt>
                <c:pt idx="48">
                  <c:v>10</c:v>
                </c:pt>
                <c:pt idx="49">
                  <c:v>8</c:v>
                </c:pt>
                <c:pt idx="50">
                  <c:v>3</c:v>
                </c:pt>
                <c:pt idx="51">
                  <c:v>5</c:v>
                </c:pt>
                <c:pt idx="52">
                  <c:v>20</c:v>
                </c:pt>
                <c:pt idx="53">
                  <c:v>6</c:v>
                </c:pt>
                <c:pt idx="54">
                  <c:v>10</c:v>
                </c:pt>
                <c:pt idx="55">
                  <c:v>15</c:v>
                </c:pt>
                <c:pt idx="56">
                  <c:v>23</c:v>
                </c:pt>
                <c:pt idx="57">
                  <c:v>32</c:v>
                </c:pt>
                <c:pt idx="58">
                  <c:v>3</c:v>
                </c:pt>
                <c:pt idx="59">
                  <c:v>26</c:v>
                </c:pt>
                <c:pt idx="60">
                  <c:v>20</c:v>
                </c:pt>
                <c:pt idx="61">
                  <c:v>20</c:v>
                </c:pt>
                <c:pt idx="62">
                  <c:v>6</c:v>
                </c:pt>
                <c:pt idx="63">
                  <c:v>1</c:v>
                </c:pt>
                <c:pt idx="64">
                  <c:v>10</c:v>
                </c:pt>
                <c:pt idx="65">
                  <c:v>5</c:v>
                </c:pt>
                <c:pt idx="66">
                  <c:v>4</c:v>
                </c:pt>
                <c:pt idx="67">
                  <c:v>12</c:v>
                </c:pt>
                <c:pt idx="68">
                  <c:v>3</c:v>
                </c:pt>
                <c:pt idx="69">
                  <c:v>12</c:v>
                </c:pt>
                <c:pt idx="70">
                  <c:v>10</c:v>
                </c:pt>
                <c:pt idx="71">
                  <c:v>20</c:v>
                </c:pt>
                <c:pt idx="72">
                  <c:v>4</c:v>
                </c:pt>
                <c:pt idx="73">
                  <c:v>3</c:v>
                </c:pt>
                <c:pt idx="74">
                  <c:v>8</c:v>
                </c:pt>
                <c:pt idx="75">
                  <c:v>3</c:v>
                </c:pt>
                <c:pt idx="76">
                  <c:v>2</c:v>
                </c:pt>
                <c:pt idx="77">
                  <c:v>1.5</c:v>
                </c:pt>
                <c:pt idx="78">
                  <c:v>6</c:v>
                </c:pt>
                <c:pt idx="79">
                  <c:v>5</c:v>
                </c:pt>
                <c:pt idx="80">
                  <c:v>30</c:v>
                </c:pt>
                <c:pt idx="81">
                  <c:v>1</c:v>
                </c:pt>
                <c:pt idx="82">
                  <c:v>5</c:v>
                </c:pt>
                <c:pt idx="83">
                  <c:v>11</c:v>
                </c:pt>
                <c:pt idx="84">
                  <c:v>4</c:v>
                </c:pt>
                <c:pt idx="85">
                  <c:v>1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8</c:v>
                </c:pt>
                <c:pt idx="91">
                  <c:v>3</c:v>
                </c:pt>
                <c:pt idx="92">
                  <c:v>10</c:v>
                </c:pt>
                <c:pt idx="93">
                  <c:v>9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11</c:v>
                </c:pt>
                <c:pt idx="98">
                  <c:v>12</c:v>
                </c:pt>
                <c:pt idx="99">
                  <c:v>10</c:v>
                </c:pt>
                <c:pt idx="100">
                  <c:v>4.5</c:v>
                </c:pt>
                <c:pt idx="101">
                  <c:v>3</c:v>
                </c:pt>
                <c:pt idx="102">
                  <c:v>8</c:v>
                </c:pt>
                <c:pt idx="103">
                  <c:v>8</c:v>
                </c:pt>
                <c:pt idx="104">
                  <c:v>3</c:v>
                </c:pt>
                <c:pt idx="105">
                  <c:v>3</c:v>
                </c:pt>
                <c:pt idx="106">
                  <c:v>12</c:v>
                </c:pt>
                <c:pt idx="107">
                  <c:v>15</c:v>
                </c:pt>
                <c:pt idx="108">
                  <c:v>7.3</c:v>
                </c:pt>
                <c:pt idx="109">
                  <c:v>1</c:v>
                </c:pt>
                <c:pt idx="110">
                  <c:v>6</c:v>
                </c:pt>
                <c:pt idx="111">
                  <c:v>4.5</c:v>
                </c:pt>
                <c:pt idx="112">
                  <c:v>4.5</c:v>
                </c:pt>
                <c:pt idx="113">
                  <c:v>15</c:v>
                </c:pt>
                <c:pt idx="114">
                  <c:v>5</c:v>
                </c:pt>
                <c:pt idx="115">
                  <c:v>4</c:v>
                </c:pt>
                <c:pt idx="116">
                  <c:v>9</c:v>
                </c:pt>
                <c:pt idx="117">
                  <c:v>20</c:v>
                </c:pt>
                <c:pt idx="118">
                  <c:v>3</c:v>
                </c:pt>
                <c:pt idx="119">
                  <c:v>18</c:v>
                </c:pt>
                <c:pt idx="120">
                  <c:v>2</c:v>
                </c:pt>
                <c:pt idx="121">
                  <c:v>3</c:v>
                </c:pt>
                <c:pt idx="122">
                  <c:v>4</c:v>
                </c:pt>
                <c:pt idx="123">
                  <c:v>7</c:v>
                </c:pt>
                <c:pt idx="124">
                  <c:v>7</c:v>
                </c:pt>
                <c:pt idx="125">
                  <c:v>10</c:v>
                </c:pt>
                <c:pt idx="126">
                  <c:v>20</c:v>
                </c:pt>
                <c:pt idx="127">
                  <c:v>3</c:v>
                </c:pt>
                <c:pt idx="128">
                  <c:v>2</c:v>
                </c:pt>
                <c:pt idx="129">
                  <c:v>23</c:v>
                </c:pt>
                <c:pt idx="130">
                  <c:v>6</c:v>
                </c:pt>
                <c:pt idx="131">
                  <c:v>2</c:v>
                </c:pt>
                <c:pt idx="132">
                  <c:v>4</c:v>
                </c:pt>
                <c:pt idx="133">
                  <c:v>4.5</c:v>
                </c:pt>
                <c:pt idx="134">
                  <c:v>5</c:v>
                </c:pt>
                <c:pt idx="135">
                  <c:v>14</c:v>
                </c:pt>
                <c:pt idx="136">
                  <c:v>7</c:v>
                </c:pt>
                <c:pt idx="137">
                  <c:v>7</c:v>
                </c:pt>
                <c:pt idx="138">
                  <c:v>2</c:v>
                </c:pt>
                <c:pt idx="139">
                  <c:v>2</c:v>
                </c:pt>
                <c:pt idx="140">
                  <c:v>10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4</c:v>
                </c:pt>
                <c:pt idx="146">
                  <c:v>8</c:v>
                </c:pt>
                <c:pt idx="147">
                  <c:v>0</c:v>
                </c:pt>
                <c:pt idx="148">
                  <c:v>5</c:v>
                </c:pt>
                <c:pt idx="149">
                  <c:v>2</c:v>
                </c:pt>
                <c:pt idx="150">
                  <c:v>2</c:v>
                </c:pt>
                <c:pt idx="151">
                  <c:v>12</c:v>
                </c:pt>
                <c:pt idx="152">
                  <c:v>1</c:v>
                </c:pt>
                <c:pt idx="153">
                  <c:v>2</c:v>
                </c:pt>
                <c:pt idx="154">
                  <c:v>10</c:v>
                </c:pt>
                <c:pt idx="155">
                  <c:v>7</c:v>
                </c:pt>
                <c:pt idx="156">
                  <c:v>6</c:v>
                </c:pt>
                <c:pt idx="157">
                  <c:v>15</c:v>
                </c:pt>
                <c:pt idx="158">
                  <c:v>6</c:v>
                </c:pt>
                <c:pt idx="159">
                  <c:v>2</c:v>
                </c:pt>
                <c:pt idx="160">
                  <c:v>4</c:v>
                </c:pt>
                <c:pt idx="161">
                  <c:v>3</c:v>
                </c:pt>
                <c:pt idx="162">
                  <c:v>6</c:v>
                </c:pt>
                <c:pt idx="163">
                  <c:v>2</c:v>
                </c:pt>
                <c:pt idx="164">
                  <c:v>1</c:v>
                </c:pt>
                <c:pt idx="165">
                  <c:v>7</c:v>
                </c:pt>
                <c:pt idx="166">
                  <c:v>3.5</c:v>
                </c:pt>
                <c:pt idx="167">
                  <c:v>10</c:v>
                </c:pt>
                <c:pt idx="168">
                  <c:v>12</c:v>
                </c:pt>
                <c:pt idx="169">
                  <c:v>4</c:v>
                </c:pt>
                <c:pt idx="170">
                  <c:v>10</c:v>
                </c:pt>
                <c:pt idx="171">
                  <c:v>13</c:v>
                </c:pt>
                <c:pt idx="172">
                  <c:v>8</c:v>
                </c:pt>
                <c:pt idx="173">
                  <c:v>15</c:v>
                </c:pt>
                <c:pt idx="174">
                  <c:v>15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2</c:v>
                </c:pt>
                <c:pt idx="179">
                  <c:v>7</c:v>
                </c:pt>
                <c:pt idx="180">
                  <c:v>2</c:v>
                </c:pt>
                <c:pt idx="181">
                  <c:v>12</c:v>
                </c:pt>
                <c:pt idx="182">
                  <c:v>5</c:v>
                </c:pt>
                <c:pt idx="183">
                  <c:v>1.5</c:v>
                </c:pt>
                <c:pt idx="184">
                  <c:v>15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7</c:v>
                </c:pt>
                <c:pt idx="189">
                  <c:v>7</c:v>
                </c:pt>
                <c:pt idx="190">
                  <c:v>8</c:v>
                </c:pt>
                <c:pt idx="191">
                  <c:v>8</c:v>
                </c:pt>
                <c:pt idx="192">
                  <c:v>4.5</c:v>
                </c:pt>
                <c:pt idx="193">
                  <c:v>6</c:v>
                </c:pt>
                <c:pt idx="194">
                  <c:v>5.5</c:v>
                </c:pt>
                <c:pt idx="195">
                  <c:v>5</c:v>
                </c:pt>
                <c:pt idx="196">
                  <c:v>20</c:v>
                </c:pt>
                <c:pt idx="197">
                  <c:v>5</c:v>
                </c:pt>
                <c:pt idx="198">
                  <c:v>1</c:v>
                </c:pt>
                <c:pt idx="199">
                  <c:v>15</c:v>
                </c:pt>
                <c:pt idx="200">
                  <c:v>20</c:v>
                </c:pt>
                <c:pt idx="201">
                  <c:v>2</c:v>
                </c:pt>
                <c:pt idx="202">
                  <c:v>2</c:v>
                </c:pt>
                <c:pt idx="203">
                  <c:v>5</c:v>
                </c:pt>
                <c:pt idx="204">
                  <c:v>4</c:v>
                </c:pt>
                <c:pt idx="205">
                  <c:v>11</c:v>
                </c:pt>
                <c:pt idx="206">
                  <c:v>14</c:v>
                </c:pt>
                <c:pt idx="207">
                  <c:v>10</c:v>
                </c:pt>
                <c:pt idx="208">
                  <c:v>20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2.5</c:v>
                </c:pt>
                <c:pt idx="213">
                  <c:v>15</c:v>
                </c:pt>
                <c:pt idx="214">
                  <c:v>18</c:v>
                </c:pt>
                <c:pt idx="215">
                  <c:v>11</c:v>
                </c:pt>
                <c:pt idx="216">
                  <c:v>7</c:v>
                </c:pt>
                <c:pt idx="217">
                  <c:v>2.4</c:v>
                </c:pt>
                <c:pt idx="218">
                  <c:v>7</c:v>
                </c:pt>
                <c:pt idx="219">
                  <c:v>7</c:v>
                </c:pt>
                <c:pt idx="220">
                  <c:v>12</c:v>
                </c:pt>
                <c:pt idx="221">
                  <c:v>5</c:v>
                </c:pt>
                <c:pt idx="222">
                  <c:v>1</c:v>
                </c:pt>
                <c:pt idx="223">
                  <c:v>4</c:v>
                </c:pt>
                <c:pt idx="224">
                  <c:v>7</c:v>
                </c:pt>
                <c:pt idx="225">
                  <c:v>12</c:v>
                </c:pt>
                <c:pt idx="226">
                  <c:v>20</c:v>
                </c:pt>
                <c:pt idx="227">
                  <c:v>10</c:v>
                </c:pt>
                <c:pt idx="228">
                  <c:v>1.5</c:v>
                </c:pt>
                <c:pt idx="229">
                  <c:v>5</c:v>
                </c:pt>
                <c:pt idx="230">
                  <c:v>2</c:v>
                </c:pt>
                <c:pt idx="231">
                  <c:v>8</c:v>
                </c:pt>
                <c:pt idx="232">
                  <c:v>6</c:v>
                </c:pt>
                <c:pt idx="233">
                  <c:v>10</c:v>
                </c:pt>
                <c:pt idx="234">
                  <c:v>10</c:v>
                </c:pt>
                <c:pt idx="235">
                  <c:v>7</c:v>
                </c:pt>
                <c:pt idx="236">
                  <c:v>15</c:v>
                </c:pt>
                <c:pt idx="237">
                  <c:v>10</c:v>
                </c:pt>
                <c:pt idx="238">
                  <c:v>4</c:v>
                </c:pt>
                <c:pt idx="239">
                  <c:v>10</c:v>
                </c:pt>
                <c:pt idx="240">
                  <c:v>40</c:v>
                </c:pt>
                <c:pt idx="241">
                  <c:v>2</c:v>
                </c:pt>
                <c:pt idx="242">
                  <c:v>15</c:v>
                </c:pt>
                <c:pt idx="243">
                  <c:v>6</c:v>
                </c:pt>
                <c:pt idx="244">
                  <c:v>16</c:v>
                </c:pt>
                <c:pt idx="245">
                  <c:v>2</c:v>
                </c:pt>
                <c:pt idx="246">
                  <c:v>5</c:v>
                </c:pt>
                <c:pt idx="247">
                  <c:v>15</c:v>
                </c:pt>
                <c:pt idx="248">
                  <c:v>5</c:v>
                </c:pt>
                <c:pt idx="249">
                  <c:v>3</c:v>
                </c:pt>
                <c:pt idx="250">
                  <c:v>5</c:v>
                </c:pt>
                <c:pt idx="251">
                  <c:v>13</c:v>
                </c:pt>
                <c:pt idx="252">
                  <c:v>0</c:v>
                </c:pt>
                <c:pt idx="253">
                  <c:v>3</c:v>
                </c:pt>
                <c:pt idx="254">
                  <c:v>1</c:v>
                </c:pt>
                <c:pt idx="255">
                  <c:v>12</c:v>
                </c:pt>
                <c:pt idx="256">
                  <c:v>3</c:v>
                </c:pt>
                <c:pt idx="257">
                  <c:v>3</c:v>
                </c:pt>
                <c:pt idx="258">
                  <c:v>5</c:v>
                </c:pt>
                <c:pt idx="259">
                  <c:v>27</c:v>
                </c:pt>
                <c:pt idx="260">
                  <c:v>5</c:v>
                </c:pt>
                <c:pt idx="261">
                  <c:v>1.1000000000000001</c:v>
                </c:pt>
                <c:pt idx="262">
                  <c:v>7</c:v>
                </c:pt>
                <c:pt idx="263">
                  <c:v>4</c:v>
                </c:pt>
                <c:pt idx="264">
                  <c:v>10</c:v>
                </c:pt>
                <c:pt idx="265">
                  <c:v>2</c:v>
                </c:pt>
                <c:pt idx="266">
                  <c:v>20</c:v>
                </c:pt>
                <c:pt idx="267">
                  <c:v>1</c:v>
                </c:pt>
                <c:pt idx="268">
                  <c:v>6</c:v>
                </c:pt>
                <c:pt idx="269">
                  <c:v>5</c:v>
                </c:pt>
                <c:pt idx="270">
                  <c:v>20</c:v>
                </c:pt>
                <c:pt idx="271">
                  <c:v>18</c:v>
                </c:pt>
                <c:pt idx="272">
                  <c:v>10</c:v>
                </c:pt>
                <c:pt idx="273">
                  <c:v>6</c:v>
                </c:pt>
                <c:pt idx="274">
                  <c:v>9</c:v>
                </c:pt>
                <c:pt idx="275">
                  <c:v>1</c:v>
                </c:pt>
                <c:pt idx="276">
                  <c:v>10</c:v>
                </c:pt>
                <c:pt idx="277">
                  <c:v>2</c:v>
                </c:pt>
                <c:pt idx="278">
                  <c:v>20</c:v>
                </c:pt>
                <c:pt idx="279">
                  <c:v>18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8</c:v>
                </c:pt>
                <c:pt idx="284">
                  <c:v>6.5</c:v>
                </c:pt>
                <c:pt idx="285">
                  <c:v>3.5</c:v>
                </c:pt>
                <c:pt idx="286">
                  <c:v>10</c:v>
                </c:pt>
                <c:pt idx="287">
                  <c:v>15</c:v>
                </c:pt>
                <c:pt idx="288">
                  <c:v>1</c:v>
                </c:pt>
                <c:pt idx="289">
                  <c:v>1</c:v>
                </c:pt>
                <c:pt idx="290">
                  <c:v>10</c:v>
                </c:pt>
                <c:pt idx="291">
                  <c:v>4</c:v>
                </c:pt>
                <c:pt idx="292">
                  <c:v>2</c:v>
                </c:pt>
                <c:pt idx="293">
                  <c:v>5</c:v>
                </c:pt>
                <c:pt idx="294">
                  <c:v>8</c:v>
                </c:pt>
                <c:pt idx="295">
                  <c:v>10</c:v>
                </c:pt>
                <c:pt idx="296">
                  <c:v>15</c:v>
                </c:pt>
                <c:pt idx="297">
                  <c:v>13</c:v>
                </c:pt>
                <c:pt idx="298">
                  <c:v>2</c:v>
                </c:pt>
                <c:pt idx="299">
                  <c:v>8</c:v>
                </c:pt>
                <c:pt idx="300">
                  <c:v>2</c:v>
                </c:pt>
                <c:pt idx="301">
                  <c:v>14</c:v>
                </c:pt>
                <c:pt idx="302">
                  <c:v>15</c:v>
                </c:pt>
                <c:pt idx="303">
                  <c:v>25</c:v>
                </c:pt>
                <c:pt idx="304">
                  <c:v>6</c:v>
                </c:pt>
                <c:pt idx="305">
                  <c:v>4</c:v>
                </c:pt>
                <c:pt idx="306">
                  <c:v>10</c:v>
                </c:pt>
                <c:pt idx="307">
                  <c:v>15</c:v>
                </c:pt>
                <c:pt idx="308">
                  <c:v>8</c:v>
                </c:pt>
                <c:pt idx="309">
                  <c:v>12</c:v>
                </c:pt>
                <c:pt idx="310">
                  <c:v>6</c:v>
                </c:pt>
                <c:pt idx="311">
                  <c:v>18</c:v>
                </c:pt>
                <c:pt idx="312">
                  <c:v>1</c:v>
                </c:pt>
                <c:pt idx="313">
                  <c:v>11</c:v>
                </c:pt>
                <c:pt idx="314">
                  <c:v>10</c:v>
                </c:pt>
                <c:pt idx="315">
                  <c:v>4</c:v>
                </c:pt>
                <c:pt idx="316">
                  <c:v>3</c:v>
                </c:pt>
                <c:pt idx="317">
                  <c:v>3</c:v>
                </c:pt>
                <c:pt idx="318">
                  <c:v>5</c:v>
                </c:pt>
                <c:pt idx="319">
                  <c:v>4</c:v>
                </c:pt>
                <c:pt idx="320">
                  <c:v>20</c:v>
                </c:pt>
                <c:pt idx="321">
                  <c:v>1</c:v>
                </c:pt>
                <c:pt idx="322">
                  <c:v>6</c:v>
                </c:pt>
                <c:pt idx="323">
                  <c:v>4</c:v>
                </c:pt>
                <c:pt idx="324">
                  <c:v>5</c:v>
                </c:pt>
                <c:pt idx="325">
                  <c:v>15</c:v>
                </c:pt>
                <c:pt idx="326">
                  <c:v>10</c:v>
                </c:pt>
                <c:pt idx="327">
                  <c:v>8</c:v>
                </c:pt>
                <c:pt idx="328">
                  <c:v>8</c:v>
                </c:pt>
                <c:pt idx="329">
                  <c:v>17</c:v>
                </c:pt>
                <c:pt idx="330">
                  <c:v>5</c:v>
                </c:pt>
                <c:pt idx="331">
                  <c:v>3</c:v>
                </c:pt>
                <c:pt idx="332">
                  <c:v>5</c:v>
                </c:pt>
                <c:pt idx="333">
                  <c:v>3</c:v>
                </c:pt>
                <c:pt idx="334">
                  <c:v>10</c:v>
                </c:pt>
                <c:pt idx="335">
                  <c:v>13</c:v>
                </c:pt>
                <c:pt idx="336">
                  <c:v>3.5</c:v>
                </c:pt>
                <c:pt idx="337">
                  <c:v>6</c:v>
                </c:pt>
                <c:pt idx="338">
                  <c:v>6</c:v>
                </c:pt>
                <c:pt idx="339">
                  <c:v>9</c:v>
                </c:pt>
                <c:pt idx="340">
                  <c:v>5</c:v>
                </c:pt>
                <c:pt idx="341">
                  <c:v>10</c:v>
                </c:pt>
                <c:pt idx="342">
                  <c:v>10</c:v>
                </c:pt>
                <c:pt idx="343">
                  <c:v>3</c:v>
                </c:pt>
                <c:pt idx="344">
                  <c:v>2</c:v>
                </c:pt>
                <c:pt idx="345">
                  <c:v>5</c:v>
                </c:pt>
                <c:pt idx="346">
                  <c:v>9</c:v>
                </c:pt>
                <c:pt idx="347">
                  <c:v>6</c:v>
                </c:pt>
                <c:pt idx="348">
                  <c:v>15</c:v>
                </c:pt>
                <c:pt idx="349">
                  <c:v>20</c:v>
                </c:pt>
                <c:pt idx="350">
                  <c:v>16</c:v>
                </c:pt>
                <c:pt idx="351">
                  <c:v>0.5</c:v>
                </c:pt>
                <c:pt idx="352">
                  <c:v>11</c:v>
                </c:pt>
                <c:pt idx="353">
                  <c:v>8</c:v>
                </c:pt>
                <c:pt idx="354">
                  <c:v>7</c:v>
                </c:pt>
                <c:pt idx="355">
                  <c:v>4</c:v>
                </c:pt>
                <c:pt idx="356">
                  <c:v>8</c:v>
                </c:pt>
                <c:pt idx="357">
                  <c:v>8</c:v>
                </c:pt>
                <c:pt idx="358">
                  <c:v>25</c:v>
                </c:pt>
                <c:pt idx="359">
                  <c:v>3</c:v>
                </c:pt>
                <c:pt idx="360">
                  <c:v>4</c:v>
                </c:pt>
                <c:pt idx="361">
                  <c:v>20</c:v>
                </c:pt>
                <c:pt idx="362">
                  <c:v>3</c:v>
                </c:pt>
                <c:pt idx="363">
                  <c:v>10</c:v>
                </c:pt>
                <c:pt idx="364">
                  <c:v>15</c:v>
                </c:pt>
                <c:pt idx="365">
                  <c:v>8</c:v>
                </c:pt>
                <c:pt idx="366">
                  <c:v>5</c:v>
                </c:pt>
                <c:pt idx="367">
                  <c:v>8</c:v>
                </c:pt>
                <c:pt idx="368">
                  <c:v>1</c:v>
                </c:pt>
                <c:pt idx="369">
                  <c:v>8</c:v>
                </c:pt>
                <c:pt idx="370">
                  <c:v>6</c:v>
                </c:pt>
                <c:pt idx="371">
                  <c:v>12</c:v>
                </c:pt>
                <c:pt idx="372">
                  <c:v>30</c:v>
                </c:pt>
                <c:pt idx="373">
                  <c:v>10</c:v>
                </c:pt>
                <c:pt idx="374">
                  <c:v>3</c:v>
                </c:pt>
                <c:pt idx="375">
                  <c:v>4</c:v>
                </c:pt>
                <c:pt idx="376">
                  <c:v>2</c:v>
                </c:pt>
                <c:pt idx="377">
                  <c:v>11</c:v>
                </c:pt>
                <c:pt idx="378">
                  <c:v>4</c:v>
                </c:pt>
                <c:pt idx="379">
                  <c:v>2</c:v>
                </c:pt>
                <c:pt idx="380">
                  <c:v>3</c:v>
                </c:pt>
                <c:pt idx="381">
                  <c:v>4.5</c:v>
                </c:pt>
                <c:pt idx="382">
                  <c:v>4</c:v>
                </c:pt>
                <c:pt idx="383">
                  <c:v>15</c:v>
                </c:pt>
                <c:pt idx="384">
                  <c:v>4</c:v>
                </c:pt>
                <c:pt idx="385">
                  <c:v>10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10</c:v>
                </c:pt>
                <c:pt idx="391">
                  <c:v>20</c:v>
                </c:pt>
                <c:pt idx="392">
                  <c:v>25</c:v>
                </c:pt>
                <c:pt idx="393">
                  <c:v>20</c:v>
                </c:pt>
                <c:pt idx="394">
                  <c:v>13</c:v>
                </c:pt>
                <c:pt idx="395">
                  <c:v>2</c:v>
                </c:pt>
                <c:pt idx="396">
                  <c:v>5</c:v>
                </c:pt>
                <c:pt idx="397">
                  <c:v>6</c:v>
                </c:pt>
                <c:pt idx="398">
                  <c:v>3</c:v>
                </c:pt>
                <c:pt idx="399">
                  <c:v>1</c:v>
                </c:pt>
                <c:pt idx="400">
                  <c:v>1.5</c:v>
                </c:pt>
                <c:pt idx="401">
                  <c:v>20</c:v>
                </c:pt>
                <c:pt idx="402">
                  <c:v>2</c:v>
                </c:pt>
                <c:pt idx="403">
                  <c:v>2</c:v>
                </c:pt>
                <c:pt idx="404">
                  <c:v>15</c:v>
                </c:pt>
                <c:pt idx="405">
                  <c:v>5</c:v>
                </c:pt>
                <c:pt idx="406">
                  <c:v>15</c:v>
                </c:pt>
                <c:pt idx="407">
                  <c:v>4</c:v>
                </c:pt>
                <c:pt idx="408">
                  <c:v>3</c:v>
                </c:pt>
                <c:pt idx="409">
                  <c:v>10</c:v>
                </c:pt>
                <c:pt idx="410">
                  <c:v>8</c:v>
                </c:pt>
                <c:pt idx="411">
                  <c:v>7</c:v>
                </c:pt>
                <c:pt idx="412">
                  <c:v>8</c:v>
                </c:pt>
                <c:pt idx="413">
                  <c:v>2.5</c:v>
                </c:pt>
                <c:pt idx="414">
                  <c:v>35</c:v>
                </c:pt>
                <c:pt idx="415">
                  <c:v>3</c:v>
                </c:pt>
                <c:pt idx="416">
                  <c:v>2</c:v>
                </c:pt>
                <c:pt idx="417">
                  <c:v>4</c:v>
                </c:pt>
                <c:pt idx="418">
                  <c:v>10</c:v>
                </c:pt>
                <c:pt idx="419">
                  <c:v>6</c:v>
                </c:pt>
                <c:pt idx="420">
                  <c:v>6</c:v>
                </c:pt>
                <c:pt idx="421">
                  <c:v>20</c:v>
                </c:pt>
                <c:pt idx="422">
                  <c:v>5</c:v>
                </c:pt>
                <c:pt idx="423">
                  <c:v>4</c:v>
                </c:pt>
                <c:pt idx="424">
                  <c:v>3</c:v>
                </c:pt>
                <c:pt idx="425">
                  <c:v>0</c:v>
                </c:pt>
                <c:pt idx="426">
                  <c:v>6</c:v>
                </c:pt>
                <c:pt idx="427">
                  <c:v>7</c:v>
                </c:pt>
                <c:pt idx="428">
                  <c:v>2</c:v>
                </c:pt>
                <c:pt idx="429">
                  <c:v>25</c:v>
                </c:pt>
                <c:pt idx="430">
                  <c:v>6</c:v>
                </c:pt>
                <c:pt idx="431">
                  <c:v>8</c:v>
                </c:pt>
                <c:pt idx="432">
                  <c:v>10</c:v>
                </c:pt>
                <c:pt idx="433">
                  <c:v>3</c:v>
                </c:pt>
                <c:pt idx="434">
                  <c:v>7</c:v>
                </c:pt>
                <c:pt idx="435">
                  <c:v>14</c:v>
                </c:pt>
                <c:pt idx="436">
                  <c:v>8</c:v>
                </c:pt>
                <c:pt idx="437">
                  <c:v>1</c:v>
                </c:pt>
                <c:pt idx="438">
                  <c:v>8</c:v>
                </c:pt>
                <c:pt idx="439">
                  <c:v>2</c:v>
                </c:pt>
                <c:pt idx="440">
                  <c:v>2.5</c:v>
                </c:pt>
                <c:pt idx="441">
                  <c:v>3</c:v>
                </c:pt>
                <c:pt idx="442">
                  <c:v>6</c:v>
                </c:pt>
                <c:pt idx="443">
                  <c:v>4</c:v>
                </c:pt>
                <c:pt idx="444">
                  <c:v>3</c:v>
                </c:pt>
                <c:pt idx="445">
                  <c:v>3</c:v>
                </c:pt>
                <c:pt idx="446">
                  <c:v>6</c:v>
                </c:pt>
                <c:pt idx="447">
                  <c:v>6</c:v>
                </c:pt>
                <c:pt idx="448">
                  <c:v>15</c:v>
                </c:pt>
                <c:pt idx="449">
                  <c:v>15</c:v>
                </c:pt>
                <c:pt idx="450">
                  <c:v>5</c:v>
                </c:pt>
                <c:pt idx="451">
                  <c:v>9</c:v>
                </c:pt>
                <c:pt idx="452">
                  <c:v>4</c:v>
                </c:pt>
                <c:pt idx="453">
                  <c:v>13</c:v>
                </c:pt>
                <c:pt idx="454">
                  <c:v>5</c:v>
                </c:pt>
                <c:pt idx="455">
                  <c:v>3.5</c:v>
                </c:pt>
                <c:pt idx="456">
                  <c:v>4</c:v>
                </c:pt>
                <c:pt idx="457">
                  <c:v>5</c:v>
                </c:pt>
                <c:pt idx="458">
                  <c:v>5</c:v>
                </c:pt>
                <c:pt idx="459">
                  <c:v>4.5999999999999996</c:v>
                </c:pt>
                <c:pt idx="460">
                  <c:v>2</c:v>
                </c:pt>
                <c:pt idx="461">
                  <c:v>10</c:v>
                </c:pt>
                <c:pt idx="462">
                  <c:v>3.5</c:v>
                </c:pt>
                <c:pt idx="463">
                  <c:v>5</c:v>
                </c:pt>
                <c:pt idx="464">
                  <c:v>3</c:v>
                </c:pt>
                <c:pt idx="465">
                  <c:v>5</c:v>
                </c:pt>
                <c:pt idx="466">
                  <c:v>10</c:v>
                </c:pt>
                <c:pt idx="467">
                  <c:v>25</c:v>
                </c:pt>
                <c:pt idx="468">
                  <c:v>12</c:v>
                </c:pt>
                <c:pt idx="469">
                  <c:v>5</c:v>
                </c:pt>
                <c:pt idx="470">
                  <c:v>8</c:v>
                </c:pt>
                <c:pt idx="471">
                  <c:v>7</c:v>
                </c:pt>
                <c:pt idx="472">
                  <c:v>8</c:v>
                </c:pt>
                <c:pt idx="473">
                  <c:v>4</c:v>
                </c:pt>
                <c:pt idx="474">
                  <c:v>5</c:v>
                </c:pt>
                <c:pt idx="475">
                  <c:v>5</c:v>
                </c:pt>
                <c:pt idx="476">
                  <c:v>15</c:v>
                </c:pt>
                <c:pt idx="477">
                  <c:v>6</c:v>
                </c:pt>
                <c:pt idx="478">
                  <c:v>3</c:v>
                </c:pt>
                <c:pt idx="479">
                  <c:v>10</c:v>
                </c:pt>
                <c:pt idx="480">
                  <c:v>2</c:v>
                </c:pt>
                <c:pt idx="481">
                  <c:v>8</c:v>
                </c:pt>
                <c:pt idx="482">
                  <c:v>4</c:v>
                </c:pt>
                <c:pt idx="483">
                  <c:v>16</c:v>
                </c:pt>
                <c:pt idx="484">
                  <c:v>8</c:v>
                </c:pt>
                <c:pt idx="485">
                  <c:v>20</c:v>
                </c:pt>
                <c:pt idx="486">
                  <c:v>10</c:v>
                </c:pt>
                <c:pt idx="487">
                  <c:v>5</c:v>
                </c:pt>
                <c:pt idx="488">
                  <c:v>16</c:v>
                </c:pt>
                <c:pt idx="489">
                  <c:v>7</c:v>
                </c:pt>
                <c:pt idx="490">
                  <c:v>7</c:v>
                </c:pt>
                <c:pt idx="491">
                  <c:v>5</c:v>
                </c:pt>
                <c:pt idx="492">
                  <c:v>3</c:v>
                </c:pt>
                <c:pt idx="493">
                  <c:v>8</c:v>
                </c:pt>
                <c:pt idx="494">
                  <c:v>7</c:v>
                </c:pt>
                <c:pt idx="495">
                  <c:v>1</c:v>
                </c:pt>
                <c:pt idx="496">
                  <c:v>26</c:v>
                </c:pt>
                <c:pt idx="497">
                  <c:v>9</c:v>
                </c:pt>
                <c:pt idx="498">
                  <c:v>0</c:v>
                </c:pt>
                <c:pt idx="499">
                  <c:v>5</c:v>
                </c:pt>
                <c:pt idx="500">
                  <c:v>10</c:v>
                </c:pt>
                <c:pt idx="501">
                  <c:v>12</c:v>
                </c:pt>
                <c:pt idx="502">
                  <c:v>6</c:v>
                </c:pt>
                <c:pt idx="503">
                  <c:v>3.5</c:v>
                </c:pt>
                <c:pt idx="504">
                  <c:v>15</c:v>
                </c:pt>
                <c:pt idx="505">
                  <c:v>10</c:v>
                </c:pt>
                <c:pt idx="506">
                  <c:v>9</c:v>
                </c:pt>
                <c:pt idx="507">
                  <c:v>4</c:v>
                </c:pt>
                <c:pt idx="508">
                  <c:v>1</c:v>
                </c:pt>
                <c:pt idx="509">
                  <c:v>8</c:v>
                </c:pt>
                <c:pt idx="510">
                  <c:v>10</c:v>
                </c:pt>
                <c:pt idx="511">
                  <c:v>1</c:v>
                </c:pt>
                <c:pt idx="512">
                  <c:v>22</c:v>
                </c:pt>
                <c:pt idx="513">
                  <c:v>30</c:v>
                </c:pt>
                <c:pt idx="514">
                  <c:v>3</c:v>
                </c:pt>
                <c:pt idx="515">
                  <c:v>3</c:v>
                </c:pt>
                <c:pt idx="516">
                  <c:v>10</c:v>
                </c:pt>
                <c:pt idx="517">
                  <c:v>25</c:v>
                </c:pt>
                <c:pt idx="518">
                  <c:v>5</c:v>
                </c:pt>
                <c:pt idx="519">
                  <c:v>7</c:v>
                </c:pt>
                <c:pt idx="520">
                  <c:v>23</c:v>
                </c:pt>
                <c:pt idx="521">
                  <c:v>3</c:v>
                </c:pt>
                <c:pt idx="522">
                  <c:v>4</c:v>
                </c:pt>
                <c:pt idx="523">
                  <c:v>10</c:v>
                </c:pt>
                <c:pt idx="524">
                  <c:v>20</c:v>
                </c:pt>
                <c:pt idx="525">
                  <c:v>11</c:v>
                </c:pt>
                <c:pt idx="526">
                  <c:v>10</c:v>
                </c:pt>
                <c:pt idx="527">
                  <c:v>8</c:v>
                </c:pt>
                <c:pt idx="528">
                  <c:v>14</c:v>
                </c:pt>
                <c:pt idx="529">
                  <c:v>3</c:v>
                </c:pt>
                <c:pt idx="530">
                  <c:v>4</c:v>
                </c:pt>
                <c:pt idx="531">
                  <c:v>20</c:v>
                </c:pt>
                <c:pt idx="532">
                  <c:v>15</c:v>
                </c:pt>
                <c:pt idx="533">
                  <c:v>10</c:v>
                </c:pt>
                <c:pt idx="534">
                  <c:v>5</c:v>
                </c:pt>
                <c:pt idx="535">
                  <c:v>6</c:v>
                </c:pt>
                <c:pt idx="536">
                  <c:v>3</c:v>
                </c:pt>
                <c:pt idx="537">
                  <c:v>8</c:v>
                </c:pt>
                <c:pt idx="538">
                  <c:v>5</c:v>
                </c:pt>
                <c:pt idx="539">
                  <c:v>10</c:v>
                </c:pt>
                <c:pt idx="540">
                  <c:v>15</c:v>
                </c:pt>
                <c:pt idx="541">
                  <c:v>8</c:v>
                </c:pt>
                <c:pt idx="542">
                  <c:v>3</c:v>
                </c:pt>
                <c:pt idx="543">
                  <c:v>7</c:v>
                </c:pt>
                <c:pt idx="544">
                  <c:v>15</c:v>
                </c:pt>
                <c:pt idx="545">
                  <c:v>14</c:v>
                </c:pt>
                <c:pt idx="546">
                  <c:v>5</c:v>
                </c:pt>
                <c:pt idx="547">
                  <c:v>16</c:v>
                </c:pt>
                <c:pt idx="548">
                  <c:v>7</c:v>
                </c:pt>
                <c:pt idx="549">
                  <c:v>1</c:v>
                </c:pt>
                <c:pt idx="550">
                  <c:v>4</c:v>
                </c:pt>
                <c:pt idx="551">
                  <c:v>12</c:v>
                </c:pt>
                <c:pt idx="552">
                  <c:v>8</c:v>
                </c:pt>
                <c:pt idx="553">
                  <c:v>14</c:v>
                </c:pt>
                <c:pt idx="554">
                  <c:v>22</c:v>
                </c:pt>
                <c:pt idx="555">
                  <c:v>9</c:v>
                </c:pt>
                <c:pt idx="556">
                  <c:v>5</c:v>
                </c:pt>
                <c:pt idx="557">
                  <c:v>2</c:v>
                </c:pt>
                <c:pt idx="558">
                  <c:v>14</c:v>
                </c:pt>
                <c:pt idx="559">
                  <c:v>10</c:v>
                </c:pt>
                <c:pt idx="560">
                  <c:v>2</c:v>
                </c:pt>
                <c:pt idx="561">
                  <c:v>20</c:v>
                </c:pt>
                <c:pt idx="562">
                  <c:v>5</c:v>
                </c:pt>
                <c:pt idx="563">
                  <c:v>2</c:v>
                </c:pt>
                <c:pt idx="564">
                  <c:v>5</c:v>
                </c:pt>
                <c:pt idx="565">
                  <c:v>14</c:v>
                </c:pt>
                <c:pt idx="566">
                  <c:v>5</c:v>
                </c:pt>
                <c:pt idx="567">
                  <c:v>15</c:v>
                </c:pt>
                <c:pt idx="568">
                  <c:v>4</c:v>
                </c:pt>
                <c:pt idx="569">
                  <c:v>2</c:v>
                </c:pt>
                <c:pt idx="570">
                  <c:v>6</c:v>
                </c:pt>
                <c:pt idx="571">
                  <c:v>20</c:v>
                </c:pt>
                <c:pt idx="572">
                  <c:v>10</c:v>
                </c:pt>
                <c:pt idx="573">
                  <c:v>5</c:v>
                </c:pt>
                <c:pt idx="574">
                  <c:v>20</c:v>
                </c:pt>
                <c:pt idx="575">
                  <c:v>5</c:v>
                </c:pt>
                <c:pt idx="576">
                  <c:v>20</c:v>
                </c:pt>
                <c:pt idx="577">
                  <c:v>10</c:v>
                </c:pt>
                <c:pt idx="578">
                  <c:v>10</c:v>
                </c:pt>
                <c:pt idx="579">
                  <c:v>13</c:v>
                </c:pt>
                <c:pt idx="580">
                  <c:v>5</c:v>
                </c:pt>
                <c:pt idx="581">
                  <c:v>5</c:v>
                </c:pt>
                <c:pt idx="582">
                  <c:v>15</c:v>
                </c:pt>
                <c:pt idx="583">
                  <c:v>20</c:v>
                </c:pt>
                <c:pt idx="584">
                  <c:v>6</c:v>
                </c:pt>
                <c:pt idx="585">
                  <c:v>25</c:v>
                </c:pt>
                <c:pt idx="586">
                  <c:v>17</c:v>
                </c:pt>
                <c:pt idx="587">
                  <c:v>2</c:v>
                </c:pt>
                <c:pt idx="588">
                  <c:v>4</c:v>
                </c:pt>
                <c:pt idx="589">
                  <c:v>3</c:v>
                </c:pt>
                <c:pt idx="590">
                  <c:v>20</c:v>
                </c:pt>
                <c:pt idx="591">
                  <c:v>20</c:v>
                </c:pt>
                <c:pt idx="592">
                  <c:v>14</c:v>
                </c:pt>
                <c:pt idx="593">
                  <c:v>5</c:v>
                </c:pt>
                <c:pt idx="594">
                  <c:v>15</c:v>
                </c:pt>
                <c:pt idx="595">
                  <c:v>7</c:v>
                </c:pt>
                <c:pt idx="596">
                  <c:v>0.8</c:v>
                </c:pt>
                <c:pt idx="597">
                  <c:v>18</c:v>
                </c:pt>
                <c:pt idx="598">
                  <c:v>4</c:v>
                </c:pt>
                <c:pt idx="599">
                  <c:v>15</c:v>
                </c:pt>
                <c:pt idx="600">
                  <c:v>6</c:v>
                </c:pt>
                <c:pt idx="601">
                  <c:v>6</c:v>
                </c:pt>
                <c:pt idx="602">
                  <c:v>21</c:v>
                </c:pt>
                <c:pt idx="603">
                  <c:v>5</c:v>
                </c:pt>
                <c:pt idx="604">
                  <c:v>2</c:v>
                </c:pt>
                <c:pt idx="605">
                  <c:v>9</c:v>
                </c:pt>
                <c:pt idx="606">
                  <c:v>1</c:v>
                </c:pt>
                <c:pt idx="607">
                  <c:v>1.5</c:v>
                </c:pt>
                <c:pt idx="608">
                  <c:v>25</c:v>
                </c:pt>
                <c:pt idx="609">
                  <c:v>10</c:v>
                </c:pt>
                <c:pt idx="610">
                  <c:v>21</c:v>
                </c:pt>
                <c:pt idx="611">
                  <c:v>12</c:v>
                </c:pt>
                <c:pt idx="612">
                  <c:v>2</c:v>
                </c:pt>
                <c:pt idx="613">
                  <c:v>8</c:v>
                </c:pt>
                <c:pt idx="614">
                  <c:v>10</c:v>
                </c:pt>
                <c:pt idx="615">
                  <c:v>10</c:v>
                </c:pt>
                <c:pt idx="616">
                  <c:v>7</c:v>
                </c:pt>
                <c:pt idx="617">
                  <c:v>2</c:v>
                </c:pt>
                <c:pt idx="618">
                  <c:v>7.9</c:v>
                </c:pt>
                <c:pt idx="619">
                  <c:v>9</c:v>
                </c:pt>
                <c:pt idx="620">
                  <c:v>25</c:v>
                </c:pt>
                <c:pt idx="621">
                  <c:v>2</c:v>
                </c:pt>
                <c:pt idx="622">
                  <c:v>6</c:v>
                </c:pt>
                <c:pt idx="623">
                  <c:v>20</c:v>
                </c:pt>
                <c:pt idx="624">
                  <c:v>3</c:v>
                </c:pt>
                <c:pt idx="625">
                  <c:v>15</c:v>
                </c:pt>
                <c:pt idx="626">
                  <c:v>13</c:v>
                </c:pt>
                <c:pt idx="627">
                  <c:v>1.5</c:v>
                </c:pt>
                <c:pt idx="628">
                  <c:v>10</c:v>
                </c:pt>
                <c:pt idx="629">
                  <c:v>10</c:v>
                </c:pt>
                <c:pt idx="630">
                  <c:v>1</c:v>
                </c:pt>
                <c:pt idx="631">
                  <c:v>12</c:v>
                </c:pt>
                <c:pt idx="632">
                  <c:v>14</c:v>
                </c:pt>
                <c:pt idx="633">
                  <c:v>13</c:v>
                </c:pt>
                <c:pt idx="634">
                  <c:v>6</c:v>
                </c:pt>
                <c:pt idx="635">
                  <c:v>5</c:v>
                </c:pt>
                <c:pt idx="636">
                  <c:v>25</c:v>
                </c:pt>
                <c:pt idx="637">
                  <c:v>3</c:v>
                </c:pt>
                <c:pt idx="638">
                  <c:v>12</c:v>
                </c:pt>
                <c:pt idx="639">
                  <c:v>4</c:v>
                </c:pt>
                <c:pt idx="640">
                  <c:v>3</c:v>
                </c:pt>
                <c:pt idx="641">
                  <c:v>10</c:v>
                </c:pt>
                <c:pt idx="642">
                  <c:v>13</c:v>
                </c:pt>
                <c:pt idx="643">
                  <c:v>15</c:v>
                </c:pt>
                <c:pt idx="644">
                  <c:v>5</c:v>
                </c:pt>
                <c:pt idx="645">
                  <c:v>30</c:v>
                </c:pt>
                <c:pt idx="646">
                  <c:v>2</c:v>
                </c:pt>
                <c:pt idx="647">
                  <c:v>8.5</c:v>
                </c:pt>
                <c:pt idx="648">
                  <c:v>6</c:v>
                </c:pt>
                <c:pt idx="649">
                  <c:v>6</c:v>
                </c:pt>
                <c:pt idx="650">
                  <c:v>11</c:v>
                </c:pt>
                <c:pt idx="651">
                  <c:v>25</c:v>
                </c:pt>
                <c:pt idx="652">
                  <c:v>1</c:v>
                </c:pt>
                <c:pt idx="653">
                  <c:v>6</c:v>
                </c:pt>
                <c:pt idx="654">
                  <c:v>15</c:v>
                </c:pt>
                <c:pt idx="655">
                  <c:v>2</c:v>
                </c:pt>
                <c:pt idx="656">
                  <c:v>8</c:v>
                </c:pt>
                <c:pt idx="657">
                  <c:v>1</c:v>
                </c:pt>
                <c:pt idx="658">
                  <c:v>12</c:v>
                </c:pt>
                <c:pt idx="659">
                  <c:v>15</c:v>
                </c:pt>
                <c:pt idx="660">
                  <c:v>10</c:v>
                </c:pt>
                <c:pt idx="661">
                  <c:v>12</c:v>
                </c:pt>
                <c:pt idx="662">
                  <c:v>8</c:v>
                </c:pt>
                <c:pt idx="663">
                  <c:v>20</c:v>
                </c:pt>
                <c:pt idx="664">
                  <c:v>10</c:v>
                </c:pt>
                <c:pt idx="665">
                  <c:v>3</c:v>
                </c:pt>
                <c:pt idx="666">
                  <c:v>14</c:v>
                </c:pt>
                <c:pt idx="667">
                  <c:v>1</c:v>
                </c:pt>
                <c:pt idx="668">
                  <c:v>2</c:v>
                </c:pt>
                <c:pt idx="669">
                  <c:v>10</c:v>
                </c:pt>
                <c:pt idx="670">
                  <c:v>17</c:v>
                </c:pt>
                <c:pt idx="671">
                  <c:v>5</c:v>
                </c:pt>
                <c:pt idx="672">
                  <c:v>10</c:v>
                </c:pt>
                <c:pt idx="673">
                  <c:v>7</c:v>
                </c:pt>
                <c:pt idx="674">
                  <c:v>25</c:v>
                </c:pt>
                <c:pt idx="675">
                  <c:v>1</c:v>
                </c:pt>
                <c:pt idx="676">
                  <c:v>25</c:v>
                </c:pt>
                <c:pt idx="677">
                  <c:v>16</c:v>
                </c:pt>
                <c:pt idx="678">
                  <c:v>5</c:v>
                </c:pt>
                <c:pt idx="679">
                  <c:v>15</c:v>
                </c:pt>
                <c:pt idx="680">
                  <c:v>1</c:v>
                </c:pt>
                <c:pt idx="681">
                  <c:v>6</c:v>
                </c:pt>
                <c:pt idx="682">
                  <c:v>15</c:v>
                </c:pt>
                <c:pt idx="683">
                  <c:v>2</c:v>
                </c:pt>
                <c:pt idx="684">
                  <c:v>2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18</c:v>
                </c:pt>
                <c:pt idx="689">
                  <c:v>12</c:v>
                </c:pt>
                <c:pt idx="690">
                  <c:v>10</c:v>
                </c:pt>
                <c:pt idx="691">
                  <c:v>15</c:v>
                </c:pt>
                <c:pt idx="692">
                  <c:v>4</c:v>
                </c:pt>
                <c:pt idx="693">
                  <c:v>20</c:v>
                </c:pt>
                <c:pt idx="694">
                  <c:v>3</c:v>
                </c:pt>
                <c:pt idx="695">
                  <c:v>2</c:v>
                </c:pt>
                <c:pt idx="696">
                  <c:v>8</c:v>
                </c:pt>
                <c:pt idx="697">
                  <c:v>7</c:v>
                </c:pt>
                <c:pt idx="698">
                  <c:v>12</c:v>
                </c:pt>
                <c:pt idx="699">
                  <c:v>29</c:v>
                </c:pt>
                <c:pt idx="700">
                  <c:v>20</c:v>
                </c:pt>
                <c:pt idx="701">
                  <c:v>10</c:v>
                </c:pt>
                <c:pt idx="702">
                  <c:v>6</c:v>
                </c:pt>
                <c:pt idx="703">
                  <c:v>3</c:v>
                </c:pt>
                <c:pt idx="704">
                  <c:v>10</c:v>
                </c:pt>
                <c:pt idx="705">
                  <c:v>10</c:v>
                </c:pt>
                <c:pt idx="706">
                  <c:v>8</c:v>
                </c:pt>
                <c:pt idx="707">
                  <c:v>27</c:v>
                </c:pt>
                <c:pt idx="708">
                  <c:v>6</c:v>
                </c:pt>
                <c:pt idx="709">
                  <c:v>12</c:v>
                </c:pt>
                <c:pt idx="710">
                  <c:v>5</c:v>
                </c:pt>
                <c:pt idx="711">
                  <c:v>3</c:v>
                </c:pt>
                <c:pt idx="712">
                  <c:v>10</c:v>
                </c:pt>
                <c:pt idx="713">
                  <c:v>12</c:v>
                </c:pt>
                <c:pt idx="714">
                  <c:v>4</c:v>
                </c:pt>
                <c:pt idx="715">
                  <c:v>7</c:v>
                </c:pt>
                <c:pt idx="716">
                  <c:v>12</c:v>
                </c:pt>
                <c:pt idx="717">
                  <c:v>1</c:v>
                </c:pt>
                <c:pt idx="718">
                  <c:v>15</c:v>
                </c:pt>
                <c:pt idx="719">
                  <c:v>2</c:v>
                </c:pt>
                <c:pt idx="720">
                  <c:v>1.5</c:v>
                </c:pt>
                <c:pt idx="721">
                  <c:v>8</c:v>
                </c:pt>
                <c:pt idx="722">
                  <c:v>6</c:v>
                </c:pt>
                <c:pt idx="723">
                  <c:v>7</c:v>
                </c:pt>
                <c:pt idx="724">
                  <c:v>17</c:v>
                </c:pt>
                <c:pt idx="725">
                  <c:v>10</c:v>
                </c:pt>
                <c:pt idx="726">
                  <c:v>30</c:v>
                </c:pt>
                <c:pt idx="727">
                  <c:v>5</c:v>
                </c:pt>
                <c:pt idx="728">
                  <c:v>2</c:v>
                </c:pt>
                <c:pt idx="729">
                  <c:v>10</c:v>
                </c:pt>
                <c:pt idx="730">
                  <c:v>4.5</c:v>
                </c:pt>
                <c:pt idx="731">
                  <c:v>8</c:v>
                </c:pt>
                <c:pt idx="732">
                  <c:v>3</c:v>
                </c:pt>
                <c:pt idx="733">
                  <c:v>6</c:v>
                </c:pt>
                <c:pt idx="734">
                  <c:v>5</c:v>
                </c:pt>
                <c:pt idx="735">
                  <c:v>20</c:v>
                </c:pt>
                <c:pt idx="736">
                  <c:v>2</c:v>
                </c:pt>
                <c:pt idx="737">
                  <c:v>9</c:v>
                </c:pt>
                <c:pt idx="738">
                  <c:v>28</c:v>
                </c:pt>
                <c:pt idx="739">
                  <c:v>25</c:v>
                </c:pt>
                <c:pt idx="740">
                  <c:v>7</c:v>
                </c:pt>
                <c:pt idx="741">
                  <c:v>10</c:v>
                </c:pt>
                <c:pt idx="742">
                  <c:v>0.1</c:v>
                </c:pt>
                <c:pt idx="743">
                  <c:v>10</c:v>
                </c:pt>
                <c:pt idx="744">
                  <c:v>0.5</c:v>
                </c:pt>
                <c:pt idx="745">
                  <c:v>0.6</c:v>
                </c:pt>
                <c:pt idx="746">
                  <c:v>1</c:v>
                </c:pt>
                <c:pt idx="747">
                  <c:v>7</c:v>
                </c:pt>
                <c:pt idx="748">
                  <c:v>2</c:v>
                </c:pt>
                <c:pt idx="749">
                  <c:v>16</c:v>
                </c:pt>
                <c:pt idx="750">
                  <c:v>4</c:v>
                </c:pt>
                <c:pt idx="751">
                  <c:v>12</c:v>
                </c:pt>
                <c:pt idx="752">
                  <c:v>4</c:v>
                </c:pt>
                <c:pt idx="753">
                  <c:v>15</c:v>
                </c:pt>
                <c:pt idx="754">
                  <c:v>5</c:v>
                </c:pt>
                <c:pt idx="755">
                  <c:v>20</c:v>
                </c:pt>
                <c:pt idx="756">
                  <c:v>3</c:v>
                </c:pt>
                <c:pt idx="757">
                  <c:v>5</c:v>
                </c:pt>
                <c:pt idx="758">
                  <c:v>2</c:v>
                </c:pt>
                <c:pt idx="759">
                  <c:v>7</c:v>
                </c:pt>
                <c:pt idx="760">
                  <c:v>21</c:v>
                </c:pt>
                <c:pt idx="761">
                  <c:v>12</c:v>
                </c:pt>
                <c:pt idx="762">
                  <c:v>4</c:v>
                </c:pt>
                <c:pt idx="763">
                  <c:v>4</c:v>
                </c:pt>
                <c:pt idx="764">
                  <c:v>4.5</c:v>
                </c:pt>
                <c:pt idx="765">
                  <c:v>6.4</c:v>
                </c:pt>
                <c:pt idx="766">
                  <c:v>15</c:v>
                </c:pt>
                <c:pt idx="767">
                  <c:v>6</c:v>
                </c:pt>
                <c:pt idx="768">
                  <c:v>5</c:v>
                </c:pt>
                <c:pt idx="769">
                  <c:v>15</c:v>
                </c:pt>
                <c:pt idx="770">
                  <c:v>14</c:v>
                </c:pt>
                <c:pt idx="771">
                  <c:v>3</c:v>
                </c:pt>
                <c:pt idx="772">
                  <c:v>5.5</c:v>
                </c:pt>
                <c:pt idx="773">
                  <c:v>2</c:v>
                </c:pt>
                <c:pt idx="774">
                  <c:v>30</c:v>
                </c:pt>
                <c:pt idx="775">
                  <c:v>15</c:v>
                </c:pt>
                <c:pt idx="776">
                  <c:v>20</c:v>
                </c:pt>
                <c:pt idx="777">
                  <c:v>7</c:v>
                </c:pt>
                <c:pt idx="778">
                  <c:v>8</c:v>
                </c:pt>
                <c:pt idx="779">
                  <c:v>10</c:v>
                </c:pt>
                <c:pt idx="780">
                  <c:v>1</c:v>
                </c:pt>
                <c:pt idx="781">
                  <c:v>7</c:v>
                </c:pt>
                <c:pt idx="782">
                  <c:v>25</c:v>
                </c:pt>
                <c:pt idx="783">
                  <c:v>12</c:v>
                </c:pt>
                <c:pt idx="784">
                  <c:v>5.6</c:v>
                </c:pt>
                <c:pt idx="785">
                  <c:v>12</c:v>
                </c:pt>
                <c:pt idx="786">
                  <c:v>8</c:v>
                </c:pt>
                <c:pt idx="787">
                  <c:v>30</c:v>
                </c:pt>
                <c:pt idx="788">
                  <c:v>15</c:v>
                </c:pt>
                <c:pt idx="789">
                  <c:v>10</c:v>
                </c:pt>
                <c:pt idx="790">
                  <c:v>15</c:v>
                </c:pt>
                <c:pt idx="791">
                  <c:v>3</c:v>
                </c:pt>
                <c:pt idx="792">
                  <c:v>1</c:v>
                </c:pt>
                <c:pt idx="793">
                  <c:v>20</c:v>
                </c:pt>
                <c:pt idx="794">
                  <c:v>7</c:v>
                </c:pt>
                <c:pt idx="795">
                  <c:v>33</c:v>
                </c:pt>
                <c:pt idx="796">
                  <c:v>0.5</c:v>
                </c:pt>
                <c:pt idx="797">
                  <c:v>22</c:v>
                </c:pt>
                <c:pt idx="798">
                  <c:v>8</c:v>
                </c:pt>
                <c:pt idx="799">
                  <c:v>17</c:v>
                </c:pt>
                <c:pt idx="800">
                  <c:v>20</c:v>
                </c:pt>
                <c:pt idx="801">
                  <c:v>12</c:v>
                </c:pt>
                <c:pt idx="802">
                  <c:v>25</c:v>
                </c:pt>
                <c:pt idx="803">
                  <c:v>5</c:v>
                </c:pt>
                <c:pt idx="804">
                  <c:v>22</c:v>
                </c:pt>
                <c:pt idx="805">
                  <c:v>14</c:v>
                </c:pt>
                <c:pt idx="806">
                  <c:v>7</c:v>
                </c:pt>
                <c:pt idx="807">
                  <c:v>6</c:v>
                </c:pt>
                <c:pt idx="808">
                  <c:v>15</c:v>
                </c:pt>
                <c:pt idx="809">
                  <c:v>25</c:v>
                </c:pt>
                <c:pt idx="810">
                  <c:v>15</c:v>
                </c:pt>
                <c:pt idx="811">
                  <c:v>30</c:v>
                </c:pt>
                <c:pt idx="812">
                  <c:v>15</c:v>
                </c:pt>
                <c:pt idx="813">
                  <c:v>6</c:v>
                </c:pt>
                <c:pt idx="814">
                  <c:v>7</c:v>
                </c:pt>
                <c:pt idx="815">
                  <c:v>10</c:v>
                </c:pt>
                <c:pt idx="816">
                  <c:v>10</c:v>
                </c:pt>
                <c:pt idx="817">
                  <c:v>6</c:v>
                </c:pt>
                <c:pt idx="818">
                  <c:v>14</c:v>
                </c:pt>
                <c:pt idx="819">
                  <c:v>25</c:v>
                </c:pt>
                <c:pt idx="820">
                  <c:v>10</c:v>
                </c:pt>
                <c:pt idx="821">
                  <c:v>8</c:v>
                </c:pt>
                <c:pt idx="822">
                  <c:v>30</c:v>
                </c:pt>
                <c:pt idx="823">
                  <c:v>8</c:v>
                </c:pt>
                <c:pt idx="824">
                  <c:v>10</c:v>
                </c:pt>
                <c:pt idx="825">
                  <c:v>14</c:v>
                </c:pt>
                <c:pt idx="826">
                  <c:v>1</c:v>
                </c:pt>
                <c:pt idx="827">
                  <c:v>1</c:v>
                </c:pt>
                <c:pt idx="828">
                  <c:v>15</c:v>
                </c:pt>
                <c:pt idx="829">
                  <c:v>4</c:v>
                </c:pt>
                <c:pt idx="830">
                  <c:v>30</c:v>
                </c:pt>
                <c:pt idx="831">
                  <c:v>21</c:v>
                </c:pt>
                <c:pt idx="832">
                  <c:v>13</c:v>
                </c:pt>
                <c:pt idx="833">
                  <c:v>20</c:v>
                </c:pt>
                <c:pt idx="834">
                  <c:v>15</c:v>
                </c:pt>
                <c:pt idx="835">
                  <c:v>10</c:v>
                </c:pt>
                <c:pt idx="836">
                  <c:v>29</c:v>
                </c:pt>
                <c:pt idx="837">
                  <c:v>6</c:v>
                </c:pt>
                <c:pt idx="838">
                  <c:v>12</c:v>
                </c:pt>
                <c:pt idx="839">
                  <c:v>20</c:v>
                </c:pt>
                <c:pt idx="840">
                  <c:v>5</c:v>
                </c:pt>
                <c:pt idx="841">
                  <c:v>1</c:v>
                </c:pt>
                <c:pt idx="842">
                  <c:v>20</c:v>
                </c:pt>
                <c:pt idx="843">
                  <c:v>7</c:v>
                </c:pt>
                <c:pt idx="844">
                  <c:v>2</c:v>
                </c:pt>
                <c:pt idx="845">
                  <c:v>16</c:v>
                </c:pt>
                <c:pt idx="846">
                  <c:v>9</c:v>
                </c:pt>
                <c:pt idx="847">
                  <c:v>12</c:v>
                </c:pt>
                <c:pt idx="848">
                  <c:v>10</c:v>
                </c:pt>
                <c:pt idx="849">
                  <c:v>9</c:v>
                </c:pt>
                <c:pt idx="850">
                  <c:v>10</c:v>
                </c:pt>
                <c:pt idx="851">
                  <c:v>3</c:v>
                </c:pt>
                <c:pt idx="852">
                  <c:v>10</c:v>
                </c:pt>
                <c:pt idx="853">
                  <c:v>20</c:v>
                </c:pt>
                <c:pt idx="854">
                  <c:v>5.5</c:v>
                </c:pt>
                <c:pt idx="855">
                  <c:v>8</c:v>
                </c:pt>
                <c:pt idx="856">
                  <c:v>2</c:v>
                </c:pt>
                <c:pt idx="857">
                  <c:v>25</c:v>
                </c:pt>
                <c:pt idx="858">
                  <c:v>11</c:v>
                </c:pt>
                <c:pt idx="859">
                  <c:v>5</c:v>
                </c:pt>
                <c:pt idx="860">
                  <c:v>18</c:v>
                </c:pt>
                <c:pt idx="861">
                  <c:v>1.5</c:v>
                </c:pt>
                <c:pt idx="862">
                  <c:v>5</c:v>
                </c:pt>
                <c:pt idx="863">
                  <c:v>3</c:v>
                </c:pt>
                <c:pt idx="864">
                  <c:v>5</c:v>
                </c:pt>
                <c:pt idx="865">
                  <c:v>4</c:v>
                </c:pt>
                <c:pt idx="866">
                  <c:v>20</c:v>
                </c:pt>
                <c:pt idx="867">
                  <c:v>7</c:v>
                </c:pt>
                <c:pt idx="868">
                  <c:v>4</c:v>
                </c:pt>
                <c:pt idx="869">
                  <c:v>36</c:v>
                </c:pt>
                <c:pt idx="870">
                  <c:v>8</c:v>
                </c:pt>
                <c:pt idx="871">
                  <c:v>0</c:v>
                </c:pt>
                <c:pt idx="872">
                  <c:v>10</c:v>
                </c:pt>
                <c:pt idx="873">
                  <c:v>10</c:v>
                </c:pt>
                <c:pt idx="874">
                  <c:v>6</c:v>
                </c:pt>
                <c:pt idx="875">
                  <c:v>2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2</c:v>
                </c:pt>
                <c:pt idx="880">
                  <c:v>6</c:v>
                </c:pt>
                <c:pt idx="881">
                  <c:v>15</c:v>
                </c:pt>
                <c:pt idx="882">
                  <c:v>6</c:v>
                </c:pt>
                <c:pt idx="883">
                  <c:v>12</c:v>
                </c:pt>
                <c:pt idx="884">
                  <c:v>5</c:v>
                </c:pt>
                <c:pt idx="885">
                  <c:v>7</c:v>
                </c:pt>
                <c:pt idx="886">
                  <c:v>11</c:v>
                </c:pt>
                <c:pt idx="887">
                  <c:v>5</c:v>
                </c:pt>
                <c:pt idx="888">
                  <c:v>10</c:v>
                </c:pt>
                <c:pt idx="889">
                  <c:v>35</c:v>
                </c:pt>
                <c:pt idx="890">
                  <c:v>7</c:v>
                </c:pt>
                <c:pt idx="891">
                  <c:v>1.6</c:v>
                </c:pt>
                <c:pt idx="892">
                  <c:v>7</c:v>
                </c:pt>
                <c:pt idx="893">
                  <c:v>20</c:v>
                </c:pt>
                <c:pt idx="894">
                  <c:v>2</c:v>
                </c:pt>
                <c:pt idx="895">
                  <c:v>3</c:v>
                </c:pt>
                <c:pt idx="896">
                  <c:v>6</c:v>
                </c:pt>
                <c:pt idx="897">
                  <c:v>2</c:v>
                </c:pt>
                <c:pt idx="898">
                  <c:v>19</c:v>
                </c:pt>
                <c:pt idx="899">
                  <c:v>10</c:v>
                </c:pt>
                <c:pt idx="900">
                  <c:v>9</c:v>
                </c:pt>
                <c:pt idx="901">
                  <c:v>15</c:v>
                </c:pt>
                <c:pt idx="902">
                  <c:v>14</c:v>
                </c:pt>
                <c:pt idx="903">
                  <c:v>13</c:v>
                </c:pt>
                <c:pt idx="904">
                  <c:v>4</c:v>
                </c:pt>
                <c:pt idx="905">
                  <c:v>12</c:v>
                </c:pt>
                <c:pt idx="906">
                  <c:v>10</c:v>
                </c:pt>
                <c:pt idx="907">
                  <c:v>10</c:v>
                </c:pt>
                <c:pt idx="908">
                  <c:v>8</c:v>
                </c:pt>
                <c:pt idx="909">
                  <c:v>17</c:v>
                </c:pt>
                <c:pt idx="910">
                  <c:v>13</c:v>
                </c:pt>
                <c:pt idx="911">
                  <c:v>8</c:v>
                </c:pt>
                <c:pt idx="912">
                  <c:v>7</c:v>
                </c:pt>
                <c:pt idx="913">
                  <c:v>10</c:v>
                </c:pt>
                <c:pt idx="914">
                  <c:v>4</c:v>
                </c:pt>
                <c:pt idx="915">
                  <c:v>20</c:v>
                </c:pt>
                <c:pt idx="916">
                  <c:v>5</c:v>
                </c:pt>
                <c:pt idx="917">
                  <c:v>8</c:v>
                </c:pt>
                <c:pt idx="918">
                  <c:v>5</c:v>
                </c:pt>
                <c:pt idx="919">
                  <c:v>2</c:v>
                </c:pt>
                <c:pt idx="920">
                  <c:v>8</c:v>
                </c:pt>
                <c:pt idx="921">
                  <c:v>14</c:v>
                </c:pt>
                <c:pt idx="922">
                  <c:v>10</c:v>
                </c:pt>
                <c:pt idx="923">
                  <c:v>6</c:v>
                </c:pt>
                <c:pt idx="924">
                  <c:v>21</c:v>
                </c:pt>
                <c:pt idx="925">
                  <c:v>15</c:v>
                </c:pt>
                <c:pt idx="926">
                  <c:v>5</c:v>
                </c:pt>
                <c:pt idx="927">
                  <c:v>1</c:v>
                </c:pt>
                <c:pt idx="928">
                  <c:v>3</c:v>
                </c:pt>
                <c:pt idx="929">
                  <c:v>10</c:v>
                </c:pt>
                <c:pt idx="930">
                  <c:v>4</c:v>
                </c:pt>
                <c:pt idx="931">
                  <c:v>15</c:v>
                </c:pt>
                <c:pt idx="932">
                  <c:v>15</c:v>
                </c:pt>
                <c:pt idx="933">
                  <c:v>20</c:v>
                </c:pt>
                <c:pt idx="934">
                  <c:v>10</c:v>
                </c:pt>
                <c:pt idx="935">
                  <c:v>1.5</c:v>
                </c:pt>
                <c:pt idx="936">
                  <c:v>5</c:v>
                </c:pt>
                <c:pt idx="937">
                  <c:v>22</c:v>
                </c:pt>
                <c:pt idx="938">
                  <c:v>18</c:v>
                </c:pt>
                <c:pt idx="939">
                  <c:v>2</c:v>
                </c:pt>
                <c:pt idx="940">
                  <c:v>27</c:v>
                </c:pt>
                <c:pt idx="941">
                  <c:v>3</c:v>
                </c:pt>
                <c:pt idx="942">
                  <c:v>8</c:v>
                </c:pt>
                <c:pt idx="943">
                  <c:v>6</c:v>
                </c:pt>
                <c:pt idx="944">
                  <c:v>14</c:v>
                </c:pt>
                <c:pt idx="945">
                  <c:v>11</c:v>
                </c:pt>
                <c:pt idx="946">
                  <c:v>3</c:v>
                </c:pt>
                <c:pt idx="947">
                  <c:v>8</c:v>
                </c:pt>
                <c:pt idx="948">
                  <c:v>8</c:v>
                </c:pt>
                <c:pt idx="949">
                  <c:v>30</c:v>
                </c:pt>
                <c:pt idx="950">
                  <c:v>0</c:v>
                </c:pt>
                <c:pt idx="951">
                  <c:v>3</c:v>
                </c:pt>
                <c:pt idx="952">
                  <c:v>5</c:v>
                </c:pt>
                <c:pt idx="953">
                  <c:v>18</c:v>
                </c:pt>
                <c:pt idx="954">
                  <c:v>6</c:v>
                </c:pt>
                <c:pt idx="955">
                  <c:v>14</c:v>
                </c:pt>
                <c:pt idx="956">
                  <c:v>15</c:v>
                </c:pt>
                <c:pt idx="957">
                  <c:v>15</c:v>
                </c:pt>
                <c:pt idx="958">
                  <c:v>8</c:v>
                </c:pt>
                <c:pt idx="959">
                  <c:v>5</c:v>
                </c:pt>
                <c:pt idx="960">
                  <c:v>4</c:v>
                </c:pt>
                <c:pt idx="961">
                  <c:v>5</c:v>
                </c:pt>
                <c:pt idx="962">
                  <c:v>5</c:v>
                </c:pt>
                <c:pt idx="963">
                  <c:v>8</c:v>
                </c:pt>
                <c:pt idx="964">
                  <c:v>7</c:v>
                </c:pt>
                <c:pt idx="965">
                  <c:v>10</c:v>
                </c:pt>
                <c:pt idx="966">
                  <c:v>3</c:v>
                </c:pt>
                <c:pt idx="967">
                  <c:v>5</c:v>
                </c:pt>
                <c:pt idx="968">
                  <c:v>17</c:v>
                </c:pt>
                <c:pt idx="969">
                  <c:v>7</c:v>
                </c:pt>
                <c:pt idx="970">
                  <c:v>5</c:v>
                </c:pt>
                <c:pt idx="971">
                  <c:v>15</c:v>
                </c:pt>
                <c:pt idx="972">
                  <c:v>8</c:v>
                </c:pt>
                <c:pt idx="973">
                  <c:v>10</c:v>
                </c:pt>
                <c:pt idx="974">
                  <c:v>15</c:v>
                </c:pt>
                <c:pt idx="975">
                  <c:v>5</c:v>
                </c:pt>
                <c:pt idx="976">
                  <c:v>2</c:v>
                </c:pt>
                <c:pt idx="977">
                  <c:v>5</c:v>
                </c:pt>
                <c:pt idx="978">
                  <c:v>25</c:v>
                </c:pt>
                <c:pt idx="979">
                  <c:v>30</c:v>
                </c:pt>
                <c:pt idx="980">
                  <c:v>8</c:v>
                </c:pt>
                <c:pt idx="981">
                  <c:v>4</c:v>
                </c:pt>
                <c:pt idx="982">
                  <c:v>1</c:v>
                </c:pt>
                <c:pt idx="983">
                  <c:v>8</c:v>
                </c:pt>
                <c:pt idx="984">
                  <c:v>15</c:v>
                </c:pt>
                <c:pt idx="985">
                  <c:v>9</c:v>
                </c:pt>
                <c:pt idx="986">
                  <c:v>8</c:v>
                </c:pt>
                <c:pt idx="987">
                  <c:v>5</c:v>
                </c:pt>
                <c:pt idx="988">
                  <c:v>10</c:v>
                </c:pt>
                <c:pt idx="989">
                  <c:v>2</c:v>
                </c:pt>
                <c:pt idx="990">
                  <c:v>30</c:v>
                </c:pt>
                <c:pt idx="991">
                  <c:v>15</c:v>
                </c:pt>
                <c:pt idx="992">
                  <c:v>3</c:v>
                </c:pt>
                <c:pt idx="993">
                  <c:v>8</c:v>
                </c:pt>
                <c:pt idx="994">
                  <c:v>15</c:v>
                </c:pt>
                <c:pt idx="995">
                  <c:v>7</c:v>
                </c:pt>
                <c:pt idx="996">
                  <c:v>10</c:v>
                </c:pt>
                <c:pt idx="997">
                  <c:v>20</c:v>
                </c:pt>
                <c:pt idx="998">
                  <c:v>6</c:v>
                </c:pt>
                <c:pt idx="999">
                  <c:v>30</c:v>
                </c:pt>
                <c:pt idx="1000">
                  <c:v>5</c:v>
                </c:pt>
                <c:pt idx="1001">
                  <c:v>8</c:v>
                </c:pt>
                <c:pt idx="1002">
                  <c:v>3.5</c:v>
                </c:pt>
                <c:pt idx="1003">
                  <c:v>2.5</c:v>
                </c:pt>
                <c:pt idx="1004">
                  <c:v>6</c:v>
                </c:pt>
                <c:pt idx="1005">
                  <c:v>6</c:v>
                </c:pt>
                <c:pt idx="1006">
                  <c:v>5</c:v>
                </c:pt>
                <c:pt idx="1007">
                  <c:v>9</c:v>
                </c:pt>
                <c:pt idx="1008">
                  <c:v>4</c:v>
                </c:pt>
                <c:pt idx="1009">
                  <c:v>6</c:v>
                </c:pt>
                <c:pt idx="1010">
                  <c:v>5</c:v>
                </c:pt>
                <c:pt idx="1011">
                  <c:v>10</c:v>
                </c:pt>
                <c:pt idx="1012">
                  <c:v>12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12</c:v>
                </c:pt>
                <c:pt idx="1017">
                  <c:v>12</c:v>
                </c:pt>
                <c:pt idx="1018">
                  <c:v>1</c:v>
                </c:pt>
                <c:pt idx="1019">
                  <c:v>3</c:v>
                </c:pt>
                <c:pt idx="1020">
                  <c:v>10</c:v>
                </c:pt>
                <c:pt idx="1021">
                  <c:v>15</c:v>
                </c:pt>
                <c:pt idx="1022">
                  <c:v>2</c:v>
                </c:pt>
                <c:pt idx="1023">
                  <c:v>1</c:v>
                </c:pt>
                <c:pt idx="1024">
                  <c:v>1</c:v>
                </c:pt>
                <c:pt idx="1025">
                  <c:v>20</c:v>
                </c:pt>
                <c:pt idx="1026">
                  <c:v>5</c:v>
                </c:pt>
                <c:pt idx="1027">
                  <c:v>1</c:v>
                </c:pt>
                <c:pt idx="1028">
                  <c:v>1</c:v>
                </c:pt>
                <c:pt idx="1029">
                  <c:v>10</c:v>
                </c:pt>
                <c:pt idx="1030">
                  <c:v>2</c:v>
                </c:pt>
                <c:pt idx="1031">
                  <c:v>12</c:v>
                </c:pt>
                <c:pt idx="1032">
                  <c:v>8</c:v>
                </c:pt>
                <c:pt idx="1033">
                  <c:v>4</c:v>
                </c:pt>
                <c:pt idx="1034">
                  <c:v>5</c:v>
                </c:pt>
                <c:pt idx="1035">
                  <c:v>8</c:v>
                </c:pt>
                <c:pt idx="1036">
                  <c:v>1</c:v>
                </c:pt>
                <c:pt idx="1037">
                  <c:v>12</c:v>
                </c:pt>
                <c:pt idx="1038">
                  <c:v>2.5</c:v>
                </c:pt>
                <c:pt idx="1039">
                  <c:v>9</c:v>
                </c:pt>
                <c:pt idx="1040">
                  <c:v>2</c:v>
                </c:pt>
                <c:pt idx="1041">
                  <c:v>1</c:v>
                </c:pt>
                <c:pt idx="1042">
                  <c:v>16</c:v>
                </c:pt>
                <c:pt idx="1043">
                  <c:v>5</c:v>
                </c:pt>
                <c:pt idx="1044">
                  <c:v>7</c:v>
                </c:pt>
                <c:pt idx="1045">
                  <c:v>5</c:v>
                </c:pt>
                <c:pt idx="1046">
                  <c:v>5</c:v>
                </c:pt>
                <c:pt idx="1047">
                  <c:v>4</c:v>
                </c:pt>
                <c:pt idx="1048">
                  <c:v>7</c:v>
                </c:pt>
                <c:pt idx="1049">
                  <c:v>18</c:v>
                </c:pt>
                <c:pt idx="1050">
                  <c:v>10</c:v>
                </c:pt>
                <c:pt idx="1051">
                  <c:v>9</c:v>
                </c:pt>
                <c:pt idx="1052">
                  <c:v>13</c:v>
                </c:pt>
                <c:pt idx="1053">
                  <c:v>10</c:v>
                </c:pt>
                <c:pt idx="1054">
                  <c:v>4</c:v>
                </c:pt>
                <c:pt idx="1055">
                  <c:v>5</c:v>
                </c:pt>
                <c:pt idx="1056">
                  <c:v>3</c:v>
                </c:pt>
                <c:pt idx="1057">
                  <c:v>5</c:v>
                </c:pt>
                <c:pt idx="1058">
                  <c:v>4</c:v>
                </c:pt>
                <c:pt idx="1059">
                  <c:v>3</c:v>
                </c:pt>
                <c:pt idx="1060">
                  <c:v>4</c:v>
                </c:pt>
                <c:pt idx="1061">
                  <c:v>3</c:v>
                </c:pt>
                <c:pt idx="1062">
                  <c:v>5</c:v>
                </c:pt>
                <c:pt idx="1063">
                  <c:v>3</c:v>
                </c:pt>
                <c:pt idx="1064">
                  <c:v>1</c:v>
                </c:pt>
                <c:pt idx="1065">
                  <c:v>9</c:v>
                </c:pt>
                <c:pt idx="1066">
                  <c:v>14</c:v>
                </c:pt>
                <c:pt idx="1067">
                  <c:v>15</c:v>
                </c:pt>
                <c:pt idx="1068">
                  <c:v>2</c:v>
                </c:pt>
                <c:pt idx="1069">
                  <c:v>8</c:v>
                </c:pt>
                <c:pt idx="1070">
                  <c:v>6</c:v>
                </c:pt>
                <c:pt idx="1071">
                  <c:v>15</c:v>
                </c:pt>
                <c:pt idx="1072">
                  <c:v>20</c:v>
                </c:pt>
                <c:pt idx="1073">
                  <c:v>23</c:v>
                </c:pt>
                <c:pt idx="1074">
                  <c:v>2.5</c:v>
                </c:pt>
                <c:pt idx="1075">
                  <c:v>17</c:v>
                </c:pt>
                <c:pt idx="1076">
                  <c:v>11</c:v>
                </c:pt>
                <c:pt idx="1077">
                  <c:v>1</c:v>
                </c:pt>
                <c:pt idx="1078">
                  <c:v>6</c:v>
                </c:pt>
                <c:pt idx="1079">
                  <c:v>12</c:v>
                </c:pt>
                <c:pt idx="1080">
                  <c:v>10</c:v>
                </c:pt>
                <c:pt idx="1081">
                  <c:v>8</c:v>
                </c:pt>
                <c:pt idx="1082">
                  <c:v>12</c:v>
                </c:pt>
                <c:pt idx="1083">
                  <c:v>3</c:v>
                </c:pt>
                <c:pt idx="1084">
                  <c:v>3</c:v>
                </c:pt>
                <c:pt idx="1085">
                  <c:v>15</c:v>
                </c:pt>
                <c:pt idx="1086">
                  <c:v>10</c:v>
                </c:pt>
                <c:pt idx="1087">
                  <c:v>5</c:v>
                </c:pt>
                <c:pt idx="1088">
                  <c:v>8</c:v>
                </c:pt>
                <c:pt idx="1089">
                  <c:v>2</c:v>
                </c:pt>
                <c:pt idx="1090">
                  <c:v>1</c:v>
                </c:pt>
                <c:pt idx="1091">
                  <c:v>6</c:v>
                </c:pt>
                <c:pt idx="1092">
                  <c:v>25</c:v>
                </c:pt>
                <c:pt idx="1093">
                  <c:v>5</c:v>
                </c:pt>
                <c:pt idx="1094">
                  <c:v>6</c:v>
                </c:pt>
                <c:pt idx="1095">
                  <c:v>6</c:v>
                </c:pt>
                <c:pt idx="1096">
                  <c:v>4</c:v>
                </c:pt>
                <c:pt idx="1097">
                  <c:v>16</c:v>
                </c:pt>
                <c:pt idx="1098">
                  <c:v>12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8</c:v>
                </c:pt>
                <c:pt idx="1103">
                  <c:v>5</c:v>
                </c:pt>
                <c:pt idx="1104">
                  <c:v>12</c:v>
                </c:pt>
                <c:pt idx="1105">
                  <c:v>10</c:v>
                </c:pt>
                <c:pt idx="1106">
                  <c:v>8</c:v>
                </c:pt>
                <c:pt idx="1107">
                  <c:v>3</c:v>
                </c:pt>
                <c:pt idx="1108">
                  <c:v>9</c:v>
                </c:pt>
                <c:pt idx="1109">
                  <c:v>3</c:v>
                </c:pt>
                <c:pt idx="1110">
                  <c:v>8</c:v>
                </c:pt>
                <c:pt idx="1111">
                  <c:v>4</c:v>
                </c:pt>
                <c:pt idx="1112">
                  <c:v>4</c:v>
                </c:pt>
                <c:pt idx="1113">
                  <c:v>1.5</c:v>
                </c:pt>
                <c:pt idx="1114">
                  <c:v>5</c:v>
                </c:pt>
                <c:pt idx="1115">
                  <c:v>1</c:v>
                </c:pt>
                <c:pt idx="1116">
                  <c:v>4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2</c:v>
                </c:pt>
                <c:pt idx="1121">
                  <c:v>1</c:v>
                </c:pt>
                <c:pt idx="1122">
                  <c:v>5</c:v>
                </c:pt>
                <c:pt idx="1123">
                  <c:v>2</c:v>
                </c:pt>
                <c:pt idx="1124">
                  <c:v>4</c:v>
                </c:pt>
                <c:pt idx="1125">
                  <c:v>5</c:v>
                </c:pt>
                <c:pt idx="1126">
                  <c:v>14</c:v>
                </c:pt>
                <c:pt idx="1127">
                  <c:v>13</c:v>
                </c:pt>
                <c:pt idx="1128">
                  <c:v>8</c:v>
                </c:pt>
                <c:pt idx="1129">
                  <c:v>3</c:v>
                </c:pt>
                <c:pt idx="1130">
                  <c:v>6</c:v>
                </c:pt>
                <c:pt idx="1131">
                  <c:v>6</c:v>
                </c:pt>
                <c:pt idx="1132">
                  <c:v>15</c:v>
                </c:pt>
                <c:pt idx="1133">
                  <c:v>25</c:v>
                </c:pt>
                <c:pt idx="1134">
                  <c:v>8</c:v>
                </c:pt>
                <c:pt idx="1135">
                  <c:v>2</c:v>
                </c:pt>
                <c:pt idx="1136">
                  <c:v>2</c:v>
                </c:pt>
                <c:pt idx="1137">
                  <c:v>20</c:v>
                </c:pt>
                <c:pt idx="1138">
                  <c:v>2</c:v>
                </c:pt>
                <c:pt idx="1139">
                  <c:v>5</c:v>
                </c:pt>
                <c:pt idx="1140">
                  <c:v>2</c:v>
                </c:pt>
                <c:pt idx="1141">
                  <c:v>4</c:v>
                </c:pt>
                <c:pt idx="1142">
                  <c:v>11</c:v>
                </c:pt>
                <c:pt idx="1143">
                  <c:v>2</c:v>
                </c:pt>
                <c:pt idx="1144">
                  <c:v>5</c:v>
                </c:pt>
                <c:pt idx="1145">
                  <c:v>3</c:v>
                </c:pt>
                <c:pt idx="1146">
                  <c:v>8</c:v>
                </c:pt>
                <c:pt idx="1147">
                  <c:v>2</c:v>
                </c:pt>
                <c:pt idx="1148">
                  <c:v>4</c:v>
                </c:pt>
                <c:pt idx="1149">
                  <c:v>2.5</c:v>
                </c:pt>
                <c:pt idx="1150">
                  <c:v>5</c:v>
                </c:pt>
                <c:pt idx="1151">
                  <c:v>10</c:v>
                </c:pt>
                <c:pt idx="1152">
                  <c:v>4</c:v>
                </c:pt>
                <c:pt idx="1153">
                  <c:v>15</c:v>
                </c:pt>
                <c:pt idx="1154">
                  <c:v>1</c:v>
                </c:pt>
                <c:pt idx="1155">
                  <c:v>7</c:v>
                </c:pt>
                <c:pt idx="1156">
                  <c:v>1</c:v>
                </c:pt>
                <c:pt idx="1157">
                  <c:v>4</c:v>
                </c:pt>
                <c:pt idx="1158">
                  <c:v>20</c:v>
                </c:pt>
                <c:pt idx="1159">
                  <c:v>9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0</c:v>
                </c:pt>
                <c:pt idx="1164">
                  <c:v>0</c:v>
                </c:pt>
                <c:pt idx="1165">
                  <c:v>6</c:v>
                </c:pt>
                <c:pt idx="1166">
                  <c:v>3</c:v>
                </c:pt>
                <c:pt idx="1167">
                  <c:v>3</c:v>
                </c:pt>
                <c:pt idx="1168">
                  <c:v>20</c:v>
                </c:pt>
                <c:pt idx="1169">
                  <c:v>16</c:v>
                </c:pt>
                <c:pt idx="1170">
                  <c:v>4</c:v>
                </c:pt>
                <c:pt idx="1171">
                  <c:v>6</c:v>
                </c:pt>
                <c:pt idx="1172">
                  <c:v>11</c:v>
                </c:pt>
                <c:pt idx="1173">
                  <c:v>6</c:v>
                </c:pt>
                <c:pt idx="1174">
                  <c:v>5</c:v>
                </c:pt>
                <c:pt idx="1175">
                  <c:v>2</c:v>
                </c:pt>
                <c:pt idx="1176">
                  <c:v>13</c:v>
                </c:pt>
                <c:pt idx="1177">
                  <c:v>3</c:v>
                </c:pt>
                <c:pt idx="1178">
                  <c:v>5</c:v>
                </c:pt>
                <c:pt idx="1179">
                  <c:v>3</c:v>
                </c:pt>
                <c:pt idx="1180">
                  <c:v>5</c:v>
                </c:pt>
                <c:pt idx="1181">
                  <c:v>15</c:v>
                </c:pt>
                <c:pt idx="1182">
                  <c:v>15</c:v>
                </c:pt>
                <c:pt idx="1183">
                  <c:v>9</c:v>
                </c:pt>
                <c:pt idx="1184">
                  <c:v>0</c:v>
                </c:pt>
                <c:pt idx="1185">
                  <c:v>10</c:v>
                </c:pt>
                <c:pt idx="1186">
                  <c:v>9</c:v>
                </c:pt>
                <c:pt idx="1187">
                  <c:v>7</c:v>
                </c:pt>
                <c:pt idx="1188">
                  <c:v>12</c:v>
                </c:pt>
                <c:pt idx="1189">
                  <c:v>3</c:v>
                </c:pt>
                <c:pt idx="1190">
                  <c:v>4</c:v>
                </c:pt>
                <c:pt idx="1191">
                  <c:v>7</c:v>
                </c:pt>
                <c:pt idx="1192">
                  <c:v>1</c:v>
                </c:pt>
                <c:pt idx="1193">
                  <c:v>3</c:v>
                </c:pt>
                <c:pt idx="1194">
                  <c:v>3</c:v>
                </c:pt>
                <c:pt idx="1195">
                  <c:v>9</c:v>
                </c:pt>
                <c:pt idx="1196">
                  <c:v>16</c:v>
                </c:pt>
                <c:pt idx="1197">
                  <c:v>1</c:v>
                </c:pt>
                <c:pt idx="1198">
                  <c:v>3</c:v>
                </c:pt>
                <c:pt idx="1199">
                  <c:v>12</c:v>
                </c:pt>
                <c:pt idx="1200">
                  <c:v>2</c:v>
                </c:pt>
                <c:pt idx="1201">
                  <c:v>2</c:v>
                </c:pt>
                <c:pt idx="1202">
                  <c:v>1</c:v>
                </c:pt>
                <c:pt idx="1203">
                  <c:v>12</c:v>
                </c:pt>
                <c:pt idx="1204">
                  <c:v>2</c:v>
                </c:pt>
                <c:pt idx="1205">
                  <c:v>2</c:v>
                </c:pt>
                <c:pt idx="1206">
                  <c:v>12</c:v>
                </c:pt>
                <c:pt idx="1207">
                  <c:v>1</c:v>
                </c:pt>
                <c:pt idx="1208">
                  <c:v>3</c:v>
                </c:pt>
                <c:pt idx="1209">
                  <c:v>14</c:v>
                </c:pt>
                <c:pt idx="1210">
                  <c:v>10</c:v>
                </c:pt>
                <c:pt idx="1211">
                  <c:v>13</c:v>
                </c:pt>
                <c:pt idx="1212">
                  <c:v>4</c:v>
                </c:pt>
                <c:pt idx="1213">
                  <c:v>10</c:v>
                </c:pt>
                <c:pt idx="1214">
                  <c:v>3</c:v>
                </c:pt>
                <c:pt idx="1215">
                  <c:v>4</c:v>
                </c:pt>
                <c:pt idx="1216">
                  <c:v>3</c:v>
                </c:pt>
                <c:pt idx="1217">
                  <c:v>12</c:v>
                </c:pt>
                <c:pt idx="1218">
                  <c:v>4</c:v>
                </c:pt>
                <c:pt idx="1219">
                  <c:v>5</c:v>
                </c:pt>
                <c:pt idx="1220">
                  <c:v>20</c:v>
                </c:pt>
                <c:pt idx="1221">
                  <c:v>1</c:v>
                </c:pt>
                <c:pt idx="1222">
                  <c:v>8</c:v>
                </c:pt>
                <c:pt idx="1223">
                  <c:v>15</c:v>
                </c:pt>
                <c:pt idx="1224">
                  <c:v>8</c:v>
                </c:pt>
                <c:pt idx="1225">
                  <c:v>3</c:v>
                </c:pt>
                <c:pt idx="1226">
                  <c:v>4</c:v>
                </c:pt>
                <c:pt idx="1227">
                  <c:v>2</c:v>
                </c:pt>
                <c:pt idx="1228">
                  <c:v>14</c:v>
                </c:pt>
                <c:pt idx="1229">
                  <c:v>2</c:v>
                </c:pt>
                <c:pt idx="1230">
                  <c:v>5</c:v>
                </c:pt>
                <c:pt idx="1231">
                  <c:v>20</c:v>
                </c:pt>
                <c:pt idx="1232">
                  <c:v>5</c:v>
                </c:pt>
                <c:pt idx="1233">
                  <c:v>25</c:v>
                </c:pt>
                <c:pt idx="1234">
                  <c:v>20</c:v>
                </c:pt>
                <c:pt idx="1235">
                  <c:v>10</c:v>
                </c:pt>
                <c:pt idx="1236">
                  <c:v>20</c:v>
                </c:pt>
                <c:pt idx="1237">
                  <c:v>1</c:v>
                </c:pt>
                <c:pt idx="1238">
                  <c:v>0.3</c:v>
                </c:pt>
                <c:pt idx="1239">
                  <c:v>10</c:v>
                </c:pt>
                <c:pt idx="1240">
                  <c:v>6</c:v>
                </c:pt>
                <c:pt idx="1241">
                  <c:v>7</c:v>
                </c:pt>
                <c:pt idx="1242">
                  <c:v>7</c:v>
                </c:pt>
                <c:pt idx="1243">
                  <c:v>6</c:v>
                </c:pt>
                <c:pt idx="1244">
                  <c:v>10</c:v>
                </c:pt>
                <c:pt idx="1245">
                  <c:v>15</c:v>
                </c:pt>
                <c:pt idx="1246">
                  <c:v>9</c:v>
                </c:pt>
                <c:pt idx="1247">
                  <c:v>0</c:v>
                </c:pt>
                <c:pt idx="1248">
                  <c:v>9</c:v>
                </c:pt>
                <c:pt idx="1249">
                  <c:v>6</c:v>
                </c:pt>
                <c:pt idx="1250">
                  <c:v>5</c:v>
                </c:pt>
                <c:pt idx="1251">
                  <c:v>5</c:v>
                </c:pt>
                <c:pt idx="1252">
                  <c:v>3</c:v>
                </c:pt>
                <c:pt idx="1253">
                  <c:v>15</c:v>
                </c:pt>
                <c:pt idx="1254">
                  <c:v>23</c:v>
                </c:pt>
                <c:pt idx="1255">
                  <c:v>3</c:v>
                </c:pt>
                <c:pt idx="1256">
                  <c:v>0</c:v>
                </c:pt>
                <c:pt idx="1257">
                  <c:v>1</c:v>
                </c:pt>
                <c:pt idx="1258">
                  <c:v>15</c:v>
                </c:pt>
                <c:pt idx="1259">
                  <c:v>1</c:v>
                </c:pt>
                <c:pt idx="1260">
                  <c:v>7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0.3</c:v>
                </c:pt>
                <c:pt idx="1265">
                  <c:v>5</c:v>
                </c:pt>
                <c:pt idx="1266">
                  <c:v>10</c:v>
                </c:pt>
                <c:pt idx="1267">
                  <c:v>4</c:v>
                </c:pt>
                <c:pt idx="1268">
                  <c:v>10</c:v>
                </c:pt>
                <c:pt idx="1269">
                  <c:v>10</c:v>
                </c:pt>
                <c:pt idx="1270">
                  <c:v>8</c:v>
                </c:pt>
                <c:pt idx="1271">
                  <c:v>8</c:v>
                </c:pt>
                <c:pt idx="1272">
                  <c:v>20</c:v>
                </c:pt>
                <c:pt idx="1273">
                  <c:v>10</c:v>
                </c:pt>
                <c:pt idx="1274">
                  <c:v>10</c:v>
                </c:pt>
                <c:pt idx="1275">
                  <c:v>10</c:v>
                </c:pt>
                <c:pt idx="1276">
                  <c:v>6</c:v>
                </c:pt>
                <c:pt idx="1277">
                  <c:v>18</c:v>
                </c:pt>
                <c:pt idx="1278">
                  <c:v>10</c:v>
                </c:pt>
                <c:pt idx="1279">
                  <c:v>6</c:v>
                </c:pt>
                <c:pt idx="1280">
                  <c:v>1</c:v>
                </c:pt>
                <c:pt idx="1281">
                  <c:v>2</c:v>
                </c:pt>
                <c:pt idx="1282">
                  <c:v>12</c:v>
                </c:pt>
                <c:pt idx="1283">
                  <c:v>5</c:v>
                </c:pt>
                <c:pt idx="1284">
                  <c:v>6</c:v>
                </c:pt>
                <c:pt idx="1285">
                  <c:v>12</c:v>
                </c:pt>
                <c:pt idx="1286">
                  <c:v>9</c:v>
                </c:pt>
                <c:pt idx="1287">
                  <c:v>20</c:v>
                </c:pt>
                <c:pt idx="1288">
                  <c:v>2</c:v>
                </c:pt>
                <c:pt idx="1289">
                  <c:v>15</c:v>
                </c:pt>
                <c:pt idx="1290">
                  <c:v>4</c:v>
                </c:pt>
                <c:pt idx="1291">
                  <c:v>1.5</c:v>
                </c:pt>
                <c:pt idx="1292">
                  <c:v>10</c:v>
                </c:pt>
                <c:pt idx="1293">
                  <c:v>3</c:v>
                </c:pt>
                <c:pt idx="1294">
                  <c:v>6</c:v>
                </c:pt>
                <c:pt idx="1295">
                  <c:v>20</c:v>
                </c:pt>
                <c:pt idx="1296">
                  <c:v>1</c:v>
                </c:pt>
                <c:pt idx="1297">
                  <c:v>2</c:v>
                </c:pt>
                <c:pt idx="1298">
                  <c:v>3</c:v>
                </c:pt>
                <c:pt idx="1299">
                  <c:v>27</c:v>
                </c:pt>
                <c:pt idx="1300">
                  <c:v>34</c:v>
                </c:pt>
                <c:pt idx="1301">
                  <c:v>5</c:v>
                </c:pt>
                <c:pt idx="1302">
                  <c:v>10</c:v>
                </c:pt>
                <c:pt idx="1303">
                  <c:v>5</c:v>
                </c:pt>
                <c:pt idx="1304">
                  <c:v>8</c:v>
                </c:pt>
                <c:pt idx="1305">
                  <c:v>12</c:v>
                </c:pt>
                <c:pt idx="1306">
                  <c:v>8</c:v>
                </c:pt>
                <c:pt idx="1307">
                  <c:v>4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8</c:v>
                </c:pt>
                <c:pt idx="1312">
                  <c:v>5</c:v>
                </c:pt>
                <c:pt idx="1313">
                  <c:v>10</c:v>
                </c:pt>
                <c:pt idx="1314">
                  <c:v>2</c:v>
                </c:pt>
                <c:pt idx="1315">
                  <c:v>4</c:v>
                </c:pt>
                <c:pt idx="1316">
                  <c:v>1</c:v>
                </c:pt>
                <c:pt idx="1317">
                  <c:v>3</c:v>
                </c:pt>
                <c:pt idx="1318">
                  <c:v>6</c:v>
                </c:pt>
                <c:pt idx="1319">
                  <c:v>3</c:v>
                </c:pt>
                <c:pt idx="1320">
                  <c:v>1.6</c:v>
                </c:pt>
                <c:pt idx="1321">
                  <c:v>6</c:v>
                </c:pt>
                <c:pt idx="1322">
                  <c:v>5</c:v>
                </c:pt>
                <c:pt idx="1323">
                  <c:v>10</c:v>
                </c:pt>
                <c:pt idx="1324">
                  <c:v>3.5</c:v>
                </c:pt>
                <c:pt idx="1325">
                  <c:v>8</c:v>
                </c:pt>
                <c:pt idx="1326">
                  <c:v>15</c:v>
                </c:pt>
                <c:pt idx="1327">
                  <c:v>3</c:v>
                </c:pt>
                <c:pt idx="1328">
                  <c:v>20</c:v>
                </c:pt>
                <c:pt idx="1329">
                  <c:v>21</c:v>
                </c:pt>
                <c:pt idx="1330">
                  <c:v>4</c:v>
                </c:pt>
                <c:pt idx="1331">
                  <c:v>5</c:v>
                </c:pt>
                <c:pt idx="1332">
                  <c:v>3</c:v>
                </c:pt>
                <c:pt idx="1333">
                  <c:v>5</c:v>
                </c:pt>
                <c:pt idx="1334">
                  <c:v>10</c:v>
                </c:pt>
              </c:numCache>
            </c:numRef>
          </c:xVal>
          <c:yVal>
            <c:numRef>
              <c:f>Analysis!$K$3:$K$1337</c:f>
              <c:numCache>
                <c:formatCode>General</c:formatCode>
                <c:ptCount val="13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45393.934235537781</c:v>
                </c:pt>
                <c:pt idx="14">
                  <c:v>33099.743713412965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116637.19213297902</c:v>
                </c:pt>
                <c:pt idx="183">
                  <c:v>34357.533974522659</c:v>
                </c:pt>
                <c:pt idx="184">
                  <c:v>102451.58768437347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37828.278529614821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45709.169889951241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86689.804963700633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157617.8272067284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126094.26176538273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102451.58768437347</c:v>
                </c:pt>
                <c:pt idx="349">
                  <c:v>#N/A</c:v>
                </c:pt>
                <c:pt idx="350">
                  <c:v>101206.40684944032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78808.913603364199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40980.635073749385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44132.991617883956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24588.381044249632</c:v>
                </c:pt>
                <c:pt idx="499">
                  <c:v>#N/A</c:v>
                </c:pt>
                <c:pt idx="500">
                  <c:v>#N/A</c:v>
                </c:pt>
                <c:pt idx="501">
                  <c:v>78808.913603364199</c:v>
                </c:pt>
                <c:pt idx="502">
                  <c:v>#N/A</c:v>
                </c:pt>
                <c:pt idx="503">
                  <c:v>#N/A</c:v>
                </c:pt>
                <c:pt idx="504">
                  <c:v>47285.348162018527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31523.565441345683</c:v>
                </c:pt>
                <c:pt idx="509">
                  <c:v>#N/A</c:v>
                </c:pt>
                <c:pt idx="510">
                  <c:v>126094.26176538273</c:v>
                </c:pt>
                <c:pt idx="511">
                  <c:v>99299.231140238902</c:v>
                </c:pt>
                <c:pt idx="512">
                  <c:v>86689.804963700633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63835.220018725006</c:v>
                </c:pt>
                <c:pt idx="518">
                  <c:v>36252.100257547536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47285.348162018527</c:v>
                </c:pt>
                <c:pt idx="523">
                  <c:v>75656.557059229643</c:v>
                </c:pt>
                <c:pt idx="524">
                  <c:v>#N/A</c:v>
                </c:pt>
                <c:pt idx="525">
                  <c:v>#N/A</c:v>
                </c:pt>
                <c:pt idx="526">
                  <c:v>47285.348162018527</c:v>
                </c:pt>
                <c:pt idx="527">
                  <c:v>91418.339779902482</c:v>
                </c:pt>
                <c:pt idx="528">
                  <c:v>124518.08349331544</c:v>
                </c:pt>
                <c:pt idx="529">
                  <c:v>69213.140283018583</c:v>
                </c:pt>
                <c:pt idx="530">
                  <c:v>#N/A</c:v>
                </c:pt>
                <c:pt idx="531">
                  <c:v>63047.130882691366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55166.239522354947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118213.37040504631</c:v>
                </c:pt>
                <c:pt idx="540">
                  <c:v>#N/A</c:v>
                </c:pt>
                <c:pt idx="541">
                  <c:v>70928.022243027779</c:v>
                </c:pt>
                <c:pt idx="542">
                  <c:v>39404.456801682099</c:v>
                </c:pt>
                <c:pt idx="543">
                  <c:v>#N/A</c:v>
                </c:pt>
                <c:pt idx="544">
                  <c:v>44921.080753917595</c:v>
                </c:pt>
                <c:pt idx="545">
                  <c:v>#N/A</c:v>
                </c:pt>
                <c:pt idx="546">
                  <c:v>71243.257897441246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19000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23642.674081009263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45709.169889951241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36252.100257547536</c:v>
                </c:pt>
                <c:pt idx="573">
                  <c:v>47285.348162018527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55166.239522354947</c:v>
                </c:pt>
                <c:pt idx="578">
                  <c:v>#N/A</c:v>
                </c:pt>
                <c:pt idx="579">
                  <c:v>#N/A</c:v>
                </c:pt>
                <c:pt idx="580">
                  <c:v>59106.685202523156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81600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126094.26176538273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50437.70470615309</c:v>
                </c:pt>
                <c:pt idx="599">
                  <c:v>67775.665698893223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50064.150455673145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19000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53590.061250287661</c:v>
                </c:pt>
                <c:pt idx="629">
                  <c:v>53590.061250287661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40980.635073749385</c:v>
                </c:pt>
                <c:pt idx="656">
                  <c:v>45709.169889951241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118213.37040504631</c:v>
                </c:pt>
                <c:pt idx="664">
                  <c:v>39404.456801682099</c:v>
                </c:pt>
                <c:pt idx="665">
                  <c:v>#N/A</c:v>
                </c:pt>
                <c:pt idx="666">
                  <c:v>47285.348162018527</c:v>
                </c:pt>
                <c:pt idx="667">
                  <c:v>#N/A</c:v>
                </c:pt>
                <c:pt idx="668">
                  <c:v>#N/A</c:v>
                </c:pt>
                <c:pt idx="669">
                  <c:v>53590.061250287661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67775.665698893223</c:v>
                </c:pt>
                <c:pt idx="675">
                  <c:v>40586.590505732565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31523.565441345683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70928.022243027779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40980.635073749385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110332.47904470989</c:v>
                </c:pt>
                <c:pt idx="767">
                  <c:v>47285.348162018527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42556.81334581667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70928.022243027779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94570.696324037053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26795.030625143831</c:v>
                </c:pt>
                <c:pt idx="888">
                  <c:v>#N/A</c:v>
                </c:pt>
                <c:pt idx="889">
                  <c:v>39404.456801682099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58318.59606648951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231119.74856804207</c:v>
                </c:pt>
                <c:pt idx="907">
                  <c:v>#N/A</c:v>
                </c:pt>
                <c:pt idx="908">
                  <c:v>15761.782720672842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48073.437298052166</c:v>
                </c:pt>
                <c:pt idx="956">
                  <c:v>#N/A</c:v>
                </c:pt>
                <c:pt idx="957">
                  <c:v>#N/A</c:v>
                </c:pt>
                <c:pt idx="958">
                  <c:v>76223.981237173866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47285.348162018527</c:v>
                </c:pt>
                <c:pt idx="965">
                  <c:v>#N/A</c:v>
                </c:pt>
                <c:pt idx="966">
                  <c:v>55166.239522354947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39404.456801682099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55166.239522354947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126094.26176538273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31523.565441345683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33887.832849446611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58318.59606648951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94570.696324037053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66199.48742682593</c:v>
                </c:pt>
                <c:pt idx="1074">
                  <c:v>#N/A</c:v>
                </c:pt>
                <c:pt idx="1075">
                  <c:v>34675.92198548025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63047.130882691366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70928.022243027779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78808.913603364199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55954.328658388586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63047.130882691366</c:v>
                </c:pt>
                <c:pt idx="1133">
                  <c:v>56742.417794422225</c:v>
                </c:pt>
                <c:pt idx="1134">
                  <c:v>#N/A</c:v>
                </c:pt>
                <c:pt idx="1135">
                  <c:v>#N/A</c:v>
                </c:pt>
                <c:pt idx="1136">
                  <c:v>42556.81334581667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78808.913603364199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63047.130882691366</c:v>
                </c:pt>
                <c:pt idx="1145">
                  <c:v>#N/A</c:v>
                </c:pt>
                <c:pt idx="1146">
                  <c:v>115061.01386091174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70928.022243027779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35148.775467100437</c:v>
                </c:pt>
                <c:pt idx="1191">
                  <c:v>49153.119414418252</c:v>
                </c:pt>
                <c:pt idx="1192">
                  <c:v>#N/A</c:v>
                </c:pt>
                <c:pt idx="1193">
                  <c:v>42556.81334581667</c:v>
                </c:pt>
                <c:pt idx="1194">
                  <c:v>42556.81334581667</c:v>
                </c:pt>
                <c:pt idx="1195">
                  <c:v>#N/A</c:v>
                </c:pt>
                <c:pt idx="1196">
                  <c:v>41768.724209783031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50437.70470615309</c:v>
                </c:pt>
                <c:pt idx="1221">
                  <c:v>50437.70470615309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56742.417794422225</c:v>
                </c:pt>
                <c:pt idx="1242">
                  <c:v>#N/A</c:v>
                </c:pt>
                <c:pt idx="1243">
                  <c:v>#N/A</c:v>
                </c:pt>
                <c:pt idx="1244">
                  <c:v>78808.913603364199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52801.972114254015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31523.565441345683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32311.654577379326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55166.239522354947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39404.456801682099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</c:numCache>
            </c:numRef>
          </c:yVal>
        </c:ser>
        <c:ser>
          <c:idx val="0"/>
          <c:order val="2"/>
          <c:tx>
            <c:strRef>
              <c:f>Analysis!$B$2</c:f>
              <c:strCache>
                <c:ptCount val="1"/>
                <c:pt idx="0">
                  <c:v>C1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Data!$M$554:$M$1888</c:f>
              <c:numCache>
                <c:formatCode>General</c:formatCode>
                <c:ptCount val="1335"/>
                <c:pt idx="0">
                  <c:v>5</c:v>
                </c:pt>
                <c:pt idx="1">
                  <c:v>20</c:v>
                </c:pt>
                <c:pt idx="2">
                  <c:v>7</c:v>
                </c:pt>
                <c:pt idx="3">
                  <c:v>20</c:v>
                </c:pt>
                <c:pt idx="4">
                  <c:v>1</c:v>
                </c:pt>
                <c:pt idx="5">
                  <c:v>10</c:v>
                </c:pt>
                <c:pt idx="6">
                  <c:v>6</c:v>
                </c:pt>
                <c:pt idx="7">
                  <c:v>2</c:v>
                </c:pt>
                <c:pt idx="8">
                  <c:v>11</c:v>
                </c:pt>
                <c:pt idx="9">
                  <c:v>20</c:v>
                </c:pt>
                <c:pt idx="10">
                  <c:v>23</c:v>
                </c:pt>
                <c:pt idx="11">
                  <c:v>11</c:v>
                </c:pt>
                <c:pt idx="12">
                  <c:v>6</c:v>
                </c:pt>
                <c:pt idx="13">
                  <c:v>27</c:v>
                </c:pt>
                <c:pt idx="14">
                  <c:v>10</c:v>
                </c:pt>
                <c:pt idx="15">
                  <c:v>6</c:v>
                </c:pt>
                <c:pt idx="16">
                  <c:v>20</c:v>
                </c:pt>
                <c:pt idx="17">
                  <c:v>8</c:v>
                </c:pt>
                <c:pt idx="18">
                  <c:v>15</c:v>
                </c:pt>
                <c:pt idx="19">
                  <c:v>22</c:v>
                </c:pt>
                <c:pt idx="20">
                  <c:v>27</c:v>
                </c:pt>
                <c:pt idx="21">
                  <c:v>3</c:v>
                </c:pt>
                <c:pt idx="22">
                  <c:v>10</c:v>
                </c:pt>
                <c:pt idx="23">
                  <c:v>30</c:v>
                </c:pt>
                <c:pt idx="24">
                  <c:v>10</c:v>
                </c:pt>
                <c:pt idx="25">
                  <c:v>15</c:v>
                </c:pt>
                <c:pt idx="26">
                  <c:v>3</c:v>
                </c:pt>
                <c:pt idx="27">
                  <c:v>16</c:v>
                </c:pt>
                <c:pt idx="28">
                  <c:v>25</c:v>
                </c:pt>
                <c:pt idx="29">
                  <c:v>8</c:v>
                </c:pt>
                <c:pt idx="30">
                  <c:v>3</c:v>
                </c:pt>
                <c:pt idx="31">
                  <c:v>7</c:v>
                </c:pt>
                <c:pt idx="32">
                  <c:v>10</c:v>
                </c:pt>
                <c:pt idx="33">
                  <c:v>10</c:v>
                </c:pt>
                <c:pt idx="34">
                  <c:v>4</c:v>
                </c:pt>
                <c:pt idx="35">
                  <c:v>7</c:v>
                </c:pt>
                <c:pt idx="36">
                  <c:v>5</c:v>
                </c:pt>
                <c:pt idx="37">
                  <c:v>3</c:v>
                </c:pt>
                <c:pt idx="38">
                  <c:v>25</c:v>
                </c:pt>
                <c:pt idx="39">
                  <c:v>15</c:v>
                </c:pt>
                <c:pt idx="40">
                  <c:v>7</c:v>
                </c:pt>
                <c:pt idx="41">
                  <c:v>20</c:v>
                </c:pt>
                <c:pt idx="42">
                  <c:v>5</c:v>
                </c:pt>
                <c:pt idx="43">
                  <c:v>10</c:v>
                </c:pt>
                <c:pt idx="44">
                  <c:v>17</c:v>
                </c:pt>
                <c:pt idx="45">
                  <c:v>18</c:v>
                </c:pt>
                <c:pt idx="46">
                  <c:v>5</c:v>
                </c:pt>
                <c:pt idx="47">
                  <c:v>20</c:v>
                </c:pt>
                <c:pt idx="48">
                  <c:v>10</c:v>
                </c:pt>
                <c:pt idx="49">
                  <c:v>8</c:v>
                </c:pt>
                <c:pt idx="50">
                  <c:v>3</c:v>
                </c:pt>
                <c:pt idx="51">
                  <c:v>5</c:v>
                </c:pt>
                <c:pt idx="52">
                  <c:v>20</c:v>
                </c:pt>
                <c:pt idx="53">
                  <c:v>6</c:v>
                </c:pt>
                <c:pt idx="54">
                  <c:v>10</c:v>
                </c:pt>
                <c:pt idx="55">
                  <c:v>15</c:v>
                </c:pt>
                <c:pt idx="56">
                  <c:v>23</c:v>
                </c:pt>
                <c:pt idx="57">
                  <c:v>32</c:v>
                </c:pt>
                <c:pt idx="58">
                  <c:v>3</c:v>
                </c:pt>
                <c:pt idx="59">
                  <c:v>26</c:v>
                </c:pt>
                <c:pt idx="60">
                  <c:v>20</c:v>
                </c:pt>
                <c:pt idx="61">
                  <c:v>20</c:v>
                </c:pt>
                <c:pt idx="62">
                  <c:v>6</c:v>
                </c:pt>
                <c:pt idx="63">
                  <c:v>1</c:v>
                </c:pt>
                <c:pt idx="64">
                  <c:v>10</c:v>
                </c:pt>
                <c:pt idx="65">
                  <c:v>5</c:v>
                </c:pt>
                <c:pt idx="66">
                  <c:v>4</c:v>
                </c:pt>
                <c:pt idx="67">
                  <c:v>12</c:v>
                </c:pt>
                <c:pt idx="68">
                  <c:v>3</c:v>
                </c:pt>
                <c:pt idx="69">
                  <c:v>12</c:v>
                </c:pt>
                <c:pt idx="70">
                  <c:v>10</c:v>
                </c:pt>
                <c:pt idx="71">
                  <c:v>20</c:v>
                </c:pt>
                <c:pt idx="72">
                  <c:v>4</c:v>
                </c:pt>
                <c:pt idx="73">
                  <c:v>3</c:v>
                </c:pt>
                <c:pt idx="74">
                  <c:v>8</c:v>
                </c:pt>
                <c:pt idx="75">
                  <c:v>3</c:v>
                </c:pt>
                <c:pt idx="76">
                  <c:v>2</c:v>
                </c:pt>
                <c:pt idx="77">
                  <c:v>1.5</c:v>
                </c:pt>
                <c:pt idx="78">
                  <c:v>6</c:v>
                </c:pt>
                <c:pt idx="79">
                  <c:v>5</c:v>
                </c:pt>
                <c:pt idx="80">
                  <c:v>30</c:v>
                </c:pt>
                <c:pt idx="81">
                  <c:v>1</c:v>
                </c:pt>
                <c:pt idx="82">
                  <c:v>5</c:v>
                </c:pt>
                <c:pt idx="83">
                  <c:v>11</c:v>
                </c:pt>
                <c:pt idx="84">
                  <c:v>4</c:v>
                </c:pt>
                <c:pt idx="85">
                  <c:v>1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8</c:v>
                </c:pt>
                <c:pt idx="91">
                  <c:v>3</c:v>
                </c:pt>
                <c:pt idx="92">
                  <c:v>10</c:v>
                </c:pt>
                <c:pt idx="93">
                  <c:v>9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11</c:v>
                </c:pt>
                <c:pt idx="98">
                  <c:v>12</c:v>
                </c:pt>
                <c:pt idx="99">
                  <c:v>10</c:v>
                </c:pt>
                <c:pt idx="100">
                  <c:v>4.5</c:v>
                </c:pt>
                <c:pt idx="101">
                  <c:v>3</c:v>
                </c:pt>
                <c:pt idx="102">
                  <c:v>8</c:v>
                </c:pt>
                <c:pt idx="103">
                  <c:v>8</c:v>
                </c:pt>
                <c:pt idx="104">
                  <c:v>3</c:v>
                </c:pt>
                <c:pt idx="105">
                  <c:v>3</c:v>
                </c:pt>
                <c:pt idx="106">
                  <c:v>12</c:v>
                </c:pt>
                <c:pt idx="107">
                  <c:v>15</c:v>
                </c:pt>
                <c:pt idx="108">
                  <c:v>7.3</c:v>
                </c:pt>
                <c:pt idx="109">
                  <c:v>1</c:v>
                </c:pt>
                <c:pt idx="110">
                  <c:v>6</c:v>
                </c:pt>
                <c:pt idx="111">
                  <c:v>4.5</c:v>
                </c:pt>
                <c:pt idx="112">
                  <c:v>4.5</c:v>
                </c:pt>
                <c:pt idx="113">
                  <c:v>15</c:v>
                </c:pt>
                <c:pt idx="114">
                  <c:v>5</c:v>
                </c:pt>
                <c:pt idx="115">
                  <c:v>4</c:v>
                </c:pt>
                <c:pt idx="116">
                  <c:v>9</c:v>
                </c:pt>
                <c:pt idx="117">
                  <c:v>20</c:v>
                </c:pt>
                <c:pt idx="118">
                  <c:v>3</c:v>
                </c:pt>
                <c:pt idx="119">
                  <c:v>18</c:v>
                </c:pt>
                <c:pt idx="120">
                  <c:v>2</c:v>
                </c:pt>
                <c:pt idx="121">
                  <c:v>3</c:v>
                </c:pt>
                <c:pt idx="122">
                  <c:v>4</c:v>
                </c:pt>
                <c:pt idx="123">
                  <c:v>7</c:v>
                </c:pt>
                <c:pt idx="124">
                  <c:v>7</c:v>
                </c:pt>
                <c:pt idx="125">
                  <c:v>10</c:v>
                </c:pt>
                <c:pt idx="126">
                  <c:v>20</c:v>
                </c:pt>
                <c:pt idx="127">
                  <c:v>3</c:v>
                </c:pt>
                <c:pt idx="128">
                  <c:v>2</c:v>
                </c:pt>
                <c:pt idx="129">
                  <c:v>23</c:v>
                </c:pt>
                <c:pt idx="130">
                  <c:v>6</c:v>
                </c:pt>
                <c:pt idx="131">
                  <c:v>2</c:v>
                </c:pt>
                <c:pt idx="132">
                  <c:v>4</c:v>
                </c:pt>
                <c:pt idx="133">
                  <c:v>4.5</c:v>
                </c:pt>
                <c:pt idx="134">
                  <c:v>5</c:v>
                </c:pt>
                <c:pt idx="135">
                  <c:v>14</c:v>
                </c:pt>
                <c:pt idx="136">
                  <c:v>7</c:v>
                </c:pt>
                <c:pt idx="137">
                  <c:v>7</c:v>
                </c:pt>
                <c:pt idx="138">
                  <c:v>2</c:v>
                </c:pt>
                <c:pt idx="139">
                  <c:v>2</c:v>
                </c:pt>
                <c:pt idx="140">
                  <c:v>10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4</c:v>
                </c:pt>
                <c:pt idx="146">
                  <c:v>8</c:v>
                </c:pt>
                <c:pt idx="147">
                  <c:v>0</c:v>
                </c:pt>
                <c:pt idx="148">
                  <c:v>5</c:v>
                </c:pt>
                <c:pt idx="149">
                  <c:v>2</c:v>
                </c:pt>
                <c:pt idx="150">
                  <c:v>2</c:v>
                </c:pt>
                <c:pt idx="151">
                  <c:v>12</c:v>
                </c:pt>
                <c:pt idx="152">
                  <c:v>1</c:v>
                </c:pt>
                <c:pt idx="153">
                  <c:v>2</c:v>
                </c:pt>
                <c:pt idx="154">
                  <c:v>10</c:v>
                </c:pt>
                <c:pt idx="155">
                  <c:v>7</c:v>
                </c:pt>
                <c:pt idx="156">
                  <c:v>6</c:v>
                </c:pt>
                <c:pt idx="157">
                  <c:v>15</c:v>
                </c:pt>
                <c:pt idx="158">
                  <c:v>6</c:v>
                </c:pt>
                <c:pt idx="159">
                  <c:v>2</c:v>
                </c:pt>
                <c:pt idx="160">
                  <c:v>4</c:v>
                </c:pt>
                <c:pt idx="161">
                  <c:v>3</c:v>
                </c:pt>
                <c:pt idx="162">
                  <c:v>6</c:v>
                </c:pt>
                <c:pt idx="163">
                  <c:v>2</c:v>
                </c:pt>
                <c:pt idx="164">
                  <c:v>1</c:v>
                </c:pt>
                <c:pt idx="165">
                  <c:v>7</c:v>
                </c:pt>
                <c:pt idx="166">
                  <c:v>3.5</c:v>
                </c:pt>
                <c:pt idx="167">
                  <c:v>10</c:v>
                </c:pt>
                <c:pt idx="168">
                  <c:v>12</c:v>
                </c:pt>
                <c:pt idx="169">
                  <c:v>4</c:v>
                </c:pt>
                <c:pt idx="170">
                  <c:v>10</c:v>
                </c:pt>
                <c:pt idx="171">
                  <c:v>13</c:v>
                </c:pt>
                <c:pt idx="172">
                  <c:v>8</c:v>
                </c:pt>
                <c:pt idx="173">
                  <c:v>15</c:v>
                </c:pt>
                <c:pt idx="174">
                  <c:v>15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2</c:v>
                </c:pt>
                <c:pt idx="179">
                  <c:v>7</c:v>
                </c:pt>
                <c:pt idx="180">
                  <c:v>2</c:v>
                </c:pt>
                <c:pt idx="181">
                  <c:v>12</c:v>
                </c:pt>
                <c:pt idx="182">
                  <c:v>5</c:v>
                </c:pt>
                <c:pt idx="183">
                  <c:v>1.5</c:v>
                </c:pt>
                <c:pt idx="184">
                  <c:v>15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7</c:v>
                </c:pt>
                <c:pt idx="189">
                  <c:v>7</c:v>
                </c:pt>
                <c:pt idx="190">
                  <c:v>8</c:v>
                </c:pt>
                <c:pt idx="191">
                  <c:v>8</c:v>
                </c:pt>
                <c:pt idx="192">
                  <c:v>4.5</c:v>
                </c:pt>
                <c:pt idx="193">
                  <c:v>6</c:v>
                </c:pt>
                <c:pt idx="194">
                  <c:v>5.5</c:v>
                </c:pt>
                <c:pt idx="195">
                  <c:v>5</c:v>
                </c:pt>
                <c:pt idx="196">
                  <c:v>20</c:v>
                </c:pt>
                <c:pt idx="197">
                  <c:v>5</c:v>
                </c:pt>
                <c:pt idx="198">
                  <c:v>1</c:v>
                </c:pt>
                <c:pt idx="199">
                  <c:v>15</c:v>
                </c:pt>
                <c:pt idx="200">
                  <c:v>20</c:v>
                </c:pt>
                <c:pt idx="201">
                  <c:v>2</c:v>
                </c:pt>
                <c:pt idx="202">
                  <c:v>2</c:v>
                </c:pt>
                <c:pt idx="203">
                  <c:v>5</c:v>
                </c:pt>
                <c:pt idx="204">
                  <c:v>4</c:v>
                </c:pt>
                <c:pt idx="205">
                  <c:v>11</c:v>
                </c:pt>
                <c:pt idx="206">
                  <c:v>14</c:v>
                </c:pt>
                <c:pt idx="207">
                  <c:v>10</c:v>
                </c:pt>
                <c:pt idx="208">
                  <c:v>20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2.5</c:v>
                </c:pt>
                <c:pt idx="213">
                  <c:v>15</c:v>
                </c:pt>
                <c:pt idx="214">
                  <c:v>18</c:v>
                </c:pt>
                <c:pt idx="215">
                  <c:v>11</c:v>
                </c:pt>
                <c:pt idx="216">
                  <c:v>7</c:v>
                </c:pt>
                <c:pt idx="217">
                  <c:v>2.4</c:v>
                </c:pt>
                <c:pt idx="218">
                  <c:v>7</c:v>
                </c:pt>
                <c:pt idx="219">
                  <c:v>7</c:v>
                </c:pt>
                <c:pt idx="220">
                  <c:v>12</c:v>
                </c:pt>
                <c:pt idx="221">
                  <c:v>5</c:v>
                </c:pt>
                <c:pt idx="222">
                  <c:v>1</c:v>
                </c:pt>
                <c:pt idx="223">
                  <c:v>4</c:v>
                </c:pt>
                <c:pt idx="224">
                  <c:v>7</c:v>
                </c:pt>
                <c:pt idx="225">
                  <c:v>12</c:v>
                </c:pt>
                <c:pt idx="226">
                  <c:v>20</c:v>
                </c:pt>
                <c:pt idx="227">
                  <c:v>10</c:v>
                </c:pt>
                <c:pt idx="228">
                  <c:v>1.5</c:v>
                </c:pt>
                <c:pt idx="229">
                  <c:v>5</c:v>
                </c:pt>
                <c:pt idx="230">
                  <c:v>2</c:v>
                </c:pt>
                <c:pt idx="231">
                  <c:v>8</c:v>
                </c:pt>
                <c:pt idx="232">
                  <c:v>6</c:v>
                </c:pt>
                <c:pt idx="233">
                  <c:v>10</c:v>
                </c:pt>
                <c:pt idx="234">
                  <c:v>10</c:v>
                </c:pt>
                <c:pt idx="235">
                  <c:v>7</c:v>
                </c:pt>
                <c:pt idx="236">
                  <c:v>15</c:v>
                </c:pt>
                <c:pt idx="237">
                  <c:v>10</c:v>
                </c:pt>
                <c:pt idx="238">
                  <c:v>4</c:v>
                </c:pt>
                <c:pt idx="239">
                  <c:v>10</c:v>
                </c:pt>
                <c:pt idx="240">
                  <c:v>40</c:v>
                </c:pt>
                <c:pt idx="241">
                  <c:v>2</c:v>
                </c:pt>
                <c:pt idx="242">
                  <c:v>15</c:v>
                </c:pt>
                <c:pt idx="243">
                  <c:v>6</c:v>
                </c:pt>
                <c:pt idx="244">
                  <c:v>16</c:v>
                </c:pt>
                <c:pt idx="245">
                  <c:v>2</c:v>
                </c:pt>
                <c:pt idx="246">
                  <c:v>5</c:v>
                </c:pt>
                <c:pt idx="247">
                  <c:v>15</c:v>
                </c:pt>
                <c:pt idx="248">
                  <c:v>5</c:v>
                </c:pt>
                <c:pt idx="249">
                  <c:v>3</c:v>
                </c:pt>
                <c:pt idx="250">
                  <c:v>5</c:v>
                </c:pt>
                <c:pt idx="251">
                  <c:v>13</c:v>
                </c:pt>
                <c:pt idx="252">
                  <c:v>0</c:v>
                </c:pt>
                <c:pt idx="253">
                  <c:v>3</c:v>
                </c:pt>
                <c:pt idx="254">
                  <c:v>1</c:v>
                </c:pt>
                <c:pt idx="255">
                  <c:v>12</c:v>
                </c:pt>
                <c:pt idx="256">
                  <c:v>3</c:v>
                </c:pt>
                <c:pt idx="257">
                  <c:v>3</c:v>
                </c:pt>
                <c:pt idx="258">
                  <c:v>5</c:v>
                </c:pt>
                <c:pt idx="259">
                  <c:v>27</c:v>
                </c:pt>
                <c:pt idx="260">
                  <c:v>5</c:v>
                </c:pt>
                <c:pt idx="261">
                  <c:v>1.1000000000000001</c:v>
                </c:pt>
                <c:pt idx="262">
                  <c:v>7</c:v>
                </c:pt>
                <c:pt idx="263">
                  <c:v>4</c:v>
                </c:pt>
                <c:pt idx="264">
                  <c:v>10</c:v>
                </c:pt>
                <c:pt idx="265">
                  <c:v>2</c:v>
                </c:pt>
                <c:pt idx="266">
                  <c:v>20</c:v>
                </c:pt>
                <c:pt idx="267">
                  <c:v>1</c:v>
                </c:pt>
                <c:pt idx="268">
                  <c:v>6</c:v>
                </c:pt>
                <c:pt idx="269">
                  <c:v>5</c:v>
                </c:pt>
                <c:pt idx="270">
                  <c:v>20</c:v>
                </c:pt>
                <c:pt idx="271">
                  <c:v>18</c:v>
                </c:pt>
                <c:pt idx="272">
                  <c:v>10</c:v>
                </c:pt>
                <c:pt idx="273">
                  <c:v>6</c:v>
                </c:pt>
                <c:pt idx="274">
                  <c:v>9</c:v>
                </c:pt>
                <c:pt idx="275">
                  <c:v>1</c:v>
                </c:pt>
                <c:pt idx="276">
                  <c:v>10</c:v>
                </c:pt>
                <c:pt idx="277">
                  <c:v>2</c:v>
                </c:pt>
                <c:pt idx="278">
                  <c:v>20</c:v>
                </c:pt>
                <c:pt idx="279">
                  <c:v>18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8</c:v>
                </c:pt>
                <c:pt idx="284">
                  <c:v>6.5</c:v>
                </c:pt>
                <c:pt idx="285">
                  <c:v>3.5</c:v>
                </c:pt>
                <c:pt idx="286">
                  <c:v>10</c:v>
                </c:pt>
                <c:pt idx="287">
                  <c:v>15</c:v>
                </c:pt>
                <c:pt idx="288">
                  <c:v>1</c:v>
                </c:pt>
                <c:pt idx="289">
                  <c:v>1</c:v>
                </c:pt>
                <c:pt idx="290">
                  <c:v>10</c:v>
                </c:pt>
                <c:pt idx="291">
                  <c:v>4</c:v>
                </c:pt>
                <c:pt idx="292">
                  <c:v>2</c:v>
                </c:pt>
                <c:pt idx="293">
                  <c:v>5</c:v>
                </c:pt>
                <c:pt idx="294">
                  <c:v>8</c:v>
                </c:pt>
                <c:pt idx="295">
                  <c:v>10</c:v>
                </c:pt>
                <c:pt idx="296">
                  <c:v>15</c:v>
                </c:pt>
                <c:pt idx="297">
                  <c:v>13</c:v>
                </c:pt>
                <c:pt idx="298">
                  <c:v>2</c:v>
                </c:pt>
                <c:pt idx="299">
                  <c:v>8</c:v>
                </c:pt>
                <c:pt idx="300">
                  <c:v>2</c:v>
                </c:pt>
                <c:pt idx="301">
                  <c:v>14</c:v>
                </c:pt>
                <c:pt idx="302">
                  <c:v>15</c:v>
                </c:pt>
                <c:pt idx="303">
                  <c:v>25</c:v>
                </c:pt>
                <c:pt idx="304">
                  <c:v>6</c:v>
                </c:pt>
                <c:pt idx="305">
                  <c:v>4</c:v>
                </c:pt>
                <c:pt idx="306">
                  <c:v>10</c:v>
                </c:pt>
                <c:pt idx="307">
                  <c:v>15</c:v>
                </c:pt>
                <c:pt idx="308">
                  <c:v>8</c:v>
                </c:pt>
                <c:pt idx="309">
                  <c:v>12</c:v>
                </c:pt>
                <c:pt idx="310">
                  <c:v>6</c:v>
                </c:pt>
                <c:pt idx="311">
                  <c:v>18</c:v>
                </c:pt>
                <c:pt idx="312">
                  <c:v>1</c:v>
                </c:pt>
                <c:pt idx="313">
                  <c:v>11</c:v>
                </c:pt>
                <c:pt idx="314">
                  <c:v>10</c:v>
                </c:pt>
                <c:pt idx="315">
                  <c:v>4</c:v>
                </c:pt>
                <c:pt idx="316">
                  <c:v>3</c:v>
                </c:pt>
                <c:pt idx="317">
                  <c:v>3</c:v>
                </c:pt>
                <c:pt idx="318">
                  <c:v>5</c:v>
                </c:pt>
                <c:pt idx="319">
                  <c:v>4</c:v>
                </c:pt>
                <c:pt idx="320">
                  <c:v>20</c:v>
                </c:pt>
                <c:pt idx="321">
                  <c:v>1</c:v>
                </c:pt>
                <c:pt idx="322">
                  <c:v>6</c:v>
                </c:pt>
                <c:pt idx="323">
                  <c:v>4</c:v>
                </c:pt>
                <c:pt idx="324">
                  <c:v>5</c:v>
                </c:pt>
                <c:pt idx="325">
                  <c:v>15</c:v>
                </c:pt>
                <c:pt idx="326">
                  <c:v>10</c:v>
                </c:pt>
                <c:pt idx="327">
                  <c:v>8</c:v>
                </c:pt>
                <c:pt idx="328">
                  <c:v>8</c:v>
                </c:pt>
                <c:pt idx="329">
                  <c:v>17</c:v>
                </c:pt>
                <c:pt idx="330">
                  <c:v>5</c:v>
                </c:pt>
                <c:pt idx="331">
                  <c:v>3</c:v>
                </c:pt>
                <c:pt idx="332">
                  <c:v>5</c:v>
                </c:pt>
                <c:pt idx="333">
                  <c:v>3</c:v>
                </c:pt>
                <c:pt idx="334">
                  <c:v>10</c:v>
                </c:pt>
                <c:pt idx="335">
                  <c:v>13</c:v>
                </c:pt>
                <c:pt idx="336">
                  <c:v>3.5</c:v>
                </c:pt>
                <c:pt idx="337">
                  <c:v>6</c:v>
                </c:pt>
                <c:pt idx="338">
                  <c:v>6</c:v>
                </c:pt>
                <c:pt idx="339">
                  <c:v>9</c:v>
                </c:pt>
                <c:pt idx="340">
                  <c:v>5</c:v>
                </c:pt>
                <c:pt idx="341">
                  <c:v>10</c:v>
                </c:pt>
                <c:pt idx="342">
                  <c:v>10</c:v>
                </c:pt>
                <c:pt idx="343">
                  <c:v>3</c:v>
                </c:pt>
                <c:pt idx="344">
                  <c:v>2</c:v>
                </c:pt>
                <c:pt idx="345">
                  <c:v>5</c:v>
                </c:pt>
                <c:pt idx="346">
                  <c:v>9</c:v>
                </c:pt>
                <c:pt idx="347">
                  <c:v>6</c:v>
                </c:pt>
                <c:pt idx="348">
                  <c:v>15</c:v>
                </c:pt>
                <c:pt idx="349">
                  <c:v>20</c:v>
                </c:pt>
                <c:pt idx="350">
                  <c:v>16</c:v>
                </c:pt>
                <c:pt idx="351">
                  <c:v>0.5</c:v>
                </c:pt>
                <c:pt idx="352">
                  <c:v>11</c:v>
                </c:pt>
                <c:pt idx="353">
                  <c:v>8</c:v>
                </c:pt>
                <c:pt idx="354">
                  <c:v>7</c:v>
                </c:pt>
                <c:pt idx="355">
                  <c:v>4</c:v>
                </c:pt>
                <c:pt idx="356">
                  <c:v>8</c:v>
                </c:pt>
                <c:pt idx="357">
                  <c:v>8</c:v>
                </c:pt>
                <c:pt idx="358">
                  <c:v>25</c:v>
                </c:pt>
                <c:pt idx="359">
                  <c:v>3</c:v>
                </c:pt>
                <c:pt idx="360">
                  <c:v>4</c:v>
                </c:pt>
                <c:pt idx="361">
                  <c:v>20</c:v>
                </c:pt>
                <c:pt idx="362">
                  <c:v>3</c:v>
                </c:pt>
                <c:pt idx="363">
                  <c:v>10</c:v>
                </c:pt>
                <c:pt idx="364">
                  <c:v>15</c:v>
                </c:pt>
                <c:pt idx="365">
                  <c:v>8</c:v>
                </c:pt>
                <c:pt idx="366">
                  <c:v>5</c:v>
                </c:pt>
                <c:pt idx="367">
                  <c:v>8</c:v>
                </c:pt>
                <c:pt idx="368">
                  <c:v>1</c:v>
                </c:pt>
                <c:pt idx="369">
                  <c:v>8</c:v>
                </c:pt>
                <c:pt idx="370">
                  <c:v>6</c:v>
                </c:pt>
                <c:pt idx="371">
                  <c:v>12</c:v>
                </c:pt>
                <c:pt idx="372">
                  <c:v>30</c:v>
                </c:pt>
                <c:pt idx="373">
                  <c:v>10</c:v>
                </c:pt>
                <c:pt idx="374">
                  <c:v>3</c:v>
                </c:pt>
                <c:pt idx="375">
                  <c:v>4</c:v>
                </c:pt>
                <c:pt idx="376">
                  <c:v>2</c:v>
                </c:pt>
                <c:pt idx="377">
                  <c:v>11</c:v>
                </c:pt>
                <c:pt idx="378">
                  <c:v>4</c:v>
                </c:pt>
                <c:pt idx="379">
                  <c:v>2</c:v>
                </c:pt>
                <c:pt idx="380">
                  <c:v>3</c:v>
                </c:pt>
                <c:pt idx="381">
                  <c:v>4.5</c:v>
                </c:pt>
                <c:pt idx="382">
                  <c:v>4</c:v>
                </c:pt>
                <c:pt idx="383">
                  <c:v>15</c:v>
                </c:pt>
                <c:pt idx="384">
                  <c:v>4</c:v>
                </c:pt>
                <c:pt idx="385">
                  <c:v>10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10</c:v>
                </c:pt>
                <c:pt idx="391">
                  <c:v>20</c:v>
                </c:pt>
                <c:pt idx="392">
                  <c:v>25</c:v>
                </c:pt>
                <c:pt idx="393">
                  <c:v>20</c:v>
                </c:pt>
                <c:pt idx="394">
                  <c:v>13</c:v>
                </c:pt>
                <c:pt idx="395">
                  <c:v>2</c:v>
                </c:pt>
                <c:pt idx="396">
                  <c:v>5</c:v>
                </c:pt>
                <c:pt idx="397">
                  <c:v>6</c:v>
                </c:pt>
                <c:pt idx="398">
                  <c:v>3</c:v>
                </c:pt>
                <c:pt idx="399">
                  <c:v>1</c:v>
                </c:pt>
                <c:pt idx="400">
                  <c:v>1.5</c:v>
                </c:pt>
                <c:pt idx="401">
                  <c:v>20</c:v>
                </c:pt>
                <c:pt idx="402">
                  <c:v>2</c:v>
                </c:pt>
                <c:pt idx="403">
                  <c:v>2</c:v>
                </c:pt>
                <c:pt idx="404">
                  <c:v>15</c:v>
                </c:pt>
                <c:pt idx="405">
                  <c:v>5</c:v>
                </c:pt>
                <c:pt idx="406">
                  <c:v>15</c:v>
                </c:pt>
                <c:pt idx="407">
                  <c:v>4</c:v>
                </c:pt>
                <c:pt idx="408">
                  <c:v>3</c:v>
                </c:pt>
                <c:pt idx="409">
                  <c:v>10</c:v>
                </c:pt>
                <c:pt idx="410">
                  <c:v>8</c:v>
                </c:pt>
                <c:pt idx="411">
                  <c:v>7</c:v>
                </c:pt>
                <c:pt idx="412">
                  <c:v>8</c:v>
                </c:pt>
                <c:pt idx="413">
                  <c:v>2.5</c:v>
                </c:pt>
                <c:pt idx="414">
                  <c:v>35</c:v>
                </c:pt>
                <c:pt idx="415">
                  <c:v>3</c:v>
                </c:pt>
                <c:pt idx="416">
                  <c:v>2</c:v>
                </c:pt>
                <c:pt idx="417">
                  <c:v>4</c:v>
                </c:pt>
                <c:pt idx="418">
                  <c:v>10</c:v>
                </c:pt>
                <c:pt idx="419">
                  <c:v>6</c:v>
                </c:pt>
                <c:pt idx="420">
                  <c:v>6</c:v>
                </c:pt>
                <c:pt idx="421">
                  <c:v>20</c:v>
                </c:pt>
                <c:pt idx="422">
                  <c:v>5</c:v>
                </c:pt>
                <c:pt idx="423">
                  <c:v>4</c:v>
                </c:pt>
                <c:pt idx="424">
                  <c:v>3</c:v>
                </c:pt>
                <c:pt idx="425">
                  <c:v>0</c:v>
                </c:pt>
                <c:pt idx="426">
                  <c:v>6</c:v>
                </c:pt>
                <c:pt idx="427">
                  <c:v>7</c:v>
                </c:pt>
                <c:pt idx="428">
                  <c:v>2</c:v>
                </c:pt>
                <c:pt idx="429">
                  <c:v>25</c:v>
                </c:pt>
                <c:pt idx="430">
                  <c:v>6</c:v>
                </c:pt>
                <c:pt idx="431">
                  <c:v>8</c:v>
                </c:pt>
                <c:pt idx="432">
                  <c:v>10</c:v>
                </c:pt>
                <c:pt idx="433">
                  <c:v>3</c:v>
                </c:pt>
                <c:pt idx="434">
                  <c:v>7</c:v>
                </c:pt>
                <c:pt idx="435">
                  <c:v>14</c:v>
                </c:pt>
                <c:pt idx="436">
                  <c:v>8</c:v>
                </c:pt>
                <c:pt idx="437">
                  <c:v>1</c:v>
                </c:pt>
                <c:pt idx="438">
                  <c:v>8</c:v>
                </c:pt>
                <c:pt idx="439">
                  <c:v>2</c:v>
                </c:pt>
                <c:pt idx="440">
                  <c:v>2.5</c:v>
                </c:pt>
                <c:pt idx="441">
                  <c:v>3</c:v>
                </c:pt>
                <c:pt idx="442">
                  <c:v>6</c:v>
                </c:pt>
                <c:pt idx="443">
                  <c:v>4</c:v>
                </c:pt>
                <c:pt idx="444">
                  <c:v>3</c:v>
                </c:pt>
                <c:pt idx="445">
                  <c:v>3</c:v>
                </c:pt>
                <c:pt idx="446">
                  <c:v>6</c:v>
                </c:pt>
                <c:pt idx="447">
                  <c:v>6</c:v>
                </c:pt>
                <c:pt idx="448">
                  <c:v>15</c:v>
                </c:pt>
                <c:pt idx="449">
                  <c:v>15</c:v>
                </c:pt>
                <c:pt idx="450">
                  <c:v>5</c:v>
                </c:pt>
                <c:pt idx="451">
                  <c:v>9</c:v>
                </c:pt>
                <c:pt idx="452">
                  <c:v>4</c:v>
                </c:pt>
                <c:pt idx="453">
                  <c:v>13</c:v>
                </c:pt>
                <c:pt idx="454">
                  <c:v>5</c:v>
                </c:pt>
                <c:pt idx="455">
                  <c:v>3.5</c:v>
                </c:pt>
                <c:pt idx="456">
                  <c:v>4</c:v>
                </c:pt>
                <c:pt idx="457">
                  <c:v>5</c:v>
                </c:pt>
                <c:pt idx="458">
                  <c:v>5</c:v>
                </c:pt>
                <c:pt idx="459">
                  <c:v>4.5999999999999996</c:v>
                </c:pt>
                <c:pt idx="460">
                  <c:v>2</c:v>
                </c:pt>
                <c:pt idx="461">
                  <c:v>10</c:v>
                </c:pt>
                <c:pt idx="462">
                  <c:v>3.5</c:v>
                </c:pt>
                <c:pt idx="463">
                  <c:v>5</c:v>
                </c:pt>
                <c:pt idx="464">
                  <c:v>3</c:v>
                </c:pt>
                <c:pt idx="465">
                  <c:v>5</c:v>
                </c:pt>
                <c:pt idx="466">
                  <c:v>10</c:v>
                </c:pt>
                <c:pt idx="467">
                  <c:v>25</c:v>
                </c:pt>
                <c:pt idx="468">
                  <c:v>12</c:v>
                </c:pt>
                <c:pt idx="469">
                  <c:v>5</c:v>
                </c:pt>
                <c:pt idx="470">
                  <c:v>8</c:v>
                </c:pt>
                <c:pt idx="471">
                  <c:v>7</c:v>
                </c:pt>
                <c:pt idx="472">
                  <c:v>8</c:v>
                </c:pt>
                <c:pt idx="473">
                  <c:v>4</c:v>
                </c:pt>
                <c:pt idx="474">
                  <c:v>5</c:v>
                </c:pt>
                <c:pt idx="475">
                  <c:v>5</c:v>
                </c:pt>
                <c:pt idx="476">
                  <c:v>15</c:v>
                </c:pt>
                <c:pt idx="477">
                  <c:v>6</c:v>
                </c:pt>
                <c:pt idx="478">
                  <c:v>3</c:v>
                </c:pt>
                <c:pt idx="479">
                  <c:v>10</c:v>
                </c:pt>
                <c:pt idx="480">
                  <c:v>2</c:v>
                </c:pt>
                <c:pt idx="481">
                  <c:v>8</c:v>
                </c:pt>
                <c:pt idx="482">
                  <c:v>4</c:v>
                </c:pt>
                <c:pt idx="483">
                  <c:v>16</c:v>
                </c:pt>
                <c:pt idx="484">
                  <c:v>8</c:v>
                </c:pt>
                <c:pt idx="485">
                  <c:v>20</c:v>
                </c:pt>
                <c:pt idx="486">
                  <c:v>10</c:v>
                </c:pt>
                <c:pt idx="487">
                  <c:v>5</c:v>
                </c:pt>
                <c:pt idx="488">
                  <c:v>16</c:v>
                </c:pt>
                <c:pt idx="489">
                  <c:v>7</c:v>
                </c:pt>
                <c:pt idx="490">
                  <c:v>7</c:v>
                </c:pt>
                <c:pt idx="491">
                  <c:v>5</c:v>
                </c:pt>
                <c:pt idx="492">
                  <c:v>3</c:v>
                </c:pt>
                <c:pt idx="493">
                  <c:v>8</c:v>
                </c:pt>
                <c:pt idx="494">
                  <c:v>7</c:v>
                </c:pt>
                <c:pt idx="495">
                  <c:v>1</c:v>
                </c:pt>
                <c:pt idx="496">
                  <c:v>26</c:v>
                </c:pt>
                <c:pt idx="497">
                  <c:v>9</c:v>
                </c:pt>
                <c:pt idx="498">
                  <c:v>0</c:v>
                </c:pt>
                <c:pt idx="499">
                  <c:v>5</c:v>
                </c:pt>
                <c:pt idx="500">
                  <c:v>10</c:v>
                </c:pt>
                <c:pt idx="501">
                  <c:v>12</c:v>
                </c:pt>
                <c:pt idx="502">
                  <c:v>6</c:v>
                </c:pt>
                <c:pt idx="503">
                  <c:v>3.5</c:v>
                </c:pt>
                <c:pt idx="504">
                  <c:v>15</c:v>
                </c:pt>
                <c:pt idx="505">
                  <c:v>10</c:v>
                </c:pt>
                <c:pt idx="506">
                  <c:v>9</c:v>
                </c:pt>
                <c:pt idx="507">
                  <c:v>4</c:v>
                </c:pt>
                <c:pt idx="508">
                  <c:v>1</c:v>
                </c:pt>
                <c:pt idx="509">
                  <c:v>8</c:v>
                </c:pt>
                <c:pt idx="510">
                  <c:v>10</c:v>
                </c:pt>
                <c:pt idx="511">
                  <c:v>1</c:v>
                </c:pt>
                <c:pt idx="512">
                  <c:v>22</c:v>
                </c:pt>
                <c:pt idx="513">
                  <c:v>30</c:v>
                </c:pt>
                <c:pt idx="514">
                  <c:v>3</c:v>
                </c:pt>
                <c:pt idx="515">
                  <c:v>3</c:v>
                </c:pt>
                <c:pt idx="516">
                  <c:v>10</c:v>
                </c:pt>
                <c:pt idx="517">
                  <c:v>25</c:v>
                </c:pt>
                <c:pt idx="518">
                  <c:v>5</c:v>
                </c:pt>
                <c:pt idx="519">
                  <c:v>7</c:v>
                </c:pt>
                <c:pt idx="520">
                  <c:v>23</c:v>
                </c:pt>
                <c:pt idx="521">
                  <c:v>3</c:v>
                </c:pt>
                <c:pt idx="522">
                  <c:v>4</c:v>
                </c:pt>
                <c:pt idx="523">
                  <c:v>10</c:v>
                </c:pt>
                <c:pt idx="524">
                  <c:v>20</c:v>
                </c:pt>
                <c:pt idx="525">
                  <c:v>11</c:v>
                </c:pt>
                <c:pt idx="526">
                  <c:v>10</c:v>
                </c:pt>
                <c:pt idx="527">
                  <c:v>8</c:v>
                </c:pt>
                <c:pt idx="528">
                  <c:v>14</c:v>
                </c:pt>
                <c:pt idx="529">
                  <c:v>3</c:v>
                </c:pt>
                <c:pt idx="530">
                  <c:v>4</c:v>
                </c:pt>
                <c:pt idx="531">
                  <c:v>20</c:v>
                </c:pt>
                <c:pt idx="532">
                  <c:v>15</c:v>
                </c:pt>
                <c:pt idx="533">
                  <c:v>10</c:v>
                </c:pt>
                <c:pt idx="534">
                  <c:v>5</c:v>
                </c:pt>
                <c:pt idx="535">
                  <c:v>6</c:v>
                </c:pt>
                <c:pt idx="536">
                  <c:v>3</c:v>
                </c:pt>
                <c:pt idx="537">
                  <c:v>8</c:v>
                </c:pt>
                <c:pt idx="538">
                  <c:v>5</c:v>
                </c:pt>
                <c:pt idx="539">
                  <c:v>10</c:v>
                </c:pt>
                <c:pt idx="540">
                  <c:v>15</c:v>
                </c:pt>
                <c:pt idx="541">
                  <c:v>8</c:v>
                </c:pt>
                <c:pt idx="542">
                  <c:v>3</c:v>
                </c:pt>
                <c:pt idx="543">
                  <c:v>7</c:v>
                </c:pt>
                <c:pt idx="544">
                  <c:v>15</c:v>
                </c:pt>
                <c:pt idx="545">
                  <c:v>14</c:v>
                </c:pt>
                <c:pt idx="546">
                  <c:v>5</c:v>
                </c:pt>
                <c:pt idx="547">
                  <c:v>16</c:v>
                </c:pt>
                <c:pt idx="548">
                  <c:v>7</c:v>
                </c:pt>
                <c:pt idx="549">
                  <c:v>1</c:v>
                </c:pt>
                <c:pt idx="550">
                  <c:v>4</c:v>
                </c:pt>
                <c:pt idx="551">
                  <c:v>12</c:v>
                </c:pt>
                <c:pt idx="552">
                  <c:v>8</c:v>
                </c:pt>
                <c:pt idx="553">
                  <c:v>14</c:v>
                </c:pt>
                <c:pt idx="554">
                  <c:v>22</c:v>
                </c:pt>
                <c:pt idx="555">
                  <c:v>9</c:v>
                </c:pt>
                <c:pt idx="556">
                  <c:v>5</c:v>
                </c:pt>
                <c:pt idx="557">
                  <c:v>2</c:v>
                </c:pt>
                <c:pt idx="558">
                  <c:v>14</c:v>
                </c:pt>
                <c:pt idx="559">
                  <c:v>10</c:v>
                </c:pt>
                <c:pt idx="560">
                  <c:v>2</c:v>
                </c:pt>
                <c:pt idx="561">
                  <c:v>20</c:v>
                </c:pt>
                <c:pt idx="562">
                  <c:v>5</c:v>
                </c:pt>
                <c:pt idx="563">
                  <c:v>2</c:v>
                </c:pt>
                <c:pt idx="564">
                  <c:v>5</c:v>
                </c:pt>
                <c:pt idx="565">
                  <c:v>14</c:v>
                </c:pt>
                <c:pt idx="566">
                  <c:v>5</c:v>
                </c:pt>
                <c:pt idx="567">
                  <c:v>15</c:v>
                </c:pt>
                <c:pt idx="568">
                  <c:v>4</c:v>
                </c:pt>
                <c:pt idx="569">
                  <c:v>2</c:v>
                </c:pt>
                <c:pt idx="570">
                  <c:v>6</c:v>
                </c:pt>
                <c:pt idx="571">
                  <c:v>20</c:v>
                </c:pt>
                <c:pt idx="572">
                  <c:v>10</c:v>
                </c:pt>
                <c:pt idx="573">
                  <c:v>5</c:v>
                </c:pt>
                <c:pt idx="574">
                  <c:v>20</c:v>
                </c:pt>
                <c:pt idx="575">
                  <c:v>5</c:v>
                </c:pt>
                <c:pt idx="576">
                  <c:v>20</c:v>
                </c:pt>
                <c:pt idx="577">
                  <c:v>10</c:v>
                </c:pt>
                <c:pt idx="578">
                  <c:v>10</c:v>
                </c:pt>
                <c:pt idx="579">
                  <c:v>13</c:v>
                </c:pt>
                <c:pt idx="580">
                  <c:v>5</c:v>
                </c:pt>
                <c:pt idx="581">
                  <c:v>5</c:v>
                </c:pt>
                <c:pt idx="582">
                  <c:v>15</c:v>
                </c:pt>
                <c:pt idx="583">
                  <c:v>20</c:v>
                </c:pt>
                <c:pt idx="584">
                  <c:v>6</c:v>
                </c:pt>
                <c:pt idx="585">
                  <c:v>25</c:v>
                </c:pt>
                <c:pt idx="586">
                  <c:v>17</c:v>
                </c:pt>
                <c:pt idx="587">
                  <c:v>2</c:v>
                </c:pt>
                <c:pt idx="588">
                  <c:v>4</c:v>
                </c:pt>
                <c:pt idx="589">
                  <c:v>3</c:v>
                </c:pt>
                <c:pt idx="590">
                  <c:v>20</c:v>
                </c:pt>
                <c:pt idx="591">
                  <c:v>20</c:v>
                </c:pt>
                <c:pt idx="592">
                  <c:v>14</c:v>
                </c:pt>
                <c:pt idx="593">
                  <c:v>5</c:v>
                </c:pt>
                <c:pt idx="594">
                  <c:v>15</c:v>
                </c:pt>
                <c:pt idx="595">
                  <c:v>7</c:v>
                </c:pt>
                <c:pt idx="596">
                  <c:v>0.8</c:v>
                </c:pt>
                <c:pt idx="597">
                  <c:v>18</c:v>
                </c:pt>
                <c:pt idx="598">
                  <c:v>4</c:v>
                </c:pt>
                <c:pt idx="599">
                  <c:v>15</c:v>
                </c:pt>
                <c:pt idx="600">
                  <c:v>6</c:v>
                </c:pt>
                <c:pt idx="601">
                  <c:v>6</c:v>
                </c:pt>
                <c:pt idx="602">
                  <c:v>21</c:v>
                </c:pt>
                <c:pt idx="603">
                  <c:v>5</c:v>
                </c:pt>
                <c:pt idx="604">
                  <c:v>2</c:v>
                </c:pt>
                <c:pt idx="605">
                  <c:v>9</c:v>
                </c:pt>
                <c:pt idx="606">
                  <c:v>1</c:v>
                </c:pt>
                <c:pt idx="607">
                  <c:v>1.5</c:v>
                </c:pt>
                <c:pt idx="608">
                  <c:v>25</c:v>
                </c:pt>
                <c:pt idx="609">
                  <c:v>10</c:v>
                </c:pt>
                <c:pt idx="610">
                  <c:v>21</c:v>
                </c:pt>
                <c:pt idx="611">
                  <c:v>12</c:v>
                </c:pt>
                <c:pt idx="612">
                  <c:v>2</c:v>
                </c:pt>
                <c:pt idx="613">
                  <c:v>8</c:v>
                </c:pt>
                <c:pt idx="614">
                  <c:v>10</c:v>
                </c:pt>
                <c:pt idx="615">
                  <c:v>10</c:v>
                </c:pt>
                <c:pt idx="616">
                  <c:v>7</c:v>
                </c:pt>
                <c:pt idx="617">
                  <c:v>2</c:v>
                </c:pt>
                <c:pt idx="618">
                  <c:v>7.9</c:v>
                </c:pt>
                <c:pt idx="619">
                  <c:v>9</c:v>
                </c:pt>
                <c:pt idx="620">
                  <c:v>25</c:v>
                </c:pt>
                <c:pt idx="621">
                  <c:v>2</c:v>
                </c:pt>
                <c:pt idx="622">
                  <c:v>6</c:v>
                </c:pt>
                <c:pt idx="623">
                  <c:v>20</c:v>
                </c:pt>
                <c:pt idx="624">
                  <c:v>3</c:v>
                </c:pt>
                <c:pt idx="625">
                  <c:v>15</c:v>
                </c:pt>
                <c:pt idx="626">
                  <c:v>13</c:v>
                </c:pt>
                <c:pt idx="627">
                  <c:v>1.5</c:v>
                </c:pt>
                <c:pt idx="628">
                  <c:v>10</c:v>
                </c:pt>
                <c:pt idx="629">
                  <c:v>10</c:v>
                </c:pt>
                <c:pt idx="630">
                  <c:v>1</c:v>
                </c:pt>
                <c:pt idx="631">
                  <c:v>12</c:v>
                </c:pt>
                <c:pt idx="632">
                  <c:v>14</c:v>
                </c:pt>
                <c:pt idx="633">
                  <c:v>13</c:v>
                </c:pt>
                <c:pt idx="634">
                  <c:v>6</c:v>
                </c:pt>
                <c:pt idx="635">
                  <c:v>5</c:v>
                </c:pt>
                <c:pt idx="636">
                  <c:v>25</c:v>
                </c:pt>
                <c:pt idx="637">
                  <c:v>3</c:v>
                </c:pt>
                <c:pt idx="638">
                  <c:v>12</c:v>
                </c:pt>
                <c:pt idx="639">
                  <c:v>4</c:v>
                </c:pt>
                <c:pt idx="640">
                  <c:v>3</c:v>
                </c:pt>
                <c:pt idx="641">
                  <c:v>10</c:v>
                </c:pt>
                <c:pt idx="642">
                  <c:v>13</c:v>
                </c:pt>
                <c:pt idx="643">
                  <c:v>15</c:v>
                </c:pt>
                <c:pt idx="644">
                  <c:v>5</c:v>
                </c:pt>
                <c:pt idx="645">
                  <c:v>30</c:v>
                </c:pt>
                <c:pt idx="646">
                  <c:v>2</c:v>
                </c:pt>
                <c:pt idx="647">
                  <c:v>8.5</c:v>
                </c:pt>
                <c:pt idx="648">
                  <c:v>6</c:v>
                </c:pt>
                <c:pt idx="649">
                  <c:v>6</c:v>
                </c:pt>
                <c:pt idx="650">
                  <c:v>11</c:v>
                </c:pt>
                <c:pt idx="651">
                  <c:v>25</c:v>
                </c:pt>
                <c:pt idx="652">
                  <c:v>1</c:v>
                </c:pt>
                <c:pt idx="653">
                  <c:v>6</c:v>
                </c:pt>
                <c:pt idx="654">
                  <c:v>15</c:v>
                </c:pt>
                <c:pt idx="655">
                  <c:v>2</c:v>
                </c:pt>
                <c:pt idx="656">
                  <c:v>8</c:v>
                </c:pt>
                <c:pt idx="657">
                  <c:v>1</c:v>
                </c:pt>
                <c:pt idx="658">
                  <c:v>12</c:v>
                </c:pt>
                <c:pt idx="659">
                  <c:v>15</c:v>
                </c:pt>
                <c:pt idx="660">
                  <c:v>10</c:v>
                </c:pt>
                <c:pt idx="661">
                  <c:v>12</c:v>
                </c:pt>
                <c:pt idx="662">
                  <c:v>8</c:v>
                </c:pt>
                <c:pt idx="663">
                  <c:v>20</c:v>
                </c:pt>
                <c:pt idx="664">
                  <c:v>10</c:v>
                </c:pt>
                <c:pt idx="665">
                  <c:v>3</c:v>
                </c:pt>
                <c:pt idx="666">
                  <c:v>14</c:v>
                </c:pt>
                <c:pt idx="667">
                  <c:v>1</c:v>
                </c:pt>
                <c:pt idx="668">
                  <c:v>2</c:v>
                </c:pt>
                <c:pt idx="669">
                  <c:v>10</c:v>
                </c:pt>
                <c:pt idx="670">
                  <c:v>17</c:v>
                </c:pt>
                <c:pt idx="671">
                  <c:v>5</c:v>
                </c:pt>
                <c:pt idx="672">
                  <c:v>10</c:v>
                </c:pt>
                <c:pt idx="673">
                  <c:v>7</c:v>
                </c:pt>
                <c:pt idx="674">
                  <c:v>25</c:v>
                </c:pt>
                <c:pt idx="675">
                  <c:v>1</c:v>
                </c:pt>
                <c:pt idx="676">
                  <c:v>25</c:v>
                </c:pt>
                <c:pt idx="677">
                  <c:v>16</c:v>
                </c:pt>
                <c:pt idx="678">
                  <c:v>5</c:v>
                </c:pt>
                <c:pt idx="679">
                  <c:v>15</c:v>
                </c:pt>
                <c:pt idx="680">
                  <c:v>1</c:v>
                </c:pt>
                <c:pt idx="681">
                  <c:v>6</c:v>
                </c:pt>
                <c:pt idx="682">
                  <c:v>15</c:v>
                </c:pt>
                <c:pt idx="683">
                  <c:v>2</c:v>
                </c:pt>
                <c:pt idx="684">
                  <c:v>2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18</c:v>
                </c:pt>
                <c:pt idx="689">
                  <c:v>12</c:v>
                </c:pt>
                <c:pt idx="690">
                  <c:v>10</c:v>
                </c:pt>
                <c:pt idx="691">
                  <c:v>15</c:v>
                </c:pt>
                <c:pt idx="692">
                  <c:v>4</c:v>
                </c:pt>
                <c:pt idx="693">
                  <c:v>20</c:v>
                </c:pt>
                <c:pt idx="694">
                  <c:v>3</c:v>
                </c:pt>
                <c:pt idx="695">
                  <c:v>2</c:v>
                </c:pt>
                <c:pt idx="696">
                  <c:v>8</c:v>
                </c:pt>
                <c:pt idx="697">
                  <c:v>7</c:v>
                </c:pt>
                <c:pt idx="698">
                  <c:v>12</c:v>
                </c:pt>
                <c:pt idx="699">
                  <c:v>29</c:v>
                </c:pt>
                <c:pt idx="700">
                  <c:v>20</c:v>
                </c:pt>
                <c:pt idx="701">
                  <c:v>10</c:v>
                </c:pt>
                <c:pt idx="702">
                  <c:v>6</c:v>
                </c:pt>
                <c:pt idx="703">
                  <c:v>3</c:v>
                </c:pt>
                <c:pt idx="704">
                  <c:v>10</c:v>
                </c:pt>
                <c:pt idx="705">
                  <c:v>10</c:v>
                </c:pt>
                <c:pt idx="706">
                  <c:v>8</c:v>
                </c:pt>
                <c:pt idx="707">
                  <c:v>27</c:v>
                </c:pt>
                <c:pt idx="708">
                  <c:v>6</c:v>
                </c:pt>
                <c:pt idx="709">
                  <c:v>12</c:v>
                </c:pt>
                <c:pt idx="710">
                  <c:v>5</c:v>
                </c:pt>
                <c:pt idx="711">
                  <c:v>3</c:v>
                </c:pt>
                <c:pt idx="712">
                  <c:v>10</c:v>
                </c:pt>
                <c:pt idx="713">
                  <c:v>12</c:v>
                </c:pt>
                <c:pt idx="714">
                  <c:v>4</c:v>
                </c:pt>
                <c:pt idx="715">
                  <c:v>7</c:v>
                </c:pt>
                <c:pt idx="716">
                  <c:v>12</c:v>
                </c:pt>
                <c:pt idx="717">
                  <c:v>1</c:v>
                </c:pt>
                <c:pt idx="718">
                  <c:v>15</c:v>
                </c:pt>
                <c:pt idx="719">
                  <c:v>2</c:v>
                </c:pt>
                <c:pt idx="720">
                  <c:v>1.5</c:v>
                </c:pt>
                <c:pt idx="721">
                  <c:v>8</c:v>
                </c:pt>
                <c:pt idx="722">
                  <c:v>6</c:v>
                </c:pt>
                <c:pt idx="723">
                  <c:v>7</c:v>
                </c:pt>
                <c:pt idx="724">
                  <c:v>17</c:v>
                </c:pt>
                <c:pt idx="725">
                  <c:v>10</c:v>
                </c:pt>
                <c:pt idx="726">
                  <c:v>30</c:v>
                </c:pt>
                <c:pt idx="727">
                  <c:v>5</c:v>
                </c:pt>
                <c:pt idx="728">
                  <c:v>2</c:v>
                </c:pt>
                <c:pt idx="729">
                  <c:v>10</c:v>
                </c:pt>
                <c:pt idx="730">
                  <c:v>4.5</c:v>
                </c:pt>
                <c:pt idx="731">
                  <c:v>8</c:v>
                </c:pt>
                <c:pt idx="732">
                  <c:v>3</c:v>
                </c:pt>
                <c:pt idx="733">
                  <c:v>6</c:v>
                </c:pt>
                <c:pt idx="734">
                  <c:v>5</c:v>
                </c:pt>
                <c:pt idx="735">
                  <c:v>20</c:v>
                </c:pt>
                <c:pt idx="736">
                  <c:v>2</c:v>
                </c:pt>
                <c:pt idx="737">
                  <c:v>9</c:v>
                </c:pt>
                <c:pt idx="738">
                  <c:v>28</c:v>
                </c:pt>
                <c:pt idx="739">
                  <c:v>25</c:v>
                </c:pt>
                <c:pt idx="740">
                  <c:v>7</c:v>
                </c:pt>
                <c:pt idx="741">
                  <c:v>10</c:v>
                </c:pt>
                <c:pt idx="742">
                  <c:v>0.1</c:v>
                </c:pt>
                <c:pt idx="743">
                  <c:v>10</c:v>
                </c:pt>
                <c:pt idx="744">
                  <c:v>0.5</c:v>
                </c:pt>
                <c:pt idx="745">
                  <c:v>0.6</c:v>
                </c:pt>
                <c:pt idx="746">
                  <c:v>1</c:v>
                </c:pt>
                <c:pt idx="747">
                  <c:v>7</c:v>
                </c:pt>
                <c:pt idx="748">
                  <c:v>2</c:v>
                </c:pt>
                <c:pt idx="749">
                  <c:v>16</c:v>
                </c:pt>
                <c:pt idx="750">
                  <c:v>4</c:v>
                </c:pt>
                <c:pt idx="751">
                  <c:v>12</c:v>
                </c:pt>
                <c:pt idx="752">
                  <c:v>4</c:v>
                </c:pt>
                <c:pt idx="753">
                  <c:v>15</c:v>
                </c:pt>
                <c:pt idx="754">
                  <c:v>5</c:v>
                </c:pt>
                <c:pt idx="755">
                  <c:v>20</c:v>
                </c:pt>
                <c:pt idx="756">
                  <c:v>3</c:v>
                </c:pt>
                <c:pt idx="757">
                  <c:v>5</c:v>
                </c:pt>
                <c:pt idx="758">
                  <c:v>2</c:v>
                </c:pt>
                <c:pt idx="759">
                  <c:v>7</c:v>
                </c:pt>
                <c:pt idx="760">
                  <c:v>21</c:v>
                </c:pt>
                <c:pt idx="761">
                  <c:v>12</c:v>
                </c:pt>
                <c:pt idx="762">
                  <c:v>4</c:v>
                </c:pt>
                <c:pt idx="763">
                  <c:v>4</c:v>
                </c:pt>
                <c:pt idx="764">
                  <c:v>4.5</c:v>
                </c:pt>
                <c:pt idx="765">
                  <c:v>6.4</c:v>
                </c:pt>
                <c:pt idx="766">
                  <c:v>15</c:v>
                </c:pt>
                <c:pt idx="767">
                  <c:v>6</c:v>
                </c:pt>
                <c:pt idx="768">
                  <c:v>5</c:v>
                </c:pt>
                <c:pt idx="769">
                  <c:v>15</c:v>
                </c:pt>
                <c:pt idx="770">
                  <c:v>14</c:v>
                </c:pt>
                <c:pt idx="771">
                  <c:v>3</c:v>
                </c:pt>
                <c:pt idx="772">
                  <c:v>5.5</c:v>
                </c:pt>
                <c:pt idx="773">
                  <c:v>2</c:v>
                </c:pt>
                <c:pt idx="774">
                  <c:v>30</c:v>
                </c:pt>
                <c:pt idx="775">
                  <c:v>15</c:v>
                </c:pt>
                <c:pt idx="776">
                  <c:v>20</c:v>
                </c:pt>
                <c:pt idx="777">
                  <c:v>7</c:v>
                </c:pt>
                <c:pt idx="778">
                  <c:v>8</c:v>
                </c:pt>
                <c:pt idx="779">
                  <c:v>10</c:v>
                </c:pt>
                <c:pt idx="780">
                  <c:v>1</c:v>
                </c:pt>
                <c:pt idx="781">
                  <c:v>7</c:v>
                </c:pt>
                <c:pt idx="782">
                  <c:v>25</c:v>
                </c:pt>
                <c:pt idx="783">
                  <c:v>12</c:v>
                </c:pt>
                <c:pt idx="784">
                  <c:v>5.6</c:v>
                </c:pt>
                <c:pt idx="785">
                  <c:v>12</c:v>
                </c:pt>
                <c:pt idx="786">
                  <c:v>8</c:v>
                </c:pt>
                <c:pt idx="787">
                  <c:v>30</c:v>
                </c:pt>
                <c:pt idx="788">
                  <c:v>15</c:v>
                </c:pt>
                <c:pt idx="789">
                  <c:v>10</c:v>
                </c:pt>
                <c:pt idx="790">
                  <c:v>15</c:v>
                </c:pt>
                <c:pt idx="791">
                  <c:v>3</c:v>
                </c:pt>
                <c:pt idx="792">
                  <c:v>1</c:v>
                </c:pt>
                <c:pt idx="793">
                  <c:v>20</c:v>
                </c:pt>
                <c:pt idx="794">
                  <c:v>7</c:v>
                </c:pt>
                <c:pt idx="795">
                  <c:v>33</c:v>
                </c:pt>
                <c:pt idx="796">
                  <c:v>0.5</c:v>
                </c:pt>
                <c:pt idx="797">
                  <c:v>22</c:v>
                </c:pt>
                <c:pt idx="798">
                  <c:v>8</c:v>
                </c:pt>
                <c:pt idx="799">
                  <c:v>17</c:v>
                </c:pt>
                <c:pt idx="800">
                  <c:v>20</c:v>
                </c:pt>
                <c:pt idx="801">
                  <c:v>12</c:v>
                </c:pt>
                <c:pt idx="802">
                  <c:v>25</c:v>
                </c:pt>
                <c:pt idx="803">
                  <c:v>5</c:v>
                </c:pt>
                <c:pt idx="804">
                  <c:v>22</c:v>
                </c:pt>
                <c:pt idx="805">
                  <c:v>14</c:v>
                </c:pt>
                <c:pt idx="806">
                  <c:v>7</c:v>
                </c:pt>
                <c:pt idx="807">
                  <c:v>6</c:v>
                </c:pt>
                <c:pt idx="808">
                  <c:v>15</c:v>
                </c:pt>
                <c:pt idx="809">
                  <c:v>25</c:v>
                </c:pt>
                <c:pt idx="810">
                  <c:v>15</c:v>
                </c:pt>
                <c:pt idx="811">
                  <c:v>30</c:v>
                </c:pt>
                <c:pt idx="812">
                  <c:v>15</c:v>
                </c:pt>
                <c:pt idx="813">
                  <c:v>6</c:v>
                </c:pt>
                <c:pt idx="814">
                  <c:v>7</c:v>
                </c:pt>
                <c:pt idx="815">
                  <c:v>10</c:v>
                </c:pt>
                <c:pt idx="816">
                  <c:v>10</c:v>
                </c:pt>
                <c:pt idx="817">
                  <c:v>6</c:v>
                </c:pt>
                <c:pt idx="818">
                  <c:v>14</c:v>
                </c:pt>
                <c:pt idx="819">
                  <c:v>25</c:v>
                </c:pt>
                <c:pt idx="820">
                  <c:v>10</c:v>
                </c:pt>
                <c:pt idx="821">
                  <c:v>8</c:v>
                </c:pt>
                <c:pt idx="822">
                  <c:v>30</c:v>
                </c:pt>
                <c:pt idx="823">
                  <c:v>8</c:v>
                </c:pt>
                <c:pt idx="824">
                  <c:v>10</c:v>
                </c:pt>
                <c:pt idx="825">
                  <c:v>14</c:v>
                </c:pt>
                <c:pt idx="826">
                  <c:v>1</c:v>
                </c:pt>
                <c:pt idx="827">
                  <c:v>1</c:v>
                </c:pt>
                <c:pt idx="828">
                  <c:v>15</c:v>
                </c:pt>
                <c:pt idx="829">
                  <c:v>4</c:v>
                </c:pt>
                <c:pt idx="830">
                  <c:v>30</c:v>
                </c:pt>
                <c:pt idx="831">
                  <c:v>21</c:v>
                </c:pt>
                <c:pt idx="832">
                  <c:v>13</c:v>
                </c:pt>
                <c:pt idx="833">
                  <c:v>20</c:v>
                </c:pt>
                <c:pt idx="834">
                  <c:v>15</c:v>
                </c:pt>
                <c:pt idx="835">
                  <c:v>10</c:v>
                </c:pt>
                <c:pt idx="836">
                  <c:v>29</c:v>
                </c:pt>
                <c:pt idx="837">
                  <c:v>6</c:v>
                </c:pt>
                <c:pt idx="838">
                  <c:v>12</c:v>
                </c:pt>
                <c:pt idx="839">
                  <c:v>20</c:v>
                </c:pt>
                <c:pt idx="840">
                  <c:v>5</c:v>
                </c:pt>
                <c:pt idx="841">
                  <c:v>1</c:v>
                </c:pt>
                <c:pt idx="842">
                  <c:v>20</c:v>
                </c:pt>
                <c:pt idx="843">
                  <c:v>7</c:v>
                </c:pt>
                <c:pt idx="844">
                  <c:v>2</c:v>
                </c:pt>
                <c:pt idx="845">
                  <c:v>16</c:v>
                </c:pt>
                <c:pt idx="846">
                  <c:v>9</c:v>
                </c:pt>
                <c:pt idx="847">
                  <c:v>12</c:v>
                </c:pt>
                <c:pt idx="848">
                  <c:v>10</c:v>
                </c:pt>
                <c:pt idx="849">
                  <c:v>9</c:v>
                </c:pt>
                <c:pt idx="850">
                  <c:v>10</c:v>
                </c:pt>
                <c:pt idx="851">
                  <c:v>3</c:v>
                </c:pt>
                <c:pt idx="852">
                  <c:v>10</c:v>
                </c:pt>
                <c:pt idx="853">
                  <c:v>20</c:v>
                </c:pt>
                <c:pt idx="854">
                  <c:v>5.5</c:v>
                </c:pt>
                <c:pt idx="855">
                  <c:v>8</c:v>
                </c:pt>
                <c:pt idx="856">
                  <c:v>2</c:v>
                </c:pt>
                <c:pt idx="857">
                  <c:v>25</c:v>
                </c:pt>
                <c:pt idx="858">
                  <c:v>11</c:v>
                </c:pt>
                <c:pt idx="859">
                  <c:v>5</c:v>
                </c:pt>
                <c:pt idx="860">
                  <c:v>18</c:v>
                </c:pt>
                <c:pt idx="861">
                  <c:v>1.5</c:v>
                </c:pt>
                <c:pt idx="862">
                  <c:v>5</c:v>
                </c:pt>
                <c:pt idx="863">
                  <c:v>3</c:v>
                </c:pt>
                <c:pt idx="864">
                  <c:v>5</c:v>
                </c:pt>
                <c:pt idx="865">
                  <c:v>4</c:v>
                </c:pt>
                <c:pt idx="866">
                  <c:v>20</c:v>
                </c:pt>
                <c:pt idx="867">
                  <c:v>7</c:v>
                </c:pt>
                <c:pt idx="868">
                  <c:v>4</c:v>
                </c:pt>
                <c:pt idx="869">
                  <c:v>36</c:v>
                </c:pt>
                <c:pt idx="870">
                  <c:v>8</c:v>
                </c:pt>
                <c:pt idx="871">
                  <c:v>0</c:v>
                </c:pt>
                <c:pt idx="872">
                  <c:v>10</c:v>
                </c:pt>
                <c:pt idx="873">
                  <c:v>10</c:v>
                </c:pt>
                <c:pt idx="874">
                  <c:v>6</c:v>
                </c:pt>
                <c:pt idx="875">
                  <c:v>2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2</c:v>
                </c:pt>
                <c:pt idx="880">
                  <c:v>6</c:v>
                </c:pt>
                <c:pt idx="881">
                  <c:v>15</c:v>
                </c:pt>
                <c:pt idx="882">
                  <c:v>6</c:v>
                </c:pt>
                <c:pt idx="883">
                  <c:v>12</c:v>
                </c:pt>
                <c:pt idx="884">
                  <c:v>5</c:v>
                </c:pt>
                <c:pt idx="885">
                  <c:v>7</c:v>
                </c:pt>
                <c:pt idx="886">
                  <c:v>11</c:v>
                </c:pt>
                <c:pt idx="887">
                  <c:v>5</c:v>
                </c:pt>
                <c:pt idx="888">
                  <c:v>10</c:v>
                </c:pt>
                <c:pt idx="889">
                  <c:v>35</c:v>
                </c:pt>
                <c:pt idx="890">
                  <c:v>7</c:v>
                </c:pt>
                <c:pt idx="891">
                  <c:v>1.6</c:v>
                </c:pt>
                <c:pt idx="892">
                  <c:v>7</c:v>
                </c:pt>
                <c:pt idx="893">
                  <c:v>20</c:v>
                </c:pt>
                <c:pt idx="894">
                  <c:v>2</c:v>
                </c:pt>
                <c:pt idx="895">
                  <c:v>3</c:v>
                </c:pt>
                <c:pt idx="896">
                  <c:v>6</c:v>
                </c:pt>
                <c:pt idx="897">
                  <c:v>2</c:v>
                </c:pt>
                <c:pt idx="898">
                  <c:v>19</c:v>
                </c:pt>
                <c:pt idx="899">
                  <c:v>10</c:v>
                </c:pt>
                <c:pt idx="900">
                  <c:v>9</c:v>
                </c:pt>
                <c:pt idx="901">
                  <c:v>15</c:v>
                </c:pt>
                <c:pt idx="902">
                  <c:v>14</c:v>
                </c:pt>
                <c:pt idx="903">
                  <c:v>13</c:v>
                </c:pt>
                <c:pt idx="904">
                  <c:v>4</c:v>
                </c:pt>
                <c:pt idx="905">
                  <c:v>12</c:v>
                </c:pt>
                <c:pt idx="906">
                  <c:v>10</c:v>
                </c:pt>
                <c:pt idx="907">
                  <c:v>10</c:v>
                </c:pt>
                <c:pt idx="908">
                  <c:v>8</c:v>
                </c:pt>
                <c:pt idx="909">
                  <c:v>17</c:v>
                </c:pt>
                <c:pt idx="910">
                  <c:v>13</c:v>
                </c:pt>
                <c:pt idx="911">
                  <c:v>8</c:v>
                </c:pt>
                <c:pt idx="912">
                  <c:v>7</c:v>
                </c:pt>
                <c:pt idx="913">
                  <c:v>10</c:v>
                </c:pt>
                <c:pt idx="914">
                  <c:v>4</c:v>
                </c:pt>
                <c:pt idx="915">
                  <c:v>20</c:v>
                </c:pt>
                <c:pt idx="916">
                  <c:v>5</c:v>
                </c:pt>
                <c:pt idx="917">
                  <c:v>8</c:v>
                </c:pt>
                <c:pt idx="918">
                  <c:v>5</c:v>
                </c:pt>
                <c:pt idx="919">
                  <c:v>2</c:v>
                </c:pt>
                <c:pt idx="920">
                  <c:v>8</c:v>
                </c:pt>
                <c:pt idx="921">
                  <c:v>14</c:v>
                </c:pt>
                <c:pt idx="922">
                  <c:v>10</c:v>
                </c:pt>
                <c:pt idx="923">
                  <c:v>6</c:v>
                </c:pt>
                <c:pt idx="924">
                  <c:v>21</c:v>
                </c:pt>
                <c:pt idx="925">
                  <c:v>15</c:v>
                </c:pt>
                <c:pt idx="926">
                  <c:v>5</c:v>
                </c:pt>
                <c:pt idx="927">
                  <c:v>1</c:v>
                </c:pt>
                <c:pt idx="928">
                  <c:v>3</c:v>
                </c:pt>
                <c:pt idx="929">
                  <c:v>10</c:v>
                </c:pt>
                <c:pt idx="930">
                  <c:v>4</c:v>
                </c:pt>
                <c:pt idx="931">
                  <c:v>15</c:v>
                </c:pt>
                <c:pt idx="932">
                  <c:v>15</c:v>
                </c:pt>
                <c:pt idx="933">
                  <c:v>20</c:v>
                </c:pt>
                <c:pt idx="934">
                  <c:v>10</c:v>
                </c:pt>
                <c:pt idx="935">
                  <c:v>1.5</c:v>
                </c:pt>
                <c:pt idx="936">
                  <c:v>5</c:v>
                </c:pt>
                <c:pt idx="937">
                  <c:v>22</c:v>
                </c:pt>
                <c:pt idx="938">
                  <c:v>18</c:v>
                </c:pt>
                <c:pt idx="939">
                  <c:v>2</c:v>
                </c:pt>
                <c:pt idx="940">
                  <c:v>27</c:v>
                </c:pt>
                <c:pt idx="941">
                  <c:v>3</c:v>
                </c:pt>
                <c:pt idx="942">
                  <c:v>8</c:v>
                </c:pt>
                <c:pt idx="943">
                  <c:v>6</c:v>
                </c:pt>
                <c:pt idx="944">
                  <c:v>14</c:v>
                </c:pt>
                <c:pt idx="945">
                  <c:v>11</c:v>
                </c:pt>
                <c:pt idx="946">
                  <c:v>3</c:v>
                </c:pt>
                <c:pt idx="947">
                  <c:v>8</c:v>
                </c:pt>
                <c:pt idx="948">
                  <c:v>8</c:v>
                </c:pt>
                <c:pt idx="949">
                  <c:v>30</c:v>
                </c:pt>
                <c:pt idx="950">
                  <c:v>0</c:v>
                </c:pt>
                <c:pt idx="951">
                  <c:v>3</c:v>
                </c:pt>
                <c:pt idx="952">
                  <c:v>5</c:v>
                </c:pt>
                <c:pt idx="953">
                  <c:v>18</c:v>
                </c:pt>
                <c:pt idx="954">
                  <c:v>6</c:v>
                </c:pt>
                <c:pt idx="955">
                  <c:v>14</c:v>
                </c:pt>
                <c:pt idx="956">
                  <c:v>15</c:v>
                </c:pt>
                <c:pt idx="957">
                  <c:v>15</c:v>
                </c:pt>
                <c:pt idx="958">
                  <c:v>8</c:v>
                </c:pt>
                <c:pt idx="959">
                  <c:v>5</c:v>
                </c:pt>
                <c:pt idx="960">
                  <c:v>4</c:v>
                </c:pt>
                <c:pt idx="961">
                  <c:v>5</c:v>
                </c:pt>
                <c:pt idx="962">
                  <c:v>5</c:v>
                </c:pt>
                <c:pt idx="963">
                  <c:v>8</c:v>
                </c:pt>
                <c:pt idx="964">
                  <c:v>7</c:v>
                </c:pt>
                <c:pt idx="965">
                  <c:v>10</c:v>
                </c:pt>
                <c:pt idx="966">
                  <c:v>3</c:v>
                </c:pt>
                <c:pt idx="967">
                  <c:v>5</c:v>
                </c:pt>
                <c:pt idx="968">
                  <c:v>17</c:v>
                </c:pt>
                <c:pt idx="969">
                  <c:v>7</c:v>
                </c:pt>
                <c:pt idx="970">
                  <c:v>5</c:v>
                </c:pt>
                <c:pt idx="971">
                  <c:v>15</c:v>
                </c:pt>
                <c:pt idx="972">
                  <c:v>8</c:v>
                </c:pt>
                <c:pt idx="973">
                  <c:v>10</c:v>
                </c:pt>
                <c:pt idx="974">
                  <c:v>15</c:v>
                </c:pt>
                <c:pt idx="975">
                  <c:v>5</c:v>
                </c:pt>
                <c:pt idx="976">
                  <c:v>2</c:v>
                </c:pt>
                <c:pt idx="977">
                  <c:v>5</c:v>
                </c:pt>
                <c:pt idx="978">
                  <c:v>25</c:v>
                </c:pt>
                <c:pt idx="979">
                  <c:v>30</c:v>
                </c:pt>
                <c:pt idx="980">
                  <c:v>8</c:v>
                </c:pt>
                <c:pt idx="981">
                  <c:v>4</c:v>
                </c:pt>
                <c:pt idx="982">
                  <c:v>1</c:v>
                </c:pt>
                <c:pt idx="983">
                  <c:v>8</c:v>
                </c:pt>
                <c:pt idx="984">
                  <c:v>15</c:v>
                </c:pt>
                <c:pt idx="985">
                  <c:v>9</c:v>
                </c:pt>
                <c:pt idx="986">
                  <c:v>8</c:v>
                </c:pt>
                <c:pt idx="987">
                  <c:v>5</c:v>
                </c:pt>
                <c:pt idx="988">
                  <c:v>10</c:v>
                </c:pt>
                <c:pt idx="989">
                  <c:v>2</c:v>
                </c:pt>
                <c:pt idx="990">
                  <c:v>30</c:v>
                </c:pt>
                <c:pt idx="991">
                  <c:v>15</c:v>
                </c:pt>
                <c:pt idx="992">
                  <c:v>3</c:v>
                </c:pt>
                <c:pt idx="993">
                  <c:v>8</c:v>
                </c:pt>
                <c:pt idx="994">
                  <c:v>15</c:v>
                </c:pt>
                <c:pt idx="995">
                  <c:v>7</c:v>
                </c:pt>
                <c:pt idx="996">
                  <c:v>10</c:v>
                </c:pt>
                <c:pt idx="997">
                  <c:v>20</c:v>
                </c:pt>
                <c:pt idx="998">
                  <c:v>6</c:v>
                </c:pt>
                <c:pt idx="999">
                  <c:v>30</c:v>
                </c:pt>
                <c:pt idx="1000">
                  <c:v>5</c:v>
                </c:pt>
                <c:pt idx="1001">
                  <c:v>8</c:v>
                </c:pt>
                <c:pt idx="1002">
                  <c:v>3.5</c:v>
                </c:pt>
                <c:pt idx="1003">
                  <c:v>2.5</c:v>
                </c:pt>
                <c:pt idx="1004">
                  <c:v>6</c:v>
                </c:pt>
                <c:pt idx="1005">
                  <c:v>6</c:v>
                </c:pt>
                <c:pt idx="1006">
                  <c:v>5</c:v>
                </c:pt>
                <c:pt idx="1007">
                  <c:v>9</c:v>
                </c:pt>
                <c:pt idx="1008">
                  <c:v>4</c:v>
                </c:pt>
                <c:pt idx="1009">
                  <c:v>6</c:v>
                </c:pt>
                <c:pt idx="1010">
                  <c:v>5</c:v>
                </c:pt>
                <c:pt idx="1011">
                  <c:v>10</c:v>
                </c:pt>
                <c:pt idx="1012">
                  <c:v>12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12</c:v>
                </c:pt>
                <c:pt idx="1017">
                  <c:v>12</c:v>
                </c:pt>
                <c:pt idx="1018">
                  <c:v>1</c:v>
                </c:pt>
                <c:pt idx="1019">
                  <c:v>3</c:v>
                </c:pt>
                <c:pt idx="1020">
                  <c:v>10</c:v>
                </c:pt>
                <c:pt idx="1021">
                  <c:v>15</c:v>
                </c:pt>
                <c:pt idx="1022">
                  <c:v>2</c:v>
                </c:pt>
                <c:pt idx="1023">
                  <c:v>1</c:v>
                </c:pt>
                <c:pt idx="1024">
                  <c:v>1</c:v>
                </c:pt>
                <c:pt idx="1025">
                  <c:v>20</c:v>
                </c:pt>
                <c:pt idx="1026">
                  <c:v>5</c:v>
                </c:pt>
                <c:pt idx="1027">
                  <c:v>1</c:v>
                </c:pt>
                <c:pt idx="1028">
                  <c:v>1</c:v>
                </c:pt>
                <c:pt idx="1029">
                  <c:v>10</c:v>
                </c:pt>
                <c:pt idx="1030">
                  <c:v>2</c:v>
                </c:pt>
                <c:pt idx="1031">
                  <c:v>12</c:v>
                </c:pt>
                <c:pt idx="1032">
                  <c:v>8</c:v>
                </c:pt>
                <c:pt idx="1033">
                  <c:v>4</c:v>
                </c:pt>
                <c:pt idx="1034">
                  <c:v>5</c:v>
                </c:pt>
                <c:pt idx="1035">
                  <c:v>8</c:v>
                </c:pt>
                <c:pt idx="1036">
                  <c:v>1</c:v>
                </c:pt>
                <c:pt idx="1037">
                  <c:v>12</c:v>
                </c:pt>
                <c:pt idx="1038">
                  <c:v>2.5</c:v>
                </c:pt>
                <c:pt idx="1039">
                  <c:v>9</c:v>
                </c:pt>
                <c:pt idx="1040">
                  <c:v>2</c:v>
                </c:pt>
                <c:pt idx="1041">
                  <c:v>1</c:v>
                </c:pt>
                <c:pt idx="1042">
                  <c:v>16</c:v>
                </c:pt>
                <c:pt idx="1043">
                  <c:v>5</c:v>
                </c:pt>
                <c:pt idx="1044">
                  <c:v>7</c:v>
                </c:pt>
                <c:pt idx="1045">
                  <c:v>5</c:v>
                </c:pt>
                <c:pt idx="1046">
                  <c:v>5</c:v>
                </c:pt>
                <c:pt idx="1047">
                  <c:v>4</c:v>
                </c:pt>
                <c:pt idx="1048">
                  <c:v>7</c:v>
                </c:pt>
                <c:pt idx="1049">
                  <c:v>18</c:v>
                </c:pt>
                <c:pt idx="1050">
                  <c:v>10</c:v>
                </c:pt>
                <c:pt idx="1051">
                  <c:v>9</c:v>
                </c:pt>
                <c:pt idx="1052">
                  <c:v>13</c:v>
                </c:pt>
                <c:pt idx="1053">
                  <c:v>10</c:v>
                </c:pt>
                <c:pt idx="1054">
                  <c:v>4</c:v>
                </c:pt>
                <c:pt idx="1055">
                  <c:v>5</c:v>
                </c:pt>
                <c:pt idx="1056">
                  <c:v>3</c:v>
                </c:pt>
                <c:pt idx="1057">
                  <c:v>5</c:v>
                </c:pt>
                <c:pt idx="1058">
                  <c:v>4</c:v>
                </c:pt>
                <c:pt idx="1059">
                  <c:v>3</c:v>
                </c:pt>
                <c:pt idx="1060">
                  <c:v>4</c:v>
                </c:pt>
                <c:pt idx="1061">
                  <c:v>3</c:v>
                </c:pt>
                <c:pt idx="1062">
                  <c:v>5</c:v>
                </c:pt>
                <c:pt idx="1063">
                  <c:v>3</c:v>
                </c:pt>
                <c:pt idx="1064">
                  <c:v>1</c:v>
                </c:pt>
                <c:pt idx="1065">
                  <c:v>9</c:v>
                </c:pt>
                <c:pt idx="1066">
                  <c:v>14</c:v>
                </c:pt>
                <c:pt idx="1067">
                  <c:v>15</c:v>
                </c:pt>
                <c:pt idx="1068">
                  <c:v>2</c:v>
                </c:pt>
                <c:pt idx="1069">
                  <c:v>8</c:v>
                </c:pt>
                <c:pt idx="1070">
                  <c:v>6</c:v>
                </c:pt>
                <c:pt idx="1071">
                  <c:v>15</c:v>
                </c:pt>
                <c:pt idx="1072">
                  <c:v>20</c:v>
                </c:pt>
                <c:pt idx="1073">
                  <c:v>23</c:v>
                </c:pt>
                <c:pt idx="1074">
                  <c:v>2.5</c:v>
                </c:pt>
                <c:pt idx="1075">
                  <c:v>17</c:v>
                </c:pt>
                <c:pt idx="1076">
                  <c:v>11</c:v>
                </c:pt>
                <c:pt idx="1077">
                  <c:v>1</c:v>
                </c:pt>
                <c:pt idx="1078">
                  <c:v>6</c:v>
                </c:pt>
                <c:pt idx="1079">
                  <c:v>12</c:v>
                </c:pt>
                <c:pt idx="1080">
                  <c:v>10</c:v>
                </c:pt>
                <c:pt idx="1081">
                  <c:v>8</c:v>
                </c:pt>
                <c:pt idx="1082">
                  <c:v>12</c:v>
                </c:pt>
                <c:pt idx="1083">
                  <c:v>3</c:v>
                </c:pt>
                <c:pt idx="1084">
                  <c:v>3</c:v>
                </c:pt>
                <c:pt idx="1085">
                  <c:v>15</c:v>
                </c:pt>
                <c:pt idx="1086">
                  <c:v>10</c:v>
                </c:pt>
                <c:pt idx="1087">
                  <c:v>5</c:v>
                </c:pt>
                <c:pt idx="1088">
                  <c:v>8</c:v>
                </c:pt>
                <c:pt idx="1089">
                  <c:v>2</c:v>
                </c:pt>
                <c:pt idx="1090">
                  <c:v>1</c:v>
                </c:pt>
                <c:pt idx="1091">
                  <c:v>6</c:v>
                </c:pt>
                <c:pt idx="1092">
                  <c:v>25</c:v>
                </c:pt>
                <c:pt idx="1093">
                  <c:v>5</c:v>
                </c:pt>
                <c:pt idx="1094">
                  <c:v>6</c:v>
                </c:pt>
                <c:pt idx="1095">
                  <c:v>6</c:v>
                </c:pt>
                <c:pt idx="1096">
                  <c:v>4</c:v>
                </c:pt>
                <c:pt idx="1097">
                  <c:v>16</c:v>
                </c:pt>
                <c:pt idx="1098">
                  <c:v>12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8</c:v>
                </c:pt>
                <c:pt idx="1103">
                  <c:v>5</c:v>
                </c:pt>
                <c:pt idx="1104">
                  <c:v>12</c:v>
                </c:pt>
                <c:pt idx="1105">
                  <c:v>10</c:v>
                </c:pt>
                <c:pt idx="1106">
                  <c:v>8</c:v>
                </c:pt>
                <c:pt idx="1107">
                  <c:v>3</c:v>
                </c:pt>
                <c:pt idx="1108">
                  <c:v>9</c:v>
                </c:pt>
                <c:pt idx="1109">
                  <c:v>3</c:v>
                </c:pt>
                <c:pt idx="1110">
                  <c:v>8</c:v>
                </c:pt>
                <c:pt idx="1111">
                  <c:v>4</c:v>
                </c:pt>
                <c:pt idx="1112">
                  <c:v>4</c:v>
                </c:pt>
                <c:pt idx="1113">
                  <c:v>1.5</c:v>
                </c:pt>
                <c:pt idx="1114">
                  <c:v>5</c:v>
                </c:pt>
                <c:pt idx="1115">
                  <c:v>1</c:v>
                </c:pt>
                <c:pt idx="1116">
                  <c:v>4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2</c:v>
                </c:pt>
                <c:pt idx="1121">
                  <c:v>1</c:v>
                </c:pt>
                <c:pt idx="1122">
                  <c:v>5</c:v>
                </c:pt>
                <c:pt idx="1123">
                  <c:v>2</c:v>
                </c:pt>
                <c:pt idx="1124">
                  <c:v>4</c:v>
                </c:pt>
                <c:pt idx="1125">
                  <c:v>5</c:v>
                </c:pt>
                <c:pt idx="1126">
                  <c:v>14</c:v>
                </c:pt>
                <c:pt idx="1127">
                  <c:v>13</c:v>
                </c:pt>
                <c:pt idx="1128">
                  <c:v>8</c:v>
                </c:pt>
                <c:pt idx="1129">
                  <c:v>3</c:v>
                </c:pt>
                <c:pt idx="1130">
                  <c:v>6</c:v>
                </c:pt>
                <c:pt idx="1131">
                  <c:v>6</c:v>
                </c:pt>
                <c:pt idx="1132">
                  <c:v>15</c:v>
                </c:pt>
                <c:pt idx="1133">
                  <c:v>25</c:v>
                </c:pt>
                <c:pt idx="1134">
                  <c:v>8</c:v>
                </c:pt>
                <c:pt idx="1135">
                  <c:v>2</c:v>
                </c:pt>
                <c:pt idx="1136">
                  <c:v>2</c:v>
                </c:pt>
                <c:pt idx="1137">
                  <c:v>20</c:v>
                </c:pt>
                <c:pt idx="1138">
                  <c:v>2</c:v>
                </c:pt>
                <c:pt idx="1139">
                  <c:v>5</c:v>
                </c:pt>
                <c:pt idx="1140">
                  <c:v>2</c:v>
                </c:pt>
                <c:pt idx="1141">
                  <c:v>4</c:v>
                </c:pt>
                <c:pt idx="1142">
                  <c:v>11</c:v>
                </c:pt>
                <c:pt idx="1143">
                  <c:v>2</c:v>
                </c:pt>
                <c:pt idx="1144">
                  <c:v>5</c:v>
                </c:pt>
                <c:pt idx="1145">
                  <c:v>3</c:v>
                </c:pt>
                <c:pt idx="1146">
                  <c:v>8</c:v>
                </c:pt>
                <c:pt idx="1147">
                  <c:v>2</c:v>
                </c:pt>
                <c:pt idx="1148">
                  <c:v>4</c:v>
                </c:pt>
                <c:pt idx="1149">
                  <c:v>2.5</c:v>
                </c:pt>
                <c:pt idx="1150">
                  <c:v>5</c:v>
                </c:pt>
                <c:pt idx="1151">
                  <c:v>10</c:v>
                </c:pt>
                <c:pt idx="1152">
                  <c:v>4</c:v>
                </c:pt>
                <c:pt idx="1153">
                  <c:v>15</c:v>
                </c:pt>
                <c:pt idx="1154">
                  <c:v>1</c:v>
                </c:pt>
                <c:pt idx="1155">
                  <c:v>7</c:v>
                </c:pt>
                <c:pt idx="1156">
                  <c:v>1</c:v>
                </c:pt>
                <c:pt idx="1157">
                  <c:v>4</c:v>
                </c:pt>
                <c:pt idx="1158">
                  <c:v>20</c:v>
                </c:pt>
                <c:pt idx="1159">
                  <c:v>9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0</c:v>
                </c:pt>
                <c:pt idx="1164">
                  <c:v>0</c:v>
                </c:pt>
                <c:pt idx="1165">
                  <c:v>6</c:v>
                </c:pt>
                <c:pt idx="1166">
                  <c:v>3</c:v>
                </c:pt>
                <c:pt idx="1167">
                  <c:v>3</c:v>
                </c:pt>
                <c:pt idx="1168">
                  <c:v>20</c:v>
                </c:pt>
                <c:pt idx="1169">
                  <c:v>16</c:v>
                </c:pt>
                <c:pt idx="1170">
                  <c:v>4</c:v>
                </c:pt>
                <c:pt idx="1171">
                  <c:v>6</c:v>
                </c:pt>
                <c:pt idx="1172">
                  <c:v>11</c:v>
                </c:pt>
                <c:pt idx="1173">
                  <c:v>6</c:v>
                </c:pt>
                <c:pt idx="1174">
                  <c:v>5</c:v>
                </c:pt>
                <c:pt idx="1175">
                  <c:v>2</c:v>
                </c:pt>
                <c:pt idx="1176">
                  <c:v>13</c:v>
                </c:pt>
                <c:pt idx="1177">
                  <c:v>3</c:v>
                </c:pt>
                <c:pt idx="1178">
                  <c:v>5</c:v>
                </c:pt>
                <c:pt idx="1179">
                  <c:v>3</c:v>
                </c:pt>
                <c:pt idx="1180">
                  <c:v>5</c:v>
                </c:pt>
                <c:pt idx="1181">
                  <c:v>15</c:v>
                </c:pt>
                <c:pt idx="1182">
                  <c:v>15</c:v>
                </c:pt>
                <c:pt idx="1183">
                  <c:v>9</c:v>
                </c:pt>
                <c:pt idx="1184">
                  <c:v>0</c:v>
                </c:pt>
                <c:pt idx="1185">
                  <c:v>10</c:v>
                </c:pt>
                <c:pt idx="1186">
                  <c:v>9</c:v>
                </c:pt>
                <c:pt idx="1187">
                  <c:v>7</c:v>
                </c:pt>
                <c:pt idx="1188">
                  <c:v>12</c:v>
                </c:pt>
                <c:pt idx="1189">
                  <c:v>3</c:v>
                </c:pt>
                <c:pt idx="1190">
                  <c:v>4</c:v>
                </c:pt>
                <c:pt idx="1191">
                  <c:v>7</c:v>
                </c:pt>
                <c:pt idx="1192">
                  <c:v>1</c:v>
                </c:pt>
                <c:pt idx="1193">
                  <c:v>3</c:v>
                </c:pt>
                <c:pt idx="1194">
                  <c:v>3</c:v>
                </c:pt>
                <c:pt idx="1195">
                  <c:v>9</c:v>
                </c:pt>
                <c:pt idx="1196">
                  <c:v>16</c:v>
                </c:pt>
                <c:pt idx="1197">
                  <c:v>1</c:v>
                </c:pt>
                <c:pt idx="1198">
                  <c:v>3</c:v>
                </c:pt>
                <c:pt idx="1199">
                  <c:v>12</c:v>
                </c:pt>
                <c:pt idx="1200">
                  <c:v>2</c:v>
                </c:pt>
                <c:pt idx="1201">
                  <c:v>2</c:v>
                </c:pt>
                <c:pt idx="1202">
                  <c:v>1</c:v>
                </c:pt>
                <c:pt idx="1203">
                  <c:v>12</c:v>
                </c:pt>
                <c:pt idx="1204">
                  <c:v>2</c:v>
                </c:pt>
                <c:pt idx="1205">
                  <c:v>2</c:v>
                </c:pt>
                <c:pt idx="1206">
                  <c:v>12</c:v>
                </c:pt>
                <c:pt idx="1207">
                  <c:v>1</c:v>
                </c:pt>
                <c:pt idx="1208">
                  <c:v>3</c:v>
                </c:pt>
                <c:pt idx="1209">
                  <c:v>14</c:v>
                </c:pt>
                <c:pt idx="1210">
                  <c:v>10</c:v>
                </c:pt>
                <c:pt idx="1211">
                  <c:v>13</c:v>
                </c:pt>
                <c:pt idx="1212">
                  <c:v>4</c:v>
                </c:pt>
                <c:pt idx="1213">
                  <c:v>10</c:v>
                </c:pt>
                <c:pt idx="1214">
                  <c:v>3</c:v>
                </c:pt>
                <c:pt idx="1215">
                  <c:v>4</c:v>
                </c:pt>
                <c:pt idx="1216">
                  <c:v>3</c:v>
                </c:pt>
                <c:pt idx="1217">
                  <c:v>12</c:v>
                </c:pt>
                <c:pt idx="1218">
                  <c:v>4</c:v>
                </c:pt>
                <c:pt idx="1219">
                  <c:v>5</c:v>
                </c:pt>
                <c:pt idx="1220">
                  <c:v>20</c:v>
                </c:pt>
                <c:pt idx="1221">
                  <c:v>1</c:v>
                </c:pt>
                <c:pt idx="1222">
                  <c:v>8</c:v>
                </c:pt>
                <c:pt idx="1223">
                  <c:v>15</c:v>
                </c:pt>
                <c:pt idx="1224">
                  <c:v>8</c:v>
                </c:pt>
                <c:pt idx="1225">
                  <c:v>3</c:v>
                </c:pt>
                <c:pt idx="1226">
                  <c:v>4</c:v>
                </c:pt>
                <c:pt idx="1227">
                  <c:v>2</c:v>
                </c:pt>
                <c:pt idx="1228">
                  <c:v>14</c:v>
                </c:pt>
                <c:pt idx="1229">
                  <c:v>2</c:v>
                </c:pt>
                <c:pt idx="1230">
                  <c:v>5</c:v>
                </c:pt>
                <c:pt idx="1231">
                  <c:v>20</c:v>
                </c:pt>
                <c:pt idx="1232">
                  <c:v>5</c:v>
                </c:pt>
                <c:pt idx="1233">
                  <c:v>25</c:v>
                </c:pt>
                <c:pt idx="1234">
                  <c:v>20</c:v>
                </c:pt>
                <c:pt idx="1235">
                  <c:v>10</c:v>
                </c:pt>
                <c:pt idx="1236">
                  <c:v>20</c:v>
                </c:pt>
                <c:pt idx="1237">
                  <c:v>1</c:v>
                </c:pt>
                <c:pt idx="1238">
                  <c:v>0.3</c:v>
                </c:pt>
                <c:pt idx="1239">
                  <c:v>10</c:v>
                </c:pt>
                <c:pt idx="1240">
                  <c:v>6</c:v>
                </c:pt>
                <c:pt idx="1241">
                  <c:v>7</c:v>
                </c:pt>
                <c:pt idx="1242">
                  <c:v>7</c:v>
                </c:pt>
                <c:pt idx="1243">
                  <c:v>6</c:v>
                </c:pt>
                <c:pt idx="1244">
                  <c:v>10</c:v>
                </c:pt>
                <c:pt idx="1245">
                  <c:v>15</c:v>
                </c:pt>
                <c:pt idx="1246">
                  <c:v>9</c:v>
                </c:pt>
                <c:pt idx="1247">
                  <c:v>0</c:v>
                </c:pt>
                <c:pt idx="1248">
                  <c:v>9</c:v>
                </c:pt>
                <c:pt idx="1249">
                  <c:v>6</c:v>
                </c:pt>
                <c:pt idx="1250">
                  <c:v>5</c:v>
                </c:pt>
                <c:pt idx="1251">
                  <c:v>5</c:v>
                </c:pt>
                <c:pt idx="1252">
                  <c:v>3</c:v>
                </c:pt>
                <c:pt idx="1253">
                  <c:v>15</c:v>
                </c:pt>
                <c:pt idx="1254">
                  <c:v>23</c:v>
                </c:pt>
                <c:pt idx="1255">
                  <c:v>3</c:v>
                </c:pt>
                <c:pt idx="1256">
                  <c:v>0</c:v>
                </c:pt>
                <c:pt idx="1257">
                  <c:v>1</c:v>
                </c:pt>
                <c:pt idx="1258">
                  <c:v>15</c:v>
                </c:pt>
                <c:pt idx="1259">
                  <c:v>1</c:v>
                </c:pt>
                <c:pt idx="1260">
                  <c:v>7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0.3</c:v>
                </c:pt>
                <c:pt idx="1265">
                  <c:v>5</c:v>
                </c:pt>
                <c:pt idx="1266">
                  <c:v>10</c:v>
                </c:pt>
                <c:pt idx="1267">
                  <c:v>4</c:v>
                </c:pt>
                <c:pt idx="1268">
                  <c:v>10</c:v>
                </c:pt>
                <c:pt idx="1269">
                  <c:v>10</c:v>
                </c:pt>
                <c:pt idx="1270">
                  <c:v>8</c:v>
                </c:pt>
                <c:pt idx="1271">
                  <c:v>8</c:v>
                </c:pt>
                <c:pt idx="1272">
                  <c:v>20</c:v>
                </c:pt>
                <c:pt idx="1273">
                  <c:v>10</c:v>
                </c:pt>
                <c:pt idx="1274">
                  <c:v>10</c:v>
                </c:pt>
                <c:pt idx="1275">
                  <c:v>10</c:v>
                </c:pt>
                <c:pt idx="1276">
                  <c:v>6</c:v>
                </c:pt>
                <c:pt idx="1277">
                  <c:v>18</c:v>
                </c:pt>
                <c:pt idx="1278">
                  <c:v>10</c:v>
                </c:pt>
                <c:pt idx="1279">
                  <c:v>6</c:v>
                </c:pt>
                <c:pt idx="1280">
                  <c:v>1</c:v>
                </c:pt>
                <c:pt idx="1281">
                  <c:v>2</c:v>
                </c:pt>
                <c:pt idx="1282">
                  <c:v>12</c:v>
                </c:pt>
                <c:pt idx="1283">
                  <c:v>5</c:v>
                </c:pt>
                <c:pt idx="1284">
                  <c:v>6</c:v>
                </c:pt>
                <c:pt idx="1285">
                  <c:v>12</c:v>
                </c:pt>
                <c:pt idx="1286">
                  <c:v>9</c:v>
                </c:pt>
                <c:pt idx="1287">
                  <c:v>20</c:v>
                </c:pt>
                <c:pt idx="1288">
                  <c:v>2</c:v>
                </c:pt>
                <c:pt idx="1289">
                  <c:v>15</c:v>
                </c:pt>
                <c:pt idx="1290">
                  <c:v>4</c:v>
                </c:pt>
                <c:pt idx="1291">
                  <c:v>1.5</c:v>
                </c:pt>
                <c:pt idx="1292">
                  <c:v>10</c:v>
                </c:pt>
                <c:pt idx="1293">
                  <c:v>3</c:v>
                </c:pt>
                <c:pt idx="1294">
                  <c:v>6</c:v>
                </c:pt>
                <c:pt idx="1295">
                  <c:v>20</c:v>
                </c:pt>
                <c:pt idx="1296">
                  <c:v>1</c:v>
                </c:pt>
                <c:pt idx="1297">
                  <c:v>2</c:v>
                </c:pt>
                <c:pt idx="1298">
                  <c:v>3</c:v>
                </c:pt>
                <c:pt idx="1299">
                  <c:v>27</c:v>
                </c:pt>
                <c:pt idx="1300">
                  <c:v>34</c:v>
                </c:pt>
                <c:pt idx="1301">
                  <c:v>5</c:v>
                </c:pt>
                <c:pt idx="1302">
                  <c:v>10</c:v>
                </c:pt>
                <c:pt idx="1303">
                  <c:v>5</c:v>
                </c:pt>
                <c:pt idx="1304">
                  <c:v>8</c:v>
                </c:pt>
                <c:pt idx="1305">
                  <c:v>12</c:v>
                </c:pt>
                <c:pt idx="1306">
                  <c:v>8</c:v>
                </c:pt>
                <c:pt idx="1307">
                  <c:v>4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8</c:v>
                </c:pt>
                <c:pt idx="1312">
                  <c:v>5</c:v>
                </c:pt>
                <c:pt idx="1313">
                  <c:v>10</c:v>
                </c:pt>
                <c:pt idx="1314">
                  <c:v>2</c:v>
                </c:pt>
                <c:pt idx="1315">
                  <c:v>4</c:v>
                </c:pt>
                <c:pt idx="1316">
                  <c:v>1</c:v>
                </c:pt>
                <c:pt idx="1317">
                  <c:v>3</c:v>
                </c:pt>
                <c:pt idx="1318">
                  <c:v>6</c:v>
                </c:pt>
                <c:pt idx="1319">
                  <c:v>3</c:v>
                </c:pt>
                <c:pt idx="1320">
                  <c:v>1.6</c:v>
                </c:pt>
                <c:pt idx="1321">
                  <c:v>6</c:v>
                </c:pt>
                <c:pt idx="1322">
                  <c:v>5</c:v>
                </c:pt>
                <c:pt idx="1323">
                  <c:v>10</c:v>
                </c:pt>
                <c:pt idx="1324">
                  <c:v>3.5</c:v>
                </c:pt>
                <c:pt idx="1325">
                  <c:v>8</c:v>
                </c:pt>
                <c:pt idx="1326">
                  <c:v>15</c:v>
                </c:pt>
                <c:pt idx="1327">
                  <c:v>3</c:v>
                </c:pt>
                <c:pt idx="1328">
                  <c:v>20</c:v>
                </c:pt>
                <c:pt idx="1329">
                  <c:v>21</c:v>
                </c:pt>
                <c:pt idx="1330">
                  <c:v>4</c:v>
                </c:pt>
                <c:pt idx="1331">
                  <c:v>5</c:v>
                </c:pt>
                <c:pt idx="1332">
                  <c:v>3</c:v>
                </c:pt>
                <c:pt idx="1333">
                  <c:v>5</c:v>
                </c:pt>
                <c:pt idx="1334">
                  <c:v>10</c:v>
                </c:pt>
              </c:numCache>
            </c:numRef>
          </c:xVal>
          <c:yVal>
            <c:numRef>
              <c:f>Analysis!$B$3:$B$1337</c:f>
              <c:numCache>
                <c:formatCode>General</c:formatCode>
                <c:ptCount val="13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69871.969144538423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53356.776437647524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50815.977559664309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95279.957924370581</c:v>
                </c:pt>
                <c:pt idx="385">
                  <c:v>57167.974754622352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50815.977559664309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104172.75399731184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78764.765217479682</c:v>
                </c:pt>
                <c:pt idx="660">
                  <c:v>#N/A</c:v>
                </c:pt>
                <c:pt idx="661">
                  <c:v>#N/A</c:v>
                </c:pt>
                <c:pt idx="662">
                  <c:v>38111.983169748237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61614.372791092981</c:v>
                </c:pt>
                <c:pt idx="732">
                  <c:v>#N/A</c:v>
                </c:pt>
                <c:pt idx="733">
                  <c:v>#N/A</c:v>
                </c:pt>
                <c:pt idx="734">
                  <c:v>36206.384011260823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95279.957924370581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43828.780645210471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78764.765217479682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76223.966339496474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69871.969144538423</c:v>
                </c:pt>
                <c:pt idx="968">
                  <c:v>#N/A</c:v>
                </c:pt>
                <c:pt idx="969">
                  <c:v>76223.966339496474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63519.971949580387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57167.974754622352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</c:numCache>
            </c:numRef>
          </c:yVal>
        </c:ser>
        <c:axId val="148518784"/>
        <c:axId val="148529152"/>
      </c:scatterChart>
      <c:valAx>
        <c:axId val="148518784"/>
        <c:scaling>
          <c:orientation val="minMax"/>
        </c:scaling>
        <c:axPos val="b"/>
        <c:numFmt formatCode="General" sourceLinked="1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148529152"/>
        <c:crosses val="autoZero"/>
        <c:crossBetween val="midCat"/>
      </c:valAx>
      <c:valAx>
        <c:axId val="148529152"/>
        <c:scaling>
          <c:orientation val="minMax"/>
          <c:max val="350000"/>
        </c:scaling>
        <c:axPos val="l"/>
        <c:numFmt formatCode="_(&quot;$&quot;* #,##0_);_(&quot;$&quot;* \(#,##0\);_(&quot;$&quot;* &quot;-&quot;_);_(@_)" sourceLinked="0"/>
        <c:tickLblPos val="nextTo"/>
        <c:crossAx val="148518784"/>
        <c:crosses val="autoZero"/>
        <c:crossBetween val="midCat"/>
        <c:dispUnits>
          <c:builtInUnit val="thousands"/>
          <c:dispUnitsLbl>
            <c:layout/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</c:plotArea>
    <c:plotVisOnly val="1"/>
    <c:dispBlanksAs val="gap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9188536498025615E-2"/>
          <c:y val="4.7295078530519147E-2"/>
          <c:w val="0.8726790547458263"/>
          <c:h val="0.69866984542557853"/>
        </c:manualLayout>
      </c:layout>
      <c:barChart>
        <c:barDir val="col"/>
        <c:grouping val="stacked"/>
        <c:ser>
          <c:idx val="0"/>
          <c:order val="1"/>
          <c:spPr>
            <a:noFill/>
            <a:ln>
              <a:noFill/>
            </a:ln>
          </c:spPr>
          <c:errBars>
            <c:errBarType val="minus"/>
            <c:errValType val="cust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Analysis!$BR$17:$BV$17</c:f>
                <c:numCache>
                  <c:formatCode>General</c:formatCode>
                  <c:ptCount val="5"/>
                  <c:pt idx="0">
                    <c:v>39500</c:v>
                  </c:pt>
                  <c:pt idx="1">
                    <c:v>38000</c:v>
                  </c:pt>
                  <c:pt idx="2">
                    <c:v>40000</c:v>
                  </c:pt>
                  <c:pt idx="3">
                    <c:v>32875</c:v>
                  </c:pt>
                  <c:pt idx="4">
                    <c:v>0</c:v>
                  </c:pt>
                </c:numCache>
              </c:numRef>
            </c:minus>
            <c:spPr>
              <a:ln>
                <a:solidFill>
                  <a:srgbClr val="7F7F7F"/>
                </a:solidFill>
              </a:ln>
            </c:spPr>
          </c:errBars>
          <c:cat>
            <c:strRef>
              <c:f>[0]!box2chartHoursPerDay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[0]!box2chartBottom</c:f>
              <c:numCache>
                <c:formatCode>#,##0</c:formatCode>
                <c:ptCount val="5"/>
                <c:pt idx="0">
                  <c:v>51500</c:v>
                </c:pt>
                <c:pt idx="1">
                  <c:v>50000</c:v>
                </c:pt>
                <c:pt idx="2">
                  <c:v>50000</c:v>
                </c:pt>
                <c:pt idx="3">
                  <c:v>47875</c:v>
                </c:pt>
                <c:pt idx="4">
                  <c:v>0</c:v>
                </c:pt>
              </c:numCache>
            </c:numRef>
          </c:val>
        </c:ser>
        <c:ser>
          <c:idx val="1"/>
          <c:order val="2"/>
          <c:spPr>
            <a:solidFill>
              <a:srgbClr val="D9D9D9"/>
            </a:solidFill>
            <a:ln>
              <a:solidFill>
                <a:srgbClr val="7F7F7F"/>
              </a:solidFill>
            </a:ln>
          </c:spPr>
          <c:cat>
            <c:strRef>
              <c:f>[0]!box2chartHoursPerDay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[0]!box2chart2Q</c:f>
              <c:numCache>
                <c:formatCode>#,##0</c:formatCode>
                <c:ptCount val="5"/>
                <c:pt idx="0">
                  <c:v>23500</c:v>
                </c:pt>
                <c:pt idx="1">
                  <c:v>19960</c:v>
                </c:pt>
                <c:pt idx="2">
                  <c:v>15000</c:v>
                </c:pt>
                <c:pt idx="3">
                  <c:v>14125</c:v>
                </c:pt>
                <c:pt idx="4">
                  <c:v>0</c:v>
                </c:pt>
              </c:numCache>
            </c:numRef>
          </c:val>
        </c:ser>
        <c:ser>
          <c:idx val="2"/>
          <c:order val="3"/>
          <c:spPr>
            <a:solidFill>
              <a:srgbClr val="D9D9D9"/>
            </a:solidFill>
            <a:ln>
              <a:solidFill>
                <a:srgbClr val="7F7F7F"/>
              </a:solidFill>
            </a:ln>
          </c:spPr>
          <c:errBars>
            <c:errBarType val="plus"/>
            <c:errValType val="cust"/>
            <c:plus>
              <c:numRef>
                <c:f>Analysis!$BR$18:$BV$18</c:f>
                <c:numCache>
                  <c:formatCode>General</c:formatCode>
                  <c:ptCount val="5"/>
                  <c:pt idx="0">
                    <c:v>309500</c:v>
                  </c:pt>
                  <c:pt idx="1">
                    <c:v>210000</c:v>
                  </c:pt>
                  <c:pt idx="2">
                    <c:v>140000</c:v>
                  </c:pt>
                  <c:pt idx="3">
                    <c:v>323250</c:v>
                  </c:pt>
                  <c:pt idx="4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>
                <a:solidFill>
                  <a:srgbClr val="7F7F7F"/>
                </a:solidFill>
              </a:ln>
            </c:spPr>
          </c:errBars>
          <c:cat>
            <c:strRef>
              <c:f>[0]!box2chartHoursPerDay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[0]!box2chart3Q</c:f>
              <c:numCache>
                <c:formatCode>#,##0</c:formatCode>
                <c:ptCount val="5"/>
                <c:pt idx="0">
                  <c:v>15500</c:v>
                </c:pt>
                <c:pt idx="1">
                  <c:v>20040</c:v>
                </c:pt>
                <c:pt idx="2">
                  <c:v>20000</c:v>
                </c:pt>
                <c:pt idx="3">
                  <c:v>14750</c:v>
                </c:pt>
                <c:pt idx="4">
                  <c:v>0</c:v>
                </c:pt>
              </c:numCache>
            </c:numRef>
          </c:val>
        </c:ser>
        <c:overlap val="100"/>
        <c:axId val="148383616"/>
        <c:axId val="148385152"/>
      </c:barChart>
      <c:lineChart>
        <c:grouping val="standard"/>
        <c:ser>
          <c:idx val="3"/>
          <c:order val="0"/>
          <c:tx>
            <c:strRef>
              <c:f>Analysis!$BQ$7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cat>
            <c:numRef>
              <c:f>[0]!box2chartCategory</c:f>
              <c:numCache>
                <c:formatCode>#,##0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[0]!box2chartMean</c:f>
              <c:numCache>
                <c:formatCode>#,##0</c:formatCode>
                <c:ptCount val="5"/>
                <c:pt idx="0">
                  <c:v>80399.093023255817</c:v>
                </c:pt>
                <c:pt idx="1">
                  <c:v>76343.612903225803</c:v>
                </c:pt>
                <c:pt idx="2">
                  <c:v>69667.656028368801</c:v>
                </c:pt>
                <c:pt idx="3">
                  <c:v>73087.507462686568</c:v>
                </c:pt>
                <c:pt idx="4">
                  <c:v>49666.666666666664</c:v>
                </c:pt>
              </c:numCache>
            </c:numRef>
          </c:val>
        </c:ser>
        <c:ser>
          <c:idx val="4"/>
          <c:order val="4"/>
          <c:tx>
            <c:v>dummy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694965501687769E-2"/>
                  <c:y val="0.1970434857742292"/>
                </c:manualLayout>
              </c:layout>
              <c:tx>
                <c:strRef>
                  <c:f>Analysis!$BR$6</c:f>
                  <c:strCache>
                    <c:ptCount val="1"/>
                    <c:pt idx="0">
                      <c:v>43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r"/>
              <c:showVal val="1"/>
            </c:dLbl>
            <c:dLbl>
              <c:idx val="1"/>
              <c:layout>
                <c:manualLayout>
                  <c:x val="-2.269496550168779E-2"/>
                  <c:y val="0.1970434857742292"/>
                </c:manualLayout>
              </c:layout>
              <c:tx>
                <c:strRef>
                  <c:f>Analysis!$BS$6</c:f>
                  <c:strCache>
                    <c:ptCount val="1"/>
                    <c:pt idx="0">
                      <c:v>155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r"/>
              <c:showVal val="1"/>
            </c:dLbl>
            <c:dLbl>
              <c:idx val="2"/>
              <c:layout>
                <c:manualLayout>
                  <c:x val="-2.269496550168779E-2"/>
                  <c:y val="0.1970434857742292"/>
                </c:manualLayout>
              </c:layout>
              <c:tx>
                <c:strRef>
                  <c:f>Analysis!$BT$6</c:f>
                  <c:strCache>
                    <c:ptCount val="1"/>
                    <c:pt idx="0">
                      <c:v>282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r"/>
              <c:showVal val="1"/>
            </c:dLbl>
            <c:dLbl>
              <c:idx val="3"/>
              <c:layout>
                <c:manualLayout>
                  <c:x val="-2.269496550168779E-2"/>
                  <c:y val="0.1970434857742292"/>
                </c:manualLayout>
              </c:layout>
              <c:tx>
                <c:strRef>
                  <c:f>Analysis!$BU$6</c:f>
                  <c:strCache>
                    <c:ptCount val="1"/>
                    <c:pt idx="0">
                      <c:v>134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r"/>
              <c:showVal val="1"/>
            </c:dLbl>
            <c:dLbl>
              <c:idx val="4"/>
              <c:layout>
                <c:manualLayout>
                  <c:x val="-2.2695170154426896E-2"/>
                  <c:y val="0.1970434857742292"/>
                </c:manualLayout>
              </c:layout>
              <c:tx>
                <c:strRef>
                  <c:f>Analysis!$BV$6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C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r"/>
              <c:showVal val="1"/>
            </c:dLbl>
            <c:txPr>
              <a:bodyPr/>
              <a:lstStyle/>
              <a:p>
                <a:pPr>
                  <a:defRPr i="0"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[0]!box2chartCategory</c:f>
              <c:numCache>
                <c:formatCode>#,##0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[0]!box2chartDummy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48383616"/>
        <c:axId val="148385152"/>
      </c:lineChart>
      <c:catAx>
        <c:axId val="148383616"/>
        <c:scaling>
          <c:orientation val="minMax"/>
        </c:scaling>
        <c:axPos val="b"/>
        <c:majorGridlines>
          <c:spPr>
            <a:ln>
              <a:solidFill>
                <a:srgbClr val="F2F2F2"/>
              </a:solidFill>
            </a:ln>
          </c:spPr>
        </c:majorGridlines>
        <c:tickLblPos val="nextTo"/>
        <c:txPr>
          <a:bodyPr/>
          <a:lstStyle/>
          <a:p>
            <a:pPr>
              <a:defRPr sz="1050">
                <a:latin typeface="+mn-lt"/>
              </a:defRPr>
            </a:pPr>
            <a:endParaRPr lang="en-US"/>
          </a:p>
        </c:txPr>
        <c:crossAx val="148385152"/>
        <c:crosses val="autoZero"/>
        <c:auto val="1"/>
        <c:lblAlgn val="ctr"/>
        <c:lblOffset val="100"/>
      </c:catAx>
      <c:valAx>
        <c:axId val="148385152"/>
        <c:scaling>
          <c:orientation val="minMax"/>
        </c:scaling>
        <c:axPos val="l"/>
        <c:numFmt formatCode="_(&quot;$&quot;* #,##0_);_(&quot;$&quot;* \(#,##0\);_(&quot;$&quot;* &quot;-&quot;_);_(@_)" sourceLinked="0"/>
        <c:tickLblPos val="nextTo"/>
        <c:txPr>
          <a:bodyPr/>
          <a:lstStyle/>
          <a:p>
            <a:pPr>
              <a:defRPr>
                <a:latin typeface="+mn-lt"/>
              </a:defRPr>
            </a:pPr>
            <a:endParaRPr lang="en-US"/>
          </a:p>
        </c:txPr>
        <c:crossAx val="148383616"/>
        <c:crosses val="autoZero"/>
        <c:crossBetween val="between"/>
        <c:dispUnits>
          <c:builtInUnit val="thousands"/>
          <c:dispUnitsLbl>
            <c:layout/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  <c:spPr>
        <a:ln>
          <a:noFill/>
        </a:ln>
      </c:spPr>
    </c:plotArea>
    <c:plotVisOnly val="1"/>
    <c:dispBlanksAs val="gap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1269</xdr:colOff>
      <xdr:row>8</xdr:row>
      <xdr:rowOff>47626</xdr:rowOff>
    </xdr:from>
    <xdr:to>
      <xdr:col>13</xdr:col>
      <xdr:colOff>0</xdr:colOff>
      <xdr:row>24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26760</xdr:colOff>
      <xdr:row>8</xdr:row>
      <xdr:rowOff>54334</xdr:rowOff>
    </xdr:from>
    <xdr:to>
      <xdr:col>8</xdr:col>
      <xdr:colOff>49761</xdr:colOff>
      <xdr:row>10</xdr:row>
      <xdr:rowOff>3732</xdr:rowOff>
    </xdr:to>
    <xdr:sp macro="" textlink="">
      <xdr:nvSpPr>
        <xdr:cNvPr id="29" name="Rectangle 28"/>
        <xdr:cNvSpPr/>
      </xdr:nvSpPr>
      <xdr:spPr>
        <a:xfrm>
          <a:off x="2274660" y="1492609"/>
          <a:ext cx="1851801" cy="19704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0" tIns="0" rIns="0" bIns="0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i="0">
              <a:solidFill>
                <a:srgbClr val="C00000"/>
              </a:solidFill>
            </a:rPr>
            <a:t>Responses</a:t>
          </a:r>
        </a:p>
      </xdr:txBody>
    </xdr:sp>
    <xdr:clientData/>
  </xdr:twoCellAnchor>
  <xdr:twoCellAnchor>
    <xdr:from>
      <xdr:col>14</xdr:col>
      <xdr:colOff>63500</xdr:colOff>
      <xdr:row>6</xdr:row>
      <xdr:rowOff>19050</xdr:rowOff>
    </xdr:from>
    <xdr:to>
      <xdr:col>18</xdr:col>
      <xdr:colOff>76199</xdr:colOff>
      <xdr:row>17</xdr:row>
      <xdr:rowOff>161926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26</xdr:row>
      <xdr:rowOff>168541</xdr:rowOff>
    </xdr:from>
    <xdr:to>
      <xdr:col>12</xdr:col>
      <xdr:colOff>161924</xdr:colOff>
      <xdr:row>39</xdr:row>
      <xdr:rowOff>19050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261414</xdr:colOff>
      <xdr:row>23</xdr:row>
      <xdr:rowOff>129636</xdr:rowOff>
    </xdr:from>
    <xdr:to>
      <xdr:col>11</xdr:col>
      <xdr:colOff>595307</xdr:colOff>
      <xdr:row>25</xdr:row>
      <xdr:rowOff>22956</xdr:rowOff>
    </xdr:to>
    <xdr:grpSp>
      <xdr:nvGrpSpPr>
        <xdr:cNvPr id="32" name="Group 31"/>
        <xdr:cNvGrpSpPr/>
      </xdr:nvGrpSpPr>
      <xdr:grpSpPr>
        <a:xfrm>
          <a:off x="3661839" y="4292061"/>
          <a:ext cx="3553343" cy="274320"/>
          <a:chOff x="3606178" y="3876522"/>
          <a:chExt cx="2133828" cy="278142"/>
        </a:xfrm>
      </xdr:grpSpPr>
      <xdr:grpSp>
        <xdr:nvGrpSpPr>
          <xdr:cNvPr id="20" name="Group 19"/>
          <xdr:cNvGrpSpPr/>
        </xdr:nvGrpSpPr>
        <xdr:grpSpPr>
          <a:xfrm>
            <a:off x="4027477" y="3927969"/>
            <a:ext cx="715072" cy="180975"/>
            <a:chOff x="9334506" y="1762125"/>
            <a:chExt cx="716583" cy="180975"/>
          </a:xfrm>
        </xdr:grpSpPr>
        <xdr:cxnSp macro="">
          <xdr:nvCxnSpPr>
            <xdr:cNvPr id="15" name="Straight Connector 14"/>
            <xdr:cNvCxnSpPr/>
          </xdr:nvCxnSpPr>
          <xdr:spPr>
            <a:xfrm>
              <a:off x="9773275" y="1848716"/>
              <a:ext cx="274320" cy="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" name="Straight Connector 15"/>
            <xdr:cNvCxnSpPr/>
          </xdr:nvCxnSpPr>
          <xdr:spPr>
            <a:xfrm>
              <a:off x="9334506" y="1853912"/>
              <a:ext cx="91440" cy="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" name="Rectangle 11"/>
            <xdr:cNvSpPr/>
          </xdr:nvSpPr>
          <xdr:spPr>
            <a:xfrm>
              <a:off x="9429750" y="1762125"/>
              <a:ext cx="91440" cy="1809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 w="9525">
              <a:solidFill>
                <a:srgbClr val="7F7F7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13" name="Rectangle 12"/>
            <xdr:cNvSpPr/>
          </xdr:nvSpPr>
          <xdr:spPr>
            <a:xfrm>
              <a:off x="9519557" y="1762125"/>
              <a:ext cx="257175" cy="1809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 w="9525">
              <a:solidFill>
                <a:srgbClr val="7F7F7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cxnSp macro="">
          <xdr:nvCxnSpPr>
            <xdr:cNvPr id="18" name="Straight Connector 17"/>
            <xdr:cNvCxnSpPr/>
          </xdr:nvCxnSpPr>
          <xdr:spPr>
            <a:xfrm>
              <a:off x="9336599" y="1809754"/>
              <a:ext cx="0" cy="9144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" name="Straight Connector 18"/>
            <xdr:cNvCxnSpPr/>
          </xdr:nvCxnSpPr>
          <xdr:spPr>
            <a:xfrm>
              <a:off x="10051089" y="1806292"/>
              <a:ext cx="0" cy="9144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" name="Oval 5"/>
          <xdr:cNvSpPr/>
        </xdr:nvSpPr>
        <xdr:spPr>
          <a:xfrm>
            <a:off x="3606178" y="3972638"/>
            <a:ext cx="52019" cy="81034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ln>
                <a:noFill/>
              </a:ln>
            </a:endParaRPr>
          </a:p>
        </xdr:txBody>
      </xdr:sp>
      <xdr:sp macro="" textlink="">
        <xdr:nvSpPr>
          <xdr:cNvPr id="7" name="Rectangle 6"/>
          <xdr:cNvSpPr/>
        </xdr:nvSpPr>
        <xdr:spPr>
          <a:xfrm>
            <a:off x="3709152" y="3880344"/>
            <a:ext cx="258773" cy="2743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Mean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4791262" y="3876522"/>
            <a:ext cx="948744" cy="2743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Box Plot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r>
              <a:rPr lang="en-US" sz="1100">
                <a:solidFill>
                  <a:sysClr val="windowText" lastClr="000000"/>
                </a:solidFill>
              </a:rPr>
              <a:t>(&gt;15 data points)</a:t>
            </a:r>
          </a:p>
        </xdr:txBody>
      </xdr:sp>
    </xdr:grpSp>
    <xdr:clientData/>
  </xdr:twoCellAnchor>
  <xdr:twoCellAnchor>
    <xdr:from>
      <xdr:col>4</xdr:col>
      <xdr:colOff>85725</xdr:colOff>
      <xdr:row>38</xdr:row>
      <xdr:rowOff>171450</xdr:rowOff>
    </xdr:from>
    <xdr:to>
      <xdr:col>10</xdr:col>
      <xdr:colOff>307126</xdr:colOff>
      <xdr:row>40</xdr:row>
      <xdr:rowOff>100077</xdr:rowOff>
    </xdr:to>
    <xdr:grpSp>
      <xdr:nvGrpSpPr>
        <xdr:cNvPr id="34" name="Group 33"/>
        <xdr:cNvGrpSpPr/>
      </xdr:nvGrpSpPr>
      <xdr:grpSpPr>
        <a:xfrm>
          <a:off x="2266950" y="7239000"/>
          <a:ext cx="3688501" cy="328677"/>
          <a:chOff x="3606178" y="3876522"/>
          <a:chExt cx="2064914" cy="278142"/>
        </a:xfrm>
      </xdr:grpSpPr>
      <xdr:grpSp>
        <xdr:nvGrpSpPr>
          <xdr:cNvPr id="35" name="Group 19"/>
          <xdr:cNvGrpSpPr/>
        </xdr:nvGrpSpPr>
        <xdr:grpSpPr>
          <a:xfrm>
            <a:off x="4027477" y="3927969"/>
            <a:ext cx="715072" cy="180975"/>
            <a:chOff x="9334506" y="1762125"/>
            <a:chExt cx="716583" cy="180975"/>
          </a:xfrm>
        </xdr:grpSpPr>
        <xdr:cxnSp macro="">
          <xdr:nvCxnSpPr>
            <xdr:cNvPr id="39" name="Straight Connector 38"/>
            <xdr:cNvCxnSpPr/>
          </xdr:nvCxnSpPr>
          <xdr:spPr>
            <a:xfrm>
              <a:off x="9773275" y="1848716"/>
              <a:ext cx="274320" cy="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0" name="Straight Connector 39"/>
            <xdr:cNvCxnSpPr/>
          </xdr:nvCxnSpPr>
          <xdr:spPr>
            <a:xfrm>
              <a:off x="9334506" y="1853912"/>
              <a:ext cx="91440" cy="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1" name="Rectangle 40"/>
            <xdr:cNvSpPr/>
          </xdr:nvSpPr>
          <xdr:spPr>
            <a:xfrm>
              <a:off x="9429750" y="1762125"/>
              <a:ext cx="91440" cy="1809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 w="9525">
              <a:solidFill>
                <a:srgbClr val="7F7F7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sp macro="" textlink="">
          <xdr:nvSpPr>
            <xdr:cNvPr id="42" name="Rectangle 41"/>
            <xdr:cNvSpPr/>
          </xdr:nvSpPr>
          <xdr:spPr>
            <a:xfrm>
              <a:off x="9519557" y="1762125"/>
              <a:ext cx="257175" cy="1809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 w="9525">
              <a:solidFill>
                <a:srgbClr val="7F7F7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cxnSp macro="">
          <xdr:nvCxnSpPr>
            <xdr:cNvPr id="43" name="Straight Connector 42"/>
            <xdr:cNvCxnSpPr/>
          </xdr:nvCxnSpPr>
          <xdr:spPr>
            <a:xfrm>
              <a:off x="9336599" y="1809754"/>
              <a:ext cx="0" cy="9144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/>
            <xdr:cNvCxnSpPr/>
          </xdr:nvCxnSpPr>
          <xdr:spPr>
            <a:xfrm>
              <a:off x="10051089" y="1806292"/>
              <a:ext cx="0" cy="91440"/>
            </a:xfrm>
            <a:prstGeom prst="line">
              <a:avLst/>
            </a:prstGeom>
            <a:ln w="9525">
              <a:solidFill>
                <a:srgbClr val="7F7F7F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" name="Oval 35"/>
          <xdr:cNvSpPr/>
        </xdr:nvSpPr>
        <xdr:spPr>
          <a:xfrm>
            <a:off x="3606178" y="3972638"/>
            <a:ext cx="52019" cy="81034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ln>
                <a:noFill/>
              </a:ln>
            </a:endParaRPr>
          </a:p>
        </xdr:txBody>
      </xdr:sp>
      <xdr:sp macro="" textlink="">
        <xdr:nvSpPr>
          <xdr:cNvPr id="37" name="Rectangle 36"/>
          <xdr:cNvSpPr/>
        </xdr:nvSpPr>
        <xdr:spPr>
          <a:xfrm>
            <a:off x="3709152" y="3880344"/>
            <a:ext cx="258773" cy="2743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Mean</a:t>
            </a:r>
          </a:p>
        </xdr:txBody>
      </xdr:sp>
      <xdr:sp macro="" textlink="">
        <xdr:nvSpPr>
          <xdr:cNvPr id="38" name="Rectangle 37"/>
          <xdr:cNvSpPr/>
        </xdr:nvSpPr>
        <xdr:spPr>
          <a:xfrm>
            <a:off x="4791263" y="3876522"/>
            <a:ext cx="879829" cy="2743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Box Plot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r>
              <a:rPr lang="en-US" sz="1100">
                <a:solidFill>
                  <a:sysClr val="windowText" lastClr="000000"/>
                </a:solidFill>
              </a:rPr>
              <a:t>(&gt;15 data points)</a:t>
            </a:r>
          </a:p>
        </xdr:txBody>
      </xdr:sp>
    </xdr:grpSp>
    <xdr:clientData/>
  </xdr:twoCellAnchor>
  <xdr:twoCellAnchor>
    <xdr:from>
      <xdr:col>5</xdr:col>
      <xdr:colOff>269414</xdr:colOff>
      <xdr:row>5</xdr:row>
      <xdr:rowOff>66675</xdr:rowOff>
    </xdr:from>
    <xdr:to>
      <xdr:col>5</xdr:col>
      <xdr:colOff>360854</xdr:colOff>
      <xdr:row>5</xdr:row>
      <xdr:rowOff>158115</xdr:rowOff>
    </xdr:to>
    <xdr:sp macro="" textlink="">
      <xdr:nvSpPr>
        <xdr:cNvPr id="30" name="shapeBenchmark"/>
        <xdr:cNvSpPr/>
      </xdr:nvSpPr>
      <xdr:spPr>
        <a:xfrm>
          <a:off x="3061600" y="937532"/>
          <a:ext cx="91440" cy="91440"/>
        </a:xfrm>
        <a:prstGeom prst="ellipse">
          <a:avLst/>
        </a:prstGeom>
        <a:solidFill>
          <a:srgbClr val="7030A0"/>
        </a:solidFill>
        <a:ln w="6350"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0.06067</cdr:x>
      <cdr:y>0.90399</cdr:y>
    </cdr:from>
    <cdr:to>
      <cdr:x>0.18974</cdr:x>
      <cdr:y>0.96533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485103" y="2155249"/>
          <a:ext cx="1032086" cy="1462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lIns="0" tIns="0" rIns="0" bIns="0"/>
        <a:lstStyle xmlns:a="http://schemas.openxmlformats.org/drawingml/2006/main"/>
        <a:p xmlns:a="http://schemas.openxmlformats.org/drawingml/2006/main">
          <a:r>
            <a:rPr lang="en-US" i="0">
              <a:solidFill>
                <a:srgbClr val="C00000"/>
              </a:solidFill>
            </a:rPr>
            <a:t>Responses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CYager" refreshedDate="41098.053286111113" createdVersion="3" refreshedVersion="3" minRefreshableVersion="3" recordCount="1883">
  <cacheSource type="worksheet">
    <worksheetSource name="tblSalaries[#All]"/>
  </cacheSource>
  <cacheFields count="12">
    <cacheField name="Unique ID" numFmtId="0">
      <sharedItems count="1883">
        <s v="ID0001"/>
        <s v="ID0002"/>
        <s v="ID0003"/>
        <s v="ID0004"/>
        <s v="ID0005"/>
        <s v="ID0006"/>
        <s v="ID0007"/>
        <s v="ID0008"/>
        <s v="ID0009"/>
        <s v="ID0010"/>
        <s v="ID0011"/>
        <s v="ID0012"/>
        <s v="ID0013"/>
        <s v="ID0014"/>
        <s v="ID0015"/>
        <s v="ID0016"/>
        <s v="ID0017"/>
        <s v="ID0018"/>
        <s v="ID0019"/>
        <s v="ID0020"/>
        <s v="ID0021"/>
        <s v="ID0022"/>
        <s v="ID0023"/>
        <s v="ID0024"/>
        <s v="ID0025"/>
        <s v="ID0026"/>
        <s v="ID0028"/>
        <s v="ID0029"/>
        <s v="ID0030"/>
        <s v="ID0031"/>
        <s v="ID0032"/>
        <s v="ID0033"/>
        <s v="ID0035"/>
        <s v="ID0036"/>
        <s v="ID0037"/>
        <s v="ID0038"/>
        <s v="ID0039"/>
        <s v="ID0040"/>
        <s v="ID0041"/>
        <s v="ID0042"/>
        <s v="ID0043"/>
        <s v="ID0044"/>
        <s v="ID0045"/>
        <s v="ID0046"/>
        <s v="ID0047"/>
        <s v="ID0048"/>
        <s v="ID0049"/>
        <s v="ID0050"/>
        <s v="ID0051"/>
        <s v="ID0052"/>
        <s v="ID0053"/>
        <s v="ID0054"/>
        <s v="ID0055"/>
        <s v="ID0056"/>
        <s v="ID0057"/>
        <s v="ID0058"/>
        <s v="ID0059"/>
        <s v="ID0060"/>
        <s v="ID0061"/>
        <s v="ID0062"/>
        <s v="ID0063"/>
        <s v="ID0064"/>
        <s v="ID0065"/>
        <s v="ID0066"/>
        <s v="ID0067"/>
        <s v="ID0068"/>
        <s v="ID0069"/>
        <s v="ID0070"/>
        <s v="ID0071"/>
        <s v="ID0072"/>
        <s v="ID0073"/>
        <s v="ID0074"/>
        <s v="ID0075"/>
        <s v="ID0076"/>
        <s v="ID0077"/>
        <s v="ID0078"/>
        <s v="ID0079"/>
        <s v="ID0080"/>
        <s v="ID0081"/>
        <s v="ID0082"/>
        <s v="ID0083"/>
        <s v="ID0084"/>
        <s v="ID0085"/>
        <s v="ID0086"/>
        <s v="ID0087"/>
        <s v="ID0088"/>
        <s v="ID0089"/>
        <s v="ID0090"/>
        <s v="ID0091"/>
        <s v="ID0092"/>
        <s v="ID0093"/>
        <s v="ID0094"/>
        <s v="ID0095"/>
        <s v="ID0096"/>
        <s v="ID0097"/>
        <s v="ID0098"/>
        <s v="ID0099"/>
        <s v="ID0100"/>
        <s v="ID0101"/>
        <s v="ID0102"/>
        <s v="ID0103"/>
        <s v="ID0104"/>
        <s v="ID0105"/>
        <s v="ID0106"/>
        <s v="ID0107"/>
        <s v="ID0108"/>
        <s v="ID0109"/>
        <s v="ID0111"/>
        <s v="ID0112"/>
        <s v="ID0113"/>
        <s v="ID0114"/>
        <s v="ID0115"/>
        <s v="ID0116"/>
        <s v="ID0117"/>
        <s v="ID0118"/>
        <s v="ID0119"/>
        <s v="ID0120"/>
        <s v="ID0121"/>
        <s v="ID0122"/>
        <s v="ID0123"/>
        <s v="ID0124"/>
        <s v="ID0125"/>
        <s v="ID0126"/>
        <s v="ID0127"/>
        <s v="ID0128"/>
        <s v="ID0129"/>
        <s v="ID0130"/>
        <s v="ID0131"/>
        <s v="ID0132"/>
        <s v="ID0133"/>
        <s v="ID0134"/>
        <s v="ID0135"/>
        <s v="ID0136"/>
        <s v="ID0137"/>
        <s v="ID0138"/>
        <s v="ID0139"/>
        <s v="ID0140"/>
        <s v="ID0141"/>
        <s v="ID0142"/>
        <s v="ID0143"/>
        <s v="ID0144"/>
        <s v="ID0145"/>
        <s v="ID0146"/>
        <s v="ID0147"/>
        <s v="ID0148"/>
        <s v="ID0149"/>
        <s v="ID0150"/>
        <s v="ID0151"/>
        <s v="ID0152"/>
        <s v="ID0153"/>
        <s v="ID0154"/>
        <s v="ID0155"/>
        <s v="ID0156"/>
        <s v="ID0157"/>
        <s v="ID0158"/>
        <s v="ID0159"/>
        <s v="ID0160"/>
        <s v="ID0161"/>
        <s v="ID0162"/>
        <s v="ID0163"/>
        <s v="ID0164"/>
        <s v="ID0165"/>
        <s v="ID0166"/>
        <s v="ID0167"/>
        <s v="ID0168"/>
        <s v="ID0169"/>
        <s v="ID0170"/>
        <s v="ID0171"/>
        <s v="ID0172"/>
        <s v="ID0173"/>
        <s v="ID0174"/>
        <s v="ID0175"/>
        <s v="ID0176"/>
        <s v="ID0177"/>
        <s v="ID0178"/>
        <s v="ID0179"/>
        <s v="ID0180"/>
        <s v="ID0181"/>
        <s v="ID0182"/>
        <s v="ID0183"/>
        <s v="ID0184"/>
        <s v="ID0185"/>
        <s v="ID0186"/>
        <s v="ID0187"/>
        <s v="ID0188"/>
        <s v="ID0189"/>
        <s v="ID0190"/>
        <s v="ID0192"/>
        <s v="ID0193"/>
        <s v="ID0194"/>
        <s v="ID0195"/>
        <s v="ID0196"/>
        <s v="ID0197"/>
        <s v="ID0198"/>
        <s v="ID0200"/>
        <s v="ID0201"/>
        <s v="ID0202"/>
        <s v="ID0203"/>
        <s v="ID0204"/>
        <s v="ID0205"/>
        <s v="ID0207"/>
        <s v="ID0208"/>
        <s v="ID0209"/>
        <s v="ID0210"/>
        <s v="ID0211"/>
        <s v="ID0212"/>
        <s v="ID0213"/>
        <s v="ID0214"/>
        <s v="ID0215"/>
        <s v="ID0216"/>
        <s v="ID0217"/>
        <s v="ID0218"/>
        <s v="ID0219"/>
        <s v="ID0220"/>
        <s v="ID0221"/>
        <s v="ID0222"/>
        <s v="ID0223"/>
        <s v="ID0224"/>
        <s v="ID0225"/>
        <s v="ID0226"/>
        <s v="ID0227"/>
        <s v="ID0228"/>
        <s v="ID0229"/>
        <s v="ID0230"/>
        <s v="ID0231"/>
        <s v="ID0232"/>
        <s v="ID0233"/>
        <s v="ID0234"/>
        <s v="ID0235"/>
        <s v="ID0236"/>
        <s v="ID0237"/>
        <s v="ID0238"/>
        <s v="ID0239"/>
        <s v="ID0240"/>
        <s v="ID0241"/>
        <s v="ID0242"/>
        <s v="ID0243"/>
        <s v="ID0244"/>
        <s v="ID0245"/>
        <s v="ID0246"/>
        <s v="ID0247"/>
        <s v="ID0248"/>
        <s v="ID0249"/>
        <s v="ID0250"/>
        <s v="ID0251"/>
        <s v="ID0252"/>
        <s v="ID0253"/>
        <s v="ID0254"/>
        <s v="ID0255"/>
        <s v="ID0256"/>
        <s v="ID0257"/>
        <s v="ID0258"/>
        <s v="ID0259"/>
        <s v="ID0260"/>
        <s v="ID0261"/>
        <s v="ID0262"/>
        <s v="ID0263"/>
        <s v="ID0264"/>
        <s v="ID0265"/>
        <s v="ID0266"/>
        <s v="ID0267"/>
        <s v="ID0268"/>
        <s v="ID0269"/>
        <s v="ID0270"/>
        <s v="ID0271"/>
        <s v="ID0272"/>
        <s v="ID0273"/>
        <s v="ID0274"/>
        <s v="ID0275"/>
        <s v="ID0276"/>
        <s v="ID0277"/>
        <s v="ID0278"/>
        <s v="ID0279"/>
        <s v="ID0280"/>
        <s v="ID0281"/>
        <s v="ID0282"/>
        <s v="ID0283"/>
        <s v="ID0284"/>
        <s v="ID0285"/>
        <s v="ID0286"/>
        <s v="ID0287"/>
        <s v="ID0288"/>
        <s v="ID0289"/>
        <s v="ID0290"/>
        <s v="ID0291"/>
        <s v="ID0292"/>
        <s v="ID0293"/>
        <s v="ID0294"/>
        <s v="ID0295"/>
        <s v="ID0296"/>
        <s v="ID0297"/>
        <s v="ID0298"/>
        <s v="ID0299"/>
        <s v="ID0300"/>
        <s v="ID0301"/>
        <s v="ID0302"/>
        <s v="ID0303"/>
        <s v="ID0304"/>
        <s v="ID0305"/>
        <s v="ID0306"/>
        <s v="ID0307"/>
        <s v="ID0308"/>
        <s v="ID0309"/>
        <s v="ID0310"/>
        <s v="ID0311"/>
        <s v="ID0312"/>
        <s v="ID0313"/>
        <s v="ID0314"/>
        <s v="ID0315"/>
        <s v="ID0316"/>
        <s v="ID0317"/>
        <s v="ID0318"/>
        <s v="ID0319"/>
        <s v="ID0320"/>
        <s v="ID0321"/>
        <s v="ID0322"/>
        <s v="ID0323"/>
        <s v="ID0324"/>
        <s v="ID0325"/>
        <s v="ID0326"/>
        <s v="ID0327"/>
        <s v="ID0328"/>
        <s v="ID0329"/>
        <s v="ID0330"/>
        <s v="ID0331"/>
        <s v="ID0332"/>
        <s v="ID0333"/>
        <s v="ID0334"/>
        <s v="ID0335"/>
        <s v="ID0336"/>
        <s v="ID0337"/>
        <s v="ID0338"/>
        <s v="ID0339"/>
        <s v="ID0340"/>
        <s v="ID0341"/>
        <s v="ID0342"/>
        <s v="ID0343"/>
        <s v="ID0344"/>
        <s v="ID0346"/>
        <s v="ID0347"/>
        <s v="ID0348"/>
        <s v="ID0349"/>
        <s v="ID0350"/>
        <s v="ID0351"/>
        <s v="ID0352"/>
        <s v="ID0353"/>
        <s v="ID0354"/>
        <s v="ID0355"/>
        <s v="ID0356"/>
        <s v="ID0357"/>
        <s v="ID0358"/>
        <s v="ID0359"/>
        <s v="ID0360"/>
        <s v="ID0361"/>
        <s v="ID0362"/>
        <s v="ID0363"/>
        <s v="ID0365"/>
        <s v="ID0366"/>
        <s v="ID0367"/>
        <s v="ID0368"/>
        <s v="ID0369"/>
        <s v="ID0370"/>
        <s v="ID0371"/>
        <s v="ID0372"/>
        <s v="ID0373"/>
        <s v="ID0374"/>
        <s v="ID0375"/>
        <s v="ID0376"/>
        <s v="ID0377"/>
        <s v="ID0378"/>
        <s v="ID0379"/>
        <s v="ID0380"/>
        <s v="ID0381"/>
        <s v="ID0382"/>
        <s v="ID0383"/>
        <s v="ID0384"/>
        <s v="ID0385"/>
        <s v="ID0386"/>
        <s v="ID0387"/>
        <s v="ID0388"/>
        <s v="ID0389"/>
        <s v="ID0390"/>
        <s v="ID0391"/>
        <s v="ID0392"/>
        <s v="ID0393"/>
        <s v="ID0394"/>
        <s v="ID0395"/>
        <s v="ID0396"/>
        <s v="ID0397"/>
        <s v="ID0398"/>
        <s v="ID0399"/>
        <s v="ID0400"/>
        <s v="ID0401"/>
        <s v="ID0402"/>
        <s v="ID0403"/>
        <s v="ID0404"/>
        <s v="ID0405"/>
        <s v="ID0406"/>
        <s v="ID0407"/>
        <s v="ID0408"/>
        <s v="ID0409"/>
        <s v="ID0410"/>
        <s v="ID0411"/>
        <s v="ID0412"/>
        <s v="ID0413"/>
        <s v="ID0414"/>
        <s v="ID0415"/>
        <s v="ID0416"/>
        <s v="ID0417"/>
        <s v="ID0418"/>
        <s v="ID0419"/>
        <s v="ID0420"/>
        <s v="ID0421"/>
        <s v="ID0422"/>
        <s v="ID0423"/>
        <s v="ID0424"/>
        <s v="ID0425"/>
        <s v="ID0426"/>
        <s v="ID0427"/>
        <s v="ID0428"/>
        <s v="ID0429"/>
        <s v="ID0430"/>
        <s v="ID0431"/>
        <s v="ID0432"/>
        <s v="ID0433"/>
        <s v="ID0434"/>
        <s v="ID0435"/>
        <s v="ID0436"/>
        <s v="ID0437"/>
        <s v="ID0438"/>
        <s v="ID0439"/>
        <s v="ID0440"/>
        <s v="ID0441"/>
        <s v="ID0442"/>
        <s v="ID0443"/>
        <s v="ID0444"/>
        <s v="ID0445"/>
        <s v="ID0446"/>
        <s v="ID0447"/>
        <s v="ID0448"/>
        <s v="ID0449"/>
        <s v="ID0450"/>
        <s v="ID0451"/>
        <s v="ID0452"/>
        <s v="ID0453"/>
        <s v="ID0454"/>
        <s v="ID0455"/>
        <s v="ID0456"/>
        <s v="ID0457"/>
        <s v="ID0458"/>
        <s v="ID0459"/>
        <s v="ID0460"/>
        <s v="ID0461"/>
        <s v="ID0462"/>
        <s v="ID0463"/>
        <s v="ID0464"/>
        <s v="ID0465"/>
        <s v="ID0466"/>
        <s v="ID0467"/>
        <s v="ID0468"/>
        <s v="ID0469"/>
        <s v="ID0470"/>
        <s v="ID0471"/>
        <s v="ID0472"/>
        <s v="ID0473"/>
        <s v="ID0474"/>
        <s v="ID0476"/>
        <s v="ID0477"/>
        <s v="ID0478"/>
        <s v="ID0479"/>
        <s v="ID0480"/>
        <s v="ID0481"/>
        <s v="ID0482"/>
        <s v="ID0484"/>
        <s v="ID0485"/>
        <s v="ID0486"/>
        <s v="ID0487"/>
        <s v="ID0488"/>
        <s v="ID0489"/>
        <s v="ID0490"/>
        <s v="ID0491"/>
        <s v="ID0492"/>
        <s v="ID0493"/>
        <s v="ID0494"/>
        <s v="ID0495"/>
        <s v="ID0496"/>
        <s v="ID0497"/>
        <s v="ID0498"/>
        <s v="ID0499"/>
        <s v="ID0500"/>
        <s v="ID0501"/>
        <s v="ID0502"/>
        <s v="ID0503"/>
        <s v="ID0504"/>
        <s v="ID0505"/>
        <s v="ID0506"/>
        <s v="ID0507"/>
        <s v="ID0508"/>
        <s v="ID0509"/>
        <s v="ID0510"/>
        <s v="ID0511"/>
        <s v="ID0512"/>
        <s v="ID0513"/>
        <s v="ID0514"/>
        <s v="ID0515"/>
        <s v="ID0516"/>
        <s v="ID0517"/>
        <s v="ID0518"/>
        <s v="ID0519"/>
        <s v="ID0520"/>
        <s v="ID0521"/>
        <s v="ID0522"/>
        <s v="ID0523"/>
        <s v="ID0524"/>
        <s v="ID0525"/>
        <s v="ID0526"/>
        <s v="ID0527"/>
        <s v="ID0528"/>
        <s v="ID0529"/>
        <s v="ID0530"/>
        <s v="ID0531"/>
        <s v="ID0532"/>
        <s v="ID0533"/>
        <s v="ID0534"/>
        <s v="ID0535"/>
        <s v="ID0536"/>
        <s v="ID0537"/>
        <s v="ID0538"/>
        <s v="ID0539"/>
        <s v="ID0540"/>
        <s v="ID0541"/>
        <s v="ID0543"/>
        <s v="ID0544"/>
        <s v="ID0545"/>
        <s v="ID0546"/>
        <s v="ID0547"/>
        <s v="ID0548"/>
        <s v="ID0549"/>
        <s v="ID0550"/>
        <s v="ID0551"/>
        <s v="ID0552"/>
        <s v="ID0553"/>
        <s v="ID0554"/>
        <s v="ID0555"/>
        <s v="ID0556"/>
        <s v="ID0557"/>
        <s v="ID0558"/>
        <s v="ID0559"/>
        <s v="ID0560"/>
        <s v="ID0561"/>
        <s v="ID0562"/>
        <s v="ID0563"/>
        <s v="ID0564"/>
        <s v="ID0565"/>
        <s v="ID0566"/>
        <s v="ID0567"/>
        <s v="ID0568"/>
        <s v="ID0569"/>
        <s v="ID0570"/>
        <s v="ID0572"/>
        <s v="ID0573"/>
        <s v="ID0574"/>
        <s v="ID0575"/>
        <s v="ID0576"/>
        <s v="ID0577"/>
        <s v="ID0578"/>
        <s v="ID0579"/>
        <s v="ID0580"/>
        <s v="ID0581"/>
        <s v="ID0582"/>
        <s v="ID0583"/>
        <s v="ID0584"/>
        <s v="ID0585"/>
        <s v="ID0586"/>
        <s v="ID0587"/>
        <s v="ID0588"/>
        <s v="ID0589"/>
        <s v="ID0590"/>
        <s v="ID0591"/>
        <s v="ID0592"/>
        <s v="ID0593"/>
        <s v="ID0594"/>
        <s v="ID0595"/>
        <s v="ID0596"/>
        <s v="ID0597"/>
        <s v="ID0598"/>
        <s v="ID0599"/>
        <s v="ID0600"/>
        <s v="ID0601"/>
        <s v="ID0602"/>
        <s v="ID0603"/>
        <s v="ID0604"/>
        <s v="ID0605"/>
        <s v="ID0606"/>
        <s v="ID0608"/>
        <s v="ID0609"/>
        <s v="ID0611"/>
        <s v="ID0612"/>
        <s v="ID0613"/>
        <s v="ID0614"/>
        <s v="ID0615"/>
        <s v="ID0616"/>
        <s v="ID0617"/>
        <s v="ID0618"/>
        <s v="ID0619"/>
        <s v="ID0620"/>
        <s v="ID0621"/>
        <s v="ID0622"/>
        <s v="ID0623"/>
        <s v="ID0624"/>
        <s v="ID0625"/>
        <s v="ID0626"/>
        <s v="ID0627"/>
        <s v="ID0628"/>
        <s v="ID0629"/>
        <s v="ID0630"/>
        <s v="ID0631"/>
        <s v="ID0632"/>
        <s v="ID0633"/>
        <s v="ID0634"/>
        <s v="ID0635"/>
        <s v="ID0636"/>
        <s v="ID0637"/>
        <s v="ID0638"/>
        <s v="ID0639"/>
        <s v="ID0640"/>
        <s v="ID0641"/>
        <s v="ID0642"/>
        <s v="ID0643"/>
        <s v="ID0644"/>
        <s v="ID0645"/>
        <s v="ID0646"/>
        <s v="ID0647"/>
        <s v="ID0648"/>
        <s v="ID0649"/>
        <s v="ID0650"/>
        <s v="ID0651"/>
        <s v="ID0652"/>
        <s v="ID0653"/>
        <s v="ID0654"/>
        <s v="ID0655"/>
        <s v="ID0657"/>
        <s v="ID0658"/>
        <s v="ID0659"/>
        <s v="ID0660"/>
        <s v="ID0661"/>
        <s v="ID0662"/>
        <s v="ID0663"/>
        <s v="ID0664"/>
        <s v="ID0665"/>
        <s v="ID0666"/>
        <s v="ID0667"/>
        <s v="ID0668"/>
        <s v="ID0669"/>
        <s v="ID0670"/>
        <s v="ID0671"/>
        <s v="ID0672"/>
        <s v="ID0673"/>
        <s v="ID0674"/>
        <s v="ID0675"/>
        <s v="ID0676"/>
        <s v="ID0677"/>
        <s v="ID0678"/>
        <s v="ID0679"/>
        <s v="ID0680"/>
        <s v="ID0681"/>
        <s v="ID0682"/>
        <s v="ID0683"/>
        <s v="ID0684"/>
        <s v="ID0685"/>
        <s v="ID0686"/>
        <s v="ID0687"/>
        <s v="ID0688"/>
        <s v="ID0689"/>
        <s v="ID0690"/>
        <s v="ID0691"/>
        <s v="ID0692"/>
        <s v="ID0693"/>
        <s v="ID0694"/>
        <s v="ID0695"/>
        <s v="ID0696"/>
        <s v="ID0697"/>
        <s v="ID0698"/>
        <s v="ID0699"/>
        <s v="ID0700"/>
        <s v="ID0701"/>
        <s v="ID0702"/>
        <s v="ID0703"/>
        <s v="ID0704"/>
        <s v="ID0705"/>
        <s v="ID0706"/>
        <s v="ID0707"/>
        <s v="ID0708"/>
        <s v="ID0709"/>
        <s v="ID0710"/>
        <s v="ID0711"/>
        <s v="ID0712"/>
        <s v="ID0713"/>
        <s v="ID0714"/>
        <s v="ID0715"/>
        <s v="ID0716"/>
        <s v="ID0717"/>
        <s v="ID0718"/>
        <s v="ID0719"/>
        <s v="ID0720"/>
        <s v="ID0721"/>
        <s v="ID0722"/>
        <s v="ID0723"/>
        <s v="ID0724"/>
        <s v="ID0725"/>
        <s v="ID0726"/>
        <s v="ID0727"/>
        <s v="ID0728"/>
        <s v="ID0729"/>
        <s v="ID0730"/>
        <s v="ID0731"/>
        <s v="ID0732"/>
        <s v="ID0733"/>
        <s v="ID0734"/>
        <s v="ID0735"/>
        <s v="ID0736"/>
        <s v="ID0737"/>
        <s v="ID0738"/>
        <s v="ID0739"/>
        <s v="ID0740"/>
        <s v="ID0741"/>
        <s v="ID0742"/>
        <s v="ID0743"/>
        <s v="ID0744"/>
        <s v="ID0745"/>
        <s v="ID0746"/>
        <s v="ID0747"/>
        <s v="ID0748"/>
        <s v="ID0749"/>
        <s v="ID0750"/>
        <s v="ID0751"/>
        <s v="ID0752"/>
        <s v="ID0753"/>
        <s v="ID0754"/>
        <s v="ID0755"/>
        <s v="ID0756"/>
        <s v="ID0757"/>
        <s v="ID0758"/>
        <s v="ID0759"/>
        <s v="ID0760"/>
        <s v="ID0761"/>
        <s v="ID0762"/>
        <s v="ID0763"/>
        <s v="ID0764"/>
        <s v="ID0765"/>
        <s v="ID0766"/>
        <s v="ID0767"/>
        <s v="ID0768"/>
        <s v="ID0769"/>
        <s v="ID0770"/>
        <s v="ID0771"/>
        <s v="ID0772"/>
        <s v="ID0773"/>
        <s v="ID0774"/>
        <s v="ID0775"/>
        <s v="ID0776"/>
        <s v="ID0777"/>
        <s v="ID0778"/>
        <s v="ID0779"/>
        <s v="ID0780"/>
        <s v="ID0781"/>
        <s v="ID0782"/>
        <s v="ID0783"/>
        <s v="ID0784"/>
        <s v="ID0785"/>
        <s v="ID0786"/>
        <s v="ID0787"/>
        <s v="ID0788"/>
        <s v="ID0789"/>
        <s v="ID0790"/>
        <s v="ID0791"/>
        <s v="ID0792"/>
        <s v="ID0793"/>
        <s v="ID0794"/>
        <s v="ID0795"/>
        <s v="ID0796"/>
        <s v="ID0797"/>
        <s v="ID0798"/>
        <s v="ID0799"/>
        <s v="ID0800"/>
        <s v="ID0801"/>
        <s v="ID0802"/>
        <s v="ID0803"/>
        <s v="ID0804"/>
        <s v="ID0805"/>
        <s v="ID0806"/>
        <s v="ID0807"/>
        <s v="ID0808"/>
        <s v="ID0809"/>
        <s v="ID0810"/>
        <s v="ID0811"/>
        <s v="ID0812"/>
        <s v="ID0813"/>
        <s v="ID0814"/>
        <s v="ID0815"/>
        <s v="ID0816"/>
        <s v="ID0817"/>
        <s v="ID0818"/>
        <s v="ID0820"/>
        <s v="ID0821"/>
        <s v="ID0822"/>
        <s v="ID0823"/>
        <s v="ID0824"/>
        <s v="ID0825"/>
        <s v="ID0826"/>
        <s v="ID0827"/>
        <s v="ID0828"/>
        <s v="ID0829"/>
        <s v="ID0830"/>
        <s v="ID0831"/>
        <s v="ID0832"/>
        <s v="ID0833"/>
        <s v="ID0834"/>
        <s v="ID0835"/>
        <s v="ID0836"/>
        <s v="ID0837"/>
        <s v="ID0838"/>
        <s v="ID0839"/>
        <s v="ID0840"/>
        <s v="ID0841"/>
        <s v="ID0842"/>
        <s v="ID0844"/>
        <s v="ID0845"/>
        <s v="ID0846"/>
        <s v="ID0847"/>
        <s v="ID0848"/>
        <s v="ID0849"/>
        <s v="ID0850"/>
        <s v="ID0851"/>
        <s v="ID0852"/>
        <s v="ID0854"/>
        <s v="ID0855"/>
        <s v="ID0856"/>
        <s v="ID0857"/>
        <s v="ID0858"/>
        <s v="ID0859"/>
        <s v="ID0860"/>
        <s v="ID0861"/>
        <s v="ID0862"/>
        <s v="ID0863"/>
        <s v="ID0864"/>
        <s v="ID0865"/>
        <s v="ID0866"/>
        <s v="ID0867"/>
        <s v="ID0868"/>
        <s v="ID0869"/>
        <s v="ID0870"/>
        <s v="ID0871"/>
        <s v="ID0872"/>
        <s v="ID0873"/>
        <s v="ID0874"/>
        <s v="ID0875"/>
        <s v="ID0876"/>
        <s v="ID0877"/>
        <s v="ID0878"/>
        <s v="ID0879"/>
        <s v="ID0880"/>
        <s v="ID0881"/>
        <s v="ID0882"/>
        <s v="ID0883"/>
        <s v="ID0884"/>
        <s v="ID0885"/>
        <s v="ID0886"/>
        <s v="ID0887"/>
        <s v="ID0888"/>
        <s v="ID0889"/>
        <s v="ID0890"/>
        <s v="ID0891"/>
        <s v="ID0892"/>
        <s v="ID0893"/>
        <s v="ID0894"/>
        <s v="ID0895"/>
        <s v="ID0896"/>
        <s v="ID0897"/>
        <s v="ID0898"/>
        <s v="ID0899"/>
        <s v="ID0900"/>
        <s v="ID0901"/>
        <s v="ID0903"/>
        <s v="ID0904"/>
        <s v="ID0905"/>
        <s v="ID0906"/>
        <s v="ID0907"/>
        <s v="ID0908"/>
        <s v="ID0909"/>
        <s v="ID0910"/>
        <s v="ID0911"/>
        <s v="ID0912"/>
        <s v="ID0913"/>
        <s v="ID0914"/>
        <s v="ID0915"/>
        <s v="ID0916"/>
        <s v="ID0917"/>
        <s v="ID0918"/>
        <s v="ID0919"/>
        <s v="ID0920"/>
        <s v="ID0921"/>
        <s v="ID0922"/>
        <s v="ID0923"/>
        <s v="ID0924"/>
        <s v="ID0925"/>
        <s v="ID0927"/>
        <s v="ID0928"/>
        <s v="ID0929"/>
        <s v="ID0930"/>
        <s v="ID0931"/>
        <s v="ID0932"/>
        <s v="ID0933"/>
        <s v="ID0934"/>
        <s v="ID0935"/>
        <s v="ID0936"/>
        <s v="ID0937"/>
        <s v="ID0938"/>
        <s v="ID0939"/>
        <s v="ID0940"/>
        <s v="ID0941"/>
        <s v="ID0943"/>
        <s v="ID0944"/>
        <s v="ID0945"/>
        <s v="ID0946"/>
        <s v="ID0948"/>
        <s v="ID0949"/>
        <s v="ID0950"/>
        <s v="ID0951"/>
        <s v="ID0952"/>
        <s v="ID0953"/>
        <s v="ID0954"/>
        <s v="ID0955"/>
        <s v="ID0957"/>
        <s v="ID0958"/>
        <s v="ID0959"/>
        <s v="ID0960"/>
        <s v="ID0961"/>
        <s v="ID0962"/>
        <s v="ID0963"/>
        <s v="ID0964"/>
        <s v="ID0965"/>
        <s v="ID0966"/>
        <s v="ID0967"/>
        <s v="ID0968"/>
        <s v="ID0969"/>
        <s v="ID0970"/>
        <s v="ID0971"/>
        <s v="ID0972"/>
        <s v="ID0973"/>
        <s v="ID0974"/>
        <s v="ID0975"/>
        <s v="ID0976"/>
        <s v="ID0977"/>
        <s v="ID0978"/>
        <s v="ID0979"/>
        <s v="ID0980"/>
        <s v="ID0981"/>
        <s v="ID0983"/>
        <s v="ID0984"/>
        <s v="ID0985"/>
        <s v="ID0986"/>
        <s v="ID0987"/>
        <s v="ID0988"/>
        <s v="ID0989"/>
        <s v="ID0990"/>
        <s v="ID0991"/>
        <s v="ID0992"/>
        <s v="ID0993"/>
        <s v="ID0994"/>
        <s v="ID0995"/>
        <s v="ID0996"/>
        <s v="ID0997"/>
        <s v="ID0998"/>
        <s v="ID0999"/>
        <s v="ID1000"/>
        <s v="ID1001"/>
        <s v="ID1002"/>
        <s v="ID1003"/>
        <s v="ID1004"/>
        <s v="ID1005"/>
        <s v="ID1006"/>
        <s v="ID1007"/>
        <s v="ID1008"/>
        <s v="ID1009"/>
        <s v="ID1010"/>
        <s v="ID1011"/>
        <s v="ID1012"/>
        <s v="ID1013"/>
        <s v="ID1014"/>
        <s v="ID1015"/>
        <s v="ID1016"/>
        <s v="ID1017"/>
        <s v="ID1018"/>
        <s v="ID1019"/>
        <s v="ID1020"/>
        <s v="ID1021"/>
        <s v="ID1023"/>
        <s v="ID1024"/>
        <s v="ID1025"/>
        <s v="ID1026"/>
        <s v="ID1027"/>
        <s v="ID1028"/>
        <s v="ID1029"/>
        <s v="ID1030"/>
        <s v="ID1031"/>
        <s v="ID1032"/>
        <s v="ID1033"/>
        <s v="ID1034"/>
        <s v="ID1035"/>
        <s v="ID1036"/>
        <s v="ID1037"/>
        <s v="ID1038"/>
        <s v="ID1039"/>
        <s v="ID1040"/>
        <s v="ID1041"/>
        <s v="ID1042"/>
        <s v="ID1043"/>
        <s v="ID1044"/>
        <s v="ID1045"/>
        <s v="ID1046"/>
        <s v="ID1047"/>
        <s v="ID1048"/>
        <s v="ID1049"/>
        <s v="ID1050"/>
        <s v="ID1051"/>
        <s v="ID1052"/>
        <s v="ID1053"/>
        <s v="ID1054"/>
        <s v="ID1055"/>
        <s v="ID1056"/>
        <s v="ID1057"/>
        <s v="ID1058"/>
        <s v="ID1059"/>
        <s v="ID1060"/>
        <s v="ID1061"/>
        <s v="ID1062"/>
        <s v="ID1063"/>
        <s v="ID1064"/>
        <s v="ID1065"/>
        <s v="ID1066"/>
        <s v="ID1067"/>
        <s v="ID1068"/>
        <s v="ID1069"/>
        <s v="ID1070"/>
        <s v="ID1071"/>
        <s v="ID1072"/>
        <s v="ID1074"/>
        <s v="ID1075"/>
        <s v="ID1076"/>
        <s v="ID1077"/>
        <s v="ID1078"/>
        <s v="ID1079"/>
        <s v="ID1080"/>
        <s v="ID1081"/>
        <s v="ID1082"/>
        <s v="ID1083"/>
        <s v="ID1084"/>
        <s v="ID1085"/>
        <s v="ID1086"/>
        <s v="ID1087"/>
        <s v="ID1088"/>
        <s v="ID1089"/>
        <s v="ID1090"/>
        <s v="ID1091"/>
        <s v="ID1092"/>
        <s v="ID1093"/>
        <s v="ID1094"/>
        <s v="ID1095"/>
        <s v="ID1096"/>
        <s v="ID1097"/>
        <s v="ID1098"/>
        <s v="ID1099"/>
        <s v="ID1100"/>
        <s v="ID1101"/>
        <s v="ID1102"/>
        <s v="ID1103"/>
        <s v="ID1104"/>
        <s v="ID1105"/>
        <s v="ID1107"/>
        <s v="ID1108"/>
        <s v="ID1109"/>
        <s v="ID1110"/>
        <s v="ID1111"/>
        <s v="ID1112"/>
        <s v="ID1113"/>
        <s v="ID1114"/>
        <s v="ID1115"/>
        <s v="ID1116"/>
        <s v="ID1117"/>
        <s v="ID1118"/>
        <s v="ID1119"/>
        <s v="ID1120"/>
        <s v="ID1121"/>
        <s v="ID1122"/>
        <s v="ID1123"/>
        <s v="ID1124"/>
        <s v="ID1125"/>
        <s v="ID1126"/>
        <s v="ID1127"/>
        <s v="ID1128"/>
        <s v="ID1129"/>
        <s v="ID1130"/>
        <s v="ID1131"/>
        <s v="ID1132"/>
        <s v="ID1133"/>
        <s v="ID1134"/>
        <s v="ID1135"/>
        <s v="ID1136"/>
        <s v="ID1137"/>
        <s v="ID1138"/>
        <s v="ID1139"/>
        <s v="ID1140"/>
        <s v="ID1141"/>
        <s v="ID1142"/>
        <s v="ID1143"/>
        <s v="ID1144"/>
        <s v="ID1145"/>
        <s v="ID1146"/>
        <s v="ID1147"/>
        <s v="ID1148"/>
        <s v="ID1149"/>
        <s v="ID1150"/>
        <s v="ID1151"/>
        <s v="ID1152"/>
        <s v="ID1153"/>
        <s v="ID1154"/>
        <s v="ID1155"/>
        <s v="ID1156"/>
        <s v="ID1157"/>
        <s v="ID1158"/>
        <s v="ID1159"/>
        <s v="ID1160"/>
        <s v="ID1161"/>
        <s v="ID1162"/>
        <s v="ID1163"/>
        <s v="ID1164"/>
        <s v="ID1165"/>
        <s v="ID1166"/>
        <s v="ID1167"/>
        <s v="ID1168"/>
        <s v="ID1169"/>
        <s v="ID1170"/>
        <s v="ID1171"/>
        <s v="ID1172"/>
        <s v="ID1173"/>
        <s v="ID1175"/>
        <s v="ID1176"/>
        <s v="ID1177"/>
        <s v="ID1178"/>
        <s v="ID1179"/>
        <s v="ID1180"/>
        <s v="ID1181"/>
        <s v="ID1182"/>
        <s v="ID1183"/>
        <s v="ID1184"/>
        <s v="ID1185"/>
        <s v="ID1186"/>
        <s v="ID1187"/>
        <s v="ID1188"/>
        <s v="ID1189"/>
        <s v="ID1190"/>
        <s v="ID1191"/>
        <s v="ID1192"/>
        <s v="ID1193"/>
        <s v="ID1194"/>
        <s v="ID1195"/>
        <s v="ID1196"/>
        <s v="ID1197"/>
        <s v="ID1198"/>
        <s v="ID1199"/>
        <s v="ID1200"/>
        <s v="ID1201"/>
        <s v="ID1202"/>
        <s v="ID1203"/>
        <s v="ID1204"/>
        <s v="ID1205"/>
        <s v="ID1206"/>
        <s v="ID1207"/>
        <s v="ID1208"/>
        <s v="ID1209"/>
        <s v="ID1210"/>
        <s v="ID1211"/>
        <s v="ID1212"/>
        <s v="ID1213"/>
        <s v="ID1214"/>
        <s v="ID1215"/>
        <s v="ID1216"/>
        <s v="ID1217"/>
        <s v="ID1218"/>
        <s v="ID1219"/>
        <s v="ID1220"/>
        <s v="ID1221"/>
        <s v="ID1222"/>
        <s v="ID1223"/>
        <s v="ID1224"/>
        <s v="ID1225"/>
        <s v="ID1226"/>
        <s v="ID1227"/>
        <s v="ID1228"/>
        <s v="ID1229"/>
        <s v="ID1230"/>
        <s v="ID1231"/>
        <s v="ID1232"/>
        <s v="ID1233"/>
        <s v="ID1234"/>
        <s v="ID1235"/>
        <s v="ID1236"/>
        <s v="ID1237"/>
        <s v="ID1238"/>
        <s v="ID1239"/>
        <s v="ID1240"/>
        <s v="ID1241"/>
        <s v="ID1242"/>
        <s v="ID1243"/>
        <s v="ID1244"/>
        <s v="ID1245"/>
        <s v="ID1246"/>
        <s v="ID1247"/>
        <s v="ID1248"/>
        <s v="ID1249"/>
        <s v="ID1250"/>
        <s v="ID1251"/>
        <s v="ID1252"/>
        <s v="ID1253"/>
        <s v="ID1254"/>
        <s v="ID1255"/>
        <s v="ID1256"/>
        <s v="ID1257"/>
        <s v="ID1258"/>
        <s v="ID1259"/>
        <s v="ID1260"/>
        <s v="ID1261"/>
        <s v="ID1262"/>
        <s v="ID1263"/>
        <s v="ID1264"/>
        <s v="ID1265"/>
        <s v="ID1266"/>
        <s v="ID1267"/>
        <s v="ID1268"/>
        <s v="ID1270"/>
        <s v="ID1271"/>
        <s v="ID1273"/>
        <s v="ID1274"/>
        <s v="ID1275"/>
        <s v="ID1276"/>
        <s v="ID1277"/>
        <s v="ID1278"/>
        <s v="ID1279"/>
        <s v="ID1280"/>
        <s v="ID1281"/>
        <s v="ID1282"/>
        <s v="ID1283"/>
        <s v="ID1284"/>
        <s v="ID1285"/>
        <s v="ID1286"/>
        <s v="ID1287"/>
        <s v="ID1288"/>
        <s v="ID1289"/>
        <s v="ID1290"/>
        <s v="ID1291"/>
        <s v="ID1292"/>
        <s v="ID1294"/>
        <s v="ID1295"/>
        <s v="ID1296"/>
        <s v="ID1297"/>
        <s v="ID1298"/>
        <s v="ID1299"/>
        <s v="ID1301"/>
        <s v="ID1302"/>
        <s v="ID1303"/>
        <s v="ID1304"/>
        <s v="ID1305"/>
        <s v="ID1306"/>
        <s v="ID1307"/>
        <s v="ID1308"/>
        <s v="ID1309"/>
        <s v="ID1310"/>
        <s v="ID1311"/>
        <s v="ID1312"/>
        <s v="ID1313"/>
        <s v="ID1314"/>
        <s v="ID1315"/>
        <s v="ID1316"/>
        <s v="ID1317"/>
        <s v="ID1318"/>
        <s v="ID1319"/>
        <s v="ID1320"/>
        <s v="ID1322"/>
        <s v="ID1323"/>
        <s v="ID1324"/>
        <s v="ID1325"/>
        <s v="ID1326"/>
        <s v="ID1327"/>
        <s v="ID1328"/>
        <s v="ID1329"/>
        <s v="ID1330"/>
        <s v="ID1331"/>
        <s v="ID1332"/>
        <s v="ID1333"/>
        <s v="ID1334"/>
        <s v="ID1335"/>
        <s v="ID1336"/>
        <s v="ID1337"/>
        <s v="ID1338"/>
        <s v="ID1339"/>
        <s v="ID1340"/>
        <s v="ID1341"/>
        <s v="ID1342"/>
        <s v="ID1343"/>
        <s v="ID1344"/>
        <s v="ID1345"/>
        <s v="ID1346"/>
        <s v="ID1347"/>
        <s v="ID1348"/>
        <s v="ID1349"/>
        <s v="ID1350"/>
        <s v="ID1351"/>
        <s v="ID1352"/>
        <s v="ID1353"/>
        <s v="ID1354"/>
        <s v="ID1355"/>
        <s v="ID1356"/>
        <s v="ID1357"/>
        <s v="ID1358"/>
        <s v="ID1359"/>
        <s v="ID1360"/>
        <s v="ID1361"/>
        <s v="ID1362"/>
        <s v="ID1363"/>
        <s v="ID1364"/>
        <s v="ID1365"/>
        <s v="ID1366"/>
        <s v="ID1367"/>
        <s v="ID1368"/>
        <s v="ID1369"/>
        <s v="ID1370"/>
        <s v="ID1371"/>
        <s v="ID1372"/>
        <s v="ID1373"/>
        <s v="ID1374"/>
        <s v="ID1375"/>
        <s v="ID1376"/>
        <s v="ID1377"/>
        <s v="ID1378"/>
        <s v="ID1379"/>
        <s v="ID1380"/>
        <s v="ID1381"/>
        <s v="ID1382"/>
        <s v="ID1383"/>
        <s v="ID1384"/>
        <s v="ID1385"/>
        <s v="ID1386"/>
        <s v="ID1387"/>
        <s v="ID1388"/>
        <s v="ID1389"/>
        <s v="ID1390"/>
        <s v="ID1391"/>
        <s v="ID1392"/>
        <s v="ID1393"/>
        <s v="ID1394"/>
        <s v="ID1395"/>
        <s v="ID1396"/>
        <s v="ID1397"/>
        <s v="ID1398"/>
        <s v="ID1399"/>
        <s v="ID1400"/>
        <s v="ID1401"/>
        <s v="ID1402"/>
        <s v="ID1403"/>
        <s v="ID1404"/>
        <s v="ID1405"/>
        <s v="ID1406"/>
        <s v="ID1407"/>
        <s v="ID1408"/>
        <s v="ID1409"/>
        <s v="ID1410"/>
        <s v="ID1411"/>
        <s v="ID1412"/>
        <s v="ID1413"/>
        <s v="ID1414"/>
        <s v="ID1415"/>
        <s v="ID1416"/>
        <s v="ID1417"/>
        <s v="ID1418"/>
        <s v="ID1419"/>
        <s v="ID1420"/>
        <s v="ID1421"/>
        <s v="ID1422"/>
        <s v="ID1423"/>
        <s v="ID1424"/>
        <s v="ID1425"/>
        <s v="ID1426"/>
        <s v="ID1427"/>
        <s v="ID1428"/>
        <s v="ID1429"/>
        <s v="ID1430"/>
        <s v="ID1431"/>
        <s v="ID1432"/>
        <s v="ID1433"/>
        <s v="ID1434"/>
        <s v="ID1435"/>
        <s v="ID1436"/>
        <s v="ID1437"/>
        <s v="ID1438"/>
        <s v="ID1439"/>
        <s v="ID1440"/>
        <s v="ID1442"/>
        <s v="ID1443"/>
        <s v="ID1444"/>
        <s v="ID1445"/>
        <s v="ID1446"/>
        <s v="ID1447"/>
        <s v="ID1448"/>
        <s v="ID1449"/>
        <s v="ID1450"/>
        <s v="ID1451"/>
        <s v="ID1452"/>
        <s v="ID1453"/>
        <s v="ID1454"/>
        <s v="ID1455"/>
        <s v="ID1456"/>
        <s v="ID1457"/>
        <s v="ID1458"/>
        <s v="ID1459"/>
        <s v="ID1460"/>
        <s v="ID1461"/>
        <s v="ID1462"/>
        <s v="ID1463"/>
        <s v="ID1464"/>
        <s v="ID1465"/>
        <s v="ID1466"/>
        <s v="ID1467"/>
        <s v="ID1468"/>
        <s v="ID1469"/>
        <s v="ID1470"/>
        <s v="ID1471"/>
        <s v="ID1472"/>
        <s v="ID1473"/>
        <s v="ID1474"/>
        <s v="ID1475"/>
        <s v="ID1476"/>
        <s v="ID1477"/>
        <s v="ID1478"/>
        <s v="ID1479"/>
        <s v="ID1480"/>
        <s v="ID1481"/>
        <s v="ID1482"/>
        <s v="ID1483"/>
        <s v="ID1484"/>
        <s v="ID1485"/>
        <s v="ID1486"/>
        <s v="ID1487"/>
        <s v="ID1488"/>
        <s v="ID1489"/>
        <s v="ID1490"/>
        <s v="ID1491"/>
        <s v="ID1492"/>
        <s v="ID1493"/>
        <s v="ID1494"/>
        <s v="ID1495"/>
        <s v="ID1496"/>
        <s v="ID1497"/>
        <s v="ID1498"/>
        <s v="ID1499"/>
        <s v="ID1500"/>
        <s v="ID1501"/>
        <s v="ID1502"/>
        <s v="ID1503"/>
        <s v="ID1504"/>
        <s v="ID1505"/>
        <s v="ID1506"/>
        <s v="ID1507"/>
        <s v="ID1508"/>
        <s v="ID1509"/>
        <s v="ID1510"/>
        <s v="ID1511"/>
        <s v="ID1512"/>
        <s v="ID1513"/>
        <s v="ID1514"/>
        <s v="ID1515"/>
        <s v="ID1516"/>
        <s v="ID1519"/>
        <s v="ID1520"/>
        <s v="ID1521"/>
        <s v="ID1522"/>
        <s v="ID1523"/>
        <s v="ID1524"/>
        <s v="ID1525"/>
        <s v="ID1526"/>
        <s v="ID1527"/>
        <s v="ID1528"/>
        <s v="ID1529"/>
        <s v="ID1530"/>
        <s v="ID1531"/>
        <s v="ID1532"/>
        <s v="ID1533"/>
        <s v="ID1534"/>
        <s v="ID1535"/>
        <s v="ID1536"/>
        <s v="ID1537"/>
        <s v="ID1539"/>
        <s v="ID1540"/>
        <s v="ID1541"/>
        <s v="ID1542"/>
        <s v="ID1543"/>
        <s v="ID1544"/>
        <s v="ID1545"/>
        <s v="ID1546"/>
        <s v="ID1547"/>
        <s v="ID1548"/>
        <s v="ID1549"/>
        <s v="ID1550"/>
        <s v="ID1551"/>
        <s v="ID1552"/>
        <s v="ID1553"/>
        <s v="ID1554"/>
        <s v="ID1555"/>
        <s v="ID1556"/>
        <s v="ID1557"/>
        <s v="ID1558"/>
        <s v="ID1559"/>
        <s v="ID1560"/>
        <s v="ID1561"/>
        <s v="ID1562"/>
        <s v="ID1563"/>
        <s v="ID1564"/>
        <s v="ID1565"/>
        <s v="ID1566"/>
        <s v="ID1567"/>
        <s v="ID1569"/>
        <s v="ID1570"/>
        <s v="ID1571"/>
        <s v="ID1572"/>
        <s v="ID1573"/>
        <s v="ID1574"/>
        <s v="ID1575"/>
        <s v="ID1576"/>
        <s v="ID1577"/>
        <s v="ID1578"/>
        <s v="ID1579"/>
        <s v="ID1580"/>
        <s v="ID1581"/>
        <s v="ID1582"/>
        <s v="ID1583"/>
        <s v="ID1584"/>
        <s v="ID1585"/>
        <s v="ID1586"/>
        <s v="ID1587"/>
        <s v="ID1588"/>
        <s v="ID1589"/>
        <s v="ID1590"/>
        <s v="ID1591"/>
        <s v="ID1592"/>
        <s v="ID1593"/>
        <s v="ID1594"/>
        <s v="ID1595"/>
        <s v="ID1596"/>
        <s v="ID1597"/>
        <s v="ID1598"/>
        <s v="ID1600"/>
        <s v="ID1601"/>
        <s v="ID1602"/>
        <s v="ID1603"/>
        <s v="ID1604"/>
        <s v="ID1605"/>
        <s v="ID1606"/>
        <s v="ID1607"/>
        <s v="ID1608"/>
        <s v="ID1609"/>
        <s v="ID1610"/>
        <s v="ID1611"/>
        <s v="ID1612"/>
        <s v="ID1613"/>
        <s v="ID1614"/>
        <s v="ID1615"/>
        <s v="ID1616"/>
        <s v="ID1617"/>
        <s v="ID1618"/>
        <s v="ID1619"/>
        <s v="ID1620"/>
        <s v="ID1621"/>
        <s v="ID1623"/>
        <s v="ID1624"/>
        <s v="ID1625"/>
        <s v="ID1626"/>
        <s v="ID1627"/>
        <s v="ID1628"/>
        <s v="ID1629"/>
        <s v="ID1630"/>
        <s v="ID1631"/>
        <s v="ID1632"/>
        <s v="ID1633"/>
        <s v="ID1634"/>
        <s v="ID1635"/>
        <s v="ID1636"/>
        <s v="ID1637"/>
        <s v="ID1638"/>
        <s v="ID1639"/>
        <s v="ID1640"/>
        <s v="ID1641"/>
        <s v="ID1642"/>
        <s v="ID1643"/>
        <s v="ID1644"/>
        <s v="ID1645"/>
        <s v="ID1646"/>
        <s v="ID1647"/>
        <s v="ID1648"/>
        <s v="ID1649"/>
        <s v="ID1650"/>
        <s v="ID1651"/>
        <s v="ID1652"/>
        <s v="ID1653"/>
        <s v="ID1654"/>
        <s v="ID1655"/>
        <s v="ID1656"/>
        <s v="ID1657"/>
        <s v="ID1658"/>
        <s v="ID1659"/>
        <s v="ID1660"/>
        <s v="ID1661"/>
        <s v="ID1662"/>
        <s v="ID1663"/>
        <s v="ID1664"/>
        <s v="ID1665"/>
        <s v="ID1666"/>
        <s v="ID1667"/>
        <s v="ID1668"/>
        <s v="ID1669"/>
        <s v="ID1670"/>
        <s v="ID1671"/>
        <s v="ID1672"/>
        <s v="ID1673"/>
        <s v="ID1674"/>
        <s v="ID1675"/>
        <s v="ID1677"/>
        <s v="ID1678"/>
        <s v="ID1679"/>
        <s v="ID1680"/>
        <s v="ID1681"/>
        <s v="ID1682"/>
        <s v="ID1683"/>
        <s v="ID1684"/>
        <s v="ID1685"/>
        <s v="ID1686"/>
        <s v="ID1687"/>
        <s v="ID1688"/>
        <s v="ID1689"/>
        <s v="ID1690"/>
        <s v="ID1691"/>
        <s v="ID1692"/>
        <s v="ID1693"/>
        <s v="ID1694"/>
        <s v="ID1695"/>
        <s v="ID1696"/>
        <s v="ID1697"/>
        <s v="ID1698"/>
        <s v="ID1699"/>
        <s v="ID1700"/>
        <s v="ID1701"/>
        <s v="ID1702"/>
        <s v="ID1703"/>
        <s v="ID1704"/>
        <s v="ID1705"/>
        <s v="ID1706"/>
        <s v="ID1707"/>
        <s v="ID1708"/>
        <s v="ID1710"/>
        <s v="ID1711"/>
        <s v="ID1712"/>
        <s v="ID1713"/>
        <s v="ID1714"/>
        <s v="ID1716"/>
        <s v="ID1717"/>
        <s v="ID1718"/>
        <s v="ID1719"/>
        <s v="ID1720"/>
        <s v="ID1721"/>
        <s v="ID1722"/>
        <s v="ID1723"/>
        <s v="ID1724"/>
        <s v="ID1725"/>
        <s v="ID1726"/>
        <s v="ID1727"/>
        <s v="ID1729"/>
        <s v="ID1730"/>
        <s v="ID1731"/>
        <s v="ID1732"/>
        <s v="ID1733"/>
        <s v="ID1734"/>
        <s v="ID1735"/>
        <s v="ID1736"/>
        <s v="ID1737"/>
        <s v="ID1738"/>
        <s v="ID1739"/>
        <s v="ID1740"/>
        <s v="ID1741"/>
        <s v="ID1742"/>
        <s v="ID1743"/>
        <s v="ID1744"/>
        <s v="ID1745"/>
        <s v="ID1746"/>
        <s v="ID1747"/>
        <s v="ID1748"/>
        <s v="ID1749"/>
        <s v="ID1750"/>
        <s v="ID1751"/>
        <s v="ID1752"/>
        <s v="ID1753"/>
        <s v="ID1754"/>
        <s v="ID1755"/>
        <s v="ID1756"/>
        <s v="ID1757"/>
        <s v="ID1758"/>
        <s v="ID1759"/>
        <s v="ID1760"/>
        <s v="ID1761"/>
        <s v="ID1762"/>
        <s v="ID1763"/>
        <s v="ID1764"/>
        <s v="ID1765"/>
        <s v="ID1766"/>
        <s v="ID1767"/>
        <s v="ID1768"/>
        <s v="ID1769"/>
        <s v="ID1770"/>
        <s v="ID1771"/>
        <s v="ID1772"/>
        <s v="ID1773"/>
        <s v="ID1774"/>
        <s v="ID1775"/>
        <s v="ID1776"/>
        <s v="ID1777"/>
        <s v="ID1778"/>
        <s v="ID1779"/>
        <s v="ID1780"/>
        <s v="ID1781"/>
        <s v="ID1782"/>
        <s v="ID1783"/>
        <s v="ID1784"/>
        <s v="ID1785"/>
        <s v="ID1786"/>
        <s v="ID1787"/>
        <s v="ID1788"/>
        <s v="ID1789"/>
        <s v="ID1790"/>
        <s v="ID1791"/>
        <s v="ID1792"/>
        <s v="ID1793"/>
        <s v="ID1794"/>
        <s v="ID1795"/>
        <s v="ID1796"/>
        <s v="ID1797"/>
        <s v="ID1798"/>
        <s v="ID1799"/>
        <s v="ID1800"/>
        <s v="ID1801"/>
        <s v="ID1802"/>
        <s v="ID1803"/>
        <s v="ID1804"/>
        <s v="ID1805"/>
        <s v="ID1806"/>
        <s v="ID1807"/>
        <s v="ID1808"/>
        <s v="ID1809"/>
        <s v="ID1810"/>
        <s v="ID1811"/>
        <s v="ID1812"/>
        <s v="ID1813"/>
        <s v="ID1814"/>
        <s v="ID1815"/>
        <s v="ID1816"/>
        <s v="ID1818"/>
        <s v="ID1819"/>
        <s v="ID1820"/>
        <s v="ID1821"/>
        <s v="ID1822"/>
        <s v="ID1823"/>
        <s v="ID1824"/>
        <s v="ID1825"/>
        <s v="ID1826"/>
        <s v="ID1827"/>
        <s v="ID1828"/>
        <s v="ID1829"/>
        <s v="ID1830"/>
        <s v="ID1831"/>
        <s v="ID1832"/>
        <s v="ID1833"/>
        <s v="ID1834"/>
        <s v="ID1835"/>
        <s v="ID1836"/>
        <s v="ID1837"/>
        <s v="ID1838"/>
        <s v="ID1839"/>
        <s v="ID1840"/>
        <s v="ID1841"/>
        <s v="ID1842"/>
        <s v="ID1843"/>
        <s v="ID1844"/>
        <s v="ID1845"/>
        <s v="ID1846"/>
        <s v="ID1847"/>
        <s v="ID1848"/>
        <s v="ID1849"/>
        <s v="ID1850"/>
        <s v="ID1851"/>
        <s v="ID1852"/>
        <s v="ID1853"/>
        <s v="ID1854"/>
        <s v="ID1855"/>
        <s v="ID1857"/>
        <s v="ID1858"/>
        <s v="ID1859"/>
        <s v="ID1860"/>
        <s v="ID1861"/>
        <s v="ID1862"/>
        <s v="ID1863"/>
        <s v="ID1864"/>
        <s v="ID1865"/>
        <s v="ID1866"/>
        <s v="ID1867"/>
        <s v="ID1868"/>
        <s v="ID1869"/>
        <s v="ID1870"/>
        <s v="ID1871"/>
        <s v="ID1872"/>
        <s v="ID1873"/>
        <s v="ID1874"/>
        <s v="ID1875"/>
        <s v="ID1876"/>
        <s v="ID1877"/>
        <s v="ID1878"/>
        <s v="ID1879"/>
        <s v="ID1880"/>
        <s v="ID1881"/>
        <s v="ID1882"/>
        <s v="ID1883"/>
        <s v="ID1884"/>
        <s v="ID1885"/>
        <s v="ID1886"/>
        <s v="ID1887"/>
        <s v="ID1888"/>
        <s v="ID1889"/>
        <s v="ID1890"/>
        <s v="ID1891"/>
        <s v="ID1892"/>
        <s v="ID1893"/>
        <s v="ID1894"/>
        <s v="ID1895"/>
        <s v="ID1896"/>
        <s v="ID1897"/>
        <s v="ID1898"/>
        <s v="ID1899"/>
        <s v="ID1900"/>
        <s v="ID1901"/>
        <s v="ID1902"/>
        <s v="ID1903"/>
        <s v="ID1904"/>
        <s v="ID1905"/>
        <s v="ID1906"/>
        <s v="ID1907"/>
        <s v="ID1908"/>
        <s v="ID1909"/>
        <s v="ID1910"/>
        <s v="ID1911"/>
        <s v="ID1912"/>
        <s v="ID1914"/>
        <s v="ID1915"/>
        <s v="ID1916"/>
        <s v="ID1917"/>
        <s v="ID1918"/>
        <s v="ID1919"/>
        <s v="ID1920"/>
        <s v="ID1921"/>
        <s v="ID1922"/>
        <s v="ID1924"/>
        <s v="ID1925"/>
        <s v="ID1927"/>
        <s v="ID1928"/>
        <s v="ID1929"/>
        <s v="ID1930"/>
        <s v="ID1931"/>
        <s v="ID1932"/>
      </sharedItems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/>
    </cacheField>
    <cacheField name="Your Job Title" numFmtId="0">
      <sharedItems count="1121">
        <s v="MIS Analyst"/>
        <s v="cost control"/>
        <s v="Financial Analyst"/>
        <s v="Quality Control"/>
        <s v="Quality Engineer"/>
        <s v="Analyst"/>
        <s v="senior project manager"/>
        <s v="Assistant SP&amp;A"/>
        <s v="CFO"/>
        <s v="Audit Trainee "/>
        <s v="Training Specialist"/>
        <s v="Senion Analyst"/>
        <s v="business analyst"/>
        <s v="Project Engineer"/>
        <s v="Sr Project Engineer"/>
        <s v="Business Development"/>
        <s v="Excel Report Writer"/>
        <s v="AGM"/>
        <s v="GM"/>
        <s v="DSE Co-ordinator"/>
        <s v="Manager"/>
        <s v="Marketing Director"/>
        <s v="sales and marketing"/>
        <s v="Analyst II"/>
        <s v="Project Leader"/>
        <s v="Applications Engineer"/>
        <s v="strategy manager"/>
        <s v="Chief of the department of public budget analisis and forecasting"/>
        <s v="Specialist"/>
        <s v="Management Information Analyst"/>
        <s v="Senior Consultant"/>
        <s v="Portfolio Manager"/>
        <s v="Design Engineer"/>
        <s v="Academic Advisor"/>
        <s v="Coordination"/>
        <s v="consultant"/>
        <s v="Business Analsyt"/>
        <s v="Product Engineer"/>
        <s v="Senior Accountant"/>
        <s v="Scientist"/>
        <s v="Team Lead"/>
        <s v="Senior intelligence analyst"/>
        <s v="Freelance consultant"/>
        <s v="Online Traffic Manager / Web Analist"/>
        <s v="Seinor Financial Analyst"/>
        <s v="Senior Accounting Supervisor"/>
        <s v="PPC Manager"/>
        <s v="Financial Planner"/>
        <s v="Building Design and Performance Researcher"/>
        <s v="Senior Analyst"/>
        <s v="Engineering Data Analyst"/>
        <s v="Sales Analyst"/>
        <s v="Coordinator Of Costa and Buget"/>
        <s v="SAP consultant"/>
        <s v="busines analist"/>
        <s v="head of data"/>
        <s v="Business Systems Analyst"/>
        <s v="Financial Analyst II"/>
        <s v="Mngr MI"/>
        <s v="Consumer Research Program Manager"/>
        <s v="technical trainer"/>
        <s v="Process Flow Coordinator"/>
        <s v="Process Improvement Specialist"/>
        <s v="Excel Programmer Consultant"/>
        <s v="Statistical Analyst"/>
        <s v="Operational Analyst"/>
        <s v="Exceler"/>
        <s v="Marketing Analyst"/>
        <s v="Database Manager"/>
        <s v="Director"/>
        <s v="Manager, Forecasts &amp; Budgets"/>
        <s v="VBA Analyst"/>
        <s v="Senior Scheduling Engineer"/>
        <s v="Strategy Consultant"/>
        <s v="Admin"/>
        <s v="IT Asset Administrator"/>
        <s v="Director of Marketing"/>
        <s v="Graphic Design Manager"/>
        <s v="Financial Consultant"/>
        <s v="Data Analyst"/>
        <s v="Paraeducator"/>
        <s v="Channel Marketing Manager"/>
        <s v="Sales and Marketing Analyst "/>
        <s v="Production Scheduler"/>
        <s v="Product Specialist"/>
        <s v="IT support"/>
        <s v="sr. project coordinator"/>
        <s v="Sr Administrative Assistant"/>
        <s v="IT Analyst"/>
        <s v="Project manager"/>
        <s v="Strategic Analyst"/>
        <s v="Transportation Specialist"/>
        <s v="Operations Programs Support"/>
        <s v="Accounting Coordinator"/>
        <s v="Asst.Manager Finance"/>
        <s v="Operations Cost Analyst"/>
        <s v="Financial Controller"/>
        <s v="Utilization Analyst"/>
        <s v="Researcher"/>
        <s v="Market Analyst"/>
        <s v="Web Developer"/>
        <s v="Sr. Acct"/>
        <s v="Information Systems Specialist"/>
        <s v="Analytics lead"/>
        <s v="Actuary"/>
        <s v="School Tech Coordinator"/>
        <s v="sr accountant"/>
        <s v="Freelance"/>
        <s v="DBA"/>
        <s v="Research Analyst"/>
        <s v="Market Research Analyst"/>
        <s v="Manager : Accounts"/>
        <s v="Inventory manger"/>
        <s v="Process Technician"/>
        <s v="MIS Team Leader"/>
        <s v="Finance Director"/>
        <s v="Industrial Engineer"/>
        <s v="Senior Financial &amp; Systems Analyst"/>
        <s v="project manager - metrics"/>
        <s v="Informatics Research Analyst"/>
        <s v="Business Technical Consultant"/>
        <s v="Business Operations Reporting Analyst"/>
        <s v="Program Services Coordinator"/>
        <s v="Specialist - Finance Planning and Analysis"/>
        <s v="Proces auditor"/>
        <s v="Senior Data Quality Analyst"/>
        <s v="Sr Business Analyst"/>
        <s v="COST ACCOUNTANT"/>
        <s v="project Support"/>
        <s v="managerial"/>
        <s v="Program Analyst"/>
        <s v="Team Lead - Computer Discounts"/>
        <s v="Change Architect"/>
        <s v="Telecom Technician"/>
        <s v="Manager, Asset Optimization"/>
        <s v="Financialcontroller"/>
        <s v="Accounting "/>
        <s v="Consultant, HR Services &amp; Governance"/>
        <s v="QA Executive"/>
        <s v="Senior Actuarial Analyst"/>
        <s v="Sr. Associate"/>
        <s v="Budget Analyst"/>
        <s v="B.I. Data Analyst II"/>
        <s v="Asst manager investor relations and business analytics"/>
        <s v="Industrial Engineer (Fed)"/>
        <s v="Informatics specialist"/>
        <s v="Trainee Management Accountant"/>
        <s v="Director of Analytics"/>
        <s v="Executive Assistant"/>
        <s v="Project Speciast"/>
        <s v="Sales Coordinator &amp; Analytical Support"/>
        <s v="Senior Staff Accountant"/>
        <s v="Consultant - Retail Mkts"/>
        <s v="Process Manager"/>
        <s v="Project Manager (Process Owner)"/>
        <s v="Demographer"/>
        <s v="Administrative Assistant"/>
        <s v="Accounting/Financial Analyst"/>
        <s v="Business Process Specialist"/>
        <s v="Sr Financial Analyst"/>
        <s v="Asst. Manager (MIS)"/>
        <s v="Business Controller"/>
        <s v="low level monitoring"/>
        <s v="Administrative"/>
        <s v="Service Line Coordinator"/>
        <s v="Strategic Sourcing Manager"/>
        <s v="Chief Manager"/>
        <s v="Business Intelligence Analyst"/>
        <s v="Sr. Financial Analyst"/>
        <s v="Buyer"/>
        <s v="program manager"/>
        <s v="Reporting Analyst Team Lead"/>
        <s v="Innovation Analyst"/>
        <s v="Operations Expert"/>
        <s v="Director of Finance"/>
        <s v="Information Analyst II"/>
        <s v="Accounting Assistant"/>
        <s v="Tax Professional"/>
        <s v="Jr. Executive Finance"/>
        <s v="Assistant Controller"/>
        <s v="Cash Officer"/>
        <s v="Technical support specialist"/>
        <s v="ServiceDesk Supervisor"/>
        <s v="medical biller"/>
        <s v="Sr. Strategic Development Specialist"/>
        <s v="VP - Procurment"/>
        <s v="HRIS Analyst"/>
        <s v="Procurement manager"/>
        <s v="Energy Analyst"/>
        <s v="Accountant"/>
        <s v="Branch head -sales"/>
        <s v="retail buyer"/>
        <s v="HR Specialist"/>
        <s v="Director of Finance and Accounting"/>
        <s v="Manager Business Control"/>
        <s v="Manager Pricing"/>
        <s v="Insurance Manager"/>
        <s v="Freellance"/>
        <s v="category manager"/>
        <s v="Customer Operations Analyst"/>
        <s v="Site Technician"/>
        <s v="Excel Consultant"/>
        <s v="Web Statistics Analyst"/>
        <s v="Business Data Analyst I"/>
        <s v="Decision Analyst &amp; Modeller"/>
        <s v="Ops Adminstrator"/>
        <s v="Sr. Global marketing Specialist"/>
        <s v="financial accountant"/>
        <s v="Software Consultant"/>
        <s v="Anaylst"/>
        <s v="senior accounting coordinator"/>
        <s v="Demand Planning Mgr"/>
        <s v="VP / Credit Administrator"/>
        <s v="DP specialist"/>
        <s v="Analyst 2"/>
        <s v="VP"/>
        <s v="Global Problem Management - IT"/>
        <s v="Enterprise Performance Metrics Manager"/>
        <s v="University Relations Intern"/>
        <s v="Auxiliar Administrativo"/>
        <s v="Engineering Tech Sr."/>
        <s v="Senior Specialist"/>
        <s v="moneymaker"/>
        <s v="MIS"/>
        <s v="management accountant"/>
        <s v="Telecoms Engineer"/>
        <s v="Software Support"/>
        <s v="Projects Planner"/>
        <s v="Mathematical Data Analyist"/>
        <s v="sales support"/>
        <s v="Administrative Officer"/>
        <s v="IS Manager"/>
        <s v="Support Specialist "/>
        <s v="FA"/>
        <s v="VP of Finance"/>
        <s v="PRODUCTION ASSISTANT"/>
        <s v="controller"/>
        <s v="HR Analyst"/>
        <s v="Plant Controller"/>
        <s v="consultant bi"/>
        <s v="Royalties Coordinator"/>
        <s v="Graduate Structural Engineer"/>
        <s v="Operations Analyst"/>
        <s v="Marketing"/>
        <s v="Finance, Manager "/>
        <s v="Sr. Business Analyst"/>
        <s v="Information Analyst"/>
        <s v="Financial Specialist"/>
        <s v="Management Analyst"/>
        <s v="Dp manager"/>
        <s v="Supply Processes Analyst"/>
        <s v="ICT Technical Analyst"/>
        <s v="Sourcing Specialist"/>
        <s v="Reporting Shared Services Oferring Lead"/>
        <s v="Sales Analytics Manager"/>
        <s v="Product Manager Sr"/>
        <s v="Database Architect"/>
        <s v="Product developer"/>
        <s v="Supply Chain Analyst"/>
        <s v="financial planning"/>
        <s v="Test Analyst"/>
        <s v="project manager, project finance consultant"/>
        <s v="QC Fabrication Inspector"/>
        <s v="Manager of Trade Investment &amp; Analysis"/>
        <s v="Business Analysit"/>
        <s v="Assistant Outside Plant Project Manager"/>
        <s v="operation-manager"/>
        <s v="Senior Financial Analyst"/>
        <s v="Senior Data Analyst"/>
        <s v="MIS EXCUTIVE"/>
        <s v="Advisor"/>
        <s v="Online Analyst"/>
        <s v="General Manager"/>
        <s v="Sr Staff Engineer"/>
        <s v="Senior Design Associate"/>
        <s v="Planning and Analysis Supervisor"/>
        <s v="asset manager"/>
        <s v="Transportation Engineer"/>
        <s v="web marketing analyst"/>
        <s v="RS"/>
        <s v="Director of Payroll"/>
        <s v="IT consultant"/>
        <s v="Commercial Manager"/>
        <s v="Quality Assurance Officer"/>
        <s v="Senior Treasury Analyst"/>
        <s v="Supervisor, Contracts, Rebates, Chargebacks and Returns"/>
        <s v="ceo"/>
        <s v="System Manager"/>
        <s v="Owner"/>
        <s v="Senior Business Analyst"/>
        <s v="marketing and sales "/>
        <s v="Managing Director"/>
        <s v="Senior Billing Engineer"/>
        <s v="Quality Analyst"/>
        <s v="Economist"/>
        <s v="assistant manager (finance)"/>
        <s v="Central Services Manager"/>
        <s v="Trainer "/>
        <s v="continuous improvement team member"/>
        <s v="MIS Officer"/>
        <s v="IR Manager"/>
        <s v="Chief Specialist of Economics &amp; Planning"/>
        <s v="Campus Budget Officer"/>
        <s v="Management Ananlyst"/>
        <s v="Sales Operations Analyst"/>
        <s v="Computer Operator"/>
        <s v="ENGINEER"/>
        <s v="Sr Management Analytst 2"/>
        <s v="Accounting Manager"/>
        <s v="Information Research Technician II"/>
        <s v="Sr. Systems Engineer"/>
        <s v="Senior Purchasing Officer"/>
        <s v="Mgmt Accountant"/>
        <s v="Sr financial analyst "/>
        <s v="Department Manager"/>
        <s v="Businees Adminstratot"/>
        <s v="Staff assistant "/>
        <s v="Sr. Accountant"/>
        <s v="Air Planning Analyst"/>
        <s v="Credit Analyst"/>
        <s v="financial management consultant"/>
        <s v="IT Project Manager, EMEA"/>
        <s v="IS Director"/>
        <s v="teacher"/>
        <s v="Excel trainer"/>
        <s v="WFM Team Lead"/>
        <s v="Supervisor"/>
        <s v="BI Developer"/>
        <s v="Planner"/>
        <s v="Assesor"/>
        <s v="Financial Analys"/>
        <s v="Sr. Information Systems Analyst"/>
        <s v="Senior Claims Analyst"/>
        <s v="Sr Mgr Finance"/>
        <s v="Web Portal Manager"/>
        <s v="manager - MIS &amp; operations planning"/>
        <s v="web analyst"/>
        <s v="Management Consultant"/>
        <s v="Continuos improvment"/>
        <s v="Direct marketing manager"/>
        <s v="Wine Analyst"/>
        <s v="FinanceManager"/>
        <s v="Regional Manager"/>
        <s v="HR reporting analyst"/>
        <s v="Finalcial Reporting Analyst"/>
        <s v="Partner"/>
        <s v="operations tech"/>
        <s v="Commercial Accountant"/>
        <s v="Office Manager"/>
        <s v="Prod Mgr"/>
        <s v="Graphics/Web Document Designer"/>
        <s v="Business intelligence manager"/>
        <s v="Treasure Specialist"/>
        <s v="Business Manager"/>
        <s v="clerk"/>
        <s v="Researcher &amp; Data Analyst"/>
        <s v="Data Quality &amp; Analysis Manager"/>
        <s v="Resource managment Analyst"/>
        <s v="Account Executive"/>
        <s v="video production"/>
        <s v="principal engineer"/>
        <s v="Category Director (Marketing)"/>
        <s v="Senior consultant accounting"/>
        <s v="Finance manager"/>
        <s v="Health and safety advisor"/>
        <s v="Workforce Analyst"/>
        <s v="Sr. Marketing Solutions Analyst"/>
        <s v="Managing Partner"/>
        <s v="Administration Officer"/>
        <s v="BAS"/>
        <s v="chemist"/>
        <s v="LOGISTIC MANAGER"/>
        <s v="Manager Finance"/>
        <s v="IT solutions coordinator"/>
        <s v="Business Modeller"/>
        <s v="Sr QS"/>
        <s v="Report Analyst"/>
        <s v="Business Co ordinator"/>
        <s v="duty manager"/>
        <s v="Retail Store Manager"/>
        <s v="Job Build analyst"/>
        <s v="Associate"/>
        <s v="project finance manager"/>
        <s v="Metrics Analyst"/>
        <s v="Asst.Manager"/>
        <s v="Accounting Operations Manager"/>
        <s v="Vice President, Analyst"/>
        <s v="COO"/>
        <s v="Financial Advisor"/>
        <s v="Production Manager"/>
        <s v="Manager - Finance"/>
        <s v="Process Design Consultant"/>
        <s v="vba specialist"/>
        <s v="Analytical Department Director "/>
        <s v="Director of Supply Chain"/>
        <s v="Research Assistant"/>
        <s v="Excel professional"/>
        <s v="Trainer"/>
        <s v="deputy manager"/>
        <s v="Research Associate"/>
        <s v="Reports Coordinator"/>
        <s v="Quality Compliance Manager"/>
        <s v="Cost Analyst"/>
        <s v="Intelligence Analyst"/>
        <s v="Marketing Specialist"/>
        <s v="Proyect Manager"/>
        <s v="IT Specialist"/>
        <s v="Technical Support Technician"/>
        <s v="Director, Supply Chain Operations"/>
        <s v="Workflow Analyst"/>
        <s v="Finance Manager Business Services"/>
        <s v="Accountant/Analyst"/>
        <s v="Costing Analysis"/>
        <s v="Sales Operations Supervisor"/>
        <s v="Assistant"/>
        <s v="In Charge"/>
        <s v="coordinator lismore regional airport"/>
        <s v="Mgr Op Excellence"/>
        <s v="Pricing and Strategy Specialist"/>
        <s v="Sr. Human Resources Analyst"/>
        <s v="Performance Improvement Analyst"/>
        <s v="Sr. Analyst"/>
        <s v="finance"/>
        <s v="Consulting"/>
        <s v="Technology consultant "/>
        <s v="BPO"/>
        <s v="Technical Analyst"/>
        <s v="Head Accounts"/>
        <s v="Operations"/>
        <s v="Talati"/>
        <s v="Product manager"/>
        <s v="Helicopter Mechanic"/>
        <s v="Program/Mgt Analyst"/>
        <s v="Director, Analytics"/>
        <s v="Purchasing Manager"/>
        <s v="Incharge"/>
        <s v="Sales Assistant"/>
        <s v="Assistant EDP"/>
        <s v="Sales ops"/>
        <s v="QS"/>
        <s v="AGM Finance"/>
        <s v="Sales Controller"/>
        <s v="MIS Executive"/>
        <s v="Project coordinator"/>
        <s v="executive"/>
        <s v="Quantity Surveyor"/>
        <s v="Content Analyst "/>
        <s v="Corporate Accountant"/>
        <s v="Auditor"/>
        <s v="program coordinator - automotive"/>
        <s v="Planning Engineer"/>
        <s v="Senior Executive"/>
        <s v="cmo"/>
        <s v="Sr Processor"/>
        <s v="Organiser"/>
        <s v="Quality officer"/>
        <s v="BI Consultant"/>
        <s v="Assistant Manager - IT"/>
        <s v="Coordinator"/>
        <s v="Asst Mgr"/>
        <s v="Accounts Officer"/>
        <s v="Investment Banker"/>
        <s v="Co-operative bank"/>
        <s v="Cad Engineer"/>
        <s v="PMO"/>
        <s v="Asst. Manager(Commercial)"/>
        <s v="Education Officer"/>
        <s v="Sales Coordinator"/>
        <s v="TA"/>
        <s v="ASM"/>
        <s v="principal developer"/>
        <s v="Accounts Payable Analyst"/>
        <s v="Maint Sys Support Specialist"/>
        <s v="Team Leader"/>
        <s v="manager portfolio monitoring"/>
        <s v="Sr. Executive Finance &amp; Accounts"/>
        <s v="AREA SALES MANAGER"/>
        <s v="govt"/>
        <s v="Business Executive"/>
        <s v="Team Lead Mis"/>
        <s v="Call Centre Consultant"/>
        <s v="Oprations head"/>
        <s v="Asst. Manager"/>
        <s v="accounts"/>
        <s v="Intern"/>
        <s v="Audit Manager"/>
        <s v="Audit - senior assistant"/>
        <s v="tech operator (oil)"/>
        <s v="mis "/>
        <s v="Asstt manager"/>
        <s v="Import &amp; Export Documentation Executive"/>
        <s v="Systems Manager"/>
        <s v="Program management"/>
        <s v="Accounts Manager"/>
        <s v="sr. mis executive"/>
        <s v="Modeller"/>
        <s v="Sr Financial Execative"/>
        <s v="Asst Mngr"/>
        <s v="Sr Associate"/>
        <s v="ERP Co-Ordinator"/>
        <s v="Revenue Manager"/>
        <s v="Accounts analyst"/>
        <s v="Estimator"/>
        <s v="Data Analysis"/>
        <s v="Logistics Analyst"/>
        <s v="PROCSS ASOCIATE"/>
        <s v="Reporting Analyst"/>
        <s v="Corporate Finance Manager"/>
        <s v="compliance manager"/>
        <s v="Merchandiser"/>
        <s v="Project Lead"/>
        <s v="SR. ACCOUNTS EXECUTIVE"/>
        <s v="Business Support Specialist"/>
        <s v="Assistant Manager - Group MIS"/>
        <s v="Company Systems Integration Manager"/>
        <s v="Sales Management Analyst"/>
        <s v="Asst Production Planner"/>
        <s v="Consultat"/>
        <s v="System Analyst "/>
        <s v="Stock Controller"/>
        <s v="Accounts Supervisor"/>
        <s v="Data Analyst - Report Writer"/>
        <s v="Regional Formwork Head "/>
        <s v="BRANCH ACCOUNTANT"/>
        <s v="Accounting Head"/>
        <s v="OPEX CONTROL"/>
        <s v="Associate Software Engineer"/>
        <s v="Banker"/>
        <s v="S&amp;D Reporting &amp; Analysis Team Leader"/>
        <s v="Key Expert User"/>
        <s v="company secretary"/>
        <s v="Mis executiv"/>
        <s v="BDM"/>
        <s v="Programmer-analyst"/>
        <s v="security analyst"/>
        <s v="Material Planner"/>
        <s v="VP Infrastructure"/>
        <s v="WORKING WITH PRODUCT TEAM OF MAKEMYTRIP.COM"/>
        <s v="Cashier"/>
        <s v="Technician"/>
        <s v="Team Developer"/>
        <s v="Reporting Assistant"/>
        <s v="Loss Prevention Finance Coordinator"/>
        <s v="Senior Research Analyst"/>
        <s v="Director, IT/Operations"/>
        <s v="Sr. Executive"/>
        <s v="Operations Support Coordinator"/>
        <s v="Sr. Executive MIS"/>
        <s v="Logistic KA Manager"/>
        <s v="Management Trainee"/>
        <s v="MNR"/>
        <s v="BPO information process enabler"/>
        <s v="Market Intelligence Analyst"/>
        <s v="Investment manager"/>
        <s v="Operations Lead"/>
        <s v="Financial Control Section Headm"/>
        <s v="Application Developer"/>
        <s v="High School Teacher"/>
        <s v="HR Planning Specialist"/>
        <s v="Managment controller"/>
        <s v="AO"/>
        <s v="business analyist"/>
        <s v="Analysis Quality"/>
        <s v="Bio-Statiscian"/>
        <s v="Management Intern"/>
        <s v="financialcotroller"/>
        <s v="Financial Analyist"/>
        <s v="Marketing Manager"/>
        <s v="Dir of Analytics"/>
        <s v="Reporting Manager"/>
        <s v="Data Research Assistant"/>
        <s v="Guide for About.com"/>
        <s v="Policy advisor"/>
        <s v="Security Access Governance Analyst"/>
        <s v="IT Capacity Planner"/>
        <s v="supply chain manager"/>
        <s v="Boss"/>
        <s v="Director, P&amp;A"/>
        <s v="Project controls manager"/>
        <s v="senior associate"/>
        <s v="Principal Financial Analyst"/>
        <s v="Store keeper"/>
        <s v="qa team supervisor "/>
        <s v="Supply Chain Administrator"/>
        <s v="sup"/>
        <s v="Cost Trainee"/>
        <s v="Deputy Manager Finance"/>
        <s v="Sales"/>
        <s v="Medical information analist"/>
        <s v="Training Coordinator"/>
        <s v="Article (Internship) - CA"/>
        <s v="Asst Manager"/>
        <s v="Assistant Manager"/>
        <s v="Commercial Director"/>
        <s v="Finance Staff"/>
        <s v="team coach"/>
        <s v="Accountancy"/>
        <s v="Manager - Business Planning &amp; Reporting"/>
        <s v="ASST VICE PREDISDENT"/>
        <s v="co ordinator"/>
        <s v="Engagement Lead"/>
        <s v="Document controller "/>
        <s v="Financial Modeller"/>
        <s v="Manager Market Reesrach"/>
        <s v="QA Supervisor"/>
        <s v="HR Advisor - Systems &amp; MI"/>
        <s v="C&amp;B Manager"/>
        <s v="Senior Marketing Analyst"/>
        <s v="operation supervisor"/>
        <s v="MIS TEAM MEMBER"/>
        <s v="Business Support Executive"/>
        <s v="analytic"/>
        <s v="Finance Analyst"/>
        <s v="Credit Controller"/>
        <s v="Programmer"/>
        <s v="business"/>
        <s v="Reconciliation Manager in Textile Mill"/>
        <s v="Reporting Supervisor"/>
        <s v="Financial Expert"/>
        <s v="sr manager"/>
        <s v="Client Manager"/>
        <s v="Asst. Mgr. Finance"/>
        <s v="Construction Engineer"/>
        <s v="Marketing Insights Manager"/>
        <s v="Risk analyst"/>
        <s v="data analist"/>
        <s v="Head Business Advisory"/>
        <s v="Merchandise planner"/>
        <s v="Software Tester"/>
        <s v="Billing manager"/>
        <s v="Quality Executive"/>
        <s v="Business Support "/>
        <s v="Sales Manager"/>
        <s v="Finance Officer"/>
        <s v="Assistant Fleet Analyst"/>
        <s v="Operations Coordinator"/>
        <s v="Director, Informatics"/>
        <s v="Sustainability Strategy Advisor"/>
        <s v="Reporting and DB Analyist"/>
        <s v="Shipping Administrator"/>
        <s v="VP, Operational Analytics"/>
        <s v="HSLP Data Analyst"/>
        <s v="Retired Government Officer, having knowledge in excel."/>
        <s v="Credit Risk Manager"/>
        <s v="Credit Manager - Loans"/>
        <s v="Audit executive"/>
        <s v="Staff accountant -- Auditing"/>
        <s v="Asst Manager - Quality"/>
        <s v="Principal Analyst"/>
        <s v="Business Consultant"/>
        <s v="Ass Research  Manager"/>
        <s v="Data Specialist"/>
        <s v="Sr.Analyst - Process Excellence"/>
        <s v="Operations Management"/>
        <s v="Management Information Consultant"/>
        <s v="associate analyst"/>
        <s v="Head of Financial Reporting"/>
        <s v="Softwar Engineer"/>
        <s v="MIS &amp; Analysis"/>
        <s v="Asst. Manager "/>
        <s v="Project Managment Office"/>
        <s v="Audit Assistant"/>
        <s v="Strategic Planning Executive"/>
        <s v="Category Operations Supv."/>
        <s v="BI"/>
        <s v="Teaching"/>
        <s v="Excel Developer"/>
        <s v="Report Specialist"/>
        <s v="Project Controlling (MIS Reports)"/>
        <s v="Monitoring &amp; evaluation officer"/>
        <s v="Accounts Exec"/>
        <s v="planning &amp; Sales Control emploee"/>
        <s v="RRHH"/>
        <s v="BA"/>
        <s v="Management Information Systems"/>
        <s v="Bookkeeper"/>
        <s v="Sr Exec - Finance"/>
        <s v="Project Administrator"/>
        <s v="Business Development Executive"/>
        <s v="Professional consultant-Finance"/>
        <s v="Manager Fin"/>
        <s v="business data analyst"/>
        <s v="Assistant Professor"/>
        <s v="SR. MIS "/>
        <s v="Data Entry Operator"/>
        <s v="Vice President"/>
        <s v="finance assistant"/>
        <s v="finance controller"/>
        <s v="Manufacturing consultant"/>
        <s v="Business Improvement Specialist"/>
        <s v="Sr. Manager MIS"/>
        <s v="Sr.Supervisor"/>
        <s v="Policy, Performance and Research Officer"/>
        <s v="Accounting analyst"/>
        <s v="Business Operations Co-ordinator"/>
        <s v="Project Control Analyst"/>
        <s v="MDM Executive (Business Analyst)"/>
        <s v="OFFICER"/>
        <s v="Spare Part Coordinator"/>
        <s v="Systems Analyst"/>
        <s v="Logistics Operation Analyst"/>
        <s v="Q.A.Officer"/>
        <s v="Assistant Director - Performance Information"/>
        <s v="Developer"/>
        <s v="Development (Project &amp; Planning) Manager"/>
        <s v="Clinical audit manager"/>
        <s v="Inventory Manager"/>
        <s v="Development Manager"/>
        <s v="MI Specialist"/>
        <s v="Network Enginer"/>
        <s v="Sr. Team Lead - MIS"/>
        <s v="KEY"/>
        <s v="Sales Planning"/>
        <s v="GM Finance"/>
        <s v="Performance manager"/>
        <s v="software engineer"/>
        <s v="MIS Sr. Executive"/>
        <s v="Translator"/>
        <s v="Business Anaylyst"/>
        <s v="Lead Research Analyst"/>
        <s v="Management Information Manager"/>
        <s v="Data Management Officer"/>
        <s v="Reporting Accountant"/>
        <s v="Construction Planner"/>
        <s v="Assistant Accountant"/>
        <s v="BI Analyst"/>
        <s v="MI Analyst"/>
        <s v="Accounts Assistant"/>
        <s v="Corporate Finance Executive"/>
        <s v="Manager-Operation"/>
        <s v="Financial Analysist"/>
        <s v="AM Ops"/>
        <s v="pricing and cost manager"/>
        <s v="Catlog associates"/>
        <s v="Business Analyst - Central Finance"/>
        <s v="Analista de Produccion"/>
        <s v="IT Analyst (Reporting)"/>
        <s v="Logistics Coordinator"/>
        <s v="Service Analyst"/>
        <s v="Head of Finance"/>
        <s v="Network Administrator"/>
        <s v="Performance Analyst"/>
        <s v="Data Entry Clerk III"/>
        <s v="officer accounts"/>
        <s v="Cost Controlling Executive"/>
        <s v="Administration Manager"/>
        <s v="Excel Corporate Trainer"/>
        <s v="Quality Management"/>
        <s v="Supervisor MIS"/>
        <s v="Business Analyst - Solutions"/>
        <s v="Finance Project Manager"/>
        <s v="Manager, Strategy &amp; Insights"/>
        <s v="Financial/Data Analyst"/>
        <s v="Documentation Consultant"/>
        <s v="Sr. Consultant"/>
        <s v="investment accountant"/>
        <s v="Officer Production"/>
        <s v="warehouse management"/>
        <s v="Chief Accountant"/>
        <s v="Manager F &amp; A"/>
        <s v="Quality Assurance Engineer"/>
        <s v="Manager Business Controlling"/>
        <s v="sample manager"/>
        <s v="Practice Manager"/>
        <s v="Staff Accountant"/>
        <s v="Manager Corporate Finance"/>
        <s v="Lead Executive MIS"/>
        <s v="Snr Business Analyst"/>
        <s v="assurance manager"/>
        <s v="SOX,SAP, Insurance Coordinator"/>
        <s v="Stafmember"/>
        <s v="education advisor"/>
        <s v="Senior Accounts Clerk"/>
        <s v="Infection Prevention Surveillance Specialist"/>
        <s v="Office Instructor"/>
        <s v="Senior Executive Compensation Analyst "/>
        <s v="Markets Adviser"/>
        <s v="Program &amp; Policy Analyst-Advanced"/>
        <s v="systems accountant"/>
        <s v="Sr. Systems Analyst"/>
        <s v="Environmental Information Analyst"/>
        <s v="Develope"/>
        <s v="it manager"/>
        <s v="Process Engineering"/>
        <s v="Consultant - Process Improvement"/>
        <s v="Senior Materials Handler"/>
        <s v="Certified Public Accountant"/>
        <s v="Manager - Marketing Analytics"/>
        <s v="Contractor/Consultant"/>
        <s v="Operations Support Officer"/>
        <s v="master scheduler"/>
        <s v="Practice Manager - Business Operations"/>
        <s v="Staff Assistant"/>
        <s v="AVP Securitisation"/>
        <s v="Asstt. Manager"/>
        <s v="Assistant Data Analyst"/>
        <s v="Team Leader WFM"/>
        <s v="manager operation"/>
        <s v="RENTAL INVENTORY CONTROLLER"/>
        <s v="Publisher"/>
        <s v="Resource Planning Analyst"/>
        <s v="Pricing Analyst"/>
        <s v="excel prof"/>
        <s v="Employee"/>
        <s v="Senior Business Executive"/>
        <s v="I dont know"/>
        <s v="Financial Analysis"/>
        <s v="Project Support Officer"/>
        <s v="Document Control"/>
        <s v="Asst Manager HR"/>
        <s v="Senior software engineer"/>
        <s v="MIS cum Purchase Executive"/>
        <s v="Sr. Executive -HR"/>
        <s v="Salary Professsional"/>
        <s v="FANANCE"/>
        <s v="Manager - Corporate strategy and Planning"/>
        <s v="NAF Support Manager"/>
        <s v="Project manager of IT infrastructure"/>
        <s v="relationship manager"/>
        <s v="AM business Intelligence"/>
        <s v="MIS Associate"/>
        <s v="TL WFM"/>
        <s v="Dir. Revenue Mgt"/>
        <s v="Controlling Manager"/>
        <s v="Financial Modelling Analyst"/>
        <s v="support manager"/>
        <s v="liquidity manager"/>
        <s v="PO/PMO/Planner/PM"/>
        <s v="Senior Associate "/>
        <s v="MIS HR,HRIS"/>
        <s v="Asst. Production Manager"/>
        <s v="Bus Analyst"/>
        <s v="Vice President of Performance Management"/>
        <s v="Principal advisor"/>
        <s v="Director of Technology"/>
        <s v="Credit Executive"/>
        <s v="Business Analytics Associate"/>
        <s v="Engineering Tech"/>
        <s v="Mechanical Design engineer"/>
        <s v="Business Information Analyst"/>
        <s v="Junior Controller"/>
        <s v="System Analyst (Configuration Mgmt)"/>
        <s v="Planning Supervisor"/>
        <s v="Manager of Data Analytics"/>
        <s v="Quality Control Supervisor"/>
        <s v="clerk 24 hrs per week"/>
        <s v="Engineering Intern"/>
        <s v="Vice Head of Dpt in Education"/>
        <s v="Senior Planning Analyst"/>
        <s v="energy engineer"/>
        <s v="Measurement &amp; Verification Engineer"/>
        <s v="Sr. Manager of Finance"/>
        <s v="I.T Manager"/>
        <s v="Measurement Specialist"/>
        <s v="Test engineer"/>
        <s v="VP, Business Management"/>
        <s v="MIS Controller"/>
        <s v="Senior Underwriting Analyst"/>
        <s v="Data Integrity &amp; Reporting Tool Analyst"/>
        <s v="Manager FP and A"/>
        <s v="Business Operation Specialist"/>
        <s v="Stress Engineer"/>
        <s v="eeo analyst"/>
        <s v="Sr Process Consultant"/>
        <s v="Credentialing Coordinator &amp; Productivity Reports &quot;Guru&quot;"/>
        <s v="Transportation Planner"/>
        <s v="Data Analytics Consultant"/>
        <s v="Manager, Financial Planning &amp; Analysis"/>
        <s v="Lead Budget/Financial Analyst"/>
        <s v="Senior Electrical Engineer"/>
        <s v="Accounting Supervisor"/>
        <s v="Tax Manager"/>
        <s v="Finance &amp; IT Manager"/>
        <s v="Clinical Data Specialist"/>
        <s v="Associate - Indirect Tax"/>
        <s v="Digital Analyst"/>
        <s v="Senior Budget Analyst"/>
        <s v="HR Cordinator"/>
        <s v="Treasury Analyst"/>
        <s v="Assistant Engineer"/>
        <s v="sr. senior analyst"/>
        <s v="Project Manager - Finance"/>
        <s v="Senior analyst, ops support"/>
        <s v="ISO TS Documentation"/>
        <s v="inventory controller"/>
        <s v="PA"/>
        <s v="Manager, Data Management"/>
        <s v="Liquidity Management Executive"/>
        <s v="accounting systems manager "/>
        <s v="Accounting Specialist"/>
        <s v="Project Management"/>
        <s v="Business Intelligence Supervisor"/>
        <s v="Manager Commercial"/>
        <s v="Catalog Auditor"/>
        <s v="Verification Agent"/>
        <s v="M &amp; E Officer"/>
        <s v="Assistant Financial Accountant"/>
        <s v="Support"/>
        <s v="Process Assocaite"/>
        <s v="Financial Application Developer"/>
        <s v="Planning &amp; Scheduling Manager"/>
        <s v="Online Stats Controller"/>
        <s v="DEO"/>
        <s v="M I S Executive"/>
        <s v="Service Solution Rep"/>
        <s v="Regional Business Manager "/>
        <s v="sales&amp;marketing"/>
        <s v="sr analyst"/>
        <s v="Mgr Technology"/>
        <s v="Chemical Engineer"/>
        <s v="Senior Planning Engineer"/>
        <s v="control process auxiliary"/>
        <s v="Business Intelligence Consultant"/>
        <s v="Officer MIS"/>
        <s v="operations Administrator"/>
        <s v="Controller / VBA Developet"/>
        <s v="Director of Business Analytics"/>
        <s v="Supplier Manager"/>
        <s v="Reports Writer"/>
        <s v="Process Associate"/>
        <s v="HR/ADMINISTRATION"/>
        <s v="Operational Specialist"/>
        <s v="Trainee"/>
        <s v="Senior Business Research Analyst"/>
        <s v="Senior Consultant - PMO"/>
        <s v="Financial Analst"/>
        <s v="Excel Business Analyst"/>
        <s v="SVP"/>
        <s v="info analyst"/>
        <s v="Data Manager"/>
        <s v="Business Banker"/>
        <s v="Accounts Executive"/>
        <s v="Demand Planner"/>
        <s v="Construction Estimator"/>
        <s v="Trade Marketing"/>
        <s v="Merchandise Planning Manager"/>
        <s v="pricing manager"/>
        <s v="Marketing Services Manager"/>
        <s v="Asst Store Manager"/>
        <s v="Junior Reporting Manager"/>
        <s v="Brand manager"/>
        <s v="Risk Officer"/>
        <s v="Sr. Risk Analyst"/>
        <s v="Business Engineer"/>
        <s v="FA /financial Analyst"/>
        <s v="Operations Manager"/>
        <s v="Management Reporting Analyst"/>
        <s v="Reporting Team Lead"/>
        <s v="Specialist Learning Technology"/>
        <s v="Operationsl Regional Manager"/>
        <s v="Manager - Business Development"/>
        <s v="QA Data Analyst"/>
        <s v="SME"/>
        <s v="Work Force Scheduler for Call Center"/>
        <s v="Asistente"/>
        <s v="IT Coordinator"/>
        <s v="Supply chain Controller"/>
        <s v="Business Operations Analyst"/>
        <s v="Sr Report Developer"/>
        <s v="Administrator"/>
        <s v="team leader "/>
        <s v="Quality Assurance Analyst"/>
        <s v="Analytics engineer"/>
        <s v="Assistant Manger Service Quality Assurance"/>
        <s v="AVP"/>
        <s v="Coordenador PeÃ§as Grupo"/>
        <s v="Owner of Business Improvement Consultancy"/>
        <s v="dgm"/>
        <s v="Catalog Circulation Analyst"/>
        <s v="SAS Adminstrator"/>
        <s v="production clerk"/>
        <s v="Dss Analyst"/>
        <s v="Business Analysis &amp; MIS "/>
        <s v="Associate Vice President"/>
        <s v="M.I.S"/>
        <s v="application dev"/>
        <s v="Technical Web Analyst"/>
        <s v="Head of Business"/>
        <s v="IT Support Engineer"/>
        <s v="Environmental Adviser"/>
        <s v="Senior Officer"/>
        <s v="IT Developer"/>
        <s v="business support analyst"/>
        <s v="assistant director of finance"/>
        <s v="Clinical Intake Specialist"/>
        <s v="Marketing services"/>
        <s v="Senior Associate, Finance"/>
        <s v="No"/>
        <s v="service executive"/>
        <s v="Consulting Practice Manager"/>
        <s v="SVP of Acquisitions"/>
        <s v="Store Inventory"/>
        <s v="Exicutive TQM"/>
        <s v="Supply/Demand Planner"/>
        <s v="BI director"/>
        <s v="Dataminer"/>
        <s v="Safety technician"/>
        <s v="Marketing Data Analyst"/>
        <s v="Category Leader"/>
        <s v="Customer Sales Analyst"/>
        <s v="Maintenance Manager"/>
        <s v="Data Resource Specialist"/>
        <s v="Waiter"/>
        <s v="Business Systems Analyst I"/>
        <s v="Technical Specialist"/>
        <s v="Enterprise Portfolio Manager"/>
        <s v="Sr Executive - MIS"/>
        <s v="Senior QA Tester"/>
        <s v="Economic analyst"/>
        <s v="Directer of Sales Support"/>
        <s v="Anallyst"/>
        <s v="Bussiness Analyst"/>
        <s v="functional analyst"/>
        <s v="Actuarial Analyst"/>
        <s v="process coordinator"/>
        <s v="Contact Operations Analyst"/>
        <s v="Student assistant"/>
        <s v="PPC Search Specialist"/>
        <s v="data organizer"/>
        <s v="gov employee"/>
        <s v="Manager (MIS)"/>
        <s v="financial analyst (real estate)"/>
        <s v="contracts officer"/>
        <s v="exe"/>
        <s v="Network Designer"/>
        <s v="Senior Production Accountant"/>
        <s v="Reporting Coordinator"/>
        <s v="PMO Analyst"/>
        <s v="AGM - Operations &amp; Customer Support"/>
        <s v="Baan ERP Functional Consultant"/>
        <s v="Sourcing Analyst"/>
        <s v="Tax Associate"/>
        <s v="Senior Fiancial Analyst"/>
        <s v="Senior Data Associate"/>
        <s v="Business Analyst II"/>
        <s v="Sales / Finance Manager"/>
        <s v="Associate Manager, Drug Safety Operations"/>
        <s v="Project Lead "/>
        <s v="Financial Analyst "/>
        <s v="Customer Service"/>
        <s v="Projektleiter"/>
        <s v="Compliance Officer"/>
        <s v="Data Management Solutions Supervisor"/>
        <s v="magic"/>
        <s v="account"/>
        <s v="equity research trainee"/>
        <s v="project engineer "/>
        <s v="regional sales manager"/>
        <s v="Analysis &amp; insight consultant"/>
        <s v="Data Team Leader"/>
        <s v="assistant account manager"/>
        <s v="Scientist III"/>
        <s v="Development Analyst"/>
        <s v="ECommerce Manager"/>
        <s v="Machine Scheduler"/>
        <s v="Sr Financial Systems Analyst"/>
        <s v="SFA"/>
        <s v="Ð˜Ð¨ Ð¤Ñ‚Ñ„Ð´Ð½Ñ‹Ðµ"/>
        <s v="Lead Financial Analyst"/>
        <s v="Senior Associate Engineer"/>
        <s v="Associate Manager"/>
        <s v="Manager MIS &amp; Analytics"/>
        <s v="Sales Cordinator"/>
        <s v="Sr Executive"/>
        <s v="Manager, Operations"/>
        <s v="IT Trainer"/>
        <s v="Assistant Corporate Controller"/>
        <s v="Data Integration Engenieer"/>
        <s v="purchasing operations administrator"/>
        <s v="Planning and Logistics Coordinator"/>
        <s v="bank clerk"/>
        <s v="Financial Modeler"/>
        <s v="Personal Assistant"/>
        <s v="Mnanager- Customer Project finance &amp; recovery"/>
        <s v="Lead "/>
        <s v="Senior officer data reporting"/>
        <s v="AM"/>
        <s v="Rates Analyst"/>
        <s v="Project Controller"/>
        <s v="accoutant"/>
        <s v="Programme Officer"/>
        <s v="Digital Media Analyst"/>
        <s v="Research Support Specialist"/>
        <s v="Chief Financial Officer"/>
        <s v="Senior Manufacturing Engineer"/>
        <s v="Customer Experence Engineer"/>
        <s v="Manager - Controlling"/>
        <s v="Sr. System Analyst"/>
        <s v="Sr.Manager"/>
        <s v="INFORMATION ANALIST"/>
        <s v="HR Supervisor"/>
        <s v="Marketing Initatities Analyst"/>
        <s v="Sales Compensation Analyst"/>
        <s v="materials"/>
        <s v="Actuarial Specialist"/>
        <s v="Marketing Database Analyst"/>
        <s v="Manager- Customer Support"/>
        <s v="3r23regedf"/>
        <s v="Revenue Focus Manager"/>
        <s v="Senior Manager MIS"/>
        <s v="Financial Modelling adviser"/>
        <s v="pm"/>
        <s v="AML Analyst"/>
        <s v="analyst "/>
        <s v="manager purchase"/>
        <s v="Process Analyst"/>
        <s v="Inventory Analyst"/>
        <s v="operator"/>
        <s v="Project Costing &amp;Dashboard reporting"/>
        <s v="Marketing Analyst Co-op"/>
        <s v="abc"/>
        <s v="MIS specialist"/>
        <s v="Monitoring and Evaluation Officer"/>
        <s v="Vice President - Finance"/>
        <s v="Operations Analyst "/>
        <s v="Poultry Analyst"/>
        <s v="Customer Resolution"/>
        <s v="Business Analist"/>
        <s v="eorl"/>
        <s v="Corporate Trainer"/>
        <s v="Administrative Coordinator"/>
      </sharedItems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lean Country" numFmtId="0">
      <sharedItems count="103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zil"/>
        <s v="UAE"/>
        <s v="Saudi Arabia"/>
        <s v="Panama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Argentina"/>
        <s v="Kenya"/>
        <s v="Latin America"/>
        <s v="Mongolia"/>
        <s v="Myanmar"/>
        <s v="Uganda"/>
        <s v="Ghana"/>
        <s v="Austria"/>
        <s v="Europe"/>
        <s v="Bolivia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</sharedItems>
    </cacheField>
    <cacheField name="How many hours of a day you work on Excel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  <cacheField name="Years of Experience" numFmtId="0">
      <sharedItems containsString="0" containsBlank="1" containsNumber="1" minValue="0" maxValue="4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x v="0"/>
    <d v="2012-05-25T03:11:32"/>
    <n v="5846"/>
    <n v="5846"/>
    <s v="USD"/>
    <n v="5846"/>
    <x v="0"/>
    <x v="0"/>
    <s v="India"/>
    <x v="0"/>
    <x v="0"/>
    <m/>
  </r>
  <r>
    <x v="1"/>
    <d v="2012-05-25T03:13:13"/>
    <s v="15000 usd"/>
    <n v="15000"/>
    <s v="USD"/>
    <n v="15000"/>
    <x v="1"/>
    <x v="1"/>
    <s v="europe/Croatia"/>
    <x v="1"/>
    <x v="1"/>
    <m/>
  </r>
  <r>
    <x v="2"/>
    <d v="2012-05-25T03:16:26"/>
    <n v="58000"/>
    <n v="58000"/>
    <s v="USD"/>
    <n v="58000"/>
    <x v="2"/>
    <x v="0"/>
    <s v="USA"/>
    <x v="2"/>
    <x v="1"/>
    <m/>
  </r>
  <r>
    <x v="3"/>
    <d v="2012-05-25T03:23:42"/>
    <n v="48000"/>
    <n v="48000"/>
    <s v="USD"/>
    <n v="48000"/>
    <x v="3"/>
    <x v="1"/>
    <s v="Pakistan"/>
    <x v="3"/>
    <x v="2"/>
    <m/>
  </r>
  <r>
    <x v="4"/>
    <d v="2012-05-25T03:27:04"/>
    <n v="54000"/>
    <n v="54000"/>
    <s v="USD"/>
    <n v="54000"/>
    <x v="4"/>
    <x v="2"/>
    <s v="USA"/>
    <x v="2"/>
    <x v="1"/>
    <m/>
  </r>
  <r>
    <x v="5"/>
    <d v="2012-05-25T03:28:28"/>
    <n v="41731"/>
    <n v="41731"/>
    <s v="USD"/>
    <n v="41731"/>
    <x v="5"/>
    <x v="0"/>
    <s v="Iceland"/>
    <x v="4"/>
    <x v="1"/>
    <m/>
  </r>
  <r>
    <x v="6"/>
    <d v="2012-05-25T03:33:51"/>
    <n v="145000"/>
    <n v="145000"/>
    <s v="EUR"/>
    <n v="184207.91865378313"/>
    <x v="6"/>
    <x v="3"/>
    <s v="Germany"/>
    <x v="5"/>
    <x v="3"/>
    <m/>
  </r>
  <r>
    <x v="7"/>
    <d v="2012-05-25T03:36:37"/>
    <n v="12000"/>
    <n v="12000"/>
    <s v="USD"/>
    <n v="12000"/>
    <x v="7"/>
    <x v="0"/>
    <s v="Ukraine"/>
    <x v="6"/>
    <x v="1"/>
    <m/>
  </r>
  <r>
    <x v="8"/>
    <d v="2012-05-25T03:37:17"/>
    <s v="44000 $"/>
    <n v="44000"/>
    <s v="USD"/>
    <n v="44000"/>
    <x v="8"/>
    <x v="4"/>
    <s v="Portugal"/>
    <x v="7"/>
    <x v="3"/>
    <m/>
  </r>
  <r>
    <x v="9"/>
    <d v="2012-05-25T03:38:57"/>
    <s v="PKR 8,000"/>
    <n v="1152000"/>
    <s v="PKR"/>
    <n v="12227.430201752599"/>
    <x v="9"/>
    <x v="5"/>
    <s v="Pakistan"/>
    <x v="3"/>
    <x v="1"/>
    <m/>
  </r>
  <r>
    <x v="10"/>
    <d v="2012-05-25T03:43:45"/>
    <s v="â‚¬ 51650"/>
    <n v="51650"/>
    <s v="EUR"/>
    <n v="65616.131023916547"/>
    <x v="10"/>
    <x v="6"/>
    <s v="Ireland"/>
    <x v="8"/>
    <x v="2"/>
    <m/>
  </r>
  <r>
    <x v="11"/>
    <d v="2012-05-25T03:43:56"/>
    <n v="14000"/>
    <n v="14000"/>
    <s v="USD"/>
    <n v="14000"/>
    <x v="4"/>
    <x v="2"/>
    <s v="Hungary"/>
    <x v="9"/>
    <x v="0"/>
    <m/>
  </r>
  <r>
    <x v="12"/>
    <d v="2012-05-25T03:48:53"/>
    <s v="749000 INR"/>
    <n v="749000"/>
    <s v="INR"/>
    <n v="13338.129598894484"/>
    <x v="11"/>
    <x v="0"/>
    <s v="India"/>
    <x v="0"/>
    <x v="1"/>
    <m/>
  </r>
  <r>
    <x v="13"/>
    <d v="2012-05-25T03:50:58"/>
    <n v="49000"/>
    <n v="49000"/>
    <s v="USD"/>
    <n v="49000"/>
    <x v="12"/>
    <x v="0"/>
    <s v="USA"/>
    <x v="2"/>
    <x v="1"/>
    <m/>
  </r>
  <r>
    <x v="14"/>
    <d v="2012-05-25T03:53:22"/>
    <n v="85000"/>
    <n v="85000"/>
    <s v="USD"/>
    <n v="85000"/>
    <x v="13"/>
    <x v="2"/>
    <s v="USA"/>
    <x v="2"/>
    <x v="3"/>
    <m/>
  </r>
  <r>
    <x v="15"/>
    <d v="2012-05-25T03:56:40"/>
    <n v="75000"/>
    <n v="75000"/>
    <s v="USD"/>
    <n v="75000"/>
    <x v="14"/>
    <x v="2"/>
    <s v="USA"/>
    <x v="2"/>
    <x v="1"/>
    <m/>
  </r>
  <r>
    <x v="16"/>
    <d v="2012-05-25T04:10:11"/>
    <n v="107000"/>
    <n v="107000"/>
    <s v="USD"/>
    <n v="107000"/>
    <x v="15"/>
    <x v="3"/>
    <s v="Switzerland"/>
    <x v="10"/>
    <x v="0"/>
    <m/>
  </r>
  <r>
    <x v="17"/>
    <d v="2012-05-25T04:10:44"/>
    <n v="45000"/>
    <n v="45000"/>
    <s v="USD"/>
    <n v="45000"/>
    <x v="16"/>
    <x v="7"/>
    <s v="South Africa"/>
    <x v="11"/>
    <x v="1"/>
    <m/>
  </r>
  <r>
    <x v="18"/>
    <d v="2012-05-25T04:16:32"/>
    <n v="550000"/>
    <n v="550000"/>
    <s v="INR"/>
    <n v="9794.354178093412"/>
    <x v="17"/>
    <x v="3"/>
    <s v="India"/>
    <x v="0"/>
    <x v="2"/>
    <m/>
  </r>
  <r>
    <x v="19"/>
    <d v="2012-05-25T04:19:22"/>
    <n v="50000"/>
    <n v="50000"/>
    <s v="USD"/>
    <n v="50000"/>
    <x v="18"/>
    <x v="3"/>
    <s v="India"/>
    <x v="0"/>
    <x v="3"/>
    <m/>
  </r>
  <r>
    <x v="20"/>
    <d v="2012-05-25T04:24:01"/>
    <n v="13500"/>
    <n v="13500"/>
    <s v="USD"/>
    <n v="13500"/>
    <x v="19"/>
    <x v="3"/>
    <s v="India"/>
    <x v="0"/>
    <x v="0"/>
    <m/>
  </r>
  <r>
    <x v="21"/>
    <d v="2012-05-25T04:24:12"/>
    <n v="96000"/>
    <n v="96000"/>
    <s v="USD"/>
    <n v="96000"/>
    <x v="5"/>
    <x v="0"/>
    <s v="USA"/>
    <x v="2"/>
    <x v="2"/>
    <m/>
  </r>
  <r>
    <x v="22"/>
    <d v="2012-05-25T04:31:41"/>
    <n v="1000000"/>
    <n v="1000000"/>
    <s v="INR"/>
    <n v="17807.916687442568"/>
    <x v="20"/>
    <x v="3"/>
    <s v="India"/>
    <x v="0"/>
    <x v="0"/>
    <m/>
  </r>
  <r>
    <x v="23"/>
    <d v="2012-05-25T04:32:49"/>
    <n v="75000"/>
    <n v="75000"/>
    <s v="USD"/>
    <n v="75000"/>
    <x v="21"/>
    <x v="4"/>
    <s v="USA"/>
    <x v="2"/>
    <x v="0"/>
    <m/>
  </r>
  <r>
    <x v="24"/>
    <d v="2012-05-25T04:43:51"/>
    <s v="40000 us"/>
    <n v="40000"/>
    <s v="USD"/>
    <n v="40000"/>
    <x v="22"/>
    <x v="3"/>
    <s v="USA"/>
    <x v="2"/>
    <x v="2"/>
    <m/>
  </r>
  <r>
    <x v="25"/>
    <d v="2012-05-25T04:45:01"/>
    <n v="60000"/>
    <n v="60000"/>
    <s v="USD"/>
    <n v="60000"/>
    <x v="23"/>
    <x v="0"/>
    <s v="USA"/>
    <x v="2"/>
    <x v="1"/>
    <m/>
  </r>
  <r>
    <x v="26"/>
    <d v="2012-05-25T04:48:33"/>
    <n v="2700"/>
    <n v="32400"/>
    <s v="EUR"/>
    <n v="41160.941823328096"/>
    <x v="24"/>
    <x v="3"/>
    <s v="Belgium"/>
    <x v="12"/>
    <x v="0"/>
    <m/>
  </r>
  <r>
    <x v="27"/>
    <d v="2012-05-25T04:52:23"/>
    <s v="900000 INR"/>
    <n v="900000"/>
    <s v="INR"/>
    <n v="16027.125018698311"/>
    <x v="25"/>
    <x v="2"/>
    <s v="India"/>
    <x v="0"/>
    <x v="3"/>
    <m/>
  </r>
  <r>
    <x v="28"/>
    <d v="2012-05-25T04:55:35"/>
    <s v="Rs 600000"/>
    <n v="600000"/>
    <s v="INR"/>
    <n v="10684.750012465542"/>
    <x v="26"/>
    <x v="3"/>
    <s v="India"/>
    <x v="0"/>
    <x v="0"/>
    <m/>
  </r>
  <r>
    <x v="29"/>
    <d v="2012-05-25T04:55:48"/>
    <n v="41000"/>
    <n v="41000"/>
    <s v="USD"/>
    <n v="41000"/>
    <x v="27"/>
    <x v="3"/>
    <s v="Russia"/>
    <x v="13"/>
    <x v="1"/>
    <m/>
  </r>
  <r>
    <x v="30"/>
    <d v="2012-05-25T04:57:06"/>
    <s v="360000 INR"/>
    <n v="360000"/>
    <s v="INR"/>
    <n v="6410.8500074793246"/>
    <x v="28"/>
    <x v="6"/>
    <s v="India"/>
    <x v="0"/>
    <x v="0"/>
    <m/>
  </r>
  <r>
    <x v="31"/>
    <d v="2012-05-25T04:58:45"/>
    <s v="Â£35000"/>
    <n v="35000"/>
    <s v="GBP"/>
    <n v="55166.239522354947"/>
    <x v="29"/>
    <x v="0"/>
    <s v="UK"/>
    <x v="14"/>
    <x v="1"/>
    <m/>
  </r>
  <r>
    <x v="32"/>
    <d v="2012-05-25T05:01:09"/>
    <s v="1600 $"/>
    <n v="19200"/>
    <s v="USD"/>
    <n v="19200"/>
    <x v="5"/>
    <x v="0"/>
    <s v="Poland"/>
    <x v="15"/>
    <x v="2"/>
    <m/>
  </r>
  <r>
    <x v="33"/>
    <d v="2012-05-25T05:04:12"/>
    <n v="500000"/>
    <n v="500000"/>
    <s v="INR"/>
    <n v="8903.9583437212841"/>
    <x v="30"/>
    <x v="8"/>
    <s v="India"/>
    <x v="0"/>
    <x v="1"/>
    <m/>
  </r>
  <r>
    <x v="34"/>
    <d v="2012-05-25T05:07:31"/>
    <n v="150000"/>
    <n v="150000"/>
    <s v="USD"/>
    <n v="150000"/>
    <x v="31"/>
    <x v="3"/>
    <s v="USA"/>
    <x v="2"/>
    <x v="2"/>
    <m/>
  </r>
  <r>
    <x v="35"/>
    <d v="2012-05-25T05:10:29"/>
    <n v="69000"/>
    <n v="69000"/>
    <s v="USD"/>
    <n v="69000"/>
    <x v="32"/>
    <x v="2"/>
    <s v="USA"/>
    <x v="2"/>
    <x v="0"/>
    <m/>
  </r>
  <r>
    <x v="36"/>
    <d v="2012-05-25T05:11:37"/>
    <n v="30000"/>
    <n v="30000"/>
    <s v="USD"/>
    <n v="30000"/>
    <x v="33"/>
    <x v="8"/>
    <s v="USA"/>
    <x v="2"/>
    <x v="2"/>
    <m/>
  </r>
  <r>
    <x v="37"/>
    <d v="2012-05-25T05:13:50"/>
    <s v="Rs. 400000"/>
    <n v="400000"/>
    <s v="INR"/>
    <n v="7123.1666749770275"/>
    <x v="34"/>
    <x v="3"/>
    <s v="India"/>
    <x v="0"/>
    <x v="0"/>
    <m/>
  </r>
  <r>
    <x v="38"/>
    <d v="2012-05-25T05:18:48"/>
    <n v="70000"/>
    <n v="70000"/>
    <s v="AUD"/>
    <n v="71393.675948184507"/>
    <x v="35"/>
    <x v="8"/>
    <s v="Australia"/>
    <x v="16"/>
    <x v="2"/>
    <m/>
  </r>
  <r>
    <x v="39"/>
    <d v="2012-05-25T05:20:10"/>
    <n v="14500"/>
    <n v="14500"/>
    <s v="USD"/>
    <n v="14500"/>
    <x v="36"/>
    <x v="0"/>
    <s v="India"/>
    <x v="0"/>
    <x v="0"/>
    <m/>
  </r>
  <r>
    <x v="40"/>
    <d v="2012-05-25T05:30:39"/>
    <n v="70000"/>
    <n v="70000"/>
    <s v="CAD"/>
    <n v="68835.306612122877"/>
    <x v="37"/>
    <x v="2"/>
    <s v="Canada"/>
    <x v="17"/>
    <x v="2"/>
    <m/>
  </r>
  <r>
    <x v="41"/>
    <d v="2012-05-25T05:35:28"/>
    <n v="58000"/>
    <n v="58000"/>
    <s v="USD"/>
    <n v="58000"/>
    <x v="38"/>
    <x v="5"/>
    <s v="USA"/>
    <x v="2"/>
    <x v="0"/>
    <m/>
  </r>
  <r>
    <x v="42"/>
    <d v="2012-05-25T05:45:01"/>
    <n v="90000"/>
    <n v="90000"/>
    <s v="USD"/>
    <n v="90000"/>
    <x v="39"/>
    <x v="9"/>
    <s v="USA"/>
    <x v="2"/>
    <x v="3"/>
    <m/>
  </r>
  <r>
    <x v="43"/>
    <d v="2012-05-25T05:46:47"/>
    <n v="800000"/>
    <n v="800000"/>
    <s v="INR"/>
    <n v="14246.333349954055"/>
    <x v="40"/>
    <x v="3"/>
    <s v="India"/>
    <x v="0"/>
    <x v="2"/>
    <m/>
  </r>
  <r>
    <x v="44"/>
    <d v="2012-05-25T05:47:10"/>
    <n v="32000"/>
    <n v="32000"/>
    <s v="GBP"/>
    <n v="50437.70470615309"/>
    <x v="41"/>
    <x v="0"/>
    <s v="UK"/>
    <x v="14"/>
    <x v="0"/>
    <m/>
  </r>
  <r>
    <x v="45"/>
    <d v="2012-05-25T05:47:52"/>
    <n v="1000"/>
    <n v="12000"/>
    <s v="USD"/>
    <n v="12000"/>
    <x v="42"/>
    <x v="8"/>
    <s v="USA"/>
    <x v="2"/>
    <x v="3"/>
    <m/>
  </r>
  <r>
    <x v="46"/>
    <d v="2012-05-25T06:04:42"/>
    <s v="â‚¬ 45"/>
    <n v="45000"/>
    <s v="EUR"/>
    <n v="57167.974754622352"/>
    <x v="43"/>
    <x v="3"/>
    <s v="The Netherlands"/>
    <x v="18"/>
    <x v="0"/>
    <m/>
  </r>
  <r>
    <x v="47"/>
    <d v="2012-05-25T06:04:57"/>
    <s v="100000 USD"/>
    <n v="100000"/>
    <s v="USD"/>
    <n v="100000"/>
    <x v="44"/>
    <x v="0"/>
    <s v="Germany"/>
    <x v="5"/>
    <x v="1"/>
    <m/>
  </r>
  <r>
    <x v="48"/>
    <d v="2012-05-25T06:05:17"/>
    <n v="57000"/>
    <n v="57000"/>
    <s v="USD"/>
    <n v="57000"/>
    <x v="45"/>
    <x v="5"/>
    <s v="USA"/>
    <x v="2"/>
    <x v="2"/>
    <m/>
  </r>
  <r>
    <x v="49"/>
    <d v="2012-05-25T06:07:15"/>
    <n v="40000"/>
    <n v="40000"/>
    <s v="GBP"/>
    <n v="63047.130882691366"/>
    <x v="38"/>
    <x v="5"/>
    <s v="UK"/>
    <x v="14"/>
    <x v="0"/>
    <m/>
  </r>
  <r>
    <x v="50"/>
    <d v="2012-05-25T06:09:44"/>
    <s v="2000 Euros"/>
    <n v="24000"/>
    <s v="EUR"/>
    <n v="30489.586535798586"/>
    <x v="46"/>
    <x v="3"/>
    <s v="Germany"/>
    <x v="5"/>
    <x v="1"/>
    <m/>
  </r>
  <r>
    <x v="51"/>
    <d v="2012-05-25T06:10:18"/>
    <n v="4320"/>
    <n v="4320"/>
    <s v="USD"/>
    <n v="4320"/>
    <x v="47"/>
    <x v="5"/>
    <s v="India"/>
    <x v="0"/>
    <x v="2"/>
    <m/>
  </r>
  <r>
    <x v="52"/>
    <d v="2012-05-25T06:15:42"/>
    <n v="62000"/>
    <n v="62000"/>
    <s v="USD"/>
    <n v="62000"/>
    <x v="5"/>
    <x v="0"/>
    <s v="USA"/>
    <x v="2"/>
    <x v="0"/>
    <m/>
  </r>
  <r>
    <x v="53"/>
    <d v="2012-05-25T06:26:44"/>
    <n v="7500"/>
    <n v="7500"/>
    <s v="USD"/>
    <n v="7500"/>
    <x v="5"/>
    <x v="0"/>
    <s v="India"/>
    <x v="0"/>
    <x v="0"/>
    <m/>
  </r>
  <r>
    <x v="54"/>
    <d v="2012-05-25T06:27:29"/>
    <s v="Â£18000"/>
    <n v="18000"/>
    <s v="GBP"/>
    <n v="28371.208897211112"/>
    <x v="48"/>
    <x v="3"/>
    <s v="UK"/>
    <x v="14"/>
    <x v="3"/>
    <m/>
  </r>
  <r>
    <x v="55"/>
    <d v="2012-05-25T06:49:25"/>
    <n v="49000"/>
    <n v="49000"/>
    <s v="EUR"/>
    <n v="62249.572510588783"/>
    <x v="24"/>
    <x v="3"/>
    <s v="France"/>
    <x v="19"/>
    <x v="2"/>
    <m/>
  </r>
  <r>
    <x v="56"/>
    <d v="2012-05-25T06:57:52"/>
    <n v="38000"/>
    <n v="38000"/>
    <s v="USD"/>
    <n v="38000"/>
    <x v="49"/>
    <x v="0"/>
    <s v="USA"/>
    <x v="2"/>
    <x v="0"/>
    <m/>
  </r>
  <r>
    <x v="57"/>
    <d v="2012-05-25T07:00:52"/>
    <n v="41000"/>
    <n v="41000"/>
    <s v="USD"/>
    <n v="41000"/>
    <x v="28"/>
    <x v="6"/>
    <s v="USA"/>
    <x v="2"/>
    <x v="0"/>
    <m/>
  </r>
  <r>
    <x v="58"/>
    <d v="2012-05-25T07:11:09"/>
    <n v="68000"/>
    <n v="68000"/>
    <s v="USD"/>
    <n v="68000"/>
    <x v="50"/>
    <x v="0"/>
    <s v="USA"/>
    <x v="2"/>
    <x v="1"/>
    <m/>
  </r>
  <r>
    <x v="59"/>
    <d v="2012-05-25T07:13:31"/>
    <n v="56000"/>
    <n v="56000"/>
    <s v="CAD"/>
    <n v="55068.245289698301"/>
    <x v="51"/>
    <x v="0"/>
    <s v="Canada"/>
    <x v="17"/>
    <x v="1"/>
    <m/>
  </r>
  <r>
    <x v="60"/>
    <d v="2012-05-25T07:15:12"/>
    <n v="61000"/>
    <n v="61000"/>
    <s v="USD"/>
    <n v="61000"/>
    <x v="52"/>
    <x v="3"/>
    <s v="Brasil"/>
    <x v="20"/>
    <x v="1"/>
    <m/>
  </r>
  <r>
    <x v="61"/>
    <d v="2012-05-25T07:18:53"/>
    <n v="43000"/>
    <n v="43000"/>
    <s v="EUR"/>
    <n v="54627.175876639136"/>
    <x v="53"/>
    <x v="8"/>
    <s v="FR"/>
    <x v="19"/>
    <x v="0"/>
    <m/>
  </r>
  <r>
    <x v="62"/>
    <d v="2012-05-25T07:20:08"/>
    <n v="85000"/>
    <n v="85000"/>
    <s v="USD"/>
    <n v="85000"/>
    <x v="20"/>
    <x v="3"/>
    <s v="USA"/>
    <x v="2"/>
    <x v="0"/>
    <m/>
  </r>
  <r>
    <x v="63"/>
    <d v="2012-05-25T07:21:18"/>
    <s v="â‚¬ 38000"/>
    <n v="38000"/>
    <s v="EUR"/>
    <n v="48275.178681681093"/>
    <x v="54"/>
    <x v="0"/>
    <s v="The Netherlands"/>
    <x v="18"/>
    <x v="3"/>
    <m/>
  </r>
  <r>
    <x v="64"/>
    <d v="2012-05-25T07:25:12"/>
    <n v="85000"/>
    <n v="85000"/>
    <s v="AUD"/>
    <n v="86692.320794224041"/>
    <x v="55"/>
    <x v="4"/>
    <s v="Australia"/>
    <x v="16"/>
    <x v="0"/>
    <m/>
  </r>
  <r>
    <x v="65"/>
    <d v="2012-05-25T07:29:12"/>
    <n v="85087"/>
    <n v="85087"/>
    <s v="USD"/>
    <n v="85087"/>
    <x v="56"/>
    <x v="0"/>
    <s v="USA"/>
    <x v="2"/>
    <x v="2"/>
    <m/>
  </r>
  <r>
    <x v="66"/>
    <d v="2012-05-25T07:38:22"/>
    <n v="50000"/>
    <n v="50000"/>
    <s v="USD"/>
    <n v="50000"/>
    <x v="57"/>
    <x v="0"/>
    <s v="USA"/>
    <x v="2"/>
    <x v="1"/>
    <m/>
  </r>
  <r>
    <x v="67"/>
    <d v="2012-05-25T07:47:00"/>
    <n v="100000"/>
    <n v="100000"/>
    <s v="USD"/>
    <n v="100000"/>
    <x v="58"/>
    <x v="3"/>
    <s v="RSA"/>
    <x v="11"/>
    <x v="0"/>
    <m/>
  </r>
  <r>
    <x v="68"/>
    <d v="2012-05-25T22:49:00"/>
    <n v="57000"/>
    <n v="57000"/>
    <s v="USD"/>
    <n v="57000"/>
    <x v="51"/>
    <x v="0"/>
    <s v="USA"/>
    <x v="2"/>
    <x v="0"/>
    <m/>
  </r>
  <r>
    <x v="69"/>
    <d v="2012-05-25T22:52:28"/>
    <n v="75000"/>
    <n v="75000"/>
    <s v="USD"/>
    <n v="75000"/>
    <x v="59"/>
    <x v="3"/>
    <s v="USA"/>
    <x v="2"/>
    <x v="1"/>
    <m/>
  </r>
  <r>
    <x v="70"/>
    <d v="2012-05-25T22:59:05"/>
    <s v="$AUD100000"/>
    <n v="100000"/>
    <s v="AUD"/>
    <n v="101990.96564026357"/>
    <x v="60"/>
    <x v="3"/>
    <s v="Australia"/>
    <x v="16"/>
    <x v="0"/>
    <m/>
  </r>
  <r>
    <x v="71"/>
    <d v="2012-05-25T23:01:20"/>
    <n v="2785"/>
    <n v="33420"/>
    <s v="USD"/>
    <n v="33420"/>
    <x v="61"/>
    <x v="3"/>
    <s v="United Arab Emirates"/>
    <x v="21"/>
    <x v="1"/>
    <m/>
  </r>
  <r>
    <x v="72"/>
    <d v="2012-05-25T23:03:00"/>
    <n v="59450"/>
    <n v="59450"/>
    <s v="CAD"/>
    <n v="58460.842544152933"/>
    <x v="62"/>
    <x v="6"/>
    <s v="Canada"/>
    <x v="17"/>
    <x v="1"/>
    <m/>
  </r>
  <r>
    <x v="73"/>
    <d v="2012-05-25T23:12:29"/>
    <n v="15000"/>
    <n v="15000"/>
    <s v="USD"/>
    <n v="15000"/>
    <x v="63"/>
    <x v="8"/>
    <s v="USA"/>
    <x v="2"/>
    <x v="1"/>
    <m/>
  </r>
  <r>
    <x v="74"/>
    <d v="2012-05-25T23:15:34"/>
    <s v="US $60,000"/>
    <n v="60000"/>
    <s v="USD"/>
    <n v="60000"/>
    <x v="64"/>
    <x v="0"/>
    <s v="Canada"/>
    <x v="17"/>
    <x v="3"/>
    <m/>
  </r>
  <r>
    <x v="75"/>
    <d v="2012-05-25T23:18:45"/>
    <n v="100000"/>
    <n v="100000"/>
    <s v="GBP"/>
    <n v="157617.8272067284"/>
    <x v="5"/>
    <x v="0"/>
    <s v="UK"/>
    <x v="14"/>
    <x v="2"/>
    <m/>
  </r>
  <r>
    <x v="76"/>
    <d v="2012-05-25T23:20:46"/>
    <s v="Us$ 18000"/>
    <n v="18000"/>
    <s v="USD"/>
    <n v="18000"/>
    <x v="65"/>
    <x v="0"/>
    <s v="Saudi Arabia"/>
    <x v="22"/>
    <x v="1"/>
    <m/>
  </r>
  <r>
    <x v="77"/>
    <d v="2012-05-25T23:31:16"/>
    <n v="50000"/>
    <n v="50000"/>
    <s v="USD"/>
    <n v="50000"/>
    <x v="66"/>
    <x v="3"/>
    <s v="USA"/>
    <x v="2"/>
    <x v="2"/>
    <m/>
  </r>
  <r>
    <x v="78"/>
    <d v="2012-05-25T23:33:15"/>
    <n v="26000"/>
    <n v="26000"/>
    <s v="USD"/>
    <n v="26000"/>
    <x v="67"/>
    <x v="0"/>
    <s v="Panama"/>
    <x v="23"/>
    <x v="1"/>
    <m/>
  </r>
  <r>
    <x v="79"/>
    <d v="2012-05-25T23:49:27"/>
    <s v="Â£30000"/>
    <n v="30000"/>
    <s v="GBP"/>
    <n v="47285.348162018527"/>
    <x v="68"/>
    <x v="3"/>
    <s v="UK"/>
    <x v="14"/>
    <x v="0"/>
    <m/>
  </r>
  <r>
    <x v="80"/>
    <d v="2012-05-26T00:00:52"/>
    <n v="150000"/>
    <n v="150000"/>
    <s v="USD"/>
    <n v="150000"/>
    <x v="69"/>
    <x v="4"/>
    <s v="USA"/>
    <x v="2"/>
    <x v="1"/>
    <m/>
  </r>
  <r>
    <x v="81"/>
    <d v="2012-05-26T00:05:45"/>
    <n v="120000"/>
    <n v="120000"/>
    <s v="USD"/>
    <n v="120000"/>
    <x v="70"/>
    <x v="3"/>
    <s v="USA"/>
    <x v="2"/>
    <x v="0"/>
    <m/>
  </r>
  <r>
    <x v="82"/>
    <d v="2012-05-26T00:10:17"/>
    <n v="500000"/>
    <n v="500000"/>
    <s v="INR"/>
    <n v="8903.9583437212841"/>
    <x v="30"/>
    <x v="8"/>
    <s v="India"/>
    <x v="0"/>
    <x v="1"/>
    <m/>
  </r>
  <r>
    <x v="83"/>
    <d v="2012-05-26T00:11:21"/>
    <s v="US $ 31330.00"/>
    <n v="31330"/>
    <s v="USD"/>
    <n v="31330"/>
    <x v="71"/>
    <x v="0"/>
    <s v="Brazil"/>
    <x v="20"/>
    <x v="1"/>
    <m/>
  </r>
  <r>
    <x v="84"/>
    <d v="2012-05-26T00:15:17"/>
    <n v="110000"/>
    <n v="110000"/>
    <s v="USD"/>
    <n v="110000"/>
    <x v="72"/>
    <x v="2"/>
    <s v="USA"/>
    <x v="2"/>
    <x v="2"/>
    <m/>
  </r>
  <r>
    <x v="85"/>
    <d v="2012-05-26T00:22:49"/>
    <s v="81,000USD"/>
    <n v="81000"/>
    <s v="USD"/>
    <n v="81000"/>
    <x v="73"/>
    <x v="8"/>
    <s v="UK"/>
    <x v="14"/>
    <x v="0"/>
    <m/>
  </r>
  <r>
    <x v="86"/>
    <d v="2012-05-26T00:39:04"/>
    <n v="40000"/>
    <n v="40000"/>
    <s v="USD"/>
    <n v="40000"/>
    <x v="74"/>
    <x v="0"/>
    <s v="USA"/>
    <x v="2"/>
    <x v="0"/>
    <m/>
  </r>
  <r>
    <x v="87"/>
    <d v="2012-05-26T00:39:28"/>
    <n v="42000"/>
    <n v="42000"/>
    <s v="CAD"/>
    <n v="41301.183967273726"/>
    <x v="75"/>
    <x v="0"/>
    <s v="Canada"/>
    <x v="17"/>
    <x v="0"/>
    <m/>
  </r>
  <r>
    <x v="88"/>
    <d v="2012-05-26T00:39:36"/>
    <n v="125000"/>
    <n v="125000"/>
    <s v="USD"/>
    <n v="125000"/>
    <x v="76"/>
    <x v="4"/>
    <s v="USA"/>
    <x v="2"/>
    <x v="0"/>
    <m/>
  </r>
  <r>
    <x v="89"/>
    <d v="2012-05-26T00:39:38"/>
    <n v="36000"/>
    <n v="36000"/>
    <s v="USD"/>
    <n v="36000"/>
    <x v="77"/>
    <x v="3"/>
    <s v="USA"/>
    <x v="2"/>
    <x v="2"/>
    <m/>
  </r>
  <r>
    <x v="90"/>
    <d v="2012-05-26T00:39:54"/>
    <s v="Rs. 12,000/-"/>
    <n v="144000"/>
    <s v="INR"/>
    <n v="2564.3400029917298"/>
    <x v="78"/>
    <x v="8"/>
    <s v="India"/>
    <x v="0"/>
    <x v="3"/>
    <m/>
  </r>
  <r>
    <x v="91"/>
    <d v="2012-05-26T00:40:00"/>
    <n v="75000"/>
    <n v="75000"/>
    <s v="USD"/>
    <n v="75000"/>
    <x v="79"/>
    <x v="0"/>
    <s v="USA"/>
    <x v="2"/>
    <x v="3"/>
    <m/>
  </r>
  <r>
    <x v="92"/>
    <d v="2012-05-26T00:40:20"/>
    <n v="95000"/>
    <n v="95000"/>
    <s v="USD"/>
    <n v="95000"/>
    <x v="8"/>
    <x v="4"/>
    <s v="USA"/>
    <x v="2"/>
    <x v="0"/>
    <m/>
  </r>
  <r>
    <x v="93"/>
    <d v="2012-05-26T00:40:27"/>
    <n v="24000"/>
    <n v="24000"/>
    <s v="USD"/>
    <n v="24000"/>
    <x v="80"/>
    <x v="3"/>
    <s v="USA"/>
    <x v="2"/>
    <x v="2"/>
    <m/>
  </r>
  <r>
    <x v="94"/>
    <d v="2012-05-26T00:40:31"/>
    <s v="91,000 USD"/>
    <n v="91000"/>
    <s v="USD"/>
    <n v="91000"/>
    <x v="81"/>
    <x v="3"/>
    <s v="USA"/>
    <x v="2"/>
    <x v="3"/>
    <m/>
  </r>
  <r>
    <x v="95"/>
    <d v="2012-05-26T00:40:39"/>
    <n v="40000"/>
    <n v="40000"/>
    <s v="USD"/>
    <n v="40000"/>
    <x v="82"/>
    <x v="0"/>
    <s v="USA"/>
    <x v="2"/>
    <x v="0"/>
    <m/>
  </r>
  <r>
    <x v="96"/>
    <d v="2012-05-26T00:40:40"/>
    <n v="57000"/>
    <n v="57000"/>
    <s v="USD"/>
    <n v="57000"/>
    <x v="83"/>
    <x v="3"/>
    <s v="USA"/>
    <x v="2"/>
    <x v="0"/>
    <m/>
  </r>
  <r>
    <x v="97"/>
    <d v="2012-05-26T00:40:41"/>
    <n v="74000"/>
    <n v="74000"/>
    <s v="USD"/>
    <n v="74000"/>
    <x v="30"/>
    <x v="8"/>
    <s v="USA"/>
    <x v="2"/>
    <x v="0"/>
    <m/>
  </r>
  <r>
    <x v="98"/>
    <d v="2012-05-26T00:40:42"/>
    <s v="80k"/>
    <n v="80000"/>
    <s v="USD"/>
    <n v="80000"/>
    <x v="2"/>
    <x v="0"/>
    <s v="USA"/>
    <x v="2"/>
    <x v="0"/>
    <m/>
  </r>
  <r>
    <x v="99"/>
    <d v="2012-05-26T00:40:46"/>
    <n v="90000"/>
    <n v="90000"/>
    <s v="USD"/>
    <n v="90000"/>
    <x v="84"/>
    <x v="6"/>
    <s v="USA"/>
    <x v="2"/>
    <x v="0"/>
    <m/>
  </r>
  <r>
    <x v="100"/>
    <d v="2012-05-26T00:40:48"/>
    <n v="21000"/>
    <n v="21000"/>
    <s v="USD"/>
    <n v="21000"/>
    <x v="85"/>
    <x v="0"/>
    <s v="arabian Gulf"/>
    <x v="24"/>
    <x v="3"/>
    <m/>
  </r>
  <r>
    <x v="101"/>
    <d v="2012-05-26T00:40:50"/>
    <n v="52000"/>
    <n v="52000"/>
    <s v="USD"/>
    <n v="52000"/>
    <x v="86"/>
    <x v="3"/>
    <s v="USA"/>
    <x v="2"/>
    <x v="0"/>
    <m/>
  </r>
  <r>
    <x v="102"/>
    <d v="2012-05-26T00:40:52"/>
    <n v="19200"/>
    <n v="19200"/>
    <s v="USD"/>
    <n v="19200"/>
    <x v="87"/>
    <x v="0"/>
    <s v="Mexico"/>
    <x v="25"/>
    <x v="0"/>
    <m/>
  </r>
  <r>
    <x v="103"/>
    <d v="2012-05-26T00:40:57"/>
    <n v="36000"/>
    <n v="36000"/>
    <s v="USD"/>
    <n v="36000"/>
    <x v="5"/>
    <x v="0"/>
    <s v="USA"/>
    <x v="2"/>
    <x v="0"/>
    <m/>
  </r>
  <r>
    <x v="104"/>
    <d v="2012-05-26T00:41:02"/>
    <n v="57400"/>
    <n v="57400"/>
    <s v="USD"/>
    <n v="57400"/>
    <x v="88"/>
    <x v="0"/>
    <s v="USA"/>
    <x v="2"/>
    <x v="0"/>
    <m/>
  </r>
  <r>
    <x v="105"/>
    <d v="2012-05-26T00:41:03"/>
    <n v="66000"/>
    <n v="66000"/>
    <s v="USD"/>
    <n v="66000"/>
    <x v="5"/>
    <x v="0"/>
    <s v="USA"/>
    <x v="2"/>
    <x v="2"/>
    <m/>
  </r>
  <r>
    <x v="106"/>
    <d v="2012-05-26T00:41:06"/>
    <n v="35000"/>
    <n v="35000"/>
    <s v="EUR"/>
    <n v="44463.980364706273"/>
    <x v="89"/>
    <x v="3"/>
    <s v="Greece"/>
    <x v="26"/>
    <x v="0"/>
    <m/>
  </r>
  <r>
    <x v="107"/>
    <d v="2012-05-26T00:41:16"/>
    <s v="$85,000+"/>
    <n v="85000"/>
    <s v="USD"/>
    <n v="85000"/>
    <x v="90"/>
    <x v="0"/>
    <s v="USA"/>
    <x v="2"/>
    <x v="0"/>
    <m/>
  </r>
  <r>
    <x v="108"/>
    <d v="2012-05-26T00:41:22"/>
    <n v="50000"/>
    <n v="50000"/>
    <s v="USD"/>
    <n v="50000"/>
    <x v="91"/>
    <x v="6"/>
    <s v="USA"/>
    <x v="2"/>
    <x v="0"/>
    <m/>
  </r>
  <r>
    <x v="109"/>
    <d v="2012-05-26T00:41:27"/>
    <s v="$58,000 USD"/>
    <n v="58000"/>
    <s v="USD"/>
    <n v="58000"/>
    <x v="92"/>
    <x v="3"/>
    <s v="USA"/>
    <x v="2"/>
    <x v="0"/>
    <m/>
  </r>
  <r>
    <x v="110"/>
    <d v="2012-05-26T00:41:28"/>
    <n v="37900"/>
    <n v="37900"/>
    <s v="USD"/>
    <n v="37900"/>
    <x v="93"/>
    <x v="5"/>
    <s v="USA"/>
    <x v="2"/>
    <x v="1"/>
    <m/>
  </r>
  <r>
    <x v="111"/>
    <d v="2012-05-26T00:41:30"/>
    <n v="4000"/>
    <n v="48000"/>
    <s v="USD"/>
    <n v="48000"/>
    <x v="94"/>
    <x v="3"/>
    <s v="UAE"/>
    <x v="21"/>
    <x v="2"/>
    <m/>
  </r>
  <r>
    <x v="112"/>
    <d v="2012-05-26T00:41:32"/>
    <n v="67000"/>
    <n v="67000"/>
    <s v="USD"/>
    <n v="67000"/>
    <x v="95"/>
    <x v="0"/>
    <s v="USA"/>
    <x v="2"/>
    <x v="0"/>
    <m/>
  </r>
  <r>
    <x v="113"/>
    <d v="2012-05-26T00:41:35"/>
    <n v="85000"/>
    <n v="85000"/>
    <s v="USD"/>
    <n v="85000"/>
    <x v="96"/>
    <x v="1"/>
    <s v="UAE"/>
    <x v="21"/>
    <x v="0"/>
    <m/>
  </r>
  <r>
    <x v="114"/>
    <d v="2012-05-26T00:41:35"/>
    <n v="56160"/>
    <n v="56160"/>
    <s v="USD"/>
    <n v="56160"/>
    <x v="97"/>
    <x v="0"/>
    <s v="USA"/>
    <x v="2"/>
    <x v="0"/>
    <m/>
  </r>
  <r>
    <x v="115"/>
    <d v="2012-05-26T00:41:38"/>
    <n v="2000"/>
    <n v="24000"/>
    <s v="USD"/>
    <n v="24000"/>
    <x v="98"/>
    <x v="3"/>
    <s v="Colombia"/>
    <x v="27"/>
    <x v="1"/>
    <m/>
  </r>
  <r>
    <x v="116"/>
    <d v="2012-05-26T00:41:38"/>
    <n v="52000"/>
    <n v="52000"/>
    <s v="USD"/>
    <n v="52000"/>
    <x v="99"/>
    <x v="0"/>
    <s v="USA"/>
    <x v="2"/>
    <x v="4"/>
    <m/>
  </r>
  <r>
    <x v="117"/>
    <d v="2012-05-26T00:41:41"/>
    <n v="60000"/>
    <n v="60000"/>
    <s v="CAD"/>
    <n v="59001.691381819612"/>
    <x v="100"/>
    <x v="0"/>
    <s v="Canada"/>
    <x v="17"/>
    <x v="4"/>
    <m/>
  </r>
  <r>
    <x v="118"/>
    <d v="2012-05-26T00:41:43"/>
    <n v="70000"/>
    <n v="70000"/>
    <s v="USD"/>
    <n v="70000"/>
    <x v="101"/>
    <x v="5"/>
    <s v="USA"/>
    <x v="2"/>
    <x v="1"/>
    <m/>
  </r>
  <r>
    <x v="119"/>
    <d v="2012-05-26T00:41:56"/>
    <n v="50000"/>
    <n v="50000"/>
    <s v="USD"/>
    <n v="50000"/>
    <x v="102"/>
    <x v="6"/>
    <s v="USA"/>
    <x v="2"/>
    <x v="0"/>
    <m/>
  </r>
  <r>
    <x v="120"/>
    <d v="2012-05-26T00:41:58"/>
    <n v="2300000"/>
    <n v="2300000"/>
    <s v="INR"/>
    <n v="40958.208381117904"/>
    <x v="103"/>
    <x v="0"/>
    <s v="India"/>
    <x v="0"/>
    <x v="3"/>
    <m/>
  </r>
  <r>
    <x v="121"/>
    <d v="2012-05-26T00:42:00"/>
    <n v="80000"/>
    <n v="80000"/>
    <s v="USD"/>
    <n v="80000"/>
    <x v="2"/>
    <x v="0"/>
    <s v="USA"/>
    <x v="2"/>
    <x v="0"/>
    <m/>
  </r>
  <r>
    <x v="122"/>
    <d v="2012-05-26T00:42:08"/>
    <n v="128000"/>
    <n v="128000"/>
    <s v="USD"/>
    <n v="128000"/>
    <x v="104"/>
    <x v="3"/>
    <s v="USA"/>
    <x v="2"/>
    <x v="1"/>
    <m/>
  </r>
  <r>
    <x v="123"/>
    <d v="2012-05-26T00:42:10"/>
    <s v="US $44,000"/>
    <n v="44000"/>
    <s v="USD"/>
    <n v="44000"/>
    <x v="105"/>
    <x v="3"/>
    <s v="USA"/>
    <x v="2"/>
    <x v="3"/>
    <m/>
  </r>
  <r>
    <x v="124"/>
    <d v="2012-05-26T00:42:11"/>
    <n v="65000"/>
    <n v="65000"/>
    <s v="USD"/>
    <n v="65000"/>
    <x v="106"/>
    <x v="5"/>
    <s v="USA"/>
    <x v="2"/>
    <x v="1"/>
    <m/>
  </r>
  <r>
    <x v="125"/>
    <d v="2012-05-26T00:42:32"/>
    <s v="36000 usd"/>
    <n v="36000"/>
    <s v="USD"/>
    <n v="36000"/>
    <x v="38"/>
    <x v="5"/>
    <s v="Turkey"/>
    <x v="28"/>
    <x v="0"/>
    <m/>
  </r>
  <r>
    <x v="126"/>
    <d v="2012-05-26T00:42:34"/>
    <n v="1000"/>
    <n v="12000"/>
    <s v="USD"/>
    <n v="12000"/>
    <x v="107"/>
    <x v="8"/>
    <s v="Pakistan"/>
    <x v="3"/>
    <x v="3"/>
    <m/>
  </r>
  <r>
    <x v="127"/>
    <d v="2012-05-26T00:42:41"/>
    <n v="28159.200000000001"/>
    <n v="28159"/>
    <s v="GBP"/>
    <n v="44383.603963142654"/>
    <x v="79"/>
    <x v="0"/>
    <s v="UK"/>
    <x v="14"/>
    <x v="1"/>
    <m/>
  </r>
  <r>
    <x v="128"/>
    <d v="2012-05-26T00:42:46"/>
    <n v="45000"/>
    <n v="45000"/>
    <s v="USD"/>
    <n v="45000"/>
    <x v="108"/>
    <x v="0"/>
    <s v="USA"/>
    <x v="2"/>
    <x v="0"/>
    <m/>
  </r>
  <r>
    <x v="129"/>
    <d v="2012-05-26T00:42:58"/>
    <n v="54000"/>
    <n v="54000"/>
    <s v="USD"/>
    <n v="54000"/>
    <x v="109"/>
    <x v="0"/>
    <s v="USA"/>
    <x v="2"/>
    <x v="2"/>
    <m/>
  </r>
  <r>
    <x v="130"/>
    <d v="2012-05-26T00:43:03"/>
    <n v="70000"/>
    <n v="70000"/>
    <s v="GBP"/>
    <n v="110332.47904470989"/>
    <x v="89"/>
    <x v="3"/>
    <s v="UK"/>
    <x v="14"/>
    <x v="2"/>
    <m/>
  </r>
  <r>
    <x v="131"/>
    <d v="2012-05-26T00:43:07"/>
    <n v="71000"/>
    <n v="71000"/>
    <s v="USD"/>
    <n v="71000"/>
    <x v="110"/>
    <x v="0"/>
    <s v="USA"/>
    <x v="2"/>
    <x v="0"/>
    <m/>
  </r>
  <r>
    <x v="132"/>
    <d v="2012-05-26T00:43:08"/>
    <n v="800000"/>
    <n v="800000"/>
    <s v="INR"/>
    <n v="14246.333349954055"/>
    <x v="111"/>
    <x v="3"/>
    <s v="India"/>
    <x v="0"/>
    <x v="2"/>
    <m/>
  </r>
  <r>
    <x v="133"/>
    <d v="2012-05-26T00:43:17"/>
    <n v="70000"/>
    <n v="70000"/>
    <s v="CAD"/>
    <n v="68835.306612122877"/>
    <x v="89"/>
    <x v="3"/>
    <s v="canada"/>
    <x v="17"/>
    <x v="0"/>
    <m/>
  </r>
  <r>
    <x v="134"/>
    <d v="2012-05-26T00:43:25"/>
    <n v="50000"/>
    <n v="50000"/>
    <s v="CAD"/>
    <n v="49168.076151516347"/>
    <x v="112"/>
    <x v="3"/>
    <s v="Canada"/>
    <x v="17"/>
    <x v="0"/>
    <m/>
  </r>
  <r>
    <x v="135"/>
    <d v="2012-05-26T00:43:27"/>
    <n v="40000"/>
    <n v="40000"/>
    <s v="USD"/>
    <n v="40000"/>
    <x v="12"/>
    <x v="0"/>
    <s v="USA"/>
    <x v="2"/>
    <x v="0"/>
    <m/>
  </r>
  <r>
    <x v="136"/>
    <d v="2012-05-26T00:43:34"/>
    <s v="$62,000 CND"/>
    <n v="62000"/>
    <s v="CAD"/>
    <n v="60968.414427880263"/>
    <x v="113"/>
    <x v="0"/>
    <s v="Canada"/>
    <x v="17"/>
    <x v="2"/>
    <m/>
  </r>
  <r>
    <x v="137"/>
    <d v="2012-05-26T00:43:36"/>
    <s v="28000rs"/>
    <n v="336000"/>
    <s v="INR"/>
    <n v="5983.4600069807029"/>
    <x v="114"/>
    <x v="7"/>
    <s v="India"/>
    <x v="0"/>
    <x v="0"/>
    <m/>
  </r>
  <r>
    <x v="138"/>
    <d v="2012-05-26T00:43:36"/>
    <n v="53000"/>
    <n v="53000"/>
    <s v="USD"/>
    <n v="53000"/>
    <x v="79"/>
    <x v="0"/>
    <s v="USA"/>
    <x v="2"/>
    <x v="0"/>
    <m/>
  </r>
  <r>
    <x v="139"/>
    <d v="2012-05-26T00:43:49"/>
    <n v="104000"/>
    <n v="104000"/>
    <s v="USD"/>
    <n v="104000"/>
    <x v="115"/>
    <x v="4"/>
    <s v="USA"/>
    <x v="2"/>
    <x v="2"/>
    <m/>
  </r>
  <r>
    <x v="140"/>
    <d v="2012-05-26T00:44:02"/>
    <n v="57000"/>
    <n v="57000"/>
    <s v="USD"/>
    <n v="57000"/>
    <x v="116"/>
    <x v="2"/>
    <s v="USA"/>
    <x v="2"/>
    <x v="0"/>
    <m/>
  </r>
  <r>
    <x v="141"/>
    <d v="2012-05-26T00:44:09"/>
    <n v="45000"/>
    <n v="45000"/>
    <s v="USD"/>
    <n v="45000"/>
    <x v="79"/>
    <x v="0"/>
    <s v="USA"/>
    <x v="2"/>
    <x v="2"/>
    <m/>
  </r>
  <r>
    <x v="142"/>
    <d v="2012-05-26T00:44:15"/>
    <n v="92000"/>
    <n v="92000"/>
    <s v="USD"/>
    <n v="92000"/>
    <x v="117"/>
    <x v="0"/>
    <s v="USA"/>
    <x v="2"/>
    <x v="0"/>
    <m/>
  </r>
  <r>
    <x v="143"/>
    <d v="2012-05-26T00:44:18"/>
    <n v="88000"/>
    <n v="88000"/>
    <s v="USD"/>
    <n v="88000"/>
    <x v="118"/>
    <x v="3"/>
    <s v="USA"/>
    <x v="2"/>
    <x v="0"/>
    <m/>
  </r>
  <r>
    <x v="144"/>
    <d v="2012-05-26T00:44:20"/>
    <n v="80000"/>
    <n v="80000"/>
    <s v="USD"/>
    <n v="80000"/>
    <x v="119"/>
    <x v="0"/>
    <s v="USA"/>
    <x v="2"/>
    <x v="2"/>
    <m/>
  </r>
  <r>
    <x v="145"/>
    <d v="2012-05-26T00:44:22"/>
    <n v="69000"/>
    <n v="69000"/>
    <s v="USD"/>
    <n v="69000"/>
    <x v="120"/>
    <x v="8"/>
    <s v="USA"/>
    <x v="2"/>
    <x v="0"/>
    <m/>
  </r>
  <r>
    <x v="146"/>
    <d v="2012-05-26T00:44:23"/>
    <n v="50000"/>
    <n v="50000"/>
    <s v="USD"/>
    <n v="50000"/>
    <x v="121"/>
    <x v="0"/>
    <s v="Mexico"/>
    <x v="25"/>
    <x v="1"/>
    <m/>
  </r>
  <r>
    <x v="147"/>
    <d v="2012-05-26T00:44:40"/>
    <n v="35000"/>
    <n v="35000"/>
    <s v="USD"/>
    <n v="35000"/>
    <x v="122"/>
    <x v="3"/>
    <s v="USA"/>
    <x v="2"/>
    <x v="2"/>
    <m/>
  </r>
  <r>
    <x v="148"/>
    <d v="2012-05-26T00:44:59"/>
    <n v="96000"/>
    <n v="96000"/>
    <s v="USD"/>
    <n v="96000"/>
    <x v="123"/>
    <x v="0"/>
    <s v="USA"/>
    <x v="2"/>
    <x v="0"/>
    <m/>
  </r>
  <r>
    <x v="149"/>
    <d v="2012-05-26T00:45:00"/>
    <n v="65000"/>
    <n v="65000"/>
    <s v="USD"/>
    <n v="65000"/>
    <x v="106"/>
    <x v="5"/>
    <s v="USA"/>
    <x v="2"/>
    <x v="1"/>
    <m/>
  </r>
  <r>
    <x v="150"/>
    <d v="2012-05-26T00:45:06"/>
    <n v="37440"/>
    <n v="37440"/>
    <s v="USD"/>
    <n v="37440"/>
    <x v="51"/>
    <x v="0"/>
    <s v="USA"/>
    <x v="2"/>
    <x v="1"/>
    <m/>
  </r>
  <r>
    <x v="151"/>
    <d v="2012-05-26T00:45:11"/>
    <n v="15500"/>
    <n v="15500"/>
    <s v="USD"/>
    <n v="15500"/>
    <x v="124"/>
    <x v="5"/>
    <s v="Mexico"/>
    <x v="25"/>
    <x v="1"/>
    <m/>
  </r>
  <r>
    <x v="152"/>
    <d v="2012-05-26T00:45:17"/>
    <s v="90000 USD"/>
    <n v="90000"/>
    <s v="USD"/>
    <n v="90000"/>
    <x v="125"/>
    <x v="0"/>
    <s v="USA"/>
    <x v="2"/>
    <x v="2"/>
    <m/>
  </r>
  <r>
    <x v="153"/>
    <d v="2012-05-26T00:45:46"/>
    <n v="66500"/>
    <n v="66500"/>
    <s v="USD"/>
    <n v="66500"/>
    <x v="126"/>
    <x v="0"/>
    <s v="USA"/>
    <x v="2"/>
    <x v="1"/>
    <m/>
  </r>
  <r>
    <x v="154"/>
    <d v="2012-05-26T00:45:49"/>
    <n v="100000"/>
    <n v="100000"/>
    <s v="USD"/>
    <n v="100000"/>
    <x v="127"/>
    <x v="5"/>
    <s v="USA"/>
    <x v="2"/>
    <x v="1"/>
    <m/>
  </r>
  <r>
    <x v="155"/>
    <d v="2012-05-26T00:45:51"/>
    <s v="Â£32250"/>
    <n v="32250"/>
    <s v="GBP"/>
    <n v="50831.74927416991"/>
    <x v="128"/>
    <x v="3"/>
    <s v="UK"/>
    <x v="14"/>
    <x v="0"/>
    <m/>
  </r>
  <r>
    <x v="156"/>
    <d v="2012-05-26T00:45:53"/>
    <n v="420000"/>
    <n v="420000"/>
    <s v="INR"/>
    <n v="7479.3250087258784"/>
    <x v="129"/>
    <x v="3"/>
    <s v="India"/>
    <x v="0"/>
    <x v="3"/>
    <m/>
  </r>
  <r>
    <x v="157"/>
    <d v="2012-05-26T00:46:00"/>
    <n v="75000"/>
    <n v="75000"/>
    <s v="USD"/>
    <n v="75000"/>
    <x v="130"/>
    <x v="0"/>
    <s v="USA"/>
    <x v="2"/>
    <x v="3"/>
    <m/>
  </r>
  <r>
    <x v="158"/>
    <d v="2012-05-26T00:46:25"/>
    <n v="58"/>
    <n v="58000"/>
    <s v="USD"/>
    <n v="58000"/>
    <x v="131"/>
    <x v="3"/>
    <s v="Canada"/>
    <x v="17"/>
    <x v="3"/>
    <m/>
  </r>
  <r>
    <x v="159"/>
    <d v="2012-05-26T00:46:29"/>
    <n v="55000"/>
    <n v="55000"/>
    <s v="USD"/>
    <n v="55000"/>
    <x v="132"/>
    <x v="3"/>
    <s v="USA"/>
    <x v="2"/>
    <x v="2"/>
    <m/>
  </r>
  <r>
    <x v="160"/>
    <d v="2012-05-26T00:47:42"/>
    <n v="60000"/>
    <n v="60000"/>
    <s v="USD"/>
    <n v="60000"/>
    <x v="133"/>
    <x v="0"/>
    <s v="USA"/>
    <x v="2"/>
    <x v="0"/>
    <m/>
  </r>
  <r>
    <x v="161"/>
    <d v="2012-05-26T00:47:45"/>
    <s v="Rs. 1300000"/>
    <n v="1300000"/>
    <s v="INR"/>
    <n v="23150.291693675339"/>
    <x v="20"/>
    <x v="3"/>
    <s v="India"/>
    <x v="0"/>
    <x v="0"/>
    <m/>
  </r>
  <r>
    <x v="162"/>
    <d v="2012-05-26T00:47:50"/>
    <n v="107000"/>
    <n v="107000"/>
    <s v="CAD"/>
    <n v="105219.68296424497"/>
    <x v="134"/>
    <x v="3"/>
    <s v="Canada"/>
    <x v="17"/>
    <x v="2"/>
    <m/>
  </r>
  <r>
    <x v="163"/>
    <d v="2012-05-26T00:47:57"/>
    <n v="145000"/>
    <n v="145000"/>
    <s v="USD"/>
    <n v="145000"/>
    <x v="135"/>
    <x v="1"/>
    <s v="Switzerland"/>
    <x v="10"/>
    <x v="1"/>
    <m/>
  </r>
  <r>
    <x v="164"/>
    <d v="2012-05-26T00:48:04"/>
    <n v="22880"/>
    <n v="22880"/>
    <s v="USD"/>
    <n v="22880"/>
    <x v="136"/>
    <x v="5"/>
    <s v="USA"/>
    <x v="2"/>
    <x v="0"/>
    <m/>
  </r>
  <r>
    <x v="165"/>
    <d v="2012-05-26T00:48:07"/>
    <n v="80000"/>
    <n v="80000"/>
    <s v="USD"/>
    <n v="80000"/>
    <x v="137"/>
    <x v="8"/>
    <s v="USA"/>
    <x v="2"/>
    <x v="0"/>
    <m/>
  </r>
  <r>
    <x v="166"/>
    <d v="2012-05-26T00:48:11"/>
    <s v="Rs 5 lakh"/>
    <n v="500000"/>
    <s v="INR"/>
    <n v="8903.9583437212841"/>
    <x v="138"/>
    <x v="0"/>
    <s v="India"/>
    <x v="0"/>
    <x v="2"/>
    <m/>
  </r>
  <r>
    <x v="167"/>
    <d v="2012-05-26T00:48:46"/>
    <n v="90000"/>
    <n v="90000"/>
    <s v="CAD"/>
    <n v="88502.537072729421"/>
    <x v="139"/>
    <x v="0"/>
    <s v="Canada"/>
    <x v="17"/>
    <x v="0"/>
    <m/>
  </r>
  <r>
    <x v="168"/>
    <d v="2012-05-26T00:48:48"/>
    <n v="180000"/>
    <n v="180000"/>
    <s v="INR"/>
    <n v="3205.4250037396623"/>
    <x v="140"/>
    <x v="0"/>
    <s v="India"/>
    <x v="0"/>
    <x v="0"/>
    <m/>
  </r>
  <r>
    <x v="169"/>
    <d v="2012-05-26T00:48:48"/>
    <n v="46584"/>
    <n v="46584"/>
    <s v="USD"/>
    <n v="46584"/>
    <x v="141"/>
    <x v="0"/>
    <s v="USA"/>
    <x v="2"/>
    <x v="0"/>
    <m/>
  </r>
  <r>
    <x v="170"/>
    <d v="2012-05-26T00:48:48"/>
    <n v="67000"/>
    <n v="67000"/>
    <s v="USD"/>
    <n v="67000"/>
    <x v="142"/>
    <x v="0"/>
    <s v="USA"/>
    <x v="2"/>
    <x v="0"/>
    <m/>
  </r>
  <r>
    <x v="171"/>
    <d v="2012-05-26T00:48:57"/>
    <s v="Rd. 11 lakhs"/>
    <n v="1100000"/>
    <s v="INR"/>
    <n v="19588.708356186824"/>
    <x v="143"/>
    <x v="3"/>
    <s v="India"/>
    <x v="0"/>
    <x v="0"/>
    <m/>
  </r>
  <r>
    <x v="172"/>
    <d v="2012-05-26T00:49:18"/>
    <n v="92000"/>
    <n v="92000"/>
    <s v="USD"/>
    <n v="92000"/>
    <x v="144"/>
    <x v="2"/>
    <s v="USA"/>
    <x v="2"/>
    <x v="0"/>
    <m/>
  </r>
  <r>
    <x v="173"/>
    <d v="2012-05-26T00:49:21"/>
    <n v="75000"/>
    <n v="75000"/>
    <s v="USD"/>
    <n v="75000"/>
    <x v="145"/>
    <x v="6"/>
    <s v="USA"/>
    <x v="2"/>
    <x v="1"/>
    <m/>
  </r>
  <r>
    <x v="174"/>
    <d v="2012-05-26T00:49:35"/>
    <n v="180000"/>
    <n v="180000"/>
    <s v="INR"/>
    <n v="3205.4250037396623"/>
    <x v="140"/>
    <x v="0"/>
    <s v="India"/>
    <x v="0"/>
    <x v="0"/>
    <m/>
  </r>
  <r>
    <x v="175"/>
    <d v="2012-05-26T00:49:48"/>
    <n v="18500"/>
    <n v="18500"/>
    <s v="GBP"/>
    <n v="29159.298033244755"/>
    <x v="146"/>
    <x v="3"/>
    <s v="UK"/>
    <x v="14"/>
    <x v="1"/>
    <m/>
  </r>
  <r>
    <x v="176"/>
    <d v="2012-05-26T00:49:50"/>
    <n v="40000"/>
    <n v="40000"/>
    <s v="USD"/>
    <n v="40000"/>
    <x v="49"/>
    <x v="0"/>
    <s v="USA"/>
    <x v="2"/>
    <x v="1"/>
    <m/>
  </r>
  <r>
    <x v="177"/>
    <d v="2012-05-26T00:49:59"/>
    <n v="111680"/>
    <n v="111680"/>
    <s v="USD"/>
    <n v="111680"/>
    <x v="147"/>
    <x v="0"/>
    <s v="USA"/>
    <x v="2"/>
    <x v="2"/>
    <m/>
  </r>
  <r>
    <x v="178"/>
    <d v="2012-05-26T00:50:11"/>
    <n v="41.405999999999999"/>
    <n v="41406"/>
    <s v="USD"/>
    <n v="41406"/>
    <x v="148"/>
    <x v="0"/>
    <s v="Canada"/>
    <x v="17"/>
    <x v="3"/>
    <m/>
  </r>
  <r>
    <x v="179"/>
    <d v="2012-05-26T00:50:15"/>
    <n v="70000"/>
    <n v="70000"/>
    <s v="USD"/>
    <n v="70000"/>
    <x v="149"/>
    <x v="3"/>
    <s v="USA"/>
    <x v="2"/>
    <x v="0"/>
    <m/>
  </r>
  <r>
    <x v="180"/>
    <d v="2012-05-26T00:50:31"/>
    <n v="40700"/>
    <n v="40700"/>
    <s v="USD"/>
    <n v="40700"/>
    <x v="150"/>
    <x v="0"/>
    <s v="USA"/>
    <x v="2"/>
    <x v="3"/>
    <m/>
  </r>
  <r>
    <x v="181"/>
    <d v="2012-05-26T00:50:32"/>
    <n v="40000"/>
    <n v="40000"/>
    <s v="USD"/>
    <n v="40000"/>
    <x v="5"/>
    <x v="0"/>
    <s v="USA"/>
    <x v="2"/>
    <x v="0"/>
    <m/>
  </r>
  <r>
    <x v="182"/>
    <d v="2012-05-26T00:50:38"/>
    <n v="60000"/>
    <n v="60000"/>
    <s v="USD"/>
    <n v="60000"/>
    <x v="151"/>
    <x v="5"/>
    <s v="USA"/>
    <x v="2"/>
    <x v="0"/>
    <m/>
  </r>
  <r>
    <x v="183"/>
    <d v="2012-05-26T00:50:41"/>
    <n v="92000"/>
    <n v="92000"/>
    <s v="CAD"/>
    <n v="90469.260118790073"/>
    <x v="152"/>
    <x v="8"/>
    <s v="Canada"/>
    <x v="17"/>
    <x v="1"/>
    <m/>
  </r>
  <r>
    <x v="184"/>
    <d v="2012-05-26T00:50:43"/>
    <n v="13636.36"/>
    <n v="13636"/>
    <s v="USD"/>
    <n v="13636"/>
    <x v="153"/>
    <x v="3"/>
    <s v="India"/>
    <x v="0"/>
    <x v="1"/>
    <m/>
  </r>
  <r>
    <x v="185"/>
    <d v="2012-05-26T00:50:43"/>
    <n v="80000"/>
    <n v="80000"/>
    <s v="USD"/>
    <n v="80000"/>
    <x v="154"/>
    <x v="3"/>
    <s v="USA"/>
    <x v="2"/>
    <x v="2"/>
    <m/>
  </r>
  <r>
    <x v="186"/>
    <d v="2012-05-26T00:51:00"/>
    <s v="60000 CAD$"/>
    <n v="60000"/>
    <s v="CAD"/>
    <n v="59001.691381819612"/>
    <x v="155"/>
    <x v="0"/>
    <s v="Canada"/>
    <x v="17"/>
    <x v="2"/>
    <m/>
  </r>
  <r>
    <x v="187"/>
    <d v="2012-05-26T00:51:43"/>
    <n v="28000"/>
    <n v="28000"/>
    <s v="USD"/>
    <n v="28000"/>
    <x v="156"/>
    <x v="0"/>
    <s v="USA"/>
    <x v="2"/>
    <x v="0"/>
    <m/>
  </r>
  <r>
    <x v="188"/>
    <d v="2012-05-26T00:51:55"/>
    <n v="60000"/>
    <n v="60000"/>
    <s v="USD"/>
    <n v="60000"/>
    <x v="157"/>
    <x v="0"/>
    <s v="USA"/>
    <x v="2"/>
    <x v="0"/>
    <m/>
  </r>
  <r>
    <x v="189"/>
    <d v="2012-05-26T00:51:59"/>
    <n v="96000"/>
    <n v="96000"/>
    <s v="USD"/>
    <n v="96000"/>
    <x v="158"/>
    <x v="6"/>
    <s v="USA"/>
    <x v="2"/>
    <x v="2"/>
    <m/>
  </r>
  <r>
    <x v="190"/>
    <d v="2012-05-26T00:52:21"/>
    <n v="67000"/>
    <n v="67000"/>
    <s v="USD"/>
    <n v="67000"/>
    <x v="2"/>
    <x v="0"/>
    <s v="USA"/>
    <x v="2"/>
    <x v="0"/>
    <m/>
  </r>
  <r>
    <x v="191"/>
    <d v="2012-05-26T00:52:25"/>
    <n v="70000"/>
    <n v="70000"/>
    <s v="USD"/>
    <n v="70000"/>
    <x v="159"/>
    <x v="0"/>
    <s v="USA"/>
    <x v="2"/>
    <x v="0"/>
    <m/>
  </r>
  <r>
    <x v="192"/>
    <d v="2012-05-26T00:52:30"/>
    <n v="233000"/>
    <n v="233000"/>
    <s v="INR"/>
    <n v="4149.2445881741187"/>
    <x v="160"/>
    <x v="3"/>
    <s v="India"/>
    <x v="0"/>
    <x v="1"/>
    <m/>
  </r>
  <r>
    <x v="193"/>
    <d v="2012-05-26T00:52:37"/>
    <s v="US$ 99000"/>
    <n v="99000"/>
    <s v="USD"/>
    <n v="99000"/>
    <x v="161"/>
    <x v="1"/>
    <s v="USA"/>
    <x v="2"/>
    <x v="0"/>
    <m/>
  </r>
  <r>
    <x v="194"/>
    <d v="2012-05-26T00:53:00"/>
    <n v="90000"/>
    <n v="90000"/>
    <s v="USD"/>
    <n v="90000"/>
    <x v="89"/>
    <x v="3"/>
    <s v="USA"/>
    <x v="2"/>
    <x v="2"/>
    <m/>
  </r>
  <r>
    <x v="195"/>
    <d v="2012-05-26T00:53:02"/>
    <s v="Rs. 275000"/>
    <n v="275000"/>
    <s v="INR"/>
    <n v="4897.177089046706"/>
    <x v="162"/>
    <x v="0"/>
    <s v="India"/>
    <x v="0"/>
    <x v="2"/>
    <m/>
  </r>
  <r>
    <x v="196"/>
    <d v="2012-05-26T00:53:18"/>
    <s v="INR 16000"/>
    <n v="192000"/>
    <s v="INR"/>
    <n v="3419.1200039889732"/>
    <x v="163"/>
    <x v="0"/>
    <s v="India"/>
    <x v="0"/>
    <x v="1"/>
    <m/>
  </r>
  <r>
    <x v="197"/>
    <d v="2012-05-26T00:53:37"/>
    <n v="51000"/>
    <n v="51000"/>
    <s v="USD"/>
    <n v="51000"/>
    <x v="164"/>
    <x v="3"/>
    <s v="USA"/>
    <x v="2"/>
    <x v="0"/>
    <m/>
  </r>
  <r>
    <x v="198"/>
    <d v="2012-05-26T00:53:42"/>
    <n v="100000"/>
    <n v="100000"/>
    <s v="USD"/>
    <n v="100000"/>
    <x v="165"/>
    <x v="3"/>
    <s v="USA"/>
    <x v="2"/>
    <x v="1"/>
    <m/>
  </r>
  <r>
    <x v="199"/>
    <d v="2012-05-26T00:53:46"/>
    <s v="INR18Lacs or US$36000"/>
    <n v="1800000"/>
    <s v="INR"/>
    <n v="32054.250037396621"/>
    <x v="166"/>
    <x v="3"/>
    <s v="India"/>
    <x v="0"/>
    <x v="3"/>
    <m/>
  </r>
  <r>
    <x v="200"/>
    <d v="2012-05-26T00:54:12"/>
    <s v="Â£30000"/>
    <n v="30000"/>
    <s v="GBP"/>
    <n v="47285.348162018527"/>
    <x v="167"/>
    <x v="0"/>
    <s v="UK"/>
    <x v="14"/>
    <x v="2"/>
    <m/>
  </r>
  <r>
    <x v="201"/>
    <d v="2012-05-26T00:54:14"/>
    <s v="â‚¬ 50000"/>
    <n v="50000"/>
    <s v="EUR"/>
    <n v="63519.971949580387"/>
    <x v="79"/>
    <x v="0"/>
    <s v="Ireland"/>
    <x v="8"/>
    <x v="0"/>
    <m/>
  </r>
  <r>
    <x v="202"/>
    <d v="2012-05-26T00:54:16"/>
    <n v="108160"/>
    <n v="108160"/>
    <s v="USD"/>
    <n v="108160"/>
    <x v="168"/>
    <x v="0"/>
    <s v="USA"/>
    <x v="2"/>
    <x v="0"/>
    <m/>
  </r>
  <r>
    <x v="203"/>
    <d v="2012-05-26T00:54:27"/>
    <n v="50000"/>
    <n v="50000"/>
    <s v="USD"/>
    <n v="50000"/>
    <x v="169"/>
    <x v="3"/>
    <s v="USA"/>
    <x v="2"/>
    <x v="0"/>
    <m/>
  </r>
  <r>
    <x v="204"/>
    <d v="2012-05-26T00:54:28"/>
    <n v="400000"/>
    <n v="400000"/>
    <s v="USD"/>
    <n v="400000"/>
    <x v="170"/>
    <x v="3"/>
    <s v="USA"/>
    <x v="2"/>
    <x v="3"/>
    <m/>
  </r>
  <r>
    <x v="205"/>
    <d v="2012-05-26T00:54:41"/>
    <n v="43000"/>
    <n v="43000"/>
    <s v="USD"/>
    <n v="43000"/>
    <x v="171"/>
    <x v="0"/>
    <s v="USA"/>
    <x v="2"/>
    <x v="1"/>
    <m/>
  </r>
  <r>
    <x v="206"/>
    <d v="2012-05-26T00:54:46"/>
    <n v="27000"/>
    <n v="27000"/>
    <s v="USD"/>
    <n v="27000"/>
    <x v="172"/>
    <x v="0"/>
    <s v="Singapore"/>
    <x v="29"/>
    <x v="1"/>
    <m/>
  </r>
  <r>
    <x v="207"/>
    <d v="2012-05-26T00:54:56"/>
    <n v="41000"/>
    <n v="41000"/>
    <s v="USD"/>
    <n v="41000"/>
    <x v="173"/>
    <x v="3"/>
    <s v="USA"/>
    <x v="2"/>
    <x v="1"/>
    <m/>
  </r>
  <r>
    <x v="208"/>
    <d v="2012-05-26T00:55:06"/>
    <n v="100000"/>
    <n v="100000"/>
    <s v="USD"/>
    <n v="100000"/>
    <x v="174"/>
    <x v="4"/>
    <s v="USA"/>
    <x v="2"/>
    <x v="0"/>
    <m/>
  </r>
  <r>
    <x v="209"/>
    <d v="2012-05-26T00:55:50"/>
    <n v="42140"/>
    <n v="42140"/>
    <s v="USD"/>
    <n v="42140"/>
    <x v="175"/>
    <x v="0"/>
    <s v="USA"/>
    <x v="2"/>
    <x v="0"/>
    <m/>
  </r>
  <r>
    <x v="210"/>
    <d v="2012-05-26T00:56:06"/>
    <n v="80000"/>
    <n v="80000"/>
    <s v="USD"/>
    <n v="80000"/>
    <x v="67"/>
    <x v="0"/>
    <s v="USA"/>
    <x v="2"/>
    <x v="0"/>
    <m/>
  </r>
  <r>
    <x v="211"/>
    <d v="2012-05-26T00:56:37"/>
    <n v="41600"/>
    <n v="41600"/>
    <s v="USD"/>
    <n v="41600"/>
    <x v="89"/>
    <x v="3"/>
    <s v="USA"/>
    <x v="2"/>
    <x v="0"/>
    <m/>
  </r>
  <r>
    <x v="212"/>
    <d v="2012-05-26T00:56:37"/>
    <s v="45k"/>
    <n v="45000"/>
    <s v="USD"/>
    <n v="45000"/>
    <x v="176"/>
    <x v="5"/>
    <s v="USA"/>
    <x v="2"/>
    <x v="2"/>
    <m/>
  </r>
  <r>
    <x v="213"/>
    <d v="2012-05-26T00:56:54"/>
    <n v="78000"/>
    <n v="78000"/>
    <s v="USD"/>
    <n v="78000"/>
    <x v="177"/>
    <x v="5"/>
    <s v="Bermuda"/>
    <x v="30"/>
    <x v="0"/>
    <m/>
  </r>
  <r>
    <x v="214"/>
    <d v="2012-05-26T00:57:21"/>
    <s v="INR 500000"/>
    <n v="500000"/>
    <s v="INR"/>
    <n v="8903.9583437212841"/>
    <x v="89"/>
    <x v="3"/>
    <s v="India"/>
    <x v="0"/>
    <x v="0"/>
    <m/>
  </r>
  <r>
    <x v="215"/>
    <d v="2012-05-26T00:57:35"/>
    <s v="INR 350k"/>
    <n v="350000"/>
    <s v="INR"/>
    <n v="6232.7708406048987"/>
    <x v="178"/>
    <x v="5"/>
    <s v="India"/>
    <x v="0"/>
    <x v="0"/>
    <m/>
  </r>
  <r>
    <x v="216"/>
    <d v="2012-05-26T00:57:44"/>
    <n v="72500"/>
    <n v="72500"/>
    <s v="USD"/>
    <n v="72500"/>
    <x v="179"/>
    <x v="1"/>
    <s v="USA"/>
    <x v="2"/>
    <x v="0"/>
    <m/>
  </r>
  <r>
    <x v="217"/>
    <d v="2012-05-26T00:57:52"/>
    <s v="US$ 138K"/>
    <n v="138000"/>
    <s v="USD"/>
    <n v="138000"/>
    <x v="13"/>
    <x v="2"/>
    <s v="Thailand"/>
    <x v="31"/>
    <x v="0"/>
    <m/>
  </r>
  <r>
    <x v="218"/>
    <d v="2012-05-26T00:58:03"/>
    <n v="480000"/>
    <n v="480000"/>
    <s v="INR"/>
    <n v="8547.8000099724322"/>
    <x v="180"/>
    <x v="3"/>
    <s v="India"/>
    <x v="0"/>
    <x v="0"/>
    <m/>
  </r>
  <r>
    <x v="219"/>
    <d v="2012-05-26T00:58:05"/>
    <n v="80000"/>
    <n v="80000"/>
    <s v="USD"/>
    <n v="80000"/>
    <x v="49"/>
    <x v="0"/>
    <s v="USA"/>
    <x v="2"/>
    <x v="0"/>
    <m/>
  </r>
  <r>
    <x v="220"/>
    <d v="2012-05-26T00:58:06"/>
    <n v="50000"/>
    <n v="50000"/>
    <s v="USD"/>
    <n v="50000"/>
    <x v="89"/>
    <x v="3"/>
    <s v="USA"/>
    <x v="2"/>
    <x v="0"/>
    <m/>
  </r>
  <r>
    <x v="221"/>
    <d v="2012-05-26T00:58:10"/>
    <n v="45000"/>
    <n v="45000"/>
    <s v="CAD"/>
    <n v="44251.268536364711"/>
    <x v="181"/>
    <x v="6"/>
    <s v="Canada"/>
    <x v="17"/>
    <x v="3"/>
    <m/>
  </r>
  <r>
    <x v="222"/>
    <d v="2012-05-26T00:58:22"/>
    <n v="43000"/>
    <n v="43000"/>
    <s v="GBP"/>
    <n v="67775.665698893223"/>
    <x v="182"/>
    <x v="3"/>
    <s v="UK"/>
    <x v="14"/>
    <x v="2"/>
    <m/>
  </r>
  <r>
    <x v="223"/>
    <d v="2012-05-26T00:58:56"/>
    <n v="200000"/>
    <n v="200000"/>
    <s v="INR"/>
    <n v="3561.5833374885137"/>
    <x v="183"/>
    <x v="0"/>
    <s v="India"/>
    <x v="0"/>
    <x v="3"/>
    <m/>
  </r>
  <r>
    <x v="224"/>
    <d v="2012-05-26T00:59:03"/>
    <n v="65000"/>
    <n v="65000"/>
    <s v="USD"/>
    <n v="65000"/>
    <x v="184"/>
    <x v="6"/>
    <s v="USA"/>
    <x v="2"/>
    <x v="2"/>
    <m/>
  </r>
  <r>
    <x v="225"/>
    <d v="2012-05-26T00:59:09"/>
    <n v="114000"/>
    <n v="114000"/>
    <s v="USD"/>
    <n v="114000"/>
    <x v="69"/>
    <x v="4"/>
    <s v="USA"/>
    <x v="2"/>
    <x v="2"/>
    <m/>
  </r>
  <r>
    <x v="226"/>
    <d v="2012-05-26T00:59:27"/>
    <n v="95000"/>
    <n v="95000"/>
    <s v="USD"/>
    <n v="95000"/>
    <x v="185"/>
    <x v="4"/>
    <s v="USA"/>
    <x v="2"/>
    <x v="0"/>
    <m/>
  </r>
  <r>
    <x v="227"/>
    <d v="2012-05-26T01:00:51"/>
    <s v="52500.00 USD"/>
    <n v="52500"/>
    <s v="USD"/>
    <n v="52500"/>
    <x v="186"/>
    <x v="0"/>
    <s v="USA"/>
    <x v="2"/>
    <x v="0"/>
    <m/>
  </r>
  <r>
    <x v="228"/>
    <d v="2012-05-26T01:01:03"/>
    <n v="45000"/>
    <n v="45000"/>
    <s v="GBP"/>
    <n v="70928.022243027779"/>
    <x v="187"/>
    <x v="3"/>
    <s v="UK"/>
    <x v="14"/>
    <x v="2"/>
    <m/>
  </r>
  <r>
    <x v="229"/>
    <d v="2012-05-26T01:01:32"/>
    <n v="60000"/>
    <n v="60000"/>
    <s v="USD"/>
    <n v="60000"/>
    <x v="188"/>
    <x v="0"/>
    <s v="USA"/>
    <x v="2"/>
    <x v="0"/>
    <m/>
  </r>
  <r>
    <x v="230"/>
    <d v="2012-05-26T01:02:04"/>
    <n v="65250"/>
    <n v="65250"/>
    <s v="USD"/>
    <n v="65250"/>
    <x v="189"/>
    <x v="5"/>
    <s v="USA"/>
    <x v="2"/>
    <x v="0"/>
    <m/>
  </r>
  <r>
    <x v="231"/>
    <d v="2012-05-26T01:02:07"/>
    <n v="1200000"/>
    <n v="1200000"/>
    <s v="INR"/>
    <n v="21369.500024931083"/>
    <x v="190"/>
    <x v="3"/>
    <s v="India"/>
    <x v="0"/>
    <x v="2"/>
    <m/>
  </r>
  <r>
    <x v="232"/>
    <d v="2012-05-26T01:02:10"/>
    <n v="100000"/>
    <n v="100000"/>
    <s v="CAD"/>
    <n v="98336.152303032693"/>
    <x v="191"/>
    <x v="3"/>
    <s v="Canada"/>
    <x v="17"/>
    <x v="2"/>
    <m/>
  </r>
  <r>
    <x v="233"/>
    <d v="2012-05-26T01:02:16"/>
    <s v="1000 â‚¬"/>
    <n v="12000"/>
    <s v="EUR"/>
    <n v="15244.793267899293"/>
    <x v="192"/>
    <x v="6"/>
    <s v="Portugal"/>
    <x v="7"/>
    <x v="1"/>
    <m/>
  </r>
  <r>
    <x v="234"/>
    <d v="2012-05-26T01:02:21"/>
    <n v="73000"/>
    <n v="73000"/>
    <s v="USD"/>
    <n v="73000"/>
    <x v="2"/>
    <x v="0"/>
    <s v="USA"/>
    <x v="2"/>
    <x v="0"/>
    <m/>
  </r>
  <r>
    <x v="235"/>
    <d v="2012-05-26T01:02:47"/>
    <n v="50000"/>
    <n v="50000"/>
    <s v="USD"/>
    <n v="50000"/>
    <x v="79"/>
    <x v="0"/>
    <s v="USA"/>
    <x v="2"/>
    <x v="1"/>
    <m/>
  </r>
  <r>
    <x v="236"/>
    <d v="2012-05-26T01:02:51"/>
    <n v="79000"/>
    <n v="79000"/>
    <s v="USD"/>
    <n v="79000"/>
    <x v="193"/>
    <x v="5"/>
    <s v="USA"/>
    <x v="2"/>
    <x v="2"/>
    <m/>
  </r>
  <r>
    <x v="237"/>
    <d v="2012-05-26T01:03:07"/>
    <n v="90000"/>
    <n v="90000"/>
    <s v="USD"/>
    <n v="90000"/>
    <x v="194"/>
    <x v="3"/>
    <s v="USA"/>
    <x v="2"/>
    <x v="0"/>
    <m/>
  </r>
  <r>
    <x v="238"/>
    <d v="2012-05-26T01:03:28"/>
    <n v="70000"/>
    <n v="70000"/>
    <s v="USD"/>
    <n v="70000"/>
    <x v="195"/>
    <x v="3"/>
    <s v="USA"/>
    <x v="2"/>
    <x v="2"/>
    <m/>
  </r>
  <r>
    <x v="239"/>
    <d v="2012-05-26T01:03:34"/>
    <n v="65000"/>
    <n v="65000"/>
    <s v="CAD"/>
    <n v="63918.498996971248"/>
    <x v="196"/>
    <x v="3"/>
    <s v="Canada"/>
    <x v="17"/>
    <x v="0"/>
    <m/>
  </r>
  <r>
    <x v="240"/>
    <d v="2012-05-26T01:03:52"/>
    <n v="80000"/>
    <n v="80000"/>
    <s v="USD"/>
    <n v="80000"/>
    <x v="5"/>
    <x v="0"/>
    <s v="USA"/>
    <x v="2"/>
    <x v="0"/>
    <m/>
  </r>
  <r>
    <x v="241"/>
    <d v="2012-05-26T01:03:54"/>
    <n v="140000"/>
    <n v="140000"/>
    <s v="USD"/>
    <n v="140000"/>
    <x v="20"/>
    <x v="3"/>
    <s v="USA"/>
    <x v="2"/>
    <x v="0"/>
    <m/>
  </r>
  <r>
    <x v="242"/>
    <d v="2012-05-26T01:04:13"/>
    <s v="US$ 96k"/>
    <n v="96000"/>
    <s v="USD"/>
    <n v="96000"/>
    <x v="197"/>
    <x v="8"/>
    <s v="Poland"/>
    <x v="15"/>
    <x v="2"/>
    <m/>
  </r>
  <r>
    <x v="243"/>
    <d v="2012-05-26T01:04:17"/>
    <n v="20000"/>
    <n v="20000"/>
    <s v="USD"/>
    <n v="20000"/>
    <x v="198"/>
    <x v="3"/>
    <s v="India"/>
    <x v="0"/>
    <x v="0"/>
    <m/>
  </r>
  <r>
    <x v="244"/>
    <d v="2012-05-26T01:04:50"/>
    <n v="47700"/>
    <n v="47700"/>
    <s v="USD"/>
    <n v="47700"/>
    <x v="199"/>
    <x v="0"/>
    <s v="USA"/>
    <x v="2"/>
    <x v="0"/>
    <m/>
  </r>
  <r>
    <x v="245"/>
    <d v="2012-05-26T01:05:14"/>
    <n v="25000"/>
    <n v="25000"/>
    <s v="USD"/>
    <n v="25000"/>
    <x v="40"/>
    <x v="3"/>
    <s v="India"/>
    <x v="0"/>
    <x v="3"/>
    <m/>
  </r>
  <r>
    <x v="246"/>
    <d v="2012-05-26T01:05:18"/>
    <n v="52500"/>
    <n v="52500"/>
    <s v="USD"/>
    <n v="52500"/>
    <x v="5"/>
    <x v="0"/>
    <s v="USA"/>
    <x v="2"/>
    <x v="0"/>
    <m/>
  </r>
  <r>
    <x v="247"/>
    <d v="2012-05-26T01:05:27"/>
    <n v="40000"/>
    <n v="40000"/>
    <s v="USD"/>
    <n v="40000"/>
    <x v="12"/>
    <x v="0"/>
    <s v="USA"/>
    <x v="2"/>
    <x v="1"/>
    <m/>
  </r>
  <r>
    <x v="248"/>
    <d v="2012-05-26T01:06:02"/>
    <s v="$31,000 USD"/>
    <n v="31000"/>
    <s v="USD"/>
    <n v="31000"/>
    <x v="200"/>
    <x v="0"/>
    <s v="USA"/>
    <x v="2"/>
    <x v="0"/>
    <m/>
  </r>
  <r>
    <x v="249"/>
    <d v="2012-05-26T01:06:12"/>
    <n v="4390"/>
    <n v="52680"/>
    <s v="GBP"/>
    <n v="83033.071372504521"/>
    <x v="201"/>
    <x v="8"/>
    <s v="UK"/>
    <x v="14"/>
    <x v="1"/>
    <m/>
  </r>
  <r>
    <x v="250"/>
    <d v="2012-05-26T01:06:31"/>
    <n v="130000"/>
    <n v="130000"/>
    <s v="USD"/>
    <n v="130000"/>
    <x v="6"/>
    <x v="3"/>
    <s v="USA"/>
    <x v="2"/>
    <x v="0"/>
    <m/>
  </r>
  <r>
    <x v="251"/>
    <d v="2012-05-26T01:06:38"/>
    <s v="Rs 470000"/>
    <n v="470000"/>
    <s v="INR"/>
    <n v="8369.7208430980063"/>
    <x v="202"/>
    <x v="0"/>
    <s v="India"/>
    <x v="0"/>
    <x v="1"/>
    <m/>
  </r>
  <r>
    <x v="252"/>
    <d v="2012-05-26T01:07:02"/>
    <n v="51000"/>
    <n v="51000"/>
    <s v="USD"/>
    <n v="51000"/>
    <x v="203"/>
    <x v="0"/>
    <s v="USA"/>
    <x v="2"/>
    <x v="2"/>
    <m/>
  </r>
  <r>
    <x v="253"/>
    <d v="2012-05-26T01:07:18"/>
    <s v="Â£60000"/>
    <n v="60000"/>
    <s v="GBP"/>
    <n v="94570.696324037053"/>
    <x v="204"/>
    <x v="0"/>
    <s v="UK"/>
    <x v="14"/>
    <x v="1"/>
    <m/>
  </r>
  <r>
    <x v="254"/>
    <d v="2012-05-26T01:07:42"/>
    <n v="1920000"/>
    <n v="1920000"/>
    <s v="INR"/>
    <n v="34191.200039889729"/>
    <x v="89"/>
    <x v="3"/>
    <s v="India"/>
    <x v="0"/>
    <x v="2"/>
    <m/>
  </r>
  <r>
    <x v="255"/>
    <d v="2012-05-26T01:08:00"/>
    <n v="28000"/>
    <n v="28000"/>
    <s v="GBP"/>
    <n v="44132.991617883956"/>
    <x v="205"/>
    <x v="0"/>
    <s v="UK"/>
    <x v="14"/>
    <x v="1"/>
    <m/>
  </r>
  <r>
    <x v="256"/>
    <d v="2012-05-26T01:08:04"/>
    <n v="73000"/>
    <n v="73000"/>
    <s v="USD"/>
    <n v="73000"/>
    <x v="206"/>
    <x v="6"/>
    <s v="USA"/>
    <x v="2"/>
    <x v="0"/>
    <m/>
  </r>
  <r>
    <x v="257"/>
    <d v="2012-05-26T01:08:19"/>
    <n v="62400"/>
    <n v="62400"/>
    <s v="USD"/>
    <n v="62400"/>
    <x v="207"/>
    <x v="5"/>
    <s v="USA"/>
    <x v="2"/>
    <x v="1"/>
    <m/>
  </r>
  <r>
    <x v="258"/>
    <d v="2012-05-26T01:08:21"/>
    <n v="2300"/>
    <n v="27600"/>
    <s v="USD"/>
    <n v="27600"/>
    <x v="208"/>
    <x v="8"/>
    <s v="Singapore"/>
    <x v="29"/>
    <x v="1"/>
    <m/>
  </r>
  <r>
    <x v="259"/>
    <d v="2012-05-26T01:08:35"/>
    <n v="54000"/>
    <n v="54000"/>
    <s v="USD"/>
    <n v="54000"/>
    <x v="209"/>
    <x v="3"/>
    <s v="USA"/>
    <x v="2"/>
    <x v="1"/>
    <m/>
  </r>
  <r>
    <x v="260"/>
    <d v="2012-05-26T01:08:39"/>
    <s v="rs 2.76 lakhs per year"/>
    <n v="276000"/>
    <s v="INR"/>
    <n v="4914.9850057341491"/>
    <x v="5"/>
    <x v="0"/>
    <s v="India"/>
    <x v="0"/>
    <x v="1"/>
    <m/>
  </r>
  <r>
    <x v="261"/>
    <d v="2012-05-26T01:08:42"/>
    <s v="$77,000 USD"/>
    <n v="77000"/>
    <s v="USD"/>
    <n v="77000"/>
    <x v="210"/>
    <x v="5"/>
    <s v="USA"/>
    <x v="2"/>
    <x v="0"/>
    <m/>
  </r>
  <r>
    <x v="262"/>
    <d v="2012-05-26T01:09:01"/>
    <n v="76000"/>
    <n v="76000"/>
    <s v="USD"/>
    <n v="76000"/>
    <x v="211"/>
    <x v="3"/>
    <s v="USA"/>
    <x v="2"/>
    <x v="1"/>
    <m/>
  </r>
  <r>
    <x v="263"/>
    <d v="2012-05-26T01:09:32"/>
    <n v="103000"/>
    <n v="103000"/>
    <s v="USD"/>
    <n v="103000"/>
    <x v="212"/>
    <x v="4"/>
    <s v="USA"/>
    <x v="2"/>
    <x v="2"/>
    <m/>
  </r>
  <r>
    <x v="264"/>
    <d v="2012-05-26T01:09:34"/>
    <n v="7600"/>
    <n v="7600"/>
    <s v="USD"/>
    <n v="7600"/>
    <x v="213"/>
    <x v="6"/>
    <s v="Ukraine"/>
    <x v="6"/>
    <x v="3"/>
    <m/>
  </r>
  <r>
    <x v="265"/>
    <d v="2012-05-26T01:09:56"/>
    <n v="40000"/>
    <n v="40000"/>
    <s v="USD"/>
    <n v="40000"/>
    <x v="214"/>
    <x v="0"/>
    <s v="USA"/>
    <x v="2"/>
    <x v="0"/>
    <m/>
  </r>
  <r>
    <x v="266"/>
    <d v="2012-05-26T01:10:20"/>
    <n v="80000"/>
    <n v="80000"/>
    <s v="USD"/>
    <n v="80000"/>
    <x v="215"/>
    <x v="4"/>
    <s v="USA"/>
    <x v="2"/>
    <x v="2"/>
    <m/>
  </r>
  <r>
    <x v="267"/>
    <d v="2012-05-26T01:10:24"/>
    <n v="55000"/>
    <n v="55000"/>
    <s v="USD"/>
    <n v="55000"/>
    <x v="79"/>
    <x v="0"/>
    <s v="USA"/>
    <x v="2"/>
    <x v="1"/>
    <m/>
  </r>
  <r>
    <x v="268"/>
    <d v="2012-05-26T01:10:55"/>
    <n v="99000"/>
    <n v="99000"/>
    <s v="USD"/>
    <n v="99000"/>
    <x v="12"/>
    <x v="0"/>
    <s v="USA"/>
    <x v="2"/>
    <x v="2"/>
    <m/>
  </r>
  <r>
    <x v="269"/>
    <d v="2012-05-26T01:10:56"/>
    <s v="35,000 Philippine Peso"/>
    <n v="420000"/>
    <s v="PHP"/>
    <n v="9956.1219482708348"/>
    <x v="216"/>
    <x v="3"/>
    <s v="Philippines"/>
    <x v="32"/>
    <x v="0"/>
    <m/>
  </r>
  <r>
    <x v="270"/>
    <d v="2012-05-26T01:11:12"/>
    <n v="75000"/>
    <n v="75000"/>
    <s v="USD"/>
    <n v="75000"/>
    <x v="2"/>
    <x v="0"/>
    <s v="USA"/>
    <x v="2"/>
    <x v="0"/>
    <m/>
  </r>
  <r>
    <x v="271"/>
    <d v="2012-05-26T01:11:54"/>
    <n v="80000"/>
    <n v="80000"/>
    <s v="USD"/>
    <n v="80000"/>
    <x v="217"/>
    <x v="3"/>
    <s v="USA"/>
    <x v="2"/>
    <x v="2"/>
    <m/>
  </r>
  <r>
    <x v="272"/>
    <d v="2012-05-26T01:12:41"/>
    <n v="20000"/>
    <n v="20000"/>
    <s v="USD"/>
    <n v="20000"/>
    <x v="5"/>
    <x v="0"/>
    <s v="India"/>
    <x v="0"/>
    <x v="1"/>
    <m/>
  </r>
  <r>
    <x v="273"/>
    <d v="2012-05-26T01:13:50"/>
    <n v="40000"/>
    <n v="40000"/>
    <s v="USD"/>
    <n v="40000"/>
    <x v="12"/>
    <x v="0"/>
    <s v="USA"/>
    <x v="2"/>
    <x v="1"/>
    <m/>
  </r>
  <r>
    <x v="274"/>
    <d v="2012-05-26T01:14:27"/>
    <n v="46000"/>
    <n v="46000"/>
    <s v="USD"/>
    <n v="46000"/>
    <x v="218"/>
    <x v="0"/>
    <s v="USA"/>
    <x v="2"/>
    <x v="1"/>
    <m/>
  </r>
  <r>
    <x v="275"/>
    <d v="2012-05-26T01:14:55"/>
    <n v="14000"/>
    <n v="14000"/>
    <s v="USD"/>
    <n v="14000"/>
    <x v="219"/>
    <x v="0"/>
    <s v="Brazil"/>
    <x v="20"/>
    <x v="3"/>
    <m/>
  </r>
  <r>
    <x v="276"/>
    <d v="2012-05-26T01:15:05"/>
    <n v="70000"/>
    <n v="70000"/>
    <s v="USD"/>
    <n v="70000"/>
    <x v="220"/>
    <x v="2"/>
    <s v="USA"/>
    <x v="2"/>
    <x v="1"/>
    <m/>
  </r>
  <r>
    <x v="277"/>
    <d v="2012-05-26T01:15:12"/>
    <s v="36000 $"/>
    <n v="36000"/>
    <s v="USD"/>
    <n v="36000"/>
    <x v="221"/>
    <x v="6"/>
    <s v="Russia"/>
    <x v="13"/>
    <x v="0"/>
    <m/>
  </r>
  <r>
    <x v="278"/>
    <d v="2012-05-26T01:15:25"/>
    <n v="15000"/>
    <n v="15000"/>
    <s v="USD"/>
    <n v="15000"/>
    <x v="222"/>
    <x v="3"/>
    <s v="USA"/>
    <x v="2"/>
    <x v="2"/>
    <m/>
  </r>
  <r>
    <x v="279"/>
    <d v="2012-05-26T01:16:18"/>
    <s v="INR 15,00,000"/>
    <n v="1500000"/>
    <s v="INR"/>
    <n v="26711.875031163851"/>
    <x v="35"/>
    <x v="8"/>
    <s v="India"/>
    <x v="0"/>
    <x v="1"/>
    <m/>
  </r>
  <r>
    <x v="280"/>
    <d v="2012-05-26T01:17:11"/>
    <s v="AED100000"/>
    <n v="100000"/>
    <s v="AED"/>
    <n v="27221.92126875931"/>
    <x v="189"/>
    <x v="5"/>
    <s v="Dubai"/>
    <x v="33"/>
    <x v="0"/>
    <m/>
  </r>
  <r>
    <x v="281"/>
    <d v="2012-05-26T01:17:50"/>
    <n v="22000"/>
    <n v="22000"/>
    <s v="USD"/>
    <n v="22000"/>
    <x v="223"/>
    <x v="7"/>
    <s v="India"/>
    <x v="0"/>
    <x v="1"/>
    <m/>
  </r>
  <r>
    <x v="282"/>
    <d v="2012-05-26T01:17:56"/>
    <n v="68000"/>
    <n v="68000"/>
    <s v="USD"/>
    <n v="68000"/>
    <x v="224"/>
    <x v="3"/>
    <s v="USA"/>
    <x v="2"/>
    <x v="1"/>
    <m/>
  </r>
  <r>
    <x v="283"/>
    <d v="2012-05-26T01:17:57"/>
    <n v="97000"/>
    <n v="97000"/>
    <s v="USD"/>
    <n v="97000"/>
    <x v="12"/>
    <x v="0"/>
    <s v="USA"/>
    <x v="2"/>
    <x v="1"/>
    <m/>
  </r>
  <r>
    <x v="284"/>
    <d v="2012-05-26T01:18:35"/>
    <s v="Â£31000"/>
    <n v="31000"/>
    <s v="GBP"/>
    <n v="48861.526434085805"/>
    <x v="225"/>
    <x v="2"/>
    <s v="UK"/>
    <x v="14"/>
    <x v="2"/>
    <m/>
  </r>
  <r>
    <x v="285"/>
    <d v="2012-05-26T01:18:49"/>
    <n v="65000"/>
    <n v="65000"/>
    <s v="USD"/>
    <n v="65000"/>
    <x v="226"/>
    <x v="0"/>
    <s v="USA"/>
    <x v="2"/>
    <x v="0"/>
    <m/>
  </r>
  <r>
    <x v="286"/>
    <d v="2012-05-26T01:18:58"/>
    <n v="3600"/>
    <n v="43200"/>
    <s v="USD"/>
    <n v="43200"/>
    <x v="227"/>
    <x v="3"/>
    <s v="Saudi Arabia"/>
    <x v="22"/>
    <x v="0"/>
    <m/>
  </r>
  <r>
    <x v="287"/>
    <d v="2012-05-26T01:19:09"/>
    <s v="4.5 lakh INR"/>
    <n v="450000"/>
    <s v="INR"/>
    <n v="8013.5625093491553"/>
    <x v="12"/>
    <x v="0"/>
    <s v="India"/>
    <x v="0"/>
    <x v="0"/>
    <m/>
  </r>
  <r>
    <x v="288"/>
    <d v="2012-05-26T01:19:09"/>
    <n v="50000"/>
    <n v="50000"/>
    <s v="USD"/>
    <n v="50000"/>
    <x v="228"/>
    <x v="0"/>
    <s v="USA"/>
    <x v="2"/>
    <x v="1"/>
    <m/>
  </r>
  <r>
    <x v="289"/>
    <d v="2012-05-26T01:19:22"/>
    <n v="45000"/>
    <n v="45000"/>
    <s v="USD"/>
    <n v="45000"/>
    <x v="229"/>
    <x v="0"/>
    <s v="USA"/>
    <x v="2"/>
    <x v="0"/>
    <m/>
  </r>
  <r>
    <x v="290"/>
    <d v="2012-05-26T01:19:37"/>
    <s v="Rs.1.8 lakhs "/>
    <n v="180000"/>
    <s v="INR"/>
    <n v="3205.4250037396623"/>
    <x v="230"/>
    <x v="3"/>
    <s v="India"/>
    <x v="0"/>
    <x v="0"/>
    <m/>
  </r>
  <r>
    <x v="291"/>
    <d v="2012-05-26T01:20:01"/>
    <n v="60000"/>
    <n v="60000"/>
    <s v="USD"/>
    <n v="60000"/>
    <x v="231"/>
    <x v="3"/>
    <s v="USA"/>
    <x v="2"/>
    <x v="1"/>
    <m/>
  </r>
  <r>
    <x v="292"/>
    <d v="2012-05-26T01:20:46"/>
    <n v="31000"/>
    <n v="31000"/>
    <s v="USD"/>
    <n v="31000"/>
    <x v="232"/>
    <x v="6"/>
    <s v="USA"/>
    <x v="2"/>
    <x v="2"/>
    <m/>
  </r>
  <r>
    <x v="293"/>
    <d v="2012-05-26T01:21:06"/>
    <n v="75000"/>
    <n v="75000"/>
    <s v="USD"/>
    <n v="75000"/>
    <x v="233"/>
    <x v="0"/>
    <s v="USA"/>
    <x v="2"/>
    <x v="0"/>
    <m/>
  </r>
  <r>
    <x v="294"/>
    <d v="2012-05-26T01:22:09"/>
    <n v="16000"/>
    <n v="16000"/>
    <s v="USD"/>
    <n v="16000"/>
    <x v="234"/>
    <x v="4"/>
    <s v="USA"/>
    <x v="2"/>
    <x v="3"/>
    <m/>
  </r>
  <r>
    <x v="295"/>
    <d v="2012-05-26T01:22:22"/>
    <s v="36,000 USD"/>
    <n v="36000"/>
    <s v="USD"/>
    <n v="36000"/>
    <x v="235"/>
    <x v="0"/>
    <s v="USA"/>
    <x v="2"/>
    <x v="1"/>
    <m/>
  </r>
  <r>
    <x v="296"/>
    <d v="2012-05-26T01:22:40"/>
    <n v="42000"/>
    <n v="42000"/>
    <s v="CAD"/>
    <n v="41301.183967273726"/>
    <x v="2"/>
    <x v="0"/>
    <s v="Canada"/>
    <x v="17"/>
    <x v="1"/>
    <m/>
  </r>
  <r>
    <x v="297"/>
    <d v="2012-05-26T01:22:45"/>
    <n v="53000"/>
    <n v="53000"/>
    <s v="USD"/>
    <n v="53000"/>
    <x v="79"/>
    <x v="0"/>
    <s v="USA"/>
    <x v="2"/>
    <x v="0"/>
    <m/>
  </r>
  <r>
    <x v="298"/>
    <d v="2012-05-26T01:22:48"/>
    <s v="65000 euro"/>
    <n v="65000"/>
    <s v="EUR"/>
    <n v="82575.963534454509"/>
    <x v="236"/>
    <x v="1"/>
    <s v="germany"/>
    <x v="5"/>
    <x v="1"/>
    <m/>
  </r>
  <r>
    <x v="299"/>
    <d v="2012-05-26T01:22:56"/>
    <n v="67000"/>
    <n v="67000"/>
    <s v="USD"/>
    <n v="67000"/>
    <x v="237"/>
    <x v="0"/>
    <s v="USA"/>
    <x v="2"/>
    <x v="0"/>
    <m/>
  </r>
  <r>
    <x v="300"/>
    <d v="2012-05-26T01:23:21"/>
    <n v="12000"/>
    <n v="12000"/>
    <s v="USD"/>
    <n v="12000"/>
    <x v="5"/>
    <x v="0"/>
    <s v="India"/>
    <x v="0"/>
    <x v="1"/>
    <m/>
  </r>
  <r>
    <x v="301"/>
    <d v="2012-05-26T01:23:43"/>
    <n v="85000"/>
    <n v="85000"/>
    <s v="USD"/>
    <n v="85000"/>
    <x v="238"/>
    <x v="1"/>
    <s v="USA"/>
    <x v="2"/>
    <x v="1"/>
    <m/>
  </r>
  <r>
    <x v="302"/>
    <d v="2012-05-26T01:23:50"/>
    <n v="200000"/>
    <n v="200000"/>
    <s v="EUR"/>
    <n v="254079.88779832155"/>
    <x v="239"/>
    <x v="7"/>
    <s v="The netherlands"/>
    <x v="18"/>
    <x v="1"/>
    <m/>
  </r>
  <r>
    <x v="303"/>
    <d v="2012-05-26T01:23:57"/>
    <n v="40000"/>
    <n v="40000"/>
    <s v="USD"/>
    <n v="40000"/>
    <x v="240"/>
    <x v="3"/>
    <s v="USA"/>
    <x v="2"/>
    <x v="0"/>
    <m/>
  </r>
  <r>
    <x v="304"/>
    <d v="2012-05-26T01:24:03"/>
    <s v="Â£20000/year but i work part time 30h/week"/>
    <n v="20000"/>
    <s v="GBP"/>
    <n v="31523.565441345683"/>
    <x v="241"/>
    <x v="2"/>
    <s v="UK"/>
    <x v="14"/>
    <x v="3"/>
    <m/>
  </r>
  <r>
    <x v="305"/>
    <d v="2012-05-26T01:25:05"/>
    <n v="41000"/>
    <n v="41000"/>
    <s v="USD"/>
    <n v="41000"/>
    <x v="242"/>
    <x v="0"/>
    <s v="USA"/>
    <x v="2"/>
    <x v="0"/>
    <m/>
  </r>
  <r>
    <x v="306"/>
    <d v="2012-05-26T01:25:06"/>
    <n v="1400000"/>
    <n v="1400000"/>
    <s v="INR"/>
    <n v="24931.083362419595"/>
    <x v="243"/>
    <x v="3"/>
    <s v="India"/>
    <x v="0"/>
    <x v="3"/>
    <m/>
  </r>
  <r>
    <x v="307"/>
    <d v="2012-05-26T01:25:30"/>
    <n v="125000"/>
    <n v="125000"/>
    <s v="USD"/>
    <n v="125000"/>
    <x v="244"/>
    <x v="3"/>
    <s v="USA"/>
    <x v="2"/>
    <x v="0"/>
    <m/>
  </r>
  <r>
    <x v="308"/>
    <d v="2012-05-26T01:26:26"/>
    <n v="60000"/>
    <n v="60000"/>
    <s v="CAD"/>
    <n v="59001.691381819612"/>
    <x v="245"/>
    <x v="0"/>
    <s v="Canada"/>
    <x v="17"/>
    <x v="1"/>
    <m/>
  </r>
  <r>
    <x v="309"/>
    <d v="2012-05-26T01:26:37"/>
    <s v="150000 MXN"/>
    <n v="150000"/>
    <s v="MXN"/>
    <n v="10956.982885192734"/>
    <x v="246"/>
    <x v="0"/>
    <s v="Mexico"/>
    <x v="25"/>
    <x v="1"/>
    <m/>
  </r>
  <r>
    <x v="310"/>
    <d v="2012-05-26T01:26:52"/>
    <n v="70000"/>
    <n v="70000"/>
    <s v="USD"/>
    <n v="70000"/>
    <x v="5"/>
    <x v="0"/>
    <s v="USA"/>
    <x v="2"/>
    <x v="2"/>
    <m/>
  </r>
  <r>
    <x v="311"/>
    <d v="2012-05-26T01:27:03"/>
    <n v="400000"/>
    <n v="400000"/>
    <s v="USD"/>
    <n v="400000"/>
    <x v="247"/>
    <x v="6"/>
    <s v="USA"/>
    <x v="2"/>
    <x v="1"/>
    <m/>
  </r>
  <r>
    <x v="312"/>
    <d v="2012-05-26T01:27:26"/>
    <n v="55"/>
    <n v="55000"/>
    <s v="USD"/>
    <n v="55000"/>
    <x v="12"/>
    <x v="0"/>
    <s v="USA"/>
    <x v="2"/>
    <x v="0"/>
    <m/>
  </r>
  <r>
    <x v="313"/>
    <d v="2012-05-26T01:27:29"/>
    <n v="60000"/>
    <n v="60000"/>
    <s v="USD"/>
    <n v="60000"/>
    <x v="248"/>
    <x v="0"/>
    <s v="USA"/>
    <x v="2"/>
    <x v="0"/>
    <m/>
  </r>
  <r>
    <x v="314"/>
    <d v="2012-05-26T01:27:44"/>
    <s v="INR 1000000"/>
    <n v="1000000"/>
    <s v="INR"/>
    <n v="17807.916687442568"/>
    <x v="20"/>
    <x v="3"/>
    <s v="India"/>
    <x v="0"/>
    <x v="0"/>
    <m/>
  </r>
  <r>
    <x v="315"/>
    <d v="2012-05-26T01:27:52"/>
    <n v="40000"/>
    <n v="40000"/>
    <s v="USD"/>
    <n v="40000"/>
    <x v="249"/>
    <x v="3"/>
    <s v="Hungary"/>
    <x v="9"/>
    <x v="0"/>
    <m/>
  </r>
  <r>
    <x v="316"/>
    <d v="2012-05-26T01:28:37"/>
    <n v="137500"/>
    <n v="137500"/>
    <s v="USD"/>
    <n v="137500"/>
    <x v="147"/>
    <x v="0"/>
    <s v="USA"/>
    <x v="2"/>
    <x v="0"/>
    <m/>
  </r>
  <r>
    <x v="317"/>
    <d v="2012-05-26T01:29:32"/>
    <s v="US$ 4.545"/>
    <n v="4545"/>
    <s v="USD"/>
    <n v="4545"/>
    <x v="250"/>
    <x v="0"/>
    <s v="Brasil"/>
    <x v="20"/>
    <x v="1"/>
    <m/>
  </r>
  <r>
    <x v="318"/>
    <d v="2012-05-26T01:29:37"/>
    <s v="Â£29000"/>
    <n v="29000"/>
    <s v="GBP"/>
    <n v="45709.169889951241"/>
    <x v="251"/>
    <x v="0"/>
    <s v="UK"/>
    <x v="14"/>
    <x v="0"/>
    <m/>
  </r>
  <r>
    <x v="319"/>
    <d v="2012-05-26T01:30:12"/>
    <n v="47000"/>
    <n v="47000"/>
    <s v="USD"/>
    <n v="47000"/>
    <x v="252"/>
    <x v="6"/>
    <s v="USA"/>
    <x v="2"/>
    <x v="0"/>
    <m/>
  </r>
  <r>
    <x v="320"/>
    <d v="2012-05-26T01:30:39"/>
    <n v="65000"/>
    <n v="65000"/>
    <s v="USD"/>
    <n v="65000"/>
    <x v="12"/>
    <x v="0"/>
    <s v="USA"/>
    <x v="2"/>
    <x v="1"/>
    <m/>
  </r>
  <r>
    <x v="321"/>
    <d v="2012-05-26T01:30:56"/>
    <s v="PhP 456,000"/>
    <n v="456000"/>
    <s v="PHP"/>
    <n v="10809.503829551191"/>
    <x v="253"/>
    <x v="7"/>
    <s v="Philippines"/>
    <x v="32"/>
    <x v="0"/>
    <m/>
  </r>
  <r>
    <x v="322"/>
    <d v="2012-05-26T01:31:26"/>
    <n v="92000"/>
    <n v="92000"/>
    <s v="USD"/>
    <n v="92000"/>
    <x v="254"/>
    <x v="3"/>
    <s v="USA"/>
    <x v="2"/>
    <x v="0"/>
    <m/>
  </r>
  <r>
    <x v="323"/>
    <d v="2012-05-26T01:31:42"/>
    <s v="22000 usd"/>
    <n v="22000"/>
    <s v="USD"/>
    <n v="22000"/>
    <x v="255"/>
    <x v="3"/>
    <s v="Mexico"/>
    <x v="25"/>
    <x v="0"/>
    <m/>
  </r>
  <r>
    <x v="324"/>
    <d v="2012-05-26T01:31:58"/>
    <n v="108000"/>
    <n v="108000"/>
    <s v="USD"/>
    <n v="108000"/>
    <x v="256"/>
    <x v="3"/>
    <s v="USA"/>
    <x v="2"/>
    <x v="2"/>
    <m/>
  </r>
  <r>
    <x v="325"/>
    <d v="2012-05-26T01:32:08"/>
    <n v="61000"/>
    <n v="61000"/>
    <s v="USD"/>
    <n v="61000"/>
    <x v="79"/>
    <x v="0"/>
    <s v="USA"/>
    <x v="2"/>
    <x v="3"/>
    <m/>
  </r>
  <r>
    <x v="326"/>
    <d v="2012-05-26T01:32:14"/>
    <s v="CAD 65000"/>
    <n v="65000"/>
    <s v="CAD"/>
    <n v="63918.498996971248"/>
    <x v="257"/>
    <x v="3"/>
    <s v="CANADA"/>
    <x v="17"/>
    <x v="2"/>
    <m/>
  </r>
  <r>
    <x v="327"/>
    <d v="2012-05-26T01:32:26"/>
    <n v="50000"/>
    <n v="50000"/>
    <s v="USD"/>
    <n v="50000"/>
    <x v="258"/>
    <x v="0"/>
    <s v="USA"/>
    <x v="2"/>
    <x v="1"/>
    <m/>
  </r>
  <r>
    <x v="328"/>
    <d v="2012-05-26T01:33:03"/>
    <n v="150000"/>
    <n v="150000"/>
    <s v="USD"/>
    <n v="150000"/>
    <x v="259"/>
    <x v="5"/>
    <s v="USA"/>
    <x v="2"/>
    <x v="1"/>
    <m/>
  </r>
  <r>
    <x v="329"/>
    <d v="2012-05-26T01:33:37"/>
    <s v="400000 INR"/>
    <n v="400000"/>
    <s v="INR"/>
    <n v="7123.1666749770275"/>
    <x v="260"/>
    <x v="0"/>
    <s v="India"/>
    <x v="0"/>
    <x v="0"/>
    <m/>
  </r>
  <r>
    <x v="330"/>
    <d v="2012-05-26T01:33:45"/>
    <n v="150000"/>
    <n v="150000"/>
    <s v="USD"/>
    <n v="150000"/>
    <x v="261"/>
    <x v="3"/>
    <s v="Israel"/>
    <x v="34"/>
    <x v="0"/>
    <m/>
  </r>
  <r>
    <x v="331"/>
    <d v="2012-05-26T01:34:56"/>
    <n v="45000"/>
    <n v="45000"/>
    <s v="USD"/>
    <n v="45000"/>
    <x v="262"/>
    <x v="6"/>
    <s v="USA"/>
    <x v="2"/>
    <x v="0"/>
    <m/>
  </r>
  <r>
    <x v="332"/>
    <d v="2012-05-26T01:35:02"/>
    <n v="135000"/>
    <n v="135000"/>
    <s v="USD"/>
    <n v="135000"/>
    <x v="263"/>
    <x v="3"/>
    <s v="USA"/>
    <x v="2"/>
    <x v="1"/>
    <m/>
  </r>
  <r>
    <x v="333"/>
    <d v="2012-05-26T01:35:18"/>
    <s v="30000 Rs"/>
    <n v="360000"/>
    <s v="INR"/>
    <n v="6410.8500074793246"/>
    <x v="264"/>
    <x v="0"/>
    <s v="India"/>
    <x v="0"/>
    <x v="2"/>
    <m/>
  </r>
  <r>
    <x v="334"/>
    <d v="2012-05-26T01:35:35"/>
    <n v="29000"/>
    <n v="29000"/>
    <s v="USD"/>
    <n v="29000"/>
    <x v="265"/>
    <x v="3"/>
    <s v="USA"/>
    <x v="2"/>
    <x v="0"/>
    <m/>
  </r>
  <r>
    <x v="335"/>
    <d v="2012-05-26T01:37:33"/>
    <n v="13000"/>
    <n v="13000"/>
    <s v="USD"/>
    <n v="13000"/>
    <x v="266"/>
    <x v="3"/>
    <s v="India"/>
    <x v="0"/>
    <x v="1"/>
    <m/>
  </r>
  <r>
    <x v="336"/>
    <d v="2012-05-26T01:38:06"/>
    <s v="63000 USD"/>
    <n v="63000"/>
    <s v="USD"/>
    <n v="63000"/>
    <x v="51"/>
    <x v="0"/>
    <s v="USA"/>
    <x v="2"/>
    <x v="1"/>
    <m/>
  </r>
  <r>
    <x v="337"/>
    <d v="2012-05-26T01:38:06"/>
    <n v="95000"/>
    <n v="95000"/>
    <s v="USD"/>
    <n v="95000"/>
    <x v="267"/>
    <x v="0"/>
    <s v="USA"/>
    <x v="2"/>
    <x v="0"/>
    <m/>
  </r>
  <r>
    <x v="338"/>
    <d v="2012-05-26T01:38:51"/>
    <s v="100,000 US$ equiv"/>
    <n v="100000"/>
    <s v="USD"/>
    <n v="100000"/>
    <x v="268"/>
    <x v="0"/>
    <s v="UK"/>
    <x v="14"/>
    <x v="0"/>
    <m/>
  </r>
  <r>
    <x v="339"/>
    <d v="2012-05-26T01:39:37"/>
    <s v="3.8 k"/>
    <n v="3800"/>
    <s v="USD"/>
    <n v="3800"/>
    <x v="269"/>
    <x v="7"/>
    <s v="India"/>
    <x v="0"/>
    <x v="0"/>
    <m/>
  </r>
  <r>
    <x v="340"/>
    <d v="2012-05-26T01:40:05"/>
    <n v="950"/>
    <n v="11400"/>
    <s v="USD"/>
    <n v="11400"/>
    <x v="270"/>
    <x v="8"/>
    <s v="Brazil"/>
    <x v="20"/>
    <x v="0"/>
    <m/>
  </r>
  <r>
    <x v="341"/>
    <d v="2012-05-26T01:40:18"/>
    <n v="56000"/>
    <n v="56000"/>
    <s v="CAD"/>
    <n v="55068.245289698301"/>
    <x v="271"/>
    <x v="0"/>
    <s v="Canada"/>
    <x v="17"/>
    <x v="0"/>
    <m/>
  </r>
  <r>
    <x v="342"/>
    <d v="2012-05-26T01:40:28"/>
    <n v="53000"/>
    <n v="53000"/>
    <s v="USD"/>
    <n v="53000"/>
    <x v="272"/>
    <x v="3"/>
    <s v="USA"/>
    <x v="2"/>
    <x v="2"/>
    <m/>
  </r>
  <r>
    <x v="343"/>
    <d v="2012-05-26T01:40:51"/>
    <n v="130000"/>
    <n v="130000"/>
    <s v="USD"/>
    <n v="130000"/>
    <x v="273"/>
    <x v="2"/>
    <s v="USA"/>
    <x v="2"/>
    <x v="0"/>
    <m/>
  </r>
  <r>
    <x v="344"/>
    <d v="2012-05-26T01:41:32"/>
    <s v="3,70,000"/>
    <n v="370000"/>
    <s v="INR"/>
    <n v="6588.9291743537506"/>
    <x v="274"/>
    <x v="0"/>
    <s v="India"/>
    <x v="0"/>
    <x v="1"/>
    <m/>
  </r>
  <r>
    <x v="345"/>
    <d v="2012-05-26T01:41:53"/>
    <n v="160000"/>
    <n v="160000"/>
    <s v="CAD"/>
    <n v="157337.8436848523"/>
    <x v="35"/>
    <x v="8"/>
    <s v="Canada"/>
    <x v="17"/>
    <x v="2"/>
    <m/>
  </r>
  <r>
    <x v="346"/>
    <d v="2012-05-26T01:41:54"/>
    <n v="44200"/>
    <n v="44200"/>
    <s v="USD"/>
    <n v="44200"/>
    <x v="275"/>
    <x v="0"/>
    <s v="USA"/>
    <x v="2"/>
    <x v="1"/>
    <m/>
  </r>
  <r>
    <x v="347"/>
    <d v="2012-05-26T01:42:07"/>
    <n v="56000"/>
    <n v="56000"/>
    <s v="USD"/>
    <n v="56000"/>
    <x v="276"/>
    <x v="3"/>
    <s v="USA"/>
    <x v="2"/>
    <x v="2"/>
    <m/>
  </r>
  <r>
    <x v="348"/>
    <d v="2012-05-26T01:42:27"/>
    <n v="72500"/>
    <n v="72500"/>
    <s v="USD"/>
    <n v="72500"/>
    <x v="277"/>
    <x v="2"/>
    <s v="USA"/>
    <x v="2"/>
    <x v="2"/>
    <m/>
  </r>
  <r>
    <x v="349"/>
    <d v="2012-05-26T01:42:31"/>
    <n v="75000"/>
    <n v="75000"/>
    <s v="CAD"/>
    <n v="73752.11422727452"/>
    <x v="278"/>
    <x v="0"/>
    <s v="canada"/>
    <x v="17"/>
    <x v="0"/>
    <m/>
  </r>
  <r>
    <x v="350"/>
    <d v="2012-05-26T01:42:53"/>
    <s v="170000 usd"/>
    <n v="170000"/>
    <s v="USD"/>
    <n v="170000"/>
    <x v="279"/>
    <x v="0"/>
    <s v="UK"/>
    <x v="14"/>
    <x v="4"/>
    <m/>
  </r>
  <r>
    <x v="351"/>
    <d v="2012-05-26T01:43:48"/>
    <n v="68000"/>
    <n v="68000"/>
    <s v="USD"/>
    <n v="68000"/>
    <x v="89"/>
    <x v="3"/>
    <s v="USA"/>
    <x v="2"/>
    <x v="2"/>
    <m/>
  </r>
  <r>
    <x v="352"/>
    <d v="2012-05-26T01:44:59"/>
    <n v="75000"/>
    <n v="75000"/>
    <s v="USD"/>
    <n v="75000"/>
    <x v="168"/>
    <x v="0"/>
    <s v="USA"/>
    <x v="2"/>
    <x v="1"/>
    <m/>
  </r>
  <r>
    <x v="353"/>
    <d v="2012-05-26T01:45:50"/>
    <s v="62500.00 USD"/>
    <n v="62500"/>
    <s v="USD"/>
    <n v="62500"/>
    <x v="280"/>
    <x v="4"/>
    <s v="USA"/>
    <x v="2"/>
    <x v="1"/>
    <m/>
  </r>
  <r>
    <x v="354"/>
    <d v="2012-05-26T01:45:58"/>
    <n v="25000"/>
    <n v="25000"/>
    <s v="USD"/>
    <n v="25000"/>
    <x v="20"/>
    <x v="3"/>
    <s v="India"/>
    <x v="0"/>
    <x v="0"/>
    <m/>
  </r>
  <r>
    <x v="355"/>
    <d v="2012-05-26T01:46:24"/>
    <s v="480 000 SEK / 70000 US$"/>
    <n v="480000"/>
    <s v="SEK"/>
    <n v="68954.520184280962"/>
    <x v="281"/>
    <x v="8"/>
    <s v="Sweden"/>
    <x v="35"/>
    <x v="3"/>
    <m/>
  </r>
  <r>
    <x v="356"/>
    <d v="2012-05-26T01:49:19"/>
    <n v="85000"/>
    <n v="85000"/>
    <s v="USD"/>
    <n v="85000"/>
    <x v="168"/>
    <x v="0"/>
    <s v="USA"/>
    <x v="2"/>
    <x v="0"/>
    <m/>
  </r>
  <r>
    <x v="357"/>
    <d v="2012-05-26T01:49:55"/>
    <n v="43000"/>
    <n v="43000"/>
    <s v="GBP"/>
    <n v="67775.665698893223"/>
    <x v="282"/>
    <x v="3"/>
    <s v="UK"/>
    <x v="14"/>
    <x v="0"/>
    <m/>
  </r>
  <r>
    <x v="358"/>
    <d v="2012-05-26T01:49:56"/>
    <n v="89000"/>
    <n v="89000"/>
    <s v="USD"/>
    <n v="89000"/>
    <x v="283"/>
    <x v="3"/>
    <s v="USA"/>
    <x v="2"/>
    <x v="0"/>
    <m/>
  </r>
  <r>
    <x v="359"/>
    <d v="2012-05-26T01:50:00"/>
    <n v="35000"/>
    <n v="35000"/>
    <s v="USD"/>
    <n v="35000"/>
    <x v="284"/>
    <x v="0"/>
    <s v="Brasil"/>
    <x v="20"/>
    <x v="1"/>
    <m/>
  </r>
  <r>
    <x v="360"/>
    <d v="2012-05-26T01:50:28"/>
    <n v="47500"/>
    <n v="47500"/>
    <s v="USD"/>
    <n v="47500"/>
    <x v="285"/>
    <x v="3"/>
    <s v="USA"/>
    <x v="2"/>
    <x v="1"/>
    <m/>
  </r>
  <r>
    <x v="361"/>
    <d v="2012-05-26T01:50:30"/>
    <n v="130000"/>
    <n v="130000"/>
    <s v="USD"/>
    <n v="130000"/>
    <x v="89"/>
    <x v="3"/>
    <s v="USA"/>
    <x v="2"/>
    <x v="2"/>
    <m/>
  </r>
  <r>
    <x v="362"/>
    <d v="2012-05-26T01:50:56"/>
    <n v="18000"/>
    <n v="18000"/>
    <s v="USD"/>
    <n v="18000"/>
    <x v="286"/>
    <x v="4"/>
    <s v="India"/>
    <x v="0"/>
    <x v="2"/>
    <m/>
  </r>
  <r>
    <x v="363"/>
    <d v="2012-05-26T01:50:59"/>
    <s v="480000 Rs."/>
    <n v="480000"/>
    <s v="INR"/>
    <n v="8547.8000099724322"/>
    <x v="287"/>
    <x v="3"/>
    <s v="India"/>
    <x v="0"/>
    <x v="3"/>
    <m/>
  </r>
  <r>
    <x v="364"/>
    <d v="2012-05-26T01:51:24"/>
    <n v="41932"/>
    <n v="41932"/>
    <s v="USD"/>
    <n v="41932"/>
    <x v="169"/>
    <x v="3"/>
    <s v="USA"/>
    <x v="2"/>
    <x v="2"/>
    <m/>
  </r>
  <r>
    <x v="365"/>
    <d v="2012-05-26T01:52:01"/>
    <s v="2207,00"/>
    <n v="220700"/>
    <s v="USD"/>
    <n v="220700"/>
    <x v="35"/>
    <x v="8"/>
    <s v="Brazil"/>
    <x v="20"/>
    <x v="1"/>
    <m/>
  </r>
  <r>
    <x v="366"/>
    <d v="2012-05-26T01:52:04"/>
    <n v="194000"/>
    <n v="194000"/>
    <s v="USD"/>
    <n v="194000"/>
    <x v="69"/>
    <x v="4"/>
    <s v="USA"/>
    <x v="2"/>
    <x v="2"/>
    <m/>
  </r>
  <r>
    <x v="367"/>
    <d v="2012-05-26T01:54:28"/>
    <n v="9000000"/>
    <n v="9000000"/>
    <s v="INR"/>
    <n v="160271.25018698312"/>
    <x v="2"/>
    <x v="0"/>
    <s v="India"/>
    <x v="0"/>
    <x v="0"/>
    <m/>
  </r>
  <r>
    <x v="368"/>
    <d v="2012-05-26T01:54:47"/>
    <s v="Rs. 500000"/>
    <n v="500000"/>
    <s v="INR"/>
    <n v="8903.9583437212841"/>
    <x v="288"/>
    <x v="3"/>
    <s v="India"/>
    <x v="0"/>
    <x v="2"/>
    <m/>
  </r>
  <r>
    <x v="369"/>
    <d v="2012-05-26T01:57:23"/>
    <n v="80000"/>
    <n v="80000"/>
    <s v="CAD"/>
    <n v="78668.921842426149"/>
    <x v="289"/>
    <x v="0"/>
    <s v="Canada"/>
    <x v="17"/>
    <x v="0"/>
    <m/>
  </r>
  <r>
    <x v="370"/>
    <d v="2012-05-26T01:57:40"/>
    <n v="1500"/>
    <n v="18000"/>
    <s v="EUR"/>
    <n v="22867.189901848938"/>
    <x v="290"/>
    <x v="3"/>
    <s v="Portugal"/>
    <x v="7"/>
    <x v="2"/>
    <m/>
  </r>
  <r>
    <x v="371"/>
    <d v="2012-05-26T01:58:19"/>
    <s v="Â£60000"/>
    <n v="60000"/>
    <s v="GBP"/>
    <n v="94570.696324037053"/>
    <x v="291"/>
    <x v="4"/>
    <s v="UK"/>
    <x v="14"/>
    <x v="2"/>
    <m/>
  </r>
  <r>
    <x v="372"/>
    <d v="2012-05-26T01:58:42"/>
    <n v="95000"/>
    <n v="95000"/>
    <s v="USD"/>
    <n v="95000"/>
    <x v="267"/>
    <x v="0"/>
    <s v="USA"/>
    <x v="2"/>
    <x v="1"/>
    <m/>
  </r>
  <r>
    <x v="373"/>
    <d v="2012-05-26T01:59:21"/>
    <s v="INR 5,40,000"/>
    <n v="540000"/>
    <s v="INR"/>
    <n v="9616.275011218986"/>
    <x v="292"/>
    <x v="2"/>
    <s v="India"/>
    <x v="0"/>
    <x v="0"/>
    <m/>
  </r>
  <r>
    <x v="374"/>
    <d v="2012-05-26T01:59:40"/>
    <n v="48000"/>
    <n v="48000"/>
    <s v="USD"/>
    <n v="48000"/>
    <x v="293"/>
    <x v="0"/>
    <s v="USA"/>
    <x v="2"/>
    <x v="3"/>
    <m/>
  </r>
  <r>
    <x v="375"/>
    <d v="2012-05-26T01:59:45"/>
    <s v="46000 usd"/>
    <n v="46000"/>
    <s v="USD"/>
    <n v="46000"/>
    <x v="2"/>
    <x v="0"/>
    <s v="USA"/>
    <x v="2"/>
    <x v="0"/>
    <m/>
  </r>
  <r>
    <x v="376"/>
    <d v="2012-05-26T01:59:48"/>
    <n v="15000"/>
    <n v="15000"/>
    <s v="USD"/>
    <n v="15000"/>
    <x v="294"/>
    <x v="7"/>
    <s v="Ukraine"/>
    <x v="6"/>
    <x v="2"/>
    <m/>
  </r>
  <r>
    <x v="377"/>
    <d v="2012-05-26T02:00:04"/>
    <s v="Rs 6.2 lakhs"/>
    <n v="620000"/>
    <s v="INR"/>
    <n v="11040.908346214392"/>
    <x v="295"/>
    <x v="3"/>
    <s v="India"/>
    <x v="0"/>
    <x v="3"/>
    <m/>
  </r>
  <r>
    <x v="378"/>
    <d v="2012-05-26T02:00:10"/>
    <s v="Â£28000"/>
    <n v="28000"/>
    <s v="GBP"/>
    <n v="44132.991617883956"/>
    <x v="296"/>
    <x v="3"/>
    <s v="UK"/>
    <x v="14"/>
    <x v="2"/>
    <m/>
  </r>
  <r>
    <x v="379"/>
    <d v="2012-05-26T02:00:14"/>
    <n v="47000"/>
    <n v="47000"/>
    <s v="USD"/>
    <n v="47000"/>
    <x v="297"/>
    <x v="3"/>
    <s v="USA"/>
    <x v="2"/>
    <x v="2"/>
    <m/>
  </r>
  <r>
    <x v="380"/>
    <d v="2012-05-26T02:00:42"/>
    <n v="44000"/>
    <n v="44000"/>
    <s v="USD"/>
    <n v="44000"/>
    <x v="298"/>
    <x v="0"/>
    <s v="USA"/>
    <x v="2"/>
    <x v="2"/>
    <m/>
  </r>
  <r>
    <x v="381"/>
    <d v="2012-05-26T02:00:46"/>
    <n v="55000"/>
    <n v="55000"/>
    <s v="USD"/>
    <n v="55000"/>
    <x v="189"/>
    <x v="5"/>
    <s v="USA"/>
    <x v="2"/>
    <x v="0"/>
    <m/>
  </r>
  <r>
    <x v="382"/>
    <d v="2012-05-26T02:00:54"/>
    <n v="12000"/>
    <n v="12000"/>
    <s v="USD"/>
    <n v="12000"/>
    <x v="299"/>
    <x v="7"/>
    <s v="South Africa"/>
    <x v="11"/>
    <x v="0"/>
    <m/>
  </r>
  <r>
    <x v="383"/>
    <d v="2012-05-26T02:01:07"/>
    <n v="50000"/>
    <n v="50000"/>
    <s v="USD"/>
    <n v="50000"/>
    <x v="300"/>
    <x v="3"/>
    <s v="USA"/>
    <x v="2"/>
    <x v="2"/>
    <m/>
  </r>
  <r>
    <x v="384"/>
    <d v="2012-05-26T02:01:31"/>
    <s v="7,50,000 INR"/>
    <n v="750000"/>
    <s v="INR"/>
    <n v="13355.937515581925"/>
    <x v="12"/>
    <x v="0"/>
    <s v="India"/>
    <x v="0"/>
    <x v="3"/>
    <m/>
  </r>
  <r>
    <x v="385"/>
    <d v="2012-05-26T02:02:02"/>
    <s v="99147 $"/>
    <n v="99147"/>
    <s v="USD"/>
    <n v="99147"/>
    <x v="301"/>
    <x v="6"/>
    <s v="Russia"/>
    <x v="13"/>
    <x v="0"/>
    <m/>
  </r>
  <r>
    <x v="386"/>
    <d v="2012-05-26T02:03:35"/>
    <n v="45880"/>
    <n v="45880"/>
    <s v="USD"/>
    <n v="45880"/>
    <x v="302"/>
    <x v="3"/>
    <s v="USA"/>
    <x v="2"/>
    <x v="1"/>
    <m/>
  </r>
  <r>
    <x v="387"/>
    <d v="2012-05-26T02:03:45"/>
    <n v="70000"/>
    <n v="70000"/>
    <s v="USD"/>
    <n v="70000"/>
    <x v="303"/>
    <x v="3"/>
    <s v="USA"/>
    <x v="2"/>
    <x v="0"/>
    <m/>
  </r>
  <r>
    <x v="388"/>
    <d v="2012-05-26T02:04:01"/>
    <n v="100000"/>
    <n v="100000"/>
    <s v="USD"/>
    <n v="100000"/>
    <x v="304"/>
    <x v="0"/>
    <s v="USA"/>
    <x v="2"/>
    <x v="1"/>
    <m/>
  </r>
  <r>
    <x v="389"/>
    <d v="2012-05-26T02:04:05"/>
    <s v="120000 BDT"/>
    <n v="1440000"/>
    <s v="BDT"/>
    <n v="17598.017290051986"/>
    <x v="305"/>
    <x v="0"/>
    <s v="Bangladesh"/>
    <x v="36"/>
    <x v="2"/>
    <m/>
  </r>
  <r>
    <x v="390"/>
    <d v="2012-05-26T02:05:06"/>
    <n v="85000"/>
    <n v="85000"/>
    <s v="USD"/>
    <n v="85000"/>
    <x v="306"/>
    <x v="2"/>
    <s v="USA"/>
    <x v="2"/>
    <x v="2"/>
    <m/>
  </r>
  <r>
    <x v="391"/>
    <d v="2012-05-26T02:05:49"/>
    <n v="47000"/>
    <n v="47000"/>
    <s v="USD"/>
    <n v="47000"/>
    <x v="307"/>
    <x v="3"/>
    <s v="USA"/>
    <x v="2"/>
    <x v="0"/>
    <m/>
  </r>
  <r>
    <x v="392"/>
    <d v="2012-05-26T02:05:58"/>
    <n v="40000"/>
    <n v="40000"/>
    <s v="USD"/>
    <n v="40000"/>
    <x v="308"/>
    <x v="3"/>
    <s v="USA"/>
    <x v="2"/>
    <x v="2"/>
    <m/>
  </r>
  <r>
    <x v="393"/>
    <d v="2012-05-26T02:06:38"/>
    <n v="30000"/>
    <n v="30000"/>
    <s v="USD"/>
    <n v="30000"/>
    <x v="286"/>
    <x v="4"/>
    <s v="India"/>
    <x v="0"/>
    <x v="2"/>
    <m/>
  </r>
  <r>
    <x v="394"/>
    <d v="2012-05-26T02:06:56"/>
    <n v="72000"/>
    <n v="72000"/>
    <s v="CAD"/>
    <n v="70802.029658183528"/>
    <x v="236"/>
    <x v="1"/>
    <s v="Canada"/>
    <x v="17"/>
    <x v="0"/>
    <m/>
  </r>
  <r>
    <x v="395"/>
    <d v="2012-05-26T02:07:28"/>
    <n v="34000"/>
    <n v="34000"/>
    <s v="USD"/>
    <n v="34000"/>
    <x v="309"/>
    <x v="0"/>
    <s v="USA"/>
    <x v="2"/>
    <x v="0"/>
    <m/>
  </r>
  <r>
    <x v="396"/>
    <d v="2012-05-26T02:07:49"/>
    <n v="52000"/>
    <n v="52000"/>
    <s v="USD"/>
    <n v="52000"/>
    <x v="79"/>
    <x v="0"/>
    <s v="USA"/>
    <x v="2"/>
    <x v="0"/>
    <m/>
  </r>
  <r>
    <x v="397"/>
    <d v="2012-05-26T02:08:10"/>
    <n v="300000"/>
    <n v="300000"/>
    <s v="INR"/>
    <n v="5342.3750062327708"/>
    <x v="310"/>
    <x v="2"/>
    <s v="India"/>
    <x v="0"/>
    <x v="3"/>
    <m/>
  </r>
  <r>
    <x v="398"/>
    <d v="2012-05-26T02:09:57"/>
    <n v="400000"/>
    <n v="400000"/>
    <s v="INR"/>
    <n v="7123.1666749770275"/>
    <x v="5"/>
    <x v="0"/>
    <s v="India"/>
    <x v="0"/>
    <x v="0"/>
    <m/>
  </r>
  <r>
    <x v="399"/>
    <d v="2012-05-26T02:10:35"/>
    <n v="63586.95"/>
    <n v="63586"/>
    <s v="USD"/>
    <n v="63586"/>
    <x v="311"/>
    <x v="3"/>
    <s v="United Arab Emriate"/>
    <x v="21"/>
    <x v="2"/>
    <m/>
  </r>
  <r>
    <x v="400"/>
    <d v="2012-05-26T02:11:40"/>
    <s v="Â£35000"/>
    <n v="35000"/>
    <s v="GBP"/>
    <n v="55166.239522354947"/>
    <x v="312"/>
    <x v="5"/>
    <s v="UK"/>
    <x v="14"/>
    <x v="0"/>
    <m/>
  </r>
  <r>
    <x v="401"/>
    <d v="2012-05-26T02:12:58"/>
    <n v="60000"/>
    <n v="60000"/>
    <s v="USD"/>
    <n v="60000"/>
    <x v="313"/>
    <x v="0"/>
    <s v="USA"/>
    <x v="2"/>
    <x v="0"/>
    <m/>
  </r>
  <r>
    <x v="402"/>
    <d v="2012-05-26T02:13:57"/>
    <n v="19200"/>
    <n v="19200"/>
    <s v="USD"/>
    <n v="19200"/>
    <x v="314"/>
    <x v="3"/>
    <s v="Romania"/>
    <x v="37"/>
    <x v="1"/>
    <m/>
  </r>
  <r>
    <x v="403"/>
    <d v="2012-05-26T02:14:05"/>
    <s v="Â¢ 14.000.000,00"/>
    <n v="14000000"/>
    <s v="COSTARICAN"/>
    <n v="28109.627547434993"/>
    <x v="315"/>
    <x v="0"/>
    <s v="Costa Rica"/>
    <x v="38"/>
    <x v="1"/>
    <m/>
  </r>
  <r>
    <x v="404"/>
    <d v="2012-05-26T02:14:29"/>
    <n v="56000"/>
    <n v="56000"/>
    <s v="USD"/>
    <n v="56000"/>
    <x v="316"/>
    <x v="0"/>
    <s v="USA"/>
    <x v="2"/>
    <x v="0"/>
    <m/>
  </r>
  <r>
    <x v="405"/>
    <d v="2012-05-26T02:14:48"/>
    <n v="52000"/>
    <n v="52000"/>
    <s v="USD"/>
    <n v="52000"/>
    <x v="317"/>
    <x v="5"/>
    <s v="USA"/>
    <x v="2"/>
    <x v="0"/>
    <m/>
  </r>
  <r>
    <x v="406"/>
    <d v="2012-05-26T02:15:19"/>
    <n v="51613"/>
    <n v="51613"/>
    <s v="USD"/>
    <n v="51613"/>
    <x v="318"/>
    <x v="0"/>
    <s v="USA"/>
    <x v="2"/>
    <x v="1"/>
    <m/>
  </r>
  <r>
    <x v="407"/>
    <d v="2012-05-26T02:17:01"/>
    <n v="35000"/>
    <n v="35000"/>
    <s v="USD"/>
    <n v="35000"/>
    <x v="319"/>
    <x v="0"/>
    <s v="Russia"/>
    <x v="13"/>
    <x v="0"/>
    <m/>
  </r>
  <r>
    <x v="408"/>
    <d v="2012-05-26T02:17:18"/>
    <n v="56000"/>
    <n v="56000"/>
    <s v="USD"/>
    <n v="56000"/>
    <x v="320"/>
    <x v="3"/>
    <s v="USA"/>
    <x v="2"/>
    <x v="1"/>
    <m/>
  </r>
  <r>
    <x v="409"/>
    <d v="2012-05-26T02:17:38"/>
    <s v="US$115000"/>
    <n v="115000"/>
    <s v="USD"/>
    <n v="115000"/>
    <x v="35"/>
    <x v="8"/>
    <s v="USA"/>
    <x v="2"/>
    <x v="2"/>
    <m/>
  </r>
  <r>
    <x v="410"/>
    <d v="2012-05-26T02:18:03"/>
    <s v="Â£66000"/>
    <n v="66000"/>
    <s v="GBP"/>
    <n v="104027.76595644075"/>
    <x v="321"/>
    <x v="3"/>
    <s v="UK"/>
    <x v="14"/>
    <x v="3"/>
    <m/>
  </r>
  <r>
    <x v="411"/>
    <d v="2012-05-26T02:19:12"/>
    <s v="INR 200000"/>
    <n v="200000"/>
    <s v="INR"/>
    <n v="3561.5833374885137"/>
    <x v="35"/>
    <x v="8"/>
    <s v="India"/>
    <x v="0"/>
    <x v="3"/>
    <m/>
  </r>
  <r>
    <x v="412"/>
    <d v="2012-05-26T02:19:48"/>
    <n v="72000"/>
    <n v="72000"/>
    <s v="USD"/>
    <n v="72000"/>
    <x v="322"/>
    <x v="4"/>
    <s v="USA"/>
    <x v="2"/>
    <x v="0"/>
    <m/>
  </r>
  <r>
    <x v="413"/>
    <d v="2012-05-26T02:19:52"/>
    <n v="90000"/>
    <n v="90000"/>
    <s v="USD"/>
    <n v="90000"/>
    <x v="2"/>
    <x v="0"/>
    <s v="USA"/>
    <x v="2"/>
    <x v="1"/>
    <m/>
  </r>
  <r>
    <x v="414"/>
    <d v="2012-05-26T02:20:15"/>
    <s v="8500 USD"/>
    <n v="8500"/>
    <s v="USD"/>
    <n v="8500"/>
    <x v="93"/>
    <x v="5"/>
    <s v="Romania"/>
    <x v="37"/>
    <x v="2"/>
    <m/>
  </r>
  <r>
    <x v="415"/>
    <d v="2012-05-26T02:20:22"/>
    <n v="12000"/>
    <n v="12000"/>
    <s v="USD"/>
    <n v="12000"/>
    <x v="323"/>
    <x v="0"/>
    <s v="iran"/>
    <x v="39"/>
    <x v="2"/>
    <m/>
  </r>
  <r>
    <x v="416"/>
    <d v="2012-05-26T02:22:17"/>
    <s v="250000 to 270000"/>
    <n v="250000"/>
    <s v="USD"/>
    <n v="250000"/>
    <x v="35"/>
    <x v="8"/>
    <s v="USA"/>
    <x v="2"/>
    <x v="1"/>
    <m/>
  </r>
  <r>
    <x v="417"/>
    <d v="2012-05-26T02:24:24"/>
    <n v="5900"/>
    <n v="70800"/>
    <s v="EUR"/>
    <n v="89944.280280605832"/>
    <x v="324"/>
    <x v="0"/>
    <s v="Finland"/>
    <x v="40"/>
    <x v="1"/>
    <m/>
  </r>
  <r>
    <x v="418"/>
    <d v="2012-05-26T02:25:10"/>
    <s v="20000 RS"/>
    <n v="240000"/>
    <s v="INR"/>
    <n v="4273.9000049862161"/>
    <x v="325"/>
    <x v="3"/>
    <s v="India"/>
    <x v="0"/>
    <x v="1"/>
    <m/>
  </r>
  <r>
    <x v="419"/>
    <d v="2012-05-26T02:27:50"/>
    <s v="US $30,000.00 "/>
    <n v="30000"/>
    <s v="USD"/>
    <n v="30000"/>
    <x v="326"/>
    <x v="3"/>
    <s v="USA"/>
    <x v="2"/>
    <x v="2"/>
    <m/>
  </r>
  <r>
    <x v="420"/>
    <d v="2012-05-26T02:29:37"/>
    <s v="30000 $"/>
    <n v="30000"/>
    <s v="USD"/>
    <n v="30000"/>
    <x v="327"/>
    <x v="7"/>
    <s v="Romania"/>
    <x v="37"/>
    <x v="3"/>
    <m/>
  </r>
  <r>
    <x v="421"/>
    <d v="2012-05-26T02:31:24"/>
    <n v="24"/>
    <n v="24000"/>
    <s v="USD"/>
    <n v="24000"/>
    <x v="306"/>
    <x v="2"/>
    <s v="USA"/>
    <x v="2"/>
    <x v="3"/>
    <m/>
  </r>
  <r>
    <x v="422"/>
    <d v="2012-05-26T02:33:00"/>
    <n v="60000"/>
    <n v="60000"/>
    <s v="USD"/>
    <n v="60000"/>
    <x v="328"/>
    <x v="3"/>
    <s v="USA"/>
    <x v="2"/>
    <x v="0"/>
    <m/>
  </r>
  <r>
    <x v="423"/>
    <d v="2012-05-26T02:33:06"/>
    <n v="76600"/>
    <n v="76600"/>
    <s v="USD"/>
    <n v="76600"/>
    <x v="5"/>
    <x v="0"/>
    <s v="USA"/>
    <x v="2"/>
    <x v="2"/>
    <m/>
  </r>
  <r>
    <x v="424"/>
    <d v="2012-05-26T02:33:10"/>
    <s v="Â£65000"/>
    <n v="65000"/>
    <s v="GBP"/>
    <n v="102451.58768437347"/>
    <x v="96"/>
    <x v="1"/>
    <s v="UK"/>
    <x v="14"/>
    <x v="2"/>
    <m/>
  </r>
  <r>
    <x v="425"/>
    <d v="2012-05-26T02:34:00"/>
    <s v="US $6,629.00"/>
    <n v="6629"/>
    <s v="USD"/>
    <n v="6629"/>
    <x v="306"/>
    <x v="2"/>
    <s v="Dominican Republic"/>
    <x v="41"/>
    <x v="1"/>
    <m/>
  </r>
  <r>
    <x v="426"/>
    <d v="2012-05-26T02:34:37"/>
    <n v="90000"/>
    <n v="90000"/>
    <s v="USD"/>
    <n v="90000"/>
    <x v="49"/>
    <x v="0"/>
    <s v="USA"/>
    <x v="2"/>
    <x v="3"/>
    <m/>
  </r>
  <r>
    <x v="427"/>
    <d v="2012-05-26T02:35:10"/>
    <n v="8500"/>
    <n v="8500"/>
    <s v="USD"/>
    <n v="8500"/>
    <x v="329"/>
    <x v="0"/>
    <s v="Colombia"/>
    <x v="27"/>
    <x v="3"/>
    <m/>
  </r>
  <r>
    <x v="428"/>
    <d v="2012-05-26T02:35:11"/>
    <n v="75000"/>
    <n v="75000"/>
    <s v="USD"/>
    <n v="75000"/>
    <x v="330"/>
    <x v="0"/>
    <s v="USA"/>
    <x v="2"/>
    <x v="0"/>
    <m/>
  </r>
  <r>
    <x v="429"/>
    <d v="2012-05-26T02:37:50"/>
    <n v="72000"/>
    <n v="72000"/>
    <s v="USD"/>
    <n v="72000"/>
    <x v="331"/>
    <x v="0"/>
    <s v="USA"/>
    <x v="2"/>
    <x v="2"/>
    <m/>
  </r>
  <r>
    <x v="430"/>
    <d v="2012-05-26T02:38:34"/>
    <n v="65000"/>
    <n v="65000"/>
    <s v="USD"/>
    <n v="65000"/>
    <x v="332"/>
    <x v="0"/>
    <s v="USA"/>
    <x v="2"/>
    <x v="0"/>
    <m/>
  </r>
  <r>
    <x v="431"/>
    <d v="2012-05-26T02:39:56"/>
    <n v="120000"/>
    <n v="120000"/>
    <s v="USD"/>
    <n v="120000"/>
    <x v="69"/>
    <x v="4"/>
    <s v="USA"/>
    <x v="2"/>
    <x v="3"/>
    <m/>
  </r>
  <r>
    <x v="432"/>
    <d v="2012-05-26T02:40:39"/>
    <s v="INR 40L"/>
    <n v="4000000"/>
    <s v="INR"/>
    <n v="71231.666749770273"/>
    <x v="333"/>
    <x v="5"/>
    <s v="India"/>
    <x v="0"/>
    <x v="1"/>
    <m/>
  </r>
  <r>
    <x v="433"/>
    <d v="2012-05-26T02:42:20"/>
    <s v="Rs. 300000"/>
    <n v="300000"/>
    <s v="INR"/>
    <n v="5342.3750062327708"/>
    <x v="334"/>
    <x v="3"/>
    <s v="India"/>
    <x v="0"/>
    <x v="0"/>
    <m/>
  </r>
  <r>
    <x v="434"/>
    <d v="2012-05-26T02:43:21"/>
    <n v="1100000"/>
    <n v="1100000"/>
    <s v="INR"/>
    <n v="19588.708356186824"/>
    <x v="335"/>
    <x v="3"/>
    <s v="India"/>
    <x v="0"/>
    <x v="0"/>
    <m/>
  </r>
  <r>
    <x v="435"/>
    <d v="2012-05-26T02:46:18"/>
    <n v="80000"/>
    <n v="80000"/>
    <s v="USD"/>
    <n v="80000"/>
    <x v="336"/>
    <x v="0"/>
    <s v="USA"/>
    <x v="2"/>
    <x v="0"/>
    <m/>
  </r>
  <r>
    <x v="436"/>
    <d v="2012-05-26T02:46:56"/>
    <s v="INR 30,00,000"/>
    <n v="3000000"/>
    <s v="INR"/>
    <n v="53423.750062327701"/>
    <x v="337"/>
    <x v="3"/>
    <s v="India"/>
    <x v="0"/>
    <x v="0"/>
    <m/>
  </r>
  <r>
    <x v="437"/>
    <d v="2012-05-26T02:48:32"/>
    <n v="110000"/>
    <n v="110000"/>
    <s v="CAD"/>
    <n v="108169.76753333595"/>
    <x v="338"/>
    <x v="1"/>
    <s v="Canad"/>
    <x v="17"/>
    <x v="2"/>
    <m/>
  </r>
  <r>
    <x v="438"/>
    <d v="2012-05-26T02:49:24"/>
    <n v="51000"/>
    <n v="51000"/>
    <s v="USD"/>
    <n v="51000"/>
    <x v="339"/>
    <x v="3"/>
    <s v="USA"/>
    <x v="2"/>
    <x v="2"/>
    <m/>
  </r>
  <r>
    <x v="439"/>
    <d v="2012-05-26T02:50:16"/>
    <s v="5000 $"/>
    <n v="5000"/>
    <s v="USD"/>
    <n v="5000"/>
    <x v="223"/>
    <x v="7"/>
    <s v="India"/>
    <x v="0"/>
    <x v="0"/>
    <m/>
  </r>
  <r>
    <x v="440"/>
    <d v="2012-05-26T02:53:29"/>
    <n v="74000"/>
    <n v="74000"/>
    <s v="USD"/>
    <n v="74000"/>
    <x v="306"/>
    <x v="2"/>
    <s v="USA"/>
    <x v="2"/>
    <x v="0"/>
    <m/>
  </r>
  <r>
    <x v="441"/>
    <d v="2012-05-26T02:53:48"/>
    <s v="Â£60000"/>
    <n v="60000"/>
    <s v="GBP"/>
    <n v="94570.696324037053"/>
    <x v="201"/>
    <x v="8"/>
    <s v="UK"/>
    <x v="14"/>
    <x v="0"/>
    <m/>
  </r>
  <r>
    <x v="442"/>
    <d v="2012-05-26T02:55:27"/>
    <n v="50000"/>
    <n v="50000"/>
    <s v="USD"/>
    <n v="50000"/>
    <x v="340"/>
    <x v="0"/>
    <s v="USA"/>
    <x v="2"/>
    <x v="0"/>
    <m/>
  </r>
  <r>
    <x v="443"/>
    <d v="2012-05-26T02:55:29"/>
    <s v="500000 rupees"/>
    <n v="500000"/>
    <s v="INR"/>
    <n v="8903.9583437212841"/>
    <x v="12"/>
    <x v="0"/>
    <s v="India"/>
    <x v="0"/>
    <x v="0"/>
    <m/>
  </r>
  <r>
    <x v="444"/>
    <d v="2012-05-26T02:57:32"/>
    <n v="78000"/>
    <n v="78000"/>
    <s v="USD"/>
    <n v="78000"/>
    <x v="341"/>
    <x v="3"/>
    <s v="Somalia"/>
    <x v="42"/>
    <x v="0"/>
    <m/>
  </r>
  <r>
    <x v="445"/>
    <d v="2012-05-26T02:57:47"/>
    <n v="900000"/>
    <n v="900000"/>
    <s v="INR"/>
    <n v="16027.125018698311"/>
    <x v="342"/>
    <x v="3"/>
    <s v="India"/>
    <x v="0"/>
    <x v="3"/>
    <m/>
  </r>
  <r>
    <x v="446"/>
    <d v="2012-05-26T03:01:31"/>
    <s v="7500 USD"/>
    <n v="7500"/>
    <s v="USD"/>
    <n v="7500"/>
    <x v="343"/>
    <x v="0"/>
    <s v="Romania"/>
    <x v="37"/>
    <x v="1"/>
    <m/>
  </r>
  <r>
    <x v="447"/>
    <d v="2012-05-26T03:01:42"/>
    <n v="60000"/>
    <n v="60000"/>
    <s v="USD"/>
    <n v="60000"/>
    <x v="344"/>
    <x v="0"/>
    <s v="USA"/>
    <x v="2"/>
    <x v="1"/>
    <m/>
  </r>
  <r>
    <x v="448"/>
    <d v="2012-05-26T03:02:42"/>
    <s v="800000 rupees"/>
    <n v="800000"/>
    <s v="INR"/>
    <n v="14246.333349954055"/>
    <x v="345"/>
    <x v="4"/>
    <s v="India"/>
    <x v="0"/>
    <x v="1"/>
    <m/>
  </r>
  <r>
    <x v="449"/>
    <d v="2012-05-26T03:03:09"/>
    <n v="80000"/>
    <n v="80000"/>
    <s v="USD"/>
    <n v="80000"/>
    <x v="346"/>
    <x v="3"/>
    <s v="USA"/>
    <x v="2"/>
    <x v="3"/>
    <m/>
  </r>
  <r>
    <x v="450"/>
    <d v="2012-05-26T03:03:29"/>
    <s v="Â£38000"/>
    <n v="38000"/>
    <s v="GBP"/>
    <n v="59894.774338556796"/>
    <x v="347"/>
    <x v="5"/>
    <s v="UK"/>
    <x v="14"/>
    <x v="0"/>
    <m/>
  </r>
  <r>
    <x v="451"/>
    <d v="2012-05-26T03:04:06"/>
    <s v="52,000 Cdn"/>
    <n v="52000"/>
    <s v="CAD"/>
    <n v="51134.799197576998"/>
    <x v="348"/>
    <x v="3"/>
    <s v="Canada"/>
    <x v="17"/>
    <x v="0"/>
    <m/>
  </r>
  <r>
    <x v="452"/>
    <d v="2012-05-26T03:06:16"/>
    <n v="125000"/>
    <n v="125000"/>
    <s v="USD"/>
    <n v="125000"/>
    <x v="349"/>
    <x v="3"/>
    <s v="USA"/>
    <x v="2"/>
    <x v="2"/>
    <m/>
  </r>
  <r>
    <x v="453"/>
    <d v="2012-05-26T03:06:37"/>
    <n v="52000"/>
    <n v="52000"/>
    <s v="USD"/>
    <n v="52000"/>
    <x v="350"/>
    <x v="0"/>
    <s v="USA"/>
    <x v="2"/>
    <x v="2"/>
    <m/>
  </r>
  <r>
    <x v="454"/>
    <d v="2012-05-26T03:07:46"/>
    <n v="45000"/>
    <n v="45000"/>
    <s v="USD"/>
    <n v="45000"/>
    <x v="5"/>
    <x v="0"/>
    <s v="USA"/>
    <x v="2"/>
    <x v="0"/>
    <m/>
  </r>
  <r>
    <x v="455"/>
    <d v="2012-05-26T03:08:28"/>
    <n v="25000"/>
    <n v="25000"/>
    <s v="GBP"/>
    <n v="39404.456801682099"/>
    <x v="5"/>
    <x v="0"/>
    <s v="UK"/>
    <x v="14"/>
    <x v="0"/>
    <m/>
  </r>
  <r>
    <x v="456"/>
    <d v="2012-05-26T03:09:43"/>
    <n v="60000"/>
    <n v="60000"/>
    <s v="USD"/>
    <n v="60000"/>
    <x v="351"/>
    <x v="3"/>
    <s v="USA"/>
    <x v="2"/>
    <x v="1"/>
    <m/>
  </r>
  <r>
    <x v="457"/>
    <d v="2012-05-26T03:09:49"/>
    <s v="CDN $70,000"/>
    <n v="70000"/>
    <s v="CAD"/>
    <n v="68835.306612122877"/>
    <x v="170"/>
    <x v="3"/>
    <s v="Canada"/>
    <x v="17"/>
    <x v="3"/>
    <m/>
  </r>
  <r>
    <x v="458"/>
    <d v="2012-05-26T03:11:21"/>
    <s v="5250 $"/>
    <n v="5250"/>
    <s v="USD"/>
    <n v="5250"/>
    <x v="352"/>
    <x v="6"/>
    <s v="Republic of Georgia"/>
    <x v="43"/>
    <x v="0"/>
    <m/>
  </r>
  <r>
    <x v="459"/>
    <d v="2012-05-26T03:11:44"/>
    <n v="87000"/>
    <n v="87000"/>
    <s v="CAD"/>
    <n v="85552.452503638444"/>
    <x v="353"/>
    <x v="3"/>
    <s v="Canada"/>
    <x v="17"/>
    <x v="0"/>
    <m/>
  </r>
  <r>
    <x v="460"/>
    <d v="2012-05-26T03:13:13"/>
    <n v="125000"/>
    <n v="125000"/>
    <s v="INR"/>
    <n v="2225.989585930321"/>
    <x v="354"/>
    <x v="0"/>
    <s v="India"/>
    <x v="0"/>
    <x v="0"/>
    <m/>
  </r>
  <r>
    <x v="461"/>
    <d v="2012-05-26T03:14:44"/>
    <n v="150000"/>
    <n v="150000"/>
    <s v="USD"/>
    <n v="150000"/>
    <x v="8"/>
    <x v="4"/>
    <s v="USA"/>
    <x v="2"/>
    <x v="2"/>
    <m/>
  </r>
  <r>
    <x v="462"/>
    <d v="2012-05-26T03:15:01"/>
    <n v="50000"/>
    <n v="50000"/>
    <s v="USD"/>
    <n v="50000"/>
    <x v="355"/>
    <x v="0"/>
    <s v="USA"/>
    <x v="2"/>
    <x v="0"/>
    <m/>
  </r>
  <r>
    <x v="463"/>
    <d v="2012-05-26T03:15:04"/>
    <n v="70000"/>
    <n v="70000"/>
    <s v="USD"/>
    <n v="70000"/>
    <x v="5"/>
    <x v="0"/>
    <s v="USA"/>
    <x v="2"/>
    <x v="0"/>
    <m/>
  </r>
  <r>
    <x v="464"/>
    <d v="2012-05-26T03:15:30"/>
    <s v="Â£28500"/>
    <n v="28500"/>
    <s v="GBP"/>
    <n v="44921.080753917595"/>
    <x v="356"/>
    <x v="3"/>
    <s v="UK"/>
    <x v="14"/>
    <x v="2"/>
    <m/>
  </r>
  <r>
    <x v="465"/>
    <d v="2012-05-26T03:15:50"/>
    <n v="20000"/>
    <n v="20000"/>
    <s v="USD"/>
    <n v="20000"/>
    <x v="28"/>
    <x v="6"/>
    <s v="India"/>
    <x v="0"/>
    <x v="0"/>
    <m/>
  </r>
  <r>
    <x v="466"/>
    <d v="2012-05-26T03:16:58"/>
    <n v="12000"/>
    <n v="12000"/>
    <s v="USD"/>
    <n v="12000"/>
    <x v="357"/>
    <x v="0"/>
    <s v="Estonia"/>
    <x v="44"/>
    <x v="1"/>
    <m/>
  </r>
  <r>
    <x v="467"/>
    <d v="2012-05-26T03:17:19"/>
    <n v="1250000"/>
    <n v="1250000"/>
    <s v="CAD"/>
    <n v="1229201.9037879086"/>
    <x v="358"/>
    <x v="5"/>
    <s v="Canada"/>
    <x v="17"/>
    <x v="0"/>
    <m/>
  </r>
  <r>
    <x v="468"/>
    <d v="2012-05-26T03:19:00"/>
    <n v="30000"/>
    <n v="30000"/>
    <s v="USD"/>
    <n v="30000"/>
    <x v="359"/>
    <x v="0"/>
    <s v="USA"/>
    <x v="2"/>
    <x v="4"/>
    <m/>
  </r>
  <r>
    <x v="469"/>
    <d v="2012-05-26T03:21:26"/>
    <n v="2000"/>
    <n v="24000"/>
    <s v="USD"/>
    <n v="24000"/>
    <x v="306"/>
    <x v="2"/>
    <s v="mozambique"/>
    <x v="45"/>
    <x v="2"/>
    <m/>
  </r>
  <r>
    <x v="470"/>
    <d v="2012-05-26T03:21:55"/>
    <n v="92000"/>
    <n v="92000"/>
    <s v="USD"/>
    <n v="92000"/>
    <x v="360"/>
    <x v="2"/>
    <s v="USA"/>
    <x v="2"/>
    <x v="3"/>
    <m/>
  </r>
  <r>
    <x v="471"/>
    <d v="2012-05-26T03:22:33"/>
    <n v="52000"/>
    <n v="52000"/>
    <s v="USD"/>
    <n v="52000"/>
    <x v="141"/>
    <x v="0"/>
    <s v="USA"/>
    <x v="2"/>
    <x v="0"/>
    <m/>
  </r>
  <r>
    <x v="472"/>
    <d v="2012-05-26T03:23:51"/>
    <s v="US$169,000"/>
    <n v="169000"/>
    <s v="USD"/>
    <n v="169000"/>
    <x v="361"/>
    <x v="4"/>
    <s v="USA"/>
    <x v="2"/>
    <x v="2"/>
    <m/>
  </r>
  <r>
    <x v="473"/>
    <d v="2012-05-26T03:25:57"/>
    <n v="110000"/>
    <n v="110000"/>
    <s v="USD"/>
    <n v="110000"/>
    <x v="362"/>
    <x v="5"/>
    <s v="Norway"/>
    <x v="46"/>
    <x v="2"/>
    <m/>
  </r>
  <r>
    <x v="474"/>
    <d v="2012-05-26T03:27:56"/>
    <s v="Zar 1080000"/>
    <n v="1080000"/>
    <s v="ZAR"/>
    <n v="131675.52225194403"/>
    <x v="363"/>
    <x v="3"/>
    <s v="South africa"/>
    <x v="11"/>
    <x v="2"/>
    <m/>
  </r>
  <r>
    <x v="475"/>
    <d v="2012-05-26T03:30:42"/>
    <s v="GB Sterling 59k"/>
    <n v="59000"/>
    <s v="GBP"/>
    <n v="92994.518051969761"/>
    <x v="364"/>
    <x v="8"/>
    <s v="UK"/>
    <x v="14"/>
    <x v="2"/>
    <m/>
  </r>
  <r>
    <x v="476"/>
    <d v="2012-05-26T03:31:34"/>
    <n v="50000"/>
    <n v="50000"/>
    <s v="USD"/>
    <n v="50000"/>
    <x v="365"/>
    <x v="0"/>
    <s v="USA"/>
    <x v="2"/>
    <x v="0"/>
    <m/>
  </r>
  <r>
    <x v="477"/>
    <d v="2012-05-26T03:32:13"/>
    <n v="65000"/>
    <n v="65000"/>
    <s v="USD"/>
    <n v="65000"/>
    <x v="56"/>
    <x v="0"/>
    <s v="USA"/>
    <x v="2"/>
    <x v="2"/>
    <m/>
  </r>
  <r>
    <x v="478"/>
    <d v="2012-05-26T03:32:53"/>
    <n v="46000"/>
    <n v="46000"/>
    <s v="CAD"/>
    <n v="45234.630059395036"/>
    <x v="366"/>
    <x v="0"/>
    <s v="Canada"/>
    <x v="17"/>
    <x v="1"/>
    <m/>
  </r>
  <r>
    <x v="479"/>
    <d v="2012-05-26T03:33:32"/>
    <n v="55000"/>
    <n v="55000"/>
    <s v="USD"/>
    <n v="55000"/>
    <x v="5"/>
    <x v="0"/>
    <s v="USA"/>
    <x v="2"/>
    <x v="2"/>
    <m/>
  </r>
  <r>
    <x v="480"/>
    <d v="2012-05-26T03:34:04"/>
    <s v="20000 US$"/>
    <n v="20000"/>
    <s v="USD"/>
    <n v="20000"/>
    <x v="35"/>
    <x v="8"/>
    <s v="India"/>
    <x v="0"/>
    <x v="2"/>
    <m/>
  </r>
  <r>
    <x v="481"/>
    <d v="2012-05-26T03:34:15"/>
    <n v="6000"/>
    <n v="6000"/>
    <s v="USD"/>
    <n v="6000"/>
    <x v="223"/>
    <x v="7"/>
    <s v="India"/>
    <x v="0"/>
    <x v="1"/>
    <m/>
  </r>
  <r>
    <x v="482"/>
    <d v="2012-05-26T03:37:33"/>
    <n v="190000"/>
    <n v="190000"/>
    <s v="GBP"/>
    <n v="299473.87169278396"/>
    <x v="367"/>
    <x v="4"/>
    <s v="UK"/>
    <x v="14"/>
    <x v="0"/>
    <m/>
  </r>
  <r>
    <x v="483"/>
    <d v="2012-05-26T03:37:46"/>
    <n v="28164"/>
    <n v="28164"/>
    <s v="GBP"/>
    <n v="44391.484854502989"/>
    <x v="368"/>
    <x v="3"/>
    <s v="UK"/>
    <x v="14"/>
    <x v="0"/>
    <m/>
  </r>
  <r>
    <x v="484"/>
    <d v="2012-05-26T03:40:26"/>
    <n v="40000"/>
    <n v="40000"/>
    <s v="USD"/>
    <n v="40000"/>
    <x v="369"/>
    <x v="0"/>
    <s v="USA"/>
    <x v="2"/>
    <x v="2"/>
    <m/>
  </r>
  <r>
    <x v="485"/>
    <d v="2012-05-26T03:48:42"/>
    <s v="USD 108,000"/>
    <n v="108000"/>
    <s v="USD"/>
    <n v="108000"/>
    <x v="20"/>
    <x v="3"/>
    <s v="Norway"/>
    <x v="46"/>
    <x v="0"/>
    <m/>
  </r>
  <r>
    <x v="486"/>
    <d v="2012-05-26T03:49:21"/>
    <s v="200000 Rupees"/>
    <n v="200000"/>
    <s v="INR"/>
    <n v="3561.5833374885137"/>
    <x v="370"/>
    <x v="0"/>
    <s v="India"/>
    <x v="0"/>
    <x v="2"/>
    <m/>
  </r>
  <r>
    <x v="487"/>
    <d v="2012-05-26T03:50:24"/>
    <n v="84000"/>
    <n v="84000"/>
    <s v="USD"/>
    <n v="84000"/>
    <x v="49"/>
    <x v="0"/>
    <s v="USA"/>
    <x v="2"/>
    <x v="1"/>
    <m/>
  </r>
  <r>
    <x v="488"/>
    <d v="2012-05-26T03:52:24"/>
    <n v="33000"/>
    <n v="33000"/>
    <s v="GBP"/>
    <n v="52013.882978220376"/>
    <x v="371"/>
    <x v="3"/>
    <s v="UK"/>
    <x v="14"/>
    <x v="0"/>
    <m/>
  </r>
  <r>
    <x v="489"/>
    <d v="2012-05-26T03:53:29"/>
    <s v="Rs. 7,20,000/-"/>
    <n v="720000"/>
    <s v="INR"/>
    <n v="12821.700014958649"/>
    <x v="372"/>
    <x v="3"/>
    <s v="India"/>
    <x v="0"/>
    <x v="2"/>
    <m/>
  </r>
  <r>
    <x v="490"/>
    <d v="2012-05-26T04:00:21"/>
    <n v="68500"/>
    <n v="68500"/>
    <s v="CAD"/>
    <n v="67360.264327577388"/>
    <x v="2"/>
    <x v="0"/>
    <s v="Canada"/>
    <x v="17"/>
    <x v="0"/>
    <m/>
  </r>
  <r>
    <x v="491"/>
    <d v="2012-05-26T04:01:45"/>
    <s v="23000 USD"/>
    <n v="23000"/>
    <s v="USD"/>
    <n v="23000"/>
    <x v="373"/>
    <x v="3"/>
    <s v="Hungary"/>
    <x v="9"/>
    <x v="0"/>
    <m/>
  </r>
  <r>
    <x v="492"/>
    <d v="2012-05-26T04:01:59"/>
    <n v="58000"/>
    <n v="58000"/>
    <s v="GBP"/>
    <n v="91418.339779902482"/>
    <x v="374"/>
    <x v="3"/>
    <s v="UK"/>
    <x v="14"/>
    <x v="1"/>
    <m/>
  </r>
  <r>
    <x v="493"/>
    <d v="2012-05-26T04:03:33"/>
    <n v="77000"/>
    <n v="77000"/>
    <s v="USD"/>
    <n v="77000"/>
    <x v="267"/>
    <x v="0"/>
    <s v="USA"/>
    <x v="2"/>
    <x v="1"/>
    <m/>
  </r>
  <r>
    <x v="494"/>
    <d v="2012-05-26T04:05:08"/>
    <n v="100000"/>
    <n v="100000"/>
    <s v="USD"/>
    <n v="100000"/>
    <x v="5"/>
    <x v="0"/>
    <s v="USA"/>
    <x v="2"/>
    <x v="0"/>
    <m/>
  </r>
  <r>
    <x v="495"/>
    <d v="2012-05-26T04:10:53"/>
    <n v="55500"/>
    <n v="55500"/>
    <s v="USD"/>
    <n v="55500"/>
    <x v="375"/>
    <x v="1"/>
    <s v="UAE"/>
    <x v="21"/>
    <x v="0"/>
    <m/>
  </r>
  <r>
    <x v="496"/>
    <d v="2012-05-26T04:12:16"/>
    <s v="15000 â‚¬"/>
    <n v="15000"/>
    <s v="EUR"/>
    <n v="19055.991584874118"/>
    <x v="376"/>
    <x v="0"/>
    <s v="Spain"/>
    <x v="47"/>
    <x v="1"/>
    <m/>
  </r>
  <r>
    <x v="497"/>
    <d v="2012-05-26T04:13:54"/>
    <s v="Rs 6L"/>
    <n v="600000"/>
    <s v="INR"/>
    <n v="10684.750012465542"/>
    <x v="377"/>
    <x v="3"/>
    <s v="India"/>
    <x v="0"/>
    <x v="0"/>
    <m/>
  </r>
  <r>
    <x v="498"/>
    <d v="2012-05-26T04:14:27"/>
    <n v="8400"/>
    <n v="8400"/>
    <s v="USD"/>
    <n v="8400"/>
    <x v="20"/>
    <x v="3"/>
    <s v="India"/>
    <x v="0"/>
    <x v="0"/>
    <m/>
  </r>
  <r>
    <x v="499"/>
    <d v="2012-05-26T04:16:16"/>
    <s v="Rs 500000"/>
    <n v="500000"/>
    <s v="INR"/>
    <n v="8903.9583437212841"/>
    <x v="378"/>
    <x v="3"/>
    <s v="India"/>
    <x v="0"/>
    <x v="2"/>
    <m/>
  </r>
  <r>
    <x v="500"/>
    <d v="2012-05-26T04:17:20"/>
    <n v="12000"/>
    <n v="12000"/>
    <s v="USD"/>
    <n v="12000"/>
    <x v="376"/>
    <x v="0"/>
    <s v="Brazil"/>
    <x v="20"/>
    <x v="1"/>
    <m/>
  </r>
  <r>
    <x v="501"/>
    <d v="2012-05-26T04:18:15"/>
    <n v="65000"/>
    <n v="65000"/>
    <s v="USD"/>
    <n v="65000"/>
    <x v="379"/>
    <x v="3"/>
    <s v="USA"/>
    <x v="2"/>
    <x v="1"/>
    <m/>
  </r>
  <r>
    <x v="502"/>
    <d v="2012-05-26T04:19:05"/>
    <s v="Â£16400"/>
    <n v="16400"/>
    <s v="GBP"/>
    <n v="25849.323661903458"/>
    <x v="380"/>
    <x v="0"/>
    <s v="UK"/>
    <x v="14"/>
    <x v="0"/>
    <m/>
  </r>
  <r>
    <x v="503"/>
    <d v="2012-05-26T04:20:17"/>
    <n v="78000"/>
    <n v="78000"/>
    <s v="GBP"/>
    <n v="122941.90522124816"/>
    <x v="381"/>
    <x v="0"/>
    <s v="UK"/>
    <x v="14"/>
    <x v="3"/>
    <m/>
  </r>
  <r>
    <x v="504"/>
    <d v="2012-05-26T04:25:24"/>
    <n v="76000"/>
    <n v="76000"/>
    <s v="USD"/>
    <n v="76000"/>
    <x v="308"/>
    <x v="3"/>
    <s v="USA"/>
    <x v="2"/>
    <x v="2"/>
    <m/>
  </r>
  <r>
    <x v="505"/>
    <d v="2012-05-26T04:26:10"/>
    <s v="$150000pa"/>
    <n v="150000"/>
    <s v="USD"/>
    <n v="150000"/>
    <x v="35"/>
    <x v="8"/>
    <s v="USA"/>
    <x v="2"/>
    <x v="1"/>
    <m/>
  </r>
  <r>
    <x v="506"/>
    <d v="2012-05-26T04:27:12"/>
    <n v="54000"/>
    <n v="54000"/>
    <s v="USD"/>
    <n v="54000"/>
    <x v="12"/>
    <x v="0"/>
    <s v="USA"/>
    <x v="2"/>
    <x v="0"/>
    <m/>
  </r>
  <r>
    <x v="507"/>
    <d v="2012-05-26T04:33:03"/>
    <s v="57000 USD"/>
    <n v="57000"/>
    <s v="USD"/>
    <n v="57000"/>
    <x v="382"/>
    <x v="3"/>
    <s v="israel"/>
    <x v="34"/>
    <x v="0"/>
    <m/>
  </r>
  <r>
    <x v="508"/>
    <d v="2012-05-26T04:33:27"/>
    <n v="61000"/>
    <n v="61000"/>
    <s v="USD"/>
    <n v="61000"/>
    <x v="38"/>
    <x v="5"/>
    <s v="USA"/>
    <x v="2"/>
    <x v="0"/>
    <m/>
  </r>
  <r>
    <x v="509"/>
    <d v="2012-05-26T04:34:41"/>
    <n v="70000"/>
    <n v="70000"/>
    <s v="USD"/>
    <n v="70000"/>
    <x v="383"/>
    <x v="0"/>
    <s v="USA"/>
    <x v="2"/>
    <x v="1"/>
    <m/>
  </r>
  <r>
    <x v="510"/>
    <d v="2012-05-26T04:36:43"/>
    <n v="15000"/>
    <n v="15000"/>
    <s v="USD"/>
    <n v="15000"/>
    <x v="384"/>
    <x v="3"/>
    <s v="India"/>
    <x v="0"/>
    <x v="0"/>
    <m/>
  </r>
  <r>
    <x v="511"/>
    <d v="2012-05-26T04:39:11"/>
    <n v="87550"/>
    <n v="87550"/>
    <s v="CAD"/>
    <n v="86093.301341305123"/>
    <x v="20"/>
    <x v="3"/>
    <s v="Canada"/>
    <x v="17"/>
    <x v="0"/>
    <m/>
  </r>
  <r>
    <x v="512"/>
    <d v="2012-05-26T04:40:36"/>
    <n v="72600"/>
    <n v="72600"/>
    <s v="USD"/>
    <n v="72600"/>
    <x v="385"/>
    <x v="3"/>
    <s v="USA"/>
    <x v="2"/>
    <x v="2"/>
    <m/>
  </r>
  <r>
    <x v="513"/>
    <d v="2012-05-26T04:41:20"/>
    <n v="100000"/>
    <n v="100000"/>
    <s v="USD"/>
    <n v="100000"/>
    <x v="69"/>
    <x v="4"/>
    <s v="USA"/>
    <x v="2"/>
    <x v="2"/>
    <m/>
  </r>
  <r>
    <x v="514"/>
    <d v="2012-05-26T04:44:26"/>
    <n v="104000"/>
    <n v="104000"/>
    <s v="USD"/>
    <n v="104000"/>
    <x v="386"/>
    <x v="0"/>
    <s v="USA"/>
    <x v="2"/>
    <x v="0"/>
    <m/>
  </r>
  <r>
    <x v="515"/>
    <d v="2012-05-26T04:48:35"/>
    <n v="600000"/>
    <n v="600000"/>
    <s v="INR"/>
    <n v="10684.750012465542"/>
    <x v="89"/>
    <x v="3"/>
    <s v="India"/>
    <x v="0"/>
    <x v="0"/>
    <m/>
  </r>
  <r>
    <x v="516"/>
    <d v="2012-05-26T04:48:54"/>
    <n v="200000"/>
    <n v="200000"/>
    <s v="USD"/>
    <n v="200000"/>
    <x v="387"/>
    <x v="4"/>
    <s v="USA"/>
    <x v="2"/>
    <x v="2"/>
    <m/>
  </r>
  <r>
    <x v="517"/>
    <d v="2012-05-26T04:50:21"/>
    <s v="EUR 49248"/>
    <n v="49248"/>
    <s v="EUR"/>
    <n v="62564.631571458704"/>
    <x v="388"/>
    <x v="5"/>
    <s v="Netherlands"/>
    <x v="18"/>
    <x v="1"/>
    <m/>
  </r>
  <r>
    <x v="518"/>
    <d v="2012-05-26T04:50:47"/>
    <n v="36500"/>
    <n v="36500"/>
    <s v="GBP"/>
    <n v="57530.506930455871"/>
    <x v="389"/>
    <x v="3"/>
    <s v="UK"/>
    <x v="14"/>
    <x v="2"/>
    <m/>
  </r>
  <r>
    <x v="519"/>
    <d v="2012-05-26T05:00:21"/>
    <n v="82300"/>
    <n v="82300"/>
    <s v="USD"/>
    <n v="82300"/>
    <x v="390"/>
    <x v="3"/>
    <s v="USA"/>
    <x v="2"/>
    <x v="2"/>
    <m/>
  </r>
  <r>
    <x v="520"/>
    <d v="2012-05-26T05:04:49"/>
    <n v="95000"/>
    <n v="95000"/>
    <s v="USD"/>
    <n v="95000"/>
    <x v="391"/>
    <x v="8"/>
    <s v="USA"/>
    <x v="2"/>
    <x v="0"/>
    <m/>
  </r>
  <r>
    <x v="521"/>
    <d v="2012-05-26T05:07:30"/>
    <n v="140000"/>
    <n v="140000"/>
    <s v="GBP"/>
    <n v="220664.95808941979"/>
    <x v="392"/>
    <x v="6"/>
    <s v="UK"/>
    <x v="14"/>
    <x v="1"/>
    <m/>
  </r>
  <r>
    <x v="522"/>
    <d v="2012-05-26T05:13:03"/>
    <n v="72000"/>
    <n v="72000"/>
    <s v="USD"/>
    <n v="72000"/>
    <x v="393"/>
    <x v="0"/>
    <s v="Russia"/>
    <x v="13"/>
    <x v="2"/>
    <m/>
  </r>
  <r>
    <x v="523"/>
    <d v="2012-05-26T05:15:54"/>
    <n v="60000"/>
    <n v="60000"/>
    <s v="AUD"/>
    <n v="61194.579384158147"/>
    <x v="5"/>
    <x v="0"/>
    <s v="Australia"/>
    <x v="16"/>
    <x v="2"/>
    <m/>
  </r>
  <r>
    <x v="524"/>
    <d v="2012-05-26T05:18:12"/>
    <s v="120k"/>
    <n v="120000"/>
    <s v="USD"/>
    <n v="120000"/>
    <x v="20"/>
    <x v="3"/>
    <s v="nz"/>
    <x v="48"/>
    <x v="2"/>
    <m/>
  </r>
  <r>
    <x v="525"/>
    <d v="2012-05-26T05:18:27"/>
    <s v="US$95K"/>
    <n v="95000"/>
    <s v="USD"/>
    <n v="95000"/>
    <x v="394"/>
    <x v="4"/>
    <s v="Central America"/>
    <x v="49"/>
    <x v="2"/>
    <m/>
  </r>
  <r>
    <x v="526"/>
    <d v="2012-05-26T05:20:43"/>
    <n v="50000"/>
    <n v="50000"/>
    <s v="USD"/>
    <n v="50000"/>
    <x v="395"/>
    <x v="0"/>
    <s v="USA"/>
    <x v="2"/>
    <x v="2"/>
    <m/>
  </r>
  <r>
    <x v="527"/>
    <d v="2012-05-26T05:23:20"/>
    <s v="73,000 GBP"/>
    <n v="73000"/>
    <s v="GBP"/>
    <n v="115061.01386091174"/>
    <x v="363"/>
    <x v="3"/>
    <s v="UK"/>
    <x v="14"/>
    <x v="0"/>
    <m/>
  </r>
  <r>
    <x v="528"/>
    <d v="2012-05-26T05:24:16"/>
    <n v="50000"/>
    <n v="50000"/>
    <s v="USD"/>
    <n v="50000"/>
    <x v="396"/>
    <x v="0"/>
    <s v="self-employed"/>
    <x v="50"/>
    <x v="0"/>
    <m/>
  </r>
  <r>
    <x v="529"/>
    <d v="2012-05-26T05:27:14"/>
    <n v="46000"/>
    <n v="46000"/>
    <s v="USD"/>
    <n v="46000"/>
    <x v="109"/>
    <x v="0"/>
    <s v="USA"/>
    <x v="2"/>
    <x v="2"/>
    <m/>
  </r>
  <r>
    <x v="530"/>
    <d v="2012-05-26T05:27:37"/>
    <s v="PKR 50,000"/>
    <n v="600000"/>
    <s v="PKR"/>
    <n v="6368.453230079479"/>
    <x v="397"/>
    <x v="8"/>
    <s v="Pakistan"/>
    <x v="3"/>
    <x v="0"/>
    <m/>
  </r>
  <r>
    <x v="531"/>
    <d v="2012-05-26T05:28:46"/>
    <n v="85000"/>
    <n v="85000"/>
    <s v="AUD"/>
    <n v="86692.320794224041"/>
    <x v="12"/>
    <x v="0"/>
    <s v="Australia"/>
    <x v="16"/>
    <x v="0"/>
    <m/>
  </r>
  <r>
    <x v="532"/>
    <d v="2012-05-26T05:29:55"/>
    <n v="450000"/>
    <n v="450000"/>
    <s v="INR"/>
    <n v="8013.5625093491553"/>
    <x v="398"/>
    <x v="3"/>
    <s v="India"/>
    <x v="0"/>
    <x v="1"/>
    <m/>
  </r>
  <r>
    <x v="533"/>
    <d v="2012-05-26T05:29:58"/>
    <n v="43000"/>
    <n v="43000"/>
    <s v="USD"/>
    <n v="43000"/>
    <x v="189"/>
    <x v="5"/>
    <s v="USA"/>
    <x v="2"/>
    <x v="1"/>
    <m/>
  </r>
  <r>
    <x v="534"/>
    <d v="2012-05-26T05:30:12"/>
    <n v="1500"/>
    <n v="18000"/>
    <s v="USD"/>
    <n v="18000"/>
    <x v="306"/>
    <x v="2"/>
    <s v="Brazil"/>
    <x v="20"/>
    <x v="0"/>
    <m/>
  </r>
  <r>
    <x v="535"/>
    <d v="2012-05-26T05:31:06"/>
    <n v="55000"/>
    <n v="55000"/>
    <s v="USD"/>
    <n v="55000"/>
    <x v="243"/>
    <x v="0"/>
    <s v="USA"/>
    <x v="2"/>
    <x v="2"/>
    <m/>
  </r>
  <r>
    <x v="536"/>
    <d v="2012-05-26T05:31:25"/>
    <s v="Rs. 500000"/>
    <n v="500000"/>
    <s v="INR"/>
    <n v="8903.9583437212841"/>
    <x v="399"/>
    <x v="0"/>
    <s v="India"/>
    <x v="0"/>
    <x v="1"/>
    <m/>
  </r>
  <r>
    <x v="537"/>
    <d v="2012-05-26T05:33:43"/>
    <n v="45000"/>
    <n v="45000"/>
    <s v="USD"/>
    <n v="45000"/>
    <x v="400"/>
    <x v="7"/>
    <s v="USA"/>
    <x v="2"/>
    <x v="1"/>
    <m/>
  </r>
  <r>
    <x v="538"/>
    <d v="2012-05-26T05:35:00"/>
    <n v="50000"/>
    <n v="50000"/>
    <s v="USD"/>
    <n v="50000"/>
    <x v="401"/>
    <x v="3"/>
    <s v="USA"/>
    <x v="2"/>
    <x v="0"/>
    <m/>
  </r>
  <r>
    <x v="539"/>
    <d v="2012-05-26T05:44:42"/>
    <s v="80,000 USD"/>
    <n v="80000"/>
    <s v="USD"/>
    <n v="80000"/>
    <x v="402"/>
    <x v="0"/>
    <s v="USA"/>
    <x v="2"/>
    <x v="1"/>
    <m/>
  </r>
  <r>
    <x v="540"/>
    <d v="2012-05-26T05:46:02"/>
    <n v="67000"/>
    <n v="67000"/>
    <s v="USD"/>
    <n v="67000"/>
    <x v="248"/>
    <x v="0"/>
    <s v="USA"/>
    <x v="2"/>
    <x v="0"/>
    <m/>
  </r>
  <r>
    <x v="541"/>
    <d v="2012-05-26T05:46:42"/>
    <n v="111000"/>
    <n v="111000"/>
    <s v="USD"/>
    <n v="111000"/>
    <x v="267"/>
    <x v="0"/>
    <s v="Japan"/>
    <x v="51"/>
    <x v="1"/>
    <m/>
  </r>
  <r>
    <x v="542"/>
    <d v="2012-05-26T05:48:10"/>
    <n v="120000"/>
    <n v="120000"/>
    <s v="USD"/>
    <n v="120000"/>
    <x v="69"/>
    <x v="4"/>
    <s v="USA"/>
    <x v="2"/>
    <x v="0"/>
    <m/>
  </r>
  <r>
    <x v="543"/>
    <d v="2012-05-26T05:48:12"/>
    <s v="Â£20000"/>
    <n v="20000"/>
    <s v="GBP"/>
    <n v="31523.565441345683"/>
    <x v="281"/>
    <x v="8"/>
    <s v="UK"/>
    <x v="14"/>
    <x v="0"/>
    <m/>
  </r>
  <r>
    <x v="544"/>
    <d v="2012-05-26T05:50:21"/>
    <n v="77000"/>
    <n v="77000"/>
    <s v="AUD"/>
    <n v="78533.043543002947"/>
    <x v="403"/>
    <x v="0"/>
    <s v="Australia"/>
    <x v="16"/>
    <x v="2"/>
    <m/>
  </r>
  <r>
    <x v="545"/>
    <d v="2012-05-26T05:50:23"/>
    <n v="60000"/>
    <n v="60000"/>
    <s v="USD"/>
    <n v="60000"/>
    <x v="404"/>
    <x v="6"/>
    <s v="USA"/>
    <x v="2"/>
    <x v="3"/>
    <m/>
  </r>
  <r>
    <x v="546"/>
    <d v="2012-05-26T05:50:26"/>
    <n v="35000"/>
    <n v="35000"/>
    <s v="USD"/>
    <n v="35000"/>
    <x v="5"/>
    <x v="0"/>
    <s v="USA"/>
    <x v="2"/>
    <x v="2"/>
    <m/>
  </r>
  <r>
    <x v="547"/>
    <d v="2012-05-26T05:52:47"/>
    <n v="50000"/>
    <n v="50000"/>
    <s v="EUR"/>
    <n v="63519.971949580387"/>
    <x v="405"/>
    <x v="3"/>
    <s v="Panama"/>
    <x v="23"/>
    <x v="2"/>
    <m/>
  </r>
  <r>
    <x v="548"/>
    <d v="2012-05-26T05:55:22"/>
    <n v="54000"/>
    <n v="54000"/>
    <s v="USD"/>
    <n v="54000"/>
    <x v="406"/>
    <x v="6"/>
    <s v="USA"/>
    <x v="2"/>
    <x v="1"/>
    <n v="5"/>
  </r>
  <r>
    <x v="549"/>
    <d v="2012-05-26T06:01:57"/>
    <n v="1300"/>
    <n v="15600"/>
    <s v="USD"/>
    <n v="15600"/>
    <x v="236"/>
    <x v="1"/>
    <s v="BRA"/>
    <x v="20"/>
    <x v="0"/>
    <n v="20"/>
  </r>
  <r>
    <x v="550"/>
    <d v="2012-05-26T06:08:23"/>
    <n v="35000"/>
    <n v="35000"/>
    <s v="USD"/>
    <n v="35000"/>
    <x v="407"/>
    <x v="0"/>
    <s v="USA"/>
    <x v="2"/>
    <x v="3"/>
    <n v="7"/>
  </r>
  <r>
    <x v="551"/>
    <d v="2012-05-26T06:10:08"/>
    <n v="188000"/>
    <n v="188000"/>
    <s v="USD"/>
    <n v="188000"/>
    <x v="408"/>
    <x v="4"/>
    <s v="USA"/>
    <x v="2"/>
    <x v="3"/>
    <n v="20"/>
  </r>
  <r>
    <x v="552"/>
    <d v="2012-05-26T06:14:13"/>
    <n v="27500"/>
    <n v="27500"/>
    <s v="USD"/>
    <n v="27500"/>
    <x v="381"/>
    <x v="0"/>
    <s v="USA"/>
    <x v="2"/>
    <x v="1"/>
    <n v="1"/>
  </r>
  <r>
    <x v="553"/>
    <d v="2012-05-26T06:20:38"/>
    <n v="140000"/>
    <n v="140000"/>
    <s v="USD"/>
    <n v="140000"/>
    <x v="236"/>
    <x v="1"/>
    <s v="USA"/>
    <x v="2"/>
    <x v="2"/>
    <n v="10"/>
  </r>
  <r>
    <x v="554"/>
    <d v="2012-05-26T06:24:03"/>
    <n v="55000"/>
    <n v="55000"/>
    <s v="EUR"/>
    <n v="69871.969144538423"/>
    <x v="12"/>
    <x v="0"/>
    <s v="Netherlands"/>
    <x v="18"/>
    <x v="1"/>
    <n v="6"/>
  </r>
  <r>
    <x v="555"/>
    <d v="2012-05-26T06:40:59"/>
    <n v="45000"/>
    <n v="45000"/>
    <s v="USD"/>
    <n v="45000"/>
    <x v="409"/>
    <x v="0"/>
    <s v="USA"/>
    <x v="2"/>
    <x v="0"/>
    <n v="2"/>
  </r>
  <r>
    <x v="556"/>
    <d v="2012-05-26T06:46:03"/>
    <s v="95000 USD"/>
    <n v="95000"/>
    <s v="USD"/>
    <n v="95000"/>
    <x v="12"/>
    <x v="0"/>
    <s v="Australia"/>
    <x v="16"/>
    <x v="2"/>
    <n v="11"/>
  </r>
  <r>
    <x v="557"/>
    <d v="2012-05-26T06:47:00"/>
    <s v="AUD $155,000"/>
    <n v="155000"/>
    <s v="AUD"/>
    <n v="158085.99674240855"/>
    <x v="410"/>
    <x v="3"/>
    <s v="Australia"/>
    <x v="16"/>
    <x v="0"/>
    <n v="20"/>
  </r>
  <r>
    <x v="558"/>
    <d v="2012-05-26T06:47:59"/>
    <s v="NZ $80,000"/>
    <n v="80000"/>
    <s v="NZD"/>
    <n v="63807.047488395103"/>
    <x v="411"/>
    <x v="0"/>
    <s v="New Zealand"/>
    <x v="48"/>
    <x v="0"/>
    <n v="23"/>
  </r>
  <r>
    <x v="559"/>
    <d v="2012-05-26T06:50:23"/>
    <n v="38000"/>
    <n v="38000"/>
    <s v="USD"/>
    <n v="38000"/>
    <x v="412"/>
    <x v="0"/>
    <s v="USA"/>
    <x v="2"/>
    <x v="1"/>
    <n v="11"/>
  </r>
  <r>
    <x v="560"/>
    <d v="2012-05-26T06:54:40"/>
    <n v="90000"/>
    <n v="90000"/>
    <s v="USD"/>
    <n v="90000"/>
    <x v="413"/>
    <x v="3"/>
    <s v="USA"/>
    <x v="2"/>
    <x v="0"/>
    <n v="6"/>
  </r>
  <r>
    <x v="561"/>
    <d v="2012-05-26T06:57:09"/>
    <s v="Â£28800"/>
    <n v="28800"/>
    <s v="GBP"/>
    <n v="45393.934235537781"/>
    <x v="363"/>
    <x v="3"/>
    <s v="UK"/>
    <x v="14"/>
    <x v="0"/>
    <n v="27"/>
  </r>
  <r>
    <x v="562"/>
    <d v="2012-05-26T07:01:10"/>
    <s v="Â£21000"/>
    <n v="21000"/>
    <s v="GBP"/>
    <n v="33099.743713412965"/>
    <x v="51"/>
    <x v="0"/>
    <s v="UK"/>
    <x v="14"/>
    <x v="1"/>
    <n v="10"/>
  </r>
  <r>
    <x v="563"/>
    <d v="2012-05-26T07:06:50"/>
    <s v="USD 4285.00"/>
    <n v="4285"/>
    <s v="USD"/>
    <n v="4285"/>
    <x v="414"/>
    <x v="0"/>
    <s v="India"/>
    <x v="0"/>
    <x v="1"/>
    <n v="6"/>
  </r>
  <r>
    <x v="564"/>
    <d v="2012-05-26T07:14:02"/>
    <n v="6000"/>
    <n v="6000"/>
    <s v="USD"/>
    <n v="6000"/>
    <x v="415"/>
    <x v="3"/>
    <s v="Guyana"/>
    <x v="52"/>
    <x v="3"/>
    <n v="20"/>
  </r>
  <r>
    <x v="565"/>
    <d v="2012-05-26T07:15:48"/>
    <s v="$22,000 AUD"/>
    <n v="22000"/>
    <s v="AUD"/>
    <n v="22438.012440857987"/>
    <x v="51"/>
    <x v="0"/>
    <s v="Australia"/>
    <x v="16"/>
    <x v="0"/>
    <n v="8"/>
  </r>
  <r>
    <x v="566"/>
    <d v="2012-05-26T07:18:57"/>
    <n v="90000"/>
    <n v="90000"/>
    <s v="USD"/>
    <n v="90000"/>
    <x v="20"/>
    <x v="3"/>
    <s v="USA"/>
    <x v="2"/>
    <x v="2"/>
    <n v="15"/>
  </r>
  <r>
    <x v="567"/>
    <d v="2012-05-26T07:23:11"/>
    <n v="150000"/>
    <n v="150000"/>
    <s v="USD"/>
    <n v="150000"/>
    <x v="8"/>
    <x v="4"/>
    <s v="USA"/>
    <x v="2"/>
    <x v="0"/>
    <n v="22"/>
  </r>
  <r>
    <x v="568"/>
    <d v="2012-05-26T07:32:19"/>
    <n v="130000"/>
    <n v="130000"/>
    <s v="AUD"/>
    <n v="132588.25533234264"/>
    <x v="189"/>
    <x v="5"/>
    <s v="Australia"/>
    <x v="16"/>
    <x v="2"/>
    <n v="27"/>
  </r>
  <r>
    <x v="569"/>
    <d v="2012-05-26T07:36:23"/>
    <n v="45000"/>
    <n v="45000"/>
    <s v="USD"/>
    <n v="45000"/>
    <x v="12"/>
    <x v="0"/>
    <s v="USA"/>
    <x v="2"/>
    <x v="0"/>
    <n v="3"/>
  </r>
  <r>
    <x v="570"/>
    <d v="2012-05-26T07:37:53"/>
    <n v="50000"/>
    <n v="50000"/>
    <s v="USD"/>
    <n v="50000"/>
    <x v="406"/>
    <x v="6"/>
    <s v="USA"/>
    <x v="2"/>
    <x v="2"/>
    <n v="10"/>
  </r>
  <r>
    <x v="571"/>
    <d v="2012-05-26T07:44:04"/>
    <n v="300000"/>
    <n v="300000"/>
    <s v="USD"/>
    <n v="300000"/>
    <x v="286"/>
    <x v="4"/>
    <s v="USA"/>
    <x v="2"/>
    <x v="2"/>
    <n v="30"/>
  </r>
  <r>
    <x v="572"/>
    <d v="2012-05-26T07:48:29"/>
    <n v="102000"/>
    <n v="102000"/>
    <s v="AUD"/>
    <n v="104030.78495306884"/>
    <x v="416"/>
    <x v="3"/>
    <s v="Australia"/>
    <x v="16"/>
    <x v="3"/>
    <n v="10"/>
  </r>
  <r>
    <x v="573"/>
    <d v="2012-05-26T07:50:50"/>
    <n v="115000"/>
    <n v="115000"/>
    <s v="USD"/>
    <n v="115000"/>
    <x v="417"/>
    <x v="3"/>
    <s v="USA"/>
    <x v="2"/>
    <x v="0"/>
    <n v="15"/>
  </r>
  <r>
    <x v="574"/>
    <d v="2012-05-26T07:53:13"/>
    <n v="70000"/>
    <n v="70000"/>
    <s v="USD"/>
    <n v="70000"/>
    <x v="2"/>
    <x v="0"/>
    <s v="USA"/>
    <x v="2"/>
    <x v="0"/>
    <n v="3"/>
  </r>
  <r>
    <x v="575"/>
    <d v="2012-05-26T07:57:04"/>
    <n v="106000"/>
    <n v="106000"/>
    <s v="AUD"/>
    <n v="108110.42357867939"/>
    <x v="418"/>
    <x v="6"/>
    <s v="Australia"/>
    <x v="16"/>
    <x v="0"/>
    <n v="16"/>
  </r>
  <r>
    <x v="576"/>
    <d v="2012-05-26T08:01:44"/>
    <n v="75000"/>
    <n v="75000"/>
    <s v="USD"/>
    <n v="75000"/>
    <x v="419"/>
    <x v="0"/>
    <s v="USA"/>
    <x v="2"/>
    <x v="2"/>
    <n v="25"/>
  </r>
  <r>
    <x v="577"/>
    <d v="2012-05-26T08:05:23"/>
    <n v="40414"/>
    <n v="40414"/>
    <s v="USD"/>
    <n v="40414"/>
    <x v="420"/>
    <x v="0"/>
    <s v="USA"/>
    <x v="2"/>
    <x v="0"/>
    <n v="8"/>
  </r>
  <r>
    <x v="578"/>
    <d v="2012-05-26T08:05:39"/>
    <n v="65000"/>
    <n v="65000"/>
    <s v="USD"/>
    <n v="65000"/>
    <x v="79"/>
    <x v="0"/>
    <s v="USA"/>
    <x v="2"/>
    <x v="0"/>
    <n v="3"/>
  </r>
  <r>
    <x v="579"/>
    <d v="2012-05-26T08:08:43"/>
    <n v="120000"/>
    <n v="120000"/>
    <s v="USD"/>
    <n v="120000"/>
    <x v="421"/>
    <x v="0"/>
    <s v="USA"/>
    <x v="2"/>
    <x v="1"/>
    <n v="7"/>
  </r>
  <r>
    <x v="580"/>
    <d v="2012-05-26T08:10:43"/>
    <n v="8000"/>
    <n v="96000"/>
    <s v="CNY"/>
    <n v="15092.18020692008"/>
    <x v="422"/>
    <x v="5"/>
    <s v="china"/>
    <x v="53"/>
    <x v="0"/>
    <n v="10"/>
  </r>
  <r>
    <x v="581"/>
    <d v="2012-05-26T08:17:53"/>
    <s v="$36 000"/>
    <n v="36000"/>
    <s v="USD"/>
    <n v="36000"/>
    <x v="423"/>
    <x v="8"/>
    <s v="Russia"/>
    <x v="13"/>
    <x v="1"/>
    <n v="10"/>
  </r>
  <r>
    <x v="582"/>
    <d v="2012-05-26T08:30:00"/>
    <s v="â‚¬ 50000"/>
    <n v="50000"/>
    <s v="EUR"/>
    <n v="63519.971949580387"/>
    <x v="5"/>
    <x v="0"/>
    <s v="Germany"/>
    <x v="5"/>
    <x v="2"/>
    <n v="4"/>
  </r>
  <r>
    <x v="583"/>
    <d v="2012-05-26T08:43:07"/>
    <n v="108000"/>
    <n v="108000"/>
    <s v="USD"/>
    <n v="108000"/>
    <x v="424"/>
    <x v="8"/>
    <s v="USA"/>
    <x v="2"/>
    <x v="2"/>
    <n v="7"/>
  </r>
  <r>
    <x v="584"/>
    <d v="2012-05-26T08:45:34"/>
    <n v="75000"/>
    <n v="75000"/>
    <s v="USD"/>
    <n v="75000"/>
    <x v="2"/>
    <x v="0"/>
    <s v="USA"/>
    <x v="2"/>
    <x v="0"/>
    <n v="5"/>
  </r>
  <r>
    <x v="585"/>
    <d v="2012-05-26T08:51:04"/>
    <s v="4,00,000"/>
    <n v="400000"/>
    <s v="INR"/>
    <n v="7123.1666749770275"/>
    <x v="425"/>
    <x v="3"/>
    <s v="India"/>
    <x v="0"/>
    <x v="3"/>
    <n v="3"/>
  </r>
  <r>
    <x v="586"/>
    <d v="2012-05-26T08:52:00"/>
    <n v="50000"/>
    <n v="50000"/>
    <s v="USD"/>
    <n v="50000"/>
    <x v="272"/>
    <x v="3"/>
    <s v="India"/>
    <x v="0"/>
    <x v="3"/>
    <n v="25"/>
  </r>
  <r>
    <x v="587"/>
    <d v="2012-05-26T08:55:12"/>
    <n v="45000"/>
    <n v="45000"/>
    <s v="USD"/>
    <n v="45000"/>
    <x v="426"/>
    <x v="0"/>
    <s v="USA"/>
    <x v="2"/>
    <x v="0"/>
    <n v="15"/>
  </r>
  <r>
    <x v="588"/>
    <d v="2012-05-26T08:55:17"/>
    <n v="45000"/>
    <n v="45000"/>
    <s v="USD"/>
    <n v="45000"/>
    <x v="427"/>
    <x v="5"/>
    <s v="USA"/>
    <x v="2"/>
    <x v="0"/>
    <n v="7"/>
  </r>
  <r>
    <x v="589"/>
    <d v="2012-05-26T08:56:13"/>
    <s v="90 k"/>
    <n v="90000"/>
    <s v="USD"/>
    <n v="90000"/>
    <x v="428"/>
    <x v="3"/>
    <s v="USA"/>
    <x v="2"/>
    <x v="2"/>
    <n v="20"/>
  </r>
  <r>
    <x v="590"/>
    <d v="2012-05-26T08:58:55"/>
    <s v="Rs. 20000"/>
    <n v="240000"/>
    <s v="INR"/>
    <n v="4273.9000049862161"/>
    <x v="429"/>
    <x v="0"/>
    <s v="India"/>
    <x v="0"/>
    <x v="2"/>
    <n v="5"/>
  </r>
  <r>
    <x v="591"/>
    <d v="2012-05-26T09:28:32"/>
    <n v="50000"/>
    <n v="50000"/>
    <s v="USD"/>
    <n v="50000"/>
    <x v="430"/>
    <x v="3"/>
    <s v="India"/>
    <x v="0"/>
    <x v="3"/>
    <n v="10"/>
  </r>
  <r>
    <x v="592"/>
    <d v="2012-05-26T09:28:50"/>
    <n v="65000"/>
    <n v="65000"/>
    <s v="USD"/>
    <n v="65000"/>
    <x v="431"/>
    <x v="0"/>
    <s v="USA"/>
    <x v="2"/>
    <x v="2"/>
    <n v="17"/>
  </r>
  <r>
    <x v="593"/>
    <d v="2012-05-26T09:36:28"/>
    <n v="70000"/>
    <n v="70000"/>
    <s v="USD"/>
    <n v="70000"/>
    <x v="432"/>
    <x v="0"/>
    <s v="USA"/>
    <x v="2"/>
    <x v="2"/>
    <n v="18"/>
  </r>
  <r>
    <x v="594"/>
    <d v="2012-05-26T09:51:47"/>
    <n v="160000"/>
    <n v="160000"/>
    <s v="USD"/>
    <n v="160000"/>
    <x v="433"/>
    <x v="0"/>
    <s v="USA"/>
    <x v="2"/>
    <x v="0"/>
    <n v="5"/>
  </r>
  <r>
    <x v="595"/>
    <d v="2012-05-26T09:52:22"/>
    <n v="100000"/>
    <n v="100000"/>
    <s v="AUD"/>
    <n v="101990.96564026357"/>
    <x v="434"/>
    <x v="3"/>
    <s v="Australia"/>
    <x v="16"/>
    <x v="2"/>
    <n v="20"/>
  </r>
  <r>
    <x v="596"/>
    <d v="2012-05-26T10:01:28"/>
    <n v="380000"/>
    <n v="380000"/>
    <s v="INR"/>
    <n v="6767.0083412281756"/>
    <x v="435"/>
    <x v="3"/>
    <s v="India"/>
    <x v="0"/>
    <x v="0"/>
    <n v="10"/>
  </r>
  <r>
    <x v="597"/>
    <d v="2012-05-26T10:20:35"/>
    <n v="30000"/>
    <n v="30000"/>
    <s v="USD"/>
    <n v="30000"/>
    <x v="436"/>
    <x v="0"/>
    <s v="USA"/>
    <x v="2"/>
    <x v="2"/>
    <n v="8"/>
  </r>
  <r>
    <x v="598"/>
    <d v="2012-05-26T10:22:45"/>
    <s v="INR 420000"/>
    <n v="420000"/>
    <s v="INR"/>
    <n v="7479.3250087258784"/>
    <x v="437"/>
    <x v="0"/>
    <s v="India"/>
    <x v="0"/>
    <x v="0"/>
    <n v="3"/>
  </r>
  <r>
    <x v="599"/>
    <d v="2012-05-26T10:31:42"/>
    <n v="61000"/>
    <n v="61000"/>
    <s v="USD"/>
    <n v="61000"/>
    <x v="438"/>
    <x v="3"/>
    <s v="USA"/>
    <x v="2"/>
    <x v="0"/>
    <n v="5"/>
  </r>
  <r>
    <x v="600"/>
    <d v="2012-05-26T10:32:07"/>
    <s v="1150 $"/>
    <n v="13800"/>
    <s v="USD"/>
    <n v="13800"/>
    <x v="439"/>
    <x v="1"/>
    <s v="Sri Lanka"/>
    <x v="54"/>
    <x v="0"/>
    <n v="20"/>
  </r>
  <r>
    <x v="601"/>
    <d v="2012-05-26T10:41:11"/>
    <s v="INR 850,000"/>
    <n v="850000"/>
    <s v="INR"/>
    <n v="15136.729184326183"/>
    <x v="51"/>
    <x v="0"/>
    <s v="India"/>
    <x v="0"/>
    <x v="0"/>
    <n v="6"/>
  </r>
  <r>
    <x v="602"/>
    <d v="2012-05-26T10:43:53"/>
    <n v="1800000"/>
    <n v="1800000"/>
    <s v="INR"/>
    <n v="32054.250037396621"/>
    <x v="440"/>
    <x v="3"/>
    <s v="India"/>
    <x v="0"/>
    <x v="2"/>
    <n v="10"/>
  </r>
  <r>
    <x v="603"/>
    <d v="2012-05-26T10:51:05"/>
    <n v="80000"/>
    <n v="80000"/>
    <s v="USD"/>
    <n v="80000"/>
    <x v="441"/>
    <x v="1"/>
    <s v="USA"/>
    <x v="2"/>
    <x v="0"/>
    <n v="15"/>
  </r>
  <r>
    <x v="604"/>
    <d v="2012-05-26T10:54:22"/>
    <n v="21000"/>
    <n v="21000"/>
    <s v="USD"/>
    <n v="21000"/>
    <x v="20"/>
    <x v="3"/>
    <s v="India"/>
    <x v="0"/>
    <x v="1"/>
    <n v="23"/>
  </r>
  <r>
    <x v="605"/>
    <d v="2012-05-26T10:59:10"/>
    <n v="250000"/>
    <n v="250000"/>
    <s v="CAD"/>
    <n v="245840.3807575817"/>
    <x v="12"/>
    <x v="0"/>
    <s v="Canada"/>
    <x v="17"/>
    <x v="0"/>
    <n v="32"/>
  </r>
  <r>
    <x v="606"/>
    <d v="2012-05-26T10:59:39"/>
    <s v="1 lakh 60 thousand INR/Year"/>
    <n v="160000"/>
    <s v="INR"/>
    <n v="2849.2666699908109"/>
    <x v="442"/>
    <x v="7"/>
    <s v="India"/>
    <x v="0"/>
    <x v="1"/>
    <n v="3"/>
  </r>
  <r>
    <x v="607"/>
    <d v="2012-05-26T11:01:56"/>
    <n v="700"/>
    <n v="8400"/>
    <s v="USD"/>
    <n v="8400"/>
    <x v="287"/>
    <x v="3"/>
    <s v="India"/>
    <x v="0"/>
    <x v="1"/>
    <n v="26"/>
  </r>
  <r>
    <x v="608"/>
    <d v="2012-05-26T11:03:02"/>
    <s v="A$85000"/>
    <n v="85000"/>
    <s v="AUD"/>
    <n v="86692.320794224041"/>
    <x v="397"/>
    <x v="8"/>
    <s v="Australia"/>
    <x v="16"/>
    <x v="3"/>
    <n v="20"/>
  </r>
  <r>
    <x v="609"/>
    <d v="2012-05-26T11:03:06"/>
    <n v="50000"/>
    <n v="50000"/>
    <s v="USD"/>
    <n v="50000"/>
    <x v="443"/>
    <x v="3"/>
    <s v="USA"/>
    <x v="2"/>
    <x v="0"/>
    <n v="20"/>
  </r>
  <r>
    <x v="610"/>
    <d v="2012-05-26T11:03:48"/>
    <n v="4000"/>
    <n v="4000"/>
    <s v="USD"/>
    <n v="4000"/>
    <x v="442"/>
    <x v="7"/>
    <s v="India"/>
    <x v="0"/>
    <x v="1"/>
    <n v="6"/>
  </r>
  <r>
    <x v="611"/>
    <d v="2012-05-26T11:05:45"/>
    <n v="100000"/>
    <n v="100000"/>
    <s v="AUD"/>
    <n v="101990.96564026357"/>
    <x v="12"/>
    <x v="0"/>
    <s v="Australia"/>
    <x v="16"/>
    <x v="1"/>
    <n v="1"/>
  </r>
  <r>
    <x v="612"/>
    <d v="2012-05-26T11:05:58"/>
    <n v="95000"/>
    <n v="95000"/>
    <s v="USD"/>
    <n v="95000"/>
    <x v="170"/>
    <x v="3"/>
    <s v="USA"/>
    <x v="2"/>
    <x v="3"/>
    <n v="10"/>
  </r>
  <r>
    <x v="613"/>
    <d v="2012-05-26T11:07:01"/>
    <n v="10000"/>
    <n v="10000"/>
    <s v="USD"/>
    <n v="10000"/>
    <x v="444"/>
    <x v="3"/>
    <s v="Indonesia"/>
    <x v="55"/>
    <x v="2"/>
    <n v="5"/>
  </r>
  <r>
    <x v="614"/>
    <d v="2012-05-26T11:09:27"/>
    <n v="4200"/>
    <n v="4200"/>
    <s v="USD"/>
    <n v="4200"/>
    <x v="442"/>
    <x v="7"/>
    <s v="India"/>
    <x v="0"/>
    <x v="1"/>
    <n v="4"/>
  </r>
  <r>
    <x v="615"/>
    <d v="2012-05-26T11:10:23"/>
    <s v="Rs60000"/>
    <n v="720000"/>
    <s v="INR"/>
    <n v="12821.700014958649"/>
    <x v="445"/>
    <x v="3"/>
    <s v="India"/>
    <x v="0"/>
    <x v="0"/>
    <n v="12"/>
  </r>
  <r>
    <x v="616"/>
    <d v="2012-05-26T11:17:56"/>
    <n v="39000"/>
    <n v="39000"/>
    <s v="USD"/>
    <n v="39000"/>
    <x v="446"/>
    <x v="0"/>
    <s v="USA"/>
    <x v="2"/>
    <x v="1"/>
    <n v="3"/>
  </r>
  <r>
    <x v="617"/>
    <d v="2012-05-26T11:26:46"/>
    <n v="60000"/>
    <n v="60000"/>
    <s v="USD"/>
    <n v="60000"/>
    <x v="12"/>
    <x v="0"/>
    <s v="USA"/>
    <x v="2"/>
    <x v="0"/>
    <n v="12"/>
  </r>
  <r>
    <x v="618"/>
    <d v="2012-05-26T11:30:39"/>
    <s v="A$170000"/>
    <n v="170000"/>
    <s v="AUD"/>
    <n v="173384.64158844808"/>
    <x v="289"/>
    <x v="0"/>
    <s v="Australia"/>
    <x v="16"/>
    <x v="1"/>
    <n v="10"/>
  </r>
  <r>
    <x v="619"/>
    <d v="2012-05-26T11:31:08"/>
    <n v="125000"/>
    <n v="125000"/>
    <s v="USD"/>
    <n v="125000"/>
    <x v="5"/>
    <x v="0"/>
    <s v="USA"/>
    <x v="2"/>
    <x v="2"/>
    <n v="20"/>
  </r>
  <r>
    <x v="620"/>
    <d v="2012-05-26T11:31:52"/>
    <n v="78000"/>
    <n v="78000"/>
    <s v="AUD"/>
    <n v="79552.953199405587"/>
    <x v="447"/>
    <x v="5"/>
    <s v="Australia"/>
    <x v="16"/>
    <x v="1"/>
    <n v="4"/>
  </r>
  <r>
    <x v="621"/>
    <d v="2012-05-26T11:36:04"/>
    <s v="Rs. 200000"/>
    <n v="200000"/>
    <s v="INR"/>
    <n v="3561.5833374885137"/>
    <x v="448"/>
    <x v="5"/>
    <s v="India"/>
    <x v="0"/>
    <x v="0"/>
    <n v="3"/>
  </r>
  <r>
    <x v="622"/>
    <d v="2012-05-26T11:37:26"/>
    <n v="80000"/>
    <n v="80000"/>
    <s v="USD"/>
    <n v="80000"/>
    <x v="449"/>
    <x v="3"/>
    <s v="USA"/>
    <x v="2"/>
    <x v="0"/>
    <n v="8"/>
  </r>
  <r>
    <x v="623"/>
    <d v="2012-05-26T11:37:53"/>
    <n v="600000"/>
    <n v="600000"/>
    <s v="INR"/>
    <n v="10684.750012465542"/>
    <x v="2"/>
    <x v="0"/>
    <s v="India"/>
    <x v="0"/>
    <x v="2"/>
    <n v="3"/>
  </r>
  <r>
    <x v="624"/>
    <d v="2012-05-26T11:39:48"/>
    <s v="Rs 300000"/>
    <n v="300000"/>
    <s v="INR"/>
    <n v="5342.3750062327708"/>
    <x v="450"/>
    <x v="2"/>
    <s v="India"/>
    <x v="0"/>
    <x v="1"/>
    <n v="2"/>
  </r>
  <r>
    <x v="625"/>
    <d v="2012-05-26T11:40:34"/>
    <s v="4000000 INR"/>
    <n v="4000000"/>
    <s v="INR"/>
    <n v="71231.666749770273"/>
    <x v="451"/>
    <x v="3"/>
    <s v="India"/>
    <x v="0"/>
    <x v="0"/>
    <n v="1.5"/>
  </r>
  <r>
    <x v="626"/>
    <d v="2012-05-26T11:45:37"/>
    <s v="4500000 inr/pa"/>
    <n v="4500000"/>
    <s v="INR"/>
    <n v="80135.625093491559"/>
    <x v="452"/>
    <x v="4"/>
    <s v="India"/>
    <x v="0"/>
    <x v="3"/>
    <n v="6"/>
  </r>
  <r>
    <x v="627"/>
    <d v="2012-05-26T11:46:20"/>
    <n v="55000"/>
    <n v="55000"/>
    <s v="CAD"/>
    <n v="54084.883766667976"/>
    <x v="443"/>
    <x v="3"/>
    <s v="Canada"/>
    <x v="17"/>
    <x v="0"/>
    <n v="5"/>
  </r>
  <r>
    <x v="628"/>
    <d v="2012-05-26T11:47:18"/>
    <n v="53000"/>
    <n v="53000"/>
    <s v="USD"/>
    <n v="53000"/>
    <x v="2"/>
    <x v="0"/>
    <s v="USA"/>
    <x v="2"/>
    <x v="0"/>
    <n v="30"/>
  </r>
  <r>
    <x v="629"/>
    <d v="2012-05-26T11:47:38"/>
    <s v="25000 INR"/>
    <n v="300000"/>
    <s v="INR"/>
    <n v="5342.3750062327708"/>
    <x v="223"/>
    <x v="7"/>
    <s v="India"/>
    <x v="0"/>
    <x v="0"/>
    <n v="1"/>
  </r>
  <r>
    <x v="630"/>
    <d v="2012-05-26T11:50:03"/>
    <s v="Rs 4,00,000"/>
    <n v="400000"/>
    <s v="INR"/>
    <n v="7123.1666749770275"/>
    <x v="453"/>
    <x v="3"/>
    <s v="India"/>
    <x v="0"/>
    <x v="3"/>
    <n v="5"/>
  </r>
  <r>
    <x v="631"/>
    <d v="2012-05-26T11:50:34"/>
    <s v="6,00,000"/>
    <n v="600000"/>
    <s v="INR"/>
    <n v="10684.750012465542"/>
    <x v="454"/>
    <x v="3"/>
    <s v="India"/>
    <x v="0"/>
    <x v="0"/>
    <n v="11"/>
  </r>
  <r>
    <x v="632"/>
    <d v="2012-05-26T11:55:17"/>
    <n v="4000"/>
    <n v="4000"/>
    <s v="USD"/>
    <n v="4000"/>
    <x v="442"/>
    <x v="7"/>
    <s v="India"/>
    <x v="0"/>
    <x v="1"/>
    <n v="4"/>
  </r>
  <r>
    <x v="633"/>
    <d v="2012-05-26T11:58:23"/>
    <n v="8000"/>
    <n v="8000"/>
    <s v="USD"/>
    <n v="8000"/>
    <x v="455"/>
    <x v="3"/>
    <s v="bangkok"/>
    <x v="31"/>
    <x v="1"/>
    <n v="1"/>
  </r>
  <r>
    <x v="634"/>
    <d v="2012-05-26T12:05:35"/>
    <n v="150000"/>
    <n v="150000"/>
    <s v="INR"/>
    <n v="2671.1875031163854"/>
    <x v="444"/>
    <x v="3"/>
    <s v="India"/>
    <x v="0"/>
    <x v="2"/>
    <n v="5"/>
  </r>
  <r>
    <x v="635"/>
    <d v="2012-05-26T12:14:07"/>
    <s v="Rs 800000"/>
    <n v="800000"/>
    <s v="INR"/>
    <n v="14246.333349954055"/>
    <x v="306"/>
    <x v="2"/>
    <s v="India"/>
    <x v="0"/>
    <x v="2"/>
    <n v="3"/>
  </r>
  <r>
    <x v="636"/>
    <d v="2012-05-26T12:17:01"/>
    <n v="480000"/>
    <n v="480000"/>
    <s v="INR"/>
    <n v="8547.8000099724322"/>
    <x v="456"/>
    <x v="7"/>
    <s v="India"/>
    <x v="0"/>
    <x v="3"/>
    <n v="3"/>
  </r>
  <r>
    <x v="637"/>
    <d v="2012-05-26T12:19:47"/>
    <s v="Rs. 4.32 Lakhs"/>
    <n v="432000"/>
    <s v="INR"/>
    <n v="7693.0200089751897"/>
    <x v="457"/>
    <x v="3"/>
    <s v="India"/>
    <x v="0"/>
    <x v="2"/>
    <n v="5"/>
  </r>
  <r>
    <x v="638"/>
    <d v="2012-05-26T12:19:53"/>
    <n v="4000"/>
    <n v="4000"/>
    <s v="USD"/>
    <n v="4000"/>
    <x v="458"/>
    <x v="3"/>
    <s v="India"/>
    <x v="0"/>
    <x v="1"/>
    <n v="8"/>
  </r>
  <r>
    <x v="639"/>
    <d v="2012-05-26T12:20:07"/>
    <n v="450"/>
    <n v="5400"/>
    <s v="USD"/>
    <n v="5400"/>
    <x v="20"/>
    <x v="3"/>
    <s v="India"/>
    <x v="0"/>
    <x v="1"/>
    <n v="3"/>
  </r>
  <r>
    <x v="640"/>
    <d v="2012-05-26T12:23:14"/>
    <n v="10500000"/>
    <n v="10500000"/>
    <s v="INR"/>
    <n v="186983.12521814698"/>
    <x v="20"/>
    <x v="3"/>
    <s v="India"/>
    <x v="0"/>
    <x v="2"/>
    <n v="10"/>
  </r>
  <r>
    <x v="641"/>
    <d v="2012-05-26T12:25:09"/>
    <n v="21500"/>
    <n v="21500"/>
    <s v="USD"/>
    <n v="21500"/>
    <x v="459"/>
    <x v="0"/>
    <s v="India"/>
    <x v="0"/>
    <x v="0"/>
    <n v="9"/>
  </r>
  <r>
    <x v="642"/>
    <d v="2012-05-26T12:26:33"/>
    <n v="15000"/>
    <n v="15000"/>
    <s v="USD"/>
    <n v="15000"/>
    <x v="442"/>
    <x v="7"/>
    <s v="India"/>
    <x v="0"/>
    <x v="1"/>
    <n v="2"/>
  </r>
  <r>
    <x v="643"/>
    <d v="2012-05-26T12:27:20"/>
    <n v="200000"/>
    <n v="200000"/>
    <s v="PKR"/>
    <n v="2122.8177433598262"/>
    <x v="460"/>
    <x v="5"/>
    <s v="Pakistan"/>
    <x v="3"/>
    <x v="2"/>
    <n v="2"/>
  </r>
  <r>
    <x v="644"/>
    <d v="2012-05-26T12:28:05"/>
    <s v="INR 9,50,000"/>
    <n v="950000"/>
    <s v="INR"/>
    <n v="16917.52085307044"/>
    <x v="461"/>
    <x v="3"/>
    <s v="India"/>
    <x v="0"/>
    <x v="0"/>
    <n v="3"/>
  </r>
  <r>
    <x v="645"/>
    <d v="2012-05-26T12:28:11"/>
    <s v="INR 165000"/>
    <n v="165000"/>
    <s v="INR"/>
    <n v="2938.3062534280239"/>
    <x v="462"/>
    <x v="3"/>
    <s v="India"/>
    <x v="0"/>
    <x v="1"/>
    <n v="11"/>
  </r>
  <r>
    <x v="646"/>
    <d v="2012-05-26T12:30:22"/>
    <n v="1400"/>
    <n v="16800"/>
    <s v="USD"/>
    <n v="16800"/>
    <x v="414"/>
    <x v="0"/>
    <s v="Pakistan"/>
    <x v="3"/>
    <x v="0"/>
    <n v="12"/>
  </r>
  <r>
    <x v="647"/>
    <d v="2012-05-26T12:31:29"/>
    <n v="37000"/>
    <n v="37000"/>
    <s v="USD"/>
    <n v="37000"/>
    <x v="463"/>
    <x v="2"/>
    <s v="India"/>
    <x v="0"/>
    <x v="0"/>
    <n v="10"/>
  </r>
  <r>
    <x v="648"/>
    <d v="2012-05-26T12:33:48"/>
    <s v="Rs 300000"/>
    <n v="300000"/>
    <s v="INR"/>
    <n v="5342.3750062327708"/>
    <x v="0"/>
    <x v="0"/>
    <s v="India"/>
    <x v="0"/>
    <x v="0"/>
    <n v="4.5"/>
  </r>
  <r>
    <x v="649"/>
    <d v="2012-05-26T12:35:42"/>
    <s v="INR 2 l;acks"/>
    <n v="200000"/>
    <s v="INR"/>
    <n v="3561.5833374885137"/>
    <x v="442"/>
    <x v="7"/>
    <s v="India"/>
    <x v="0"/>
    <x v="1"/>
    <n v="3"/>
  </r>
  <r>
    <x v="650"/>
    <d v="2012-05-26T12:36:53"/>
    <s v="Rs 480000"/>
    <n v="480000"/>
    <s v="INR"/>
    <n v="8547.8000099724322"/>
    <x v="464"/>
    <x v="3"/>
    <s v="India"/>
    <x v="0"/>
    <x v="2"/>
    <n v="8"/>
  </r>
  <r>
    <x v="651"/>
    <d v="2012-05-26T12:46:26"/>
    <n v="5800"/>
    <n v="5800"/>
    <s v="USD"/>
    <n v="5800"/>
    <x v="465"/>
    <x v="3"/>
    <s v="India"/>
    <x v="0"/>
    <x v="1"/>
    <n v="8"/>
  </r>
  <r>
    <x v="652"/>
    <d v="2012-05-26T12:48:19"/>
    <s v="230000 INR"/>
    <n v="230000"/>
    <s v="INR"/>
    <n v="4095.8208381117906"/>
    <x v="442"/>
    <x v="7"/>
    <s v="India"/>
    <x v="0"/>
    <x v="1"/>
    <n v="3"/>
  </r>
  <r>
    <x v="653"/>
    <d v="2012-05-26T12:50:08"/>
    <s v="23000 Rupees"/>
    <n v="276000"/>
    <s v="INR"/>
    <n v="4914.9850057341491"/>
    <x v="466"/>
    <x v="3"/>
    <s v="Pakistan"/>
    <x v="3"/>
    <x v="3"/>
    <n v="3"/>
  </r>
  <r>
    <x v="654"/>
    <d v="2012-05-26T12:52:37"/>
    <n v="24000"/>
    <n v="24000"/>
    <s v="USD"/>
    <n v="24000"/>
    <x v="224"/>
    <x v="3"/>
    <s v="Saudi Arabai"/>
    <x v="22"/>
    <x v="0"/>
    <n v="12"/>
  </r>
  <r>
    <x v="655"/>
    <d v="2012-05-26T12:53:43"/>
    <s v="Us$24000"/>
    <n v="24000"/>
    <s v="USD"/>
    <n v="24000"/>
    <x v="189"/>
    <x v="5"/>
    <s v="UAE"/>
    <x v="21"/>
    <x v="2"/>
    <n v="15"/>
  </r>
  <r>
    <x v="656"/>
    <d v="2012-05-26T12:54:15"/>
    <n v="8738"/>
    <n v="8738"/>
    <s v="USD"/>
    <n v="8738"/>
    <x v="467"/>
    <x v="3"/>
    <s v="India"/>
    <x v="0"/>
    <x v="1"/>
    <n v="7.3"/>
  </r>
  <r>
    <x v="657"/>
    <d v="2012-05-26T12:54:36"/>
    <n v="15000"/>
    <n v="15000"/>
    <s v="USD"/>
    <n v="15000"/>
    <x v="468"/>
    <x v="0"/>
    <s v="Indonesia"/>
    <x v="55"/>
    <x v="0"/>
    <n v="1"/>
  </r>
  <r>
    <x v="658"/>
    <d v="2012-05-26T12:55:09"/>
    <n v="4700"/>
    <n v="56400"/>
    <s v="USD"/>
    <n v="56400"/>
    <x v="363"/>
    <x v="3"/>
    <s v="UAE"/>
    <x v="21"/>
    <x v="2"/>
    <n v="6"/>
  </r>
  <r>
    <x v="659"/>
    <d v="2012-05-26T12:59:13"/>
    <n v="10200"/>
    <n v="10200"/>
    <s v="USD"/>
    <n v="10200"/>
    <x v="12"/>
    <x v="0"/>
    <s v="India"/>
    <x v="0"/>
    <x v="0"/>
    <n v="4.5"/>
  </r>
  <r>
    <x v="660"/>
    <d v="2012-05-26T12:59:41"/>
    <n v="325000"/>
    <n v="325000"/>
    <s v="INR"/>
    <n v="5787.5729234188348"/>
    <x v="442"/>
    <x v="7"/>
    <s v="India"/>
    <x v="0"/>
    <x v="1"/>
    <n v="4.5"/>
  </r>
  <r>
    <x v="661"/>
    <d v="2012-05-26T13:01:44"/>
    <n v="105000"/>
    <n v="105000"/>
    <s v="USD"/>
    <n v="105000"/>
    <x v="30"/>
    <x v="8"/>
    <s v="USA"/>
    <x v="2"/>
    <x v="2"/>
    <n v="15"/>
  </r>
  <r>
    <x v="662"/>
    <d v="2012-05-26T13:01:53"/>
    <s v="2.5lakh"/>
    <n v="250000"/>
    <s v="INR"/>
    <n v="4451.9791718606421"/>
    <x v="469"/>
    <x v="3"/>
    <s v="India"/>
    <x v="0"/>
    <x v="2"/>
    <n v="5"/>
  </r>
  <r>
    <x v="663"/>
    <d v="2012-05-26T13:02:50"/>
    <n v="470000"/>
    <n v="470000"/>
    <s v="INR"/>
    <n v="8369.7208430980063"/>
    <x v="35"/>
    <x v="8"/>
    <s v="India"/>
    <x v="0"/>
    <x v="1"/>
    <n v="4"/>
  </r>
  <r>
    <x v="664"/>
    <d v="2012-05-26T13:03:32"/>
    <n v="720000"/>
    <n v="720000"/>
    <s v="PHP"/>
    <n v="17067.637625607145"/>
    <x v="287"/>
    <x v="3"/>
    <s v="Philippines"/>
    <x v="32"/>
    <x v="0"/>
    <n v="9"/>
  </r>
  <r>
    <x v="665"/>
    <d v="2012-05-26T13:03:58"/>
    <n v="100000"/>
    <n v="100000"/>
    <s v="AUD"/>
    <n v="101990.96564026357"/>
    <x v="470"/>
    <x v="3"/>
    <s v="Australia"/>
    <x v="16"/>
    <x v="3"/>
    <n v="20"/>
  </r>
  <r>
    <x v="666"/>
    <d v="2012-05-26T13:05:03"/>
    <s v="220000 in INR"/>
    <n v="220000"/>
    <s v="INR"/>
    <n v="3917.7416712373652"/>
    <x v="471"/>
    <x v="0"/>
    <s v="India"/>
    <x v="0"/>
    <x v="2"/>
    <n v="3"/>
  </r>
  <r>
    <x v="667"/>
    <d v="2012-05-26T13:08:39"/>
    <n v="52000"/>
    <n v="52000"/>
    <s v="USD"/>
    <n v="52000"/>
    <x v="472"/>
    <x v="6"/>
    <s v="USA"/>
    <x v="2"/>
    <x v="0"/>
    <n v="18"/>
  </r>
  <r>
    <x v="668"/>
    <d v="2012-05-26T13:11:01"/>
    <s v="Rs. 260000"/>
    <n v="260000"/>
    <s v="INR"/>
    <n v="4630.058338735068"/>
    <x v="5"/>
    <x v="0"/>
    <s v="India"/>
    <x v="0"/>
    <x v="0"/>
    <n v="2"/>
  </r>
  <r>
    <x v="669"/>
    <d v="2012-05-26T13:12:48"/>
    <s v="1,20,000 INR"/>
    <n v="120000"/>
    <s v="INR"/>
    <n v="2136.9500024931081"/>
    <x v="79"/>
    <x v="0"/>
    <s v="India"/>
    <x v="0"/>
    <x v="2"/>
    <n v="3"/>
  </r>
  <r>
    <x v="670"/>
    <d v="2012-05-26T13:16:21"/>
    <n v="13000"/>
    <n v="13000"/>
    <s v="USD"/>
    <n v="13000"/>
    <x v="5"/>
    <x v="0"/>
    <s v="India"/>
    <x v="0"/>
    <x v="3"/>
    <n v="4"/>
  </r>
  <r>
    <x v="671"/>
    <d v="2012-05-26T13:17:36"/>
    <s v="Rs. 144000"/>
    <n v="144000"/>
    <s v="INR"/>
    <n v="2564.3400029917298"/>
    <x v="473"/>
    <x v="3"/>
    <s v="India"/>
    <x v="0"/>
    <x v="2"/>
    <n v="7"/>
  </r>
  <r>
    <x v="672"/>
    <d v="2012-05-26T13:18:03"/>
    <s v="inr 11.5"/>
    <n v="1150000"/>
    <s v="INR"/>
    <n v="20479.104190558952"/>
    <x v="474"/>
    <x v="3"/>
    <s v="India"/>
    <x v="0"/>
    <x v="2"/>
    <n v="7"/>
  </r>
  <r>
    <x v="673"/>
    <d v="2012-05-26T13:18:32"/>
    <s v="33,500 US $"/>
    <n v="33500"/>
    <s v="USD"/>
    <n v="33500"/>
    <x v="475"/>
    <x v="5"/>
    <s v="Dubai"/>
    <x v="33"/>
    <x v="3"/>
    <n v="10"/>
  </r>
  <r>
    <x v="674"/>
    <d v="2012-05-26T13:19:42"/>
    <n v="50000"/>
    <n v="50000"/>
    <s v="USD"/>
    <n v="50000"/>
    <x v="476"/>
    <x v="3"/>
    <s v="India"/>
    <x v="0"/>
    <x v="2"/>
    <n v="20"/>
  </r>
  <r>
    <x v="675"/>
    <d v="2012-05-26T13:22:43"/>
    <n v="300000"/>
    <n v="300000"/>
    <s v="INR"/>
    <n v="5342.3750062327708"/>
    <x v="477"/>
    <x v="3"/>
    <s v="India"/>
    <x v="0"/>
    <x v="2"/>
    <n v="3"/>
  </r>
  <r>
    <x v="676"/>
    <d v="2012-05-26T13:24:05"/>
    <s v="4500 rs. per month"/>
    <n v="648000"/>
    <s v="INR"/>
    <n v="11539.530013462785"/>
    <x v="305"/>
    <x v="0"/>
    <s v="India"/>
    <x v="0"/>
    <x v="1"/>
    <n v="2"/>
  </r>
  <r>
    <x v="677"/>
    <d v="2012-05-26T13:24:14"/>
    <n v="7000"/>
    <n v="7000"/>
    <s v="USD"/>
    <n v="7000"/>
    <x v="478"/>
    <x v="3"/>
    <s v="India"/>
    <x v="0"/>
    <x v="0"/>
    <n v="23"/>
  </r>
  <r>
    <x v="678"/>
    <d v="2012-05-26T13:24:36"/>
    <n v="380000"/>
    <n v="380000"/>
    <s v="INR"/>
    <n v="6767.0083412281756"/>
    <x v="479"/>
    <x v="7"/>
    <s v="India"/>
    <x v="0"/>
    <x v="2"/>
    <n v="6"/>
  </r>
  <r>
    <x v="679"/>
    <d v="2012-05-26T13:29:12"/>
    <s v="3000 $"/>
    <n v="3000"/>
    <s v="USD"/>
    <n v="3000"/>
    <x v="480"/>
    <x v="8"/>
    <s v="Cambodia"/>
    <x v="56"/>
    <x v="2"/>
    <n v="2"/>
  </r>
  <r>
    <x v="680"/>
    <d v="2012-05-26T13:29:35"/>
    <s v="250000 rupees"/>
    <n v="250000"/>
    <s v="INR"/>
    <n v="4451.9791718606421"/>
    <x v="442"/>
    <x v="7"/>
    <s v="India"/>
    <x v="0"/>
    <x v="1"/>
    <n v="4"/>
  </r>
  <r>
    <x v="681"/>
    <d v="2012-05-26T13:31:20"/>
    <s v="Rs. 150000"/>
    <n v="150000"/>
    <s v="INR"/>
    <n v="2671.1875031163854"/>
    <x v="481"/>
    <x v="4"/>
    <s v="India"/>
    <x v="0"/>
    <x v="0"/>
    <n v="4.5"/>
  </r>
  <r>
    <x v="682"/>
    <d v="2012-05-26T13:37:50"/>
    <n v="278400"/>
    <n v="278400"/>
    <s v="INR"/>
    <n v="4957.7240057840108"/>
    <x v="482"/>
    <x v="3"/>
    <s v="India"/>
    <x v="0"/>
    <x v="0"/>
    <n v="5"/>
  </r>
  <r>
    <x v="683"/>
    <d v="2012-05-26T13:42:21"/>
    <n v="180000"/>
    <n v="180000"/>
    <s v="INR"/>
    <n v="3205.4250037396623"/>
    <x v="483"/>
    <x v="5"/>
    <s v="India"/>
    <x v="0"/>
    <x v="2"/>
    <n v="14"/>
  </r>
  <r>
    <x v="684"/>
    <d v="2012-05-26T13:42:58"/>
    <n v="800000"/>
    <n v="800000"/>
    <s v="INR"/>
    <n v="14246.333349954055"/>
    <x v="20"/>
    <x v="3"/>
    <s v="India"/>
    <x v="0"/>
    <x v="0"/>
    <n v="7"/>
  </r>
  <r>
    <x v="685"/>
    <d v="2012-05-26T13:44:53"/>
    <s v="25000 rupess"/>
    <n v="300000"/>
    <s v="INR"/>
    <n v="5342.3750062327708"/>
    <x v="5"/>
    <x v="0"/>
    <s v="India"/>
    <x v="0"/>
    <x v="1"/>
    <n v="7"/>
  </r>
  <r>
    <x v="686"/>
    <d v="2012-05-26T13:46:52"/>
    <s v="370000 inr"/>
    <n v="370000"/>
    <s v="INR"/>
    <n v="6588.9291743537506"/>
    <x v="242"/>
    <x v="0"/>
    <s v="India"/>
    <x v="0"/>
    <x v="1"/>
    <n v="2"/>
  </r>
  <r>
    <x v="687"/>
    <d v="2012-05-26T13:47:06"/>
    <s v="370000 inr"/>
    <n v="370000"/>
    <s v="INR"/>
    <n v="6588.9291743537506"/>
    <x v="242"/>
    <x v="0"/>
    <s v="India"/>
    <x v="0"/>
    <x v="1"/>
    <n v="2"/>
  </r>
  <r>
    <x v="688"/>
    <d v="2012-05-26T13:49:54"/>
    <n v="35000"/>
    <n v="35000"/>
    <s v="USD"/>
    <n v="35000"/>
    <x v="406"/>
    <x v="6"/>
    <s v="USA"/>
    <x v="2"/>
    <x v="0"/>
    <n v="10"/>
  </r>
  <r>
    <x v="689"/>
    <d v="2012-05-26T13:57:11"/>
    <n v="720000"/>
    <n v="720000"/>
    <s v="INR"/>
    <n v="12821.700014958649"/>
    <x v="127"/>
    <x v="5"/>
    <s v="India"/>
    <x v="0"/>
    <x v="0"/>
    <n v="4"/>
  </r>
  <r>
    <x v="690"/>
    <d v="2012-05-26T14:01:00"/>
    <n v="600000"/>
    <n v="600000"/>
    <s v="INR"/>
    <n v="10684.750012465542"/>
    <x v="451"/>
    <x v="3"/>
    <s v="India"/>
    <x v="0"/>
    <x v="3"/>
    <n v="2"/>
  </r>
  <r>
    <x v="691"/>
    <d v="2012-05-26T14:01:09"/>
    <n v="10000"/>
    <n v="10000"/>
    <s v="USD"/>
    <n v="10000"/>
    <x v="444"/>
    <x v="3"/>
    <s v="India"/>
    <x v="0"/>
    <x v="0"/>
    <n v="2"/>
  </r>
  <r>
    <x v="692"/>
    <d v="2012-05-26T14:04:35"/>
    <s v="Rs 10000"/>
    <n v="120000"/>
    <s v="INR"/>
    <n v="2136.9500024931081"/>
    <x v="484"/>
    <x v="0"/>
    <s v="India"/>
    <x v="0"/>
    <x v="3"/>
    <n v="0"/>
  </r>
  <r>
    <x v="693"/>
    <d v="2012-05-26T14:10:51"/>
    <s v="4,80,000 Ruppes"/>
    <n v="480000"/>
    <s v="INR"/>
    <n v="8547.8000099724322"/>
    <x v="12"/>
    <x v="0"/>
    <s v="India"/>
    <x v="0"/>
    <x v="0"/>
    <n v="4"/>
  </r>
  <r>
    <x v="694"/>
    <d v="2012-05-26T14:11:52"/>
    <s v="Re. 4.5 Lacs Per Annum"/>
    <n v="450000"/>
    <s v="INR"/>
    <n v="8013.5625093491553"/>
    <x v="79"/>
    <x v="0"/>
    <s v="India"/>
    <x v="0"/>
    <x v="1"/>
    <n v="8"/>
  </r>
  <r>
    <x v="695"/>
    <d v="2012-05-26T14:14:35"/>
    <n v="400000"/>
    <n v="400000"/>
    <s v="INR"/>
    <n v="7123.1666749770275"/>
    <x v="35"/>
    <x v="8"/>
    <s v="India"/>
    <x v="0"/>
    <x v="0"/>
    <n v="0"/>
  </r>
  <r>
    <x v="696"/>
    <d v="2012-05-26T14:16:14"/>
    <s v="inr 2300000"/>
    <n v="2300000"/>
    <s v="INR"/>
    <n v="40958.208381117904"/>
    <x v="5"/>
    <x v="0"/>
    <s v="India"/>
    <x v="0"/>
    <x v="1"/>
    <n v="5"/>
  </r>
  <r>
    <x v="697"/>
    <d v="2012-05-26T14:18:11"/>
    <n v="636000"/>
    <n v="636000"/>
    <s v="INR"/>
    <n v="11325.835013213473"/>
    <x v="485"/>
    <x v="3"/>
    <s v="India"/>
    <x v="0"/>
    <x v="0"/>
    <n v="2"/>
  </r>
  <r>
    <x v="698"/>
    <d v="2012-05-26T14:20:23"/>
    <s v="15000 USD"/>
    <n v="15000"/>
    <s v="USD"/>
    <n v="15000"/>
    <x v="486"/>
    <x v="5"/>
    <s v="Lithuania"/>
    <x v="57"/>
    <x v="0"/>
    <n v="2"/>
  </r>
  <r>
    <x v="699"/>
    <d v="2012-05-26T14:22:05"/>
    <n v="1000"/>
    <n v="12000"/>
    <s v="USD"/>
    <n v="12000"/>
    <x v="487"/>
    <x v="0"/>
    <s v="uae"/>
    <x v="21"/>
    <x v="0"/>
    <n v="12"/>
  </r>
  <r>
    <x v="700"/>
    <d v="2012-05-26T14:23:48"/>
    <n v="500000"/>
    <n v="500000"/>
    <s v="INR"/>
    <n v="8903.9583437212841"/>
    <x v="488"/>
    <x v="7"/>
    <s v="India"/>
    <x v="0"/>
    <x v="2"/>
    <n v="1"/>
  </r>
  <r>
    <x v="701"/>
    <d v="2012-05-26T14:33:11"/>
    <n v="500000"/>
    <n v="500000"/>
    <s v="INR"/>
    <n v="8903.9583437212841"/>
    <x v="306"/>
    <x v="2"/>
    <s v="India"/>
    <x v="0"/>
    <x v="1"/>
    <n v="2"/>
  </r>
  <r>
    <x v="702"/>
    <d v="2012-05-26T14:35:48"/>
    <s v="Inr 60000"/>
    <n v="720000"/>
    <s v="INR"/>
    <n v="12821.700014958649"/>
    <x v="489"/>
    <x v="3"/>
    <s v="India"/>
    <x v="0"/>
    <x v="1"/>
    <n v="10"/>
  </r>
  <r>
    <x v="703"/>
    <d v="2012-05-26T14:41:00"/>
    <s v="Rs 15000"/>
    <n v="180000"/>
    <s v="INR"/>
    <n v="3205.4250037396623"/>
    <x v="490"/>
    <x v="3"/>
    <s v="India"/>
    <x v="0"/>
    <x v="1"/>
    <n v="7"/>
  </r>
  <r>
    <x v="704"/>
    <d v="2012-05-26T14:46:55"/>
    <n v="375000"/>
    <n v="375000"/>
    <s v="INR"/>
    <n v="6677.9687577909626"/>
    <x v="40"/>
    <x v="3"/>
    <s v="India"/>
    <x v="0"/>
    <x v="2"/>
    <n v="6"/>
  </r>
  <r>
    <x v="705"/>
    <d v="2012-05-26T14:51:02"/>
    <n v="85000"/>
    <n v="85000"/>
    <s v="NZD"/>
    <n v="67794.987956419791"/>
    <x v="491"/>
    <x v="3"/>
    <s v="New Zealand"/>
    <x v="48"/>
    <x v="0"/>
    <n v="15"/>
  </r>
  <r>
    <x v="706"/>
    <d v="2012-05-26T14:57:39"/>
    <n v="31250"/>
    <n v="31250"/>
    <s v="USD"/>
    <n v="31250"/>
    <x v="492"/>
    <x v="3"/>
    <s v="India"/>
    <x v="0"/>
    <x v="2"/>
    <n v="6"/>
  </r>
  <r>
    <x v="707"/>
    <d v="2012-05-26T14:57:45"/>
    <s v="PKR 17000"/>
    <n v="204000"/>
    <s v="PKR"/>
    <n v="2165.2740982270229"/>
    <x v="493"/>
    <x v="3"/>
    <s v="Pakistan"/>
    <x v="3"/>
    <x v="1"/>
    <n v="2"/>
  </r>
  <r>
    <x v="708"/>
    <d v="2012-05-26T14:58:24"/>
    <s v="Rs.4lk "/>
    <n v="400000"/>
    <s v="INR"/>
    <n v="7123.1666749770275"/>
    <x v="494"/>
    <x v="7"/>
    <s v="India"/>
    <x v="0"/>
    <x v="1"/>
    <n v="4"/>
  </r>
  <r>
    <x v="709"/>
    <d v="2012-05-26T15:01:00"/>
    <s v="USD130000"/>
    <n v="130000"/>
    <s v="USD"/>
    <n v="130000"/>
    <x v="495"/>
    <x v="3"/>
    <s v="Australia"/>
    <x v="16"/>
    <x v="0"/>
    <n v="3"/>
  </r>
  <r>
    <x v="710"/>
    <d v="2012-05-26T15:01:41"/>
    <s v="Rs. 250000"/>
    <n v="250000"/>
    <s v="INR"/>
    <n v="4451.9791718606421"/>
    <x v="482"/>
    <x v="3"/>
    <s v="India"/>
    <x v="0"/>
    <x v="0"/>
    <n v="6"/>
  </r>
  <r>
    <x v="711"/>
    <d v="2012-05-26T15:02:34"/>
    <n v="800"/>
    <n v="9600"/>
    <s v="USD"/>
    <n v="9600"/>
    <x v="74"/>
    <x v="0"/>
    <s v="South Africa"/>
    <x v="11"/>
    <x v="0"/>
    <n v="2"/>
  </r>
  <r>
    <x v="712"/>
    <d v="2012-05-26T15:04:33"/>
    <s v="INR 390000 PA"/>
    <n v="390000"/>
    <s v="INR"/>
    <n v="6945.0875081026015"/>
    <x v="12"/>
    <x v="0"/>
    <s v="India"/>
    <x v="0"/>
    <x v="0"/>
    <n v="1"/>
  </r>
  <r>
    <x v="713"/>
    <d v="2012-05-26T15:05:42"/>
    <n v="600000"/>
    <n v="600000"/>
    <s v="INR"/>
    <n v="10684.750012465542"/>
    <x v="496"/>
    <x v="5"/>
    <s v="India"/>
    <x v="0"/>
    <x v="1"/>
    <n v="7"/>
  </r>
  <r>
    <x v="714"/>
    <d v="2012-05-26T15:06:00"/>
    <n v="4.8"/>
    <n v="480000"/>
    <s v="INR"/>
    <n v="8547.8000099724322"/>
    <x v="497"/>
    <x v="0"/>
    <s v="India"/>
    <x v="0"/>
    <x v="2"/>
    <n v="3.5"/>
  </r>
  <r>
    <x v="715"/>
    <d v="2012-05-26T15:07:39"/>
    <n v="35000"/>
    <n v="35000"/>
    <s v="USD"/>
    <n v="35000"/>
    <x v="381"/>
    <x v="0"/>
    <s v="India"/>
    <x v="0"/>
    <x v="0"/>
    <n v="10"/>
  </r>
  <r>
    <x v="716"/>
    <d v="2012-05-26T15:09:27"/>
    <s v="Ind Rs.10,00,000.00"/>
    <n v="1000000"/>
    <s v="INR"/>
    <n v="17807.916687442568"/>
    <x v="498"/>
    <x v="0"/>
    <s v="India"/>
    <x v="0"/>
    <x v="2"/>
    <n v="12"/>
  </r>
  <r>
    <x v="717"/>
    <d v="2012-05-26T15:21:41"/>
    <n v="180000"/>
    <n v="180000"/>
    <s v="INR"/>
    <n v="3205.4250037396623"/>
    <x v="189"/>
    <x v="5"/>
    <s v="India"/>
    <x v="0"/>
    <x v="1"/>
    <n v="4"/>
  </r>
  <r>
    <x v="718"/>
    <d v="2012-05-26T15:24:32"/>
    <n v="5000"/>
    <n v="60000"/>
    <s v="USD"/>
    <n v="60000"/>
    <x v="20"/>
    <x v="3"/>
    <s v="Russia"/>
    <x v="13"/>
    <x v="0"/>
    <n v="10"/>
  </r>
  <r>
    <x v="719"/>
    <d v="2012-05-26T15:27:48"/>
    <s v="8 Lakhs"/>
    <n v="800000"/>
    <s v="INR"/>
    <n v="14246.333349954055"/>
    <x v="20"/>
    <x v="3"/>
    <s v="India"/>
    <x v="0"/>
    <x v="2"/>
    <n v="13"/>
  </r>
  <r>
    <x v="720"/>
    <d v="2012-05-26T15:30:23"/>
    <s v="6 Lac Rs"/>
    <n v="600000"/>
    <s v="INR"/>
    <n v="10684.750012465542"/>
    <x v="499"/>
    <x v="3"/>
    <s v="India"/>
    <x v="0"/>
    <x v="2"/>
    <n v="8"/>
  </r>
  <r>
    <x v="721"/>
    <d v="2012-05-26T15:35:43"/>
    <n v="40000"/>
    <n v="40000"/>
    <s v="USD"/>
    <n v="40000"/>
    <x v="500"/>
    <x v="3"/>
    <s v="India"/>
    <x v="0"/>
    <x v="1"/>
    <n v="15"/>
  </r>
  <r>
    <x v="722"/>
    <d v="2012-05-26T15:44:32"/>
    <n v="5022"/>
    <n v="5022"/>
    <s v="USD"/>
    <n v="5022"/>
    <x v="501"/>
    <x v="0"/>
    <s v="Pakistan"/>
    <x v="3"/>
    <x v="0"/>
    <n v="15"/>
  </r>
  <r>
    <x v="723"/>
    <d v="2012-05-26T15:51:11"/>
    <n v="410000"/>
    <n v="410000"/>
    <s v="INR"/>
    <n v="7301.2458418514525"/>
    <x v="0"/>
    <x v="0"/>
    <s v="India"/>
    <x v="0"/>
    <x v="1"/>
    <n v="5"/>
  </r>
  <r>
    <x v="724"/>
    <d v="2012-05-26T15:53:10"/>
    <n v="10000"/>
    <n v="120000"/>
    <s v="EGYPT"/>
    <n v="19831.432821021317"/>
    <x v="502"/>
    <x v="0"/>
    <s v="Egypt"/>
    <x v="58"/>
    <x v="1"/>
    <n v="5"/>
  </r>
  <r>
    <x v="725"/>
    <d v="2012-05-26T15:54:00"/>
    <s v="50 k per month"/>
    <n v="600000"/>
    <s v="INR"/>
    <n v="10684.750012465542"/>
    <x v="363"/>
    <x v="3"/>
    <s v="India"/>
    <x v="0"/>
    <x v="0"/>
    <n v="5"/>
  </r>
  <r>
    <x v="726"/>
    <d v="2012-05-26T15:56:57"/>
    <s v="4800 $"/>
    <n v="4800"/>
    <s v="USD"/>
    <n v="4800"/>
    <x v="503"/>
    <x v="0"/>
    <s v="Bhutan"/>
    <x v="59"/>
    <x v="0"/>
    <n v="2"/>
  </r>
  <r>
    <x v="727"/>
    <d v="2012-05-26T15:59:44"/>
    <s v="66000 â‚¬"/>
    <n v="66000"/>
    <s v="EUR"/>
    <n v="83846.362973446114"/>
    <x v="504"/>
    <x v="0"/>
    <s v="germany"/>
    <x v="5"/>
    <x v="0"/>
    <n v="7"/>
  </r>
  <r>
    <x v="728"/>
    <d v="2012-05-26T16:01:54"/>
    <n v="15000"/>
    <n v="15000"/>
    <s v="USD"/>
    <n v="15000"/>
    <x v="505"/>
    <x v="1"/>
    <s v="India"/>
    <x v="0"/>
    <x v="2"/>
    <n v="2"/>
  </r>
  <r>
    <x v="729"/>
    <d v="2012-05-26T16:05:02"/>
    <n v="10000"/>
    <n v="10000"/>
    <s v="USD"/>
    <n v="10000"/>
    <x v="506"/>
    <x v="0"/>
    <s v="India"/>
    <x v="0"/>
    <x v="0"/>
    <n v="12"/>
  </r>
  <r>
    <x v="730"/>
    <d v="2012-05-26T16:10:08"/>
    <n v="74000"/>
    <n v="74000"/>
    <s v="GBP"/>
    <n v="116637.19213297902"/>
    <x v="507"/>
    <x v="3"/>
    <s v="UK"/>
    <x v="14"/>
    <x v="0"/>
    <n v="5"/>
  </r>
  <r>
    <x v="731"/>
    <d v="2012-05-26T16:12:09"/>
    <s v="GBP21798"/>
    <n v="21798"/>
    <s v="GBP"/>
    <n v="34357.533974522659"/>
    <x v="79"/>
    <x v="0"/>
    <s v="UK"/>
    <x v="14"/>
    <x v="1"/>
    <n v="1.5"/>
  </r>
  <r>
    <x v="732"/>
    <d v="2012-05-26T16:16:39"/>
    <n v="65000"/>
    <n v="65000"/>
    <s v="GBP"/>
    <n v="102451.58768437347"/>
    <x v="508"/>
    <x v="3"/>
    <s v="UK"/>
    <x v="14"/>
    <x v="0"/>
    <n v="15"/>
  </r>
  <r>
    <x v="733"/>
    <d v="2012-05-26T16:23:30"/>
    <n v="16000"/>
    <n v="16000"/>
    <s v="USD"/>
    <n v="16000"/>
    <x v="306"/>
    <x v="2"/>
    <s v="India"/>
    <x v="0"/>
    <x v="2"/>
    <n v="5"/>
  </r>
  <r>
    <x v="734"/>
    <d v="2012-05-26T16:25:53"/>
    <n v="6000"/>
    <n v="6000"/>
    <s v="USD"/>
    <n v="6000"/>
    <x v="509"/>
    <x v="3"/>
    <s v="India"/>
    <x v="0"/>
    <x v="2"/>
    <n v="6"/>
  </r>
  <r>
    <x v="735"/>
    <d v="2012-05-26T16:26:35"/>
    <s v="INR 30000"/>
    <n v="360000"/>
    <s v="INR"/>
    <n v="6410.8500074793246"/>
    <x v="510"/>
    <x v="3"/>
    <s v="India"/>
    <x v="0"/>
    <x v="1"/>
    <n v="6"/>
  </r>
  <r>
    <x v="736"/>
    <d v="2012-05-26T16:29:36"/>
    <n v="36000"/>
    <n v="36000"/>
    <s v="USD"/>
    <n v="36000"/>
    <x v="306"/>
    <x v="2"/>
    <s v="uae"/>
    <x v="21"/>
    <x v="3"/>
    <n v="7"/>
  </r>
  <r>
    <x v="737"/>
    <d v="2012-05-26T16:33:58"/>
    <n v="20000"/>
    <n v="20000"/>
    <s v="USD"/>
    <n v="20000"/>
    <x v="306"/>
    <x v="2"/>
    <s v="India"/>
    <x v="0"/>
    <x v="3"/>
    <n v="7"/>
  </r>
  <r>
    <x v="738"/>
    <d v="2012-05-26T16:34:18"/>
    <s v="INR240000"/>
    <n v="240000"/>
    <s v="INR"/>
    <n v="4273.9000049862161"/>
    <x v="511"/>
    <x v="5"/>
    <s v="India"/>
    <x v="0"/>
    <x v="0"/>
    <n v="8"/>
  </r>
  <r>
    <x v="739"/>
    <d v="2012-05-26T16:34:57"/>
    <s v="Â£ 24000"/>
    <n v="24000"/>
    <s v="GBP"/>
    <n v="37828.278529614821"/>
    <x v="512"/>
    <x v="6"/>
    <s v="UK"/>
    <x v="14"/>
    <x v="1"/>
    <n v="8"/>
  </r>
  <r>
    <x v="740"/>
    <d v="2012-05-26T16:50:08"/>
    <s v="US $ 11,000"/>
    <n v="11000"/>
    <s v="USD"/>
    <n v="11000"/>
    <x v="513"/>
    <x v="3"/>
    <s v="Sri Lanka"/>
    <x v="54"/>
    <x v="1"/>
    <n v="4.5"/>
  </r>
  <r>
    <x v="741"/>
    <d v="2012-05-26T16:50:46"/>
    <n v="8000"/>
    <n v="8000"/>
    <s v="USD"/>
    <n v="8000"/>
    <x v="12"/>
    <x v="0"/>
    <s v="India"/>
    <x v="0"/>
    <x v="2"/>
    <n v="6"/>
  </r>
  <r>
    <x v="742"/>
    <d v="2012-05-26T17:02:46"/>
    <s v="Rs. 225000"/>
    <n v="225000"/>
    <s v="INR"/>
    <n v="4006.7812546745777"/>
    <x v="442"/>
    <x v="7"/>
    <s v="India"/>
    <x v="0"/>
    <x v="1"/>
    <n v="5.5"/>
  </r>
  <r>
    <x v="743"/>
    <d v="2012-05-26T17:03:02"/>
    <n v="1488000"/>
    <n v="1488000"/>
    <s v="NAIRA"/>
    <n v="9171.0323574730355"/>
    <x v="514"/>
    <x v="3"/>
    <s v="Nigeria"/>
    <x v="60"/>
    <x v="2"/>
    <n v="5"/>
  </r>
  <r>
    <x v="744"/>
    <d v="2012-05-26T17:03:26"/>
    <s v="INR 20000"/>
    <n v="240000"/>
    <s v="INR"/>
    <n v="4273.9000049862161"/>
    <x v="444"/>
    <x v="0"/>
    <s v="India"/>
    <x v="0"/>
    <x v="2"/>
    <n v="20"/>
  </r>
  <r>
    <x v="745"/>
    <d v="2012-05-26T17:04:23"/>
    <s v="INR 700000"/>
    <n v="700000"/>
    <s v="INR"/>
    <n v="12465.541681209797"/>
    <x v="515"/>
    <x v="0"/>
    <s v="India"/>
    <x v="0"/>
    <x v="1"/>
    <n v="5"/>
  </r>
  <r>
    <x v="746"/>
    <d v="2012-05-26T17:06:48"/>
    <n v="2000"/>
    <n v="24000"/>
    <s v="USD"/>
    <n v="24000"/>
    <x v="516"/>
    <x v="0"/>
    <s v="India"/>
    <x v="0"/>
    <x v="2"/>
    <n v="1"/>
  </r>
  <r>
    <x v="747"/>
    <d v="2012-05-26T17:07:30"/>
    <n v="20000"/>
    <n v="20000"/>
    <s v="USD"/>
    <n v="20000"/>
    <x v="517"/>
    <x v="8"/>
    <s v="Denmark"/>
    <x v="61"/>
    <x v="2"/>
    <n v="15"/>
  </r>
  <r>
    <x v="748"/>
    <d v="2012-05-26T17:08:09"/>
    <n v="62000"/>
    <n v="62000"/>
    <s v="USD"/>
    <n v="62000"/>
    <x v="518"/>
    <x v="0"/>
    <s v="USA"/>
    <x v="2"/>
    <x v="2"/>
    <n v="20"/>
  </r>
  <r>
    <x v="749"/>
    <d v="2012-05-26T17:09:24"/>
    <s v="14960 $"/>
    <n v="14960"/>
    <s v="USD"/>
    <n v="14960"/>
    <x v="519"/>
    <x v="1"/>
    <s v="Saudi Arabia"/>
    <x v="22"/>
    <x v="1"/>
    <n v="2"/>
  </r>
  <r>
    <x v="750"/>
    <d v="2012-05-26T17:10:20"/>
    <n v="120000"/>
    <n v="120000"/>
    <s v="INR"/>
    <n v="2136.9500024931081"/>
    <x v="189"/>
    <x v="5"/>
    <s v="India"/>
    <x v="0"/>
    <x v="2"/>
    <n v="2"/>
  </r>
  <r>
    <x v="751"/>
    <d v="2012-05-26T17:24:41"/>
    <n v="30232"/>
    <n v="30232"/>
    <s v="USD"/>
    <n v="30232"/>
    <x v="520"/>
    <x v="5"/>
    <s v="KSA"/>
    <x v="2"/>
    <x v="2"/>
    <n v="5"/>
  </r>
  <r>
    <x v="752"/>
    <d v="2012-05-26T17:24:41"/>
    <n v="41000"/>
    <n v="41000"/>
    <s v="USD"/>
    <n v="41000"/>
    <x v="12"/>
    <x v="0"/>
    <s v="USA"/>
    <x v="2"/>
    <x v="1"/>
    <n v="4"/>
  </r>
  <r>
    <x v="753"/>
    <d v="2012-05-26T17:31:56"/>
    <s v="95000 AUD"/>
    <n v="95000"/>
    <s v="AUD"/>
    <n v="96891.417358250401"/>
    <x v="521"/>
    <x v="0"/>
    <s v="Australia"/>
    <x v="16"/>
    <x v="2"/>
    <n v="11"/>
  </r>
  <r>
    <x v="754"/>
    <d v="2012-05-26T17:44:34"/>
    <s v="Rs 1200000"/>
    <n v="1200000"/>
    <s v="INR"/>
    <n v="21369.500024931083"/>
    <x v="522"/>
    <x v="3"/>
    <s v="India"/>
    <x v="0"/>
    <x v="1"/>
    <n v="14"/>
  </r>
  <r>
    <x v="755"/>
    <d v="2012-05-26T17:47:00"/>
    <n v="205000"/>
    <n v="205000"/>
    <s v="INR"/>
    <n v="3650.6229209257262"/>
    <x v="523"/>
    <x v="5"/>
    <s v="India"/>
    <x v="0"/>
    <x v="1"/>
    <n v="10"/>
  </r>
  <r>
    <x v="756"/>
    <d v="2012-05-26T17:47:10"/>
    <s v="$1,589.00/per month"/>
    <n v="19068"/>
    <s v="USD"/>
    <n v="19068"/>
    <x v="524"/>
    <x v="5"/>
    <s v="Philippines"/>
    <x v="32"/>
    <x v="1"/>
    <n v="20"/>
  </r>
  <r>
    <x v="757"/>
    <d v="2012-05-26T17:49:17"/>
    <s v="Rs. 300000"/>
    <n v="300000"/>
    <s v="INR"/>
    <n v="5342.3750062327708"/>
    <x v="525"/>
    <x v="1"/>
    <s v="India"/>
    <x v="0"/>
    <x v="1"/>
    <n v="4"/>
  </r>
  <r>
    <x v="758"/>
    <d v="2012-05-26T17:51:27"/>
    <n v="48000"/>
    <n v="48000"/>
    <s v="USD"/>
    <n v="48000"/>
    <x v="35"/>
    <x v="8"/>
    <s v="Singapore"/>
    <x v="29"/>
    <x v="1"/>
    <n v="3"/>
  </r>
  <r>
    <x v="759"/>
    <d v="2012-05-26T18:19:49"/>
    <s v="2.2 lakhs per annum"/>
    <n v="220000"/>
    <s v="INR"/>
    <n v="3917.7416712373652"/>
    <x v="526"/>
    <x v="2"/>
    <s v="India"/>
    <x v="0"/>
    <x v="0"/>
    <n v="2"/>
  </r>
  <r>
    <x v="760"/>
    <d v="2012-05-26T18:29:06"/>
    <n v="13500"/>
    <n v="13500"/>
    <s v="USD"/>
    <n v="13500"/>
    <x v="223"/>
    <x v="7"/>
    <s v="India"/>
    <x v="0"/>
    <x v="1"/>
    <n v="2.5"/>
  </r>
  <r>
    <x v="761"/>
    <d v="2012-05-26T18:35:20"/>
    <s v="45000 $"/>
    <n v="45000"/>
    <s v="USD"/>
    <n v="45000"/>
    <x v="17"/>
    <x v="3"/>
    <s v="India"/>
    <x v="0"/>
    <x v="3"/>
    <n v="15"/>
  </r>
  <r>
    <x v="762"/>
    <d v="2012-05-26T18:38:41"/>
    <n v="55000"/>
    <n v="55000"/>
    <s v="EUR"/>
    <n v="69871.969144538423"/>
    <x v="8"/>
    <x v="4"/>
    <s v="italy"/>
    <x v="62"/>
    <x v="2"/>
    <n v="18"/>
  </r>
  <r>
    <x v="763"/>
    <d v="2012-05-26T18:41:31"/>
    <s v="Rs 40000"/>
    <n v="480000"/>
    <s v="INR"/>
    <n v="8547.8000099724322"/>
    <x v="527"/>
    <x v="3"/>
    <s v="India"/>
    <x v="0"/>
    <x v="0"/>
    <n v="11"/>
  </r>
  <r>
    <x v="764"/>
    <d v="2012-05-26T18:44:00"/>
    <s v="Dhs 2800 + Accomodation"/>
    <n v="33600"/>
    <s v="AED"/>
    <n v="9146.5655463031271"/>
    <x v="189"/>
    <x v="5"/>
    <s v="Dubai"/>
    <x v="33"/>
    <x v="3"/>
    <n v="7"/>
  </r>
  <r>
    <x v="765"/>
    <d v="2012-05-26T18:56:52"/>
    <n v="570000"/>
    <n v="570000"/>
    <s v="INR"/>
    <n v="10150.512511842264"/>
    <x v="5"/>
    <x v="0"/>
    <s v="India"/>
    <x v="0"/>
    <x v="1"/>
    <n v="2.4"/>
  </r>
  <r>
    <x v="766"/>
    <d v="2012-05-26T19:07:55"/>
    <n v="636000"/>
    <n v="636000"/>
    <s v="INR"/>
    <n v="11325.835013213473"/>
    <x v="170"/>
    <x v="3"/>
    <s v="India"/>
    <x v="0"/>
    <x v="0"/>
    <n v="7"/>
  </r>
  <r>
    <x v="767"/>
    <d v="2012-05-26T19:13:39"/>
    <s v="180000 PKR"/>
    <n v="180000"/>
    <s v="PKR"/>
    <n v="1910.5359690238436"/>
    <x v="528"/>
    <x v="7"/>
    <s v="Pakistan"/>
    <x v="3"/>
    <x v="1"/>
    <n v="7"/>
  </r>
  <r>
    <x v="768"/>
    <d v="2012-05-26T19:22:53"/>
    <s v="AUS$36000"/>
    <n v="36000"/>
    <s v="USD"/>
    <n v="36000"/>
    <x v="529"/>
    <x v="3"/>
    <s v="Australia"/>
    <x v="16"/>
    <x v="2"/>
    <n v="12"/>
  </r>
  <r>
    <x v="769"/>
    <d v="2012-05-26T19:29:23"/>
    <s v="2.25 lakhs per year(prof income)"/>
    <n v="2250000"/>
    <s v="INR"/>
    <n v="40067.812546745779"/>
    <x v="530"/>
    <x v="5"/>
    <s v="India"/>
    <x v="0"/>
    <x v="3"/>
    <n v="5"/>
  </r>
  <r>
    <x v="770"/>
    <d v="2012-05-26T19:29:34"/>
    <n v="16000"/>
    <n v="16000"/>
    <s v="USD"/>
    <n v="16000"/>
    <x v="531"/>
    <x v="7"/>
    <s v="India"/>
    <x v="0"/>
    <x v="1"/>
    <n v="1"/>
  </r>
  <r>
    <x v="771"/>
    <d v="2012-05-26T19:34:12"/>
    <n v="240000"/>
    <n v="240000"/>
    <s v="INR"/>
    <n v="4273.9000049862161"/>
    <x v="5"/>
    <x v="0"/>
    <s v="India"/>
    <x v="0"/>
    <x v="1"/>
    <n v="4"/>
  </r>
  <r>
    <x v="772"/>
    <d v="2012-05-26T19:43:36"/>
    <s v="INR 400000"/>
    <n v="400000"/>
    <s v="INR"/>
    <n v="7123.1666749770275"/>
    <x v="384"/>
    <x v="3"/>
    <s v="India"/>
    <x v="0"/>
    <x v="0"/>
    <n v="7"/>
  </r>
  <r>
    <x v="773"/>
    <d v="2012-05-26T20:08:21"/>
    <n v="10000"/>
    <n v="10000"/>
    <s v="USD"/>
    <n v="10000"/>
    <x v="532"/>
    <x v="3"/>
    <s v="India"/>
    <x v="0"/>
    <x v="3"/>
    <n v="12"/>
  </r>
  <r>
    <x v="774"/>
    <d v="2012-05-26T20:16:28"/>
    <s v="CA$66000"/>
    <n v="66000"/>
    <s v="CAD"/>
    <n v="64901.860520001574"/>
    <x v="533"/>
    <x v="0"/>
    <s v="Canada"/>
    <x v="17"/>
    <x v="2"/>
    <n v="20"/>
  </r>
  <r>
    <x v="775"/>
    <d v="2012-05-26T20:19:36"/>
    <n v="65000"/>
    <n v="65000"/>
    <s v="USD"/>
    <n v="65000"/>
    <x v="534"/>
    <x v="0"/>
    <s v="USA"/>
    <x v="2"/>
    <x v="2"/>
    <n v="10"/>
  </r>
  <r>
    <x v="776"/>
    <d v="2012-05-26T20:20:34"/>
    <s v="Rs 450000"/>
    <n v="450000"/>
    <s v="INR"/>
    <n v="8013.5625093491553"/>
    <x v="535"/>
    <x v="3"/>
    <s v="India"/>
    <x v="0"/>
    <x v="1"/>
    <n v="1.5"/>
  </r>
  <r>
    <x v="777"/>
    <d v="2012-05-26T20:27:19"/>
    <n v="100000"/>
    <n v="100000"/>
    <s v="CAD"/>
    <n v="98336.152303032693"/>
    <x v="536"/>
    <x v="4"/>
    <s v="Canada"/>
    <x v="17"/>
    <x v="0"/>
    <n v="5"/>
  </r>
  <r>
    <x v="778"/>
    <d v="2012-05-26T20:31:30"/>
    <s v="ONE LACK FIFTY THOUSAND(INR)"/>
    <n v="150000"/>
    <s v="INR"/>
    <n v="2671.1875031163854"/>
    <x v="537"/>
    <x v="0"/>
    <s v="India"/>
    <x v="0"/>
    <x v="0"/>
    <n v="2"/>
  </r>
  <r>
    <x v="779"/>
    <d v="2012-05-26T20:50:07"/>
    <n v="96000"/>
    <n v="96000"/>
    <s v="USD"/>
    <n v="96000"/>
    <x v="442"/>
    <x v="7"/>
    <s v="India"/>
    <x v="0"/>
    <x v="1"/>
    <n v="8"/>
  </r>
  <r>
    <x v="780"/>
    <d v="2012-05-26T20:57:13"/>
    <s v="Rs. 8000"/>
    <n v="1152000"/>
    <s v="INR"/>
    <n v="20514.720023933838"/>
    <x v="538"/>
    <x v="5"/>
    <s v="India"/>
    <x v="0"/>
    <x v="0"/>
    <n v="6"/>
  </r>
  <r>
    <x v="781"/>
    <d v="2012-05-26T20:57:17"/>
    <n v="15000"/>
    <n v="15000"/>
    <s v="EUR"/>
    <n v="19055.991584874118"/>
    <x v="539"/>
    <x v="0"/>
    <s v="Spain"/>
    <x v="47"/>
    <x v="2"/>
    <n v="10"/>
  </r>
  <r>
    <x v="782"/>
    <d v="2012-05-26T21:00:40"/>
    <s v="Aud 65000"/>
    <n v="65000"/>
    <s v="AUD"/>
    <n v="66294.12766617132"/>
    <x v="99"/>
    <x v="0"/>
    <s v="Australia"/>
    <x v="16"/>
    <x v="1"/>
    <n v="10"/>
  </r>
  <r>
    <x v="783"/>
    <d v="2012-05-26T21:05:35"/>
    <s v="Rs. 377000"/>
    <n v="377000"/>
    <s v="INR"/>
    <n v="6713.584591165848"/>
    <x v="540"/>
    <x v="0"/>
    <s v="India"/>
    <x v="0"/>
    <x v="3"/>
    <n v="7"/>
  </r>
  <r>
    <x v="784"/>
    <d v="2012-05-26T21:07:14"/>
    <s v="Â£29000"/>
    <n v="29000"/>
    <s v="GBP"/>
    <n v="45709.169889951241"/>
    <x v="541"/>
    <x v="7"/>
    <s v="UK"/>
    <x v="14"/>
    <x v="2"/>
    <n v="15"/>
  </r>
  <r>
    <x v="785"/>
    <d v="2012-05-26T21:10:20"/>
    <n v="48500"/>
    <n v="48500"/>
    <s v="USD"/>
    <n v="48500"/>
    <x v="542"/>
    <x v="3"/>
    <s v="USA"/>
    <x v="2"/>
    <x v="2"/>
    <n v="10"/>
  </r>
  <r>
    <x v="786"/>
    <d v="2012-05-26T21:13:02"/>
    <n v="600000"/>
    <n v="600000"/>
    <s v="INR"/>
    <n v="10684.750012465542"/>
    <x v="0"/>
    <x v="0"/>
    <s v="India"/>
    <x v="0"/>
    <x v="1"/>
    <n v="4"/>
  </r>
  <r>
    <x v="787"/>
    <d v="2012-05-26T21:13:51"/>
    <n v="33900"/>
    <n v="33900"/>
    <s v="USD"/>
    <n v="33900"/>
    <x v="156"/>
    <x v="0"/>
    <s v="USA"/>
    <x v="2"/>
    <x v="2"/>
    <n v="10"/>
  </r>
  <r>
    <x v="788"/>
    <d v="2012-05-26T21:24:39"/>
    <s v="ZAR900,000"/>
    <n v="900000"/>
    <s v="ZAR"/>
    <n v="109729.60187662003"/>
    <x v="12"/>
    <x v="0"/>
    <s v="South Africa"/>
    <x v="11"/>
    <x v="1"/>
    <n v="40"/>
  </r>
  <r>
    <x v="789"/>
    <d v="2012-05-26T21:27:01"/>
    <n v="850000"/>
    <n v="850000"/>
    <s v="INR"/>
    <n v="15136.729184326183"/>
    <x v="543"/>
    <x v="0"/>
    <s v="India"/>
    <x v="0"/>
    <x v="0"/>
    <n v="2"/>
  </r>
  <r>
    <x v="790"/>
    <d v="2012-05-26T21:27:17"/>
    <n v="85000"/>
    <n v="85000"/>
    <s v="USD"/>
    <n v="85000"/>
    <x v="544"/>
    <x v="4"/>
    <s v="USA"/>
    <x v="2"/>
    <x v="0"/>
    <n v="15"/>
  </r>
  <r>
    <x v="791"/>
    <d v="2012-05-26T21:40:49"/>
    <s v="Rs. 450000"/>
    <n v="450000"/>
    <s v="INR"/>
    <n v="8013.5625093491553"/>
    <x v="545"/>
    <x v="3"/>
    <s v="India"/>
    <x v="0"/>
    <x v="0"/>
    <n v="6"/>
  </r>
  <r>
    <x v="792"/>
    <d v="2012-05-26T21:43:54"/>
    <n v="48000"/>
    <n v="48000"/>
    <s v="USD"/>
    <n v="48000"/>
    <x v="546"/>
    <x v="3"/>
    <s v="USA"/>
    <x v="2"/>
    <x v="2"/>
    <n v="16"/>
  </r>
  <r>
    <x v="793"/>
    <d v="2012-05-26T21:56:36"/>
    <n v="170000"/>
    <n v="170000"/>
    <s v="INR"/>
    <n v="3027.3458368652364"/>
    <x v="547"/>
    <x v="7"/>
    <s v="India"/>
    <x v="0"/>
    <x v="0"/>
    <n v="2"/>
  </r>
  <r>
    <x v="794"/>
    <d v="2012-05-26T21:56:49"/>
    <n v="13100"/>
    <n v="13100"/>
    <s v="USD"/>
    <n v="13100"/>
    <x v="189"/>
    <x v="5"/>
    <s v="India"/>
    <x v="0"/>
    <x v="2"/>
    <n v="5"/>
  </r>
  <r>
    <x v="795"/>
    <d v="2012-05-26T22:02:53"/>
    <n v="5000"/>
    <n v="60000"/>
    <s v="USD"/>
    <n v="60000"/>
    <x v="485"/>
    <x v="3"/>
    <s v="UAE"/>
    <x v="21"/>
    <x v="2"/>
    <n v="15"/>
  </r>
  <r>
    <x v="796"/>
    <d v="2012-05-26T22:07:39"/>
    <s v="24000 $"/>
    <n v="24000"/>
    <s v="USD"/>
    <n v="24000"/>
    <x v="548"/>
    <x v="3"/>
    <s v="Croatia"/>
    <x v="1"/>
    <x v="2"/>
    <n v="5"/>
  </r>
  <r>
    <x v="797"/>
    <d v="2012-05-26T22:08:56"/>
    <s v="Rs 20000"/>
    <n v="240000"/>
    <s v="INR"/>
    <n v="4273.9000049862161"/>
    <x v="20"/>
    <x v="3"/>
    <s v="India"/>
    <x v="0"/>
    <x v="2"/>
    <n v="3"/>
  </r>
  <r>
    <x v="798"/>
    <d v="2012-05-26T22:16:10"/>
    <s v="INR 650000"/>
    <n v="650000"/>
    <s v="INR"/>
    <n v="11575.14584683767"/>
    <x v="398"/>
    <x v="3"/>
    <s v="India"/>
    <x v="0"/>
    <x v="2"/>
    <n v="5"/>
  </r>
  <r>
    <x v="799"/>
    <d v="2012-05-26T22:22:58"/>
    <n v="95000"/>
    <n v="95000"/>
    <s v="USD"/>
    <n v="95000"/>
    <x v="12"/>
    <x v="0"/>
    <s v="USA"/>
    <x v="2"/>
    <x v="2"/>
    <n v="13"/>
  </r>
  <r>
    <x v="800"/>
    <d v="2012-05-26T22:23:38"/>
    <n v="516000"/>
    <n v="516000"/>
    <s v="INR"/>
    <n v="9188.8850107203652"/>
    <x v="549"/>
    <x v="3"/>
    <s v="India"/>
    <x v="0"/>
    <x v="0"/>
    <n v="0"/>
  </r>
  <r>
    <x v="801"/>
    <d v="2012-05-26T22:29:16"/>
    <s v="3500 Rs"/>
    <n v="504000"/>
    <s v="INR"/>
    <n v="8975.1900104710548"/>
    <x v="550"/>
    <x v="3"/>
    <s v="India"/>
    <x v="0"/>
    <x v="1"/>
    <n v="3"/>
  </r>
  <r>
    <x v="802"/>
    <d v="2012-05-26T22:29:21"/>
    <n v="144000"/>
    <n v="144000"/>
    <s v="INR"/>
    <n v="2564.3400029917298"/>
    <x v="551"/>
    <x v="0"/>
    <s v="India"/>
    <x v="0"/>
    <x v="1"/>
    <n v="1"/>
  </r>
  <r>
    <x v="803"/>
    <d v="2012-05-26T22:43:11"/>
    <s v="Â£55000"/>
    <n v="55000"/>
    <s v="GBP"/>
    <n v="86689.804963700633"/>
    <x v="96"/>
    <x v="1"/>
    <s v="UK"/>
    <x v="14"/>
    <x v="0"/>
    <n v="12"/>
  </r>
  <r>
    <x v="804"/>
    <d v="2012-05-26T22:43:12"/>
    <n v="15500"/>
    <n v="15500"/>
    <s v="USD"/>
    <n v="15500"/>
    <x v="306"/>
    <x v="2"/>
    <s v="India"/>
    <x v="0"/>
    <x v="3"/>
    <n v="3"/>
  </r>
  <r>
    <x v="805"/>
    <d v="2012-05-26T22:45:14"/>
    <s v="R$3.000,00"/>
    <n v="300000"/>
    <s v="BRL"/>
    <n v="148284.35006969364"/>
    <x v="552"/>
    <x v="0"/>
    <s v="Brazil"/>
    <x v="20"/>
    <x v="1"/>
    <n v="3"/>
  </r>
  <r>
    <x v="806"/>
    <d v="2012-05-26T22:48:11"/>
    <n v="600000"/>
    <n v="600000"/>
    <s v="INR"/>
    <n v="10684.750012465542"/>
    <x v="506"/>
    <x v="0"/>
    <s v="India"/>
    <x v="0"/>
    <x v="1"/>
    <n v="5"/>
  </r>
  <r>
    <x v="807"/>
    <d v="2012-05-26T22:49:34"/>
    <n v="75000"/>
    <n v="75000"/>
    <s v="USD"/>
    <n v="75000"/>
    <x v="159"/>
    <x v="0"/>
    <s v="USA"/>
    <x v="2"/>
    <x v="2"/>
    <n v="27"/>
  </r>
  <r>
    <x v="808"/>
    <d v="2012-05-26T22:53:35"/>
    <s v="12000 $"/>
    <n v="12000"/>
    <s v="USD"/>
    <n v="12000"/>
    <x v="553"/>
    <x v="3"/>
    <s v="Ukraine"/>
    <x v="6"/>
    <x v="0"/>
    <n v="5"/>
  </r>
  <r>
    <x v="809"/>
    <d v="2012-05-26T23:02:00"/>
    <s v="INR 1700000"/>
    <n v="1700000"/>
    <s v="INR"/>
    <n v="30273.458368652366"/>
    <x v="554"/>
    <x v="3"/>
    <s v="India"/>
    <x v="0"/>
    <x v="1"/>
    <n v="1.1000000000000001"/>
  </r>
  <r>
    <x v="810"/>
    <d v="2012-05-26T23:03:21"/>
    <s v="US$30,000"/>
    <n v="30000"/>
    <s v="USD"/>
    <n v="30000"/>
    <x v="555"/>
    <x v="1"/>
    <s v="Inonesia"/>
    <x v="55"/>
    <x v="0"/>
    <n v="7"/>
  </r>
  <r>
    <x v="811"/>
    <d v="2012-05-26T23:03:59"/>
    <s v="30000 Rs"/>
    <n v="360000"/>
    <s v="INR"/>
    <n v="6410.8500074793246"/>
    <x v="556"/>
    <x v="0"/>
    <s v="India"/>
    <x v="0"/>
    <x v="1"/>
    <n v="4"/>
  </r>
  <r>
    <x v="812"/>
    <d v="2012-05-26T23:04:02"/>
    <n v="100000"/>
    <n v="100000"/>
    <s v="USD"/>
    <n v="100000"/>
    <x v="69"/>
    <x v="4"/>
    <s v="USA"/>
    <x v="2"/>
    <x v="0"/>
    <n v="10"/>
  </r>
  <r>
    <x v="813"/>
    <d v="2012-05-26T23:04:53"/>
    <n v="42000"/>
    <n v="42000"/>
    <s v="EUR"/>
    <n v="53356.776437647524"/>
    <x v="13"/>
    <x v="2"/>
    <s v="The Netherlands"/>
    <x v="18"/>
    <x v="0"/>
    <n v="2"/>
  </r>
  <r>
    <x v="814"/>
    <d v="2012-05-26T23:05:15"/>
    <n v="40000"/>
    <n v="40000"/>
    <s v="USD"/>
    <n v="40000"/>
    <x v="557"/>
    <x v="3"/>
    <s v="USA"/>
    <x v="2"/>
    <x v="2"/>
    <n v="20"/>
  </r>
  <r>
    <x v="815"/>
    <d v="2012-05-26T23:14:58"/>
    <s v="5.5 lakhs"/>
    <n v="550000"/>
    <s v="INR"/>
    <n v="9794.354178093412"/>
    <x v="336"/>
    <x v="0"/>
    <s v="India"/>
    <x v="0"/>
    <x v="0"/>
    <n v="1"/>
  </r>
  <r>
    <x v="816"/>
    <d v="2012-05-26T23:15:18"/>
    <s v="65000 ron"/>
    <n v="65000"/>
    <s v="RON"/>
    <n v="18499.860539512854"/>
    <x v="558"/>
    <x v="6"/>
    <s v="Romania"/>
    <x v="37"/>
    <x v="0"/>
    <n v="6"/>
  </r>
  <r>
    <x v="817"/>
    <d v="2012-05-26T23:17:09"/>
    <s v="15600 â‚¬"/>
    <n v="15600"/>
    <s v="EUR"/>
    <n v="19818.231248269083"/>
    <x v="559"/>
    <x v="1"/>
    <s v="Portugal"/>
    <x v="7"/>
    <x v="0"/>
    <n v="5"/>
  </r>
  <r>
    <x v="818"/>
    <d v="2012-05-26T23:21:57"/>
    <s v="Rs.6,00,000/-"/>
    <n v="600000"/>
    <s v="INR"/>
    <n v="10684.750012465542"/>
    <x v="560"/>
    <x v="3"/>
    <s v="India"/>
    <x v="0"/>
    <x v="1"/>
    <n v="20"/>
  </r>
  <r>
    <x v="819"/>
    <d v="2012-05-26T23:36:14"/>
    <s v="Rs. 6,00,000"/>
    <n v="600000"/>
    <s v="INR"/>
    <n v="10684.750012465542"/>
    <x v="89"/>
    <x v="3"/>
    <s v="India"/>
    <x v="0"/>
    <x v="2"/>
    <n v="18"/>
  </r>
  <r>
    <x v="820"/>
    <d v="2012-05-26T23:38:24"/>
    <n v="1000000"/>
    <n v="1000000"/>
    <s v="INR"/>
    <n v="17807.916687442568"/>
    <x v="561"/>
    <x v="0"/>
    <s v="India"/>
    <x v="0"/>
    <x v="0"/>
    <n v="10"/>
  </r>
  <r>
    <x v="821"/>
    <d v="2012-05-26T23:47:34"/>
    <s v="13000 USD"/>
    <n v="13000"/>
    <s v="USD"/>
    <n v="13000"/>
    <x v="12"/>
    <x v="0"/>
    <s v="India"/>
    <x v="0"/>
    <x v="1"/>
    <n v="6"/>
  </r>
  <r>
    <x v="822"/>
    <d v="2012-05-26T23:58:53"/>
    <s v="900000 Rs"/>
    <n v="900000"/>
    <s v="INR"/>
    <n v="16027.125018698311"/>
    <x v="398"/>
    <x v="3"/>
    <s v="India"/>
    <x v="0"/>
    <x v="3"/>
    <n v="9"/>
  </r>
  <r>
    <x v="823"/>
    <d v="2012-05-27T00:02:45"/>
    <n v="85000"/>
    <n v="85000"/>
    <s v="USD"/>
    <n v="85000"/>
    <x v="104"/>
    <x v="5"/>
    <s v="USA"/>
    <x v="2"/>
    <x v="1"/>
    <n v="1"/>
  </r>
  <r>
    <x v="824"/>
    <d v="2012-05-27T00:07:52"/>
    <n v="6000"/>
    <n v="6000"/>
    <s v="USD"/>
    <n v="6000"/>
    <x v="562"/>
    <x v="0"/>
    <s v="Colombia - South America"/>
    <x v="27"/>
    <x v="3"/>
    <n v="10"/>
  </r>
  <r>
    <x v="825"/>
    <d v="2012-05-27T00:12:53"/>
    <n v="30000"/>
    <n v="30000"/>
    <s v="USD"/>
    <n v="30000"/>
    <x v="442"/>
    <x v="7"/>
    <s v="India"/>
    <x v="0"/>
    <x v="0"/>
    <n v="2"/>
  </r>
  <r>
    <x v="826"/>
    <d v="2012-05-27T00:19:04"/>
    <n v="100000"/>
    <n v="100000"/>
    <s v="GBP"/>
    <n v="157617.8272067284"/>
    <x v="96"/>
    <x v="1"/>
    <s v="UK"/>
    <x v="14"/>
    <x v="2"/>
    <n v="20"/>
  </r>
  <r>
    <x v="827"/>
    <d v="2012-05-27T00:33:06"/>
    <s v="1200000 Rs"/>
    <n v="1200000"/>
    <s v="INR"/>
    <n v="21369.500024931083"/>
    <x v="89"/>
    <x v="3"/>
    <s v="India"/>
    <x v="0"/>
    <x v="3"/>
    <n v="18"/>
  </r>
  <r>
    <x v="828"/>
    <d v="2012-05-27T00:53:20"/>
    <s v="2 lac"/>
    <n v="200000"/>
    <s v="INR"/>
    <n v="3561.5833374885137"/>
    <x v="563"/>
    <x v="7"/>
    <s v="India"/>
    <x v="0"/>
    <x v="0"/>
    <n v="1"/>
  </r>
  <r>
    <x v="829"/>
    <d v="2012-05-27T01:04:46"/>
    <n v="5000"/>
    <n v="5000"/>
    <s v="USD"/>
    <n v="5000"/>
    <x v="564"/>
    <x v="3"/>
    <s v="India"/>
    <x v="0"/>
    <x v="0"/>
    <n v="1"/>
  </r>
  <r>
    <x v="830"/>
    <d v="2012-05-27T01:22:06"/>
    <s v="INR 2,00,000"/>
    <n v="200000"/>
    <s v="INR"/>
    <n v="3561.5833374885137"/>
    <x v="51"/>
    <x v="0"/>
    <s v="India"/>
    <x v="0"/>
    <x v="0"/>
    <n v="2"/>
  </r>
  <r>
    <x v="831"/>
    <d v="2012-05-27T01:30:55"/>
    <s v="30000 eur"/>
    <n v="30000"/>
    <s v="EUR"/>
    <n v="38111.983169748237"/>
    <x v="565"/>
    <x v="5"/>
    <s v="portugal"/>
    <x v="7"/>
    <x v="1"/>
    <n v="8"/>
  </r>
  <r>
    <x v="832"/>
    <d v="2012-05-27T01:41:11"/>
    <s v="Rs. 10,00,000"/>
    <n v="1000000"/>
    <s v="INR"/>
    <n v="17807.916687442568"/>
    <x v="237"/>
    <x v="0"/>
    <s v="India"/>
    <x v="0"/>
    <x v="0"/>
    <n v="6.5"/>
  </r>
  <r>
    <x v="833"/>
    <d v="2012-05-27T01:46:00"/>
    <n v="650000"/>
    <n v="650000"/>
    <s v="INR"/>
    <n v="11575.14584683767"/>
    <x v="566"/>
    <x v="0"/>
    <s v="India"/>
    <x v="0"/>
    <x v="1"/>
    <n v="3.5"/>
  </r>
  <r>
    <x v="834"/>
    <d v="2012-05-27T02:33:22"/>
    <n v="100000"/>
    <n v="100000"/>
    <s v="CAD"/>
    <n v="98336.152303032693"/>
    <x v="567"/>
    <x v="3"/>
    <s v="Canada"/>
    <x v="17"/>
    <x v="2"/>
    <n v="10"/>
  </r>
  <r>
    <x v="835"/>
    <d v="2012-05-27T03:06:02"/>
    <n v="92500"/>
    <n v="92500"/>
    <s v="USD"/>
    <n v="92500"/>
    <x v="568"/>
    <x v="0"/>
    <s v="USA"/>
    <x v="2"/>
    <x v="2"/>
    <n v="15"/>
  </r>
  <r>
    <x v="836"/>
    <d v="2012-05-27T03:16:05"/>
    <s v="Rs. 550000"/>
    <n v="550000"/>
    <s v="INR"/>
    <n v="9794.354178093412"/>
    <x v="5"/>
    <x v="0"/>
    <s v="India"/>
    <x v="0"/>
    <x v="0"/>
    <n v="1"/>
  </r>
  <r>
    <x v="837"/>
    <d v="2012-05-27T03:19:29"/>
    <n v="32000"/>
    <n v="32000"/>
    <s v="USD"/>
    <n v="32000"/>
    <x v="569"/>
    <x v="3"/>
    <s v="USA"/>
    <x v="2"/>
    <x v="0"/>
    <n v="1"/>
  </r>
  <r>
    <x v="838"/>
    <d v="2012-05-27T03:25:05"/>
    <n v="55000"/>
    <n v="55000"/>
    <s v="USD"/>
    <n v="55000"/>
    <x v="5"/>
    <x v="0"/>
    <s v="USA"/>
    <x v="2"/>
    <x v="0"/>
    <n v="10"/>
  </r>
  <r>
    <x v="839"/>
    <d v="2012-05-27T03:25:53"/>
    <n v="40000"/>
    <n v="40000"/>
    <s v="USD"/>
    <n v="40000"/>
    <x v="570"/>
    <x v="0"/>
    <s v="USA"/>
    <x v="2"/>
    <x v="1"/>
    <n v="4"/>
  </r>
  <r>
    <x v="840"/>
    <d v="2012-05-27T03:37:32"/>
    <s v="3000 $"/>
    <n v="3000"/>
    <s v="USD"/>
    <n v="3000"/>
    <x v="64"/>
    <x v="0"/>
    <s v="Pakistan"/>
    <x v="3"/>
    <x v="2"/>
    <n v="2"/>
  </r>
  <r>
    <x v="841"/>
    <d v="2012-05-27T03:37:36"/>
    <n v="43600"/>
    <n v="43600"/>
    <s v="USD"/>
    <n v="43600"/>
    <x v="79"/>
    <x v="0"/>
    <s v="USA"/>
    <x v="2"/>
    <x v="0"/>
    <n v="5"/>
  </r>
  <r>
    <x v="842"/>
    <d v="2012-05-27T04:00:14"/>
    <s v="Rs. 45000"/>
    <n v="540000"/>
    <s v="INR"/>
    <n v="9616.275011218986"/>
    <x v="49"/>
    <x v="0"/>
    <s v="India"/>
    <x v="0"/>
    <x v="1"/>
    <n v="8"/>
  </r>
  <r>
    <x v="843"/>
    <d v="2012-05-27T04:05:28"/>
    <n v="35000"/>
    <n v="35000"/>
    <s v="USD"/>
    <n v="35000"/>
    <x v="434"/>
    <x v="3"/>
    <s v="Uruguay"/>
    <x v="63"/>
    <x v="1"/>
    <n v="10"/>
  </r>
  <r>
    <x v="844"/>
    <d v="2012-05-27T04:07:07"/>
    <n v="12000"/>
    <n v="12000"/>
    <s v="USD"/>
    <n v="12000"/>
    <x v="571"/>
    <x v="8"/>
    <s v="Spain"/>
    <x v="47"/>
    <x v="2"/>
    <n v="15"/>
  </r>
  <r>
    <x v="845"/>
    <d v="2012-05-27T04:12:04"/>
    <n v="5000"/>
    <n v="5000"/>
    <s v="USD"/>
    <n v="5000"/>
    <x v="572"/>
    <x v="8"/>
    <s v="Aruba"/>
    <x v="64"/>
    <x v="3"/>
    <n v="13"/>
  </r>
  <r>
    <x v="846"/>
    <d v="2012-05-27T04:31:08"/>
    <s v="R134000"/>
    <n v="134000"/>
    <s v="ZAR"/>
    <n v="16337.518501630093"/>
    <x v="79"/>
    <x v="0"/>
    <s v="South Africa"/>
    <x v="11"/>
    <x v="0"/>
    <n v="2"/>
  </r>
  <r>
    <x v="847"/>
    <d v="2012-05-27T04:40:33"/>
    <n v="65000"/>
    <n v="65000"/>
    <s v="USD"/>
    <n v="65000"/>
    <x v="573"/>
    <x v="0"/>
    <s v="USA"/>
    <x v="2"/>
    <x v="3"/>
    <n v="8"/>
  </r>
  <r>
    <x v="848"/>
    <d v="2012-05-27T06:17:41"/>
    <n v="40000"/>
    <n v="40000"/>
    <s v="USD"/>
    <n v="40000"/>
    <x v="574"/>
    <x v="0"/>
    <s v="USA"/>
    <x v="2"/>
    <x v="1"/>
    <n v="2"/>
  </r>
  <r>
    <x v="849"/>
    <d v="2012-05-27T06:37:13"/>
    <n v="98000"/>
    <n v="98000"/>
    <s v="USD"/>
    <n v="98000"/>
    <x v="575"/>
    <x v="3"/>
    <s v="indonesia"/>
    <x v="55"/>
    <x v="2"/>
    <n v="14"/>
  </r>
  <r>
    <x v="850"/>
    <d v="2012-05-27T06:37:15"/>
    <n v="50000"/>
    <n v="50000"/>
    <s v="USD"/>
    <n v="50000"/>
    <x v="576"/>
    <x v="4"/>
    <s v="USA"/>
    <x v="2"/>
    <x v="1"/>
    <n v="15"/>
  </r>
  <r>
    <x v="851"/>
    <d v="2012-05-27T07:19:14"/>
    <n v="135000"/>
    <n v="135000"/>
    <s v="USD"/>
    <n v="135000"/>
    <x v="577"/>
    <x v="4"/>
    <s v="USA"/>
    <x v="2"/>
    <x v="0"/>
    <n v="25"/>
  </r>
  <r>
    <x v="852"/>
    <d v="2012-05-27T08:07:40"/>
    <s v="125 $"/>
    <n v="125000"/>
    <s v="USD"/>
    <n v="125000"/>
    <x v="578"/>
    <x v="3"/>
    <s v="Norway"/>
    <x v="46"/>
    <x v="0"/>
    <n v="6"/>
  </r>
  <r>
    <x v="853"/>
    <d v="2012-05-27T08:54:28"/>
    <n v="4500"/>
    <n v="4500"/>
    <s v="USD"/>
    <n v="4500"/>
    <x v="579"/>
    <x v="0"/>
    <s v="indonesia"/>
    <x v="55"/>
    <x v="2"/>
    <n v="4"/>
  </r>
  <r>
    <x v="854"/>
    <d v="2012-05-27T08:55:36"/>
    <n v="115000"/>
    <n v="115000"/>
    <s v="USD"/>
    <n v="115000"/>
    <x v="580"/>
    <x v="0"/>
    <s v="USA"/>
    <x v="2"/>
    <x v="0"/>
    <n v="10"/>
  </r>
  <r>
    <x v="855"/>
    <d v="2012-05-27T09:17:47"/>
    <n v="70000"/>
    <n v="70000"/>
    <s v="USD"/>
    <n v="70000"/>
    <x v="2"/>
    <x v="0"/>
    <s v="USA"/>
    <x v="2"/>
    <x v="1"/>
    <n v="15"/>
  </r>
  <r>
    <x v="856"/>
    <d v="2012-05-27T09:49:30"/>
    <n v="5000"/>
    <n v="60000"/>
    <s v="USD"/>
    <n v="60000"/>
    <x v="581"/>
    <x v="0"/>
    <s v="USA"/>
    <x v="2"/>
    <x v="2"/>
    <n v="8"/>
  </r>
  <r>
    <x v="857"/>
    <d v="2012-05-27T10:13:27"/>
    <n v="87456"/>
    <n v="87456"/>
    <s v="USD"/>
    <n v="87456"/>
    <x v="582"/>
    <x v="3"/>
    <s v="USA"/>
    <x v="2"/>
    <x v="2"/>
    <n v="12"/>
  </r>
  <r>
    <x v="858"/>
    <d v="2012-05-27T11:32:17"/>
    <n v="26400"/>
    <n v="26400"/>
    <s v="USD"/>
    <n v="26400"/>
    <x v="583"/>
    <x v="0"/>
    <s v="UAE"/>
    <x v="21"/>
    <x v="1"/>
    <n v="6"/>
  </r>
  <r>
    <x v="859"/>
    <d v="2012-05-27T11:50:16"/>
    <n v="1000"/>
    <n v="12000"/>
    <s v="USD"/>
    <n v="12000"/>
    <x v="584"/>
    <x v="3"/>
    <s v="UAE"/>
    <x v="21"/>
    <x v="1"/>
    <n v="18"/>
  </r>
  <r>
    <x v="860"/>
    <d v="2012-05-27T12:03:51"/>
    <n v="144000"/>
    <n v="144000"/>
    <s v="INR"/>
    <n v="2564.3400029917298"/>
    <x v="585"/>
    <x v="0"/>
    <s v="India"/>
    <x v="0"/>
    <x v="0"/>
    <n v="1"/>
  </r>
  <r>
    <x v="861"/>
    <d v="2012-05-27T12:32:45"/>
    <s v="62000 USD"/>
    <n v="62000"/>
    <s v="USD"/>
    <n v="62000"/>
    <x v="586"/>
    <x v="3"/>
    <s v="Qatar"/>
    <x v="65"/>
    <x v="1"/>
    <n v="11"/>
  </r>
  <r>
    <x v="862"/>
    <d v="2012-05-27T12:35:15"/>
    <s v="3 lacs P.A"/>
    <n v="300000"/>
    <s v="INR"/>
    <n v="5342.3750062327708"/>
    <x v="587"/>
    <x v="0"/>
    <s v="India"/>
    <x v="0"/>
    <x v="3"/>
    <n v="10"/>
  </r>
  <r>
    <x v="863"/>
    <d v="2012-05-27T12:37:02"/>
    <n v="40000"/>
    <n v="40000"/>
    <s v="EUR"/>
    <n v="50815.977559664309"/>
    <x v="588"/>
    <x v="0"/>
    <s v="Netherlands"/>
    <x v="18"/>
    <x v="0"/>
    <n v="4"/>
  </r>
  <r>
    <x v="864"/>
    <d v="2012-05-27T12:41:29"/>
    <s v="US 2130"/>
    <n v="25560"/>
    <s v="USD"/>
    <n v="25560"/>
    <x v="589"/>
    <x v="3"/>
    <s v="saudi arabia"/>
    <x v="22"/>
    <x v="0"/>
    <n v="3"/>
  </r>
  <r>
    <x v="865"/>
    <d v="2012-05-27T12:57:51"/>
    <s v="Rs.60000/-"/>
    <n v="720000"/>
    <s v="INR"/>
    <n v="12821.700014958649"/>
    <x v="590"/>
    <x v="5"/>
    <s v="India"/>
    <x v="0"/>
    <x v="0"/>
    <n v="3"/>
  </r>
  <r>
    <x v="866"/>
    <d v="2012-05-27T13:06:50"/>
    <n v="600000"/>
    <n v="600000"/>
    <s v="INR"/>
    <n v="10684.750012465542"/>
    <x v="591"/>
    <x v="3"/>
    <s v="India"/>
    <x v="0"/>
    <x v="1"/>
    <n v="5"/>
  </r>
  <r>
    <x v="867"/>
    <d v="2012-05-27T13:27:19"/>
    <s v="Rs. 35000"/>
    <n v="420000"/>
    <s v="PKR"/>
    <n v="4457.9172610556352"/>
    <x v="592"/>
    <x v="3"/>
    <s v="Pakistan"/>
    <x v="3"/>
    <x v="1"/>
    <n v="4"/>
  </r>
  <r>
    <x v="868"/>
    <d v="2012-05-27T13:29:52"/>
    <s v="$125000 / a excl bonus"/>
    <n v="125000"/>
    <s v="USD"/>
    <n v="125000"/>
    <x v="593"/>
    <x v="4"/>
    <s v="South Africa"/>
    <x v="11"/>
    <x v="0"/>
    <n v="20"/>
  </r>
  <r>
    <x v="869"/>
    <d v="2012-05-27T13:34:12"/>
    <n v="43000"/>
    <n v="43000"/>
    <s v="USD"/>
    <n v="43000"/>
    <x v="2"/>
    <x v="0"/>
    <s v="USA"/>
    <x v="2"/>
    <x v="0"/>
    <n v="1"/>
  </r>
  <r>
    <x v="870"/>
    <d v="2012-05-27T13:41:04"/>
    <s v="400000 Rs"/>
    <n v="400000"/>
    <s v="INR"/>
    <n v="7123.1666749770275"/>
    <x v="306"/>
    <x v="2"/>
    <s v="India"/>
    <x v="0"/>
    <x v="2"/>
    <n v="6"/>
  </r>
  <r>
    <x v="871"/>
    <d v="2012-05-27T13:41:05"/>
    <n v="10000"/>
    <n v="10000"/>
    <s v="USD"/>
    <n v="10000"/>
    <x v="594"/>
    <x v="5"/>
    <s v="Viet Nam"/>
    <x v="66"/>
    <x v="0"/>
    <n v="4"/>
  </r>
  <r>
    <x v="872"/>
    <d v="2012-05-27T13:42:15"/>
    <s v="inr 500000"/>
    <n v="500000"/>
    <s v="INR"/>
    <n v="8903.9583437212841"/>
    <x v="595"/>
    <x v="3"/>
    <s v="India"/>
    <x v="0"/>
    <x v="3"/>
    <n v="5"/>
  </r>
  <r>
    <x v="873"/>
    <d v="2012-05-27T13:45:47"/>
    <n v="36500"/>
    <n v="36500"/>
    <s v="USD"/>
    <n v="36500"/>
    <x v="189"/>
    <x v="5"/>
    <s v="Saudi Arabia"/>
    <x v="22"/>
    <x v="0"/>
    <n v="15"/>
  </r>
  <r>
    <x v="874"/>
    <d v="2012-05-27T13:52:53"/>
    <s v="100,000 usd"/>
    <n v="100000"/>
    <s v="USD"/>
    <n v="100000"/>
    <x v="69"/>
    <x v="4"/>
    <s v="MÃ©xico"/>
    <x v="25"/>
    <x v="1"/>
    <n v="10"/>
  </r>
  <r>
    <x v="875"/>
    <d v="2012-05-27T14:04:31"/>
    <s v="Rs. 400000"/>
    <n v="400000"/>
    <s v="INR"/>
    <n v="7123.1666749770275"/>
    <x v="596"/>
    <x v="5"/>
    <s v="India"/>
    <x v="0"/>
    <x v="2"/>
    <n v="8"/>
  </r>
  <r>
    <x v="876"/>
    <d v="2012-05-27T14:22:11"/>
    <s v="INR 23 L"/>
    <n v="2300000"/>
    <s v="INR"/>
    <n v="40958.208381117904"/>
    <x v="597"/>
    <x v="3"/>
    <s v="India"/>
    <x v="0"/>
    <x v="2"/>
    <n v="8"/>
  </r>
  <r>
    <x v="877"/>
    <d v="2012-05-27T14:27:33"/>
    <s v="rs 100000"/>
    <n v="1200000"/>
    <s v="INR"/>
    <n v="21369.500024931083"/>
    <x v="598"/>
    <x v="4"/>
    <s v="India"/>
    <x v="0"/>
    <x v="0"/>
    <n v="17"/>
  </r>
  <r>
    <x v="878"/>
    <d v="2012-05-27T14:47:21"/>
    <n v="120000"/>
    <n v="120000"/>
    <s v="INR"/>
    <n v="2136.9500024931081"/>
    <x v="599"/>
    <x v="3"/>
    <s v="India"/>
    <x v="0"/>
    <x v="0"/>
    <n v="5"/>
  </r>
  <r>
    <x v="879"/>
    <d v="2012-05-27T14:49:12"/>
    <s v="5,00,000 INR"/>
    <n v="500000"/>
    <s v="INR"/>
    <n v="8903.9583437212841"/>
    <x v="450"/>
    <x v="2"/>
    <s v="India"/>
    <x v="0"/>
    <x v="2"/>
    <n v="3"/>
  </r>
  <r>
    <x v="880"/>
    <d v="2012-05-27T14:50:56"/>
    <n v="1000000"/>
    <n v="1000000"/>
    <s v="INR"/>
    <n v="17807.916687442568"/>
    <x v="600"/>
    <x v="3"/>
    <s v="India"/>
    <x v="0"/>
    <x v="0"/>
    <n v="5"/>
  </r>
  <r>
    <x v="881"/>
    <d v="2012-05-27T14:55:30"/>
    <s v="INR 850,000"/>
    <n v="850000"/>
    <s v="INR"/>
    <n v="15136.729184326183"/>
    <x v="592"/>
    <x v="3"/>
    <s v="India"/>
    <x v="0"/>
    <x v="2"/>
    <n v="3"/>
  </r>
  <r>
    <x v="882"/>
    <d v="2012-05-27T15:01:02"/>
    <s v="PhP168000"/>
    <n v="168000"/>
    <s v="PHP"/>
    <n v="3982.448779308334"/>
    <x v="354"/>
    <x v="0"/>
    <s v="Philippines"/>
    <x v="32"/>
    <x v="0"/>
    <n v="10"/>
  </r>
  <r>
    <x v="883"/>
    <d v="2012-05-27T15:25:40"/>
    <n v="1300"/>
    <n v="15600"/>
    <s v="USD"/>
    <n v="15600"/>
    <x v="601"/>
    <x v="1"/>
    <s v="Kuwait "/>
    <x v="67"/>
    <x v="0"/>
    <n v="13"/>
  </r>
  <r>
    <x v="884"/>
    <d v="2012-05-27T15:26:34"/>
    <s v="180000 INR"/>
    <n v="180000"/>
    <s v="INR"/>
    <n v="3205.4250037396623"/>
    <x v="444"/>
    <x v="0"/>
    <s v="India"/>
    <x v="0"/>
    <x v="2"/>
    <n v="3.5"/>
  </r>
  <r>
    <x v="885"/>
    <d v="2012-05-27T15:32:10"/>
    <n v="10000"/>
    <n v="10000"/>
    <s v="USD"/>
    <n v="10000"/>
    <x v="328"/>
    <x v="3"/>
    <s v="India"/>
    <x v="0"/>
    <x v="0"/>
    <n v="6"/>
  </r>
  <r>
    <x v="886"/>
    <d v="2012-05-27T15:44:07"/>
    <n v="75010"/>
    <n v="75010"/>
    <s v="USD"/>
    <n v="75010"/>
    <x v="289"/>
    <x v="0"/>
    <s v="USA"/>
    <x v="2"/>
    <x v="2"/>
    <n v="6"/>
  </r>
  <r>
    <x v="887"/>
    <d v="2012-05-27T15:44:52"/>
    <s v="Rs 600000/-"/>
    <n v="600000"/>
    <s v="INR"/>
    <n v="10684.750012465542"/>
    <x v="20"/>
    <x v="3"/>
    <s v="India"/>
    <x v="0"/>
    <x v="1"/>
    <n v="9"/>
  </r>
  <r>
    <x v="888"/>
    <d v="2012-05-27T15:48:03"/>
    <n v="16350"/>
    <n v="16350"/>
    <s v="USD"/>
    <n v="16350"/>
    <x v="502"/>
    <x v="3"/>
    <s v="India"/>
    <x v="0"/>
    <x v="0"/>
    <n v="5"/>
  </r>
  <r>
    <x v="889"/>
    <d v="2012-05-27T16:10:04"/>
    <n v="80000"/>
    <n v="80000"/>
    <s v="GBP"/>
    <n v="126094.26176538273"/>
    <x v="602"/>
    <x v="5"/>
    <s v="UK"/>
    <x v="14"/>
    <x v="0"/>
    <n v="10"/>
  </r>
  <r>
    <x v="890"/>
    <d v="2012-05-27T16:10:27"/>
    <n v="60000"/>
    <n v="60000"/>
    <s v="USD"/>
    <n v="60000"/>
    <x v="127"/>
    <x v="5"/>
    <s v="Singapore"/>
    <x v="29"/>
    <x v="1"/>
    <n v="10"/>
  </r>
  <r>
    <x v="891"/>
    <d v="2012-05-27T16:24:50"/>
    <n v="1300000"/>
    <n v="1300000"/>
    <s v="INR"/>
    <n v="23150.291693675339"/>
    <x v="527"/>
    <x v="3"/>
    <s v="India"/>
    <x v="0"/>
    <x v="3"/>
    <n v="3"/>
  </r>
  <r>
    <x v="892"/>
    <d v="2012-05-27T16:30:54"/>
    <n v="775000"/>
    <n v="775000"/>
    <s v="INR"/>
    <n v="13801.135432767991"/>
    <x v="5"/>
    <x v="0"/>
    <s v="India"/>
    <x v="0"/>
    <x v="0"/>
    <n v="2"/>
  </r>
  <r>
    <x v="893"/>
    <d v="2012-05-27T16:50:50"/>
    <s v="1050000 INR"/>
    <n v="1050000"/>
    <s v="INR"/>
    <n v="18698.312521814696"/>
    <x v="603"/>
    <x v="3"/>
    <s v="India"/>
    <x v="0"/>
    <x v="1"/>
    <n v="5"/>
  </r>
  <r>
    <x v="894"/>
    <d v="2012-05-27T17:10:36"/>
    <n v="36000"/>
    <n v="36000"/>
    <s v="USD"/>
    <n v="36000"/>
    <x v="604"/>
    <x v="1"/>
    <s v="Czech Republic"/>
    <x v="68"/>
    <x v="2"/>
    <n v="9"/>
  </r>
  <r>
    <x v="895"/>
    <d v="2012-05-27T17:16:55"/>
    <s v="486000 INR"/>
    <n v="486000"/>
    <s v="INR"/>
    <n v="8654.6475100970874"/>
    <x v="592"/>
    <x v="3"/>
    <s v="India"/>
    <x v="0"/>
    <x v="1"/>
    <n v="6"/>
  </r>
  <r>
    <x v="896"/>
    <d v="2012-05-27T17:17:24"/>
    <s v="Â£65000"/>
    <n v="65000"/>
    <s v="GBP"/>
    <n v="102451.58768437347"/>
    <x v="20"/>
    <x v="3"/>
    <s v="UK"/>
    <x v="14"/>
    <x v="3"/>
    <n v="15"/>
  </r>
  <r>
    <x v="897"/>
    <d v="2012-05-27T17:24:09"/>
    <n v="36400"/>
    <n v="36400"/>
    <s v="USD"/>
    <n v="36400"/>
    <x v="5"/>
    <x v="0"/>
    <s v="Zimbabwe"/>
    <x v="69"/>
    <x v="0"/>
    <n v="20"/>
  </r>
  <r>
    <x v="898"/>
    <d v="2012-05-27T18:19:31"/>
    <n v="64210.1"/>
    <n v="64210"/>
    <s v="GBP"/>
    <n v="101206.40684944032"/>
    <x v="605"/>
    <x v="8"/>
    <s v="UK"/>
    <x v="14"/>
    <x v="0"/>
    <n v="16"/>
  </r>
  <r>
    <x v="899"/>
    <d v="2012-05-27T18:33:51"/>
    <s v="300000RS"/>
    <n v="300000"/>
    <s v="INR"/>
    <n v="5342.3750062327708"/>
    <x v="5"/>
    <x v="0"/>
    <s v="India"/>
    <x v="0"/>
    <x v="0"/>
    <n v="0.5"/>
  </r>
  <r>
    <x v="900"/>
    <d v="2012-05-27T19:39:26"/>
    <n v="104000"/>
    <n v="104000"/>
    <s v="AED"/>
    <n v="28310.79811950968"/>
    <x v="2"/>
    <x v="0"/>
    <s v="UAE"/>
    <x v="21"/>
    <x v="0"/>
    <n v="11"/>
  </r>
  <r>
    <x v="901"/>
    <d v="2012-05-27T19:41:55"/>
    <n v="20500"/>
    <n v="20500"/>
    <s v="EUR"/>
    <n v="26043.18849932796"/>
    <x v="606"/>
    <x v="3"/>
    <s v="Poland"/>
    <x v="15"/>
    <x v="0"/>
    <n v="8"/>
  </r>
  <r>
    <x v="902"/>
    <d v="2012-05-27T20:18:50"/>
    <s v="95000 AUD"/>
    <n v="95000"/>
    <s v="AUD"/>
    <n v="96891.417358250401"/>
    <x v="607"/>
    <x v="0"/>
    <s v="Australia"/>
    <x v="16"/>
    <x v="3"/>
    <n v="7"/>
  </r>
  <r>
    <x v="903"/>
    <d v="2012-05-27T20:43:13"/>
    <s v="Rs. 144000"/>
    <n v="144000"/>
    <s v="INR"/>
    <n v="2564.3400029917298"/>
    <x v="608"/>
    <x v="1"/>
    <s v="India"/>
    <x v="0"/>
    <x v="0"/>
    <n v="4"/>
  </r>
  <r>
    <x v="904"/>
    <d v="2012-05-27T20:51:55"/>
    <n v="180000"/>
    <n v="180000"/>
    <s v="INR"/>
    <n v="3205.4250037396623"/>
    <x v="609"/>
    <x v="7"/>
    <s v="India"/>
    <x v="0"/>
    <x v="1"/>
    <n v="8"/>
  </r>
  <r>
    <x v="905"/>
    <d v="2012-05-27T21:04:07"/>
    <n v="600000"/>
    <n v="600000"/>
    <s v="INR"/>
    <n v="10684.750012465542"/>
    <x v="51"/>
    <x v="0"/>
    <s v="India"/>
    <x v="0"/>
    <x v="1"/>
    <n v="8"/>
  </r>
  <r>
    <x v="906"/>
    <d v="2012-05-27T21:21:41"/>
    <n v="150000"/>
    <n v="150000"/>
    <s v="USD"/>
    <n v="150000"/>
    <x v="236"/>
    <x v="1"/>
    <s v="USA"/>
    <x v="2"/>
    <x v="0"/>
    <n v="25"/>
  </r>
  <r>
    <x v="907"/>
    <d v="2012-05-27T21:24:42"/>
    <s v="7 Lakhs"/>
    <n v="700000"/>
    <s v="INR"/>
    <n v="12465.541681209797"/>
    <x v="610"/>
    <x v="3"/>
    <s v="India"/>
    <x v="0"/>
    <x v="0"/>
    <n v="3"/>
  </r>
  <r>
    <x v="908"/>
    <d v="2012-05-27T21:44:39"/>
    <s v="15000 â‚¬"/>
    <n v="15000"/>
    <s v="EUR"/>
    <n v="19055.991584874118"/>
    <x v="611"/>
    <x v="0"/>
    <s v="Slovenia"/>
    <x v="70"/>
    <x v="0"/>
    <n v="4"/>
  </r>
  <r>
    <x v="909"/>
    <d v="2012-05-27T21:49:55"/>
    <n v="105000"/>
    <n v="105000"/>
    <s v="USD"/>
    <n v="105000"/>
    <x v="12"/>
    <x v="0"/>
    <s v="USA"/>
    <x v="2"/>
    <x v="0"/>
    <n v="20"/>
  </r>
  <r>
    <x v="910"/>
    <d v="2012-05-27T22:05:15"/>
    <n v="24000"/>
    <n v="24000"/>
    <s v="USD"/>
    <n v="24000"/>
    <x v="12"/>
    <x v="0"/>
    <s v="India"/>
    <x v="0"/>
    <x v="0"/>
    <n v="3"/>
  </r>
  <r>
    <x v="911"/>
    <d v="2012-05-27T22:22:01"/>
    <s v="50000 GBP"/>
    <n v="50000"/>
    <s v="GBP"/>
    <n v="78808.913603364199"/>
    <x v="612"/>
    <x v="0"/>
    <s v="UK"/>
    <x v="14"/>
    <x v="1"/>
    <n v="10"/>
  </r>
  <r>
    <x v="912"/>
    <d v="2012-05-27T22:35:22"/>
    <n v="42000"/>
    <n v="42000"/>
    <s v="USD"/>
    <n v="42000"/>
    <x v="613"/>
    <x v="1"/>
    <s v="Saudi Arabia"/>
    <x v="22"/>
    <x v="1"/>
    <n v="15"/>
  </r>
  <r>
    <x v="913"/>
    <d v="2012-05-27T22:40:38"/>
    <s v="R$ 19.200,00"/>
    <n v="19200"/>
    <s v="BRL"/>
    <n v="9490.1984044603923"/>
    <x v="614"/>
    <x v="0"/>
    <s v="Brazil"/>
    <x v="20"/>
    <x v="1"/>
    <n v="8"/>
  </r>
  <r>
    <x v="914"/>
    <d v="2012-05-27T22:58:39"/>
    <n v="60000"/>
    <n v="60000"/>
    <s v="USD"/>
    <n v="60000"/>
    <x v="35"/>
    <x v="8"/>
    <s v="Singapore"/>
    <x v="29"/>
    <x v="0"/>
    <n v="5"/>
  </r>
  <r>
    <x v="915"/>
    <d v="2012-05-27T23:03:21"/>
    <n v="1000000"/>
    <n v="1000000"/>
    <s v="INR"/>
    <n v="17807.916687442568"/>
    <x v="615"/>
    <x v="3"/>
    <s v="India"/>
    <x v="0"/>
    <x v="1"/>
    <n v="8"/>
  </r>
  <r>
    <x v="916"/>
    <d v="2012-05-27T23:10:01"/>
    <s v="Rs.7,00,000"/>
    <n v="700000"/>
    <s v="INR"/>
    <n v="12465.541681209797"/>
    <x v="12"/>
    <x v="0"/>
    <s v="India"/>
    <x v="0"/>
    <x v="1"/>
    <n v="1"/>
  </r>
  <r>
    <x v="917"/>
    <d v="2012-05-27T23:32:30"/>
    <n v="20571"/>
    <n v="20571"/>
    <s v="USD"/>
    <n v="20571"/>
    <x v="8"/>
    <x v="4"/>
    <s v="Albania"/>
    <x v="71"/>
    <x v="0"/>
    <n v="8"/>
  </r>
  <r>
    <x v="918"/>
    <d v="2012-05-27T23:43:21"/>
    <n v="290"/>
    <n v="3480"/>
    <s v="USD"/>
    <n v="3480"/>
    <x v="616"/>
    <x v="3"/>
    <s v="Pakistan"/>
    <x v="3"/>
    <x v="1"/>
    <n v="6"/>
  </r>
  <r>
    <x v="919"/>
    <d v="2012-05-27T23:46:03"/>
    <n v="18060"/>
    <n v="18060"/>
    <s v="USD"/>
    <n v="18060"/>
    <x v="617"/>
    <x v="7"/>
    <s v="Philippines"/>
    <x v="32"/>
    <x v="0"/>
    <n v="12"/>
  </r>
  <r>
    <x v="920"/>
    <d v="2012-05-27T23:47:25"/>
    <s v="30000 $"/>
    <n v="30000"/>
    <s v="USD"/>
    <n v="30000"/>
    <x v="618"/>
    <x v="5"/>
    <s v="Iran"/>
    <x v="39"/>
    <x v="2"/>
    <n v="30"/>
  </r>
  <r>
    <x v="921"/>
    <d v="2012-05-27T23:52:48"/>
    <s v="usd 2000 per month"/>
    <n v="24000"/>
    <s v="USD"/>
    <n v="24000"/>
    <x v="619"/>
    <x v="3"/>
    <s v="India"/>
    <x v="0"/>
    <x v="0"/>
    <n v="10"/>
  </r>
  <r>
    <x v="922"/>
    <d v="2012-05-28T00:10:43"/>
    <n v="63200"/>
    <n v="63200"/>
    <s v="EUR"/>
    <n v="80289.244544269619"/>
    <x v="35"/>
    <x v="8"/>
    <s v="France"/>
    <x v="19"/>
    <x v="0"/>
    <n v="3"/>
  </r>
  <r>
    <x v="923"/>
    <d v="2012-05-28T00:17:26"/>
    <n v="70000"/>
    <n v="70000"/>
    <s v="USD"/>
    <n v="70000"/>
    <x v="620"/>
    <x v="3"/>
    <s v="USA"/>
    <x v="2"/>
    <x v="0"/>
    <n v="4"/>
  </r>
  <r>
    <x v="924"/>
    <d v="2012-05-28T00:28:56"/>
    <s v="Rs 40000"/>
    <n v="480000"/>
    <s v="INR"/>
    <n v="8547.8000099724322"/>
    <x v="20"/>
    <x v="3"/>
    <s v="India"/>
    <x v="0"/>
    <x v="2"/>
    <n v="2"/>
  </r>
  <r>
    <x v="925"/>
    <d v="2012-05-28T00:36:20"/>
    <s v="INR 600K"/>
    <n v="600000"/>
    <s v="INR"/>
    <n v="10684.750012465542"/>
    <x v="621"/>
    <x v="0"/>
    <s v="India"/>
    <x v="0"/>
    <x v="0"/>
    <n v="11"/>
  </r>
  <r>
    <x v="926"/>
    <d v="2012-05-28T00:43:40"/>
    <s v="600000 INR"/>
    <n v="600000"/>
    <s v="INR"/>
    <n v="10684.750012465542"/>
    <x v="444"/>
    <x v="0"/>
    <s v="India"/>
    <x v="0"/>
    <x v="2"/>
    <n v="4"/>
  </r>
  <r>
    <x v="927"/>
    <d v="2012-05-28T00:48:23"/>
    <n v="20000"/>
    <n v="20000"/>
    <s v="USD"/>
    <n v="20000"/>
    <x v="602"/>
    <x v="5"/>
    <s v="Zambia"/>
    <x v="72"/>
    <x v="1"/>
    <n v="2"/>
  </r>
  <r>
    <x v="928"/>
    <d v="2012-05-28T01:17:17"/>
    <s v="42000 â‚¬"/>
    <n v="42000"/>
    <s v="EUR"/>
    <n v="53356.776437647524"/>
    <x v="35"/>
    <x v="8"/>
    <s v="Germany"/>
    <x v="5"/>
    <x v="2"/>
    <n v="3"/>
  </r>
  <r>
    <x v="929"/>
    <d v="2012-05-28T01:29:19"/>
    <n v="3000"/>
    <n v="36000"/>
    <s v="USD"/>
    <n v="36000"/>
    <x v="189"/>
    <x v="5"/>
    <s v="United Arab Emirates"/>
    <x v="21"/>
    <x v="0"/>
    <n v="4.5"/>
  </r>
  <r>
    <x v="930"/>
    <d v="2012-05-28T01:30:29"/>
    <n v="57000"/>
    <n v="57000"/>
    <s v="USD"/>
    <n v="57000"/>
    <x v="622"/>
    <x v="2"/>
    <s v="USA"/>
    <x v="2"/>
    <x v="2"/>
    <n v="4"/>
  </r>
  <r>
    <x v="931"/>
    <d v="2012-05-28T01:47:29"/>
    <n v="135000"/>
    <n v="135000"/>
    <s v="USD"/>
    <n v="135000"/>
    <x v="623"/>
    <x v="3"/>
    <s v="USA"/>
    <x v="2"/>
    <x v="1"/>
    <n v="15"/>
  </r>
  <r>
    <x v="932"/>
    <d v="2012-05-28T02:25:13"/>
    <n v="75000"/>
    <n v="75000"/>
    <s v="EUR"/>
    <n v="95279.957924370581"/>
    <x v="624"/>
    <x v="0"/>
    <s v="Netherlands"/>
    <x v="18"/>
    <x v="0"/>
    <n v="4"/>
  </r>
  <r>
    <x v="933"/>
    <d v="2012-05-28T03:34:14"/>
    <n v="45000"/>
    <n v="45000"/>
    <s v="EUR"/>
    <n v="57167.974754622352"/>
    <x v="625"/>
    <x v="0"/>
    <s v="netherlands"/>
    <x v="18"/>
    <x v="2"/>
    <n v="10"/>
  </r>
  <r>
    <x v="934"/>
    <d v="2012-05-28T03:44:00"/>
    <s v="2,000,000 Naira"/>
    <n v="2000000"/>
    <s v="NAIRA"/>
    <n v="12326.656394453004"/>
    <x v="626"/>
    <x v="3"/>
    <s v="Nigeria"/>
    <x v="60"/>
    <x v="0"/>
    <n v="5"/>
  </r>
  <r>
    <x v="935"/>
    <d v="2012-05-28T04:05:14"/>
    <n v="8000"/>
    <n v="8000"/>
    <s v="USD"/>
    <n v="8000"/>
    <x v="88"/>
    <x v="0"/>
    <s v="India"/>
    <x v="0"/>
    <x v="3"/>
    <n v="5"/>
  </r>
  <r>
    <x v="936"/>
    <d v="2012-05-28T04:40:41"/>
    <s v="48000 $"/>
    <n v="48000"/>
    <s v="USD"/>
    <n v="48000"/>
    <x v="627"/>
    <x v="3"/>
    <s v="France"/>
    <x v="19"/>
    <x v="0"/>
    <n v="5"/>
  </r>
  <r>
    <x v="937"/>
    <d v="2012-05-28T05:07:44"/>
    <n v="40000"/>
    <n v="40000"/>
    <s v="USD"/>
    <n v="40000"/>
    <x v="5"/>
    <x v="0"/>
    <s v="NZ"/>
    <x v="48"/>
    <x v="0"/>
    <n v="5"/>
  </r>
  <r>
    <x v="938"/>
    <d v="2012-05-28T05:09:12"/>
    <s v="NZ$ 75000"/>
    <n v="75000"/>
    <s v="NZD"/>
    <n v="59819.107020370408"/>
    <x v="246"/>
    <x v="0"/>
    <s v="New  Zealand"/>
    <x v="48"/>
    <x v="0"/>
    <n v="10"/>
  </r>
  <r>
    <x v="939"/>
    <d v="2012-05-28T05:12:38"/>
    <n v="150000"/>
    <n v="150000"/>
    <s v="USD"/>
    <n v="150000"/>
    <x v="628"/>
    <x v="0"/>
    <s v="Switzerland"/>
    <x v="10"/>
    <x v="3"/>
    <n v="20"/>
  </r>
  <r>
    <x v="940"/>
    <d v="2012-05-28T05:20:41"/>
    <n v="80000"/>
    <n v="80000"/>
    <s v="AUD"/>
    <n v="81592.772512210868"/>
    <x v="629"/>
    <x v="3"/>
    <s v="Australia"/>
    <x v="16"/>
    <x v="0"/>
    <n v="25"/>
  </r>
  <r>
    <x v="941"/>
    <d v="2012-05-28T05:48:56"/>
    <n v="95000"/>
    <n v="95000"/>
    <s v="AUD"/>
    <n v="96891.417358250401"/>
    <x v="2"/>
    <x v="0"/>
    <s v="Australia"/>
    <x v="16"/>
    <x v="2"/>
    <n v="20"/>
  </r>
  <r>
    <x v="942"/>
    <d v="2012-05-28T05:51:10"/>
    <s v="AUD90000"/>
    <n v="90000"/>
    <s v="AUD"/>
    <n v="91791.869076237213"/>
    <x v="543"/>
    <x v="0"/>
    <s v="Australia"/>
    <x v="16"/>
    <x v="0"/>
    <n v="13"/>
  </r>
  <r>
    <x v="943"/>
    <d v="2012-05-28T05:51:20"/>
    <n v="15000"/>
    <n v="15000"/>
    <s v="USD"/>
    <n v="15000"/>
    <x v="630"/>
    <x v="0"/>
    <s v="India"/>
    <x v="0"/>
    <x v="2"/>
    <n v="2"/>
  </r>
  <r>
    <x v="944"/>
    <d v="2012-05-28T06:25:36"/>
    <s v="AU$65"/>
    <n v="65000"/>
    <s v="AUD"/>
    <n v="66294.12766617132"/>
    <x v="631"/>
    <x v="3"/>
    <s v="Australia"/>
    <x v="16"/>
    <x v="2"/>
    <n v="5"/>
  </r>
  <r>
    <x v="945"/>
    <d v="2012-05-28T06:35:50"/>
    <n v="100000"/>
    <n v="100000"/>
    <s v="AUD"/>
    <n v="101990.96564026357"/>
    <x v="30"/>
    <x v="8"/>
    <s v="Australia"/>
    <x v="16"/>
    <x v="1"/>
    <n v="6"/>
  </r>
  <r>
    <x v="946"/>
    <d v="2012-05-28T06:51:54"/>
    <n v="60000"/>
    <n v="60000"/>
    <s v="USD"/>
    <n v="60000"/>
    <x v="632"/>
    <x v="3"/>
    <s v="USA"/>
    <x v="2"/>
    <x v="2"/>
    <n v="3"/>
  </r>
  <r>
    <x v="947"/>
    <d v="2012-05-28T06:52:05"/>
    <n v="43000"/>
    <n v="43000"/>
    <s v="AUD"/>
    <n v="43856.11522531334"/>
    <x v="633"/>
    <x v="3"/>
    <s v="Australia"/>
    <x v="16"/>
    <x v="1"/>
    <n v="1"/>
  </r>
  <r>
    <x v="948"/>
    <d v="2012-05-28T06:52:05"/>
    <n v="45616"/>
    <n v="45616"/>
    <s v="USD"/>
    <n v="45616"/>
    <x v="634"/>
    <x v="0"/>
    <s v="Australia"/>
    <x v="16"/>
    <x v="0"/>
    <n v="1.5"/>
  </r>
  <r>
    <x v="949"/>
    <d v="2012-05-28T07:00:25"/>
    <n v="95000"/>
    <n v="95000"/>
    <s v="NZD"/>
    <n v="75770.868892469181"/>
    <x v="127"/>
    <x v="5"/>
    <s v="New Zealand"/>
    <x v="48"/>
    <x v="0"/>
    <n v="20"/>
  </r>
  <r>
    <x v="950"/>
    <d v="2012-05-28T07:21:12"/>
    <n v="56600"/>
    <n v="56600"/>
    <s v="AUD"/>
    <n v="57726.886552389187"/>
    <x v="635"/>
    <x v="3"/>
    <s v="Australia"/>
    <x v="16"/>
    <x v="2"/>
    <n v="2"/>
  </r>
  <r>
    <x v="951"/>
    <d v="2012-05-28T07:23:07"/>
    <n v="20000"/>
    <n v="20000"/>
    <s v="USD"/>
    <n v="20000"/>
    <x v="79"/>
    <x v="0"/>
    <s v="Australia"/>
    <x v="16"/>
    <x v="2"/>
    <n v="2"/>
  </r>
  <r>
    <x v="952"/>
    <d v="2012-05-28T07:28:07"/>
    <s v="AUD$200,000"/>
    <n v="200000"/>
    <s v="AUD"/>
    <n v="203981.93128052715"/>
    <x v="507"/>
    <x v="3"/>
    <s v="Australia"/>
    <x v="16"/>
    <x v="0"/>
    <n v="15"/>
  </r>
  <r>
    <x v="953"/>
    <d v="2012-05-28T07:28:34"/>
    <n v="50000"/>
    <n v="50000"/>
    <s v="AUD"/>
    <n v="50995.482820131787"/>
    <x v="428"/>
    <x v="1"/>
    <s v="Australia"/>
    <x v="16"/>
    <x v="3"/>
    <n v="5"/>
  </r>
  <r>
    <x v="954"/>
    <d v="2012-05-28T07:29:43"/>
    <n v="125000"/>
    <n v="125000"/>
    <s v="AUD"/>
    <n v="127488.70705032947"/>
    <x v="636"/>
    <x v="4"/>
    <s v="Australia"/>
    <x v="16"/>
    <x v="0"/>
    <n v="15"/>
  </r>
  <r>
    <x v="955"/>
    <d v="2012-05-28T07:33:29"/>
    <n v="65000"/>
    <n v="65000"/>
    <s v="AUD"/>
    <n v="66294.12766617132"/>
    <x v="79"/>
    <x v="0"/>
    <s v="Australia"/>
    <x v="16"/>
    <x v="0"/>
    <n v="4"/>
  </r>
  <r>
    <x v="956"/>
    <d v="2012-05-28T07:39:22"/>
    <n v="62000"/>
    <n v="62000"/>
    <s v="AUD"/>
    <n v="63234.398696963413"/>
    <x v="12"/>
    <x v="0"/>
    <s v="Australia"/>
    <x v="16"/>
    <x v="0"/>
    <n v="3"/>
  </r>
  <r>
    <x v="957"/>
    <d v="2012-05-28T07:46:28"/>
    <n v="260000"/>
    <n v="260000"/>
    <s v="USD"/>
    <n v="260000"/>
    <x v="8"/>
    <x v="4"/>
    <s v="USA"/>
    <x v="2"/>
    <x v="2"/>
    <n v="10"/>
  </r>
  <r>
    <x v="958"/>
    <d v="2012-05-28T07:59:49"/>
    <n v="110000"/>
    <n v="110000"/>
    <s v="AUD"/>
    <n v="112190.06220428993"/>
    <x v="637"/>
    <x v="3"/>
    <s v="Australia"/>
    <x v="16"/>
    <x v="2"/>
    <n v="8"/>
  </r>
  <r>
    <x v="959"/>
    <d v="2012-05-28T08:03:10"/>
    <s v="AUD$70,000"/>
    <n v="70000"/>
    <s v="AUD"/>
    <n v="71393.675948184507"/>
    <x v="15"/>
    <x v="3"/>
    <s v="Australia"/>
    <x v="16"/>
    <x v="0"/>
    <n v="7"/>
  </r>
  <r>
    <x v="960"/>
    <d v="2012-05-28T08:22:44"/>
    <s v="USD 85000.00"/>
    <n v="85000"/>
    <s v="USD"/>
    <n v="85000"/>
    <x v="638"/>
    <x v="7"/>
    <s v="Australia"/>
    <x v="16"/>
    <x v="0"/>
    <n v="8"/>
  </r>
  <r>
    <x v="961"/>
    <d v="2012-05-28T08:26:43"/>
    <n v="94000"/>
    <n v="94000"/>
    <s v="AUD"/>
    <n v="95871.50770184776"/>
    <x v="12"/>
    <x v="0"/>
    <s v="Australia"/>
    <x v="16"/>
    <x v="2"/>
    <n v="2.5"/>
  </r>
  <r>
    <x v="962"/>
    <d v="2012-05-28T08:35:32"/>
    <s v="A$107000"/>
    <n v="107000"/>
    <s v="AUD"/>
    <n v="109130.33323508203"/>
    <x v="224"/>
    <x v="3"/>
    <s v="Australia"/>
    <x v="16"/>
    <x v="0"/>
    <n v="35"/>
  </r>
  <r>
    <x v="963"/>
    <d v="2012-05-28T08:39:53"/>
    <n v="3000"/>
    <n v="36000"/>
    <s v="USD"/>
    <n v="36000"/>
    <x v="89"/>
    <x v="3"/>
    <s v="malaysia"/>
    <x v="73"/>
    <x v="3"/>
    <n v="3"/>
  </r>
  <r>
    <x v="964"/>
    <d v="2012-05-28T08:41:13"/>
    <n v="120000"/>
    <n v="120000"/>
    <s v="AUD"/>
    <n v="122389.15876831629"/>
    <x v="5"/>
    <x v="0"/>
    <s v="Australia"/>
    <x v="16"/>
    <x v="0"/>
    <n v="2"/>
  </r>
  <r>
    <x v="965"/>
    <d v="2012-05-28T08:47:39"/>
    <s v="AU$52.000"/>
    <n v="52000"/>
    <s v="AUD"/>
    <n v="53035.30213293706"/>
    <x v="639"/>
    <x v="0"/>
    <s v="Australia"/>
    <x v="16"/>
    <x v="0"/>
    <n v="4"/>
  </r>
  <r>
    <x v="966"/>
    <d v="2012-05-28T08:48:56"/>
    <n v="125000"/>
    <n v="125000"/>
    <s v="USD"/>
    <n v="125000"/>
    <x v="640"/>
    <x v="4"/>
    <s v="USA"/>
    <x v="2"/>
    <x v="0"/>
    <n v="10"/>
  </r>
  <r>
    <x v="967"/>
    <d v="2012-05-28T09:03:56"/>
    <n v="19000"/>
    <n v="19000"/>
    <s v="USD"/>
    <n v="19000"/>
    <x v="612"/>
    <x v="0"/>
    <s v="China"/>
    <x v="53"/>
    <x v="0"/>
    <n v="6"/>
  </r>
  <r>
    <x v="968"/>
    <d v="2012-05-28T09:12:27"/>
    <n v="92000"/>
    <n v="92000"/>
    <s v="AUD"/>
    <n v="93831.688389042494"/>
    <x v="612"/>
    <x v="0"/>
    <s v="Australia"/>
    <x v="16"/>
    <x v="1"/>
    <n v="6"/>
  </r>
  <r>
    <x v="969"/>
    <d v="2012-05-28T09:21:56"/>
    <n v="100000"/>
    <n v="100000"/>
    <s v="AUD"/>
    <n v="101990.96564026357"/>
    <x v="506"/>
    <x v="0"/>
    <s v="Australia"/>
    <x v="16"/>
    <x v="0"/>
    <n v="20"/>
  </r>
  <r>
    <x v="970"/>
    <d v="2012-05-28T09:26:10"/>
    <n v="120000"/>
    <n v="120000"/>
    <s v="AUD"/>
    <n v="122389.15876831629"/>
    <x v="641"/>
    <x v="0"/>
    <s v="Australia"/>
    <x v="16"/>
    <x v="0"/>
    <n v="5"/>
  </r>
  <r>
    <x v="971"/>
    <d v="2012-05-28T09:38:29"/>
    <n v="35000"/>
    <n v="35000"/>
    <s v="CAD"/>
    <n v="34417.653306061438"/>
    <x v="506"/>
    <x v="0"/>
    <s v="Canada"/>
    <x v="17"/>
    <x v="1"/>
    <n v="4"/>
  </r>
  <r>
    <x v="972"/>
    <d v="2012-05-28T09:40:10"/>
    <s v="US$12,000/year"/>
    <n v="12000"/>
    <s v="USD"/>
    <n v="12000"/>
    <x v="20"/>
    <x v="3"/>
    <s v="Asia"/>
    <x v="74"/>
    <x v="1"/>
    <n v="3"/>
  </r>
  <r>
    <x v="973"/>
    <d v="2012-05-28T09:41:04"/>
    <n v="204000"/>
    <n v="204000"/>
    <s v="INR"/>
    <n v="3632.815004238284"/>
    <x v="642"/>
    <x v="3"/>
    <s v="India"/>
    <x v="0"/>
    <x v="0"/>
    <n v="0"/>
  </r>
  <r>
    <x v="974"/>
    <d v="2012-05-28T09:43:33"/>
    <s v="1200000 INR"/>
    <n v="1200000"/>
    <s v="INR"/>
    <n v="21369.500024931083"/>
    <x v="30"/>
    <x v="8"/>
    <s v="India"/>
    <x v="0"/>
    <x v="1"/>
    <n v="6"/>
  </r>
  <r>
    <x v="975"/>
    <d v="2012-05-28T09:51:24"/>
    <s v="Rs. 500000"/>
    <n v="500000"/>
    <s v="INR"/>
    <n v="8903.9583437212841"/>
    <x v="12"/>
    <x v="0"/>
    <s v="India"/>
    <x v="0"/>
    <x v="0"/>
    <n v="7"/>
  </r>
  <r>
    <x v="976"/>
    <d v="2012-05-28T10:15:27"/>
    <s v="RM48,000"/>
    <n v="48000"/>
    <s v="MYR"/>
    <n v="15206.427249917633"/>
    <x v="643"/>
    <x v="3"/>
    <s v="Malaysia"/>
    <x v="73"/>
    <x v="0"/>
    <n v="2"/>
  </r>
  <r>
    <x v="977"/>
    <d v="2012-05-28T10:21:58"/>
    <s v="NZD 180000"/>
    <n v="180000"/>
    <s v="NZD"/>
    <n v="143565.85684888897"/>
    <x v="282"/>
    <x v="3"/>
    <s v="New Zealand"/>
    <x v="48"/>
    <x v="0"/>
    <n v="25"/>
  </r>
  <r>
    <x v="978"/>
    <d v="2012-05-28T10:25:51"/>
    <s v="Rs.5,45,000"/>
    <n v="545000"/>
    <s v="INR"/>
    <n v="9705.3145946561999"/>
    <x v="592"/>
    <x v="3"/>
    <s v="India"/>
    <x v="0"/>
    <x v="2"/>
    <n v="6"/>
  </r>
  <r>
    <x v="979"/>
    <d v="2012-05-28T10:27:45"/>
    <s v="Rs.10,00,000"/>
    <n v="1000000"/>
    <s v="INR"/>
    <n v="17807.916687442568"/>
    <x v="644"/>
    <x v="3"/>
    <s v="India"/>
    <x v="0"/>
    <x v="1"/>
    <n v="8"/>
  </r>
  <r>
    <x v="980"/>
    <d v="2012-05-28T10:27:48"/>
    <n v="180000"/>
    <n v="180000"/>
    <s v="INR"/>
    <n v="3205.4250037396623"/>
    <x v="645"/>
    <x v="0"/>
    <s v="INDIA"/>
    <x v="0"/>
    <x v="0"/>
    <n v="10"/>
  </r>
  <r>
    <x v="981"/>
    <d v="2012-05-28T10:29:41"/>
    <s v="$45,000  USD"/>
    <n v="45000"/>
    <s v="USD"/>
    <n v="45000"/>
    <x v="646"/>
    <x v="5"/>
    <s v="USA"/>
    <x v="2"/>
    <x v="1"/>
    <n v="3"/>
  </r>
  <r>
    <x v="982"/>
    <d v="2012-05-28T10:38:53"/>
    <n v="700000"/>
    <n v="700000"/>
    <s v="INR"/>
    <n v="12465.541681209797"/>
    <x v="647"/>
    <x v="3"/>
    <s v="India"/>
    <x v="0"/>
    <x v="2"/>
    <n v="7"/>
  </r>
  <r>
    <x v="983"/>
    <d v="2012-05-28T10:41:38"/>
    <n v="94000"/>
    <n v="94000"/>
    <s v="AUD"/>
    <n v="95871.50770184776"/>
    <x v="648"/>
    <x v="0"/>
    <s v="Australia"/>
    <x v="16"/>
    <x v="2"/>
    <n v="14"/>
  </r>
  <r>
    <x v="984"/>
    <d v="2012-05-28T10:42:08"/>
    <n v="170000"/>
    <n v="170000"/>
    <s v="AUD"/>
    <n v="173384.64158844808"/>
    <x v="649"/>
    <x v="8"/>
    <s v="Australia"/>
    <x v="16"/>
    <x v="2"/>
    <n v="8"/>
  </r>
  <r>
    <x v="985"/>
    <d v="2012-05-28T11:11:53"/>
    <n v="650000"/>
    <n v="650000"/>
    <s v="INR"/>
    <n v="11575.14584683767"/>
    <x v="650"/>
    <x v="3"/>
    <s v="India"/>
    <x v="0"/>
    <x v="2"/>
    <n v="1"/>
  </r>
  <r>
    <x v="986"/>
    <d v="2012-05-28T11:31:20"/>
    <n v="18000"/>
    <n v="18000"/>
    <s v="USD"/>
    <n v="18000"/>
    <x v="651"/>
    <x v="6"/>
    <s v="India"/>
    <x v="0"/>
    <x v="1"/>
    <n v="8"/>
  </r>
  <r>
    <x v="987"/>
    <d v="2012-05-28T11:33:05"/>
    <s v="AUD$70,000"/>
    <n v="70000"/>
    <s v="AUD"/>
    <n v="71393.675948184507"/>
    <x v="69"/>
    <x v="4"/>
    <s v="Australia"/>
    <x v="16"/>
    <x v="1"/>
    <n v="2"/>
  </r>
  <r>
    <x v="988"/>
    <d v="2012-05-28T11:33:07"/>
    <s v="350000 Rs"/>
    <n v="350000"/>
    <s v="INR"/>
    <n v="6232.7708406048987"/>
    <x v="79"/>
    <x v="0"/>
    <s v="India"/>
    <x v="0"/>
    <x v="0"/>
    <n v="2.5"/>
  </r>
  <r>
    <x v="989"/>
    <d v="2012-05-28T11:37:17"/>
    <s v="LKR 240000"/>
    <n v="240000"/>
    <s v="LKR"/>
    <n v="1805.7739622442759"/>
    <x v="549"/>
    <x v="3"/>
    <s v="Sri Lanka"/>
    <x v="54"/>
    <x v="0"/>
    <n v="3"/>
  </r>
  <r>
    <x v="990"/>
    <d v="2012-05-28T11:39:01"/>
    <s v="Rs.6.4 lakhs"/>
    <n v="640000"/>
    <s v="INR"/>
    <n v="11397.066679963244"/>
    <x v="652"/>
    <x v="0"/>
    <s v="India"/>
    <x v="0"/>
    <x v="1"/>
    <n v="6"/>
  </r>
  <r>
    <x v="991"/>
    <d v="2012-05-28T11:41:11"/>
    <n v="15000"/>
    <n v="15000"/>
    <s v="USD"/>
    <n v="15000"/>
    <x v="653"/>
    <x v="3"/>
    <s v="India"/>
    <x v="0"/>
    <x v="0"/>
    <n v="4"/>
  </r>
  <r>
    <x v="992"/>
    <d v="2012-05-28T11:58:39"/>
    <s v="R308 500"/>
    <n v="308500"/>
    <s v="ZAR"/>
    <n v="37612.869087708088"/>
    <x v="654"/>
    <x v="3"/>
    <s v="South Africa"/>
    <x v="11"/>
    <x v="1"/>
    <n v="3"/>
  </r>
  <r>
    <x v="993"/>
    <d v="2012-05-28T12:00:14"/>
    <n v="3.65"/>
    <n v="365000"/>
    <s v="INR"/>
    <n v="6499.8895909165376"/>
    <x v="655"/>
    <x v="0"/>
    <s v="India"/>
    <x v="0"/>
    <x v="0"/>
    <n v="3"/>
  </r>
  <r>
    <x v="994"/>
    <d v="2012-05-28T12:09:37"/>
    <s v="usd 20.000"/>
    <n v="20000"/>
    <s v="USD"/>
    <n v="20000"/>
    <x v="656"/>
    <x v="7"/>
    <s v="Paraguay"/>
    <x v="75"/>
    <x v="1"/>
    <n v="6"/>
  </r>
  <r>
    <x v="995"/>
    <d v="2012-05-28T12:10:09"/>
    <n v="7265"/>
    <n v="7265"/>
    <s v="USD"/>
    <n v="7265"/>
    <x v="657"/>
    <x v="2"/>
    <s v="India"/>
    <x v="0"/>
    <x v="0"/>
    <n v="6"/>
  </r>
  <r>
    <x v="996"/>
    <d v="2012-05-28T12:15:53"/>
    <s v="SGD92,000"/>
    <n v="92000"/>
    <s v="SGD"/>
    <n v="72571.80269935554"/>
    <x v="363"/>
    <x v="3"/>
    <s v="Singapore"/>
    <x v="29"/>
    <x v="1"/>
    <n v="15"/>
  </r>
  <r>
    <x v="997"/>
    <d v="2012-05-28T12:20:48"/>
    <s v="INR 4.5 Lac"/>
    <n v="450000"/>
    <s v="INR"/>
    <n v="8013.5625093491553"/>
    <x v="482"/>
    <x v="3"/>
    <s v="India"/>
    <x v="0"/>
    <x v="1"/>
    <n v="15"/>
  </r>
  <r>
    <x v="998"/>
    <d v="2012-05-28T12:26:01"/>
    <s v="Rs.5.7 lacs"/>
    <n v="570000"/>
    <s v="INR"/>
    <n v="10150.512511842264"/>
    <x v="658"/>
    <x v="0"/>
    <s v="India"/>
    <x v="0"/>
    <x v="0"/>
    <n v="5"/>
  </r>
  <r>
    <x v="999"/>
    <d v="2012-05-28T12:26:42"/>
    <n v="65000"/>
    <n v="65000"/>
    <s v="USD"/>
    <n v="65000"/>
    <x v="236"/>
    <x v="1"/>
    <s v="USA"/>
    <x v="2"/>
    <x v="0"/>
    <n v="9"/>
  </r>
  <r>
    <x v="1000"/>
    <d v="2012-05-28T12:32:12"/>
    <n v="300000"/>
    <n v="300000"/>
    <s v="PKR"/>
    <n v="3184.2266150397395"/>
    <x v="527"/>
    <x v="3"/>
    <s v="Pakistan"/>
    <x v="3"/>
    <x v="0"/>
    <n v="4"/>
  </r>
  <r>
    <x v="1001"/>
    <d v="2012-05-28T12:35:38"/>
    <s v="Net- 56000Rs, Gross - 61000Rs"/>
    <n v="612000"/>
    <s v="INR"/>
    <n v="10898.445012714852"/>
    <x v="659"/>
    <x v="3"/>
    <s v="India"/>
    <x v="0"/>
    <x v="2"/>
    <n v="13"/>
  </r>
  <r>
    <x v="1002"/>
    <d v="2012-05-28T12:40:26"/>
    <n v="900"/>
    <n v="10800"/>
    <s v="USD"/>
    <n v="10800"/>
    <x v="660"/>
    <x v="3"/>
    <s v="Pakistan"/>
    <x v="3"/>
    <x v="1"/>
    <n v="5"/>
  </r>
  <r>
    <x v="1003"/>
    <d v="2012-05-28T12:47:20"/>
    <n v="120000"/>
    <n v="120000"/>
    <s v="INR"/>
    <n v="2136.9500024931081"/>
    <x v="661"/>
    <x v="0"/>
    <s v="India"/>
    <x v="0"/>
    <x v="2"/>
    <n v="3.5"/>
  </r>
  <r>
    <x v="1004"/>
    <d v="2012-05-28T12:51:53"/>
    <n v="45000"/>
    <n v="45000"/>
    <s v="USD"/>
    <n v="45000"/>
    <x v="306"/>
    <x v="2"/>
    <s v="singapore"/>
    <x v="29"/>
    <x v="2"/>
    <n v="4"/>
  </r>
  <r>
    <x v="1005"/>
    <d v="2012-05-28T12:57:13"/>
    <s v="Rs. 4,00,000/-"/>
    <n v="400000"/>
    <s v="INR"/>
    <n v="7123.1666749770275"/>
    <x v="545"/>
    <x v="3"/>
    <s v="India"/>
    <x v="0"/>
    <x v="2"/>
    <n v="5"/>
  </r>
  <r>
    <x v="1006"/>
    <d v="2012-05-28T12:58:44"/>
    <s v="3 Lakh "/>
    <n v="300000"/>
    <s v="INR"/>
    <n v="5342.3750062327708"/>
    <x v="483"/>
    <x v="5"/>
    <s v="India"/>
    <x v="0"/>
    <x v="2"/>
    <n v="5"/>
  </r>
  <r>
    <x v="1007"/>
    <d v="2012-05-28T12:59:59"/>
    <n v="18000"/>
    <n v="18000"/>
    <s v="USD"/>
    <n v="18000"/>
    <x v="476"/>
    <x v="3"/>
    <s v="India"/>
    <x v="0"/>
    <x v="2"/>
    <n v="4.5999999999999996"/>
  </r>
  <r>
    <x v="1008"/>
    <d v="2012-05-28T13:01:42"/>
    <s v="PK RS 456000"/>
    <n v="456000"/>
    <s v="PKR"/>
    <n v="4840.0244548604041"/>
    <x v="662"/>
    <x v="3"/>
    <s v="Pakistan"/>
    <x v="3"/>
    <x v="0"/>
    <n v="2"/>
  </r>
  <r>
    <x v="1009"/>
    <d v="2012-05-28T13:02:56"/>
    <s v="Rs 4,20,000 "/>
    <n v="420000"/>
    <s v="INR"/>
    <n v="7479.3250087258784"/>
    <x v="5"/>
    <x v="0"/>
    <s v="India"/>
    <x v="0"/>
    <x v="2"/>
    <n v="10"/>
  </r>
  <r>
    <x v="1010"/>
    <d v="2012-05-28T13:05:39"/>
    <n v="210000"/>
    <n v="210000"/>
    <s v="INR"/>
    <n v="3739.6625043629392"/>
    <x v="442"/>
    <x v="7"/>
    <s v="India"/>
    <x v="0"/>
    <x v="1"/>
    <n v="3.5"/>
  </r>
  <r>
    <x v="1011"/>
    <d v="2012-05-28T13:06:37"/>
    <n v="3500"/>
    <n v="42000"/>
    <s v="USD"/>
    <n v="42000"/>
    <x v="663"/>
    <x v="3"/>
    <s v="Kuwait"/>
    <x v="76"/>
    <x v="1"/>
    <n v="5"/>
  </r>
  <r>
    <x v="1012"/>
    <d v="2012-05-28T13:10:02"/>
    <n v="28000"/>
    <n v="28000"/>
    <s v="USD"/>
    <n v="28000"/>
    <x v="664"/>
    <x v="7"/>
    <s v="India"/>
    <x v="0"/>
    <x v="2"/>
    <n v="3"/>
  </r>
  <r>
    <x v="1013"/>
    <d v="2012-05-28T13:11:42"/>
    <n v="6000"/>
    <n v="6000"/>
    <s v="USD"/>
    <n v="6000"/>
    <x v="20"/>
    <x v="3"/>
    <s v="India"/>
    <x v="0"/>
    <x v="0"/>
    <n v="5"/>
  </r>
  <r>
    <x v="1014"/>
    <d v="2012-05-28T13:26:22"/>
    <n v="55"/>
    <n v="55000"/>
    <s v="NZD"/>
    <n v="43867.345148271634"/>
    <x v="2"/>
    <x v="0"/>
    <s v="New Zealand"/>
    <x v="48"/>
    <x v="1"/>
    <n v="10"/>
  </r>
  <r>
    <x v="1015"/>
    <d v="2012-05-28T13:27:46"/>
    <s v="10 Lakh"/>
    <n v="1000000"/>
    <s v="INR"/>
    <n v="17807.916687442568"/>
    <x v="665"/>
    <x v="0"/>
    <s v="India"/>
    <x v="0"/>
    <x v="3"/>
    <n v="25"/>
  </r>
  <r>
    <x v="1016"/>
    <d v="2012-05-28T13:37:10"/>
    <n v="600000"/>
    <n v="600000"/>
    <s v="INR"/>
    <n v="10684.750012465542"/>
    <x v="12"/>
    <x v="0"/>
    <s v="India"/>
    <x v="0"/>
    <x v="1"/>
    <n v="12"/>
  </r>
  <r>
    <x v="1017"/>
    <d v="2012-05-28T13:40:58"/>
    <s v="USD 60000"/>
    <n v="60000"/>
    <s v="USD"/>
    <n v="60000"/>
    <x v="666"/>
    <x v="8"/>
    <s v="Finland"/>
    <x v="40"/>
    <x v="1"/>
    <n v="5"/>
  </r>
  <r>
    <x v="1018"/>
    <d v="2012-05-28T13:41:33"/>
    <n v="476000"/>
    <n v="476000"/>
    <s v="INR"/>
    <n v="8476.5683432226633"/>
    <x v="667"/>
    <x v="7"/>
    <s v="India"/>
    <x v="0"/>
    <x v="0"/>
    <n v="8"/>
  </r>
  <r>
    <x v="1019"/>
    <d v="2012-05-28T13:42:12"/>
    <n v="725"/>
    <n v="8700"/>
    <s v="USD"/>
    <n v="8700"/>
    <x v="668"/>
    <x v="1"/>
    <s v="India"/>
    <x v="0"/>
    <x v="2"/>
    <n v="7"/>
  </r>
  <r>
    <x v="1020"/>
    <d v="2012-05-28T13:42:35"/>
    <s v="2,00,000 INR"/>
    <n v="200000"/>
    <s v="INR"/>
    <n v="3561.5833374885137"/>
    <x v="669"/>
    <x v="3"/>
    <s v="India"/>
    <x v="0"/>
    <x v="1"/>
    <n v="8"/>
  </r>
  <r>
    <x v="1021"/>
    <d v="2012-05-28T13:43:01"/>
    <n v="1.8"/>
    <n v="180000"/>
    <s v="INR"/>
    <n v="3205.4250037396623"/>
    <x v="269"/>
    <x v="7"/>
    <s v="India"/>
    <x v="0"/>
    <x v="1"/>
    <n v="4"/>
  </r>
  <r>
    <x v="1022"/>
    <d v="2012-05-28T13:46:17"/>
    <n v="252000"/>
    <n v="252000"/>
    <s v="INR"/>
    <n v="4487.5950052355274"/>
    <x v="670"/>
    <x v="5"/>
    <s v="India"/>
    <x v="0"/>
    <x v="3"/>
    <n v="5"/>
  </r>
  <r>
    <x v="1023"/>
    <d v="2012-05-28T13:54:57"/>
    <s v="Rs. 700000"/>
    <n v="700000"/>
    <s v="INR"/>
    <n v="12465.541681209797"/>
    <x v="319"/>
    <x v="0"/>
    <s v="India"/>
    <x v="0"/>
    <x v="0"/>
    <n v="5"/>
  </r>
  <r>
    <x v="1024"/>
    <d v="2012-05-28T14:00:56"/>
    <n v="194"/>
    <n v="2400"/>
    <s v="USD"/>
    <n v="2400"/>
    <x v="460"/>
    <x v="5"/>
    <s v="Pakistan"/>
    <x v="3"/>
    <x v="2"/>
    <n v="15"/>
  </r>
  <r>
    <x v="1025"/>
    <d v="2012-05-28T14:11:34"/>
    <s v="55000 usd"/>
    <n v="55000"/>
    <s v="USD"/>
    <n v="55000"/>
    <x v="294"/>
    <x v="7"/>
    <s v="Israel"/>
    <x v="34"/>
    <x v="0"/>
    <n v="6"/>
  </r>
  <r>
    <x v="1026"/>
    <d v="2012-05-28T14:12:35"/>
    <s v="12000 $"/>
    <n v="12000"/>
    <s v="USD"/>
    <n v="12000"/>
    <x v="671"/>
    <x v="1"/>
    <s v="Iran"/>
    <x v="39"/>
    <x v="0"/>
    <n v="3"/>
  </r>
  <r>
    <x v="1027"/>
    <d v="2012-05-28T14:12:50"/>
    <n v="43500"/>
    <n v="43500"/>
    <s v="EUR"/>
    <n v="55262.375596134938"/>
    <x v="672"/>
    <x v="3"/>
    <s v="SPAIN"/>
    <x v="47"/>
    <x v="2"/>
    <n v="10"/>
  </r>
  <r>
    <x v="1028"/>
    <d v="2012-05-28T14:12:52"/>
    <s v="Rs. 1200000"/>
    <n v="1200000"/>
    <s v="INR"/>
    <n v="21369.500024931083"/>
    <x v="549"/>
    <x v="3"/>
    <s v="India"/>
    <x v="0"/>
    <x v="2"/>
    <n v="2"/>
  </r>
  <r>
    <x v="1029"/>
    <d v="2012-05-28T14:18:40"/>
    <n v="26000"/>
    <n v="26000"/>
    <s v="GBP"/>
    <n v="40980.635073749385"/>
    <x v="35"/>
    <x v="8"/>
    <s v="UK"/>
    <x v="14"/>
    <x v="1"/>
    <n v="8"/>
  </r>
  <r>
    <x v="1030"/>
    <d v="2012-05-28T14:21:27"/>
    <n v="50000"/>
    <n v="50000"/>
    <s v="AUD"/>
    <n v="50995.482820131787"/>
    <x v="673"/>
    <x v="0"/>
    <s v="Australia"/>
    <x v="16"/>
    <x v="0"/>
    <n v="4"/>
  </r>
  <r>
    <x v="1031"/>
    <d v="2012-05-28T14:22:02"/>
    <s v="16000 euro"/>
    <n v="16000"/>
    <s v="EUR"/>
    <n v="20326.391023865726"/>
    <x v="674"/>
    <x v="3"/>
    <s v="Greece"/>
    <x v="26"/>
    <x v="1"/>
    <n v="16"/>
  </r>
  <r>
    <x v="1032"/>
    <d v="2012-05-28T14:23:57"/>
    <n v="1000"/>
    <n v="12000"/>
    <s v="USD"/>
    <n v="12000"/>
    <x v="35"/>
    <x v="8"/>
    <s v="India"/>
    <x v="0"/>
    <x v="2"/>
    <n v="8"/>
  </r>
  <r>
    <x v="1033"/>
    <d v="2012-05-28T14:30:05"/>
    <s v="ZAR240000"/>
    <n v="240000"/>
    <s v="ZAR"/>
    <n v="29261.227167098674"/>
    <x v="675"/>
    <x v="5"/>
    <s v="South Africa"/>
    <x v="11"/>
    <x v="2"/>
    <n v="20"/>
  </r>
  <r>
    <x v="1034"/>
    <d v="2012-05-28T14:32:11"/>
    <n v="120000"/>
    <n v="120000"/>
    <s v="ZAR"/>
    <n v="14630.613583549337"/>
    <x v="215"/>
    <x v="4"/>
    <s v="South Africa"/>
    <x v="11"/>
    <x v="0"/>
    <n v="10"/>
  </r>
  <r>
    <x v="1035"/>
    <d v="2012-05-28T14:34:34"/>
    <n v="408000"/>
    <n v="408000"/>
    <s v="INR"/>
    <n v="7265.630008476568"/>
    <x v="676"/>
    <x v="5"/>
    <s v="India"/>
    <x v="0"/>
    <x v="1"/>
    <n v="5"/>
  </r>
  <r>
    <x v="1036"/>
    <d v="2012-05-28T14:34:37"/>
    <s v="Â£28000"/>
    <n v="28000"/>
    <s v="GBP"/>
    <n v="44132.991617883956"/>
    <x v="495"/>
    <x v="0"/>
    <s v="UK"/>
    <x v="14"/>
    <x v="2"/>
    <n v="16"/>
  </r>
  <r>
    <x v="1037"/>
    <d v="2012-05-28T14:40:54"/>
    <s v="INR 530000 "/>
    <n v="530000"/>
    <s v="INR"/>
    <n v="9438.1958443445619"/>
    <x v="677"/>
    <x v="0"/>
    <s v="India"/>
    <x v="0"/>
    <x v="2"/>
    <n v="7"/>
  </r>
  <r>
    <x v="1038"/>
    <d v="2012-05-28T14:43:40"/>
    <s v="1500 $"/>
    <n v="18000"/>
    <s v="USD"/>
    <n v="18000"/>
    <x v="5"/>
    <x v="0"/>
    <s v="Poland"/>
    <x v="15"/>
    <x v="0"/>
    <n v="7"/>
  </r>
  <r>
    <x v="1039"/>
    <d v="2012-05-28T14:44:26"/>
    <s v="Rs 200000"/>
    <n v="200000"/>
    <s v="INR"/>
    <n v="3561.5833374885137"/>
    <x v="678"/>
    <x v="3"/>
    <s v="India"/>
    <x v="0"/>
    <x v="2"/>
    <n v="5"/>
  </r>
  <r>
    <x v="1040"/>
    <d v="2012-05-28T14:45:04"/>
    <s v="2LAKHS"/>
    <n v="200000"/>
    <s v="INR"/>
    <n v="3561.5833374885137"/>
    <x v="442"/>
    <x v="7"/>
    <s v="India"/>
    <x v="0"/>
    <x v="0"/>
    <n v="3"/>
  </r>
  <r>
    <x v="1041"/>
    <d v="2012-05-28T14:46:42"/>
    <n v="5100"/>
    <n v="5100"/>
    <s v="USD"/>
    <n v="5100"/>
    <x v="442"/>
    <x v="7"/>
    <s v="India"/>
    <x v="0"/>
    <x v="1"/>
    <n v="8"/>
  </r>
  <r>
    <x v="1042"/>
    <d v="2012-05-28T14:50:03"/>
    <n v="100000"/>
    <n v="1200000"/>
    <s v="INR"/>
    <n v="21369.500024931083"/>
    <x v="444"/>
    <x v="0"/>
    <s v="India"/>
    <x v="0"/>
    <x v="0"/>
    <n v="7"/>
  </r>
  <r>
    <x v="1043"/>
    <d v="2012-05-28T14:52:45"/>
    <s v="Rs. 25000"/>
    <n v="300000"/>
    <s v="INR"/>
    <n v="5342.3750062327708"/>
    <x v="679"/>
    <x v="8"/>
    <s v="India"/>
    <x v="0"/>
    <x v="2"/>
    <n v="1"/>
  </r>
  <r>
    <x v="1044"/>
    <d v="2012-05-28T14:53:02"/>
    <n v="50000"/>
    <n v="50000"/>
    <s v="USD"/>
    <n v="50000"/>
    <x v="367"/>
    <x v="4"/>
    <s v="India"/>
    <x v="0"/>
    <x v="3"/>
    <n v="26"/>
  </r>
  <r>
    <x v="1045"/>
    <d v="2012-05-28T14:53:44"/>
    <s v="1600000Rs"/>
    <n v="1600000"/>
    <s v="INR"/>
    <n v="28492.66669990811"/>
    <x v="680"/>
    <x v="3"/>
    <s v="India"/>
    <x v="0"/>
    <x v="1"/>
    <n v="9"/>
  </r>
  <r>
    <x v="1046"/>
    <d v="2012-05-28T14:56:27"/>
    <n v="15600"/>
    <n v="15600"/>
    <s v="GBP"/>
    <n v="24588.381044249632"/>
    <x v="681"/>
    <x v="0"/>
    <s v="UK"/>
    <x v="14"/>
    <x v="1"/>
    <n v="0"/>
  </r>
  <r>
    <x v="1047"/>
    <d v="2012-05-28T15:12:38"/>
    <n v="7000"/>
    <n v="7000"/>
    <s v="USD"/>
    <n v="7000"/>
    <x v="442"/>
    <x v="7"/>
    <s v="India"/>
    <x v="0"/>
    <x v="1"/>
    <n v="5"/>
  </r>
  <r>
    <x v="1048"/>
    <d v="2012-05-28T15:16:20"/>
    <s v="Rs. 438000"/>
    <n v="438000"/>
    <s v="INR"/>
    <n v="7799.8675090998449"/>
    <x v="682"/>
    <x v="0"/>
    <s v="India"/>
    <x v="0"/>
    <x v="3"/>
    <n v="10"/>
  </r>
  <r>
    <x v="1049"/>
    <d v="2012-05-28T15:21:51"/>
    <s v="Â£50"/>
    <n v="50000"/>
    <s v="GBP"/>
    <n v="78808.913603364199"/>
    <x v="389"/>
    <x v="3"/>
    <s v="UK"/>
    <x v="14"/>
    <x v="2"/>
    <n v="12"/>
  </r>
  <r>
    <x v="1050"/>
    <d v="2012-05-28T15:27:59"/>
    <n v="560"/>
    <n v="6720"/>
    <s v="USD"/>
    <n v="6720"/>
    <x v="442"/>
    <x v="7"/>
    <s v="India"/>
    <x v="0"/>
    <x v="0"/>
    <n v="6"/>
  </r>
  <r>
    <x v="1051"/>
    <d v="2012-05-28T15:29:24"/>
    <s v="INR 2.5 Lakh"/>
    <n v="250000"/>
    <s v="INR"/>
    <n v="4451.9791718606421"/>
    <x v="683"/>
    <x v="7"/>
    <s v="India"/>
    <x v="0"/>
    <x v="1"/>
    <n v="3.5"/>
  </r>
  <r>
    <x v="1052"/>
    <d v="2012-05-28T15:29:53"/>
    <s v="Â£30000"/>
    <n v="30000"/>
    <s v="GBP"/>
    <n v="47285.348162018527"/>
    <x v="79"/>
    <x v="0"/>
    <s v="UK"/>
    <x v="14"/>
    <x v="1"/>
    <n v="15"/>
  </r>
  <r>
    <x v="1053"/>
    <d v="2012-05-28T15:33:23"/>
    <n v="600"/>
    <n v="7200"/>
    <s v="USD"/>
    <n v="7200"/>
    <x v="684"/>
    <x v="0"/>
    <s v="India"/>
    <x v="0"/>
    <x v="1"/>
    <n v="10"/>
  </r>
  <r>
    <x v="1054"/>
    <d v="2012-05-28T15:33:37"/>
    <s v="INR 2500000"/>
    <n v="2500000"/>
    <s v="INR"/>
    <n v="44519.791718606422"/>
    <x v="685"/>
    <x v="4"/>
    <s v="India"/>
    <x v="0"/>
    <x v="0"/>
    <n v="9"/>
  </r>
  <r>
    <x v="1055"/>
    <d v="2012-05-28T15:34:12"/>
    <n v="140000"/>
    <n v="140000"/>
    <s v="INR"/>
    <n v="2493.1083362419595"/>
    <x v="189"/>
    <x v="5"/>
    <s v="India"/>
    <x v="0"/>
    <x v="0"/>
    <n v="4"/>
  </r>
  <r>
    <x v="1056"/>
    <d v="2012-05-28T15:35:32"/>
    <n v="20000"/>
    <n v="20000"/>
    <s v="GBP"/>
    <n v="31523.565441345683"/>
    <x v="686"/>
    <x v="0"/>
    <s v="UK"/>
    <x v="14"/>
    <x v="0"/>
    <n v="1"/>
  </r>
  <r>
    <x v="1057"/>
    <d v="2012-05-28T15:37:23"/>
    <n v="1200000"/>
    <n v="1200000"/>
    <s v="INR"/>
    <n v="21369.500024931083"/>
    <x v="687"/>
    <x v="1"/>
    <s v="India"/>
    <x v="0"/>
    <x v="0"/>
    <n v="8"/>
  </r>
  <r>
    <x v="1058"/>
    <d v="2012-05-28T15:42:04"/>
    <n v="80000"/>
    <n v="80000"/>
    <s v="GBP"/>
    <n v="126094.26176538273"/>
    <x v="688"/>
    <x v="8"/>
    <s v="UK"/>
    <x v="14"/>
    <x v="0"/>
    <n v="10"/>
  </r>
  <r>
    <x v="1059"/>
    <d v="2012-05-28T15:44:12"/>
    <s v="Â£63000"/>
    <n v="63000"/>
    <s v="GBP"/>
    <n v="99299.231140238902"/>
    <x v="689"/>
    <x v="6"/>
    <s v="UK"/>
    <x v="14"/>
    <x v="2"/>
    <n v="1"/>
  </r>
  <r>
    <x v="1060"/>
    <d v="2012-05-28T15:47:46"/>
    <s v="Â£55000"/>
    <n v="55000"/>
    <s v="GBP"/>
    <n v="86689.804963700633"/>
    <x v="115"/>
    <x v="4"/>
    <s v="UK"/>
    <x v="14"/>
    <x v="2"/>
    <n v="22"/>
  </r>
  <r>
    <x v="1061"/>
    <d v="2012-05-28T15:48:23"/>
    <s v="50000 US $ per year"/>
    <n v="50000"/>
    <s v="USD"/>
    <n v="50000"/>
    <x v="690"/>
    <x v="3"/>
    <s v="India"/>
    <x v="0"/>
    <x v="2"/>
    <n v="30"/>
  </r>
  <r>
    <x v="1062"/>
    <d v="2012-05-28T15:49:22"/>
    <n v="240000"/>
    <n v="240000"/>
    <s v="INR"/>
    <n v="4273.9000049862161"/>
    <x v="444"/>
    <x v="0"/>
    <s v="India"/>
    <x v="0"/>
    <x v="2"/>
    <n v="3"/>
  </r>
  <r>
    <x v="1063"/>
    <d v="2012-05-28T15:49:54"/>
    <s v="Rs. 250000"/>
    <n v="250000"/>
    <s v="INR"/>
    <n v="4451.9791718606421"/>
    <x v="442"/>
    <x v="7"/>
    <s v="India"/>
    <x v="0"/>
    <x v="2"/>
    <n v="3"/>
  </r>
  <r>
    <x v="1064"/>
    <d v="2012-05-28T15:51:32"/>
    <s v="50000 INR"/>
    <n v="600000"/>
    <s v="INR"/>
    <n v="10684.750012465542"/>
    <x v="691"/>
    <x v="0"/>
    <s v="India"/>
    <x v="0"/>
    <x v="0"/>
    <n v="10"/>
  </r>
  <r>
    <x v="1065"/>
    <d v="2012-05-28T15:59:46"/>
    <n v="40500"/>
    <n v="40500"/>
    <s v="GBP"/>
    <n v="63835.220018725006"/>
    <x v="692"/>
    <x v="3"/>
    <s v="UK"/>
    <x v="14"/>
    <x v="2"/>
    <n v="25"/>
  </r>
  <r>
    <x v="1066"/>
    <d v="2012-05-28T16:01:05"/>
    <s v="Â£23000"/>
    <n v="23000"/>
    <s v="GBP"/>
    <n v="36252.100257547536"/>
    <x v="79"/>
    <x v="0"/>
    <s v="UK"/>
    <x v="14"/>
    <x v="1"/>
    <n v="5"/>
  </r>
  <r>
    <x v="1067"/>
    <d v="2012-05-28T16:03:18"/>
    <n v="7960"/>
    <n v="7960"/>
    <s v="USD"/>
    <n v="7960"/>
    <x v="473"/>
    <x v="3"/>
    <s v="India"/>
    <x v="0"/>
    <x v="0"/>
    <n v="7"/>
  </r>
  <r>
    <x v="1068"/>
    <d v="2012-05-28T16:03:45"/>
    <s v="Rs500000"/>
    <n v="500000"/>
    <s v="INR"/>
    <n v="8903.9583437212841"/>
    <x v="444"/>
    <x v="0"/>
    <s v="India"/>
    <x v="0"/>
    <x v="2"/>
    <n v="23"/>
  </r>
  <r>
    <x v="1069"/>
    <d v="2012-05-28T16:05:43"/>
    <s v="40000 euro"/>
    <n v="40000"/>
    <s v="EUR"/>
    <n v="50815.977559664309"/>
    <x v="693"/>
    <x v="0"/>
    <s v="Netherlands"/>
    <x v="18"/>
    <x v="0"/>
    <n v="3"/>
  </r>
  <r>
    <x v="1070"/>
    <d v="2012-05-28T16:07:51"/>
    <s v="Â£30000"/>
    <n v="30000"/>
    <s v="GBP"/>
    <n v="47285.348162018527"/>
    <x v="246"/>
    <x v="0"/>
    <s v="UK"/>
    <x v="14"/>
    <x v="0"/>
    <n v="4"/>
  </r>
  <r>
    <x v="1071"/>
    <d v="2012-05-28T16:07:51"/>
    <n v="48000"/>
    <n v="48000"/>
    <s v="GBP"/>
    <n v="75656.557059229643"/>
    <x v="694"/>
    <x v="3"/>
    <s v="UK"/>
    <x v="14"/>
    <x v="2"/>
    <n v="10"/>
  </r>
  <r>
    <x v="1072"/>
    <d v="2012-05-28T16:10:52"/>
    <s v="Rs. 20000"/>
    <n v="240000"/>
    <s v="INR"/>
    <n v="4273.9000049862161"/>
    <x v="189"/>
    <x v="5"/>
    <s v="India"/>
    <x v="0"/>
    <x v="1"/>
    <n v="20"/>
  </r>
  <r>
    <x v="1073"/>
    <d v="2012-05-28T16:19:21"/>
    <n v="37000"/>
    <n v="37000"/>
    <s v="EUR"/>
    <n v="47004.779242689488"/>
    <x v="695"/>
    <x v="0"/>
    <s v="Spain"/>
    <x v="47"/>
    <x v="0"/>
    <n v="11"/>
  </r>
  <r>
    <x v="1074"/>
    <d v="2012-05-28T16:19:41"/>
    <s v="Â£30000"/>
    <n v="30000"/>
    <s v="GBP"/>
    <n v="47285.348162018527"/>
    <x v="696"/>
    <x v="0"/>
    <s v="UK"/>
    <x v="14"/>
    <x v="1"/>
    <n v="10"/>
  </r>
  <r>
    <x v="1075"/>
    <d v="2012-05-28T16:20:52"/>
    <n v="58000"/>
    <n v="58000"/>
    <s v="GBP"/>
    <n v="91418.339779902482"/>
    <x v="79"/>
    <x v="0"/>
    <s v="UK"/>
    <x v="14"/>
    <x v="1"/>
    <n v="8"/>
  </r>
  <r>
    <x v="1076"/>
    <d v="2012-05-28T16:21:27"/>
    <n v="79000"/>
    <n v="79000"/>
    <s v="GBP"/>
    <n v="124518.08349331544"/>
    <x v="99"/>
    <x v="0"/>
    <s v="UK"/>
    <x v="14"/>
    <x v="2"/>
    <n v="14"/>
  </r>
  <r>
    <x v="1077"/>
    <d v="2012-05-28T16:26:14"/>
    <n v="43912.03"/>
    <n v="43912"/>
    <s v="GBP"/>
    <n v="69213.140283018583"/>
    <x v="268"/>
    <x v="0"/>
    <s v="UK"/>
    <x v="14"/>
    <x v="1"/>
    <n v="3"/>
  </r>
  <r>
    <x v="1078"/>
    <d v="2012-05-28T16:28:25"/>
    <n v="3500"/>
    <n v="3500"/>
    <s v="USD"/>
    <n v="3500"/>
    <x v="697"/>
    <x v="3"/>
    <s v="PAKISTAN"/>
    <x v="3"/>
    <x v="0"/>
    <n v="4"/>
  </r>
  <r>
    <x v="1079"/>
    <d v="2012-05-28T16:34:48"/>
    <s v="Â£40000"/>
    <n v="40000"/>
    <s v="GBP"/>
    <n v="63047.130882691366"/>
    <x v="169"/>
    <x v="3"/>
    <s v="UK"/>
    <x v="14"/>
    <x v="3"/>
    <n v="20"/>
  </r>
  <r>
    <x v="1080"/>
    <d v="2012-05-28T16:35:19"/>
    <n v="57000"/>
    <n v="57000"/>
    <s v="EUR"/>
    <n v="72412.768022521646"/>
    <x v="698"/>
    <x v="3"/>
    <s v="Norway"/>
    <x v="46"/>
    <x v="3"/>
    <n v="15"/>
  </r>
  <r>
    <x v="1081"/>
    <d v="2012-05-28T16:41:27"/>
    <n v="40000"/>
    <n v="40000"/>
    <s v="EUR"/>
    <n v="50815.977559664309"/>
    <x v="104"/>
    <x v="5"/>
    <s v="Portugal"/>
    <x v="7"/>
    <x v="2"/>
    <n v="10"/>
  </r>
  <r>
    <x v="1082"/>
    <d v="2012-05-28T16:45:28"/>
    <n v="100000"/>
    <n v="1200000"/>
    <s v="INR"/>
    <n v="21369.500024931083"/>
    <x v="458"/>
    <x v="3"/>
    <s v="India"/>
    <x v="0"/>
    <x v="2"/>
    <n v="5"/>
  </r>
  <r>
    <x v="1083"/>
    <d v="2012-05-28T16:45:32"/>
    <s v="Â£35000"/>
    <n v="35000"/>
    <s v="GBP"/>
    <n v="55166.239522354947"/>
    <x v="699"/>
    <x v="0"/>
    <s v="UK"/>
    <x v="14"/>
    <x v="2"/>
    <n v="6"/>
  </r>
  <r>
    <x v="1084"/>
    <d v="2012-05-28T16:53:13"/>
    <s v="Rs. 15000"/>
    <n v="180000"/>
    <s v="INR"/>
    <n v="3205.4250037396623"/>
    <x v="700"/>
    <x v="0"/>
    <s v="India"/>
    <x v="0"/>
    <x v="1"/>
    <n v="3"/>
  </r>
  <r>
    <x v="1085"/>
    <d v="2012-05-28T16:58:03"/>
    <s v="Rs. 600000"/>
    <n v="600000"/>
    <s v="INR"/>
    <n v="10684.750012465542"/>
    <x v="530"/>
    <x v="5"/>
    <s v="India"/>
    <x v="0"/>
    <x v="2"/>
    <n v="8"/>
  </r>
  <r>
    <x v="1086"/>
    <d v="2012-05-28T16:59:48"/>
    <s v="INR 300000"/>
    <n v="300000"/>
    <s v="INR"/>
    <n v="5342.3750062327708"/>
    <x v="5"/>
    <x v="0"/>
    <s v="India"/>
    <x v="0"/>
    <x v="0"/>
    <n v="5"/>
  </r>
  <r>
    <x v="1087"/>
    <d v="2012-05-28T17:02:43"/>
    <n v="75000"/>
    <n v="75000"/>
    <s v="GBP"/>
    <n v="118213.37040504631"/>
    <x v="337"/>
    <x v="3"/>
    <s v="UK"/>
    <x v="14"/>
    <x v="2"/>
    <n v="10"/>
  </r>
  <r>
    <x v="1088"/>
    <d v="2012-05-28T17:04:04"/>
    <s v="R100,000"/>
    <n v="100000"/>
    <s v="ZAR"/>
    <n v="12192.177986291113"/>
    <x v="701"/>
    <x v="3"/>
    <s v="South Africa"/>
    <x v="11"/>
    <x v="1"/>
    <n v="15"/>
  </r>
  <r>
    <x v="1089"/>
    <d v="2012-05-28T17:05:07"/>
    <s v="Â£45000"/>
    <n v="45000"/>
    <s v="GBP"/>
    <n v="70928.022243027779"/>
    <x v="702"/>
    <x v="4"/>
    <s v="UK"/>
    <x v="14"/>
    <x v="0"/>
    <n v="8"/>
  </r>
  <r>
    <x v="1090"/>
    <d v="2012-05-28T17:09:40"/>
    <s v="Â£25000"/>
    <n v="25000"/>
    <s v="GBP"/>
    <n v="39404.456801682099"/>
    <x v="703"/>
    <x v="0"/>
    <s v="UK"/>
    <x v="14"/>
    <x v="0"/>
    <n v="3"/>
  </r>
  <r>
    <x v="1091"/>
    <d v="2012-05-28T17:12:47"/>
    <n v="18987"/>
    <n v="18987"/>
    <s v="USD"/>
    <n v="18987"/>
    <x v="12"/>
    <x v="0"/>
    <s v="Nigeria"/>
    <x v="60"/>
    <x v="1"/>
    <n v="7"/>
  </r>
  <r>
    <x v="1092"/>
    <d v="2012-05-28T17:15:29"/>
    <s v="Â£28500"/>
    <n v="28500"/>
    <s v="GBP"/>
    <n v="44921.080753917595"/>
    <x v="704"/>
    <x v="3"/>
    <s v="UK"/>
    <x v="14"/>
    <x v="3"/>
    <n v="15"/>
  </r>
  <r>
    <x v="1093"/>
    <d v="2012-05-28T17:17:39"/>
    <n v="60000"/>
    <n v="60000"/>
    <s v="USD"/>
    <n v="60000"/>
    <x v="20"/>
    <x v="3"/>
    <s v="India"/>
    <x v="0"/>
    <x v="1"/>
    <n v="14"/>
  </r>
  <r>
    <x v="1094"/>
    <d v="2012-05-28T17:18:47"/>
    <s v="GBP Â£45200"/>
    <n v="45200"/>
    <s v="GBP"/>
    <n v="71243.257897441246"/>
    <x v="705"/>
    <x v="3"/>
    <s v="UK"/>
    <x v="14"/>
    <x v="2"/>
    <n v="5"/>
  </r>
  <r>
    <x v="1095"/>
    <d v="2012-05-28T17:22:19"/>
    <s v="252000 INR"/>
    <n v="252000"/>
    <s v="INR"/>
    <n v="4487.5950052355274"/>
    <x v="706"/>
    <x v="3"/>
    <s v="India"/>
    <x v="0"/>
    <x v="3"/>
    <n v="16"/>
  </r>
  <r>
    <x v="1096"/>
    <d v="2012-05-28T17:34:16"/>
    <n v="242304"/>
    <n v="242304"/>
    <s v="INR"/>
    <n v="4314.929445034084"/>
    <x v="189"/>
    <x v="5"/>
    <s v="India"/>
    <x v="0"/>
    <x v="0"/>
    <n v="7"/>
  </r>
  <r>
    <x v="1097"/>
    <d v="2012-05-28T17:38:46"/>
    <n v="210000"/>
    <n v="210000"/>
    <s v="INR"/>
    <n v="3739.6625043629392"/>
    <x v="246"/>
    <x v="0"/>
    <s v="India"/>
    <x v="0"/>
    <x v="1"/>
    <n v="1"/>
  </r>
  <r>
    <x v="1098"/>
    <d v="2012-05-28T17:42:11"/>
    <n v="5000"/>
    <n v="60000"/>
    <s v="EUR"/>
    <n v="76223.966339496474"/>
    <x v="707"/>
    <x v="3"/>
    <s v="Finland"/>
    <x v="40"/>
    <x v="3"/>
    <n v="4"/>
  </r>
  <r>
    <x v="1099"/>
    <d v="2012-05-28T17:42:22"/>
    <s v="AED 120000"/>
    <n v="120000"/>
    <s v="AED"/>
    <n v="32666.305522511171"/>
    <x v="363"/>
    <x v="3"/>
    <s v="UAE"/>
    <x v="21"/>
    <x v="2"/>
    <n v="12"/>
  </r>
  <r>
    <x v="1100"/>
    <d v="2012-05-28T17:42:51"/>
    <n v="19000"/>
    <n v="19000"/>
    <s v="USD"/>
    <n v="19000"/>
    <x v="708"/>
    <x v="7"/>
    <s v="UK"/>
    <x v="14"/>
    <x v="1"/>
    <n v="8"/>
  </r>
  <r>
    <x v="1101"/>
    <d v="2012-05-28T17:42:57"/>
    <n v="50000"/>
    <n v="50000"/>
    <s v="EUR"/>
    <n v="63519.971949580387"/>
    <x v="709"/>
    <x v="2"/>
    <s v="Portugal"/>
    <x v="7"/>
    <x v="2"/>
    <n v="14"/>
  </r>
  <r>
    <x v="1102"/>
    <d v="2012-05-28T17:53:43"/>
    <s v="Rs. 900000"/>
    <n v="900000"/>
    <s v="INR"/>
    <n v="16027.125018698311"/>
    <x v="697"/>
    <x v="3"/>
    <s v="India"/>
    <x v="0"/>
    <x v="0"/>
    <n v="22"/>
  </r>
  <r>
    <x v="1103"/>
    <d v="2012-05-28T18:02:44"/>
    <s v="4,00,000"/>
    <n v="400000"/>
    <s v="INR"/>
    <n v="7123.1666749770275"/>
    <x v="710"/>
    <x v="7"/>
    <s v="India"/>
    <x v="0"/>
    <x v="0"/>
    <n v="9"/>
  </r>
  <r>
    <x v="1104"/>
    <d v="2012-05-28T18:05:13"/>
    <n v="150252"/>
    <n v="150252"/>
    <s v="INR"/>
    <n v="2675.675098121621"/>
    <x v="711"/>
    <x v="3"/>
    <s v="India"/>
    <x v="0"/>
    <x v="2"/>
    <n v="5"/>
  </r>
  <r>
    <x v="1105"/>
    <d v="2012-05-28T18:05:16"/>
    <s v="Â£15000"/>
    <n v="15000"/>
    <s v="GBP"/>
    <n v="23642.674081009263"/>
    <x v="708"/>
    <x v="7"/>
    <s v="UK"/>
    <x v="14"/>
    <x v="1"/>
    <n v="2"/>
  </r>
  <r>
    <x v="1106"/>
    <d v="2012-05-28T18:11:36"/>
    <s v="â‚¬ 45000"/>
    <n v="45000"/>
    <s v="EUR"/>
    <n v="57167.974754622352"/>
    <x v="712"/>
    <x v="3"/>
    <s v="Spain"/>
    <x v="47"/>
    <x v="0"/>
    <n v="14"/>
  </r>
  <r>
    <x v="1107"/>
    <d v="2012-05-28T18:30:51"/>
    <s v="Rs 2400000"/>
    <n v="2400000"/>
    <s v="INR"/>
    <n v="42739.000049862167"/>
    <x v="713"/>
    <x v="3"/>
    <s v="India"/>
    <x v="0"/>
    <x v="1"/>
    <n v="10"/>
  </r>
  <r>
    <x v="1108"/>
    <d v="2012-05-28T18:34:12"/>
    <s v="PhP 216,000"/>
    <n v="216000"/>
    <s v="PHP"/>
    <n v="5120.2912876821438"/>
    <x v="328"/>
    <x v="3"/>
    <s v="Philippines"/>
    <x v="32"/>
    <x v="0"/>
    <n v="2"/>
  </r>
  <r>
    <x v="1109"/>
    <d v="2012-05-28T18:38:06"/>
    <n v="100000"/>
    <n v="100000"/>
    <s v="EUR"/>
    <n v="127039.94389916077"/>
    <x v="115"/>
    <x v="4"/>
    <s v="Spain"/>
    <x v="47"/>
    <x v="3"/>
    <n v="20"/>
  </r>
  <r>
    <x v="1110"/>
    <d v="2012-05-28T18:39:19"/>
    <n v="90000"/>
    <n v="90000"/>
    <s v="USD"/>
    <n v="90000"/>
    <x v="714"/>
    <x v="3"/>
    <s v="USA"/>
    <x v="2"/>
    <x v="0"/>
    <n v="5"/>
  </r>
  <r>
    <x v="1111"/>
    <d v="2012-05-28T18:40:08"/>
    <n v="400000"/>
    <n v="400000"/>
    <s v="INR"/>
    <n v="7123.1666749770275"/>
    <x v="715"/>
    <x v="2"/>
    <s v="India"/>
    <x v="0"/>
    <x v="3"/>
    <n v="2"/>
  </r>
  <r>
    <x v="1112"/>
    <d v="2012-05-28T18:45:00"/>
    <n v="10000"/>
    <n v="10000"/>
    <s v="USD"/>
    <n v="10000"/>
    <x v="12"/>
    <x v="0"/>
    <s v="India"/>
    <x v="0"/>
    <x v="2"/>
    <n v="5"/>
  </r>
  <r>
    <x v="1113"/>
    <d v="2012-05-28T18:50:35"/>
    <n v="29000"/>
    <n v="29000"/>
    <s v="GBP"/>
    <n v="45709.169889951241"/>
    <x v="2"/>
    <x v="0"/>
    <s v="UK"/>
    <x v="14"/>
    <x v="0"/>
    <n v="14"/>
  </r>
  <r>
    <x v="1114"/>
    <d v="2012-05-28T19:05:22"/>
    <s v="200000 rupees"/>
    <n v="200000"/>
    <s v="INR"/>
    <n v="3561.5833374885137"/>
    <x v="716"/>
    <x v="7"/>
    <s v="India"/>
    <x v="0"/>
    <x v="1"/>
    <n v="5"/>
  </r>
  <r>
    <x v="1115"/>
    <d v="2012-05-28T19:09:37"/>
    <n v="30000"/>
    <n v="30000"/>
    <s v="EUR"/>
    <n v="38111.983169748237"/>
    <x v="717"/>
    <x v="0"/>
    <s v="Belgium"/>
    <x v="12"/>
    <x v="3"/>
    <n v="15"/>
  </r>
  <r>
    <x v="1116"/>
    <d v="2012-05-28T19:19:51"/>
    <n v="5000"/>
    <n v="60000"/>
    <s v="USD"/>
    <n v="60000"/>
    <x v="718"/>
    <x v="0"/>
    <s v="USA"/>
    <x v="2"/>
    <x v="2"/>
    <n v="4"/>
  </r>
  <r>
    <x v="1117"/>
    <d v="2012-05-28T19:23:29"/>
    <n v="40000"/>
    <n v="40000"/>
    <s v="USD"/>
    <n v="40000"/>
    <x v="306"/>
    <x v="2"/>
    <s v="India"/>
    <x v="0"/>
    <x v="2"/>
    <n v="2"/>
  </r>
  <r>
    <x v="1118"/>
    <d v="2012-05-28T19:25:04"/>
    <s v="INR 853000"/>
    <n v="853000"/>
    <s v="INR"/>
    <n v="15190.15293438851"/>
    <x v="719"/>
    <x v="0"/>
    <s v="India"/>
    <x v="0"/>
    <x v="2"/>
    <n v="6"/>
  </r>
  <r>
    <x v="1119"/>
    <d v="2012-05-28T19:25:35"/>
    <n v="90000"/>
    <n v="90000"/>
    <s v="EUR"/>
    <n v="114335.9495092447"/>
    <x v="720"/>
    <x v="3"/>
    <s v="Continental Europe"/>
    <x v="77"/>
    <x v="2"/>
    <n v="20"/>
  </r>
  <r>
    <x v="1120"/>
    <d v="2012-05-28T19:32:15"/>
    <s v="Â£23000"/>
    <n v="23000"/>
    <s v="GBP"/>
    <n v="36252.100257547536"/>
    <x v="721"/>
    <x v="3"/>
    <s v="UK"/>
    <x v="14"/>
    <x v="0"/>
    <n v="10"/>
  </r>
  <r>
    <x v="1121"/>
    <d v="2012-05-28T19:53:14"/>
    <s v="Â£30000"/>
    <n v="30000"/>
    <s v="GBP"/>
    <n v="47285.348162018527"/>
    <x v="722"/>
    <x v="5"/>
    <s v="UK"/>
    <x v="14"/>
    <x v="2"/>
    <n v="5"/>
  </r>
  <r>
    <x v="1122"/>
    <d v="2012-05-28T20:05:20"/>
    <s v="â‚¬70k"/>
    <n v="70000"/>
    <s v="EUR"/>
    <n v="88927.960729412545"/>
    <x v="723"/>
    <x v="8"/>
    <s v="Ireland"/>
    <x v="8"/>
    <x v="2"/>
    <n v="20"/>
  </r>
  <r>
    <x v="1123"/>
    <d v="2012-05-28T20:19:57"/>
    <n v="6000"/>
    <n v="6000"/>
    <s v="USD"/>
    <n v="6000"/>
    <x v="724"/>
    <x v="5"/>
    <s v="Zambia"/>
    <x v="72"/>
    <x v="1"/>
    <n v="5"/>
  </r>
  <r>
    <x v="1124"/>
    <d v="2012-05-28T20:20:54"/>
    <n v="35000"/>
    <n v="35000"/>
    <s v="USD"/>
    <n v="35000"/>
    <x v="725"/>
    <x v="0"/>
    <s v="USA"/>
    <x v="2"/>
    <x v="1"/>
    <n v="20"/>
  </r>
  <r>
    <x v="1125"/>
    <d v="2012-05-28T20:35:30"/>
    <s v="Â£35000"/>
    <n v="35000"/>
    <s v="GBP"/>
    <n v="55166.239522354947"/>
    <x v="726"/>
    <x v="0"/>
    <s v="UK"/>
    <x v="14"/>
    <x v="0"/>
    <n v="10"/>
  </r>
  <r>
    <x v="1126"/>
    <d v="2012-05-28T20:43:31"/>
    <n v="168000"/>
    <n v="168000"/>
    <s v="PKR"/>
    <n v="1783.166904422254"/>
    <x v="727"/>
    <x v="5"/>
    <s v="Pakistan"/>
    <x v="3"/>
    <x v="0"/>
    <n v="10"/>
  </r>
  <r>
    <x v="1127"/>
    <d v="2012-05-28T20:45:35"/>
    <n v="13.5"/>
    <n v="13500"/>
    <s v="USD"/>
    <n v="13500"/>
    <x v="89"/>
    <x v="3"/>
    <s v="Montenegro"/>
    <x v="78"/>
    <x v="0"/>
    <n v="13"/>
  </r>
  <r>
    <x v="1128"/>
    <d v="2012-05-28T20:51:37"/>
    <s v="Â£37500"/>
    <n v="37500"/>
    <s v="GBP"/>
    <n v="59106.685202523156"/>
    <x v="728"/>
    <x v="5"/>
    <s v="UK"/>
    <x v="14"/>
    <x v="2"/>
    <n v="5"/>
  </r>
  <r>
    <x v="1129"/>
    <d v="2012-05-28T20:54:29"/>
    <s v="Rs. 59,000 (Per Month)"/>
    <n v="708000"/>
    <s v="INR"/>
    <n v="12608.005014709339"/>
    <x v="729"/>
    <x v="3"/>
    <s v="India"/>
    <x v="0"/>
    <x v="0"/>
    <n v="5"/>
  </r>
  <r>
    <x v="1130"/>
    <d v="2012-05-28T21:14:25"/>
    <s v="R366252"/>
    <n v="366252"/>
    <s v="ZAR"/>
    <n v="44654.095718350931"/>
    <x v="189"/>
    <x v="5"/>
    <s v="South Africa"/>
    <x v="11"/>
    <x v="1"/>
    <n v="15"/>
  </r>
  <r>
    <x v="1131"/>
    <d v="2012-05-28T21:17:04"/>
    <n v="69000"/>
    <n v="69000"/>
    <s v="USD"/>
    <n v="69000"/>
    <x v="730"/>
    <x v="0"/>
    <s v="USA"/>
    <x v="2"/>
    <x v="2"/>
    <n v="20"/>
  </r>
  <r>
    <x v="1132"/>
    <d v="2012-05-28T21:55:25"/>
    <n v="500"/>
    <n v="6000"/>
    <s v="USD"/>
    <n v="6000"/>
    <x v="731"/>
    <x v="3"/>
    <s v="India"/>
    <x v="0"/>
    <x v="0"/>
    <n v="6"/>
  </r>
  <r>
    <x v="1133"/>
    <d v="2012-05-28T22:08:12"/>
    <s v="Rs.5,00,000"/>
    <n v="500000"/>
    <s v="INR"/>
    <n v="8903.9583437212841"/>
    <x v="398"/>
    <x v="3"/>
    <s v="India"/>
    <x v="0"/>
    <x v="3"/>
    <n v="25"/>
  </r>
  <r>
    <x v="1134"/>
    <d v="2012-05-28T22:10:12"/>
    <n v="30000"/>
    <n v="30000"/>
    <s v="USD"/>
    <n v="30000"/>
    <x v="732"/>
    <x v="3"/>
    <s v="mexico"/>
    <x v="25"/>
    <x v="1"/>
    <n v="17"/>
  </r>
  <r>
    <x v="1135"/>
    <d v="2012-05-28T22:13:24"/>
    <n v="8600"/>
    <n v="8600"/>
    <s v="USD"/>
    <n v="8600"/>
    <x v="733"/>
    <x v="0"/>
    <s v="India"/>
    <x v="0"/>
    <x v="0"/>
    <n v="2"/>
  </r>
  <r>
    <x v="1136"/>
    <d v="2012-05-28T22:25:04"/>
    <s v="Â£51,000/$81,600"/>
    <n v="81600"/>
    <s v="USD"/>
    <n v="81600"/>
    <x v="734"/>
    <x v="0"/>
    <s v="UK"/>
    <x v="14"/>
    <x v="0"/>
    <n v="4"/>
  </r>
  <r>
    <x v="1137"/>
    <d v="2012-05-28T22:33:29"/>
    <n v="600000"/>
    <n v="600000"/>
    <s v="DOP"/>
    <n v="15404.364569961488"/>
    <x v="735"/>
    <x v="0"/>
    <s v="Republica Dominicana"/>
    <x v="41"/>
    <x v="1"/>
    <n v="3"/>
  </r>
  <r>
    <x v="1138"/>
    <d v="2012-05-28T22:35:56"/>
    <s v="CAD$65000"/>
    <n v="65000"/>
    <s v="CAD"/>
    <n v="63918.498996971248"/>
    <x v="736"/>
    <x v="0"/>
    <s v="Canada"/>
    <x v="17"/>
    <x v="0"/>
    <n v="20"/>
  </r>
  <r>
    <x v="1139"/>
    <d v="2012-05-28T22:36:22"/>
    <n v="75000"/>
    <n v="75000"/>
    <s v="USD"/>
    <n v="75000"/>
    <x v="236"/>
    <x v="1"/>
    <s v="USA"/>
    <x v="2"/>
    <x v="2"/>
    <n v="20"/>
  </r>
  <r>
    <x v="1140"/>
    <d v="2012-05-28T22:36:47"/>
    <n v="59000"/>
    <n v="59000"/>
    <s v="USD"/>
    <n v="59000"/>
    <x v="248"/>
    <x v="0"/>
    <s v="USA"/>
    <x v="2"/>
    <x v="0"/>
    <n v="14"/>
  </r>
  <r>
    <x v="1141"/>
    <d v="2012-05-28T22:38:37"/>
    <s v="$50,000 U.S."/>
    <n v="50000"/>
    <s v="USD"/>
    <n v="50000"/>
    <x v="170"/>
    <x v="3"/>
    <s v="Canada"/>
    <x v="17"/>
    <x v="3"/>
    <n v="5"/>
  </r>
  <r>
    <x v="1142"/>
    <d v="2012-05-28T22:39:09"/>
    <s v="Â£80000"/>
    <n v="80000"/>
    <s v="GBP"/>
    <n v="126094.26176538273"/>
    <x v="96"/>
    <x v="1"/>
    <s v="UK"/>
    <x v="14"/>
    <x v="0"/>
    <n v="15"/>
  </r>
  <r>
    <x v="1143"/>
    <d v="2012-05-28T22:41:01"/>
    <s v="R$ 54000"/>
    <n v="54000"/>
    <s v="BRL"/>
    <n v="26691.183012544854"/>
    <x v="737"/>
    <x v="3"/>
    <s v="Brazil"/>
    <x v="20"/>
    <x v="3"/>
    <n v="7"/>
  </r>
  <r>
    <x v="1144"/>
    <d v="2012-05-28T22:41:15"/>
    <n v="500000"/>
    <n v="500000"/>
    <s v="INR"/>
    <n v="8903.9583437212841"/>
    <x v="12"/>
    <x v="0"/>
    <s v="India"/>
    <x v="0"/>
    <x v="0"/>
    <n v="0.8"/>
  </r>
  <r>
    <x v="1145"/>
    <d v="2012-05-28T22:41:26"/>
    <s v="8725 $"/>
    <n v="8725"/>
    <s v="USD"/>
    <n v="8725"/>
    <x v="368"/>
    <x v="3"/>
    <s v="Pakistan"/>
    <x v="3"/>
    <x v="2"/>
    <n v="18"/>
  </r>
  <r>
    <x v="1146"/>
    <d v="2012-05-28T22:44:48"/>
    <s v="Â£32000"/>
    <n v="32000"/>
    <s v="GBP"/>
    <n v="50437.70470615309"/>
    <x v="738"/>
    <x v="0"/>
    <s v="UK"/>
    <x v="14"/>
    <x v="0"/>
    <n v="4"/>
  </r>
  <r>
    <x v="1147"/>
    <d v="2012-05-28T22:45:49"/>
    <s v="Â£43000"/>
    <n v="43000"/>
    <s v="GBP"/>
    <n v="67775.665698893223"/>
    <x v="739"/>
    <x v="5"/>
    <s v="UK"/>
    <x v="14"/>
    <x v="1"/>
    <n v="15"/>
  </r>
  <r>
    <x v="1148"/>
    <d v="2012-05-28T22:46:37"/>
    <s v="CAD $53,000/-"/>
    <n v="53000"/>
    <s v="CAD"/>
    <n v="52118.160720607324"/>
    <x v="79"/>
    <x v="0"/>
    <s v="Canada"/>
    <x v="17"/>
    <x v="0"/>
    <n v="6"/>
  </r>
  <r>
    <x v="1149"/>
    <d v="2012-05-28T22:48:32"/>
    <s v="INR 20 Lakhs p.a."/>
    <n v="200000"/>
    <s v="INR"/>
    <n v="3561.5833374885137"/>
    <x v="381"/>
    <x v="0"/>
    <s v="India"/>
    <x v="0"/>
    <x v="3"/>
    <n v="6"/>
  </r>
  <r>
    <x v="1150"/>
    <d v="2012-05-28T22:49:15"/>
    <s v="4.5 laks"/>
    <n v="450000"/>
    <s v="INR"/>
    <n v="8013.5625093491553"/>
    <x v="389"/>
    <x v="3"/>
    <s v="India"/>
    <x v="0"/>
    <x v="0"/>
    <n v="21"/>
  </r>
  <r>
    <x v="1151"/>
    <d v="2012-05-28T22:50:51"/>
    <n v="28000"/>
    <n v="28000"/>
    <s v="USD"/>
    <n v="28000"/>
    <x v="351"/>
    <x v="3"/>
    <s v="Poland"/>
    <x v="15"/>
    <x v="0"/>
    <n v="5"/>
  </r>
  <r>
    <x v="1152"/>
    <d v="2012-05-28T22:51:27"/>
    <n v="31763"/>
    <n v="31763"/>
    <s v="GBP"/>
    <n v="50064.150455673145"/>
    <x v="740"/>
    <x v="0"/>
    <s v="UK"/>
    <x v="14"/>
    <x v="2"/>
    <n v="2"/>
  </r>
  <r>
    <x v="1153"/>
    <d v="2012-05-28T22:52:19"/>
    <s v="GBPÂ£32000"/>
    <n v="32000"/>
    <s v="GBP"/>
    <n v="50437.70470615309"/>
    <x v="741"/>
    <x v="0"/>
    <s v="Canada"/>
    <x v="17"/>
    <x v="0"/>
    <n v="9"/>
  </r>
  <r>
    <x v="1154"/>
    <d v="2012-05-28T22:53:03"/>
    <n v="27840"/>
    <n v="27840"/>
    <s v="USD"/>
    <n v="27840"/>
    <x v="742"/>
    <x v="0"/>
    <s v="USA"/>
    <x v="2"/>
    <x v="2"/>
    <n v="1"/>
  </r>
  <r>
    <x v="1155"/>
    <d v="2012-05-28T22:54:24"/>
    <s v="Rs. 350000"/>
    <n v="350000"/>
    <s v="INR"/>
    <n v="6232.7708406048987"/>
    <x v="743"/>
    <x v="5"/>
    <s v="India"/>
    <x v="0"/>
    <x v="2"/>
    <n v="1.5"/>
  </r>
  <r>
    <x v="1156"/>
    <d v="2012-05-28T22:55:40"/>
    <s v="S$50000"/>
    <n v="50000"/>
    <s v="USD"/>
    <n v="50000"/>
    <x v="306"/>
    <x v="2"/>
    <s v="Singapore"/>
    <x v="29"/>
    <x v="2"/>
    <n v="25"/>
  </r>
  <r>
    <x v="1157"/>
    <d v="2012-05-28T22:58:25"/>
    <n v="48000"/>
    <n v="48000"/>
    <s v="USD"/>
    <n v="48000"/>
    <x v="744"/>
    <x v="1"/>
    <s v="Qatar"/>
    <x v="65"/>
    <x v="2"/>
    <n v="10"/>
  </r>
  <r>
    <x v="1158"/>
    <d v="2012-05-28T22:59:16"/>
    <n v="2000"/>
    <n v="24000"/>
    <s v="USD"/>
    <n v="24000"/>
    <x v="745"/>
    <x v="3"/>
    <s v="Argentina"/>
    <x v="79"/>
    <x v="0"/>
    <n v="21"/>
  </r>
  <r>
    <x v="1159"/>
    <d v="2012-05-28T23:02:08"/>
    <n v="75000"/>
    <n v="75000"/>
    <s v="USD"/>
    <n v="75000"/>
    <x v="2"/>
    <x v="0"/>
    <s v="USA"/>
    <x v="2"/>
    <x v="0"/>
    <n v="12"/>
  </r>
  <r>
    <x v="1160"/>
    <d v="2012-05-28T23:05:03"/>
    <s v="216000 AED"/>
    <n v="216000"/>
    <s v="AED"/>
    <n v="58799.349940520107"/>
    <x v="2"/>
    <x v="0"/>
    <s v="Dubai"/>
    <x v="33"/>
    <x v="0"/>
    <n v="2"/>
  </r>
  <r>
    <x v="1161"/>
    <d v="2012-05-28T23:06:22"/>
    <s v="Rupees : 2,000,000"/>
    <n v="2000000"/>
    <s v="PKR"/>
    <n v="21228.177433598263"/>
    <x v="746"/>
    <x v="8"/>
    <s v="Pakistan"/>
    <x v="3"/>
    <x v="1"/>
    <n v="8"/>
  </r>
  <r>
    <x v="1162"/>
    <d v="2012-05-28T23:13:24"/>
    <n v="60000"/>
    <n v="60000"/>
    <s v="USD"/>
    <n v="60000"/>
    <x v="747"/>
    <x v="3"/>
    <s v="USA"/>
    <x v="2"/>
    <x v="2"/>
    <n v="10"/>
  </r>
  <r>
    <x v="1163"/>
    <d v="2012-05-28T23:13:31"/>
    <s v="5000  PLN   net"/>
    <n v="60000"/>
    <s v="PLN"/>
    <n v="18018.883790212141"/>
    <x v="51"/>
    <x v="0"/>
    <s v="Poland"/>
    <x v="15"/>
    <x v="1"/>
    <n v="10"/>
  </r>
  <r>
    <x v="1164"/>
    <d v="2012-05-28T23:17:12"/>
    <s v="US$ 7,200"/>
    <n v="7200"/>
    <s v="USD"/>
    <n v="7200"/>
    <x v="748"/>
    <x v="7"/>
    <s v="India"/>
    <x v="0"/>
    <x v="0"/>
    <n v="7"/>
  </r>
  <r>
    <x v="1165"/>
    <d v="2012-05-28T23:17:31"/>
    <n v="56000"/>
    <n v="56000"/>
    <s v="USD"/>
    <n v="56000"/>
    <x v="5"/>
    <x v="0"/>
    <s v="USA"/>
    <x v="2"/>
    <x v="3"/>
    <n v="2"/>
  </r>
  <r>
    <x v="1166"/>
    <d v="2012-05-28T23:19:36"/>
    <s v="Rs 5,40,000"/>
    <n v="540000"/>
    <s v="INR"/>
    <n v="9616.275011218986"/>
    <x v="749"/>
    <x v="0"/>
    <s v="India"/>
    <x v="0"/>
    <x v="0"/>
    <n v="7.9"/>
  </r>
  <r>
    <x v="1167"/>
    <d v="2012-05-28T23:21:02"/>
    <s v="KES 4.3 million"/>
    <n v="4300000"/>
    <s v="KENYA"/>
    <n v="51497.005988023957"/>
    <x v="363"/>
    <x v="3"/>
    <s v="Kenya"/>
    <x v="80"/>
    <x v="0"/>
    <n v="9"/>
  </r>
  <r>
    <x v="1168"/>
    <d v="2012-05-28T23:25:32"/>
    <s v="82.000 Euro (pre-tax)"/>
    <n v="82000"/>
    <s v="EUR"/>
    <n v="104172.75399731184"/>
    <x v="750"/>
    <x v="3"/>
    <s v="Netherlands"/>
    <x v="18"/>
    <x v="1"/>
    <n v="25"/>
  </r>
  <r>
    <x v="1169"/>
    <d v="2012-05-28T23:33:59"/>
    <n v="88000"/>
    <n v="88000"/>
    <s v="USD"/>
    <n v="88000"/>
    <x v="751"/>
    <x v="3"/>
    <s v="USA"/>
    <x v="2"/>
    <x v="0"/>
    <n v="2"/>
  </r>
  <r>
    <x v="1170"/>
    <d v="2012-05-28T23:38:52"/>
    <n v="80000"/>
    <n v="80000"/>
    <s v="USD"/>
    <n v="80000"/>
    <x v="752"/>
    <x v="0"/>
    <s v="USA"/>
    <x v="2"/>
    <x v="0"/>
    <n v="6"/>
  </r>
  <r>
    <x v="1171"/>
    <d v="2012-05-28T23:47:10"/>
    <n v="19000"/>
    <n v="19000"/>
    <s v="USD"/>
    <n v="19000"/>
    <x v="189"/>
    <x v="5"/>
    <s v="UK"/>
    <x v="14"/>
    <x v="0"/>
    <n v="20"/>
  </r>
  <r>
    <x v="1172"/>
    <d v="2012-05-28T23:51:37"/>
    <s v="Euro 15.000"/>
    <n v="15000"/>
    <s v="EUR"/>
    <n v="19055.991584874118"/>
    <x v="649"/>
    <x v="8"/>
    <s v="Italy"/>
    <x v="62"/>
    <x v="0"/>
    <n v="3"/>
  </r>
  <r>
    <x v="1173"/>
    <d v="2012-05-28T23:52:42"/>
    <n v="480000"/>
    <n v="480000"/>
    <s v="INR"/>
    <n v="8547.8000099724322"/>
    <x v="753"/>
    <x v="8"/>
    <s v="India"/>
    <x v="0"/>
    <x v="1"/>
    <n v="15"/>
  </r>
  <r>
    <x v="1174"/>
    <d v="2012-05-28T23:53:02"/>
    <n v="1100000"/>
    <n v="1100000"/>
    <s v="INR"/>
    <n v="19588.708356186824"/>
    <x v="754"/>
    <x v="8"/>
    <s v="India"/>
    <x v="0"/>
    <x v="1"/>
    <n v="13"/>
  </r>
  <r>
    <x v="1175"/>
    <d v="2012-05-29T00:00:21"/>
    <n v="61000"/>
    <n v="61000"/>
    <s v="USD"/>
    <n v="61000"/>
    <x v="2"/>
    <x v="0"/>
    <s v="USA"/>
    <x v="2"/>
    <x v="0"/>
    <n v="1.5"/>
  </r>
  <r>
    <x v="1176"/>
    <d v="2012-05-29T00:03:43"/>
    <n v="34000"/>
    <n v="34000"/>
    <s v="GBP"/>
    <n v="53590.061250287661"/>
    <x v="755"/>
    <x v="5"/>
    <s v="UK"/>
    <x v="14"/>
    <x v="1"/>
    <n v="10"/>
  </r>
  <r>
    <x v="1177"/>
    <d v="2012-05-29T00:03:48"/>
    <n v="34000"/>
    <n v="34000"/>
    <s v="GBP"/>
    <n v="53590.061250287661"/>
    <x v="755"/>
    <x v="5"/>
    <s v="UK"/>
    <x v="14"/>
    <x v="1"/>
    <n v="10"/>
  </r>
  <r>
    <x v="1178"/>
    <d v="2012-05-29T00:07:00"/>
    <n v="250000"/>
    <n v="250000"/>
    <s v="INR"/>
    <n v="4451.9791718606421"/>
    <x v="756"/>
    <x v="3"/>
    <s v="India"/>
    <x v="0"/>
    <x v="0"/>
    <n v="1"/>
  </r>
  <r>
    <x v="1179"/>
    <d v="2012-05-29T00:07:36"/>
    <n v="20000"/>
    <n v="20000"/>
    <s v="EUR"/>
    <n v="25407.988779832154"/>
    <x v="757"/>
    <x v="3"/>
    <s v="GREECE"/>
    <x v="26"/>
    <x v="3"/>
    <n v="12"/>
  </r>
  <r>
    <x v="1180"/>
    <d v="2012-05-29T00:12:23"/>
    <n v="23000"/>
    <n v="23000"/>
    <s v="USD"/>
    <n v="23000"/>
    <x v="758"/>
    <x v="5"/>
    <s v="Saudi Arabia"/>
    <x v="22"/>
    <x v="1"/>
    <n v="14"/>
  </r>
  <r>
    <x v="1181"/>
    <d v="2012-05-29T00:16:55"/>
    <s v="Rs. 900000"/>
    <n v="900000"/>
    <s v="INR"/>
    <n v="16027.125018698311"/>
    <x v="759"/>
    <x v="3"/>
    <s v="India"/>
    <x v="0"/>
    <x v="3"/>
    <n v="13"/>
  </r>
  <r>
    <x v="1182"/>
    <d v="2012-05-29T00:25:39"/>
    <n v="60000"/>
    <n v="60000"/>
    <s v="USD"/>
    <n v="60000"/>
    <x v="760"/>
    <x v="2"/>
    <s v="USA"/>
    <x v="2"/>
    <x v="3"/>
    <n v="6"/>
  </r>
  <r>
    <x v="1183"/>
    <d v="2012-05-29T00:25:46"/>
    <n v="800"/>
    <n v="4800"/>
    <s v="USD"/>
    <n v="4800"/>
    <x v="2"/>
    <x v="0"/>
    <s v="India"/>
    <x v="0"/>
    <x v="0"/>
    <n v="5"/>
  </r>
  <r>
    <x v="1184"/>
    <d v="2012-05-29T00:26:21"/>
    <s v="DKK 625000"/>
    <n v="625000"/>
    <s v="DKK"/>
    <n v="106815.148267971"/>
    <x v="761"/>
    <x v="3"/>
    <s v="Denmark"/>
    <x v="61"/>
    <x v="0"/>
    <n v="25"/>
  </r>
  <r>
    <x v="1185"/>
    <d v="2012-05-29T00:28:38"/>
    <n v="500000"/>
    <n v="500000"/>
    <s v="INR"/>
    <n v="8903.9583437212841"/>
    <x v="35"/>
    <x v="8"/>
    <s v="India"/>
    <x v="0"/>
    <x v="2"/>
    <n v="3"/>
  </r>
  <r>
    <x v="1186"/>
    <d v="2012-05-29T00:29:32"/>
    <n v="60000"/>
    <n v="60000"/>
    <s v="USD"/>
    <n v="60000"/>
    <x v="762"/>
    <x v="3"/>
    <s v="USA"/>
    <x v="2"/>
    <x v="0"/>
    <n v="12"/>
  </r>
  <r>
    <x v="1187"/>
    <d v="2012-05-29T00:30:42"/>
    <n v="2600000"/>
    <n v="2600000"/>
    <s v="INR"/>
    <n v="46300.583387350678"/>
    <x v="763"/>
    <x v="3"/>
    <s v="India"/>
    <x v="0"/>
    <x v="0"/>
    <n v="4"/>
  </r>
  <r>
    <x v="1188"/>
    <d v="2012-05-29T00:32:35"/>
    <s v="INR 750,000"/>
    <n v="750000"/>
    <s v="INR"/>
    <n v="13355.937515581925"/>
    <x v="592"/>
    <x v="3"/>
    <s v="India"/>
    <x v="0"/>
    <x v="2"/>
    <n v="3"/>
  </r>
  <r>
    <x v="1189"/>
    <d v="2012-05-29T00:36:21"/>
    <n v="74000"/>
    <n v="74000"/>
    <s v="USD"/>
    <n v="74000"/>
    <x v="404"/>
    <x v="6"/>
    <s v="USA"/>
    <x v="2"/>
    <x v="0"/>
    <n v="10"/>
  </r>
  <r>
    <x v="1190"/>
    <d v="2012-05-29T00:47:17"/>
    <n v="95856"/>
    <n v="95856"/>
    <s v="USD"/>
    <n v="95856"/>
    <x v="5"/>
    <x v="0"/>
    <s v="USA"/>
    <x v="2"/>
    <x v="2"/>
    <n v="13"/>
  </r>
  <r>
    <x v="1191"/>
    <d v="2012-05-29T01:03:19"/>
    <s v="40,000 US"/>
    <n v="40000"/>
    <s v="USD"/>
    <n v="40000"/>
    <x v="764"/>
    <x v="5"/>
    <s v="USA"/>
    <x v="2"/>
    <x v="2"/>
    <n v="15"/>
  </r>
  <r>
    <x v="1192"/>
    <d v="2012-05-29T01:06:44"/>
    <n v="4400"/>
    <n v="4400"/>
    <s v="USD"/>
    <n v="4400"/>
    <x v="765"/>
    <x v="3"/>
    <s v="Latin America"/>
    <x v="81"/>
    <x v="2"/>
    <n v="5"/>
  </r>
  <r>
    <x v="1193"/>
    <d v="2012-05-29T01:12:28"/>
    <n v="90000"/>
    <n v="90000"/>
    <s v="USD"/>
    <n v="90000"/>
    <x v="49"/>
    <x v="0"/>
    <s v="USA"/>
    <x v="2"/>
    <x v="0"/>
    <n v="30"/>
  </r>
  <r>
    <x v="1194"/>
    <d v="2012-05-29T01:19:26"/>
    <s v="INR 450000"/>
    <n v="450000"/>
    <s v="INR"/>
    <n v="8013.5625093491553"/>
    <x v="592"/>
    <x v="3"/>
    <s v="India"/>
    <x v="0"/>
    <x v="1"/>
    <n v="2"/>
  </r>
  <r>
    <x v="1195"/>
    <d v="2012-05-29T01:22:59"/>
    <s v="INR 1000000"/>
    <n v="1000000"/>
    <s v="INR"/>
    <n v="17807.916687442568"/>
    <x v="591"/>
    <x v="3"/>
    <s v="India"/>
    <x v="0"/>
    <x v="0"/>
    <n v="8.5"/>
  </r>
  <r>
    <x v="1196"/>
    <d v="2012-05-29T01:31:39"/>
    <s v="700000 INR"/>
    <n v="700000"/>
    <s v="INR"/>
    <n v="12465.541681209797"/>
    <x v="766"/>
    <x v="7"/>
    <s v="India"/>
    <x v="0"/>
    <x v="0"/>
    <n v="6"/>
  </r>
  <r>
    <x v="1197"/>
    <d v="2012-05-29T01:41:00"/>
    <n v="80000"/>
    <n v="80000"/>
    <s v="USD"/>
    <n v="80000"/>
    <x v="767"/>
    <x v="0"/>
    <s v="Singapore"/>
    <x v="29"/>
    <x v="3"/>
    <n v="6"/>
  </r>
  <r>
    <x v="1198"/>
    <d v="2012-05-29T01:44:03"/>
    <n v="100000"/>
    <n v="100000"/>
    <s v="USD"/>
    <n v="100000"/>
    <x v="363"/>
    <x v="3"/>
    <s v="USA"/>
    <x v="2"/>
    <x v="0"/>
    <n v="11"/>
  </r>
  <r>
    <x v="1199"/>
    <d v="2012-05-29T01:45:13"/>
    <n v="4100"/>
    <n v="49200"/>
    <s v="USD"/>
    <n v="49200"/>
    <x v="758"/>
    <x v="5"/>
    <s v="QATAR"/>
    <x v="65"/>
    <x v="2"/>
    <n v="25"/>
  </r>
  <r>
    <x v="1200"/>
    <d v="2012-05-29T01:47:39"/>
    <n v="750"/>
    <n v="9000"/>
    <s v="USD"/>
    <n v="9000"/>
    <x v="768"/>
    <x v="3"/>
    <s v="India"/>
    <x v="0"/>
    <x v="0"/>
    <n v="1"/>
  </r>
  <r>
    <x v="1201"/>
    <d v="2012-05-29T01:50:01"/>
    <n v="300000"/>
    <n v="300000"/>
    <s v="INR"/>
    <n v="5342.3750062327708"/>
    <x v="612"/>
    <x v="0"/>
    <s v="India"/>
    <x v="0"/>
    <x v="0"/>
    <n v="6"/>
  </r>
  <r>
    <x v="1202"/>
    <d v="2012-05-29T02:02:39"/>
    <s v="$40K"/>
    <n v="40000"/>
    <s v="USD"/>
    <n v="40000"/>
    <x v="769"/>
    <x v="3"/>
    <s v="Pakistan, Angola"/>
    <x v="3"/>
    <x v="0"/>
    <n v="15"/>
  </r>
  <r>
    <x v="1203"/>
    <d v="2012-05-29T02:12:32"/>
    <s v="Â£26000"/>
    <n v="26000"/>
    <s v="GBP"/>
    <n v="40980.635073749385"/>
    <x v="12"/>
    <x v="0"/>
    <s v="UK"/>
    <x v="14"/>
    <x v="0"/>
    <n v="2"/>
  </r>
  <r>
    <x v="1204"/>
    <d v="2012-05-29T02:19:27"/>
    <s v="Â£29000"/>
    <n v="29000"/>
    <s v="GBP"/>
    <n v="45709.169889951241"/>
    <x v="207"/>
    <x v="5"/>
    <s v="UK"/>
    <x v="14"/>
    <x v="2"/>
    <n v="8"/>
  </r>
  <r>
    <x v="1205"/>
    <d v="2012-05-29T02:22:13"/>
    <n v="400000"/>
    <n v="400000"/>
    <s v="INR"/>
    <n v="7123.1666749770275"/>
    <x v="464"/>
    <x v="3"/>
    <s v="India"/>
    <x v="0"/>
    <x v="0"/>
    <n v="1"/>
  </r>
  <r>
    <x v="1206"/>
    <d v="2012-05-29T02:26:28"/>
    <s v="100000 USD"/>
    <n v="100000"/>
    <s v="USD"/>
    <n v="100000"/>
    <x v="236"/>
    <x v="1"/>
    <s v="Norway"/>
    <x v="46"/>
    <x v="0"/>
    <n v="12"/>
  </r>
  <r>
    <x v="1207"/>
    <d v="2012-05-29T02:43:44"/>
    <s v="62.000 euro"/>
    <n v="62000"/>
    <s v="EUR"/>
    <n v="78764.765217479682"/>
    <x v="770"/>
    <x v="0"/>
    <s v="Netherlands"/>
    <x v="18"/>
    <x v="0"/>
    <n v="15"/>
  </r>
  <r>
    <x v="1208"/>
    <d v="2012-05-29T03:16:02"/>
    <n v="150000"/>
    <n v="150000"/>
    <s v="AUD"/>
    <n v="152986.44846039536"/>
    <x v="5"/>
    <x v="0"/>
    <s v="Australia"/>
    <x v="16"/>
    <x v="2"/>
    <n v="10"/>
  </r>
  <r>
    <x v="1209"/>
    <d v="2012-05-29T03:28:37"/>
    <s v="â‚¬35,000 / â‚¬44,000"/>
    <n v="35000"/>
    <s v="EUR"/>
    <n v="44463.980364706273"/>
    <x v="12"/>
    <x v="0"/>
    <s v="Ireland"/>
    <x v="8"/>
    <x v="1"/>
    <n v="12"/>
  </r>
  <r>
    <x v="1210"/>
    <d v="2012-05-29T03:51:09"/>
    <n v="30"/>
    <n v="30000"/>
    <s v="EUR"/>
    <n v="38111.983169748237"/>
    <x v="771"/>
    <x v="8"/>
    <s v="the Netherlands"/>
    <x v="18"/>
    <x v="3"/>
    <n v="8"/>
  </r>
  <r>
    <x v="1211"/>
    <d v="2012-05-29T03:51:28"/>
    <n v="75000"/>
    <n v="75000"/>
    <s v="GBP"/>
    <n v="118213.37040504631"/>
    <x v="363"/>
    <x v="3"/>
    <s v="UK"/>
    <x v="14"/>
    <x v="0"/>
    <n v="20"/>
  </r>
  <r>
    <x v="1212"/>
    <d v="2012-05-29T04:03:07"/>
    <n v="25000"/>
    <n v="25000"/>
    <s v="GBP"/>
    <n v="39404.456801682099"/>
    <x v="772"/>
    <x v="5"/>
    <s v="UK"/>
    <x v="14"/>
    <x v="2"/>
    <n v="10"/>
  </r>
  <r>
    <x v="1213"/>
    <d v="2012-05-29T04:08:45"/>
    <n v="71000"/>
    <n v="71000"/>
    <s v="EUR"/>
    <n v="90198.36016840415"/>
    <x v="35"/>
    <x v="8"/>
    <s v="Germany"/>
    <x v="5"/>
    <x v="3"/>
    <n v="3"/>
  </r>
  <r>
    <x v="1214"/>
    <d v="2012-05-29T04:11:58"/>
    <s v="Â£30000"/>
    <n v="30000"/>
    <s v="GBP"/>
    <n v="47285.348162018527"/>
    <x v="773"/>
    <x v="6"/>
    <s v="UK"/>
    <x v="14"/>
    <x v="0"/>
    <n v="14"/>
  </r>
  <r>
    <x v="1215"/>
    <d v="2012-05-29T04:25:02"/>
    <n v="56000"/>
    <n v="56000"/>
    <s v="USD"/>
    <n v="56000"/>
    <x v="189"/>
    <x v="5"/>
    <s v="USA"/>
    <x v="2"/>
    <x v="0"/>
    <n v="1"/>
  </r>
  <r>
    <x v="1216"/>
    <d v="2012-05-29T04:30:10"/>
    <s v="IDR 4000000"/>
    <n v="48000000"/>
    <s v="IDR"/>
    <n v="5082.6943786459069"/>
    <x v="774"/>
    <x v="0"/>
    <s v="Indonesia"/>
    <x v="55"/>
    <x v="3"/>
    <n v="2"/>
  </r>
  <r>
    <x v="1217"/>
    <d v="2012-05-29T04:33:37"/>
    <s v="GBP 34000"/>
    <n v="34000"/>
    <s v="GBP"/>
    <n v="53590.061250287661"/>
    <x v="755"/>
    <x v="5"/>
    <s v="UK"/>
    <x v="14"/>
    <x v="1"/>
    <n v="10"/>
  </r>
  <r>
    <x v="1218"/>
    <d v="2012-05-29T05:03:26"/>
    <s v="dkk 450000"/>
    <n v="450000"/>
    <s v="DKK"/>
    <n v="76906.906752939132"/>
    <x v="288"/>
    <x v="4"/>
    <s v="Denmark"/>
    <x v="61"/>
    <x v="1"/>
    <n v="17"/>
  </r>
  <r>
    <x v="1219"/>
    <d v="2012-05-29T05:08:57"/>
    <s v="85000 USD"/>
    <n v="85000"/>
    <s v="USD"/>
    <n v="85000"/>
    <x v="775"/>
    <x v="0"/>
    <s v="USA"/>
    <x v="2"/>
    <x v="0"/>
    <n v="5"/>
  </r>
  <r>
    <x v="1220"/>
    <d v="2012-05-29T05:11:03"/>
    <s v="USD72000"/>
    <n v="72000"/>
    <s v="USD"/>
    <n v="72000"/>
    <x v="776"/>
    <x v="8"/>
    <s v="New Zealand"/>
    <x v="48"/>
    <x v="2"/>
    <n v="10"/>
  </r>
  <r>
    <x v="1221"/>
    <d v="2012-05-29T05:21:39"/>
    <n v="55000"/>
    <n v="55000"/>
    <s v="USD"/>
    <n v="55000"/>
    <x v="699"/>
    <x v="0"/>
    <s v="USA"/>
    <x v="2"/>
    <x v="3"/>
    <n v="7"/>
  </r>
  <r>
    <x v="1222"/>
    <d v="2012-05-29T05:47:34"/>
    <s v="GBP 43,000"/>
    <n v="43000"/>
    <s v="GBP"/>
    <n v="67775.665698893223"/>
    <x v="96"/>
    <x v="1"/>
    <s v="UK"/>
    <x v="14"/>
    <x v="0"/>
    <n v="25"/>
  </r>
  <r>
    <x v="1223"/>
    <d v="2012-05-29T05:53:42"/>
    <s v="Â£25750"/>
    <n v="25750"/>
    <s v="GBP"/>
    <n v="40586.590505732565"/>
    <x v="188"/>
    <x v="0"/>
    <s v="UK"/>
    <x v="14"/>
    <x v="0"/>
    <n v="1"/>
  </r>
  <r>
    <x v="1224"/>
    <d v="2012-05-29T06:08:12"/>
    <n v="50846"/>
    <n v="50846"/>
    <s v="USD"/>
    <n v="50846"/>
    <x v="777"/>
    <x v="0"/>
    <s v="USA"/>
    <x v="2"/>
    <x v="0"/>
    <n v="25"/>
  </r>
  <r>
    <x v="1225"/>
    <d v="2012-05-29T06:24:36"/>
    <n v="63000"/>
    <n v="63000"/>
    <s v="USD"/>
    <n v="63000"/>
    <x v="151"/>
    <x v="5"/>
    <s v="USA"/>
    <x v="2"/>
    <x v="1"/>
    <n v="16"/>
  </r>
  <r>
    <x v="1226"/>
    <d v="2012-05-29T06:26:05"/>
    <n v="80000"/>
    <n v="80000"/>
    <s v="AUD"/>
    <n v="81592.772512210868"/>
    <x v="778"/>
    <x v="5"/>
    <s v="Australia"/>
    <x v="16"/>
    <x v="0"/>
    <n v="5"/>
  </r>
  <r>
    <x v="1227"/>
    <d v="2012-05-29T07:21:41"/>
    <n v="50700"/>
    <n v="50700"/>
    <s v="USD"/>
    <n v="50700"/>
    <x v="779"/>
    <x v="0"/>
    <s v="Brazil"/>
    <x v="20"/>
    <x v="3"/>
    <n v="15"/>
  </r>
  <r>
    <x v="1228"/>
    <d v="2012-05-29T07:28:41"/>
    <n v="20000"/>
    <n v="20000"/>
    <s v="GBP"/>
    <n v="31523.565441345683"/>
    <x v="780"/>
    <x v="0"/>
    <s v="UK"/>
    <x v="14"/>
    <x v="0"/>
    <n v="1"/>
  </r>
  <r>
    <x v="1229"/>
    <d v="2012-05-29T07:46:56"/>
    <n v="70000"/>
    <n v="70000"/>
    <s v="USD"/>
    <n v="70000"/>
    <x v="781"/>
    <x v="0"/>
    <s v="USA"/>
    <x v="2"/>
    <x v="3"/>
    <n v="6"/>
  </r>
  <r>
    <x v="1230"/>
    <d v="2012-05-29T07:52:56"/>
    <n v="65000"/>
    <n v="65000"/>
    <s v="CAD"/>
    <n v="63918.498996971248"/>
    <x v="782"/>
    <x v="3"/>
    <s v="Canada"/>
    <x v="17"/>
    <x v="2"/>
    <n v="15"/>
  </r>
  <r>
    <x v="1231"/>
    <d v="2012-05-29T07:57:04"/>
    <n v="800000"/>
    <n v="9600000"/>
    <s v="MONGOLIAN"/>
    <n v="7261.724659606657"/>
    <x v="5"/>
    <x v="0"/>
    <s v="Mongolia"/>
    <x v="82"/>
    <x v="1"/>
    <n v="2"/>
  </r>
  <r>
    <x v="1232"/>
    <d v="2012-05-29T08:13:06"/>
    <s v="RM3000"/>
    <n v="36000"/>
    <s v="MYR"/>
    <n v="11404.820437438224"/>
    <x v="783"/>
    <x v="2"/>
    <s v="Malaysia"/>
    <x v="73"/>
    <x v="0"/>
    <n v="2"/>
  </r>
  <r>
    <x v="1233"/>
    <d v="2012-05-29T08:25:51"/>
    <s v="120,000  US$"/>
    <n v="120000"/>
    <s v="USD"/>
    <n v="120000"/>
    <x v="784"/>
    <x v="8"/>
    <s v="Singapore"/>
    <x v="29"/>
    <x v="3"/>
    <n v="5"/>
  </r>
  <r>
    <x v="1234"/>
    <d v="2012-05-29T08:41:02"/>
    <n v="90000"/>
    <n v="90000"/>
    <s v="AUD"/>
    <n v="91791.869076237213"/>
    <x v="12"/>
    <x v="0"/>
    <s v="Australia"/>
    <x v="16"/>
    <x v="0"/>
    <n v="5"/>
  </r>
  <r>
    <x v="1235"/>
    <d v="2012-05-29T08:41:14"/>
    <n v="110000"/>
    <n v="110000"/>
    <s v="AUD"/>
    <n v="112190.06220428993"/>
    <x v="5"/>
    <x v="0"/>
    <s v="Australia"/>
    <x v="16"/>
    <x v="2"/>
    <n v="7"/>
  </r>
  <r>
    <x v="1236"/>
    <d v="2012-05-29T08:47:48"/>
    <n v="40000"/>
    <n v="40000"/>
    <s v="USD"/>
    <n v="40000"/>
    <x v="785"/>
    <x v="3"/>
    <s v="USA"/>
    <x v="2"/>
    <x v="2"/>
    <n v="18"/>
  </r>
  <r>
    <x v="1237"/>
    <d v="2012-05-29T08:59:41"/>
    <n v="107000"/>
    <n v="107000"/>
    <s v="USD"/>
    <n v="107000"/>
    <x v="786"/>
    <x v="5"/>
    <s v="USA"/>
    <x v="2"/>
    <x v="0"/>
    <n v="12"/>
  </r>
  <r>
    <x v="1238"/>
    <d v="2012-05-29T09:15:09"/>
    <n v="82000"/>
    <n v="82000"/>
    <s v="USD"/>
    <n v="82000"/>
    <x v="787"/>
    <x v="3"/>
    <s v="USA"/>
    <x v="2"/>
    <x v="0"/>
    <n v="10"/>
  </r>
  <r>
    <x v="1239"/>
    <d v="2012-05-29T09:25:31"/>
    <n v="100000"/>
    <n v="100000"/>
    <s v="AUD"/>
    <n v="101990.96564026357"/>
    <x v="788"/>
    <x v="8"/>
    <s v="Australia"/>
    <x v="16"/>
    <x v="0"/>
    <n v="15"/>
  </r>
  <r>
    <x v="1240"/>
    <d v="2012-05-29T09:37:40"/>
    <s v="AUD $43000"/>
    <n v="43000"/>
    <s v="USD"/>
    <n v="43000"/>
    <x v="789"/>
    <x v="3"/>
    <s v="Australia"/>
    <x v="16"/>
    <x v="2"/>
    <n v="4"/>
  </r>
  <r>
    <x v="1241"/>
    <d v="2012-05-29T09:38:14"/>
    <n v="69000"/>
    <n v="69000"/>
    <s v="USD"/>
    <n v="69000"/>
    <x v="790"/>
    <x v="1"/>
    <s v="USA"/>
    <x v="2"/>
    <x v="0"/>
    <n v="20"/>
  </r>
  <r>
    <x v="1242"/>
    <d v="2012-05-29T09:47:47"/>
    <n v="30000"/>
    <n v="30000"/>
    <s v="USD"/>
    <n v="30000"/>
    <x v="791"/>
    <x v="3"/>
    <s v="India"/>
    <x v="0"/>
    <x v="2"/>
    <n v="3"/>
  </r>
  <r>
    <x v="1243"/>
    <d v="2012-05-29T09:52:02"/>
    <s v="48000 $AUD"/>
    <n v="48000"/>
    <s v="AUD"/>
    <n v="48955.663507326513"/>
    <x v="395"/>
    <x v="0"/>
    <s v="Australia"/>
    <x v="16"/>
    <x v="3"/>
    <n v="2"/>
  </r>
  <r>
    <x v="1244"/>
    <d v="2012-05-29T10:08:21"/>
    <n v="70000"/>
    <n v="70000"/>
    <s v="USD"/>
    <n v="70000"/>
    <x v="89"/>
    <x v="3"/>
    <s v="USA"/>
    <x v="2"/>
    <x v="0"/>
    <n v="8"/>
  </r>
  <r>
    <x v="1245"/>
    <d v="2012-05-29T10:09:37"/>
    <n v="45000"/>
    <n v="45000"/>
    <s v="USD"/>
    <n v="45000"/>
    <x v="792"/>
    <x v="0"/>
    <s v="USA"/>
    <x v="2"/>
    <x v="0"/>
    <n v="7"/>
  </r>
  <r>
    <x v="1246"/>
    <d v="2012-05-29T10:11:28"/>
    <n v="35000"/>
    <n v="35000"/>
    <s v="USD"/>
    <n v="35000"/>
    <x v="793"/>
    <x v="4"/>
    <s v="Malaysia"/>
    <x v="73"/>
    <x v="1"/>
    <n v="12"/>
  </r>
  <r>
    <x v="1247"/>
    <d v="2012-05-29T10:43:49"/>
    <n v="500000"/>
    <n v="500000"/>
    <s v="INR"/>
    <n v="8903.9583437212841"/>
    <x v="794"/>
    <x v="3"/>
    <s v="India"/>
    <x v="0"/>
    <x v="2"/>
    <n v="29"/>
  </r>
  <r>
    <x v="1248"/>
    <d v="2012-05-29T10:45:46"/>
    <s v="MYR89500"/>
    <n v="89500"/>
    <s v="MYR"/>
    <n v="28353.650809742252"/>
    <x v="20"/>
    <x v="3"/>
    <s v="Malaysia"/>
    <x v="73"/>
    <x v="2"/>
    <n v="20"/>
  </r>
  <r>
    <x v="1249"/>
    <d v="2012-05-29T10:48:33"/>
    <s v="USD 11800 (INR 650000)"/>
    <n v="11800"/>
    <s v="USD"/>
    <n v="11800"/>
    <x v="795"/>
    <x v="0"/>
    <s v="India"/>
    <x v="0"/>
    <x v="0"/>
    <n v="10"/>
  </r>
  <r>
    <x v="1250"/>
    <d v="2012-05-29T10:51:02"/>
    <s v="Rs.3.6 Lakhs pa"/>
    <n v="360000"/>
    <s v="INR"/>
    <n v="6410.8500074793246"/>
    <x v="796"/>
    <x v="3"/>
    <s v="India"/>
    <x v="0"/>
    <x v="1"/>
    <n v="6"/>
  </r>
  <r>
    <x v="1251"/>
    <d v="2012-05-29T10:51:31"/>
    <n v="50000"/>
    <n v="50000"/>
    <s v="USD"/>
    <n v="50000"/>
    <x v="79"/>
    <x v="0"/>
    <s v="USA"/>
    <x v="2"/>
    <x v="0"/>
    <n v="3"/>
  </r>
  <r>
    <x v="1252"/>
    <d v="2012-05-29T11:00:32"/>
    <n v="85000"/>
    <n v="85000"/>
    <s v="USD"/>
    <n v="85000"/>
    <x v="797"/>
    <x v="3"/>
    <s v="srilanka"/>
    <x v="54"/>
    <x v="1"/>
    <n v="10"/>
  </r>
  <r>
    <x v="1253"/>
    <d v="2012-05-29T11:35:53"/>
    <s v="Indian Rs 10 Lakhs"/>
    <n v="1000000"/>
    <s v="INR"/>
    <n v="17807.916687442568"/>
    <x v="20"/>
    <x v="3"/>
    <s v="India"/>
    <x v="0"/>
    <x v="2"/>
    <n v="10"/>
  </r>
  <r>
    <x v="1254"/>
    <d v="2012-05-29T11:46:47"/>
    <s v="INR 900000"/>
    <n v="900000"/>
    <s v="INR"/>
    <n v="16027.125018698311"/>
    <x v="798"/>
    <x v="1"/>
    <s v="India"/>
    <x v="0"/>
    <x v="1"/>
    <n v="8"/>
  </r>
  <r>
    <x v="1255"/>
    <d v="2012-05-29T11:51:35"/>
    <n v="192000"/>
    <n v="192000"/>
    <s v="USD"/>
    <n v="192000"/>
    <x v="799"/>
    <x v="4"/>
    <s v="USA"/>
    <x v="2"/>
    <x v="1"/>
    <n v="27"/>
  </r>
  <r>
    <x v="1256"/>
    <d v="2012-05-29T12:14:02"/>
    <n v="54000"/>
    <n v="54000"/>
    <s v="USD"/>
    <n v="54000"/>
    <x v="800"/>
    <x v="0"/>
    <s v="USA"/>
    <x v="2"/>
    <x v="1"/>
    <n v="6"/>
  </r>
  <r>
    <x v="1257"/>
    <d v="2012-05-29T12:17:07"/>
    <n v="18000"/>
    <n v="18000"/>
    <s v="USD"/>
    <n v="18000"/>
    <x v="20"/>
    <x v="3"/>
    <s v="India"/>
    <x v="0"/>
    <x v="0"/>
    <n v="12"/>
  </r>
  <r>
    <x v="1258"/>
    <d v="2012-05-29T12:19:39"/>
    <s v="3,00,000.00"/>
    <n v="300000"/>
    <s v="INR"/>
    <n v="5342.3750062327708"/>
    <x v="299"/>
    <x v="7"/>
    <s v="India"/>
    <x v="0"/>
    <x v="2"/>
    <n v="5"/>
  </r>
  <r>
    <x v="1259"/>
    <d v="2012-05-29T12:20:32"/>
    <s v="400000INR"/>
    <n v="400000"/>
    <s v="INR"/>
    <n v="7123.1666749770275"/>
    <x v="464"/>
    <x v="3"/>
    <s v="India"/>
    <x v="0"/>
    <x v="1"/>
    <n v="3"/>
  </r>
  <r>
    <x v="1260"/>
    <d v="2012-05-29T12:28:41"/>
    <n v="15000"/>
    <n v="15000"/>
    <s v="USD"/>
    <n v="15000"/>
    <x v="669"/>
    <x v="3"/>
    <s v="Myanmar"/>
    <x v="83"/>
    <x v="0"/>
    <n v="10"/>
  </r>
  <r>
    <x v="1261"/>
    <d v="2012-05-29T12:29:12"/>
    <s v="us $ 14000"/>
    <n v="14000"/>
    <s v="USD"/>
    <n v="14000"/>
    <x v="801"/>
    <x v="0"/>
    <s v="India"/>
    <x v="0"/>
    <x v="0"/>
    <n v="12"/>
  </r>
  <r>
    <x v="1262"/>
    <d v="2012-05-29T13:06:30"/>
    <n v="8000"/>
    <n v="8000"/>
    <s v="USD"/>
    <n v="8000"/>
    <x v="79"/>
    <x v="0"/>
    <s v="India"/>
    <x v="0"/>
    <x v="1"/>
    <n v="4"/>
  </r>
  <r>
    <x v="1263"/>
    <d v="2012-05-29T13:13:56"/>
    <n v="12500"/>
    <n v="12500"/>
    <s v="USD"/>
    <n v="12500"/>
    <x v="28"/>
    <x v="6"/>
    <s v="Philippines"/>
    <x v="32"/>
    <x v="2"/>
    <n v="7"/>
  </r>
  <r>
    <x v="1264"/>
    <d v="2012-05-29T13:15:17"/>
    <n v="140000"/>
    <n v="140000"/>
    <s v="USD"/>
    <n v="140000"/>
    <x v="38"/>
    <x v="5"/>
    <s v="USA"/>
    <x v="2"/>
    <x v="0"/>
    <n v="12"/>
  </r>
  <r>
    <x v="1265"/>
    <d v="2012-05-29T13:16:45"/>
    <n v="1000"/>
    <n v="12000"/>
    <s v="USD"/>
    <n v="12000"/>
    <x v="802"/>
    <x v="8"/>
    <s v="pakistan"/>
    <x v="3"/>
    <x v="0"/>
    <n v="1"/>
  </r>
  <r>
    <x v="1266"/>
    <d v="2012-05-29T13:16:59"/>
    <s v="30000 EUR"/>
    <n v="30000"/>
    <s v="EUR"/>
    <n v="38111.983169748237"/>
    <x v="803"/>
    <x v="0"/>
    <s v="Belgium"/>
    <x v="12"/>
    <x v="2"/>
    <n v="15"/>
  </r>
  <r>
    <x v="1267"/>
    <d v="2012-05-29T13:23:45"/>
    <s v="6,00,000 INR"/>
    <n v="600000"/>
    <s v="INR"/>
    <n v="10684.750012465542"/>
    <x v="804"/>
    <x v="3"/>
    <s v="India"/>
    <x v="0"/>
    <x v="2"/>
    <n v="2"/>
  </r>
  <r>
    <x v="1268"/>
    <d v="2012-05-29T13:40:09"/>
    <s v="3.5 lakhs p.a"/>
    <n v="350000"/>
    <s v="INR"/>
    <n v="6232.7708406048987"/>
    <x v="805"/>
    <x v="0"/>
    <s v="India"/>
    <x v="0"/>
    <x v="0"/>
    <n v="1.5"/>
  </r>
  <r>
    <x v="1269"/>
    <d v="2012-05-29T13:52:13"/>
    <n v="45000"/>
    <n v="45000"/>
    <s v="USD"/>
    <n v="45000"/>
    <x v="806"/>
    <x v="0"/>
    <s v="Pakistan"/>
    <x v="3"/>
    <x v="1"/>
    <n v="8"/>
  </r>
  <r>
    <x v="1270"/>
    <d v="2012-05-29T13:53:59"/>
    <n v="80000"/>
    <n v="80000"/>
    <s v="USD"/>
    <n v="80000"/>
    <x v="20"/>
    <x v="3"/>
    <s v="USA"/>
    <x v="2"/>
    <x v="3"/>
    <n v="6"/>
  </r>
  <r>
    <x v="1271"/>
    <d v="2012-05-29T13:54:38"/>
    <s v="Rs 1500000"/>
    <n v="1500000"/>
    <s v="INR"/>
    <n v="26711.875031163851"/>
    <x v="5"/>
    <x v="0"/>
    <s v="India"/>
    <x v="0"/>
    <x v="0"/>
    <n v="7"/>
  </r>
  <r>
    <x v="1272"/>
    <d v="2012-05-29T13:58:30"/>
    <s v="US$ 100,000"/>
    <n v="100000"/>
    <s v="USD"/>
    <n v="100000"/>
    <x v="12"/>
    <x v="0"/>
    <s v="Uganda"/>
    <x v="84"/>
    <x v="0"/>
    <n v="17"/>
  </r>
  <r>
    <x v="1273"/>
    <d v="2012-05-29T13:59:14"/>
    <n v="68000"/>
    <n v="68000"/>
    <s v="AUD"/>
    <n v="69353.856635379227"/>
    <x v="807"/>
    <x v="3"/>
    <s v="Australia"/>
    <x v="16"/>
    <x v="0"/>
    <n v="10"/>
  </r>
  <r>
    <x v="1274"/>
    <d v="2012-05-29T14:10:28"/>
    <s v="AUS 49,000"/>
    <n v="49000"/>
    <s v="AUD"/>
    <n v="49975.573163729154"/>
    <x v="808"/>
    <x v="1"/>
    <s v="Australia"/>
    <x v="16"/>
    <x v="0"/>
    <n v="30"/>
  </r>
  <r>
    <x v="1275"/>
    <d v="2012-05-29T14:16:06"/>
    <s v="5,75,000"/>
    <n v="575000"/>
    <s v="INR"/>
    <n v="10239.552095279476"/>
    <x v="809"/>
    <x v="3"/>
    <s v="India"/>
    <x v="0"/>
    <x v="2"/>
    <n v="5"/>
  </r>
  <r>
    <x v="1276"/>
    <d v="2012-05-29T14:34:42"/>
    <s v="500000 Rupees"/>
    <n v="500000"/>
    <s v="INR"/>
    <n v="8903.9583437212841"/>
    <x v="810"/>
    <x v="2"/>
    <s v="India"/>
    <x v="0"/>
    <x v="0"/>
    <n v="2"/>
  </r>
  <r>
    <x v="1277"/>
    <d v="2012-05-29T14:55:21"/>
    <s v="36K"/>
    <n v="36000"/>
    <s v="USD"/>
    <n v="36000"/>
    <x v="156"/>
    <x v="0"/>
    <s v="Kuwait"/>
    <x v="76"/>
    <x v="2"/>
    <n v="10"/>
  </r>
  <r>
    <x v="1278"/>
    <d v="2012-05-29T14:55:29"/>
    <s v="210000 per annum"/>
    <n v="210000"/>
    <s v="INR"/>
    <n v="3739.6625043629392"/>
    <x v="811"/>
    <x v="7"/>
    <s v="India"/>
    <x v="0"/>
    <x v="3"/>
    <n v="4.5"/>
  </r>
  <r>
    <x v="1279"/>
    <d v="2012-05-29T14:59:11"/>
    <s v="â‚¬ 48500"/>
    <n v="48500"/>
    <s v="EUR"/>
    <n v="61614.372791092981"/>
    <x v="246"/>
    <x v="0"/>
    <s v="Netherlands"/>
    <x v="18"/>
    <x v="0"/>
    <n v="8"/>
  </r>
  <r>
    <x v="1280"/>
    <d v="2012-05-29T15:02:56"/>
    <s v="2 LPA"/>
    <n v="200000"/>
    <s v="INR"/>
    <n v="3561.5833374885137"/>
    <x v="223"/>
    <x v="7"/>
    <s v="India"/>
    <x v="0"/>
    <x v="2"/>
    <n v="3"/>
  </r>
  <r>
    <x v="1281"/>
    <d v="2012-05-29T15:04:11"/>
    <s v="INR360000"/>
    <n v="360000"/>
    <s v="INR"/>
    <n v="6410.8500074793246"/>
    <x v="812"/>
    <x v="0"/>
    <s v="India"/>
    <x v="0"/>
    <x v="1"/>
    <n v="6"/>
  </r>
  <r>
    <x v="1282"/>
    <d v="2012-05-29T15:08:12"/>
    <s v="â‚¬ 28500"/>
    <n v="28500"/>
    <s v="EUR"/>
    <n v="36206.384011260823"/>
    <x v="813"/>
    <x v="0"/>
    <s v="Netherlands"/>
    <x v="18"/>
    <x v="3"/>
    <n v="5"/>
  </r>
  <r>
    <x v="1283"/>
    <d v="2012-05-29T15:10:24"/>
    <n v="13500"/>
    <n v="13500"/>
    <s v="USD"/>
    <n v="13500"/>
    <x v="482"/>
    <x v="3"/>
    <s v="India"/>
    <x v="0"/>
    <x v="2"/>
    <n v="20"/>
  </r>
  <r>
    <x v="1284"/>
    <d v="2012-05-29T15:18:45"/>
    <n v="250"/>
    <n v="3000"/>
    <s v="USD"/>
    <n v="3000"/>
    <x v="814"/>
    <x v="5"/>
    <s v="SRI LANKA"/>
    <x v="54"/>
    <x v="0"/>
    <n v="2"/>
  </r>
  <r>
    <x v="1285"/>
    <d v="2012-05-29T15:24:45"/>
    <n v="1200000"/>
    <n v="1200000"/>
    <s v="INR"/>
    <n v="21369.500024931083"/>
    <x v="815"/>
    <x v="3"/>
    <s v="India"/>
    <x v="0"/>
    <x v="0"/>
    <n v="9"/>
  </r>
  <r>
    <x v="1286"/>
    <d v="2012-05-29T15:36:25"/>
    <s v="6lakhs"/>
    <n v="600000"/>
    <s v="INR"/>
    <n v="10684.750012465542"/>
    <x v="272"/>
    <x v="3"/>
    <s v="India"/>
    <x v="0"/>
    <x v="2"/>
    <n v="28"/>
  </r>
  <r>
    <x v="1287"/>
    <d v="2012-05-29T15:36:42"/>
    <n v="139000"/>
    <n v="139000"/>
    <s v="EUR"/>
    <n v="176585.52201983347"/>
    <x v="816"/>
    <x v="3"/>
    <s v="Germany"/>
    <x v="5"/>
    <x v="3"/>
    <n v="25"/>
  </r>
  <r>
    <x v="1288"/>
    <d v="2012-05-29T15:38:40"/>
    <s v="43000 EUR"/>
    <n v="43000"/>
    <s v="EUR"/>
    <n v="54627.175876639136"/>
    <x v="817"/>
    <x v="3"/>
    <s v="France"/>
    <x v="19"/>
    <x v="1"/>
    <n v="7"/>
  </r>
  <r>
    <x v="1289"/>
    <d v="2012-05-29T15:46:17"/>
    <s v="about 24.000 â‚¬"/>
    <n v="24000"/>
    <s v="EUR"/>
    <n v="30489.586535798586"/>
    <x v="236"/>
    <x v="1"/>
    <s v="Italy"/>
    <x v="62"/>
    <x v="0"/>
    <n v="10"/>
  </r>
  <r>
    <x v="1290"/>
    <d v="2012-05-29T15:49:41"/>
    <n v="314000"/>
    <n v="314000"/>
    <s v="INR"/>
    <n v="5591.6858398569666"/>
    <x v="818"/>
    <x v="3"/>
    <s v="India"/>
    <x v="0"/>
    <x v="3"/>
    <n v="0.1"/>
  </r>
  <r>
    <x v="1291"/>
    <d v="2012-05-29T15:51:21"/>
    <s v="82000 USD"/>
    <n v="82000"/>
    <s v="USD"/>
    <n v="82000"/>
    <x v="35"/>
    <x v="8"/>
    <s v="South Africa"/>
    <x v="11"/>
    <x v="0"/>
    <n v="10"/>
  </r>
  <r>
    <x v="1292"/>
    <d v="2012-05-29T15:53:14"/>
    <n v="10000"/>
    <n v="10000"/>
    <s v="USD"/>
    <n v="10000"/>
    <x v="223"/>
    <x v="7"/>
    <s v="India"/>
    <x v="0"/>
    <x v="3"/>
    <n v="0.5"/>
  </r>
  <r>
    <x v="1293"/>
    <d v="2012-05-29T16:07:59"/>
    <n v="9000"/>
    <n v="9000"/>
    <s v="USD"/>
    <n v="9000"/>
    <x v="79"/>
    <x v="0"/>
    <s v="India"/>
    <x v="0"/>
    <x v="1"/>
    <n v="0.6"/>
  </r>
  <r>
    <x v="1294"/>
    <d v="2012-05-29T16:08:40"/>
    <n v="9000"/>
    <n v="9000"/>
    <s v="USD"/>
    <n v="9000"/>
    <x v="79"/>
    <x v="0"/>
    <s v="India"/>
    <x v="0"/>
    <x v="0"/>
    <n v="1"/>
  </r>
  <r>
    <x v="1295"/>
    <d v="2012-05-29T16:18:59"/>
    <s v="6.6 Lacs"/>
    <n v="660000"/>
    <s v="INR"/>
    <n v="11753.225013712095"/>
    <x v="819"/>
    <x v="3"/>
    <s v="India"/>
    <x v="0"/>
    <x v="1"/>
    <n v="7"/>
  </r>
  <r>
    <x v="1296"/>
    <d v="2012-05-29T16:26:15"/>
    <s v="17000 Rs"/>
    <n v="204000"/>
    <s v="INR"/>
    <n v="3632.815004238284"/>
    <x v="820"/>
    <x v="7"/>
    <s v="India"/>
    <x v="0"/>
    <x v="1"/>
    <n v="2"/>
  </r>
  <r>
    <x v="1297"/>
    <d v="2012-05-29T16:31:06"/>
    <n v="75000"/>
    <n v="75000"/>
    <s v="EUR"/>
    <n v="95279.957924370581"/>
    <x v="2"/>
    <x v="0"/>
    <s v="Netherlands"/>
    <x v="18"/>
    <x v="1"/>
    <n v="16"/>
  </r>
  <r>
    <x v="1298"/>
    <d v="2012-05-29T16:39:11"/>
    <s v="Â£45000"/>
    <n v="45000"/>
    <s v="GBP"/>
    <n v="70928.022243027779"/>
    <x v="30"/>
    <x v="8"/>
    <s v="UK"/>
    <x v="14"/>
    <x v="2"/>
    <n v="4"/>
  </r>
  <r>
    <x v="1299"/>
    <d v="2012-05-29T16:41:19"/>
    <s v="41000 â‚¬"/>
    <n v="41000"/>
    <s v="EUR"/>
    <n v="52086.37699865592"/>
    <x v="306"/>
    <x v="2"/>
    <s v="Spain"/>
    <x v="47"/>
    <x v="0"/>
    <n v="12"/>
  </r>
  <r>
    <x v="1300"/>
    <d v="2012-05-29T16:49:44"/>
    <n v="275000"/>
    <n v="275000"/>
    <s v="INR"/>
    <n v="4897.177089046706"/>
    <x v="821"/>
    <x v="3"/>
    <s v="India"/>
    <x v="0"/>
    <x v="1"/>
    <n v="4"/>
  </r>
  <r>
    <x v="1301"/>
    <d v="2012-05-29T16:55:43"/>
    <n v="80000"/>
    <n v="80000"/>
    <s v="NZD"/>
    <n v="63807.047488395103"/>
    <x v="189"/>
    <x v="5"/>
    <s v="new zealand"/>
    <x v="48"/>
    <x v="1"/>
    <n v="15"/>
  </r>
  <r>
    <x v="1302"/>
    <d v="2012-05-29T17:05:31"/>
    <n v="24000"/>
    <n v="24000"/>
    <s v="USD"/>
    <n v="24000"/>
    <x v="822"/>
    <x v="3"/>
    <s v="Kingdom of Saudi Arabia"/>
    <x v="22"/>
    <x v="0"/>
    <n v="5"/>
  </r>
  <r>
    <x v="1303"/>
    <d v="2012-05-29T17:09:02"/>
    <s v="60000 USD p.a."/>
    <n v="60000"/>
    <s v="USD"/>
    <n v="60000"/>
    <x v="823"/>
    <x v="3"/>
    <s v="CEE"/>
    <x v="77"/>
    <x v="1"/>
    <n v="20"/>
  </r>
  <r>
    <x v="1304"/>
    <d v="2012-05-29T17:09:52"/>
    <n v="300000"/>
    <n v="300000"/>
    <s v="INR"/>
    <n v="5342.3750062327708"/>
    <x v="824"/>
    <x v="0"/>
    <s v="India"/>
    <x v="0"/>
    <x v="1"/>
    <n v="3"/>
  </r>
  <r>
    <x v="1305"/>
    <d v="2012-05-29T17:16:20"/>
    <n v="500000"/>
    <n v="500000"/>
    <s v="INR"/>
    <n v="8903.9583437212841"/>
    <x v="825"/>
    <x v="3"/>
    <s v="India"/>
    <x v="0"/>
    <x v="2"/>
    <n v="5"/>
  </r>
  <r>
    <x v="1306"/>
    <d v="2012-05-29T17:17:13"/>
    <s v="Â£26000"/>
    <n v="26000"/>
    <s v="GBP"/>
    <n v="40980.635073749385"/>
    <x v="336"/>
    <x v="0"/>
    <s v="UK"/>
    <x v="14"/>
    <x v="0"/>
    <n v="2"/>
  </r>
  <r>
    <x v="1307"/>
    <d v="2012-05-29T17:17:46"/>
    <s v="Rs.6,00,000"/>
    <n v="600000"/>
    <s v="INR"/>
    <n v="10684.750012465542"/>
    <x v="592"/>
    <x v="3"/>
    <s v="India"/>
    <x v="0"/>
    <x v="3"/>
    <n v="7"/>
  </r>
  <r>
    <x v="1308"/>
    <d v="2012-05-29T17:30:43"/>
    <n v="1200000"/>
    <n v="1200000"/>
    <s v="INR"/>
    <n v="21369.500024931083"/>
    <x v="35"/>
    <x v="8"/>
    <s v="India"/>
    <x v="0"/>
    <x v="2"/>
    <n v="21"/>
  </r>
  <r>
    <x v="1309"/>
    <d v="2012-05-29T17:36:13"/>
    <n v="18000"/>
    <n v="18000"/>
    <s v="USD"/>
    <n v="18000"/>
    <x v="826"/>
    <x v="3"/>
    <s v="Ghana"/>
    <x v="85"/>
    <x v="0"/>
    <n v="12"/>
  </r>
  <r>
    <x v="1310"/>
    <d v="2012-05-29T17:39:55"/>
    <s v="41000 $"/>
    <n v="41000"/>
    <s v="USD"/>
    <n v="41000"/>
    <x v="827"/>
    <x v="3"/>
    <s v="Israel"/>
    <x v="34"/>
    <x v="2"/>
    <n v="4"/>
  </r>
  <r>
    <x v="1311"/>
    <d v="2012-05-29T17:45:59"/>
    <s v="16,00,000"/>
    <n v="1600000"/>
    <s v="INR"/>
    <n v="28492.66669990811"/>
    <x v="828"/>
    <x v="0"/>
    <s v="India"/>
    <x v="0"/>
    <x v="2"/>
    <n v="4"/>
  </r>
  <r>
    <x v="1312"/>
    <d v="2012-05-29T17:48:04"/>
    <n v="49500"/>
    <n v="49500"/>
    <s v="USD"/>
    <n v="49500"/>
    <x v="57"/>
    <x v="0"/>
    <s v="USA"/>
    <x v="2"/>
    <x v="0"/>
    <n v="4.5"/>
  </r>
  <r>
    <x v="1313"/>
    <d v="2012-05-29T18:00:19"/>
    <n v="6600"/>
    <n v="6600"/>
    <s v="USD"/>
    <n v="6600"/>
    <x v="829"/>
    <x v="7"/>
    <s v="India"/>
    <x v="0"/>
    <x v="2"/>
    <n v="6.4"/>
  </r>
  <r>
    <x v="1314"/>
    <d v="2012-05-29T18:05:50"/>
    <s v="Â£70000"/>
    <n v="70000"/>
    <s v="GBP"/>
    <n v="110332.47904470989"/>
    <x v="35"/>
    <x v="8"/>
    <s v="UK"/>
    <x v="14"/>
    <x v="0"/>
    <n v="15"/>
  </r>
  <r>
    <x v="1315"/>
    <d v="2012-05-29T18:14:48"/>
    <s v="Â£30000"/>
    <n v="30000"/>
    <s v="GBP"/>
    <n v="47285.348162018527"/>
    <x v="99"/>
    <x v="0"/>
    <s v="UK"/>
    <x v="14"/>
    <x v="1"/>
    <n v="6"/>
  </r>
  <r>
    <x v="1316"/>
    <d v="2012-05-29T18:14:53"/>
    <s v="USD 5300"/>
    <n v="5300"/>
    <s v="USD"/>
    <n v="5300"/>
    <x v="830"/>
    <x v="3"/>
    <s v="Pakistan"/>
    <x v="3"/>
    <x v="0"/>
    <n v="5"/>
  </r>
  <r>
    <x v="1317"/>
    <d v="2012-05-29T18:21:13"/>
    <n v="34500"/>
    <n v="34500"/>
    <s v="EUR"/>
    <n v="43828.780645210471"/>
    <x v="5"/>
    <x v="0"/>
    <s v="Netherlands"/>
    <x v="18"/>
    <x v="0"/>
    <n v="15"/>
  </r>
  <r>
    <x v="1318"/>
    <d v="2012-05-29T18:33:08"/>
    <n v="80000"/>
    <n v="80000"/>
    <s v="USD"/>
    <n v="80000"/>
    <x v="703"/>
    <x v="0"/>
    <s v="USA"/>
    <x v="2"/>
    <x v="3"/>
    <n v="14"/>
  </r>
  <r>
    <x v="1319"/>
    <d v="2012-05-29T18:35:10"/>
    <s v="9 067"/>
    <n v="9067"/>
    <s v="EUR"/>
    <n v="11518.711713336908"/>
    <x v="414"/>
    <x v="0"/>
    <s v="Hungary"/>
    <x v="9"/>
    <x v="2"/>
    <n v="3"/>
  </r>
  <r>
    <x v="1320"/>
    <d v="2012-05-29T18:35:31"/>
    <s v="A$150000"/>
    <n v="150000"/>
    <s v="AUD"/>
    <n v="152986.44846039536"/>
    <x v="831"/>
    <x v="0"/>
    <s v="Australia"/>
    <x v="16"/>
    <x v="3"/>
    <n v="5.5"/>
  </r>
  <r>
    <x v="1321"/>
    <d v="2012-05-29T18:38:51"/>
    <n v="125000"/>
    <n v="125000"/>
    <s v="USD"/>
    <n v="125000"/>
    <x v="832"/>
    <x v="3"/>
    <s v="USA"/>
    <x v="2"/>
    <x v="0"/>
    <n v="2"/>
  </r>
  <r>
    <x v="1322"/>
    <d v="2012-05-29T18:55:18"/>
    <n v="100000"/>
    <n v="100000"/>
    <s v="AUD"/>
    <n v="101990.96564026357"/>
    <x v="833"/>
    <x v="8"/>
    <s v="Australia"/>
    <x v="16"/>
    <x v="3"/>
    <n v="30"/>
  </r>
  <r>
    <x v="1323"/>
    <d v="2012-05-29T18:55:20"/>
    <n v="105000"/>
    <n v="105000"/>
    <s v="USD"/>
    <n v="105000"/>
    <x v="834"/>
    <x v="4"/>
    <s v="USA"/>
    <x v="2"/>
    <x v="3"/>
    <n v="15"/>
  </r>
  <r>
    <x v="1324"/>
    <d v="2012-05-29T19:01:05"/>
    <n v="40000"/>
    <n v="40000"/>
    <s v="EUR"/>
    <n v="50815.977559664309"/>
    <x v="697"/>
    <x v="3"/>
    <s v="Austria"/>
    <x v="86"/>
    <x v="0"/>
    <n v="20"/>
  </r>
  <r>
    <x v="1325"/>
    <d v="2012-05-29T19:01:48"/>
    <n v="75000"/>
    <n v="75000"/>
    <s v="USD"/>
    <n v="75000"/>
    <x v="2"/>
    <x v="0"/>
    <s v="USA"/>
    <x v="2"/>
    <x v="0"/>
    <n v="7"/>
  </r>
  <r>
    <x v="1326"/>
    <d v="2012-05-29T19:06:14"/>
    <s v="2.5 per lacks"/>
    <n v="250000"/>
    <s v="INR"/>
    <n v="4451.9791718606421"/>
    <x v="835"/>
    <x v="0"/>
    <s v="India"/>
    <x v="0"/>
    <x v="1"/>
    <n v="8"/>
  </r>
  <r>
    <x v="1327"/>
    <d v="2012-05-29T19:08:37"/>
    <n v="110000"/>
    <n v="110000"/>
    <s v="USD"/>
    <n v="110000"/>
    <x v="836"/>
    <x v="0"/>
    <s v="USA"/>
    <x v="2"/>
    <x v="3"/>
    <n v="10"/>
  </r>
  <r>
    <x v="1328"/>
    <d v="2012-05-29T19:10:05"/>
    <s v="27,000.GBP 42,353 USD "/>
    <n v="27000"/>
    <s v="GBP"/>
    <n v="42556.81334581667"/>
    <x v="837"/>
    <x v="2"/>
    <s v="UK"/>
    <x v="14"/>
    <x v="0"/>
    <n v="1"/>
  </r>
  <r>
    <x v="1329"/>
    <d v="2012-05-29T19:11:31"/>
    <s v="Rs. 4.5 lakhs "/>
    <n v="450000"/>
    <s v="INR"/>
    <n v="8013.5625093491553"/>
    <x v="838"/>
    <x v="2"/>
    <s v="India"/>
    <x v="0"/>
    <x v="3"/>
    <n v="7"/>
  </r>
  <r>
    <x v="1330"/>
    <d v="2012-05-29T19:12:19"/>
    <n v="125000"/>
    <n v="125000"/>
    <s v="USD"/>
    <n v="125000"/>
    <x v="363"/>
    <x v="3"/>
    <s v="USA"/>
    <x v="2"/>
    <x v="0"/>
    <n v="25"/>
  </r>
  <r>
    <x v="1331"/>
    <d v="2012-05-29T19:23:32"/>
    <n v="60000"/>
    <n v="60000"/>
    <s v="USD"/>
    <n v="60000"/>
    <x v="839"/>
    <x v="0"/>
    <s v="USA"/>
    <x v="2"/>
    <x v="1"/>
    <n v="12"/>
  </r>
  <r>
    <x v="1332"/>
    <d v="2012-05-29T19:31:32"/>
    <s v="2.21Lac"/>
    <n v="2210000"/>
    <s v="INR"/>
    <n v="39355.495879248076"/>
    <x v="243"/>
    <x v="0"/>
    <s v="India"/>
    <x v="0"/>
    <x v="3"/>
    <n v="5.6"/>
  </r>
  <r>
    <x v="1333"/>
    <d v="2012-05-29T19:33:07"/>
    <n v="45000"/>
    <n v="45000"/>
    <s v="EUR"/>
    <n v="57167.974754622352"/>
    <x v="840"/>
    <x v="1"/>
    <s v="Germany"/>
    <x v="5"/>
    <x v="0"/>
    <n v="12"/>
  </r>
  <r>
    <x v="1334"/>
    <d v="2012-05-29T19:39:35"/>
    <s v="4000000 JPY"/>
    <n v="4000000"/>
    <s v="JPY"/>
    <n v="50694.322109187968"/>
    <x v="841"/>
    <x v="0"/>
    <s v="Japan"/>
    <x v="51"/>
    <x v="0"/>
    <n v="8"/>
  </r>
  <r>
    <x v="1335"/>
    <d v="2012-05-29T19:47:18"/>
    <n v="57500"/>
    <n v="57500"/>
    <s v="USD"/>
    <n v="57500"/>
    <x v="842"/>
    <x v="3"/>
    <s v="USA"/>
    <x v="2"/>
    <x v="0"/>
    <n v="30"/>
  </r>
  <r>
    <x v="1336"/>
    <d v="2012-05-29T19:50:25"/>
    <n v="62000"/>
    <n v="62000"/>
    <s v="EUR"/>
    <n v="78764.765217479682"/>
    <x v="236"/>
    <x v="1"/>
    <s v="Netherlands"/>
    <x v="18"/>
    <x v="0"/>
    <n v="15"/>
  </r>
  <r>
    <x v="1337"/>
    <d v="2012-05-29T19:52:35"/>
    <s v="$80,000 USD"/>
    <n v="80000"/>
    <s v="USD"/>
    <n v="80000"/>
    <x v="843"/>
    <x v="3"/>
    <s v="USA"/>
    <x v="2"/>
    <x v="0"/>
    <n v="10"/>
  </r>
  <r>
    <x v="1338"/>
    <d v="2012-05-29T19:54:38"/>
    <s v="Â£45000"/>
    <n v="45000"/>
    <s v="GBP"/>
    <n v="70928.022243027779"/>
    <x v="224"/>
    <x v="3"/>
    <s v="UK"/>
    <x v="14"/>
    <x v="2"/>
    <n v="15"/>
  </r>
  <r>
    <x v="1339"/>
    <d v="2012-05-29T20:03:07"/>
    <n v="33000"/>
    <n v="33000"/>
    <s v="USD"/>
    <n v="33000"/>
    <x v="844"/>
    <x v="1"/>
    <s v="USA"/>
    <x v="2"/>
    <x v="0"/>
    <n v="3"/>
  </r>
  <r>
    <x v="1340"/>
    <d v="2012-05-29T20:20:21"/>
    <s v="$100,000 US"/>
    <n v="100000"/>
    <s v="USD"/>
    <n v="100000"/>
    <x v="267"/>
    <x v="0"/>
    <s v="USA"/>
    <x v="2"/>
    <x v="0"/>
    <n v="1"/>
  </r>
  <r>
    <x v="1341"/>
    <d v="2012-05-29T20:40:12"/>
    <s v="$60,000 USD"/>
    <n v="60000"/>
    <s v="USD"/>
    <n v="60000"/>
    <x v="89"/>
    <x v="3"/>
    <s v="USA"/>
    <x v="2"/>
    <x v="2"/>
    <n v="20"/>
  </r>
  <r>
    <x v="1342"/>
    <d v="2012-05-29T20:53:43"/>
    <n v="95000"/>
    <n v="95000"/>
    <s v="USD"/>
    <n v="95000"/>
    <x v="402"/>
    <x v="0"/>
    <s v="USA"/>
    <x v="2"/>
    <x v="2"/>
    <n v="7"/>
  </r>
  <r>
    <x v="1343"/>
    <d v="2012-05-29T21:07:27"/>
    <n v="24000"/>
    <n v="24000"/>
    <s v="USD"/>
    <n v="24000"/>
    <x v="845"/>
    <x v="0"/>
    <s v="USA"/>
    <x v="2"/>
    <x v="3"/>
    <n v="33"/>
  </r>
  <r>
    <x v="1344"/>
    <d v="2012-05-29T21:17:26"/>
    <n v="50000"/>
    <n v="50000"/>
    <s v="USD"/>
    <n v="50000"/>
    <x v="846"/>
    <x v="2"/>
    <s v="USA"/>
    <x v="2"/>
    <x v="0"/>
    <n v="0.5"/>
  </r>
  <r>
    <x v="1345"/>
    <d v="2012-05-29T21:25:03"/>
    <n v="103000"/>
    <n v="103000"/>
    <s v="USD"/>
    <n v="103000"/>
    <x v="236"/>
    <x v="1"/>
    <s v="USA"/>
    <x v="2"/>
    <x v="0"/>
    <n v="22"/>
  </r>
  <r>
    <x v="1346"/>
    <d v="2012-05-29T21:27:23"/>
    <n v="36000"/>
    <n v="36000"/>
    <s v="USD"/>
    <n v="36000"/>
    <x v="651"/>
    <x v="6"/>
    <s v="USA"/>
    <x v="2"/>
    <x v="1"/>
    <n v="8"/>
  </r>
  <r>
    <x v="1347"/>
    <d v="2012-05-29T21:28:07"/>
    <n v="85000"/>
    <n v="85000"/>
    <s v="USD"/>
    <n v="85000"/>
    <x v="49"/>
    <x v="0"/>
    <s v="USA"/>
    <x v="2"/>
    <x v="0"/>
    <n v="17"/>
  </r>
  <r>
    <x v="1348"/>
    <d v="2012-05-29T21:29:36"/>
    <n v="100000"/>
    <n v="100000"/>
    <s v="USD"/>
    <n v="100000"/>
    <x v="847"/>
    <x v="4"/>
    <s v="Sweden"/>
    <x v="35"/>
    <x v="2"/>
    <n v="20"/>
  </r>
  <r>
    <x v="1349"/>
    <d v="2012-05-29T21:33:42"/>
    <s v="$83000 USD "/>
    <n v="83000"/>
    <s v="USD"/>
    <n v="83000"/>
    <x v="848"/>
    <x v="0"/>
    <s v="Canada"/>
    <x v="17"/>
    <x v="0"/>
    <n v="12"/>
  </r>
  <r>
    <x v="1350"/>
    <d v="2012-05-29T21:38:10"/>
    <n v="85000"/>
    <n v="85000"/>
    <s v="USD"/>
    <n v="85000"/>
    <x v="849"/>
    <x v="2"/>
    <s v="USA"/>
    <x v="2"/>
    <x v="2"/>
    <n v="25"/>
  </r>
  <r>
    <x v="1351"/>
    <d v="2012-05-29T21:42:44"/>
    <n v="120000"/>
    <n v="120000"/>
    <s v="USD"/>
    <n v="120000"/>
    <x v="363"/>
    <x v="3"/>
    <s v="USA"/>
    <x v="2"/>
    <x v="2"/>
    <n v="5"/>
  </r>
  <r>
    <x v="1352"/>
    <d v="2012-05-29T21:44:00"/>
    <n v="69960"/>
    <n v="69960"/>
    <s v="USD"/>
    <n v="69960"/>
    <x v="850"/>
    <x v="2"/>
    <s v="USA"/>
    <x v="2"/>
    <x v="2"/>
    <n v="22"/>
  </r>
  <r>
    <x v="1353"/>
    <d v="2012-05-29T21:46:28"/>
    <s v="97,000 USD"/>
    <n v="97000"/>
    <s v="USD"/>
    <n v="97000"/>
    <x v="851"/>
    <x v="3"/>
    <s v="USA"/>
    <x v="2"/>
    <x v="0"/>
    <n v="14"/>
  </r>
  <r>
    <x v="1354"/>
    <d v="2012-05-29T21:48:13"/>
    <s v="60000 $"/>
    <n v="60000"/>
    <s v="GBP"/>
    <n v="94570.696324037053"/>
    <x v="5"/>
    <x v="0"/>
    <s v="UK"/>
    <x v="14"/>
    <x v="0"/>
    <n v="7"/>
  </r>
  <r>
    <x v="1355"/>
    <d v="2012-05-29T21:50:30"/>
    <n v="39000"/>
    <n v="39000"/>
    <s v="USD"/>
    <n v="39000"/>
    <x v="852"/>
    <x v="3"/>
    <s v="South Africa"/>
    <x v="11"/>
    <x v="1"/>
    <n v="6"/>
  </r>
  <r>
    <x v="1356"/>
    <d v="2012-05-29T21:50:45"/>
    <s v="Rs 250000"/>
    <n v="250000"/>
    <s v="INR"/>
    <n v="4451.9791718606421"/>
    <x v="20"/>
    <x v="3"/>
    <s v="India"/>
    <x v="0"/>
    <x v="3"/>
    <n v="15"/>
  </r>
  <r>
    <x v="1357"/>
    <d v="2012-05-29T21:54:33"/>
    <n v="62000"/>
    <n v="62000"/>
    <s v="USD"/>
    <n v="62000"/>
    <x v="853"/>
    <x v="6"/>
    <s v="USA"/>
    <x v="2"/>
    <x v="1"/>
    <n v="25"/>
  </r>
  <r>
    <x v="1358"/>
    <d v="2012-05-29T21:59:35"/>
    <n v="44000"/>
    <n v="44000"/>
    <s v="USD"/>
    <n v="44000"/>
    <x v="854"/>
    <x v="2"/>
    <s v="USA"/>
    <x v="2"/>
    <x v="0"/>
    <n v="15"/>
  </r>
  <r>
    <x v="1359"/>
    <d v="2012-05-29T22:02:31"/>
    <n v="150000"/>
    <n v="150000"/>
    <s v="USD"/>
    <n v="150000"/>
    <x v="855"/>
    <x v="3"/>
    <s v="USA"/>
    <x v="2"/>
    <x v="2"/>
    <n v="30"/>
  </r>
  <r>
    <x v="1360"/>
    <d v="2012-05-29T22:04:09"/>
    <n v="180000"/>
    <n v="180000"/>
    <s v="EUR"/>
    <n v="228671.89901848941"/>
    <x v="856"/>
    <x v="1"/>
    <s v="Europe"/>
    <x v="87"/>
    <x v="0"/>
    <n v="15"/>
  </r>
  <r>
    <x v="1361"/>
    <d v="2012-05-29T22:13:08"/>
    <n v="73500"/>
    <n v="73500"/>
    <s v="USD"/>
    <n v="73500"/>
    <x v="857"/>
    <x v="0"/>
    <s v="USA"/>
    <x v="2"/>
    <x v="1"/>
    <n v="6"/>
  </r>
  <r>
    <x v="1362"/>
    <d v="2012-05-29T22:14:19"/>
    <n v="77500"/>
    <n v="77500"/>
    <s v="USD"/>
    <n v="77500"/>
    <x v="159"/>
    <x v="0"/>
    <s v="USA"/>
    <x v="2"/>
    <x v="0"/>
    <n v="7"/>
  </r>
  <r>
    <x v="1363"/>
    <d v="2012-05-29T22:18:48"/>
    <n v="60800"/>
    <n v="60800"/>
    <s v="USD"/>
    <n v="60800"/>
    <x v="858"/>
    <x v="0"/>
    <s v="USA"/>
    <x v="2"/>
    <x v="1"/>
    <n v="10"/>
  </r>
  <r>
    <x v="1364"/>
    <d v="2012-05-29T22:24:28"/>
    <n v="136000"/>
    <n v="136000"/>
    <s v="USD"/>
    <n v="136000"/>
    <x v="859"/>
    <x v="3"/>
    <s v="USA"/>
    <x v="2"/>
    <x v="0"/>
    <n v="10"/>
  </r>
  <r>
    <x v="1365"/>
    <d v="2012-05-29T22:32:16"/>
    <n v="20000"/>
    <n v="20000"/>
    <s v="USD"/>
    <n v="20000"/>
    <x v="860"/>
    <x v="6"/>
    <s v="India"/>
    <x v="0"/>
    <x v="0"/>
    <n v="6"/>
  </r>
  <r>
    <x v="1366"/>
    <d v="2012-05-29T22:35:17"/>
    <n v="95000"/>
    <n v="95000"/>
    <s v="USD"/>
    <n v="95000"/>
    <x v="861"/>
    <x v="2"/>
    <s v="USA"/>
    <x v="2"/>
    <x v="0"/>
    <n v="14"/>
  </r>
  <r>
    <x v="1367"/>
    <d v="2012-05-29T22:47:10"/>
    <n v="130000"/>
    <n v="130000"/>
    <s v="USD"/>
    <n v="130000"/>
    <x v="20"/>
    <x v="3"/>
    <s v="USA"/>
    <x v="2"/>
    <x v="3"/>
    <n v="25"/>
  </r>
  <r>
    <x v="1368"/>
    <d v="2012-05-29T22:50:16"/>
    <n v="65000"/>
    <n v="65000"/>
    <s v="USD"/>
    <n v="65000"/>
    <x v="862"/>
    <x v="0"/>
    <s v="USA"/>
    <x v="2"/>
    <x v="2"/>
    <n v="10"/>
  </r>
  <r>
    <x v="1369"/>
    <d v="2012-05-29T22:50:20"/>
    <n v="80000"/>
    <n v="80000"/>
    <s v="USD"/>
    <n v="80000"/>
    <x v="863"/>
    <x v="8"/>
    <s v="USA"/>
    <x v="2"/>
    <x v="2"/>
    <n v="8"/>
  </r>
  <r>
    <x v="1370"/>
    <d v="2012-05-29T22:56:24"/>
    <s v="37K"/>
    <n v="37000"/>
    <s v="USD"/>
    <n v="37000"/>
    <x v="864"/>
    <x v="7"/>
    <s v="USA"/>
    <x v="2"/>
    <x v="2"/>
    <n v="30"/>
  </r>
  <r>
    <x v="1371"/>
    <d v="2012-05-29T23:06:00"/>
    <n v="40000"/>
    <n v="40000"/>
    <s v="USD"/>
    <n v="40000"/>
    <x v="865"/>
    <x v="3"/>
    <s v="USA"/>
    <x v="2"/>
    <x v="3"/>
    <n v="8"/>
  </r>
  <r>
    <x v="1372"/>
    <d v="2012-05-29T23:08:45"/>
    <n v="49000"/>
    <n v="49000"/>
    <s v="USD"/>
    <n v="49000"/>
    <x v="109"/>
    <x v="0"/>
    <s v="USA"/>
    <x v="2"/>
    <x v="0"/>
    <n v="10"/>
  </r>
  <r>
    <x v="1373"/>
    <d v="2012-05-29T23:09:29"/>
    <n v="65000"/>
    <n v="65000"/>
    <s v="USD"/>
    <n v="65000"/>
    <x v="79"/>
    <x v="0"/>
    <s v="USA"/>
    <x v="2"/>
    <x v="1"/>
    <n v="14"/>
  </r>
  <r>
    <x v="1374"/>
    <d v="2012-05-29T23:13:32"/>
    <n v="55000"/>
    <n v="55000"/>
    <s v="USD"/>
    <n v="55000"/>
    <x v="624"/>
    <x v="0"/>
    <s v="USA"/>
    <x v="2"/>
    <x v="1"/>
    <n v="1"/>
  </r>
  <r>
    <x v="1375"/>
    <d v="2012-05-29T23:20:41"/>
    <n v="40000"/>
    <n v="40000"/>
    <s v="USD"/>
    <n v="40000"/>
    <x v="443"/>
    <x v="3"/>
    <s v="USA"/>
    <x v="2"/>
    <x v="0"/>
    <n v="1"/>
  </r>
  <r>
    <x v="1376"/>
    <d v="2012-05-29T23:21:25"/>
    <n v="60000"/>
    <n v="60000"/>
    <s v="USD"/>
    <n v="60000"/>
    <x v="12"/>
    <x v="0"/>
    <s v="USA"/>
    <x v="2"/>
    <x v="0"/>
    <n v="15"/>
  </r>
  <r>
    <x v="1377"/>
    <d v="2012-05-29T23:31:03"/>
    <s v="36000 euros"/>
    <n v="36000"/>
    <s v="EUR"/>
    <n v="45734.379803697877"/>
    <x v="866"/>
    <x v="0"/>
    <s v="Ireland"/>
    <x v="8"/>
    <x v="2"/>
    <n v="4"/>
  </r>
  <r>
    <x v="1378"/>
    <d v="2012-05-29T23:39:13"/>
    <n v="150000"/>
    <n v="150000"/>
    <s v="USD"/>
    <n v="150000"/>
    <x v="49"/>
    <x v="0"/>
    <s v="USA"/>
    <x v="2"/>
    <x v="2"/>
    <n v="30"/>
  </r>
  <r>
    <x v="1379"/>
    <d v="2012-05-29T23:44:26"/>
    <n v="88000"/>
    <n v="88000"/>
    <s v="USD"/>
    <n v="88000"/>
    <x v="867"/>
    <x v="3"/>
    <s v="USA"/>
    <x v="2"/>
    <x v="0"/>
    <n v="21"/>
  </r>
  <r>
    <x v="1380"/>
    <d v="2012-05-30T00:02:08"/>
    <n v="64500"/>
    <n v="64500"/>
    <s v="USD"/>
    <n v="64500"/>
    <x v="868"/>
    <x v="0"/>
    <s v="USA"/>
    <x v="2"/>
    <x v="0"/>
    <n v="13"/>
  </r>
  <r>
    <x v="1381"/>
    <d v="2012-05-30T00:13:07"/>
    <s v="216000.00 Saudi Riyak"/>
    <n v="216000"/>
    <s v="SAR"/>
    <n v="57600"/>
    <x v="869"/>
    <x v="2"/>
    <s v="Saudi Arabia"/>
    <x v="22"/>
    <x v="0"/>
    <n v="20"/>
  </r>
  <r>
    <x v="1382"/>
    <d v="2012-05-30T00:22:28"/>
    <n v="50000"/>
    <n v="50000"/>
    <s v="USD"/>
    <n v="50000"/>
    <x v="870"/>
    <x v="5"/>
    <s v="USA"/>
    <x v="2"/>
    <x v="0"/>
    <n v="15"/>
  </r>
  <r>
    <x v="1383"/>
    <d v="2012-05-30T00:25:43"/>
    <n v="120000"/>
    <n v="120000"/>
    <s v="USD"/>
    <n v="120000"/>
    <x v="363"/>
    <x v="3"/>
    <s v="USA"/>
    <x v="2"/>
    <x v="2"/>
    <n v="10"/>
  </r>
  <r>
    <x v="1384"/>
    <d v="2012-05-30T00:34:53"/>
    <n v="107000"/>
    <n v="107000"/>
    <s v="USD"/>
    <n v="107000"/>
    <x v="871"/>
    <x v="3"/>
    <s v="USA"/>
    <x v="2"/>
    <x v="1"/>
    <n v="29"/>
  </r>
  <r>
    <x v="1385"/>
    <d v="2012-05-30T00:42:50"/>
    <n v="40000"/>
    <n v="40000"/>
    <s v="USD"/>
    <n v="40000"/>
    <x v="383"/>
    <x v="0"/>
    <s v="USA"/>
    <x v="2"/>
    <x v="2"/>
    <n v="6"/>
  </r>
  <r>
    <x v="1386"/>
    <d v="2012-05-30T00:50:03"/>
    <n v="81000"/>
    <n v="81000"/>
    <s v="USD"/>
    <n v="81000"/>
    <x v="872"/>
    <x v="3"/>
    <s v="USA"/>
    <x v="2"/>
    <x v="3"/>
    <n v="12"/>
  </r>
  <r>
    <x v="1387"/>
    <d v="2012-05-30T01:05:26"/>
    <n v="45000"/>
    <n v="45000"/>
    <s v="USD"/>
    <n v="45000"/>
    <x v="181"/>
    <x v="6"/>
    <s v="USA"/>
    <x v="2"/>
    <x v="0"/>
    <n v="20"/>
  </r>
  <r>
    <x v="1388"/>
    <d v="2012-05-30T01:12:04"/>
    <n v="49000"/>
    <n v="49000"/>
    <s v="USD"/>
    <n v="49000"/>
    <x v="873"/>
    <x v="6"/>
    <s v="USA"/>
    <x v="2"/>
    <x v="0"/>
    <n v="5"/>
  </r>
  <r>
    <x v="1389"/>
    <d v="2012-05-30T01:12:35"/>
    <s v="INR 750000"/>
    <n v="750000"/>
    <s v="INR"/>
    <n v="13355.937515581925"/>
    <x v="874"/>
    <x v="4"/>
    <s v="India"/>
    <x v="0"/>
    <x v="3"/>
    <n v="1"/>
  </r>
  <r>
    <x v="1390"/>
    <d v="2012-05-30T01:15:32"/>
    <n v="72000"/>
    <n v="72000"/>
    <s v="USD"/>
    <n v="72000"/>
    <x v="20"/>
    <x v="3"/>
    <s v="USA"/>
    <x v="2"/>
    <x v="3"/>
    <n v="20"/>
  </r>
  <r>
    <x v="1391"/>
    <d v="2012-05-30T01:25:17"/>
    <n v="50000"/>
    <n v="50000"/>
    <s v="USD"/>
    <n v="50000"/>
    <x v="875"/>
    <x v="0"/>
    <s v="USA"/>
    <x v="2"/>
    <x v="0"/>
    <n v="7"/>
  </r>
  <r>
    <x v="1392"/>
    <d v="2012-05-30T01:25:26"/>
    <n v="57678.400000000001"/>
    <n v="57678"/>
    <s v="USD"/>
    <n v="57678"/>
    <x v="2"/>
    <x v="0"/>
    <s v="USA"/>
    <x v="2"/>
    <x v="0"/>
    <n v="2"/>
  </r>
  <r>
    <x v="1393"/>
    <d v="2012-05-30T01:29:51"/>
    <n v="80442"/>
    <n v="80442"/>
    <s v="USD"/>
    <n v="80442"/>
    <x v="876"/>
    <x v="0"/>
    <s v="USA"/>
    <x v="2"/>
    <x v="0"/>
    <n v="16"/>
  </r>
  <r>
    <x v="1394"/>
    <d v="2012-05-30T01:48:18"/>
    <n v="75000"/>
    <n v="75000"/>
    <s v="USD"/>
    <n v="75000"/>
    <x v="877"/>
    <x v="3"/>
    <s v="USA"/>
    <x v="2"/>
    <x v="3"/>
    <n v="9"/>
  </r>
  <r>
    <x v="1395"/>
    <d v="2012-05-30T01:52:33"/>
    <n v="61000"/>
    <n v="61000"/>
    <s v="USD"/>
    <n v="61000"/>
    <x v="878"/>
    <x v="0"/>
    <s v="USA"/>
    <x v="2"/>
    <x v="0"/>
    <n v="12"/>
  </r>
  <r>
    <x v="1396"/>
    <d v="2012-05-30T01:57:58"/>
    <n v="77000"/>
    <n v="77000"/>
    <s v="USD"/>
    <n v="77000"/>
    <x v="879"/>
    <x v="2"/>
    <s v="USA"/>
    <x v="2"/>
    <x v="0"/>
    <n v="10"/>
  </r>
  <r>
    <x v="1397"/>
    <d v="2012-05-30T02:18:02"/>
    <s v="92000 USD"/>
    <n v="92000"/>
    <s v="USD"/>
    <n v="92000"/>
    <x v="236"/>
    <x v="1"/>
    <s v="USA"/>
    <x v="2"/>
    <x v="2"/>
    <n v="9"/>
  </r>
  <r>
    <x v="1398"/>
    <d v="2012-05-30T02:18:30"/>
    <n v="72000"/>
    <n v="72000"/>
    <s v="USD"/>
    <n v="72000"/>
    <x v="880"/>
    <x v="0"/>
    <s v="USA"/>
    <x v="2"/>
    <x v="1"/>
    <n v="10"/>
  </r>
  <r>
    <x v="1399"/>
    <d v="2012-05-30T02:22:39"/>
    <n v="14000"/>
    <n v="14000"/>
    <s v="USD"/>
    <n v="14000"/>
    <x v="35"/>
    <x v="8"/>
    <s v="India"/>
    <x v="0"/>
    <x v="0"/>
    <n v="3"/>
  </r>
  <r>
    <x v="1400"/>
    <d v="2012-05-30T02:22:59"/>
    <n v="111000"/>
    <n v="111000"/>
    <s v="USD"/>
    <n v="111000"/>
    <x v="881"/>
    <x v="3"/>
    <s v="USA"/>
    <x v="2"/>
    <x v="2"/>
    <n v="10"/>
  </r>
  <r>
    <x v="1401"/>
    <d v="2012-05-30T02:32:17"/>
    <n v="80000"/>
    <n v="80000"/>
    <s v="USD"/>
    <n v="80000"/>
    <x v="882"/>
    <x v="0"/>
    <s v="USA"/>
    <x v="2"/>
    <x v="0"/>
    <n v="20"/>
  </r>
  <r>
    <x v="1402"/>
    <d v="2012-05-30T02:35:40"/>
    <s v="Rs 3.25 Lacs"/>
    <n v="3250000"/>
    <s v="INR"/>
    <n v="57875.729234188344"/>
    <x v="883"/>
    <x v="0"/>
    <s v="India"/>
    <x v="0"/>
    <x v="0"/>
    <n v="5.5"/>
  </r>
  <r>
    <x v="1403"/>
    <d v="2012-05-30T02:39:50"/>
    <n v="25000"/>
    <n v="25000"/>
    <s v="USD"/>
    <n v="25000"/>
    <x v="189"/>
    <x v="5"/>
    <s v="India"/>
    <x v="0"/>
    <x v="2"/>
    <n v="8"/>
  </r>
  <r>
    <x v="1404"/>
    <d v="2012-05-30T03:20:17"/>
    <s v="24000 USD"/>
    <n v="24000"/>
    <s v="USD"/>
    <n v="24000"/>
    <x v="884"/>
    <x v="1"/>
    <s v="USA"/>
    <x v="2"/>
    <x v="3"/>
    <n v="2"/>
  </r>
  <r>
    <x v="1405"/>
    <d v="2012-05-30T04:13:50"/>
    <n v="61000"/>
    <n v="61000"/>
    <s v="USD"/>
    <n v="61000"/>
    <x v="308"/>
    <x v="3"/>
    <s v="USA"/>
    <x v="2"/>
    <x v="2"/>
    <n v="25"/>
  </r>
  <r>
    <x v="1406"/>
    <d v="2012-05-30T08:05:16"/>
    <s v="AUD55,000"/>
    <n v="55000"/>
    <s v="AUD"/>
    <n v="56095.031102144967"/>
    <x v="885"/>
    <x v="0"/>
    <s v="Australia"/>
    <x v="16"/>
    <x v="2"/>
    <n v="11"/>
  </r>
  <r>
    <x v="1407"/>
    <d v="2012-05-30T09:42:01"/>
    <n v="70000"/>
    <n v="70000"/>
    <s v="AUD"/>
    <n v="71393.675948184507"/>
    <x v="724"/>
    <x v="5"/>
    <s v="Australia"/>
    <x v="16"/>
    <x v="2"/>
    <n v="5"/>
  </r>
  <r>
    <x v="1408"/>
    <d v="2012-05-30T10:11:19"/>
    <n v="96230"/>
    <n v="96230"/>
    <s v="USD"/>
    <n v="96230"/>
    <x v="886"/>
    <x v="3"/>
    <s v="USA"/>
    <x v="2"/>
    <x v="0"/>
    <n v="18"/>
  </r>
  <r>
    <x v="1409"/>
    <d v="2012-05-30T10:40:24"/>
    <n v="75000"/>
    <n v="75000"/>
    <s v="USD"/>
    <n v="75000"/>
    <x v="12"/>
    <x v="0"/>
    <s v="USA"/>
    <x v="2"/>
    <x v="2"/>
    <n v="1.5"/>
  </r>
  <r>
    <x v="1410"/>
    <d v="2012-05-30T10:57:38"/>
    <n v="8500"/>
    <n v="102000"/>
    <s v="USD"/>
    <n v="102000"/>
    <x v="51"/>
    <x v="0"/>
    <s v="USA"/>
    <x v="2"/>
    <x v="0"/>
    <n v="5"/>
  </r>
  <r>
    <x v="1411"/>
    <d v="2012-05-30T11:20:33"/>
    <s v="MYR60000"/>
    <n v="60000"/>
    <s v="MYR"/>
    <n v="19008.034062397041"/>
    <x v="887"/>
    <x v="3"/>
    <s v="Malaysia"/>
    <x v="73"/>
    <x v="0"/>
    <n v="3"/>
  </r>
  <r>
    <x v="1412"/>
    <d v="2012-05-30T11:38:53"/>
    <n v="363"/>
    <n v="4356"/>
    <s v="USD"/>
    <n v="4356"/>
    <x v="12"/>
    <x v="0"/>
    <s v="India"/>
    <x v="0"/>
    <x v="0"/>
    <n v="5"/>
  </r>
  <r>
    <x v="1413"/>
    <d v="2012-05-30T11:43:50"/>
    <n v="300000"/>
    <n v="300000"/>
    <s v="INR"/>
    <n v="5342.3750062327708"/>
    <x v="189"/>
    <x v="5"/>
    <s v="India"/>
    <x v="0"/>
    <x v="0"/>
    <n v="4"/>
  </r>
  <r>
    <x v="1414"/>
    <d v="2012-05-30T12:12:38"/>
    <n v="67000"/>
    <n v="67000"/>
    <s v="USD"/>
    <n v="67000"/>
    <x v="888"/>
    <x v="3"/>
    <s v="USA"/>
    <x v="2"/>
    <x v="2"/>
    <n v="20"/>
  </r>
  <r>
    <x v="1415"/>
    <d v="2012-05-30T12:25:23"/>
    <n v="480000"/>
    <n v="480000"/>
    <s v="INR"/>
    <n v="8547.8000099724322"/>
    <x v="741"/>
    <x v="0"/>
    <s v="India"/>
    <x v="0"/>
    <x v="0"/>
    <n v="7"/>
  </r>
  <r>
    <x v="1416"/>
    <d v="2012-05-30T12:35:08"/>
    <s v="Rs. 900000 per annum"/>
    <n v="900000"/>
    <s v="INR"/>
    <n v="16027.125018698311"/>
    <x v="79"/>
    <x v="0"/>
    <s v="India"/>
    <x v="0"/>
    <x v="0"/>
    <n v="4"/>
  </r>
  <r>
    <x v="1417"/>
    <d v="2012-05-30T12:56:38"/>
    <s v="Rs  6 lakhs/annum"/>
    <n v="600000"/>
    <s v="INR"/>
    <n v="10684.750012465542"/>
    <x v="35"/>
    <x v="8"/>
    <s v="India"/>
    <x v="0"/>
    <x v="2"/>
    <n v="36"/>
  </r>
  <r>
    <x v="1418"/>
    <d v="2012-05-30T13:06:12"/>
    <n v="30000"/>
    <n v="30000"/>
    <s v="USD"/>
    <n v="30000"/>
    <x v="889"/>
    <x v="5"/>
    <s v="UAE"/>
    <x v="21"/>
    <x v="0"/>
    <n v="8"/>
  </r>
  <r>
    <x v="1419"/>
    <d v="2012-05-30T13:21:06"/>
    <n v="500000"/>
    <n v="500000"/>
    <s v="INR"/>
    <n v="8903.9583437212841"/>
    <x v="890"/>
    <x v="3"/>
    <s v="India"/>
    <x v="0"/>
    <x v="2"/>
    <n v="0"/>
  </r>
  <r>
    <x v="1420"/>
    <d v="2012-05-30T13:25:12"/>
    <n v="20000"/>
    <n v="20000"/>
    <s v="USD"/>
    <n v="20000"/>
    <x v="20"/>
    <x v="3"/>
    <s v="India"/>
    <x v="0"/>
    <x v="4"/>
    <n v="10"/>
  </r>
  <r>
    <x v="1421"/>
    <d v="2012-05-30T13:31:35"/>
    <n v="86000"/>
    <n v="86000"/>
    <s v="AUD"/>
    <n v="87712.230450626681"/>
    <x v="79"/>
    <x v="0"/>
    <s v="Australia"/>
    <x v="16"/>
    <x v="0"/>
    <n v="10"/>
  </r>
  <r>
    <x v="1422"/>
    <d v="2012-05-30T13:36:42"/>
    <n v="1000000"/>
    <n v="1000000"/>
    <s v="INR"/>
    <n v="17807.916687442568"/>
    <x v="890"/>
    <x v="3"/>
    <s v="India"/>
    <x v="0"/>
    <x v="1"/>
    <n v="6"/>
  </r>
  <r>
    <x v="1423"/>
    <d v="2012-05-30T13:36:48"/>
    <n v="41000"/>
    <n v="41000"/>
    <s v="USD"/>
    <n v="41000"/>
    <x v="67"/>
    <x v="0"/>
    <s v="Japan"/>
    <x v="51"/>
    <x v="2"/>
    <n v="2"/>
  </r>
  <r>
    <x v="1424"/>
    <d v="2012-05-30T13:41:41"/>
    <n v="60000"/>
    <n v="60000"/>
    <s v="USD"/>
    <n v="60000"/>
    <x v="891"/>
    <x v="3"/>
    <s v="USA"/>
    <x v="2"/>
    <x v="2"/>
    <n v="4"/>
  </r>
  <r>
    <x v="1425"/>
    <d v="2012-05-30T13:47:51"/>
    <s v="zar22000"/>
    <n v="264000"/>
    <s v="ZAR"/>
    <n v="32187.34988380854"/>
    <x v="5"/>
    <x v="0"/>
    <s v="SouthAfrica"/>
    <x v="11"/>
    <x v="1"/>
    <n v="2"/>
  </r>
  <r>
    <x v="1426"/>
    <d v="2012-05-30T13:56:27"/>
    <n v="50000"/>
    <n v="50000"/>
    <s v="NZD"/>
    <n v="39879.404680246938"/>
    <x v="861"/>
    <x v="2"/>
    <s v="nld"/>
    <x v="48"/>
    <x v="0"/>
    <n v="5"/>
  </r>
  <r>
    <x v="1427"/>
    <d v="2012-05-30T13:56:48"/>
    <s v="320000 INR"/>
    <n v="320000"/>
    <s v="INR"/>
    <n v="5698.5333399816218"/>
    <x v="5"/>
    <x v="0"/>
    <s v="India"/>
    <x v="0"/>
    <x v="2"/>
    <n v="2"/>
  </r>
  <r>
    <x v="1428"/>
    <d v="2012-05-30T14:09:10"/>
    <s v="4 Lakhs INR p.a"/>
    <n v="400000"/>
    <s v="INR"/>
    <n v="7123.1666749770275"/>
    <x v="569"/>
    <x v="3"/>
    <s v="India"/>
    <x v="0"/>
    <x v="0"/>
    <n v="6"/>
  </r>
  <r>
    <x v="1429"/>
    <d v="2012-05-30T14:19:07"/>
    <s v="Rs.2,50,000.00"/>
    <n v="250000"/>
    <s v="INR"/>
    <n v="4451.9791718606421"/>
    <x v="892"/>
    <x v="3"/>
    <s v="India"/>
    <x v="0"/>
    <x v="2"/>
    <n v="15"/>
  </r>
  <r>
    <x v="1430"/>
    <d v="2012-05-30T14:21:57"/>
    <n v="360000"/>
    <n v="360000"/>
    <s v="INR"/>
    <n v="6410.8500074793246"/>
    <x v="5"/>
    <x v="0"/>
    <s v="India"/>
    <x v="0"/>
    <x v="2"/>
    <n v="6"/>
  </r>
  <r>
    <x v="1431"/>
    <d v="2012-05-30T14:28:57"/>
    <s v="Rs. 1150000/-"/>
    <n v="1150000"/>
    <s v="INR"/>
    <n v="20479.104190558952"/>
    <x v="89"/>
    <x v="3"/>
    <s v="India"/>
    <x v="0"/>
    <x v="1"/>
    <n v="12"/>
  </r>
  <r>
    <x v="1432"/>
    <d v="2012-05-30T14:31:33"/>
    <n v="620000"/>
    <n v="620000"/>
    <s v="INR"/>
    <n v="11040.908346214392"/>
    <x v="893"/>
    <x v="0"/>
    <s v="India"/>
    <x v="0"/>
    <x v="3"/>
    <n v="5"/>
  </r>
  <r>
    <x v="1433"/>
    <d v="2012-05-30T15:59:01"/>
    <s v="Rs 10,00,000"/>
    <n v="1000000"/>
    <s v="INR"/>
    <n v="17807.916687442568"/>
    <x v="404"/>
    <x v="6"/>
    <s v="India"/>
    <x v="0"/>
    <x v="2"/>
    <n v="7"/>
  </r>
  <r>
    <x v="1434"/>
    <d v="2012-05-30T16:12:34"/>
    <s v="Rs. 200000"/>
    <n v="200000"/>
    <s v="INR"/>
    <n v="3561.5833374885137"/>
    <x v="444"/>
    <x v="0"/>
    <s v="India"/>
    <x v="0"/>
    <x v="0"/>
    <n v="11"/>
  </r>
  <r>
    <x v="1435"/>
    <d v="2012-05-30T16:22:19"/>
    <s v="Â£17000"/>
    <n v="17000"/>
    <s v="GBP"/>
    <n v="26795.030625143831"/>
    <x v="894"/>
    <x v="0"/>
    <s v="UK"/>
    <x v="14"/>
    <x v="2"/>
    <n v="5"/>
  </r>
  <r>
    <x v="1436"/>
    <d v="2012-05-30T16:48:32"/>
    <n v="1700"/>
    <n v="20400"/>
    <s v="USD"/>
    <n v="20400"/>
    <x v="895"/>
    <x v="3"/>
    <s v="Myanmar [Burma]"/>
    <x v="83"/>
    <x v="3"/>
    <n v="10"/>
  </r>
  <r>
    <x v="1437"/>
    <d v="2012-05-30T16:49:15"/>
    <s v="Â£25000"/>
    <n v="25000"/>
    <s v="GBP"/>
    <n v="39404.456801682099"/>
    <x v="896"/>
    <x v="5"/>
    <s v="UK"/>
    <x v="14"/>
    <x v="0"/>
    <n v="35"/>
  </r>
  <r>
    <x v="1438"/>
    <d v="2012-05-30T16:55:51"/>
    <n v="118000"/>
    <n v="118000"/>
    <s v="EUR"/>
    <n v="149907.13380100971"/>
    <x v="897"/>
    <x v="0"/>
    <s v="EU"/>
    <x v="87"/>
    <x v="0"/>
    <n v="7"/>
  </r>
  <r>
    <x v="1439"/>
    <d v="2012-05-30T17:01:10"/>
    <n v="230000"/>
    <n v="230000"/>
    <s v="INR"/>
    <n v="4095.8208381117906"/>
    <x v="898"/>
    <x v="0"/>
    <s v="India"/>
    <x v="0"/>
    <x v="0"/>
    <n v="1.6"/>
  </r>
  <r>
    <x v="1440"/>
    <d v="2012-05-30T17:04:53"/>
    <s v="$AUD 125,000 +"/>
    <n v="125000"/>
    <s v="AUD"/>
    <n v="127488.70705032947"/>
    <x v="899"/>
    <x v="5"/>
    <s v="Australia"/>
    <x v="16"/>
    <x v="0"/>
    <n v="7"/>
  </r>
  <r>
    <x v="1441"/>
    <d v="2012-05-30T17:07:47"/>
    <s v="Â£37000"/>
    <n v="37000"/>
    <s v="GBP"/>
    <n v="58318.59606648951"/>
    <x v="900"/>
    <x v="3"/>
    <s v="UK"/>
    <x v="14"/>
    <x v="1"/>
    <n v="20"/>
  </r>
  <r>
    <x v="1442"/>
    <d v="2012-05-30T17:14:27"/>
    <s v="ZAR6500"/>
    <n v="78000"/>
    <s v="ZAR"/>
    <n v="9509.8988293070688"/>
    <x v="901"/>
    <x v="1"/>
    <s v="South Africa"/>
    <x v="11"/>
    <x v="0"/>
    <n v="2"/>
  </r>
  <r>
    <x v="1443"/>
    <d v="2012-05-30T17:18:38"/>
    <s v="INR 60000"/>
    <n v="720000"/>
    <s v="INR"/>
    <n v="12821.700014958649"/>
    <x v="902"/>
    <x v="0"/>
    <s v="India"/>
    <x v="0"/>
    <x v="0"/>
    <n v="3"/>
  </r>
  <r>
    <x v="1444"/>
    <d v="2012-05-30T18:15:28"/>
    <n v="4000"/>
    <n v="4000"/>
    <s v="USD"/>
    <n v="4000"/>
    <x v="903"/>
    <x v="0"/>
    <s v="India"/>
    <x v="0"/>
    <x v="1"/>
    <n v="6"/>
  </r>
  <r>
    <x v="1445"/>
    <d v="2012-05-30T18:16:05"/>
    <n v="42000"/>
    <n v="42000"/>
    <s v="USD"/>
    <n v="42000"/>
    <x v="904"/>
    <x v="0"/>
    <s v="USA"/>
    <x v="2"/>
    <x v="1"/>
    <n v="2"/>
  </r>
  <r>
    <x v="1446"/>
    <d v="2012-05-30T18:47:17"/>
    <s v="US $ 3200"/>
    <n v="3200"/>
    <s v="USD"/>
    <n v="3200"/>
    <x v="905"/>
    <x v="3"/>
    <s v="India"/>
    <x v="0"/>
    <x v="1"/>
    <n v="19"/>
  </r>
  <r>
    <x v="1447"/>
    <d v="2012-05-30T18:51:57"/>
    <n v="60000"/>
    <n v="60000"/>
    <s v="USD"/>
    <n v="60000"/>
    <x v="906"/>
    <x v="0"/>
    <s v="turkey"/>
    <x v="28"/>
    <x v="2"/>
    <n v="10"/>
  </r>
  <r>
    <x v="1448"/>
    <d v="2012-05-30T19:01:20"/>
    <n v="85000"/>
    <n v="85000"/>
    <s v="USD"/>
    <n v="85000"/>
    <x v="907"/>
    <x v="0"/>
    <s v="USA"/>
    <x v="2"/>
    <x v="0"/>
    <n v="9"/>
  </r>
  <r>
    <x v="1449"/>
    <d v="2012-05-30T19:04:44"/>
    <n v="109000"/>
    <n v="109000"/>
    <s v="USD"/>
    <n v="109000"/>
    <x v="908"/>
    <x v="3"/>
    <s v="USA"/>
    <x v="2"/>
    <x v="0"/>
    <n v="15"/>
  </r>
  <r>
    <x v="1450"/>
    <d v="2012-05-30T19:27:35"/>
    <s v="60000 Euros"/>
    <n v="60000"/>
    <s v="EUR"/>
    <n v="76223.966339496474"/>
    <x v="51"/>
    <x v="0"/>
    <s v="Italy"/>
    <x v="62"/>
    <x v="1"/>
    <n v="14"/>
  </r>
  <r>
    <x v="1451"/>
    <d v="2012-05-30T19:42:50"/>
    <n v="77000"/>
    <n v="77000"/>
    <s v="USD"/>
    <n v="77000"/>
    <x v="909"/>
    <x v="2"/>
    <s v="USA"/>
    <x v="2"/>
    <x v="2"/>
    <n v="13"/>
  </r>
  <r>
    <x v="1452"/>
    <d v="2012-05-30T19:43:43"/>
    <n v="25000"/>
    <n v="25000"/>
    <s v="USD"/>
    <n v="25000"/>
    <x v="79"/>
    <x v="0"/>
    <s v="India"/>
    <x v="0"/>
    <x v="1"/>
    <n v="4"/>
  </r>
  <r>
    <x v="1453"/>
    <d v="2012-05-30T20:19:51"/>
    <n v="64000"/>
    <n v="64000"/>
    <s v="USD"/>
    <n v="64000"/>
    <x v="170"/>
    <x v="3"/>
    <s v="USA"/>
    <x v="2"/>
    <x v="2"/>
    <n v="12"/>
  </r>
  <r>
    <x v="1454"/>
    <d v="2012-05-30T20:26:10"/>
    <n v="146633"/>
    <n v="146633"/>
    <s v="GBP"/>
    <n v="231119.74856804207"/>
    <x v="910"/>
    <x v="2"/>
    <s v="UK"/>
    <x v="14"/>
    <x v="2"/>
    <n v="10"/>
  </r>
  <r>
    <x v="1455"/>
    <d v="2012-05-30T20:40:45"/>
    <n v="76000"/>
    <n v="76000"/>
    <s v="USD"/>
    <n v="76000"/>
    <x v="421"/>
    <x v="0"/>
    <s v="USA"/>
    <x v="2"/>
    <x v="1"/>
    <n v="10"/>
  </r>
  <r>
    <x v="1456"/>
    <d v="2012-05-30T20:42:27"/>
    <n v="10000"/>
    <n v="10000"/>
    <s v="GBP"/>
    <n v="15761.782720672842"/>
    <x v="5"/>
    <x v="0"/>
    <s v="UK"/>
    <x v="14"/>
    <x v="2"/>
    <n v="8"/>
  </r>
  <r>
    <x v="1457"/>
    <d v="2012-05-30T20:42:47"/>
    <s v="AUD 165000"/>
    <n v="165000"/>
    <s v="AUD"/>
    <n v="168285.09330643489"/>
    <x v="306"/>
    <x v="2"/>
    <s v="Australia"/>
    <x v="16"/>
    <x v="2"/>
    <n v="17"/>
  </r>
  <r>
    <x v="1458"/>
    <d v="2012-05-30T20:47:55"/>
    <s v="50000 US$"/>
    <n v="50000"/>
    <s v="USD"/>
    <n v="50000"/>
    <x v="168"/>
    <x v="0"/>
    <s v="Kuwait"/>
    <x v="76"/>
    <x v="0"/>
    <n v="13"/>
  </r>
  <r>
    <x v="1459"/>
    <d v="2012-05-30T20:53:12"/>
    <s v="7200 USD per year aprox"/>
    <n v="7200"/>
    <s v="USD"/>
    <n v="7200"/>
    <x v="911"/>
    <x v="1"/>
    <s v="Colombia"/>
    <x v="27"/>
    <x v="0"/>
    <n v="8"/>
  </r>
  <r>
    <x v="1460"/>
    <d v="2012-05-30T21:07:54"/>
    <n v="42000"/>
    <n v="42000"/>
    <s v="EUR"/>
    <n v="53356.776437647524"/>
    <x v="912"/>
    <x v="8"/>
    <s v="Germany"/>
    <x v="5"/>
    <x v="1"/>
    <n v="7"/>
  </r>
  <r>
    <x v="1461"/>
    <d v="2012-05-30T21:19:31"/>
    <n v="45000"/>
    <n v="45000"/>
    <s v="USD"/>
    <n v="45000"/>
    <x v="651"/>
    <x v="6"/>
    <s v="USA"/>
    <x v="2"/>
    <x v="2"/>
    <n v="10"/>
  </r>
  <r>
    <x v="1462"/>
    <d v="2012-05-30T21:26:04"/>
    <n v="5000"/>
    <n v="5000"/>
    <s v="USD"/>
    <n v="5000"/>
    <x v="913"/>
    <x v="3"/>
    <s v="India"/>
    <x v="0"/>
    <x v="1"/>
    <n v="4"/>
  </r>
  <r>
    <x v="1463"/>
    <d v="2012-05-30T21:45:06"/>
    <n v="74000"/>
    <n v="74000"/>
    <s v="AUD"/>
    <n v="75473.31457379504"/>
    <x v="914"/>
    <x v="0"/>
    <s v="Australia"/>
    <x v="16"/>
    <x v="1"/>
    <n v="20"/>
  </r>
  <r>
    <x v="1464"/>
    <d v="2012-05-30T22:11:21"/>
    <s v="15000 USD"/>
    <n v="15000"/>
    <s v="USD"/>
    <n v="15000"/>
    <x v="20"/>
    <x v="3"/>
    <s v="Romania"/>
    <x v="37"/>
    <x v="2"/>
    <n v="5"/>
  </r>
  <r>
    <x v="1465"/>
    <d v="2012-05-30T22:31:33"/>
    <s v="33500 â‚¬"/>
    <n v="33500"/>
    <s v="EUR"/>
    <n v="42558.381206218859"/>
    <x v="915"/>
    <x v="1"/>
    <s v="Germany"/>
    <x v="5"/>
    <x v="1"/>
    <n v="8"/>
  </r>
  <r>
    <x v="1466"/>
    <d v="2012-05-30T22:31:35"/>
    <s v="61K"/>
    <n v="61000"/>
    <s v="USD"/>
    <n v="61000"/>
    <x v="2"/>
    <x v="0"/>
    <s v="USA"/>
    <x v="2"/>
    <x v="0"/>
    <n v="5"/>
  </r>
  <r>
    <x v="1467"/>
    <d v="2012-05-30T22:32:21"/>
    <n v="66000"/>
    <n v="66000"/>
    <s v="USD"/>
    <n v="66000"/>
    <x v="916"/>
    <x v="0"/>
    <s v="USA"/>
    <x v="2"/>
    <x v="0"/>
    <n v="2"/>
  </r>
  <r>
    <x v="1468"/>
    <d v="2012-05-30T22:59:44"/>
    <s v="278000 PA"/>
    <n v="278000"/>
    <s v="INR"/>
    <n v="4950.6008391090336"/>
    <x v="442"/>
    <x v="7"/>
    <s v="India"/>
    <x v="0"/>
    <x v="1"/>
    <n v="8"/>
  </r>
  <r>
    <x v="1469"/>
    <d v="2012-05-30T23:01:48"/>
    <n v="55000"/>
    <n v="55000"/>
    <s v="USD"/>
    <n v="55000"/>
    <x v="917"/>
    <x v="3"/>
    <s v="USA"/>
    <x v="2"/>
    <x v="2"/>
    <n v="14"/>
  </r>
  <r>
    <x v="1470"/>
    <d v="2012-05-30T23:26:00"/>
    <n v="32000"/>
    <n v="32000"/>
    <s v="USD"/>
    <n v="32000"/>
    <x v="918"/>
    <x v="7"/>
    <s v="USA"/>
    <x v="2"/>
    <x v="0"/>
    <n v="10"/>
  </r>
  <r>
    <x v="1471"/>
    <d v="2012-05-30T23:29:58"/>
    <n v="18000"/>
    <n v="18000"/>
    <s v="USD"/>
    <n v="18000"/>
    <x v="919"/>
    <x v="0"/>
    <s v="India"/>
    <x v="0"/>
    <x v="1"/>
    <n v="6"/>
  </r>
  <r>
    <x v="1472"/>
    <d v="2012-05-30T23:59:22"/>
    <s v="6.5 LAKHS"/>
    <n v="650000"/>
    <s v="INR"/>
    <n v="11575.14584683767"/>
    <x v="920"/>
    <x v="0"/>
    <s v="India"/>
    <x v="0"/>
    <x v="0"/>
    <n v="21"/>
  </r>
  <r>
    <x v="1473"/>
    <d v="2012-05-31T00:36:30"/>
    <n v="50000"/>
    <n v="50000"/>
    <s v="EUR"/>
    <n v="63519.971949580387"/>
    <x v="189"/>
    <x v="5"/>
    <s v="italy"/>
    <x v="62"/>
    <x v="1"/>
    <n v="15"/>
  </r>
  <r>
    <x v="1474"/>
    <d v="2012-05-31T00:46:55"/>
    <s v="4.00 lac"/>
    <n v="4000000"/>
    <s v="INR"/>
    <n v="71231.666749770273"/>
    <x v="921"/>
    <x v="6"/>
    <s v="India"/>
    <x v="0"/>
    <x v="1"/>
    <n v="5"/>
  </r>
  <r>
    <x v="1475"/>
    <d v="2012-05-31T01:09:06"/>
    <s v="US$ 10000"/>
    <n v="10000"/>
    <s v="USD"/>
    <n v="10000"/>
    <x v="922"/>
    <x v="0"/>
    <s v="Brazil"/>
    <x v="20"/>
    <x v="0"/>
    <n v="1"/>
  </r>
  <r>
    <x v="1476"/>
    <d v="2012-05-31T01:17:16"/>
    <n v="74300"/>
    <n v="74300"/>
    <s v="USD"/>
    <n v="74300"/>
    <x v="923"/>
    <x v="0"/>
    <s v="USA"/>
    <x v="2"/>
    <x v="0"/>
    <n v="3"/>
  </r>
  <r>
    <x v="1477"/>
    <d v="2012-05-31T01:17:48"/>
    <n v="1500000"/>
    <n v="1500000"/>
    <s v="INR"/>
    <n v="26711.875031163851"/>
    <x v="924"/>
    <x v="8"/>
    <s v="India"/>
    <x v="0"/>
    <x v="0"/>
    <n v="10"/>
  </r>
  <r>
    <x v="1478"/>
    <d v="2012-05-31T01:45:48"/>
    <s v="Rs 5,36,000"/>
    <n v="536000"/>
    <s v="INR"/>
    <n v="9545.0433444692171"/>
    <x v="40"/>
    <x v="3"/>
    <s v="India"/>
    <x v="0"/>
    <x v="0"/>
    <n v="4"/>
  </r>
  <r>
    <x v="1479"/>
    <d v="2012-05-31T01:50:26"/>
    <n v="95000"/>
    <n v="95000"/>
    <s v="USD"/>
    <n v="95000"/>
    <x v="159"/>
    <x v="0"/>
    <s v="USA"/>
    <x v="2"/>
    <x v="0"/>
    <n v="15"/>
  </r>
  <r>
    <x v="1480"/>
    <d v="2012-05-31T02:24:37"/>
    <n v="64300"/>
    <n v="64300"/>
    <s v="USD"/>
    <n v="64300"/>
    <x v="925"/>
    <x v="5"/>
    <s v="USA"/>
    <x v="2"/>
    <x v="0"/>
    <n v="15"/>
  </r>
  <r>
    <x v="1481"/>
    <d v="2012-05-31T02:37:09"/>
    <n v="250000"/>
    <n v="250000"/>
    <s v="USD"/>
    <n v="250000"/>
    <x v="35"/>
    <x v="8"/>
    <s v="USA"/>
    <x v="2"/>
    <x v="1"/>
    <n v="20"/>
  </r>
  <r>
    <x v="1482"/>
    <d v="2012-05-31T03:07:09"/>
    <n v="89000"/>
    <n v="89000"/>
    <s v="USD"/>
    <n v="89000"/>
    <x v="363"/>
    <x v="3"/>
    <s v="USA"/>
    <x v="2"/>
    <x v="2"/>
    <n v="10"/>
  </r>
  <r>
    <x v="1483"/>
    <d v="2012-05-31T04:12:19"/>
    <n v="75000"/>
    <n v="75000"/>
    <s v="USD"/>
    <n v="75000"/>
    <x v="2"/>
    <x v="0"/>
    <s v="USA"/>
    <x v="2"/>
    <x v="1"/>
    <n v="1.5"/>
  </r>
  <r>
    <x v="1484"/>
    <d v="2012-05-31T05:02:59"/>
    <n v="45000"/>
    <n v="45000"/>
    <s v="USD"/>
    <n v="45000"/>
    <x v="926"/>
    <x v="0"/>
    <s v="USA"/>
    <x v="2"/>
    <x v="1"/>
    <n v="5"/>
  </r>
  <r>
    <x v="1485"/>
    <d v="2012-05-31T05:23:58"/>
    <n v="127500"/>
    <n v="127500"/>
    <s v="USD"/>
    <n v="127500"/>
    <x v="927"/>
    <x v="4"/>
    <s v="USA"/>
    <x v="2"/>
    <x v="1"/>
    <n v="22"/>
  </r>
  <r>
    <x v="1486"/>
    <d v="2012-05-31T05:31:54"/>
    <n v="170000"/>
    <n v="170000"/>
    <s v="USD"/>
    <n v="170000"/>
    <x v="8"/>
    <x v="4"/>
    <s v="USA"/>
    <x v="2"/>
    <x v="2"/>
    <n v="18"/>
  </r>
  <r>
    <x v="1487"/>
    <d v="2012-05-31T05:37:29"/>
    <n v="800"/>
    <n v="9600"/>
    <s v="USD"/>
    <n v="9600"/>
    <x v="506"/>
    <x v="0"/>
    <s v="Bolivia"/>
    <x v="88"/>
    <x v="1"/>
    <n v="2"/>
  </r>
  <r>
    <x v="1488"/>
    <d v="2012-05-31T06:13:42"/>
    <n v="62000"/>
    <n v="62000"/>
    <s v="USD"/>
    <n v="62000"/>
    <x v="928"/>
    <x v="0"/>
    <s v="USA"/>
    <x v="2"/>
    <x v="1"/>
    <n v="27"/>
  </r>
  <r>
    <x v="1489"/>
    <d v="2012-05-31T06:23:09"/>
    <n v="22000"/>
    <n v="22000"/>
    <s v="USD"/>
    <n v="22000"/>
    <x v="929"/>
    <x v="3"/>
    <s v="USA"/>
    <x v="2"/>
    <x v="0"/>
    <n v="3"/>
  </r>
  <r>
    <x v="1490"/>
    <d v="2012-05-31T06:23:55"/>
    <n v="45000"/>
    <n v="45000"/>
    <s v="USD"/>
    <n v="45000"/>
    <x v="12"/>
    <x v="0"/>
    <s v="USA"/>
    <x v="2"/>
    <x v="0"/>
    <n v="8"/>
  </r>
  <r>
    <x v="1491"/>
    <d v="2012-05-31T07:17:36"/>
    <n v="145000"/>
    <n v="145000"/>
    <s v="USD"/>
    <n v="145000"/>
    <x v="381"/>
    <x v="0"/>
    <s v="USA"/>
    <x v="2"/>
    <x v="0"/>
    <n v="6"/>
  </r>
  <r>
    <x v="1492"/>
    <d v="2012-05-31T08:20:03"/>
    <n v="89000"/>
    <n v="89000"/>
    <s v="USD"/>
    <n v="89000"/>
    <x v="725"/>
    <x v="0"/>
    <s v="USA"/>
    <x v="2"/>
    <x v="1"/>
    <n v="14"/>
  </r>
  <r>
    <x v="1493"/>
    <d v="2012-05-31T09:28:05"/>
    <n v="38000"/>
    <n v="38000"/>
    <s v="USD"/>
    <n v="38000"/>
    <x v="189"/>
    <x v="5"/>
    <s v="USA"/>
    <x v="2"/>
    <x v="0"/>
    <n v="11"/>
  </r>
  <r>
    <x v="1494"/>
    <d v="2012-05-31T09:45:09"/>
    <n v="50000"/>
    <n v="50000"/>
    <s v="CAD"/>
    <n v="49168.076151516347"/>
    <x v="12"/>
    <x v="0"/>
    <s v="Canada"/>
    <x v="17"/>
    <x v="0"/>
    <n v="3"/>
  </r>
  <r>
    <x v="1495"/>
    <d v="2012-05-31T10:29:42"/>
    <n v="500000"/>
    <n v="500000"/>
    <s v="INR"/>
    <n v="8903.9583437212841"/>
    <x v="703"/>
    <x v="0"/>
    <s v="India"/>
    <x v="0"/>
    <x v="0"/>
    <n v="8"/>
  </r>
  <r>
    <x v="1496"/>
    <d v="2012-05-31T10:33:07"/>
    <s v="10000 US$"/>
    <n v="10000"/>
    <s v="USD"/>
    <n v="10000"/>
    <x v="890"/>
    <x v="3"/>
    <s v="Vietnam"/>
    <x v="66"/>
    <x v="2"/>
    <n v="8"/>
  </r>
  <r>
    <x v="1497"/>
    <d v="2012-05-31T10:37:38"/>
    <n v="105000"/>
    <n v="105000"/>
    <s v="USD"/>
    <n v="105000"/>
    <x v="930"/>
    <x v="3"/>
    <s v="USA"/>
    <x v="2"/>
    <x v="3"/>
    <n v="30"/>
  </r>
  <r>
    <x v="1498"/>
    <d v="2012-05-31T10:54:48"/>
    <n v="1000"/>
    <n v="12000"/>
    <s v="USD"/>
    <n v="12000"/>
    <x v="655"/>
    <x v="0"/>
    <s v="MYS"/>
    <x v="73"/>
    <x v="2"/>
    <n v="0"/>
  </r>
  <r>
    <x v="1499"/>
    <d v="2012-05-31T11:08:38"/>
    <s v="Rs. 200000/-"/>
    <n v="200000"/>
    <s v="INR"/>
    <n v="3561.5833374885137"/>
    <x v="931"/>
    <x v="5"/>
    <s v="India"/>
    <x v="0"/>
    <x v="1"/>
    <n v="3"/>
  </r>
  <r>
    <x v="1500"/>
    <d v="2012-05-31T13:25:49"/>
    <s v="85,000 AUD"/>
    <n v="85000"/>
    <s v="AUD"/>
    <n v="86692.320794224041"/>
    <x v="932"/>
    <x v="0"/>
    <s v="Australia"/>
    <x v="16"/>
    <x v="3"/>
    <n v="5"/>
  </r>
  <r>
    <x v="1501"/>
    <d v="2012-05-31T16:00:16"/>
    <n v="8000"/>
    <n v="8000"/>
    <s v="USD"/>
    <n v="8000"/>
    <x v="288"/>
    <x v="4"/>
    <s v="India"/>
    <x v="0"/>
    <x v="0"/>
    <n v="18"/>
  </r>
  <r>
    <x v="1502"/>
    <d v="2012-05-31T16:10:28"/>
    <s v="Rs. 380000"/>
    <n v="380000"/>
    <s v="INR"/>
    <n v="6767.0083412281756"/>
    <x v="506"/>
    <x v="0"/>
    <s v="India"/>
    <x v="0"/>
    <x v="2"/>
    <n v="6"/>
  </r>
  <r>
    <x v="1503"/>
    <d v="2012-05-31T16:16:11"/>
    <s v="Â£30500"/>
    <n v="30500"/>
    <s v="GBP"/>
    <n v="48073.437298052166"/>
    <x v="933"/>
    <x v="8"/>
    <s v="UK"/>
    <x v="14"/>
    <x v="0"/>
    <n v="14"/>
  </r>
  <r>
    <x v="1504"/>
    <d v="2012-05-31T16:25:23"/>
    <s v="60K â‚¬"/>
    <n v="60000"/>
    <s v="EUR"/>
    <n v="76223.966339496474"/>
    <x v="934"/>
    <x v="3"/>
    <s v="NL"/>
    <x v="18"/>
    <x v="2"/>
    <n v="15"/>
  </r>
  <r>
    <x v="1505"/>
    <d v="2012-05-31T16:25:24"/>
    <n v="320000"/>
    <n v="320000"/>
    <s v="SAR"/>
    <n v="85333.333333333328"/>
    <x v="935"/>
    <x v="3"/>
    <s v="Saudi Arabia"/>
    <x v="22"/>
    <x v="2"/>
    <n v="15"/>
  </r>
  <r>
    <x v="1506"/>
    <d v="2012-05-31T16:30:09"/>
    <n v="48360"/>
    <n v="48360"/>
    <s v="GBP"/>
    <n v="76223.981237173866"/>
    <x v="936"/>
    <x v="3"/>
    <s v="UK"/>
    <x v="14"/>
    <x v="1"/>
    <n v="8"/>
  </r>
  <r>
    <x v="1507"/>
    <d v="2012-05-31T17:08:59"/>
    <n v="30000"/>
    <n v="30000"/>
    <s v="USD"/>
    <n v="30000"/>
    <x v="937"/>
    <x v="3"/>
    <s v="Pakistan"/>
    <x v="3"/>
    <x v="0"/>
    <n v="5"/>
  </r>
  <r>
    <x v="1508"/>
    <d v="2012-05-31T17:21:45"/>
    <n v="34000"/>
    <n v="34000"/>
    <s v="USD"/>
    <n v="34000"/>
    <x v="907"/>
    <x v="0"/>
    <s v="India"/>
    <x v="0"/>
    <x v="1"/>
    <n v="4"/>
  </r>
  <r>
    <x v="1509"/>
    <d v="2012-05-31T17:34:34"/>
    <s v="Rs. 180000"/>
    <n v="180000"/>
    <s v="INR"/>
    <n v="3205.4250037396623"/>
    <x v="938"/>
    <x v="3"/>
    <s v="India"/>
    <x v="0"/>
    <x v="0"/>
    <n v="5"/>
  </r>
  <r>
    <x v="1510"/>
    <d v="2012-05-31T17:35:33"/>
    <s v="45.000 USD"/>
    <n v="45000"/>
    <s v="USD"/>
    <n v="45000"/>
    <x v="939"/>
    <x v="3"/>
    <s v="Germany"/>
    <x v="5"/>
    <x v="2"/>
    <n v="5"/>
  </r>
  <r>
    <x v="1511"/>
    <d v="2012-05-31T18:35:30"/>
    <n v="24864"/>
    <n v="24864"/>
    <s v="USD"/>
    <n v="24864"/>
    <x v="940"/>
    <x v="3"/>
    <s v="Libya"/>
    <x v="89"/>
    <x v="1"/>
    <n v="8"/>
  </r>
  <r>
    <x v="1512"/>
    <d v="2012-05-31T19:51:29"/>
    <s v="Â£30000"/>
    <n v="30000"/>
    <s v="GBP"/>
    <n v="47285.348162018527"/>
    <x v="402"/>
    <x v="0"/>
    <s v="UK"/>
    <x v="14"/>
    <x v="0"/>
    <n v="7"/>
  </r>
  <r>
    <x v="1513"/>
    <d v="2012-05-31T20:13:27"/>
    <n v="1000000"/>
    <n v="1000000"/>
    <s v="INR"/>
    <n v="17807.916687442568"/>
    <x v="2"/>
    <x v="0"/>
    <s v="India"/>
    <x v="0"/>
    <x v="1"/>
    <n v="10"/>
  </r>
  <r>
    <x v="1514"/>
    <d v="2012-05-31T20:14:20"/>
    <s v="Â£35000"/>
    <n v="35000"/>
    <s v="GBP"/>
    <n v="55166.239522354947"/>
    <x v="109"/>
    <x v="0"/>
    <s v="UK"/>
    <x v="14"/>
    <x v="0"/>
    <n v="3"/>
  </r>
  <r>
    <x v="1515"/>
    <d v="2012-05-31T21:05:02"/>
    <s v="55000 EUR"/>
    <n v="55000"/>
    <s v="EUR"/>
    <n v="69871.969144538423"/>
    <x v="941"/>
    <x v="3"/>
    <s v="The Netherlands"/>
    <x v="18"/>
    <x v="3"/>
    <n v="5"/>
  </r>
  <r>
    <x v="1516"/>
    <d v="2012-05-31T21:06:45"/>
    <n v="70970"/>
    <n v="70970"/>
    <s v="USD"/>
    <n v="70970"/>
    <x v="942"/>
    <x v="0"/>
    <s v="USA"/>
    <x v="2"/>
    <x v="0"/>
    <n v="17"/>
  </r>
  <r>
    <x v="1517"/>
    <d v="2012-05-31T21:45:03"/>
    <s v="60000 EUR"/>
    <n v="60000"/>
    <s v="EUR"/>
    <n v="76223.966339496474"/>
    <x v="943"/>
    <x v="2"/>
    <s v="Netherlands"/>
    <x v="18"/>
    <x v="0"/>
    <n v="7"/>
  </r>
  <r>
    <x v="1518"/>
    <d v="2012-05-31T21:47:37"/>
    <n v="110000"/>
    <n v="110000"/>
    <s v="USD"/>
    <n v="110000"/>
    <x v="161"/>
    <x v="1"/>
    <s v="Norway"/>
    <x v="46"/>
    <x v="1"/>
    <n v="5"/>
  </r>
  <r>
    <x v="1519"/>
    <d v="2012-05-31T21:48:35"/>
    <n v="1200"/>
    <n v="14400"/>
    <s v="USD"/>
    <n v="14400"/>
    <x v="944"/>
    <x v="0"/>
    <s v="Bulgaria"/>
    <x v="90"/>
    <x v="1"/>
    <n v="15"/>
  </r>
  <r>
    <x v="1520"/>
    <d v="2012-05-31T22:05:03"/>
    <n v="125000"/>
    <n v="125000"/>
    <s v="USD"/>
    <n v="125000"/>
    <x v="35"/>
    <x v="8"/>
    <s v="USA"/>
    <x v="2"/>
    <x v="1"/>
    <n v="8"/>
  </r>
  <r>
    <x v="1521"/>
    <d v="2012-05-31T22:06:59"/>
    <n v="74000"/>
    <n v="74000"/>
    <s v="CAD"/>
    <n v="72768.752704244194"/>
    <x v="242"/>
    <x v="0"/>
    <s v="Canada"/>
    <x v="17"/>
    <x v="0"/>
    <n v="10"/>
  </r>
  <r>
    <x v="1522"/>
    <d v="2012-05-31T22:56:21"/>
    <s v="$59,000 USD"/>
    <n v="59000"/>
    <s v="USD"/>
    <n v="59000"/>
    <x v="945"/>
    <x v="3"/>
    <s v="USA"/>
    <x v="2"/>
    <x v="0"/>
    <n v="15"/>
  </r>
  <r>
    <x v="1523"/>
    <d v="2012-05-31T23:08:12"/>
    <n v="71500"/>
    <n v="71500"/>
    <s v="USD"/>
    <n v="71500"/>
    <x v="946"/>
    <x v="0"/>
    <s v="USA"/>
    <x v="2"/>
    <x v="0"/>
    <n v="5"/>
  </r>
  <r>
    <x v="1524"/>
    <d v="2012-05-31T23:09:08"/>
    <s v="Â£25000"/>
    <n v="25000"/>
    <s v="GBP"/>
    <n v="39404.456801682099"/>
    <x v="947"/>
    <x v="7"/>
    <s v="UK"/>
    <x v="14"/>
    <x v="0"/>
    <n v="2"/>
  </r>
  <r>
    <x v="1525"/>
    <d v="2012-05-31T23:10:44"/>
    <s v="70000 â‚¬"/>
    <n v="70000"/>
    <s v="EUR"/>
    <n v="88927.960729412545"/>
    <x v="948"/>
    <x v="6"/>
    <s v="Germany"/>
    <x v="5"/>
    <x v="3"/>
    <n v="5"/>
  </r>
  <r>
    <x v="1526"/>
    <d v="2012-05-31T23:48:36"/>
    <s v="USD90,000"/>
    <n v="90000"/>
    <s v="USD"/>
    <n v="90000"/>
    <x v="949"/>
    <x v="3"/>
    <s v="USA"/>
    <x v="2"/>
    <x v="0"/>
    <n v="25"/>
  </r>
  <r>
    <x v="1527"/>
    <d v="2012-06-01T00:02:34"/>
    <s v="Rs. 700000"/>
    <n v="700000"/>
    <s v="INR"/>
    <n v="12465.541681209797"/>
    <x v="950"/>
    <x v="3"/>
    <s v="India"/>
    <x v="0"/>
    <x v="1"/>
    <n v="30"/>
  </r>
  <r>
    <x v="1528"/>
    <d v="2012-06-01T00:18:35"/>
    <s v="$40,000 USD"/>
    <n v="40000"/>
    <s v="USD"/>
    <n v="40000"/>
    <x v="951"/>
    <x v="0"/>
    <s v="USA"/>
    <x v="2"/>
    <x v="0"/>
    <n v="8"/>
  </r>
  <r>
    <x v="1529"/>
    <d v="2012-06-01T00:23:54"/>
    <n v="30000"/>
    <n v="30000"/>
    <s v="USD"/>
    <n v="30000"/>
    <x v="952"/>
    <x v="0"/>
    <s v="India"/>
    <x v="0"/>
    <x v="1"/>
    <n v="4"/>
  </r>
  <r>
    <x v="1530"/>
    <d v="2012-06-01T01:29:02"/>
    <n v="46325"/>
    <n v="46325"/>
    <s v="USD"/>
    <n v="46325"/>
    <x v="953"/>
    <x v="1"/>
    <s v="USA"/>
    <x v="2"/>
    <x v="0"/>
    <n v="1"/>
  </r>
  <r>
    <x v="1531"/>
    <d v="2012-06-01T01:47:43"/>
    <n v="15000"/>
    <n v="15000"/>
    <s v="USD"/>
    <n v="15000"/>
    <x v="556"/>
    <x v="0"/>
    <s v="USA"/>
    <x v="2"/>
    <x v="1"/>
    <n v="8"/>
  </r>
  <r>
    <x v="1532"/>
    <d v="2012-06-01T02:33:02"/>
    <n v="31200"/>
    <n v="31200"/>
    <s v="USD"/>
    <n v="31200"/>
    <x v="79"/>
    <x v="0"/>
    <s v="USA"/>
    <x v="2"/>
    <x v="0"/>
    <n v="15"/>
  </r>
  <r>
    <x v="1533"/>
    <d v="2012-06-01T02:46:21"/>
    <s v="Rs. 500000"/>
    <n v="500000"/>
    <s v="INR"/>
    <n v="8903.9583437212841"/>
    <x v="140"/>
    <x v="0"/>
    <s v="India"/>
    <x v="0"/>
    <x v="0"/>
    <n v="9"/>
  </r>
  <r>
    <x v="1534"/>
    <d v="2012-06-01T03:01:04"/>
    <n v="1320"/>
    <n v="15840"/>
    <s v="USD"/>
    <n v="15840"/>
    <x v="954"/>
    <x v="0"/>
    <s v="Peru"/>
    <x v="91"/>
    <x v="1"/>
    <n v="8"/>
  </r>
  <r>
    <x v="1535"/>
    <d v="2012-06-01T03:07:31"/>
    <s v="INR 850000"/>
    <n v="850000"/>
    <s v="INR"/>
    <n v="15136.729184326183"/>
    <x v="126"/>
    <x v="0"/>
    <s v="India"/>
    <x v="0"/>
    <x v="0"/>
    <n v="5"/>
  </r>
  <r>
    <x v="1536"/>
    <d v="2012-06-01T04:10:52"/>
    <n v="41000"/>
    <n v="41000"/>
    <s v="USD"/>
    <n v="41000"/>
    <x v="666"/>
    <x v="8"/>
    <s v="USA"/>
    <x v="2"/>
    <x v="0"/>
    <n v="10"/>
  </r>
  <r>
    <x v="1537"/>
    <d v="2012-06-01T04:44:29"/>
    <n v="11000"/>
    <n v="11000"/>
    <s v="USD"/>
    <n v="11000"/>
    <x v="458"/>
    <x v="3"/>
    <s v="MÃ©xico"/>
    <x v="25"/>
    <x v="0"/>
    <n v="2"/>
  </r>
  <r>
    <x v="1538"/>
    <d v="2012-06-01T05:32:31"/>
    <s v="35000 GBP"/>
    <n v="35000"/>
    <s v="GBP"/>
    <n v="55166.239522354947"/>
    <x v="115"/>
    <x v="4"/>
    <s v="UK"/>
    <x v="14"/>
    <x v="2"/>
    <n v="30"/>
  </r>
  <r>
    <x v="1539"/>
    <d v="2012-06-01T05:37:32"/>
    <n v="240000"/>
    <n v="240000"/>
    <s v="PHP"/>
    <n v="5689.2125418690484"/>
    <x v="955"/>
    <x v="3"/>
    <s v="Philippines"/>
    <x v="32"/>
    <x v="0"/>
    <n v="15"/>
  </r>
  <r>
    <x v="1540"/>
    <d v="2012-06-01T05:52:11"/>
    <n v="17728.57"/>
    <n v="17728"/>
    <s v="USD"/>
    <n v="17728"/>
    <x v="2"/>
    <x v="0"/>
    <s v="Mexico"/>
    <x v="25"/>
    <x v="0"/>
    <n v="3"/>
  </r>
  <r>
    <x v="1541"/>
    <d v="2012-06-01T05:56:20"/>
    <s v="120000 MAD"/>
    <n v="120000"/>
    <s v="MAD"/>
    <n v="13745.704467353951"/>
    <x v="956"/>
    <x v="1"/>
    <s v="Morocco"/>
    <x v="92"/>
    <x v="1"/>
    <n v="8"/>
  </r>
  <r>
    <x v="1542"/>
    <d v="2012-06-01T06:17:19"/>
    <n v="50000"/>
    <n v="50000"/>
    <s v="USD"/>
    <n v="50000"/>
    <x v="764"/>
    <x v="5"/>
    <s v="USA"/>
    <x v="2"/>
    <x v="0"/>
    <n v="15"/>
  </r>
  <r>
    <x v="1543"/>
    <d v="2012-06-01T06:31:49"/>
    <n v="80000"/>
    <n v="80000"/>
    <s v="CAD"/>
    <n v="78668.921842426149"/>
    <x v="957"/>
    <x v="0"/>
    <s v="Canada"/>
    <x v="17"/>
    <x v="0"/>
    <n v="7"/>
  </r>
  <r>
    <x v="1544"/>
    <d v="2012-06-01T06:53:52"/>
    <n v="85000"/>
    <n v="85000"/>
    <s v="USD"/>
    <n v="85000"/>
    <x v="958"/>
    <x v="7"/>
    <s v="USA"/>
    <x v="2"/>
    <x v="0"/>
    <n v="10"/>
  </r>
  <r>
    <x v="1545"/>
    <d v="2012-06-01T07:22:36"/>
    <n v="100000"/>
    <n v="100000"/>
    <s v="AUD"/>
    <n v="101990.96564026357"/>
    <x v="224"/>
    <x v="3"/>
    <s v="Australia"/>
    <x v="16"/>
    <x v="0"/>
    <n v="20"/>
  </r>
  <r>
    <x v="1546"/>
    <d v="2012-06-01T08:06:34"/>
    <s v="5.65 lac per annum"/>
    <n v="5650000"/>
    <s v="INR"/>
    <n v="100614.72928405051"/>
    <x v="223"/>
    <x v="7"/>
    <s v="India"/>
    <x v="0"/>
    <x v="2"/>
    <n v="6"/>
  </r>
  <r>
    <x v="1547"/>
    <d v="2012-06-01T08:52:31"/>
    <n v="85000"/>
    <n v="85000"/>
    <s v="AUD"/>
    <n v="86692.320794224041"/>
    <x v="959"/>
    <x v="0"/>
    <s v="Australia"/>
    <x v="16"/>
    <x v="0"/>
    <n v="30"/>
  </r>
  <r>
    <x v="1548"/>
    <d v="2012-06-01T10:55:27"/>
    <s v="AU $120000"/>
    <n v="120000"/>
    <s v="AUD"/>
    <n v="122389.15876831629"/>
    <x v="506"/>
    <x v="0"/>
    <s v="Australia"/>
    <x v="16"/>
    <x v="2"/>
    <n v="5"/>
  </r>
  <r>
    <x v="1549"/>
    <d v="2012-06-01T10:57:59"/>
    <s v="30000 Rs"/>
    <n v="360000"/>
    <s v="INR"/>
    <n v="6410.8500074793246"/>
    <x v="960"/>
    <x v="3"/>
    <s v="India"/>
    <x v="0"/>
    <x v="2"/>
    <n v="8"/>
  </r>
  <r>
    <x v="1550"/>
    <d v="2012-06-01T13:03:18"/>
    <n v="44000"/>
    <n v="44000"/>
    <s v="USD"/>
    <n v="44000"/>
    <x v="961"/>
    <x v="0"/>
    <s v="USA"/>
    <x v="2"/>
    <x v="0"/>
    <n v="3.5"/>
  </r>
  <r>
    <x v="1551"/>
    <d v="2012-06-01T14:32:41"/>
    <n v="250000"/>
    <n v="250000"/>
    <s v="INR"/>
    <n v="4451.9791718606421"/>
    <x v="962"/>
    <x v="2"/>
    <s v="India"/>
    <x v="0"/>
    <x v="0"/>
    <n v="2.5"/>
  </r>
  <r>
    <x v="1552"/>
    <d v="2012-06-01T14:50:41"/>
    <n v="4500"/>
    <n v="4500"/>
    <s v="USD"/>
    <n v="4500"/>
    <x v="963"/>
    <x v="0"/>
    <s v="Pakistan"/>
    <x v="3"/>
    <x v="0"/>
    <n v="6"/>
  </r>
  <r>
    <x v="1553"/>
    <d v="2012-06-01T15:09:27"/>
    <n v="1700000"/>
    <n v="1700000"/>
    <s v="INR"/>
    <n v="30273.458368652366"/>
    <x v="964"/>
    <x v="4"/>
    <s v="India"/>
    <x v="0"/>
    <x v="0"/>
    <n v="6"/>
  </r>
  <r>
    <x v="1554"/>
    <d v="2012-06-01T15:39:20"/>
    <s v="U$52,000/annual"/>
    <n v="52000"/>
    <s v="USD"/>
    <n v="52000"/>
    <x v="328"/>
    <x v="0"/>
    <s v="USA"/>
    <x v="2"/>
    <x v="1"/>
    <n v="5"/>
  </r>
  <r>
    <x v="1555"/>
    <d v="2012-06-01T18:08:07"/>
    <s v="75000 $"/>
    <n v="75000"/>
    <s v="USD"/>
    <n v="75000"/>
    <x v="35"/>
    <x v="8"/>
    <s v="Germany"/>
    <x v="5"/>
    <x v="2"/>
    <n v="9"/>
  </r>
  <r>
    <x v="1556"/>
    <d v="2012-06-01T18:18:31"/>
    <s v="Rs 1000000"/>
    <n v="1000000"/>
    <s v="INR"/>
    <n v="17807.916687442568"/>
    <x v="49"/>
    <x v="0"/>
    <s v="India"/>
    <x v="0"/>
    <x v="1"/>
    <n v="4"/>
  </r>
  <r>
    <x v="1557"/>
    <d v="2012-06-01T18:58:42"/>
    <n v="177600"/>
    <n v="177600"/>
    <s v="USD"/>
    <n v="177600"/>
    <x v="189"/>
    <x v="5"/>
    <s v="Lesotho"/>
    <x v="93"/>
    <x v="0"/>
    <n v="6"/>
  </r>
  <r>
    <x v="1558"/>
    <d v="2012-06-01T19:42:46"/>
    <n v="650000"/>
    <n v="650000"/>
    <s v="INR"/>
    <n v="11575.14584683767"/>
    <x v="381"/>
    <x v="0"/>
    <s v="India"/>
    <x v="0"/>
    <x v="0"/>
    <n v="5"/>
  </r>
  <r>
    <x v="1559"/>
    <d v="2012-06-01T19:46:33"/>
    <s v="21000EUR"/>
    <n v="21000"/>
    <s v="EUR"/>
    <n v="26678.388218823762"/>
    <x v="965"/>
    <x v="3"/>
    <s v="Portugal"/>
    <x v="7"/>
    <x v="0"/>
    <n v="10"/>
  </r>
  <r>
    <x v="1560"/>
    <d v="2012-06-01T19:57:45"/>
    <s v="Â£80000"/>
    <n v="80000"/>
    <s v="GBP"/>
    <n v="126094.26176538273"/>
    <x v="966"/>
    <x v="8"/>
    <s v="UK"/>
    <x v="14"/>
    <x v="0"/>
    <n v="12"/>
  </r>
  <r>
    <x v="1561"/>
    <d v="2012-06-01T20:12:22"/>
    <s v="500 USD"/>
    <n v="6000"/>
    <s v="USD"/>
    <n v="6000"/>
    <x v="12"/>
    <x v="0"/>
    <s v="India"/>
    <x v="0"/>
    <x v="0"/>
    <n v="2"/>
  </r>
  <r>
    <x v="1562"/>
    <d v="2012-06-01T20:27:23"/>
    <n v="10000"/>
    <n v="10000"/>
    <s v="USD"/>
    <n v="10000"/>
    <x v="223"/>
    <x v="7"/>
    <s v="India"/>
    <x v="0"/>
    <x v="1"/>
    <n v="6"/>
  </r>
  <r>
    <x v="1563"/>
    <d v="2012-06-01T20:37:53"/>
    <n v="50000"/>
    <n v="50000"/>
    <s v="USD"/>
    <n v="50000"/>
    <x v="304"/>
    <x v="0"/>
    <s v="USA"/>
    <x v="2"/>
    <x v="1"/>
    <n v="2"/>
  </r>
  <r>
    <x v="1564"/>
    <d v="2012-06-01T20:38:57"/>
    <n v="10000"/>
    <n v="10000"/>
    <s v="USD"/>
    <n v="10000"/>
    <x v="967"/>
    <x v="3"/>
    <s v="India"/>
    <x v="0"/>
    <x v="1"/>
    <n v="12"/>
  </r>
  <r>
    <x v="1565"/>
    <d v="2012-06-01T20:53:08"/>
    <n v="50000"/>
    <n v="50000"/>
    <s v="USD"/>
    <n v="50000"/>
    <x v="968"/>
    <x v="0"/>
    <s v="USA"/>
    <x v="2"/>
    <x v="1"/>
    <n v="12"/>
  </r>
  <r>
    <x v="1566"/>
    <d v="2012-06-01T22:20:26"/>
    <s v="20000 $"/>
    <n v="20000"/>
    <s v="USD"/>
    <n v="20000"/>
    <x v="20"/>
    <x v="3"/>
    <s v="India"/>
    <x v="0"/>
    <x v="0"/>
    <n v="1"/>
  </r>
  <r>
    <x v="1567"/>
    <d v="2012-06-01T23:29:43"/>
    <s v="Â£20000"/>
    <n v="20000"/>
    <s v="GBP"/>
    <n v="31523.565441345683"/>
    <x v="242"/>
    <x v="0"/>
    <s v="UK"/>
    <x v="14"/>
    <x v="1"/>
    <n v="3"/>
  </r>
  <r>
    <x v="1568"/>
    <d v="2012-06-02T01:29:04"/>
    <s v="â‚¬ 50k"/>
    <n v="50000"/>
    <s v="EUR"/>
    <n v="63519.971949580387"/>
    <x v="236"/>
    <x v="1"/>
    <s v="Netherlands"/>
    <x v="18"/>
    <x v="0"/>
    <n v="10"/>
  </r>
  <r>
    <x v="1569"/>
    <d v="2012-06-02T01:43:24"/>
    <n v="2300"/>
    <n v="27600"/>
    <s v="EUR"/>
    <n v="35063.024516168378"/>
    <x v="236"/>
    <x v="1"/>
    <s v="Hungary"/>
    <x v="9"/>
    <x v="1"/>
    <n v="15"/>
  </r>
  <r>
    <x v="1570"/>
    <d v="2012-06-02T02:24:39"/>
    <n v="55000"/>
    <n v="55000"/>
    <s v="USD"/>
    <n v="55000"/>
    <x v="12"/>
    <x v="0"/>
    <s v="USA"/>
    <x v="2"/>
    <x v="0"/>
    <n v="2"/>
  </r>
  <r>
    <x v="1571"/>
    <d v="2012-06-02T02:28:30"/>
    <n v="38000"/>
    <n v="38000"/>
    <s v="USD"/>
    <n v="38000"/>
    <x v="12"/>
    <x v="0"/>
    <s v="USA"/>
    <x v="2"/>
    <x v="1"/>
    <n v="1"/>
  </r>
  <r>
    <x v="1572"/>
    <d v="2012-06-02T03:08:50"/>
    <n v="1800000"/>
    <n v="1800000"/>
    <s v="INR"/>
    <n v="32054.250037396621"/>
    <x v="5"/>
    <x v="0"/>
    <s v="India"/>
    <x v="0"/>
    <x v="1"/>
    <n v="1"/>
  </r>
  <r>
    <x v="1573"/>
    <d v="2012-06-02T03:13:57"/>
    <n v="35500"/>
    <n v="35500"/>
    <s v="USD"/>
    <n v="35500"/>
    <x v="969"/>
    <x v="0"/>
    <s v="USA"/>
    <x v="2"/>
    <x v="0"/>
    <n v="20"/>
  </r>
  <r>
    <x v="1574"/>
    <d v="2012-06-02T03:23:09"/>
    <n v="62000"/>
    <n v="62000"/>
    <s v="USD"/>
    <n v="62000"/>
    <x v="2"/>
    <x v="0"/>
    <s v="USA"/>
    <x v="2"/>
    <x v="2"/>
    <n v="5"/>
  </r>
  <r>
    <x v="1575"/>
    <d v="2012-06-02T03:29:19"/>
    <s v="Â£21500Uk"/>
    <n v="21500"/>
    <s v="GBP"/>
    <n v="33887.832849446611"/>
    <x v="79"/>
    <x v="0"/>
    <s v="UK"/>
    <x v="14"/>
    <x v="1"/>
    <n v="1"/>
  </r>
  <r>
    <x v="1576"/>
    <d v="2012-06-02T04:49:42"/>
    <n v="60000"/>
    <n v="60000"/>
    <s v="USD"/>
    <n v="60000"/>
    <x v="79"/>
    <x v="0"/>
    <s v="USA"/>
    <x v="2"/>
    <x v="2"/>
    <n v="1"/>
  </r>
  <r>
    <x v="1577"/>
    <d v="2012-06-02T06:21:45"/>
    <n v="32884.800000000003"/>
    <n v="32884"/>
    <s v="USD"/>
    <n v="32884"/>
    <x v="156"/>
    <x v="0"/>
    <s v="USA"/>
    <x v="2"/>
    <x v="1"/>
    <n v="10"/>
  </r>
  <r>
    <x v="1578"/>
    <d v="2012-06-02T06:31:21"/>
    <s v="42000 US"/>
    <n v="42000"/>
    <s v="USD"/>
    <n v="42000"/>
    <x v="970"/>
    <x v="0"/>
    <s v="USA"/>
    <x v="2"/>
    <x v="0"/>
    <n v="2"/>
  </r>
  <r>
    <x v="1579"/>
    <d v="2012-06-02T06:43:25"/>
    <n v="68000"/>
    <n v="68000"/>
    <s v="USD"/>
    <n v="68000"/>
    <x v="258"/>
    <x v="0"/>
    <s v="USA"/>
    <x v="2"/>
    <x v="0"/>
    <n v="12"/>
  </r>
  <r>
    <x v="1580"/>
    <d v="2012-06-02T07:42:02"/>
    <n v="85000"/>
    <n v="85000"/>
    <s v="USD"/>
    <n v="85000"/>
    <x v="38"/>
    <x v="5"/>
    <s v="USA"/>
    <x v="2"/>
    <x v="2"/>
    <n v="8"/>
  </r>
  <r>
    <x v="1581"/>
    <d v="2012-06-02T11:11:18"/>
    <s v="U$13,000"/>
    <n v="13000"/>
    <s v="USD"/>
    <n v="13000"/>
    <x v="971"/>
    <x v="0"/>
    <s v="Brazil"/>
    <x v="20"/>
    <x v="1"/>
    <n v="4"/>
  </r>
  <r>
    <x v="1582"/>
    <d v="2012-06-02T13:58:46"/>
    <n v="15000"/>
    <n v="15000"/>
    <s v="USD"/>
    <n v="15000"/>
    <x v="972"/>
    <x v="0"/>
    <s v="India"/>
    <x v="0"/>
    <x v="0"/>
    <n v="5"/>
  </r>
  <r>
    <x v="1583"/>
    <d v="2012-06-02T17:34:20"/>
    <s v="50000USD"/>
    <n v="50000"/>
    <s v="USD"/>
    <n v="50000"/>
    <x v="973"/>
    <x v="4"/>
    <s v="India"/>
    <x v="0"/>
    <x v="3"/>
    <n v="8"/>
  </r>
  <r>
    <x v="1584"/>
    <d v="2012-06-02T18:47:32"/>
    <n v="7000"/>
    <n v="7000"/>
    <s v="USD"/>
    <n v="7000"/>
    <x v="974"/>
    <x v="7"/>
    <s v="India"/>
    <x v="0"/>
    <x v="0"/>
    <n v="1"/>
  </r>
  <r>
    <x v="1585"/>
    <d v="2012-06-02T19:14:35"/>
    <n v="140000"/>
    <n v="140000"/>
    <s v="USD"/>
    <n v="140000"/>
    <x v="619"/>
    <x v="3"/>
    <s v="USA"/>
    <x v="2"/>
    <x v="0"/>
    <n v="12"/>
  </r>
  <r>
    <x v="1586"/>
    <d v="2012-06-02T20:50:40"/>
    <n v="400000"/>
    <n v="400000"/>
    <s v="INR"/>
    <n v="7123.1666749770275"/>
    <x v="975"/>
    <x v="0"/>
    <s v="India"/>
    <x v="0"/>
    <x v="3"/>
    <n v="2.5"/>
  </r>
  <r>
    <x v="1587"/>
    <d v="2012-06-02T20:52:59"/>
    <s v="37000GBP"/>
    <n v="37000"/>
    <s v="GBP"/>
    <n v="58318.59606648951"/>
    <x v="976"/>
    <x v="0"/>
    <s v="UK"/>
    <x v="14"/>
    <x v="0"/>
    <n v="9"/>
  </r>
  <r>
    <x v="1588"/>
    <d v="2012-06-02T21:42:42"/>
    <s v="6.8 Lac INR"/>
    <n v="680000"/>
    <s v="INR"/>
    <n v="12109.383347460946"/>
    <x v="398"/>
    <x v="3"/>
    <s v="India"/>
    <x v="0"/>
    <x v="3"/>
    <n v="2"/>
  </r>
  <r>
    <x v="1589"/>
    <d v="2012-06-02T22:33:32"/>
    <n v="55000"/>
    <n v="55000"/>
    <s v="USD"/>
    <n v="55000"/>
    <x v="258"/>
    <x v="0"/>
    <s v="USA"/>
    <x v="2"/>
    <x v="0"/>
    <n v="1"/>
  </r>
  <r>
    <x v="1590"/>
    <d v="2012-06-02T22:38:56"/>
    <n v="60000"/>
    <n v="60000"/>
    <s v="USD"/>
    <n v="60000"/>
    <x v="977"/>
    <x v="3"/>
    <s v="Indonesia"/>
    <x v="55"/>
    <x v="2"/>
    <n v="16"/>
  </r>
  <r>
    <x v="1591"/>
    <d v="2012-06-03T01:33:57"/>
    <n v="320000"/>
    <n v="320000"/>
    <s v="INR"/>
    <n v="5698.5333399816218"/>
    <x v="451"/>
    <x v="3"/>
    <s v="India"/>
    <x v="0"/>
    <x v="0"/>
    <n v="5"/>
  </r>
  <r>
    <x v="1592"/>
    <d v="2012-06-03T01:36:43"/>
    <s v="24 K mauritian Rupees"/>
    <n v="288000"/>
    <s v="MUR"/>
    <n v="9376.2513877177607"/>
    <x v="978"/>
    <x v="2"/>
    <s v="Mauritius"/>
    <x v="94"/>
    <x v="0"/>
    <n v="7"/>
  </r>
  <r>
    <x v="1593"/>
    <d v="2012-06-03T02:06:44"/>
    <s v="Â£60000"/>
    <n v="60000"/>
    <s v="GBP"/>
    <n v="94570.696324037053"/>
    <x v="79"/>
    <x v="0"/>
    <s v="UK"/>
    <x v="14"/>
    <x v="0"/>
    <n v="5"/>
  </r>
  <r>
    <x v="1594"/>
    <d v="2012-06-03T02:54:32"/>
    <n v="36000"/>
    <n v="36000"/>
    <s v="USD"/>
    <n v="36000"/>
    <x v="979"/>
    <x v="8"/>
    <s v="Azerbaijan"/>
    <x v="95"/>
    <x v="0"/>
    <n v="5"/>
  </r>
  <r>
    <x v="1595"/>
    <d v="2012-06-03T04:14:45"/>
    <s v="Rs. 3.70 lacs"/>
    <n v="3700000"/>
    <s v="INR"/>
    <n v="65889.291743537498"/>
    <x v="980"/>
    <x v="3"/>
    <s v="India"/>
    <x v="0"/>
    <x v="1"/>
    <n v="4"/>
  </r>
  <r>
    <x v="1596"/>
    <d v="2012-06-03T04:42:54"/>
    <n v="106000"/>
    <n v="106000"/>
    <s v="USD"/>
    <n v="106000"/>
    <x v="981"/>
    <x v="0"/>
    <s v="Denmark"/>
    <x v="61"/>
    <x v="3"/>
    <n v="7"/>
  </r>
  <r>
    <x v="1597"/>
    <d v="2012-06-03T07:16:47"/>
    <s v="485000 DKK"/>
    <n v="485000"/>
    <s v="DKK"/>
    <n v="82888.5550559455"/>
    <x v="236"/>
    <x v="1"/>
    <s v="Denmark"/>
    <x v="61"/>
    <x v="0"/>
    <n v="18"/>
  </r>
  <r>
    <x v="1598"/>
    <d v="2012-06-03T09:42:40"/>
    <n v="75000"/>
    <n v="75000"/>
    <s v="NZD"/>
    <n v="59819.107020370408"/>
    <x v="982"/>
    <x v="0"/>
    <s v="New zealand"/>
    <x v="48"/>
    <x v="2"/>
    <n v="10"/>
  </r>
  <r>
    <x v="1599"/>
    <d v="2012-06-03T10:10:43"/>
    <n v="6545"/>
    <n v="6545"/>
    <s v="USD"/>
    <n v="6545"/>
    <x v="428"/>
    <x v="3"/>
    <s v="India"/>
    <x v="0"/>
    <x v="1"/>
    <n v="9"/>
  </r>
  <r>
    <x v="1600"/>
    <d v="2012-06-03T12:09:27"/>
    <s v="10 lacs INR"/>
    <n v="1000000"/>
    <s v="INR"/>
    <n v="17807.916687442568"/>
    <x v="198"/>
    <x v="3"/>
    <s v="India"/>
    <x v="0"/>
    <x v="2"/>
    <n v="13"/>
  </r>
  <r>
    <x v="1601"/>
    <d v="2012-06-03T12:16:15"/>
    <n v="54000"/>
    <n v="54000"/>
    <s v="USD"/>
    <n v="54000"/>
    <x v="983"/>
    <x v="4"/>
    <s v="USA"/>
    <x v="2"/>
    <x v="0"/>
    <n v="10"/>
  </r>
  <r>
    <x v="1602"/>
    <d v="2012-06-03T12:27:07"/>
    <n v="100000"/>
    <n v="100000"/>
    <s v="USD"/>
    <n v="100000"/>
    <x v="35"/>
    <x v="8"/>
    <s v="USA"/>
    <x v="2"/>
    <x v="2"/>
    <n v="4"/>
  </r>
  <r>
    <x v="1603"/>
    <d v="2012-06-03T13:30:47"/>
    <n v="50000"/>
    <n v="50000"/>
    <s v="CAD"/>
    <n v="49168.076151516347"/>
    <x v="556"/>
    <x v="0"/>
    <s v="Canada"/>
    <x v="17"/>
    <x v="0"/>
    <n v="5"/>
  </r>
  <r>
    <x v="1604"/>
    <d v="2012-06-03T14:27:29"/>
    <n v="4019"/>
    <n v="4019"/>
    <s v="USD"/>
    <n v="4019"/>
    <x v="984"/>
    <x v="6"/>
    <s v="Philippines"/>
    <x v="32"/>
    <x v="2"/>
    <n v="3"/>
  </r>
  <r>
    <x v="1605"/>
    <d v="2012-06-03T14:34:56"/>
    <n v="15000"/>
    <n v="15000"/>
    <s v="USD"/>
    <n v="15000"/>
    <x v="985"/>
    <x v="0"/>
    <s v="Pakistan"/>
    <x v="3"/>
    <x v="0"/>
    <n v="5"/>
  </r>
  <r>
    <x v="1606"/>
    <d v="2012-06-03T14:52:21"/>
    <s v="INR 1000000"/>
    <n v="1000000"/>
    <s v="INR"/>
    <n v="17807.916687442568"/>
    <x v="986"/>
    <x v="0"/>
    <s v="India"/>
    <x v="0"/>
    <x v="1"/>
    <n v="4"/>
  </r>
  <r>
    <x v="1607"/>
    <d v="2012-06-03T16:48:54"/>
    <n v="12000"/>
    <n v="12000"/>
    <s v="USD"/>
    <n v="12000"/>
    <x v="488"/>
    <x v="7"/>
    <s v="India"/>
    <x v="0"/>
    <x v="1"/>
    <n v="3"/>
  </r>
  <r>
    <x v="1608"/>
    <d v="2012-06-03T17:39:14"/>
    <s v="Rs. 125000"/>
    <n v="125000"/>
    <s v="INR"/>
    <n v="2225.989585930321"/>
    <x v="987"/>
    <x v="0"/>
    <s v="India"/>
    <x v="0"/>
    <x v="2"/>
    <n v="4"/>
  </r>
  <r>
    <x v="1609"/>
    <d v="2012-06-03T19:40:18"/>
    <n v="86000"/>
    <n v="86000"/>
    <s v="USD"/>
    <n v="86000"/>
    <x v="5"/>
    <x v="0"/>
    <s v="Philippines"/>
    <x v="32"/>
    <x v="1"/>
    <n v="3"/>
  </r>
  <r>
    <x v="1610"/>
    <d v="2012-06-04T01:45:03"/>
    <n v="340000"/>
    <n v="340000"/>
    <s v="INR"/>
    <n v="6054.6916737304728"/>
    <x v="592"/>
    <x v="3"/>
    <s v="India"/>
    <x v="0"/>
    <x v="0"/>
    <n v="5"/>
  </r>
  <r>
    <x v="1611"/>
    <d v="2012-06-04T02:03:53"/>
    <s v="280$/ month"/>
    <n v="3360"/>
    <s v="USD"/>
    <n v="3360"/>
    <x v="988"/>
    <x v="0"/>
    <s v="India"/>
    <x v="0"/>
    <x v="3"/>
    <n v="3"/>
  </r>
  <r>
    <x v="1612"/>
    <d v="2012-06-04T02:30:11"/>
    <n v="10000"/>
    <n v="10000"/>
    <s v="USD"/>
    <n v="10000"/>
    <x v="286"/>
    <x v="4"/>
    <s v="India"/>
    <x v="0"/>
    <x v="1"/>
    <n v="1"/>
  </r>
  <r>
    <x v="1613"/>
    <d v="2012-06-04T04:31:53"/>
    <n v="70000"/>
    <n v="70000"/>
    <s v="USD"/>
    <n v="70000"/>
    <x v="159"/>
    <x v="0"/>
    <s v="USA"/>
    <x v="2"/>
    <x v="0"/>
    <n v="9"/>
  </r>
  <r>
    <x v="1614"/>
    <d v="2012-06-04T09:49:44"/>
    <n v="155000"/>
    <n v="155000"/>
    <s v="USD"/>
    <n v="155000"/>
    <x v="989"/>
    <x v="3"/>
    <s v="USA"/>
    <x v="2"/>
    <x v="3"/>
    <n v="14"/>
  </r>
  <r>
    <x v="1615"/>
    <d v="2012-06-04T10:23:27"/>
    <n v="225000"/>
    <n v="225000"/>
    <s v="USD"/>
    <n v="225000"/>
    <x v="990"/>
    <x v="4"/>
    <s v="USA"/>
    <x v="2"/>
    <x v="0"/>
    <n v="15"/>
  </r>
  <r>
    <x v="1616"/>
    <d v="2012-06-04T12:22:05"/>
    <n v="10000"/>
    <n v="10000"/>
    <s v="USD"/>
    <n v="10000"/>
    <x v="442"/>
    <x v="7"/>
    <s v="India"/>
    <x v="0"/>
    <x v="1"/>
    <n v="2"/>
  </r>
  <r>
    <x v="1617"/>
    <d v="2012-06-04T12:58:06"/>
    <n v="300000"/>
    <n v="300000"/>
    <s v="INR"/>
    <n v="5342.3750062327708"/>
    <x v="991"/>
    <x v="0"/>
    <s v="India"/>
    <x v="0"/>
    <x v="0"/>
    <n v="8"/>
  </r>
  <r>
    <x v="1618"/>
    <d v="2012-06-04T13:30:51"/>
    <n v="84000"/>
    <n v="84000"/>
    <s v="AUD"/>
    <n v="85672.4111378214"/>
    <x v="35"/>
    <x v="8"/>
    <s v="Australia"/>
    <x v="16"/>
    <x v="0"/>
    <n v="6"/>
  </r>
  <r>
    <x v="1619"/>
    <d v="2012-06-04T14:25:45"/>
    <s v="240000 INR"/>
    <n v="240000"/>
    <s v="INR"/>
    <n v="4273.9000049862161"/>
    <x v="992"/>
    <x v="1"/>
    <s v="India"/>
    <x v="0"/>
    <x v="2"/>
    <n v="15"/>
  </r>
  <r>
    <x v="1620"/>
    <d v="2012-06-04T16:31:09"/>
    <s v="Rs. 5 lacs"/>
    <n v="500000"/>
    <s v="INR"/>
    <n v="8903.9583437212841"/>
    <x v="473"/>
    <x v="3"/>
    <s v="India"/>
    <x v="0"/>
    <x v="1"/>
    <n v="20"/>
  </r>
  <r>
    <x v="1621"/>
    <d v="2012-06-04T18:03:21"/>
    <n v="42000"/>
    <n v="42000"/>
    <s v="GBP"/>
    <n v="66199.48742682593"/>
    <x v="224"/>
    <x v="3"/>
    <s v="UK"/>
    <x v="14"/>
    <x v="0"/>
    <n v="23"/>
  </r>
  <r>
    <x v="1622"/>
    <d v="2012-06-04T18:55:54"/>
    <s v="INR 3.2 lpa"/>
    <n v="320000"/>
    <s v="INR"/>
    <n v="5698.5333399816218"/>
    <x v="399"/>
    <x v="0"/>
    <s v="India"/>
    <x v="0"/>
    <x v="0"/>
    <n v="2.5"/>
  </r>
  <r>
    <x v="1623"/>
    <d v="2012-06-04T19:11:18"/>
    <s v="Â£22k"/>
    <n v="22000"/>
    <s v="GBP"/>
    <n v="34675.92198548025"/>
    <x v="993"/>
    <x v="3"/>
    <s v="UK"/>
    <x v="14"/>
    <x v="0"/>
    <n v="17"/>
  </r>
  <r>
    <x v="1624"/>
    <d v="2012-06-04T19:46:09"/>
    <s v="2600 $"/>
    <n v="31200"/>
    <s v="USD"/>
    <n v="31200"/>
    <x v="294"/>
    <x v="7"/>
    <s v="ISRAEL"/>
    <x v="34"/>
    <x v="1"/>
    <n v="11"/>
  </r>
  <r>
    <x v="1625"/>
    <d v="2012-06-04T21:43:15"/>
    <n v="56000"/>
    <n v="56000"/>
    <s v="CAD"/>
    <n v="55068.245289698301"/>
    <x v="35"/>
    <x v="8"/>
    <s v="Canada"/>
    <x v="17"/>
    <x v="1"/>
    <n v="1"/>
  </r>
  <r>
    <x v="1626"/>
    <d v="2012-06-04T22:16:00"/>
    <n v="13000"/>
    <n v="13000"/>
    <s v="USD"/>
    <n v="13000"/>
    <x v="504"/>
    <x v="0"/>
    <s v="Slovakia"/>
    <x v="96"/>
    <x v="1"/>
    <n v="6"/>
  </r>
  <r>
    <x v="1627"/>
    <d v="2012-06-04T23:00:10"/>
    <n v="92000"/>
    <n v="92000"/>
    <s v="USD"/>
    <n v="92000"/>
    <x v="994"/>
    <x v="7"/>
    <s v="USA"/>
    <x v="2"/>
    <x v="2"/>
    <n v="12"/>
  </r>
  <r>
    <x v="1628"/>
    <d v="2012-06-04T23:18:41"/>
    <n v="85000"/>
    <n v="85000"/>
    <s v="USD"/>
    <n v="85000"/>
    <x v="619"/>
    <x v="3"/>
    <s v="USA"/>
    <x v="2"/>
    <x v="1"/>
    <n v="10"/>
  </r>
  <r>
    <x v="1629"/>
    <d v="2012-06-04T23:38:42"/>
    <s v="11000 USD"/>
    <n v="11000"/>
    <s v="USD"/>
    <n v="11000"/>
    <x v="995"/>
    <x v="0"/>
    <s v="Tunisia"/>
    <x v="97"/>
    <x v="0"/>
    <n v="8"/>
  </r>
  <r>
    <x v="1630"/>
    <d v="2012-06-04T23:38:47"/>
    <s v="30000 â‚¬"/>
    <n v="30000"/>
    <s v="EUR"/>
    <n v="38111.983169748237"/>
    <x v="996"/>
    <x v="0"/>
    <s v="Spain"/>
    <x v="47"/>
    <x v="3"/>
    <n v="12"/>
  </r>
  <r>
    <x v="1631"/>
    <d v="2012-06-04T23:41:47"/>
    <n v="49000"/>
    <n v="49000"/>
    <s v="USD"/>
    <n v="49000"/>
    <x v="997"/>
    <x v="0"/>
    <s v="USA"/>
    <x v="2"/>
    <x v="2"/>
    <n v="3"/>
  </r>
  <r>
    <x v="1632"/>
    <d v="2012-06-05T00:22:14"/>
    <n v="59000"/>
    <n v="59000"/>
    <s v="USD"/>
    <n v="59000"/>
    <x v="998"/>
    <x v="3"/>
    <s v="USA"/>
    <x v="2"/>
    <x v="3"/>
    <n v="3"/>
  </r>
  <r>
    <x v="1633"/>
    <d v="2012-06-05T02:03:48"/>
    <n v="55000"/>
    <n v="55000"/>
    <s v="USD"/>
    <n v="55000"/>
    <x v="999"/>
    <x v="0"/>
    <s v="USA"/>
    <x v="2"/>
    <x v="0"/>
    <n v="15"/>
  </r>
  <r>
    <x v="1634"/>
    <d v="2012-06-05T02:21:01"/>
    <n v="75000"/>
    <n v="75000"/>
    <s v="USD"/>
    <n v="75000"/>
    <x v="189"/>
    <x v="5"/>
    <s v="USA"/>
    <x v="2"/>
    <x v="0"/>
    <n v="10"/>
  </r>
  <r>
    <x v="1635"/>
    <d v="2012-06-05T03:50:02"/>
    <n v="3300"/>
    <n v="39600"/>
    <s v="EUR"/>
    <n v="50307.817784067665"/>
    <x v="1000"/>
    <x v="3"/>
    <s v="Europe"/>
    <x v="87"/>
    <x v="3"/>
    <n v="5"/>
  </r>
  <r>
    <x v="1636"/>
    <d v="2012-06-05T03:55:36"/>
    <s v="US$ 30500"/>
    <n v="30500"/>
    <s v="USD"/>
    <n v="30500"/>
    <x v="2"/>
    <x v="0"/>
    <s v="Brazil"/>
    <x v="20"/>
    <x v="1"/>
    <n v="8"/>
  </r>
  <r>
    <x v="1637"/>
    <d v="2012-06-05T04:06:09"/>
    <n v="80000"/>
    <n v="80000"/>
    <s v="USD"/>
    <n v="80000"/>
    <x v="1001"/>
    <x v="6"/>
    <s v="USA"/>
    <x v="2"/>
    <x v="2"/>
    <n v="2"/>
  </r>
  <r>
    <x v="1638"/>
    <d v="2012-06-05T05:03:04"/>
    <n v="1000"/>
    <n v="12000"/>
    <s v="USD"/>
    <n v="12000"/>
    <x v="1002"/>
    <x v="0"/>
    <s v="USA"/>
    <x v="2"/>
    <x v="2"/>
    <n v="1"/>
  </r>
  <r>
    <x v="1639"/>
    <d v="2012-06-05T05:03:20"/>
    <n v="48500"/>
    <n v="48500"/>
    <s v="USD"/>
    <n v="48500"/>
    <x v="1003"/>
    <x v="0"/>
    <s v="USA"/>
    <x v="2"/>
    <x v="0"/>
    <n v="6"/>
  </r>
  <r>
    <x v="1640"/>
    <d v="2012-06-05T06:51:36"/>
    <s v="Â£40000"/>
    <n v="40000"/>
    <s v="GBP"/>
    <n v="63047.130882691366"/>
    <x v="1004"/>
    <x v="6"/>
    <s v="UK"/>
    <x v="14"/>
    <x v="2"/>
    <n v="25"/>
  </r>
  <r>
    <x v="1641"/>
    <d v="2012-06-05T07:05:12"/>
    <s v="Rs 16000"/>
    <n v="192000"/>
    <s v="INR"/>
    <n v="3419.1200039889732"/>
    <x v="498"/>
    <x v="0"/>
    <s v="India"/>
    <x v="0"/>
    <x v="0"/>
    <n v="5"/>
  </r>
  <r>
    <x v="1642"/>
    <d v="2012-06-05T10:43:34"/>
    <n v="110000"/>
    <n v="110000"/>
    <s v="NZD"/>
    <n v="87734.690296543267"/>
    <x v="1005"/>
    <x v="3"/>
    <s v="New Zealand"/>
    <x v="48"/>
    <x v="0"/>
    <n v="6"/>
  </r>
  <r>
    <x v="1643"/>
    <d v="2012-06-05T12:42:38"/>
    <s v="NZD$71000"/>
    <n v="71000"/>
    <s v="NZD"/>
    <n v="56628.754645950656"/>
    <x v="12"/>
    <x v="0"/>
    <s v="NZ"/>
    <x v="48"/>
    <x v="1"/>
    <n v="6"/>
  </r>
  <r>
    <x v="1644"/>
    <d v="2012-06-05T17:59:39"/>
    <s v="INR 450000"/>
    <n v="450000"/>
    <s v="INR"/>
    <n v="8013.5625093491553"/>
    <x v="1006"/>
    <x v="7"/>
    <s v="India"/>
    <x v="0"/>
    <x v="1"/>
    <n v="4"/>
  </r>
  <r>
    <x v="1645"/>
    <d v="2012-06-05T18:31:59"/>
    <s v="200000 INR"/>
    <n v="200000"/>
    <s v="INR"/>
    <n v="3561.5833374885137"/>
    <x v="444"/>
    <x v="0"/>
    <s v="India"/>
    <x v="0"/>
    <x v="3"/>
    <n v="16"/>
  </r>
  <r>
    <x v="1646"/>
    <d v="2012-06-05T19:14:04"/>
    <n v="62000"/>
    <n v="62000"/>
    <s v="USD"/>
    <n v="62000"/>
    <x v="4"/>
    <x v="2"/>
    <s v="USA"/>
    <x v="2"/>
    <x v="2"/>
    <n v="12"/>
  </r>
  <r>
    <x v="1647"/>
    <d v="2012-06-05T19:16:03"/>
    <n v="21000"/>
    <n v="21000"/>
    <s v="EUR"/>
    <n v="26678.388218823762"/>
    <x v="712"/>
    <x v="0"/>
    <s v="Portugal"/>
    <x v="7"/>
    <x v="0"/>
    <n v="5"/>
  </r>
  <r>
    <x v="1648"/>
    <d v="2012-06-05T19:37:13"/>
    <s v="Â£45000"/>
    <n v="45000"/>
    <s v="GBP"/>
    <n v="70928.022243027779"/>
    <x v="79"/>
    <x v="0"/>
    <s v="UK"/>
    <x v="14"/>
    <x v="1"/>
    <n v="5"/>
  </r>
  <r>
    <x v="1649"/>
    <d v="2012-06-05T19:59:35"/>
    <n v="33000"/>
    <n v="33000"/>
    <s v="EUR"/>
    <n v="41923.181486723057"/>
    <x v="414"/>
    <x v="0"/>
    <s v="france"/>
    <x v="19"/>
    <x v="0"/>
    <n v="6"/>
  </r>
  <r>
    <x v="1650"/>
    <d v="2012-06-05T20:43:21"/>
    <n v="90000"/>
    <n v="90000"/>
    <s v="USD"/>
    <n v="90000"/>
    <x v="1007"/>
    <x v="0"/>
    <s v="USA"/>
    <x v="2"/>
    <x v="2"/>
    <n v="8"/>
  </r>
  <r>
    <x v="1651"/>
    <d v="2012-06-05T21:07:16"/>
    <s v="400 000 NOK"/>
    <n v="400000"/>
    <s v="NOK"/>
    <n v="67700.452577525488"/>
    <x v="1008"/>
    <x v="0"/>
    <s v="Norway"/>
    <x v="46"/>
    <x v="1"/>
    <n v="5"/>
  </r>
  <r>
    <x v="1652"/>
    <d v="2012-06-05T21:33:47"/>
    <n v="85000"/>
    <n v="85000"/>
    <s v="USD"/>
    <n v="85000"/>
    <x v="2"/>
    <x v="0"/>
    <s v="USA"/>
    <x v="2"/>
    <x v="0"/>
    <n v="12"/>
  </r>
  <r>
    <x v="1653"/>
    <d v="2012-06-05T21:49:10"/>
    <n v="50000"/>
    <n v="50000"/>
    <s v="GBP"/>
    <n v="78808.913603364199"/>
    <x v="593"/>
    <x v="4"/>
    <s v="UK"/>
    <x v="14"/>
    <x v="0"/>
    <n v="10"/>
  </r>
  <r>
    <x v="1654"/>
    <d v="2012-06-05T21:59:40"/>
    <n v="65000"/>
    <n v="65000"/>
    <s v="USD"/>
    <n v="65000"/>
    <x v="12"/>
    <x v="0"/>
    <s v="USA"/>
    <x v="2"/>
    <x v="0"/>
    <n v="8"/>
  </r>
  <r>
    <x v="1655"/>
    <d v="2012-06-05T22:05:10"/>
    <n v="75000"/>
    <n v="75000"/>
    <s v="USD"/>
    <n v="75000"/>
    <x v="1009"/>
    <x v="4"/>
    <s v="USA"/>
    <x v="2"/>
    <x v="2"/>
    <n v="3"/>
  </r>
  <r>
    <x v="1656"/>
    <d v="2012-06-05T22:44:27"/>
    <n v="92000"/>
    <n v="92000"/>
    <s v="USD"/>
    <n v="92000"/>
    <x v="1010"/>
    <x v="0"/>
    <s v="USA"/>
    <x v="2"/>
    <x v="0"/>
    <n v="9"/>
  </r>
  <r>
    <x v="1657"/>
    <d v="2012-06-05T22:50:20"/>
    <n v="40000"/>
    <n v="40000"/>
    <s v="EUR"/>
    <n v="50815.977559664309"/>
    <x v="2"/>
    <x v="0"/>
    <s v="Germany"/>
    <x v="5"/>
    <x v="2"/>
    <n v="3"/>
  </r>
  <r>
    <x v="1658"/>
    <d v="2012-06-05T23:09:44"/>
    <s v="Â£35500"/>
    <n v="35500"/>
    <s v="GBP"/>
    <n v="55954.328658388586"/>
    <x v="724"/>
    <x v="5"/>
    <s v="UK"/>
    <x v="14"/>
    <x v="0"/>
    <n v="8"/>
  </r>
  <r>
    <x v="1659"/>
    <d v="2012-06-06T00:49:15"/>
    <n v="45000"/>
    <n v="45000"/>
    <s v="USD"/>
    <n v="45000"/>
    <x v="1011"/>
    <x v="0"/>
    <s v="USA"/>
    <x v="2"/>
    <x v="2"/>
    <n v="4"/>
  </r>
  <r>
    <x v="1660"/>
    <d v="2012-06-06T01:04:35"/>
    <s v="4 lacs INR"/>
    <n v="400000"/>
    <s v="INR"/>
    <n v="7123.1666749770275"/>
    <x v="5"/>
    <x v="0"/>
    <s v="India"/>
    <x v="0"/>
    <x v="0"/>
    <n v="4"/>
  </r>
  <r>
    <x v="1661"/>
    <d v="2012-06-06T01:26:56"/>
    <s v="38920EUR"/>
    <n v="38920"/>
    <s v="EUR"/>
    <n v="49443.946165553374"/>
    <x v="1012"/>
    <x v="0"/>
    <s v="Belgium"/>
    <x v="12"/>
    <x v="0"/>
    <n v="1.5"/>
  </r>
  <r>
    <x v="1662"/>
    <d v="2012-06-06T01:41:40"/>
    <s v="US$45,000"/>
    <n v="45000"/>
    <s v="USD"/>
    <n v="45000"/>
    <x v="8"/>
    <x v="4"/>
    <s v="Mexico"/>
    <x v="25"/>
    <x v="0"/>
    <n v="5"/>
  </r>
  <r>
    <x v="1663"/>
    <d v="2012-06-06T02:11:58"/>
    <s v="US$60000"/>
    <n v="60000"/>
    <s v="USD"/>
    <n v="60000"/>
    <x v="5"/>
    <x v="0"/>
    <s v="USA"/>
    <x v="2"/>
    <x v="1"/>
    <n v="1"/>
  </r>
  <r>
    <x v="1664"/>
    <d v="2012-06-06T02:17:14"/>
    <n v="65000"/>
    <n v="65000"/>
    <s v="USD"/>
    <n v="65000"/>
    <x v="1013"/>
    <x v="0"/>
    <s v="USA"/>
    <x v="2"/>
    <x v="1"/>
    <n v="4"/>
  </r>
  <r>
    <x v="1665"/>
    <d v="2012-06-06T03:14:56"/>
    <n v="73000"/>
    <n v="73000"/>
    <s v="USD"/>
    <n v="73000"/>
    <x v="1014"/>
    <x v="3"/>
    <s v="USA"/>
    <x v="2"/>
    <x v="2"/>
    <n v="6"/>
  </r>
  <r>
    <x v="1666"/>
    <d v="2012-06-06T04:00:52"/>
    <n v="54000"/>
    <n v="54000"/>
    <s v="USD"/>
    <n v="54000"/>
    <x v="188"/>
    <x v="0"/>
    <s v="USA"/>
    <x v="2"/>
    <x v="1"/>
    <n v="6"/>
  </r>
  <r>
    <x v="1667"/>
    <d v="2012-06-06T05:52:59"/>
    <n v="81000"/>
    <n v="81000"/>
    <s v="USD"/>
    <n v="81000"/>
    <x v="1015"/>
    <x v="0"/>
    <s v="USA"/>
    <x v="2"/>
    <x v="0"/>
    <n v="6"/>
  </r>
  <r>
    <x v="1668"/>
    <d v="2012-06-06T07:28:48"/>
    <n v="10000"/>
    <n v="10000"/>
    <s v="USD"/>
    <n v="10000"/>
    <x v="1016"/>
    <x v="0"/>
    <s v="USA"/>
    <x v="2"/>
    <x v="0"/>
    <n v="2"/>
  </r>
  <r>
    <x v="1669"/>
    <d v="2012-06-06T08:25:56"/>
    <n v="42000"/>
    <n v="42000"/>
    <s v="USD"/>
    <n v="42000"/>
    <x v="764"/>
    <x v="5"/>
    <s v="USA"/>
    <x v="2"/>
    <x v="0"/>
    <n v="1"/>
  </r>
  <r>
    <x v="1670"/>
    <d v="2012-06-06T09:31:47"/>
    <n v="80000"/>
    <n v="80000"/>
    <s v="AUD"/>
    <n v="81592.772512210868"/>
    <x v="1017"/>
    <x v="6"/>
    <s v="Australia"/>
    <x v="16"/>
    <x v="0"/>
    <n v="5"/>
  </r>
  <r>
    <x v="1671"/>
    <d v="2012-06-06T11:21:08"/>
    <n v="36000"/>
    <n v="36000"/>
    <s v="CAD"/>
    <n v="35401.014829091764"/>
    <x v="1018"/>
    <x v="0"/>
    <s v="Canada"/>
    <x v="17"/>
    <x v="1"/>
    <n v="2"/>
  </r>
  <r>
    <x v="1672"/>
    <d v="2012-06-06T16:03:39"/>
    <n v="500000"/>
    <n v="500000"/>
    <s v="INR"/>
    <n v="8903.9583437212841"/>
    <x v="140"/>
    <x v="0"/>
    <s v="India"/>
    <x v="0"/>
    <x v="0"/>
    <n v="4"/>
  </r>
  <r>
    <x v="1673"/>
    <d v="2012-06-06T17:41:41"/>
    <n v="600000"/>
    <n v="600000"/>
    <s v="INR"/>
    <n v="10684.750012465542"/>
    <x v="74"/>
    <x v="0"/>
    <s v="India"/>
    <x v="0"/>
    <x v="1"/>
    <n v="5"/>
  </r>
  <r>
    <x v="1674"/>
    <d v="2012-06-06T18:52:03"/>
    <n v="700"/>
    <n v="8400"/>
    <s v="USD"/>
    <n v="8400"/>
    <x v="1019"/>
    <x v="0"/>
    <s v="indonesia"/>
    <x v="55"/>
    <x v="0"/>
    <n v="14"/>
  </r>
  <r>
    <x v="1675"/>
    <d v="2012-06-06T19:39:06"/>
    <n v="550000"/>
    <n v="550000"/>
    <s v="INR"/>
    <n v="9794.354178093412"/>
    <x v="493"/>
    <x v="3"/>
    <s v="India"/>
    <x v="0"/>
    <x v="0"/>
    <n v="13"/>
  </r>
  <r>
    <x v="1676"/>
    <d v="2012-06-06T19:54:49"/>
    <n v="1200"/>
    <n v="14400"/>
    <s v="USD"/>
    <n v="14400"/>
    <x v="306"/>
    <x v="2"/>
    <s v="India"/>
    <x v="0"/>
    <x v="3"/>
    <n v="8"/>
  </r>
  <r>
    <x v="1677"/>
    <d v="2012-06-06T20:07:43"/>
    <s v="1.5 LINR"/>
    <n v="150000"/>
    <s v="INR"/>
    <n v="2671.1875031163854"/>
    <x v="442"/>
    <x v="7"/>
    <s v="India"/>
    <x v="0"/>
    <x v="1"/>
    <n v="3"/>
  </r>
  <r>
    <x v="1678"/>
    <d v="2012-06-06T20:41:35"/>
    <n v="22000"/>
    <n v="22000"/>
    <s v="USD"/>
    <n v="22000"/>
    <x v="1020"/>
    <x v="3"/>
    <s v="India"/>
    <x v="0"/>
    <x v="1"/>
    <n v="6"/>
  </r>
  <r>
    <x v="1679"/>
    <d v="2012-06-06T21:18:51"/>
    <n v="100000"/>
    <n v="100000"/>
    <s v="USD"/>
    <n v="100000"/>
    <x v="1021"/>
    <x v="0"/>
    <s v="Russia"/>
    <x v="13"/>
    <x v="1"/>
    <n v="6"/>
  </r>
  <r>
    <x v="1680"/>
    <d v="2012-06-06T21:20:38"/>
    <n v="40000"/>
    <n v="40000"/>
    <s v="GBP"/>
    <n v="63047.130882691366"/>
    <x v="89"/>
    <x v="3"/>
    <s v="UK"/>
    <x v="14"/>
    <x v="0"/>
    <n v="15"/>
  </r>
  <r>
    <x v="1681"/>
    <d v="2012-06-06T22:14:27"/>
    <s v="36000stg"/>
    <n v="36000"/>
    <s v="GBP"/>
    <n v="56742.417794422225"/>
    <x v="1022"/>
    <x v="3"/>
    <s v="UK"/>
    <x v="14"/>
    <x v="3"/>
    <n v="25"/>
  </r>
  <r>
    <x v="1682"/>
    <d v="2012-06-06T22:42:16"/>
    <n v="25000"/>
    <n v="25000"/>
    <s v="USD"/>
    <n v="25000"/>
    <x v="1023"/>
    <x v="0"/>
    <s v="India"/>
    <x v="0"/>
    <x v="1"/>
    <n v="8"/>
  </r>
  <r>
    <x v="1683"/>
    <d v="2012-06-07T00:32:24"/>
    <s v="500000vINR"/>
    <n v="500000"/>
    <s v="INR"/>
    <n v="8903.9583437212841"/>
    <x v="12"/>
    <x v="0"/>
    <s v="India"/>
    <x v="0"/>
    <x v="0"/>
    <n v="2"/>
  </r>
  <r>
    <x v="1684"/>
    <d v="2012-06-07T06:22:17"/>
    <s v="Â£27000"/>
    <n v="27000"/>
    <s v="GBP"/>
    <n v="42556.81334581667"/>
    <x v="1024"/>
    <x v="0"/>
    <s v="UK"/>
    <x v="14"/>
    <x v="0"/>
    <n v="2"/>
  </r>
  <r>
    <x v="1685"/>
    <d v="2012-06-07T08:36:51"/>
    <n v="134000"/>
    <n v="134000"/>
    <s v="CAD"/>
    <n v="131770.4440860638"/>
    <x v="1025"/>
    <x v="5"/>
    <s v="Canada"/>
    <x v="17"/>
    <x v="1"/>
    <n v="20"/>
  </r>
  <r>
    <x v="1686"/>
    <d v="2012-06-07T09:25:45"/>
    <n v="70000"/>
    <n v="70000"/>
    <s v="CAD"/>
    <n v="68835.306612122877"/>
    <x v="2"/>
    <x v="0"/>
    <s v="Canada"/>
    <x v="17"/>
    <x v="1"/>
    <n v="2"/>
  </r>
  <r>
    <x v="1687"/>
    <d v="2012-06-07T14:06:38"/>
    <s v="6000 US"/>
    <n v="6000"/>
    <s v="USD"/>
    <n v="6000"/>
    <x v="1026"/>
    <x v="7"/>
    <s v="Armenia"/>
    <x v="98"/>
    <x v="1"/>
    <n v="5"/>
  </r>
  <r>
    <x v="1688"/>
    <d v="2012-06-07T15:19:53"/>
    <n v="50000"/>
    <n v="50000"/>
    <s v="GBP"/>
    <n v="78808.913603364199"/>
    <x v="109"/>
    <x v="0"/>
    <s v="UK"/>
    <x v="14"/>
    <x v="2"/>
    <n v="2"/>
  </r>
  <r>
    <x v="1689"/>
    <d v="2012-06-07T16:45:01"/>
    <n v="421000"/>
    <n v="421000"/>
    <s v="INR"/>
    <n v="7497.1329254133216"/>
    <x v="1027"/>
    <x v="0"/>
    <s v="India"/>
    <x v="0"/>
    <x v="0"/>
    <n v="4"/>
  </r>
  <r>
    <x v="1690"/>
    <d v="2012-06-07T16:53:54"/>
    <n v="10000"/>
    <n v="10000"/>
    <s v="USD"/>
    <n v="10000"/>
    <x v="1028"/>
    <x v="3"/>
    <s v="India"/>
    <x v="0"/>
    <x v="0"/>
    <n v="11"/>
  </r>
  <r>
    <x v="1691"/>
    <d v="2012-06-07T17:09:18"/>
    <n v="360000"/>
    <n v="360000"/>
    <s v="INR"/>
    <n v="6410.8500074793246"/>
    <x v="1029"/>
    <x v="8"/>
    <s v="India"/>
    <x v="0"/>
    <x v="3"/>
    <n v="2"/>
  </r>
  <r>
    <x v="1692"/>
    <d v="2012-06-07T17:13:42"/>
    <n v="40000"/>
    <n v="40000"/>
    <s v="GBP"/>
    <n v="63047.130882691366"/>
    <x v="5"/>
    <x v="0"/>
    <s v="UK"/>
    <x v="14"/>
    <x v="0"/>
    <n v="5"/>
  </r>
  <r>
    <x v="1693"/>
    <d v="2012-06-07T20:10:41"/>
    <n v="60000"/>
    <n v="60000"/>
    <s v="AUD"/>
    <n v="61194.579384158147"/>
    <x v="12"/>
    <x v="0"/>
    <s v="Australia"/>
    <x v="16"/>
    <x v="2"/>
    <n v="3"/>
  </r>
  <r>
    <x v="1694"/>
    <d v="2012-06-07T20:48:04"/>
    <s v="Â£73000"/>
    <n v="73000"/>
    <s v="GBP"/>
    <n v="115061.01386091174"/>
    <x v="96"/>
    <x v="1"/>
    <s v="UK"/>
    <x v="14"/>
    <x v="0"/>
    <n v="8"/>
  </r>
  <r>
    <x v="1695"/>
    <d v="2012-06-07T23:33:23"/>
    <n v="45000"/>
    <n v="45000"/>
    <s v="USD"/>
    <n v="45000"/>
    <x v="1030"/>
    <x v="0"/>
    <s v="USA"/>
    <x v="2"/>
    <x v="1"/>
    <n v="2"/>
  </r>
  <r>
    <x v="1696"/>
    <d v="2012-06-07T23:48:29"/>
    <n v="36000"/>
    <n v="36000"/>
    <s v="USD"/>
    <n v="36000"/>
    <x v="354"/>
    <x v="0"/>
    <s v="USA"/>
    <x v="2"/>
    <x v="0"/>
    <n v="4"/>
  </r>
  <r>
    <x v="1697"/>
    <d v="2012-06-08T00:01:49"/>
    <n v="68000"/>
    <n v="68000"/>
    <s v="USD"/>
    <n v="68000"/>
    <x v="1031"/>
    <x v="0"/>
    <s v="USA"/>
    <x v="2"/>
    <x v="0"/>
    <n v="2.5"/>
  </r>
  <r>
    <x v="1698"/>
    <d v="2012-06-08T00:21:23"/>
    <n v="75000"/>
    <n v="75000"/>
    <s v="USD"/>
    <n v="75000"/>
    <x v="267"/>
    <x v="0"/>
    <s v="USA"/>
    <x v="2"/>
    <x v="1"/>
    <n v="5"/>
  </r>
  <r>
    <x v="1699"/>
    <d v="2012-06-08T02:27:13"/>
    <n v="88000"/>
    <n v="88000"/>
    <s v="USD"/>
    <n v="88000"/>
    <x v="1032"/>
    <x v="0"/>
    <s v="USA"/>
    <x v="2"/>
    <x v="1"/>
    <n v="10"/>
  </r>
  <r>
    <x v="1700"/>
    <d v="2012-06-08T02:28:45"/>
    <s v="Rs. 21500"/>
    <n v="258000"/>
    <s v="INR"/>
    <n v="4594.4425053601826"/>
    <x v="1033"/>
    <x v="0"/>
    <s v="India"/>
    <x v="0"/>
    <x v="0"/>
    <n v="4"/>
  </r>
  <r>
    <x v="1701"/>
    <d v="2012-06-08T03:23:20"/>
    <n v="69000"/>
    <n v="69000"/>
    <s v="USD"/>
    <n v="69000"/>
    <x v="1034"/>
    <x v="0"/>
    <s v="USA"/>
    <x v="2"/>
    <x v="1"/>
    <n v="15"/>
  </r>
  <r>
    <x v="1702"/>
    <d v="2012-06-08T03:34:51"/>
    <n v="30000"/>
    <n v="30000"/>
    <s v="USD"/>
    <n v="30000"/>
    <x v="706"/>
    <x v="3"/>
    <s v="USA"/>
    <x v="2"/>
    <x v="0"/>
    <n v="1"/>
  </r>
  <r>
    <x v="1703"/>
    <d v="2012-06-08T04:51:45"/>
    <n v="80000"/>
    <n v="80000"/>
    <s v="USD"/>
    <n v="80000"/>
    <x v="1035"/>
    <x v="3"/>
    <s v="USA"/>
    <x v="2"/>
    <x v="0"/>
    <n v="7"/>
  </r>
  <r>
    <x v="1704"/>
    <d v="2012-06-08T06:42:32"/>
    <n v="75000"/>
    <n v="75000"/>
    <s v="USD"/>
    <n v="75000"/>
    <x v="104"/>
    <x v="5"/>
    <s v="USA"/>
    <x v="2"/>
    <x v="1"/>
    <n v="1"/>
  </r>
  <r>
    <x v="1705"/>
    <d v="2012-06-08T08:15:54"/>
    <n v="31200"/>
    <n v="31200"/>
    <s v="USD"/>
    <n v="31200"/>
    <x v="624"/>
    <x v="0"/>
    <s v="Brazil"/>
    <x v="20"/>
    <x v="0"/>
    <n v="4"/>
  </r>
  <r>
    <x v="1706"/>
    <d v="2012-06-08T09:46:59"/>
    <n v="85000"/>
    <n v="85000"/>
    <s v="USD"/>
    <n v="85000"/>
    <x v="104"/>
    <x v="5"/>
    <s v="USA"/>
    <x v="2"/>
    <x v="0"/>
    <n v="20"/>
  </r>
  <r>
    <x v="1707"/>
    <d v="2012-06-08T13:38:45"/>
    <s v="9,50,000"/>
    <n v="950000"/>
    <s v="INR"/>
    <n v="16917.52085307044"/>
    <x v="1036"/>
    <x v="3"/>
    <s v="India"/>
    <x v="0"/>
    <x v="2"/>
    <n v="9"/>
  </r>
  <r>
    <x v="1708"/>
    <d v="2012-06-08T13:55:44"/>
    <s v="15000inr"/>
    <n v="180000"/>
    <s v="INR"/>
    <n v="3205.4250037396623"/>
    <x v="223"/>
    <x v="7"/>
    <s v="India"/>
    <x v="0"/>
    <x v="0"/>
    <n v="2"/>
  </r>
  <r>
    <x v="1709"/>
    <d v="2012-06-08T14:43:05"/>
    <n v="60000"/>
    <n v="60000"/>
    <s v="USD"/>
    <n v="60000"/>
    <x v="1037"/>
    <x v="3"/>
    <s v="USA"/>
    <x v="2"/>
    <x v="1"/>
    <n v="2"/>
  </r>
  <r>
    <x v="1710"/>
    <d v="2012-06-08T14:43:40"/>
    <n v="60000"/>
    <n v="60000"/>
    <s v="USD"/>
    <n v="60000"/>
    <x v="1037"/>
    <x v="3"/>
    <s v="USA"/>
    <x v="2"/>
    <x v="1"/>
    <n v="2"/>
  </r>
  <r>
    <x v="1711"/>
    <d v="2012-06-08T15:43:16"/>
    <s v="INR800000"/>
    <n v="800000"/>
    <s v="INR"/>
    <n v="14246.333349954055"/>
    <x v="20"/>
    <x v="3"/>
    <s v="India"/>
    <x v="0"/>
    <x v="2"/>
    <n v="0"/>
  </r>
  <r>
    <x v="1712"/>
    <d v="2012-06-08T15:45:14"/>
    <n v="800000"/>
    <n v="800000"/>
    <s v="INR"/>
    <n v="14246.333349954055"/>
    <x v="20"/>
    <x v="3"/>
    <s v="India"/>
    <x v="0"/>
    <x v="2"/>
    <n v="0"/>
  </r>
  <r>
    <x v="1713"/>
    <d v="2012-06-08T18:48:12"/>
    <n v="28995"/>
    <n v="28995"/>
    <s v="USD"/>
    <n v="28995"/>
    <x v="451"/>
    <x v="3"/>
    <s v="India"/>
    <x v="0"/>
    <x v="0"/>
    <n v="6"/>
  </r>
  <r>
    <x v="1714"/>
    <d v="2012-06-08T18:52:06"/>
    <n v="1230000"/>
    <n v="1230000"/>
    <s v="INR"/>
    <n v="21903.737525554359"/>
    <x v="1038"/>
    <x v="0"/>
    <s v="India"/>
    <x v="0"/>
    <x v="1"/>
    <n v="3"/>
  </r>
  <r>
    <x v="1715"/>
    <d v="2012-06-08T18:52:44"/>
    <n v="1130000"/>
    <n v="1130000"/>
    <s v="INR"/>
    <n v="20122.945856810104"/>
    <x v="1038"/>
    <x v="0"/>
    <s v="India"/>
    <x v="0"/>
    <x v="1"/>
    <n v="3"/>
  </r>
  <r>
    <x v="1716"/>
    <d v="2012-06-08T20:47:58"/>
    <n v="45000"/>
    <n v="45000"/>
    <s v="GBP"/>
    <n v="70928.022243027779"/>
    <x v="12"/>
    <x v="0"/>
    <s v="UK"/>
    <x v="14"/>
    <x v="1"/>
    <n v="20"/>
  </r>
  <r>
    <x v="1717"/>
    <d v="2012-06-08T21:00:25"/>
    <n v="67000"/>
    <n v="67000"/>
    <s v="USD"/>
    <n v="67000"/>
    <x v="20"/>
    <x v="3"/>
    <s v="USA"/>
    <x v="2"/>
    <x v="0"/>
    <n v="16"/>
  </r>
  <r>
    <x v="1718"/>
    <d v="2012-06-08T21:02:48"/>
    <n v="30000"/>
    <n v="30000"/>
    <s v="USD"/>
    <n v="30000"/>
    <x v="1039"/>
    <x v="0"/>
    <s v="USA"/>
    <x v="2"/>
    <x v="2"/>
    <n v="4"/>
  </r>
  <r>
    <x v="1719"/>
    <d v="2012-06-08T22:48:39"/>
    <s v="CHF140000"/>
    <n v="140000"/>
    <s v="CHF"/>
    <n v="148102.22862117883"/>
    <x v="1040"/>
    <x v="3"/>
    <s v="Switzerland"/>
    <x v="10"/>
    <x v="2"/>
    <n v="6"/>
  </r>
  <r>
    <x v="1720"/>
    <d v="2012-06-08T23:20:36"/>
    <n v="71500"/>
    <n v="71500"/>
    <s v="USD"/>
    <n v="71500"/>
    <x v="936"/>
    <x v="3"/>
    <s v="USA"/>
    <x v="2"/>
    <x v="1"/>
    <n v="11"/>
  </r>
  <r>
    <x v="1721"/>
    <d v="2012-06-08T23:46:11"/>
    <n v="67000"/>
    <n v="67000"/>
    <s v="USD"/>
    <n v="67000"/>
    <x v="20"/>
    <x v="3"/>
    <s v="USA"/>
    <x v="2"/>
    <x v="4"/>
    <n v="6"/>
  </r>
  <r>
    <x v="1722"/>
    <d v="2012-06-09T00:49:07"/>
    <n v="40000"/>
    <n v="40000"/>
    <s v="USD"/>
    <n v="40000"/>
    <x v="110"/>
    <x v="0"/>
    <s v="USA"/>
    <x v="2"/>
    <x v="0"/>
    <n v="5"/>
  </r>
  <r>
    <x v="1723"/>
    <d v="2012-06-09T01:15:44"/>
    <n v="65000"/>
    <n v="65000"/>
    <s v="USD"/>
    <n v="65000"/>
    <x v="1041"/>
    <x v="3"/>
    <s v="USA"/>
    <x v="2"/>
    <x v="0"/>
    <n v="2"/>
  </r>
  <r>
    <x v="1724"/>
    <d v="2012-06-09T01:47:30"/>
    <n v="72000"/>
    <n v="72000"/>
    <s v="USD"/>
    <n v="72000"/>
    <x v="35"/>
    <x v="8"/>
    <s v="USA"/>
    <x v="2"/>
    <x v="2"/>
    <n v="13"/>
  </r>
  <r>
    <x v="1725"/>
    <d v="2012-06-09T03:20:15"/>
    <n v="52500"/>
    <n v="52500"/>
    <s v="USD"/>
    <n v="52500"/>
    <x v="1042"/>
    <x v="3"/>
    <s v="USA"/>
    <x v="2"/>
    <x v="1"/>
    <n v="3"/>
  </r>
  <r>
    <x v="1726"/>
    <d v="2012-06-09T12:01:19"/>
    <n v="444"/>
    <n v="5320"/>
    <s v="USD"/>
    <n v="5320"/>
    <x v="697"/>
    <x v="3"/>
    <s v="India"/>
    <x v="0"/>
    <x v="2"/>
    <n v="5"/>
  </r>
  <r>
    <x v="1727"/>
    <d v="2012-06-09T20:38:03"/>
    <n v="1500"/>
    <n v="18000"/>
    <s v="USD"/>
    <n v="18000"/>
    <x v="189"/>
    <x v="5"/>
    <s v="uae"/>
    <x v="21"/>
    <x v="1"/>
    <n v="3"/>
  </r>
  <r>
    <x v="1728"/>
    <d v="2012-06-10T00:50:26"/>
    <s v="1.40 lac"/>
    <n v="140000"/>
    <s v="INR"/>
    <n v="2493.1083362419595"/>
    <x v="1043"/>
    <x v="9"/>
    <s v="India"/>
    <x v="0"/>
    <x v="0"/>
    <n v="5"/>
  </r>
  <r>
    <x v="1729"/>
    <d v="2012-06-10T01:48:44"/>
    <n v="1400"/>
    <n v="16800"/>
    <s v="EUR"/>
    <n v="21342.710575059013"/>
    <x v="1044"/>
    <x v="5"/>
    <s v="portugal"/>
    <x v="7"/>
    <x v="0"/>
    <n v="15"/>
  </r>
  <r>
    <x v="1730"/>
    <d v="2012-06-10T02:20:05"/>
    <n v="85000"/>
    <n v="85000"/>
    <s v="USD"/>
    <n v="85000"/>
    <x v="434"/>
    <x v="3"/>
    <s v="USA"/>
    <x v="2"/>
    <x v="2"/>
    <n v="15"/>
  </r>
  <r>
    <x v="1731"/>
    <d v="2012-06-10T02:29:57"/>
    <n v="80000"/>
    <n v="80000"/>
    <s v="USD"/>
    <n v="80000"/>
    <x v="306"/>
    <x v="2"/>
    <s v="Brazil"/>
    <x v="20"/>
    <x v="3"/>
    <n v="9"/>
  </r>
  <r>
    <x v="1732"/>
    <d v="2012-06-10T04:16:05"/>
    <n v="500000"/>
    <n v="500000"/>
    <s v="INR"/>
    <n v="8903.9583437212841"/>
    <x v="1045"/>
    <x v="0"/>
    <s v="India"/>
    <x v="0"/>
    <x v="1"/>
    <n v="0"/>
  </r>
  <r>
    <x v="1733"/>
    <d v="2012-06-10T12:31:48"/>
    <n v="125000"/>
    <n v="125000"/>
    <s v="USD"/>
    <n v="125000"/>
    <x v="89"/>
    <x v="3"/>
    <s v="USA"/>
    <x v="2"/>
    <x v="1"/>
    <n v="10"/>
  </r>
  <r>
    <x v="1734"/>
    <d v="2012-06-10T14:58:39"/>
    <n v="1300000"/>
    <n v="1300000"/>
    <s v="INR"/>
    <n v="23150.291693675339"/>
    <x v="20"/>
    <x v="3"/>
    <s v="India"/>
    <x v="0"/>
    <x v="1"/>
    <n v="9"/>
  </r>
  <r>
    <x v="1735"/>
    <d v="2012-06-10T15:20:01"/>
    <n v="1000"/>
    <n v="12000"/>
    <s v="USD"/>
    <n v="12000"/>
    <x v="1046"/>
    <x v="2"/>
    <s v="India"/>
    <x v="0"/>
    <x v="2"/>
    <n v="7"/>
  </r>
  <r>
    <x v="1736"/>
    <d v="2012-06-10T15:59:17"/>
    <n v="30000"/>
    <n v="30000"/>
    <s v="USD"/>
    <n v="30000"/>
    <x v="323"/>
    <x v="0"/>
    <s v="Malaysia"/>
    <x v="73"/>
    <x v="3"/>
    <n v="12"/>
  </r>
  <r>
    <x v="1737"/>
    <d v="2012-06-10T17:21:08"/>
    <n v="72000"/>
    <n v="72000"/>
    <s v="EUR"/>
    <n v="91468.759607395754"/>
    <x v="1047"/>
    <x v="3"/>
    <s v="croatia"/>
    <x v="1"/>
    <x v="3"/>
    <n v="3"/>
  </r>
  <r>
    <x v="1738"/>
    <d v="2012-06-10T20:30:23"/>
    <s v="Â£22300"/>
    <n v="22300"/>
    <s v="GBP"/>
    <n v="35148.775467100437"/>
    <x v="1048"/>
    <x v="0"/>
    <s v="UK"/>
    <x v="14"/>
    <x v="1"/>
    <n v="4"/>
  </r>
  <r>
    <x v="1739"/>
    <d v="2012-06-10T21:52:30"/>
    <s v="Â£31185"/>
    <n v="31185"/>
    <s v="GBP"/>
    <n v="49153.119414418252"/>
    <x v="1049"/>
    <x v="3"/>
    <s v="UK"/>
    <x v="14"/>
    <x v="0"/>
    <n v="7"/>
  </r>
  <r>
    <x v="1740"/>
    <d v="2012-06-11T03:11:39"/>
    <n v="150000"/>
    <n v="150000"/>
    <s v="INR"/>
    <n v="2671.1875031163854"/>
    <x v="306"/>
    <x v="2"/>
    <s v="India"/>
    <x v="0"/>
    <x v="2"/>
    <n v="1"/>
  </r>
  <r>
    <x v="1741"/>
    <d v="2012-06-11T05:59:09"/>
    <n v="27000"/>
    <n v="27000"/>
    <s v="GBP"/>
    <n v="42556.81334581667"/>
    <x v="1050"/>
    <x v="3"/>
    <s v="UK"/>
    <x v="14"/>
    <x v="0"/>
    <n v="3"/>
  </r>
  <r>
    <x v="1742"/>
    <d v="2012-06-11T05:59:55"/>
    <n v="27000"/>
    <n v="27000"/>
    <s v="GBP"/>
    <n v="42556.81334581667"/>
    <x v="1050"/>
    <x v="3"/>
    <s v="UK"/>
    <x v="14"/>
    <x v="0"/>
    <n v="3"/>
  </r>
  <r>
    <x v="1743"/>
    <d v="2012-06-11T10:04:43"/>
    <n v="74461"/>
    <n v="74461"/>
    <s v="USD"/>
    <n v="74461"/>
    <x v="1051"/>
    <x v="9"/>
    <s v="USA"/>
    <x v="2"/>
    <x v="3"/>
    <n v="9"/>
  </r>
  <r>
    <x v="1744"/>
    <d v="2012-06-11T16:55:40"/>
    <s v="Â£26500"/>
    <n v="26500"/>
    <s v="GBP"/>
    <n v="41768.724209783031"/>
    <x v="508"/>
    <x v="3"/>
    <s v="UK"/>
    <x v="14"/>
    <x v="0"/>
    <n v="16"/>
  </r>
  <r>
    <x v="1745"/>
    <d v="2012-06-11T17:01:58"/>
    <s v="Rs 480000"/>
    <n v="480000"/>
    <s v="INR"/>
    <n v="8547.8000099724322"/>
    <x v="1052"/>
    <x v="0"/>
    <s v="India"/>
    <x v="0"/>
    <x v="0"/>
    <n v="1"/>
  </r>
  <r>
    <x v="1746"/>
    <d v="2012-06-11T17:54:22"/>
    <n v="200"/>
    <n v="2400"/>
    <s v="USD"/>
    <n v="2400"/>
    <x v="305"/>
    <x v="0"/>
    <s v="India"/>
    <x v="0"/>
    <x v="2"/>
    <n v="3"/>
  </r>
  <r>
    <x v="1747"/>
    <d v="2012-06-11T19:40:47"/>
    <s v="3000 $"/>
    <n v="3000"/>
    <s v="USD"/>
    <n v="3000"/>
    <x v="444"/>
    <x v="0"/>
    <s v="Bangladesh"/>
    <x v="36"/>
    <x v="3"/>
    <n v="12"/>
  </r>
  <r>
    <x v="1748"/>
    <d v="2012-06-11T19:56:36"/>
    <n v="11000"/>
    <n v="11000"/>
    <s v="USD"/>
    <n v="11000"/>
    <x v="336"/>
    <x v="0"/>
    <s v="India"/>
    <x v="0"/>
    <x v="0"/>
    <n v="2"/>
  </r>
  <r>
    <x v="1749"/>
    <d v="2012-06-11T21:03:36"/>
    <n v="40000"/>
    <n v="40000"/>
    <s v="USD"/>
    <n v="40000"/>
    <x v="484"/>
    <x v="0"/>
    <s v="USA"/>
    <x v="2"/>
    <x v="2"/>
    <n v="2"/>
  </r>
  <r>
    <x v="1750"/>
    <d v="2012-06-11T21:29:29"/>
    <n v="300"/>
    <n v="3600"/>
    <s v="USD"/>
    <n v="3600"/>
    <x v="5"/>
    <x v="0"/>
    <s v="India"/>
    <x v="0"/>
    <x v="0"/>
    <n v="1"/>
  </r>
  <r>
    <x v="1751"/>
    <d v="2012-06-11T21:52:14"/>
    <n v="56600"/>
    <n v="56600"/>
    <s v="USD"/>
    <n v="56600"/>
    <x v="1053"/>
    <x v="3"/>
    <s v="USA"/>
    <x v="2"/>
    <x v="0"/>
    <n v="12"/>
  </r>
  <r>
    <x v="1752"/>
    <d v="2012-06-11T22:21:25"/>
    <n v="33600"/>
    <n v="33600"/>
    <s v="USD"/>
    <n v="33600"/>
    <x v="444"/>
    <x v="0"/>
    <s v="Singapore"/>
    <x v="29"/>
    <x v="1"/>
    <n v="2"/>
  </r>
  <r>
    <x v="1753"/>
    <d v="2012-06-11T22:22:00"/>
    <n v="33600"/>
    <n v="33600"/>
    <s v="USD"/>
    <n v="33600"/>
    <x v="444"/>
    <x v="0"/>
    <s v="Singapore"/>
    <x v="29"/>
    <x v="1"/>
    <n v="2"/>
  </r>
  <r>
    <x v="1754"/>
    <d v="2012-06-12T00:26:07"/>
    <n v="100000"/>
    <n v="100000"/>
    <s v="USD"/>
    <n v="100000"/>
    <x v="5"/>
    <x v="0"/>
    <s v="USA"/>
    <x v="2"/>
    <x v="1"/>
    <n v="12"/>
  </r>
  <r>
    <x v="1755"/>
    <d v="2012-06-12T01:55:12"/>
    <n v="40000"/>
    <n v="40000"/>
    <s v="CAD"/>
    <n v="39334.460921213074"/>
    <x v="1054"/>
    <x v="0"/>
    <s v="Canada"/>
    <x v="17"/>
    <x v="3"/>
    <n v="1"/>
  </r>
  <r>
    <x v="1756"/>
    <d v="2012-06-12T01:58:00"/>
    <n v="400000"/>
    <n v="400000"/>
    <s v="INR"/>
    <n v="7123.1666749770275"/>
    <x v="12"/>
    <x v="0"/>
    <s v="India"/>
    <x v="0"/>
    <x v="2"/>
    <n v="3"/>
  </r>
  <r>
    <x v="1757"/>
    <d v="2012-06-12T02:43:17"/>
    <s v="$65,000 US"/>
    <n v="65000"/>
    <s v="USD"/>
    <n v="65000"/>
    <x v="1055"/>
    <x v="0"/>
    <s v="USA"/>
    <x v="2"/>
    <x v="0"/>
    <n v="14"/>
  </r>
  <r>
    <x v="1758"/>
    <d v="2012-06-12T02:59:16"/>
    <n v="65000"/>
    <n v="65000"/>
    <s v="USD"/>
    <n v="65000"/>
    <x v="79"/>
    <x v="0"/>
    <s v="USA"/>
    <x v="2"/>
    <x v="2"/>
    <n v="10"/>
  </r>
  <r>
    <x v="1759"/>
    <d v="2012-06-12T03:32:27"/>
    <n v="65000"/>
    <n v="65000"/>
    <s v="USD"/>
    <n v="65000"/>
    <x v="179"/>
    <x v="1"/>
    <s v="USA"/>
    <x v="2"/>
    <x v="2"/>
    <n v="13"/>
  </r>
  <r>
    <x v="1760"/>
    <d v="2012-06-12T03:45:25"/>
    <n v="78000"/>
    <n v="78000"/>
    <s v="CAD"/>
    <n v="76702.198796365497"/>
    <x v="1056"/>
    <x v="0"/>
    <s v="Canada"/>
    <x v="17"/>
    <x v="1"/>
    <n v="4"/>
  </r>
  <r>
    <x v="1761"/>
    <d v="2012-06-12T06:36:12"/>
    <n v="63000"/>
    <n v="63000"/>
    <s v="USD"/>
    <n v="63000"/>
    <x v="51"/>
    <x v="0"/>
    <s v="USA"/>
    <x v="2"/>
    <x v="1"/>
    <n v="10"/>
  </r>
  <r>
    <x v="1762"/>
    <d v="2012-06-12T08:36:15"/>
    <n v="87000"/>
    <n v="87000"/>
    <s v="USD"/>
    <n v="87000"/>
    <x v="1057"/>
    <x v="9"/>
    <s v="USA"/>
    <x v="2"/>
    <x v="0"/>
    <n v="3"/>
  </r>
  <r>
    <x v="1763"/>
    <d v="2012-06-12T08:46:15"/>
    <n v="45000"/>
    <n v="45000"/>
    <s v="USD"/>
    <n v="45000"/>
    <x v="673"/>
    <x v="0"/>
    <s v="USA"/>
    <x v="2"/>
    <x v="0"/>
    <n v="4"/>
  </r>
  <r>
    <x v="1764"/>
    <d v="2012-06-12T12:15:46"/>
    <n v="85000"/>
    <n v="85000"/>
    <s v="USD"/>
    <n v="85000"/>
    <x v="1058"/>
    <x v="0"/>
    <s v="USA"/>
    <x v="2"/>
    <x v="1"/>
    <n v="3"/>
  </r>
  <r>
    <x v="1765"/>
    <d v="2012-06-12T15:09:22"/>
    <n v="156000"/>
    <n v="156000"/>
    <s v="AUD"/>
    <n v="159105.90639881117"/>
    <x v="1059"/>
    <x v="2"/>
    <s v="Australia"/>
    <x v="16"/>
    <x v="2"/>
    <n v="12"/>
  </r>
  <r>
    <x v="1766"/>
    <d v="2012-06-12T15:58:36"/>
    <n v="560000"/>
    <n v="560000"/>
    <s v="INR"/>
    <n v="9972.4333449678379"/>
    <x v="1060"/>
    <x v="3"/>
    <s v="India"/>
    <x v="0"/>
    <x v="2"/>
    <n v="4"/>
  </r>
  <r>
    <x v="1767"/>
    <d v="2012-06-12T16:16:25"/>
    <n v="14000"/>
    <n v="14000"/>
    <s v="USD"/>
    <n v="14000"/>
    <x v="20"/>
    <x v="3"/>
    <s v="India"/>
    <x v="0"/>
    <x v="0"/>
    <n v="5"/>
  </r>
  <r>
    <x v="1768"/>
    <d v="2012-06-12T18:09:58"/>
    <s v="Â£32000"/>
    <n v="32000"/>
    <s v="GBP"/>
    <n v="50437.70470615309"/>
    <x v="12"/>
    <x v="0"/>
    <s v="UK"/>
    <x v="14"/>
    <x v="0"/>
    <n v="20"/>
  </r>
  <r>
    <x v="1769"/>
    <d v="2012-06-12T18:28:39"/>
    <n v="32000"/>
    <n v="32000"/>
    <s v="GBP"/>
    <n v="50437.70470615309"/>
    <x v="2"/>
    <x v="0"/>
    <s v="UK"/>
    <x v="14"/>
    <x v="1"/>
    <n v="1"/>
  </r>
  <r>
    <x v="1770"/>
    <d v="2012-06-12T20:11:24"/>
    <n v="8900"/>
    <n v="1281600"/>
    <s v="PKR"/>
    <n v="13603.016099449767"/>
    <x v="1061"/>
    <x v="3"/>
    <s v="pakistan"/>
    <x v="3"/>
    <x v="1"/>
    <n v="8"/>
  </r>
  <r>
    <x v="1771"/>
    <d v="2012-06-12T20:47:33"/>
    <s v="aud145000"/>
    <n v="145000"/>
    <s v="AUD"/>
    <n v="147886.90017838217"/>
    <x v="96"/>
    <x v="1"/>
    <s v="Australia"/>
    <x v="16"/>
    <x v="2"/>
    <n v="15"/>
  </r>
  <r>
    <x v="1772"/>
    <d v="2012-06-12T21:47:54"/>
    <n v="280000"/>
    <n v="280000"/>
    <s v="INR"/>
    <n v="4986.216672483919"/>
    <x v="1062"/>
    <x v="0"/>
    <s v="India"/>
    <x v="0"/>
    <x v="1"/>
    <n v="8"/>
  </r>
  <r>
    <x v="1773"/>
    <d v="2012-06-12T21:58:21"/>
    <n v="4800"/>
    <n v="4800"/>
    <s v="USD"/>
    <n v="4800"/>
    <x v="1063"/>
    <x v="3"/>
    <s v="India"/>
    <x v="0"/>
    <x v="1"/>
    <n v="3"/>
  </r>
  <r>
    <x v="1774"/>
    <d v="2012-06-13T00:20:14"/>
    <s v="4.5 Laks"/>
    <n v="450000"/>
    <s v="INR"/>
    <n v="8013.5625093491553"/>
    <x v="442"/>
    <x v="7"/>
    <s v="India"/>
    <x v="0"/>
    <x v="0"/>
    <n v="4"/>
  </r>
  <r>
    <x v="1775"/>
    <d v="2012-06-13T00:23:31"/>
    <n v="80000"/>
    <n v="80000"/>
    <s v="USD"/>
    <n v="80000"/>
    <x v="1064"/>
    <x v="3"/>
    <s v="USA"/>
    <x v="2"/>
    <x v="0"/>
    <n v="2"/>
  </r>
  <r>
    <x v="1776"/>
    <d v="2012-06-13T00:37:24"/>
    <s v="â‚¬ 45000"/>
    <n v="45000"/>
    <s v="EUR"/>
    <n v="57167.974754622352"/>
    <x v="1065"/>
    <x v="0"/>
    <s v="Netherlands"/>
    <x v="18"/>
    <x v="2"/>
    <n v="14"/>
  </r>
  <r>
    <x v="1777"/>
    <d v="2012-06-13T00:50:20"/>
    <n v="20000"/>
    <n v="20000"/>
    <s v="USD"/>
    <n v="20000"/>
    <x v="959"/>
    <x v="0"/>
    <s v="Canada"/>
    <x v="17"/>
    <x v="2"/>
    <n v="2"/>
  </r>
  <r>
    <x v="1778"/>
    <d v="2012-06-13T01:56:23"/>
    <n v="70000"/>
    <n v="70000"/>
    <s v="USD"/>
    <n v="70000"/>
    <x v="12"/>
    <x v="0"/>
    <s v="USA"/>
    <x v="2"/>
    <x v="2"/>
    <n v="5"/>
  </r>
  <r>
    <x v="1779"/>
    <d v="2012-06-13T03:23:05"/>
    <s v="$214,000  USD"/>
    <n v="214000"/>
    <s v="USD"/>
    <n v="214000"/>
    <x v="1066"/>
    <x v="1"/>
    <s v="USA"/>
    <x v="2"/>
    <x v="1"/>
    <n v="20"/>
  </r>
  <r>
    <x v="1780"/>
    <d v="2012-06-13T03:48:39"/>
    <n v="78000"/>
    <n v="78000"/>
    <s v="USD"/>
    <n v="78000"/>
    <x v="1067"/>
    <x v="2"/>
    <s v="USA"/>
    <x v="2"/>
    <x v="1"/>
    <n v="5"/>
  </r>
  <r>
    <x v="1781"/>
    <d v="2012-06-13T04:39:37"/>
    <n v="42307.199999999997"/>
    <n v="42307"/>
    <s v="USD"/>
    <n v="42307"/>
    <x v="1068"/>
    <x v="0"/>
    <s v="USA"/>
    <x v="2"/>
    <x v="2"/>
    <n v="25"/>
  </r>
  <r>
    <x v="1782"/>
    <d v="2012-06-13T04:40:03"/>
    <n v="33250"/>
    <n v="33250"/>
    <s v="USD"/>
    <n v="33250"/>
    <x v="1069"/>
    <x v="3"/>
    <s v="USA"/>
    <x v="2"/>
    <x v="1"/>
    <n v="20"/>
  </r>
  <r>
    <x v="1783"/>
    <d v="2012-06-13T05:20:32"/>
    <s v="1600â‚¬ net monthly"/>
    <n v="19200"/>
    <s v="EUR"/>
    <n v="24391.669228638868"/>
    <x v="1070"/>
    <x v="0"/>
    <s v="italy"/>
    <x v="62"/>
    <x v="0"/>
    <n v="10"/>
  </r>
  <r>
    <x v="1784"/>
    <d v="2012-06-13T06:19:24"/>
    <n v="120000"/>
    <n v="120000"/>
    <s v="USD"/>
    <n v="120000"/>
    <x v="1071"/>
    <x v="5"/>
    <s v="USA"/>
    <x v="2"/>
    <x v="0"/>
    <n v="20"/>
  </r>
  <r>
    <x v="1785"/>
    <d v="2012-06-13T11:58:30"/>
    <n v="20000"/>
    <n v="20000"/>
    <s v="USD"/>
    <n v="20000"/>
    <x v="1072"/>
    <x v="0"/>
    <s v="Hong Kong"/>
    <x v="99"/>
    <x v="3"/>
    <n v="1"/>
  </r>
  <r>
    <x v="1786"/>
    <d v="2012-06-13T17:22:47"/>
    <n v="15000"/>
    <n v="15000"/>
    <s v="USD"/>
    <n v="15000"/>
    <x v="579"/>
    <x v="0"/>
    <s v="India"/>
    <x v="0"/>
    <x v="2"/>
    <n v="0.3"/>
  </r>
  <r>
    <x v="1787"/>
    <d v="2012-06-13T18:25:00"/>
    <s v="INR 10 lacs p.a."/>
    <n v="1000000"/>
    <s v="INR"/>
    <n v="17807.916687442568"/>
    <x v="1073"/>
    <x v="3"/>
    <s v="India"/>
    <x v="0"/>
    <x v="2"/>
    <n v="10"/>
  </r>
  <r>
    <x v="1788"/>
    <d v="2012-06-13T19:20:25"/>
    <n v="900000"/>
    <n v="900000"/>
    <s v="INR"/>
    <n v="16027.125018698311"/>
    <x v="1074"/>
    <x v="3"/>
    <s v="India"/>
    <x v="0"/>
    <x v="2"/>
    <n v="6"/>
  </r>
  <r>
    <x v="1789"/>
    <d v="2012-06-13T19:33:58"/>
    <s v="36000 British pounds"/>
    <n v="36000"/>
    <s v="GBP"/>
    <n v="56742.417794422225"/>
    <x v="1075"/>
    <x v="3"/>
    <s v="UK"/>
    <x v="14"/>
    <x v="1"/>
    <n v="7"/>
  </r>
  <r>
    <x v="1790"/>
    <d v="2012-06-13T19:40:16"/>
    <n v="1200000"/>
    <n v="1200000"/>
    <s v="INR"/>
    <n v="21369.500024931083"/>
    <x v="1076"/>
    <x v="3"/>
    <s v="India"/>
    <x v="0"/>
    <x v="0"/>
    <n v="7"/>
  </r>
  <r>
    <x v="1791"/>
    <d v="2012-06-13T20:39:18"/>
    <n v="425000"/>
    <n v="425000"/>
    <s v="INR"/>
    <n v="7568.3645921630914"/>
    <x v="189"/>
    <x v="5"/>
    <s v="India"/>
    <x v="0"/>
    <x v="2"/>
    <n v="6"/>
  </r>
  <r>
    <x v="1792"/>
    <d v="2012-06-13T23:32:36"/>
    <n v="50000"/>
    <n v="50000"/>
    <s v="GBP"/>
    <n v="78808.913603364199"/>
    <x v="896"/>
    <x v="5"/>
    <s v="UK"/>
    <x v="14"/>
    <x v="2"/>
    <n v="10"/>
  </r>
  <r>
    <x v="1793"/>
    <d v="2012-06-14T01:55:13"/>
    <n v="60000"/>
    <n v="60000"/>
    <s v="USD"/>
    <n v="60000"/>
    <x v="12"/>
    <x v="0"/>
    <s v="USA"/>
    <x v="2"/>
    <x v="0"/>
    <n v="15"/>
  </r>
  <r>
    <x v="1794"/>
    <d v="2012-06-14T02:44:43"/>
    <n v="57000"/>
    <n v="57000"/>
    <s v="USD"/>
    <n v="57000"/>
    <x v="764"/>
    <x v="5"/>
    <s v="USA"/>
    <x v="2"/>
    <x v="0"/>
    <n v="9"/>
  </r>
  <r>
    <x v="1795"/>
    <d v="2012-06-14T04:22:36"/>
    <n v="40000"/>
    <n v="40000"/>
    <s v="USD"/>
    <n v="40000"/>
    <x v="1077"/>
    <x v="0"/>
    <s v="USA"/>
    <x v="2"/>
    <x v="2"/>
    <n v="0"/>
  </r>
  <r>
    <x v="1796"/>
    <d v="2012-06-14T07:16:41"/>
    <n v="80000"/>
    <n v="80000"/>
    <s v="USD"/>
    <n v="80000"/>
    <x v="1078"/>
    <x v="1"/>
    <s v="USA"/>
    <x v="2"/>
    <x v="0"/>
    <n v="9"/>
  </r>
  <r>
    <x v="1797"/>
    <d v="2012-06-14T12:27:30"/>
    <n v="118000"/>
    <n v="118000"/>
    <s v="USD"/>
    <n v="118000"/>
    <x v="964"/>
    <x v="4"/>
    <s v="USA"/>
    <x v="2"/>
    <x v="0"/>
    <n v="6"/>
  </r>
  <r>
    <x v="1798"/>
    <d v="2012-06-14T14:08:58"/>
    <n v="5000"/>
    <n v="60000"/>
    <s v="USD"/>
    <n v="60000"/>
    <x v="5"/>
    <x v="0"/>
    <s v="UAE"/>
    <x v="21"/>
    <x v="0"/>
    <n v="5"/>
  </r>
  <r>
    <x v="1799"/>
    <d v="2012-06-14T18:27:04"/>
    <n v="560"/>
    <n v="6720"/>
    <s v="USD"/>
    <n v="6720"/>
    <x v="1079"/>
    <x v="5"/>
    <s v="India"/>
    <x v="0"/>
    <x v="0"/>
    <n v="5"/>
  </r>
  <r>
    <x v="1800"/>
    <d v="2012-06-14T22:03:05"/>
    <n v="1720"/>
    <n v="20640"/>
    <s v="USD"/>
    <n v="20640"/>
    <x v="1080"/>
    <x v="3"/>
    <s v="Singapore"/>
    <x v="29"/>
    <x v="0"/>
    <n v="3"/>
  </r>
  <r>
    <x v="1801"/>
    <d v="2012-06-15T00:35:45"/>
    <n v="50000"/>
    <n v="50000"/>
    <s v="USD"/>
    <n v="50000"/>
    <x v="1081"/>
    <x v="0"/>
    <s v="USA"/>
    <x v="2"/>
    <x v="1"/>
    <n v="15"/>
  </r>
  <r>
    <x v="1802"/>
    <d v="2012-06-15T00:52:38"/>
    <n v="2000"/>
    <n v="24000"/>
    <s v="USD"/>
    <n v="24000"/>
    <x v="238"/>
    <x v="1"/>
    <s v="Russia"/>
    <x v="13"/>
    <x v="1"/>
    <n v="23"/>
  </r>
  <r>
    <x v="1803"/>
    <d v="2012-06-15T01:02:48"/>
    <n v="60000"/>
    <n v="60000"/>
    <s v="USD"/>
    <n v="60000"/>
    <x v="12"/>
    <x v="0"/>
    <s v="USA"/>
    <x v="2"/>
    <x v="2"/>
    <n v="3"/>
  </r>
  <r>
    <x v="1804"/>
    <d v="2012-06-15T01:10:09"/>
    <n v="37500"/>
    <n v="37500"/>
    <s v="USD"/>
    <n v="37500"/>
    <x v="35"/>
    <x v="8"/>
    <s v="India"/>
    <x v="0"/>
    <x v="1"/>
    <n v="0"/>
  </r>
  <r>
    <x v="1805"/>
    <d v="2012-06-15T02:24:44"/>
    <n v="40000"/>
    <n v="40000"/>
    <s v="USD"/>
    <n v="40000"/>
    <x v="1082"/>
    <x v="6"/>
    <s v="USA"/>
    <x v="2"/>
    <x v="0"/>
    <n v="1"/>
  </r>
  <r>
    <x v="1806"/>
    <d v="2012-06-15T02:30:11"/>
    <s v="US$ 85000"/>
    <n v="85000"/>
    <s v="USD"/>
    <n v="85000"/>
    <x v="1083"/>
    <x v="4"/>
    <s v="USA"/>
    <x v="2"/>
    <x v="2"/>
    <n v="15"/>
  </r>
  <r>
    <x v="1807"/>
    <d v="2012-06-15T03:00:04"/>
    <n v="30000"/>
    <n v="30000"/>
    <s v="USD"/>
    <n v="30000"/>
    <x v="922"/>
    <x v="0"/>
    <s v="Brazil"/>
    <x v="20"/>
    <x v="2"/>
    <n v="1"/>
  </r>
  <r>
    <x v="1808"/>
    <d v="2012-06-15T03:51:50"/>
    <s v="Â£33500"/>
    <n v="33500"/>
    <s v="GBP"/>
    <n v="52801.972114254015"/>
    <x v="1084"/>
    <x v="2"/>
    <s v="UK"/>
    <x v="14"/>
    <x v="2"/>
    <n v="7"/>
  </r>
  <r>
    <x v="1809"/>
    <d v="2012-06-15T05:44:30"/>
    <n v="29000"/>
    <n v="29000"/>
    <s v="USD"/>
    <n v="29000"/>
    <x v="1085"/>
    <x v="2"/>
    <s v="USA"/>
    <x v="2"/>
    <x v="1"/>
    <n v="1"/>
  </r>
  <r>
    <x v="1810"/>
    <d v="2012-06-15T09:00:08"/>
    <n v="48000"/>
    <n v="48000"/>
    <s v="USD"/>
    <n v="48000"/>
    <x v="189"/>
    <x v="5"/>
    <s v="USA"/>
    <x v="2"/>
    <x v="0"/>
    <n v="1"/>
  </r>
  <r>
    <x v="1811"/>
    <d v="2012-06-15T09:01:23"/>
    <n v="48000"/>
    <n v="48000"/>
    <s v="USD"/>
    <n v="48000"/>
    <x v="189"/>
    <x v="5"/>
    <s v="USA"/>
    <x v="2"/>
    <x v="0"/>
    <n v="1"/>
  </r>
  <r>
    <x v="1812"/>
    <d v="2012-06-15T15:07:11"/>
    <n v="700"/>
    <n v="8400"/>
    <s v="USD"/>
    <n v="8400"/>
    <x v="5"/>
    <x v="0"/>
    <s v="Baltic"/>
    <x v="100"/>
    <x v="1"/>
    <n v="0.3"/>
  </r>
  <r>
    <x v="1813"/>
    <d v="2012-06-15T15:43:42"/>
    <n v="270000"/>
    <n v="270000"/>
    <s v="INR"/>
    <n v="4808.137505609493"/>
    <x v="40"/>
    <x v="3"/>
    <s v="India"/>
    <x v="0"/>
    <x v="2"/>
    <n v="5"/>
  </r>
  <r>
    <x v="1814"/>
    <d v="2012-06-15T16:36:47"/>
    <n v="1400000"/>
    <n v="1400000"/>
    <s v="INR"/>
    <n v="24931.083362419595"/>
    <x v="1086"/>
    <x v="3"/>
    <s v="India"/>
    <x v="0"/>
    <x v="0"/>
    <n v="10"/>
  </r>
  <r>
    <x v="1815"/>
    <d v="2012-06-15T17:16:19"/>
    <s v="INR 700000"/>
    <n v="700000"/>
    <s v="INR"/>
    <n v="12465.541681209797"/>
    <x v="1087"/>
    <x v="0"/>
    <s v="India"/>
    <x v="0"/>
    <x v="2"/>
    <n v="4"/>
  </r>
  <r>
    <x v="1816"/>
    <d v="2012-06-15T17:35:32"/>
    <n v="20000"/>
    <n v="20000"/>
    <s v="GBP"/>
    <n v="31523.565441345683"/>
    <x v="189"/>
    <x v="5"/>
    <s v="UK"/>
    <x v="14"/>
    <x v="2"/>
    <n v="10"/>
  </r>
  <r>
    <x v="1817"/>
    <d v="2012-06-15T17:36:10"/>
    <s v="INR 1000000"/>
    <n v="1000000"/>
    <s v="INR"/>
    <n v="17807.916687442568"/>
    <x v="1088"/>
    <x v="3"/>
    <s v="India"/>
    <x v="0"/>
    <x v="1"/>
    <n v="10"/>
  </r>
  <r>
    <x v="1818"/>
    <d v="2012-06-15T18:13:12"/>
    <n v="112000"/>
    <n v="112000"/>
    <s v="USD"/>
    <n v="112000"/>
    <x v="20"/>
    <x v="3"/>
    <s v="USA"/>
    <x v="2"/>
    <x v="2"/>
    <n v="8"/>
  </r>
  <r>
    <x v="1819"/>
    <d v="2012-06-15T20:00:26"/>
    <n v="11000"/>
    <n v="11000"/>
    <s v="USD"/>
    <n v="11000"/>
    <x v="1076"/>
    <x v="3"/>
    <s v="India"/>
    <x v="0"/>
    <x v="1"/>
    <n v="8"/>
  </r>
  <r>
    <x v="1820"/>
    <d v="2012-06-15T20:50:49"/>
    <s v="EUR 90000"/>
    <n v="90000"/>
    <s v="EUR"/>
    <n v="114335.9495092447"/>
    <x v="236"/>
    <x v="1"/>
    <s v="mainland Europe (Euro zone)"/>
    <x v="87"/>
    <x v="2"/>
    <n v="20"/>
  </r>
  <r>
    <x v="1821"/>
    <d v="2012-06-15T21:32:16"/>
    <s v="$US16.110,72"/>
    <n v="16110"/>
    <s v="USD"/>
    <n v="16110"/>
    <x v="1089"/>
    <x v="0"/>
    <s v="COLOMBIA"/>
    <x v="27"/>
    <x v="1"/>
    <n v="10"/>
  </r>
  <r>
    <x v="1822"/>
    <d v="2012-06-15T22:36:45"/>
    <n v="72000"/>
    <n v="72000"/>
    <s v="USD"/>
    <n v="72000"/>
    <x v="1090"/>
    <x v="3"/>
    <s v="USA"/>
    <x v="2"/>
    <x v="0"/>
    <n v="10"/>
  </r>
  <r>
    <x v="1823"/>
    <d v="2012-06-15T23:21:00"/>
    <n v="60000"/>
    <n v="60000"/>
    <s v="USD"/>
    <n v="60000"/>
    <x v="1091"/>
    <x v="0"/>
    <s v="USA"/>
    <x v="2"/>
    <x v="1"/>
    <n v="10"/>
  </r>
  <r>
    <x v="1824"/>
    <d v="2012-06-15T23:50:11"/>
    <n v="67000"/>
    <n v="67000"/>
    <s v="USD"/>
    <n v="67000"/>
    <x v="1092"/>
    <x v="0"/>
    <s v="USA"/>
    <x v="2"/>
    <x v="0"/>
    <n v="6"/>
  </r>
  <r>
    <x v="1825"/>
    <d v="2012-06-16T02:50:49"/>
    <n v="54000"/>
    <n v="54000"/>
    <s v="USD"/>
    <n v="54000"/>
    <x v="1093"/>
    <x v="0"/>
    <s v="USA"/>
    <x v="2"/>
    <x v="0"/>
    <n v="18"/>
  </r>
  <r>
    <x v="1826"/>
    <d v="2012-06-16T05:23:03"/>
    <n v="38666"/>
    <n v="38666"/>
    <s v="USD"/>
    <n v="38666"/>
    <x v="1094"/>
    <x v="6"/>
    <s v="South Africa"/>
    <x v="11"/>
    <x v="1"/>
    <n v="10"/>
  </r>
  <r>
    <x v="1827"/>
    <d v="2012-06-16T06:17:53"/>
    <n v="63000"/>
    <n v="63000"/>
    <s v="USD"/>
    <n v="63000"/>
    <x v="1095"/>
    <x v="0"/>
    <s v="USA"/>
    <x v="2"/>
    <x v="0"/>
    <n v="6"/>
  </r>
  <r>
    <x v="1828"/>
    <d v="2012-06-16T08:10:59"/>
    <s v="63000 USD"/>
    <n v="63000"/>
    <s v="USD"/>
    <n v="63000"/>
    <x v="2"/>
    <x v="0"/>
    <s v="USA"/>
    <x v="2"/>
    <x v="1"/>
    <n v="1"/>
  </r>
  <r>
    <x v="1829"/>
    <d v="2012-06-16T14:10:51"/>
    <s v="INR 360000"/>
    <n v="360000"/>
    <s v="INR"/>
    <n v="6410.8500074793246"/>
    <x v="5"/>
    <x v="0"/>
    <s v="India"/>
    <x v="0"/>
    <x v="1"/>
    <n v="2"/>
  </r>
  <r>
    <x v="1830"/>
    <d v="2012-06-16T17:07:45"/>
    <s v="INR 50000"/>
    <n v="600000"/>
    <s v="INR"/>
    <n v="10684.750012465542"/>
    <x v="1096"/>
    <x v="3"/>
    <s v="India"/>
    <x v="0"/>
    <x v="0"/>
    <n v="12"/>
  </r>
  <r>
    <x v="1831"/>
    <d v="2012-06-16T17:14:03"/>
    <n v="40000"/>
    <n v="40000"/>
    <s v="USD"/>
    <n v="40000"/>
    <x v="592"/>
    <x v="3"/>
    <s v="India"/>
    <x v="0"/>
    <x v="0"/>
    <n v="5"/>
  </r>
  <r>
    <x v="1832"/>
    <d v="2012-06-16T17:49:27"/>
    <s v="3.5 lac"/>
    <n v="350000"/>
    <s v="INR"/>
    <n v="6232.7708406048987"/>
    <x v="5"/>
    <x v="0"/>
    <s v="India"/>
    <x v="0"/>
    <x v="0"/>
    <n v="6"/>
  </r>
  <r>
    <x v="1833"/>
    <d v="2012-06-16T18:31:59"/>
    <n v="2342342"/>
    <n v="2342342"/>
    <s v="INR"/>
    <n v="41712.231189497601"/>
    <x v="1097"/>
    <x v="9"/>
    <s v="India"/>
    <x v="0"/>
    <x v="2"/>
    <n v="12"/>
  </r>
  <r>
    <x v="1834"/>
    <d v="2012-06-16T18:33:25"/>
    <s v="Rs. 700000"/>
    <n v="700000"/>
    <s v="INR"/>
    <n v="12465.541681209797"/>
    <x v="1098"/>
    <x v="3"/>
    <s v="India"/>
    <x v="0"/>
    <x v="2"/>
    <n v="9"/>
  </r>
  <r>
    <x v="1835"/>
    <d v="2012-06-16T22:24:30"/>
    <n v="20500"/>
    <n v="20500"/>
    <s v="GBP"/>
    <n v="32311.654577379326"/>
    <x v="5"/>
    <x v="0"/>
    <s v="UK"/>
    <x v="14"/>
    <x v="0"/>
    <n v="20"/>
  </r>
  <r>
    <x v="1836"/>
    <d v="2012-06-17T01:34:46"/>
    <s v="4,00,000"/>
    <n v="400000"/>
    <s v="INR"/>
    <n v="7123.1666749770275"/>
    <x v="426"/>
    <x v="0"/>
    <s v="India"/>
    <x v="0"/>
    <x v="3"/>
    <n v="2"/>
  </r>
  <r>
    <x v="1837"/>
    <d v="2012-06-17T04:02:00"/>
    <s v="US$100,000"/>
    <n v="100000"/>
    <s v="USD"/>
    <n v="100000"/>
    <x v="1099"/>
    <x v="3"/>
    <s v="UAE"/>
    <x v="21"/>
    <x v="1"/>
    <n v="15"/>
  </r>
  <r>
    <x v="1838"/>
    <d v="2012-06-17T11:38:53"/>
    <n v="75000"/>
    <n v="75000"/>
    <s v="NZD"/>
    <n v="59819.107020370408"/>
    <x v="347"/>
    <x v="5"/>
    <s v="New Zealand"/>
    <x v="48"/>
    <x v="0"/>
    <n v="4"/>
  </r>
  <r>
    <x v="1839"/>
    <d v="2012-06-17T12:00:57"/>
    <n v="25000"/>
    <n v="25000"/>
    <s v="USD"/>
    <n v="25000"/>
    <x v="79"/>
    <x v="0"/>
    <s v="India"/>
    <x v="0"/>
    <x v="1"/>
    <n v="1.5"/>
  </r>
  <r>
    <x v="1840"/>
    <d v="2012-06-17T12:48:52"/>
    <n v="5000"/>
    <n v="5000"/>
    <s v="USD"/>
    <n v="5000"/>
    <x v="74"/>
    <x v="0"/>
    <s v="India"/>
    <x v="0"/>
    <x v="2"/>
    <n v="10"/>
  </r>
  <r>
    <x v="1841"/>
    <d v="2012-06-17T13:26:38"/>
    <s v="AUD63000"/>
    <n v="63000"/>
    <s v="AUD"/>
    <n v="64254.308353366054"/>
    <x v="1100"/>
    <x v="5"/>
    <s v="Australia"/>
    <x v="16"/>
    <x v="1"/>
    <n v="3"/>
  </r>
  <r>
    <x v="1842"/>
    <d v="2012-06-17T16:01:50"/>
    <n v="60000"/>
    <n v="60000"/>
    <s v="EUR"/>
    <n v="76223.966339496474"/>
    <x v="1101"/>
    <x v="3"/>
    <s v="Germany"/>
    <x v="5"/>
    <x v="0"/>
    <n v="6"/>
  </r>
  <r>
    <x v="1843"/>
    <d v="2012-06-18T05:42:18"/>
    <n v="600000"/>
    <n v="600000"/>
    <s v="DKK"/>
    <n v="102542.54233725216"/>
    <x v="306"/>
    <x v="2"/>
    <s v="DK"/>
    <x v="61"/>
    <x v="2"/>
    <n v="20"/>
  </r>
  <r>
    <x v="1844"/>
    <d v="2012-06-18T06:14:35"/>
    <n v="46000"/>
    <n v="46000"/>
    <s v="USD"/>
    <n v="46000"/>
    <x v="1102"/>
    <x v="0"/>
    <s v="USA"/>
    <x v="2"/>
    <x v="1"/>
    <n v="1"/>
  </r>
  <r>
    <x v="1845"/>
    <d v="2012-06-18T08:19:01"/>
    <n v="5000"/>
    <n v="5000"/>
    <s v="USD"/>
    <n v="5000"/>
    <x v="1103"/>
    <x v="0"/>
    <s v="India"/>
    <x v="0"/>
    <x v="1"/>
    <n v="2"/>
  </r>
  <r>
    <x v="1846"/>
    <d v="2012-06-18T14:27:59"/>
    <s v="$AUD 76300"/>
    <n v="76300"/>
    <s v="AUD"/>
    <n v="77819.106783521114"/>
    <x v="242"/>
    <x v="0"/>
    <s v="Australia"/>
    <x v="16"/>
    <x v="1"/>
    <n v="3"/>
  </r>
  <r>
    <x v="1847"/>
    <d v="2012-06-18T17:51:52"/>
    <s v="Rs. 350000"/>
    <n v="350000"/>
    <s v="INR"/>
    <n v="6232.7708406048987"/>
    <x v="1104"/>
    <x v="3"/>
    <s v="India"/>
    <x v="0"/>
    <x v="2"/>
    <n v="27"/>
  </r>
  <r>
    <x v="1848"/>
    <d v="2012-06-18T18:26:47"/>
    <s v="Â£35000"/>
    <n v="35000"/>
    <s v="GBP"/>
    <n v="55166.239522354947"/>
    <x v="1105"/>
    <x v="0"/>
    <s v="UK"/>
    <x v="14"/>
    <x v="1"/>
    <n v="34"/>
  </r>
  <r>
    <x v="1849"/>
    <d v="2012-06-19T00:23:24"/>
    <n v="45000"/>
    <n v="45000"/>
    <s v="USD"/>
    <n v="45000"/>
    <x v="38"/>
    <x v="5"/>
    <s v="USA"/>
    <x v="2"/>
    <x v="2"/>
    <n v="5"/>
  </r>
  <r>
    <x v="1850"/>
    <d v="2012-06-19T01:49:49"/>
    <s v="60k usd"/>
    <n v="60000"/>
    <s v="USD"/>
    <n v="60000"/>
    <x v="169"/>
    <x v="3"/>
    <s v="Canada"/>
    <x v="17"/>
    <x v="2"/>
    <n v="10"/>
  </r>
  <r>
    <x v="1851"/>
    <d v="2012-06-19T03:25:34"/>
    <n v="43000"/>
    <n v="43000"/>
    <s v="USD"/>
    <n v="43000"/>
    <x v="420"/>
    <x v="0"/>
    <s v="USA"/>
    <x v="2"/>
    <x v="0"/>
    <n v="5"/>
  </r>
  <r>
    <x v="1852"/>
    <d v="2012-06-19T04:55:06"/>
    <n v="28000"/>
    <n v="28000"/>
    <s v="EUR"/>
    <n v="35571.184291765021"/>
    <x v="236"/>
    <x v="1"/>
    <s v="Spain"/>
    <x v="47"/>
    <x v="0"/>
    <n v="8"/>
  </r>
  <r>
    <x v="1853"/>
    <d v="2012-06-19T06:50:47"/>
    <n v="48000"/>
    <n v="48000"/>
    <s v="USD"/>
    <n v="48000"/>
    <x v="1106"/>
    <x v="0"/>
    <s v="USA"/>
    <x v="2"/>
    <x v="0"/>
    <n v="12"/>
  </r>
  <r>
    <x v="1854"/>
    <d v="2012-06-19T07:59:00"/>
    <n v="120000"/>
    <n v="120000"/>
    <s v="AUD"/>
    <n v="122389.15876831629"/>
    <x v="20"/>
    <x v="3"/>
    <s v="Australia"/>
    <x v="16"/>
    <x v="3"/>
    <n v="8"/>
  </r>
  <r>
    <x v="1855"/>
    <d v="2012-06-19T12:39:16"/>
    <n v="4000"/>
    <n v="4000"/>
    <s v="USD"/>
    <n v="4000"/>
    <x v="1107"/>
    <x v="0"/>
    <s v="India"/>
    <x v="0"/>
    <x v="2"/>
    <n v="4"/>
  </r>
  <r>
    <x v="1856"/>
    <d v="2012-06-19T15:15:38"/>
    <n v="250000"/>
    <n v="250000"/>
    <s v="INR"/>
    <n v="4451.9791718606421"/>
    <x v="442"/>
    <x v="7"/>
    <s v="India"/>
    <x v="0"/>
    <x v="0"/>
    <n v="3"/>
  </r>
  <r>
    <x v="1857"/>
    <d v="2012-06-19T17:01:38"/>
    <s v="52,224.00ETB"/>
    <n v="52224"/>
    <s v="ETB"/>
    <n v="2953.8461538461538"/>
    <x v="1108"/>
    <x v="7"/>
    <s v="Ethiopia"/>
    <x v="101"/>
    <x v="0"/>
    <n v="3"/>
  </r>
  <r>
    <x v="1858"/>
    <d v="2012-06-19T18:17:42"/>
    <n v="25000"/>
    <n v="25000"/>
    <s v="GBP"/>
    <n v="39404.456801682099"/>
    <x v="79"/>
    <x v="0"/>
    <s v="UK"/>
    <x v="14"/>
    <x v="0"/>
    <n v="3"/>
  </r>
  <r>
    <x v="1859"/>
    <d v="2012-06-19T19:33:25"/>
    <n v="74000"/>
    <n v="74000"/>
    <s v="AUD"/>
    <n v="75473.31457379504"/>
    <x v="699"/>
    <x v="0"/>
    <s v="Australia"/>
    <x v="16"/>
    <x v="0"/>
    <n v="8"/>
  </r>
  <r>
    <x v="1860"/>
    <d v="2012-06-19T20:16:30"/>
    <n v="750000"/>
    <n v="750000"/>
    <s v="INR"/>
    <n v="13355.937515581925"/>
    <x v="5"/>
    <x v="0"/>
    <s v="India"/>
    <x v="0"/>
    <x v="0"/>
    <n v="5"/>
  </r>
  <r>
    <x v="1861"/>
    <d v="2012-06-19T20:35:35"/>
    <n v="25000"/>
    <n v="25000"/>
    <s v="USD"/>
    <n v="25000"/>
    <x v="40"/>
    <x v="3"/>
    <s v="India"/>
    <x v="0"/>
    <x v="0"/>
    <n v="10"/>
  </r>
  <r>
    <x v="1862"/>
    <d v="2012-06-19T21:01:21"/>
    <n v="420000"/>
    <n v="420000"/>
    <s v="INR"/>
    <n v="7479.3250087258784"/>
    <x v="5"/>
    <x v="0"/>
    <s v="India"/>
    <x v="0"/>
    <x v="0"/>
    <n v="2"/>
  </r>
  <r>
    <x v="1863"/>
    <d v="2012-06-19T21:06:16"/>
    <n v="62000"/>
    <n v="62000"/>
    <s v="USD"/>
    <n v="62000"/>
    <x v="5"/>
    <x v="0"/>
    <s v="USA"/>
    <x v="2"/>
    <x v="0"/>
    <n v="4"/>
  </r>
  <r>
    <x v="1864"/>
    <d v="2012-06-19T21:32:36"/>
    <n v="48000"/>
    <n v="48000"/>
    <s v="USD"/>
    <n v="48000"/>
    <x v="1109"/>
    <x v="0"/>
    <s v="USA"/>
    <x v="2"/>
    <x v="0"/>
    <n v="1"/>
  </r>
  <r>
    <x v="1865"/>
    <d v="2012-06-19T22:42:55"/>
    <n v="5000"/>
    <n v="5000"/>
    <s v="USD"/>
    <n v="5000"/>
    <x v="1110"/>
    <x v="9"/>
    <s v="India"/>
    <x v="0"/>
    <x v="0"/>
    <n v="3"/>
  </r>
  <r>
    <x v="1866"/>
    <d v="2012-06-20T00:27:54"/>
    <s v="Rs23000/month"/>
    <n v="276000"/>
    <s v="INR"/>
    <n v="4914.9850057341491"/>
    <x v="1111"/>
    <x v="7"/>
    <s v="India"/>
    <x v="0"/>
    <x v="1"/>
    <n v="6"/>
  </r>
  <r>
    <x v="1867"/>
    <d v="2012-06-20T00:55:28"/>
    <n v="75000"/>
    <n v="75000"/>
    <s v="USD"/>
    <n v="75000"/>
    <x v="79"/>
    <x v="0"/>
    <s v="USA"/>
    <x v="2"/>
    <x v="3"/>
    <n v="3"/>
  </r>
  <r>
    <x v="1868"/>
    <d v="2012-06-20T01:20:49"/>
    <n v="250000"/>
    <n v="250000"/>
    <s v="INR"/>
    <n v="4451.9791718606421"/>
    <x v="399"/>
    <x v="0"/>
    <s v="India"/>
    <x v="0"/>
    <x v="4"/>
    <n v="1.6"/>
  </r>
  <r>
    <x v="1869"/>
    <d v="2012-06-20T01:43:12"/>
    <n v="700"/>
    <n v="8400"/>
    <s v="USD"/>
    <n v="8400"/>
    <x v="547"/>
    <x v="7"/>
    <s v="India"/>
    <x v="0"/>
    <x v="1"/>
    <n v="6"/>
  </r>
  <r>
    <x v="1870"/>
    <d v="2012-06-20T01:54:10"/>
    <n v="20000"/>
    <n v="20000"/>
    <s v="USD"/>
    <n v="20000"/>
    <x v="1112"/>
    <x v="3"/>
    <s v="India"/>
    <x v="0"/>
    <x v="2"/>
    <n v="5"/>
  </r>
  <r>
    <x v="1871"/>
    <d v="2012-06-20T02:31:52"/>
    <n v="110000"/>
    <n v="110000"/>
    <s v="USD"/>
    <n v="110000"/>
    <x v="1113"/>
    <x v="4"/>
    <s v="USA"/>
    <x v="2"/>
    <x v="0"/>
    <n v="10"/>
  </r>
  <r>
    <x v="1872"/>
    <d v="2012-06-20T03:52:40"/>
    <n v="50000"/>
    <n v="50000"/>
    <s v="USD"/>
    <n v="50000"/>
    <x v="1114"/>
    <x v="0"/>
    <s v="USA"/>
    <x v="2"/>
    <x v="1"/>
    <n v="3.5"/>
  </r>
  <r>
    <x v="1873"/>
    <d v="2012-06-20T03:55:55"/>
    <n v="46000"/>
    <n v="46000"/>
    <s v="USD"/>
    <n v="46000"/>
    <x v="1115"/>
    <x v="0"/>
    <s v="USA"/>
    <x v="2"/>
    <x v="0"/>
    <n v="8"/>
  </r>
  <r>
    <x v="1874"/>
    <d v="2012-06-20T05:03:44"/>
    <n v="115000"/>
    <n v="115000"/>
    <s v="USD"/>
    <n v="115000"/>
    <x v="12"/>
    <x v="0"/>
    <s v="USA"/>
    <x v="2"/>
    <x v="1"/>
    <n v="15"/>
  </r>
  <r>
    <x v="1875"/>
    <d v="2012-06-20T12:53:56"/>
    <n v="180000"/>
    <n v="180000"/>
    <s v="INR"/>
    <n v="3205.4250037396623"/>
    <x v="1116"/>
    <x v="0"/>
    <s v="India"/>
    <x v="0"/>
    <x v="0"/>
    <n v="3"/>
  </r>
  <r>
    <x v="1876"/>
    <d v="2012-06-20T13:05:17"/>
    <s v="60000 EUR"/>
    <n v="60000"/>
    <s v="EUR"/>
    <n v="76223.966339496474"/>
    <x v="89"/>
    <x v="3"/>
    <s v="Europe"/>
    <x v="87"/>
    <x v="2"/>
    <n v="20"/>
  </r>
  <r>
    <x v="1877"/>
    <d v="2012-06-20T14:08:51"/>
    <n v="52500"/>
    <n v="52500"/>
    <s v="USD"/>
    <n v="52500"/>
    <x v="1117"/>
    <x v="0"/>
    <s v="south africa"/>
    <x v="11"/>
    <x v="0"/>
    <n v="21"/>
  </r>
  <r>
    <x v="1878"/>
    <d v="2012-06-20T20:58:23"/>
    <n v="8400"/>
    <n v="100800"/>
    <s v="USD"/>
    <n v="100800"/>
    <x v="964"/>
    <x v="4"/>
    <s v="Oman"/>
    <x v="102"/>
    <x v="0"/>
    <n v="4"/>
  </r>
  <r>
    <x v="1879"/>
    <d v="2012-06-21T03:46:23"/>
    <n v="21000"/>
    <n v="21000"/>
    <s v="USD"/>
    <n v="21000"/>
    <x v="1118"/>
    <x v="9"/>
    <s v="India"/>
    <x v="0"/>
    <x v="1"/>
    <n v="5"/>
  </r>
  <r>
    <x v="1880"/>
    <d v="2012-06-21T04:06:15"/>
    <n v="40000"/>
    <n v="40000"/>
    <s v="USD"/>
    <n v="40000"/>
    <x v="1119"/>
    <x v="0"/>
    <s v="USA"/>
    <x v="2"/>
    <x v="3"/>
    <n v="3"/>
  </r>
  <r>
    <x v="1881"/>
    <d v="2012-06-21T04:44:20"/>
    <n v="46359"/>
    <n v="46359"/>
    <s v="USD"/>
    <n v="46359"/>
    <x v="79"/>
    <x v="0"/>
    <s v="USA"/>
    <x v="2"/>
    <x v="1"/>
    <n v="5"/>
  </r>
  <r>
    <x v="1882"/>
    <d v="2012-06-21T04:46:24"/>
    <n v="70000"/>
    <n v="70000"/>
    <s v="USD"/>
    <n v="70000"/>
    <x v="1120"/>
    <x v="0"/>
    <s v="USA"/>
    <x v="2"/>
    <x v="0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49" applyNumberFormats="0" applyBorderFormats="0" applyFontFormats="0" applyPatternFormats="0" applyAlignmentFormats="0" applyWidthHeightFormats="1" dataCaption="Values" updatedVersion="3" minRefreshableVersion="3" showCalcMbrs="0" showDrill="0" showDataTips="0" preserveFormatting="0" rowGrandTotals="0" colGrandTotals="0" itemPrintTitles="1" createdVersion="3" indent="0" showHeaders="0" outline="1" outlineData="1" multipleFieldFilters="0" customListSort="0">
  <location ref="G5:G26" firstHeaderRow="0" firstDataRow="0" firstDataCol="1" rowPageCount="1" colPageCount="1"/>
  <pivotFields count="12">
    <pivotField showAll="0"/>
    <pivotField numFmtId="164" showAll="0"/>
    <pivotField showAll="0"/>
    <pivotField showAll="0"/>
    <pivotField showAll="0"/>
    <pivotField showAll="0"/>
    <pivotField axis="axisRow" showAll="0">
      <items count="1122">
        <item x="1097"/>
        <item x="1110"/>
        <item x="33"/>
        <item x="1044"/>
        <item x="358"/>
        <item x="596"/>
        <item x="189"/>
        <item x="411"/>
        <item x="136"/>
        <item x="693"/>
        <item x="176"/>
        <item x="93"/>
        <item x="524"/>
        <item x="308"/>
        <item x="385"/>
        <item x="889"/>
        <item x="870"/>
        <item x="888"/>
        <item x="157"/>
        <item x="483"/>
        <item x="501"/>
        <item x="727"/>
        <item x="670"/>
        <item x="931"/>
        <item x="493"/>
        <item x="460"/>
        <item x="471"/>
        <item x="520"/>
        <item x="1079"/>
        <item x="1013"/>
        <item x="1094"/>
        <item x="104"/>
        <item x="74"/>
        <item x="745"/>
        <item x="368"/>
        <item x="163"/>
        <item x="156"/>
        <item x="1120"/>
        <item x="230"/>
        <item x="959"/>
        <item x="270"/>
        <item x="17"/>
        <item x="1028"/>
        <item x="440"/>
        <item x="318"/>
        <item x="1076"/>
        <item x="819"/>
        <item x="731"/>
        <item x="1102"/>
        <item x="735"/>
        <item x="1010"/>
        <item x="1048"/>
        <item x="562"/>
        <item x="5"/>
        <item x="1103"/>
        <item x="214"/>
        <item x="23"/>
        <item x="611"/>
        <item x="393"/>
        <item x="962"/>
        <item x="103"/>
        <item x="209"/>
        <item x="560"/>
        <item x="975"/>
        <item x="556"/>
        <item x="25"/>
        <item x="476"/>
        <item x="590"/>
        <item x="954"/>
        <item x="469"/>
        <item x="650"/>
        <item x="329"/>
        <item x="276"/>
        <item x="414"/>
        <item x="1050"/>
        <item x="724"/>
        <item x="179"/>
        <item x="1066"/>
        <item x="795"/>
        <item x="702"/>
        <item x="983"/>
        <item x="437"/>
        <item x="879"/>
        <item x="896"/>
        <item x="634"/>
        <item x="592"/>
        <item x="513"/>
        <item x="457"/>
        <item x="295"/>
        <item x="963"/>
        <item x="265"/>
        <item x="682"/>
        <item x="7"/>
        <item x="381"/>
        <item x="874"/>
        <item x="655"/>
        <item x="1060"/>
        <item x="1036"/>
        <item x="526"/>
        <item x="973"/>
        <item x="591"/>
        <item x="647"/>
        <item x="809"/>
        <item x="143"/>
        <item x="459"/>
        <item x="497"/>
        <item x="516"/>
        <item x="938"/>
        <item x="598"/>
        <item x="482"/>
        <item x="659"/>
        <item x="160"/>
        <item x="465"/>
        <item x="621"/>
        <item x="830"/>
        <item x="384"/>
        <item x="94"/>
        <item x="489"/>
        <item x="794"/>
        <item x="768"/>
        <item x="486"/>
        <item x="661"/>
        <item x="645"/>
        <item x="485"/>
        <item x="9"/>
        <item x="448"/>
        <item x="219"/>
        <item x="964"/>
        <item x="793"/>
        <item x="142"/>
        <item x="673"/>
        <item x="1029"/>
        <item x="1070"/>
        <item x="527"/>
        <item x="369"/>
        <item x="532"/>
        <item x="664"/>
        <item x="725"/>
        <item x="456"/>
        <item x="327"/>
        <item x="994"/>
        <item x="629"/>
        <item x="563"/>
        <item x="675"/>
        <item x="576"/>
        <item x="425"/>
        <item x="551"/>
        <item x="523"/>
        <item x="190"/>
        <item x="940"/>
        <item x="141"/>
        <item x="48"/>
        <item x="831"/>
        <item x="315"/>
        <item x="54"/>
        <item x="615"/>
        <item x="1117"/>
        <item x="36"/>
        <item x="561"/>
        <item x="972"/>
        <item x="264"/>
        <item x="12"/>
        <item x="734"/>
        <item x="749"/>
        <item x="1034"/>
        <item x="836"/>
        <item x="718"/>
        <item x="930"/>
        <item x="377"/>
        <item x="649"/>
        <item x="161"/>
        <item x="681"/>
        <item x="203"/>
        <item x="15"/>
        <item x="678"/>
        <item x="943"/>
        <item x="478"/>
        <item x="689"/>
        <item x="839"/>
        <item x="167"/>
        <item x="912"/>
        <item x="351"/>
        <item x="891"/>
        <item x="353"/>
        <item x="374"/>
        <item x="860"/>
        <item x="957"/>
        <item x="694"/>
        <item x="121"/>
        <item x="158"/>
        <item x="631"/>
        <item x="982"/>
        <item x="610"/>
        <item x="512"/>
        <item x="56"/>
        <item x="1003"/>
        <item x="120"/>
        <item x="1011"/>
        <item x="169"/>
        <item x="606"/>
        <item x="463"/>
        <item x="480"/>
        <item x="302"/>
        <item x="180"/>
        <item x="538"/>
        <item x="893"/>
        <item x="968"/>
        <item x="361"/>
        <item x="998"/>
        <item x="198"/>
        <item x="663"/>
        <item x="733"/>
        <item x="296"/>
        <item x="286"/>
        <item x="786"/>
        <item x="8"/>
        <item x="132"/>
        <item x="81"/>
        <item x="909"/>
        <item x="370"/>
        <item x="758"/>
        <item x="1083"/>
        <item x="166"/>
        <item x="27"/>
        <item x="301"/>
        <item x="354"/>
        <item x="845"/>
        <item x="620"/>
        <item x="705"/>
        <item x="873"/>
        <item x="984"/>
        <item x="452"/>
        <item x="599"/>
        <item x="347"/>
        <item x="593"/>
        <item x="282"/>
        <item x="530"/>
        <item x="514"/>
        <item x="508"/>
        <item x="1041"/>
        <item x="305"/>
        <item x="622"/>
        <item x="933"/>
        <item x="723"/>
        <item x="35"/>
        <item x="784"/>
        <item x="152"/>
        <item x="239"/>
        <item x="137"/>
        <item x="517"/>
        <item x="423"/>
        <item x="989"/>
        <item x="59"/>
        <item x="1015"/>
        <item x="446"/>
        <item x="338"/>
        <item x="298"/>
        <item x="788"/>
        <item x="1022"/>
        <item x="911"/>
        <item x="236"/>
        <item x="915"/>
        <item x="823"/>
        <item x="387"/>
        <item x="462"/>
        <item x="965"/>
        <item x="34"/>
        <item x="458"/>
        <item x="416"/>
        <item x="52"/>
        <item x="447"/>
        <item x="728"/>
        <item x="507"/>
        <item x="1119"/>
        <item x="127"/>
        <item x="402"/>
        <item x="1"/>
        <item x="744"/>
        <item x="585"/>
        <item x="412"/>
        <item x="864"/>
        <item x="319"/>
        <item x="613"/>
        <item x="835"/>
        <item x="644"/>
        <item x="643"/>
        <item x="1085"/>
        <item x="199"/>
        <item x="1116"/>
        <item x="999"/>
        <item x="1039"/>
        <item x="1057"/>
        <item x="625"/>
        <item x="503"/>
        <item x="79"/>
        <item x="521"/>
        <item x="866"/>
        <item x="742"/>
        <item x="684"/>
        <item x="1067"/>
        <item x="858"/>
        <item x="721"/>
        <item x="1042"/>
        <item x="929"/>
        <item x="1018"/>
        <item x="356"/>
        <item x="570"/>
        <item x="1001"/>
        <item x="651"/>
        <item x="1049"/>
        <item x="256"/>
        <item x="68"/>
        <item x="995"/>
        <item x="108"/>
        <item x="204"/>
        <item x="932"/>
        <item x="211"/>
        <item x="155"/>
        <item x="902"/>
        <item x="314"/>
        <item x="398"/>
        <item x="586"/>
        <item x="32"/>
        <item x="781"/>
        <item x="703"/>
        <item x="704"/>
        <item x="1052"/>
        <item x="707"/>
        <item x="967"/>
        <item x="875"/>
        <item x="1081"/>
        <item x="568"/>
        <item x="822"/>
        <item x="339"/>
        <item x="1009"/>
        <item x="69"/>
        <item x="147"/>
        <item x="916"/>
        <item x="174"/>
        <item x="193"/>
        <item x="76"/>
        <item x="280"/>
        <item x="394"/>
        <item x="834"/>
        <item x="433"/>
        <item x="636"/>
        <item x="544"/>
        <item x="577"/>
        <item x="408"/>
        <item x="808"/>
        <item x="601"/>
        <item x="753"/>
        <item x="249"/>
        <item x="213"/>
        <item x="19"/>
        <item x="971"/>
        <item x="378"/>
        <item x="1053"/>
        <item x="1008"/>
        <item x="294"/>
        <item x="771"/>
        <item x="466"/>
        <item x="862"/>
        <item x="803"/>
        <item x="188"/>
        <item x="849"/>
        <item x="600"/>
        <item x="306"/>
        <item x="50"/>
        <item x="846"/>
        <item x="837"/>
        <item x="220"/>
        <item x="217"/>
        <item x="1005"/>
        <item x="979"/>
        <item x="780"/>
        <item x="1118"/>
        <item x="1045"/>
        <item x="499"/>
        <item x="502"/>
        <item x="926"/>
        <item x="201"/>
        <item x="746"/>
        <item x="666"/>
        <item x="802"/>
        <item x="396"/>
        <item x="63"/>
        <item x="16"/>
        <item x="324"/>
        <item x="66"/>
        <item x="1023"/>
        <item x="444"/>
        <item x="148"/>
        <item x="992"/>
        <item x="233"/>
        <item x="944"/>
        <item x="814"/>
        <item x="344"/>
        <item x="422"/>
        <item x="872"/>
        <item x="612"/>
        <item x="686"/>
        <item x="687"/>
        <item x="115"/>
        <item x="363"/>
        <item x="410"/>
        <item x="633"/>
        <item x="750"/>
        <item x="594"/>
        <item x="244"/>
        <item x="341"/>
        <item x="207"/>
        <item x="388"/>
        <item x="925"/>
        <item x="566"/>
        <item x="330"/>
        <item x="806"/>
        <item x="730"/>
        <item x="2"/>
        <item x="1038"/>
        <item x="1021"/>
        <item x="57"/>
        <item x="899"/>
        <item x="78"/>
        <item x="555"/>
        <item x="96"/>
        <item x="618"/>
        <item x="320"/>
        <item x="1071"/>
        <item x="602"/>
        <item x="1100"/>
        <item x="824"/>
        <item x="47"/>
        <item x="259"/>
        <item x="247"/>
        <item x="752"/>
        <item x="135"/>
        <item x="565"/>
        <item x="107"/>
        <item x="42"/>
        <item x="197"/>
        <item x="1012"/>
        <item x="272"/>
        <item x="216"/>
        <item x="18"/>
        <item x="713"/>
        <item x="1019"/>
        <item x="477"/>
        <item x="241"/>
        <item x="77"/>
        <item x="350"/>
        <item x="571"/>
        <item x="427"/>
        <item x="626"/>
        <item x="977"/>
        <item x="55"/>
        <item x="739"/>
        <item x="656"/>
        <item x="364"/>
        <item x="431"/>
        <item x="557"/>
        <item x="605"/>
        <item x="237"/>
        <item x="877"/>
        <item x="558"/>
        <item x="343"/>
        <item x="192"/>
        <item x="1090"/>
        <item x="920"/>
        <item x="186"/>
        <item x="641"/>
        <item x="805"/>
        <item x="852"/>
        <item x="251"/>
        <item x="490"/>
        <item x="415"/>
        <item x="435"/>
        <item x="116"/>
        <item x="144"/>
        <item x="773"/>
        <item x="928"/>
        <item x="119"/>
        <item x="145"/>
        <item x="1089"/>
        <item x="246"/>
        <item x="175"/>
        <item x="309"/>
        <item x="102"/>
        <item x="172"/>
        <item x="196"/>
        <item x="403"/>
        <item x="484"/>
        <item x="1106"/>
        <item x="884"/>
        <item x="706"/>
        <item x="112"/>
        <item x="755"/>
        <item x="461"/>
        <item x="553"/>
        <item x="300"/>
        <item x="322"/>
        <item x="231"/>
        <item x="883"/>
        <item x="88"/>
        <item x="736"/>
        <item x="75"/>
        <item x="574"/>
        <item x="281"/>
        <item x="955"/>
        <item x="981"/>
        <item x="782"/>
        <item x="321"/>
        <item x="373"/>
        <item x="406"/>
        <item x="85"/>
        <item x="978"/>
        <item x="1065"/>
        <item x="380"/>
        <item x="178"/>
        <item x="840"/>
        <item x="939"/>
        <item x="711"/>
        <item x="529"/>
        <item x="1074"/>
        <item x="868"/>
        <item x="766"/>
        <item x="1058"/>
        <item x="719"/>
        <item x="887"/>
        <item x="826"/>
        <item x="548"/>
        <item x="371"/>
        <item x="504"/>
        <item x="737"/>
        <item x="700"/>
        <item x="542"/>
        <item x="162"/>
        <item x="895"/>
        <item x="903"/>
        <item x="974"/>
        <item x="1054"/>
        <item x="1043"/>
        <item x="472"/>
        <item x="1000"/>
        <item x="224"/>
        <item x="248"/>
        <item x="303"/>
        <item x="337"/>
        <item x="29"/>
        <item x="654"/>
        <item x="720"/>
        <item x="674"/>
        <item x="564"/>
        <item x="946"/>
        <item x="549"/>
        <item x="20"/>
        <item x="950"/>
        <item x="597"/>
        <item x="1086"/>
        <item x="815"/>
        <item x="390"/>
        <item x="787"/>
        <item x="335"/>
        <item x="1020"/>
        <item x="111"/>
        <item x="194"/>
        <item x="761"/>
        <item x="892"/>
        <item x="765"/>
        <item x="1096"/>
        <item x="759"/>
        <item x="680"/>
        <item x="372"/>
        <item x="859"/>
        <item x="603"/>
        <item x="1061"/>
        <item x="843"/>
        <item x="263"/>
        <item x="797"/>
        <item x="474"/>
        <item x="195"/>
        <item x="1104"/>
        <item x="134"/>
        <item x="886"/>
        <item x="867"/>
        <item x="70"/>
        <item x="1064"/>
        <item x="751"/>
        <item x="129"/>
        <item x="729"/>
        <item x="291"/>
        <item x="367"/>
        <item x="559"/>
        <item x="688"/>
        <item x="99"/>
        <item x="552"/>
        <item x="110"/>
        <item x="243"/>
        <item x="67"/>
        <item x="1109"/>
        <item x="290"/>
        <item x="997"/>
        <item x="1095"/>
        <item x="21"/>
        <item x="1091"/>
        <item x="623"/>
        <item x="567"/>
        <item x="985"/>
        <item x="937"/>
        <item x="404"/>
        <item x="776"/>
        <item x="790"/>
        <item x="535"/>
        <item x="1093"/>
        <item x="228"/>
        <item x="696"/>
        <item x="850"/>
        <item x="853"/>
        <item x="838"/>
        <item x="183"/>
        <item x="588"/>
        <item x="627"/>
        <item x="935"/>
        <item x="509"/>
        <item x="383"/>
        <item x="312"/>
        <item x="417"/>
        <item x="908"/>
        <item x="726"/>
        <item x="708"/>
        <item x="223"/>
        <item x="488"/>
        <item x="658"/>
        <item x="0"/>
        <item x="820"/>
        <item x="856"/>
        <item x="811"/>
        <item x="269"/>
        <item x="531"/>
        <item x="442"/>
        <item x="829"/>
        <item x="299"/>
        <item x="1111"/>
        <item x="716"/>
        <item x="114"/>
        <item x="609"/>
        <item x="1073"/>
        <item x="58"/>
        <item x="550"/>
        <item x="495"/>
        <item x="222"/>
        <item x="669"/>
        <item x="1112"/>
        <item x="816"/>
        <item x="740"/>
        <item x="1024"/>
        <item x="709"/>
        <item x="987"/>
        <item x="774"/>
        <item x="348"/>
        <item x="697"/>
        <item x="743"/>
        <item x="913"/>
        <item x="756"/>
        <item x="271"/>
        <item x="901"/>
        <item x="43"/>
        <item x="608"/>
        <item x="65"/>
        <item x="921"/>
        <item x="266"/>
        <item x="428"/>
        <item x="914"/>
        <item x="242"/>
        <item x="1114"/>
        <item x="635"/>
        <item x="95"/>
        <item x="173"/>
        <item x="554"/>
        <item x="653"/>
        <item x="945"/>
        <item x="92"/>
        <item x="546"/>
        <item x="789"/>
        <item x="346"/>
        <item x="949"/>
        <item x="1107"/>
        <item x="525"/>
        <item x="481"/>
        <item x="205"/>
        <item x="454"/>
        <item x="288"/>
        <item x="966"/>
        <item x="885"/>
        <item x="80"/>
        <item x="345"/>
        <item x="741"/>
        <item x="420"/>
        <item x="714"/>
        <item x="1072"/>
        <item x="328"/>
        <item x="671"/>
        <item x="900"/>
        <item x="275"/>
        <item x="1069"/>
        <item x="450"/>
        <item x="842"/>
        <item x="238"/>
        <item x="1101"/>
        <item x="464"/>
        <item x="1027"/>
        <item x="827"/>
        <item x="572"/>
        <item x="692"/>
        <item x="31"/>
        <item x="1115"/>
        <item x="46"/>
        <item x="1017"/>
        <item x="763"/>
        <item x="791"/>
        <item x="801"/>
        <item x="732"/>
        <item x="418"/>
        <item x="936"/>
        <item x="833"/>
        <item x="648"/>
        <item x="470"/>
        <item x="360"/>
        <item x="580"/>
        <item x="124"/>
        <item x="1105"/>
        <item x="898"/>
        <item x="919"/>
        <item x="1014"/>
        <item x="391"/>
        <item x="783"/>
        <item x="61"/>
        <item x="62"/>
        <item x="153"/>
        <item x="113"/>
        <item x="505"/>
        <item x="187"/>
        <item x="349"/>
        <item x="257"/>
        <item x="37"/>
        <item x="430"/>
        <item x="255"/>
        <item x="84"/>
        <item x="235"/>
        <item x="970"/>
        <item x="389"/>
        <item x="83"/>
        <item x="679"/>
        <item x="777"/>
        <item x="130"/>
        <item x="449"/>
        <item x="492"/>
        <item x="170"/>
        <item x="122"/>
        <item x="432"/>
        <item x="1080"/>
        <item x="614"/>
        <item x="533"/>
        <item x="677"/>
        <item x="695"/>
        <item x="1078"/>
        <item x="668"/>
        <item x="578"/>
        <item x="443"/>
        <item x="1108"/>
        <item x="13"/>
        <item x="1046"/>
        <item x="382"/>
        <item x="510"/>
        <item x="1037"/>
        <item x="24"/>
        <item x="890"/>
        <item x="89"/>
        <item x="881"/>
        <item x="118"/>
        <item x="154"/>
        <item x="817"/>
        <item x="261"/>
        <item x="660"/>
        <item x="149"/>
        <item x="128"/>
        <item x="807"/>
        <item x="227"/>
        <item x="1040"/>
        <item x="405"/>
        <item x="799"/>
        <item x="434"/>
        <item x="1068"/>
        <item x="701"/>
        <item x="951"/>
        <item x="138"/>
        <item x="604"/>
        <item x="582"/>
        <item x="262"/>
        <item x="439"/>
        <item x="293"/>
        <item x="961"/>
        <item x="760"/>
        <item x="283"/>
        <item x="401"/>
        <item x="3"/>
        <item x="844"/>
        <item x="4"/>
        <item x="630"/>
        <item x="747"/>
        <item x="455"/>
        <item x="445"/>
        <item x="1077"/>
        <item x="616"/>
        <item x="905"/>
        <item x="522"/>
        <item x="342"/>
        <item x="1047"/>
        <item x="818"/>
        <item x="798"/>
        <item x="376"/>
        <item x="667"/>
        <item x="722"/>
        <item x="506"/>
        <item x="171"/>
        <item x="638"/>
        <item x="541"/>
        <item x="1026"/>
        <item x="569"/>
        <item x="253"/>
        <item x="617"/>
        <item x="947"/>
        <item x="400"/>
        <item x="918"/>
        <item x="109"/>
        <item x="395"/>
        <item x="399"/>
        <item x="1082"/>
        <item x="98"/>
        <item x="355"/>
        <item x="357"/>
        <item x="800"/>
        <item x="191"/>
        <item x="379"/>
        <item x="642"/>
        <item x="1098"/>
        <item x="500"/>
        <item x="624"/>
        <item x="941"/>
        <item x="240"/>
        <item x="672"/>
        <item x="279"/>
        <item x="528"/>
        <item x="996"/>
        <item x="813"/>
        <item x="587"/>
        <item x="1035"/>
        <item x="51"/>
        <item x="254"/>
        <item x="22"/>
        <item x="82"/>
        <item x="436"/>
        <item x="1092"/>
        <item x="441"/>
        <item x="467"/>
        <item x="150"/>
        <item x="1062"/>
        <item x="515"/>
        <item x="632"/>
        <item x="304"/>
        <item x="413"/>
        <item x="438"/>
        <item x="712"/>
        <item x="229"/>
        <item x="906"/>
        <item x="762"/>
        <item x="53"/>
        <item x="969"/>
        <item x="105"/>
        <item x="39"/>
        <item x="1051"/>
        <item x="573"/>
        <item x="534"/>
        <item x="44"/>
        <item x="11"/>
        <item x="38"/>
        <item x="210"/>
        <item x="45"/>
        <item x="772"/>
        <item x="139"/>
        <item x="49"/>
        <item x="882"/>
        <item x="579"/>
        <item x="828"/>
        <item x="1059"/>
        <item x="986"/>
        <item x="292"/>
        <item x="876"/>
        <item x="289"/>
        <item x="804"/>
        <item x="923"/>
        <item x="332"/>
        <item x="30"/>
        <item x="924"/>
        <item x="362"/>
        <item x="268"/>
        <item x="1033"/>
        <item x="125"/>
        <item x="274"/>
        <item x="869"/>
        <item x="451"/>
        <item x="775"/>
        <item x="1032"/>
        <item x="117"/>
        <item x="267"/>
        <item x="41"/>
        <item x="1099"/>
        <item x="1084"/>
        <item x="607"/>
        <item x="785"/>
        <item x="980"/>
        <item x="1075"/>
        <item x="848"/>
        <item x="910"/>
        <item x="1025"/>
        <item x="6"/>
        <item x="311"/>
        <item x="1007"/>
        <item x="543"/>
        <item x="72"/>
        <item x="810"/>
        <item x="221"/>
        <item x="151"/>
        <item x="284"/>
        <item x="857"/>
        <item x="738"/>
        <item x="988"/>
        <item x="164"/>
        <item x="904"/>
        <item x="182"/>
        <item x="1056"/>
        <item x="639"/>
        <item x="200"/>
        <item x="952"/>
        <item x="767"/>
        <item x="657"/>
        <item x="208"/>
        <item x="715"/>
        <item x="226"/>
        <item x="628"/>
        <item x="1030"/>
        <item x="252"/>
        <item x="769"/>
        <item x="698"/>
        <item x="28"/>
        <item x="123"/>
        <item x="948"/>
        <item x="106"/>
        <item x="87"/>
        <item x="907"/>
        <item x="498"/>
        <item x="126"/>
        <item x="676"/>
        <item x="1063"/>
        <item x="1006"/>
        <item x="159"/>
        <item x="313"/>
        <item x="496"/>
        <item x="1055"/>
        <item x="307"/>
        <item x="619"/>
        <item x="333"/>
        <item x="863"/>
        <item x="453"/>
        <item x="14"/>
        <item x="375"/>
        <item x="958"/>
        <item x="273"/>
        <item x="317"/>
        <item x="511"/>
        <item x="101"/>
        <item x="421"/>
        <item x="140"/>
        <item x="245"/>
        <item x="754"/>
        <item x="545"/>
        <item x="475"/>
        <item x="812"/>
        <item x="547"/>
        <item x="168"/>
        <item x="206"/>
        <item x="419"/>
        <item x="331"/>
        <item x="690"/>
        <item x="851"/>
        <item x="366"/>
        <item x="683"/>
        <item x="494"/>
        <item x="86"/>
        <item x="942"/>
        <item x="880"/>
        <item x="184"/>
        <item x="1087"/>
        <item x="779"/>
        <item x="310"/>
        <item x="710"/>
        <item x="652"/>
        <item x="1088"/>
        <item x="691"/>
        <item x="764"/>
        <item x="646"/>
        <item x="792"/>
        <item x="316"/>
        <item x="770"/>
        <item x="64"/>
        <item x="519"/>
        <item x="991"/>
        <item x="581"/>
        <item x="90"/>
        <item x="662"/>
        <item x="165"/>
        <item x="73"/>
        <item x="26"/>
        <item x="861"/>
        <item x="1016"/>
        <item x="584"/>
        <item x="326"/>
        <item x="748"/>
        <item x="285"/>
        <item x="917"/>
        <item x="583"/>
        <item x="258"/>
        <item x="956"/>
        <item x="575"/>
        <item x="250"/>
        <item x="993"/>
        <item x="897"/>
        <item x="825"/>
        <item x="232"/>
        <item x="637"/>
        <item x="927"/>
        <item x="990"/>
        <item x="518"/>
        <item x="841"/>
        <item x="287"/>
        <item x="778"/>
        <item x="699"/>
        <item x="491"/>
        <item x="468"/>
        <item x="429"/>
        <item x="1031"/>
        <item x="871"/>
        <item x="177"/>
        <item x="323"/>
        <item x="665"/>
        <item x="595"/>
        <item x="540"/>
        <item x="40"/>
        <item x="131"/>
        <item x="479"/>
        <item x="473"/>
        <item x="960"/>
        <item x="796"/>
        <item x="487"/>
        <item x="426"/>
        <item x="1004"/>
        <item x="181"/>
        <item x="407"/>
        <item x="60"/>
        <item x="976"/>
        <item x="539"/>
        <item x="424"/>
        <item x="133"/>
        <item x="225"/>
        <item x="260"/>
        <item x="854"/>
        <item x="821"/>
        <item x="934"/>
        <item x="922"/>
        <item x="146"/>
        <item x="397"/>
        <item x="297"/>
        <item x="589"/>
        <item x="10"/>
        <item x="717"/>
        <item x="277"/>
        <item x="865"/>
        <item x="91"/>
        <item x="352"/>
        <item x="878"/>
        <item x="218"/>
        <item x="97"/>
        <item x="71"/>
        <item x="392"/>
        <item x="894"/>
        <item x="847"/>
        <item x="685"/>
        <item x="1113"/>
        <item x="832"/>
        <item x="386"/>
        <item x="359"/>
        <item x="215"/>
        <item x="185"/>
        <item x="212"/>
        <item x="536"/>
        <item x="234"/>
        <item x="855"/>
        <item x="640"/>
        <item x="1002"/>
        <item x="757"/>
        <item x="336"/>
        <item x="100"/>
        <item x="278"/>
        <item x="334"/>
        <item x="202"/>
        <item x="325"/>
        <item x="340"/>
        <item x="953"/>
        <item x="409"/>
        <item x="365"/>
        <item x="537"/>
        <item t="default"/>
      </items>
    </pivotField>
    <pivotField showAll="0"/>
    <pivotField showAll="0"/>
    <pivotField axis="axisPage" showAll="0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</pivotField>
    <pivotField showAll="0"/>
    <pivotField showAll="0"/>
  </pivotFields>
  <rowFields count="1">
    <field x="6"/>
  </rowFields>
  <rowItems count="22">
    <i>
      <x v="9"/>
    </i>
    <i>
      <x v="53"/>
    </i>
    <i>
      <x v="154"/>
    </i>
    <i>
      <x v="161"/>
    </i>
    <i>
      <x v="175"/>
    </i>
    <i>
      <x v="247"/>
    </i>
    <i>
      <x v="260"/>
    </i>
    <i>
      <x v="292"/>
    </i>
    <i>
      <x v="360"/>
    </i>
    <i>
      <x v="407"/>
    </i>
    <i>
      <x v="412"/>
    </i>
    <i>
      <x v="418"/>
    </i>
    <i>
      <x v="484"/>
    </i>
    <i>
      <x v="516"/>
    </i>
    <i>
      <x v="620"/>
    </i>
    <i>
      <x v="666"/>
    </i>
    <i>
      <x v="770"/>
    </i>
    <i>
      <x v="847"/>
    </i>
    <i>
      <x v="848"/>
    </i>
    <i>
      <x v="854"/>
    </i>
    <i>
      <x v="1013"/>
    </i>
    <i>
      <x v="1077"/>
    </i>
  </rowItems>
  <colItems count="1">
    <i/>
  </colItems>
  <pageFields count="1">
    <pageField fld="9" item="64" hier="-1"/>
  </pageFields>
  <pivotTableStyleInfo name="PivotStyleMedium15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49" applyNumberFormats="0" applyBorderFormats="0" applyFontFormats="0" applyPatternFormats="0" applyAlignmentFormats="0" applyWidthHeightFormats="1" dataCaption="Values" updatedVersion="3" minRefreshableVersion="3" showCalcMbrs="0" showDrill="0" showDataTips="0" preserveFormatting="0" rowGrandTotals="0" colGrandTotals="0" itemPrintTitles="1" createdVersion="3" indent="0" showHeaders="0" outline="1" outlineData="1" multipleFieldFilters="0">
  <location ref="W4:W106" firstHeaderRow="0" firstDataRow="0" firstDataCol="1"/>
  <pivotFields count="12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</pivotField>
    <pivotField showAll="0"/>
    <pivotField showAll="0"/>
  </pivotFields>
  <rowFields count="1">
    <field x="9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</rowItems>
  <colItems count="1">
    <i/>
  </colItems>
  <pivotTableStyleInfo name="PivotStyleMedium15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1" cacheId="49" applyNumberFormats="0" applyBorderFormats="0" applyFontFormats="0" applyPatternFormats="0" applyAlignmentFormats="0" applyWidthHeightFormats="1" dataCaption="Values" updatedVersion="3" minRefreshableVersion="3" showCalcMbrs="0" showDrill="0" showDataTips="0" preserveFormatting="0" rowGrandTotals="0" colGrandTotals="0" itemPrintTitles="1" createdVersion="3" indent="0" showHeaders="0" outline="1" outlineData="1" multipleFieldFilters="0" customListSort="0">
  <location ref="BQ23:BV641" firstHeaderRow="1" firstDataRow="2" firstDataCol="1" rowPageCount="1" colPageCount="1"/>
  <pivotFields count="12">
    <pivotField axis="axisRow" showAll="0">
      <items count="18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t="default"/>
      </items>
    </pivotField>
    <pivotField numFmtId="164"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</pivotField>
    <pivotField axis="axisCol" showAll="0">
      <items count="6">
        <item x="3"/>
        <item x="2"/>
        <item x="0"/>
        <item x="1"/>
        <item x="4"/>
        <item t="default"/>
      </items>
    </pivotField>
    <pivotField showAll="0"/>
  </pivotFields>
  <rowFields count="1">
    <field x="0"/>
  </rowFields>
  <rowItems count="617">
    <i>
      <x v="2"/>
    </i>
    <i>
      <x v="4"/>
    </i>
    <i>
      <x v="13"/>
    </i>
    <i>
      <x v="14"/>
    </i>
    <i>
      <x v="15"/>
    </i>
    <i>
      <x v="21"/>
    </i>
    <i>
      <x v="23"/>
    </i>
    <i>
      <x v="24"/>
    </i>
    <i>
      <x v="25"/>
    </i>
    <i>
      <x v="34"/>
    </i>
    <i>
      <x v="35"/>
    </i>
    <i>
      <x v="36"/>
    </i>
    <i>
      <x v="41"/>
    </i>
    <i>
      <x v="42"/>
    </i>
    <i>
      <x v="45"/>
    </i>
    <i>
      <x v="48"/>
    </i>
    <i>
      <x v="52"/>
    </i>
    <i>
      <x v="56"/>
    </i>
    <i>
      <x v="57"/>
    </i>
    <i>
      <x v="58"/>
    </i>
    <i>
      <x v="62"/>
    </i>
    <i>
      <x v="65"/>
    </i>
    <i>
      <x v="66"/>
    </i>
    <i>
      <x v="68"/>
    </i>
    <i>
      <x v="69"/>
    </i>
    <i>
      <x v="73"/>
    </i>
    <i>
      <x v="77"/>
    </i>
    <i>
      <x v="80"/>
    </i>
    <i>
      <x v="81"/>
    </i>
    <i>
      <x v="84"/>
    </i>
    <i>
      <x v="86"/>
    </i>
    <i>
      <x v="88"/>
    </i>
    <i>
      <x v="89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1"/>
    </i>
    <i>
      <x v="103"/>
    </i>
    <i>
      <x v="104"/>
    </i>
    <i>
      <x v="105"/>
    </i>
    <i>
      <x v="107"/>
    </i>
    <i>
      <x v="108"/>
    </i>
    <i>
      <x v="109"/>
    </i>
    <i>
      <x v="110"/>
    </i>
    <i>
      <x v="112"/>
    </i>
    <i>
      <x v="114"/>
    </i>
    <i>
      <x v="116"/>
    </i>
    <i>
      <x v="118"/>
    </i>
    <i>
      <x v="119"/>
    </i>
    <i>
      <x v="121"/>
    </i>
    <i>
      <x v="122"/>
    </i>
    <i>
      <x v="123"/>
    </i>
    <i>
      <x v="124"/>
    </i>
    <i>
      <x v="128"/>
    </i>
    <i>
      <x v="129"/>
    </i>
    <i>
      <x v="131"/>
    </i>
    <i>
      <x v="135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2"/>
    </i>
    <i>
      <x v="153"/>
    </i>
    <i>
      <x v="154"/>
    </i>
    <i>
      <x v="157"/>
    </i>
    <i>
      <x v="159"/>
    </i>
    <i>
      <x v="160"/>
    </i>
    <i>
      <x v="164"/>
    </i>
    <i>
      <x v="165"/>
    </i>
    <i>
      <x v="169"/>
    </i>
    <i>
      <x v="170"/>
    </i>
    <i>
      <x v="172"/>
    </i>
    <i>
      <x v="173"/>
    </i>
    <i>
      <x v="176"/>
    </i>
    <i>
      <x v="177"/>
    </i>
    <i>
      <x v="179"/>
    </i>
    <i>
      <x v="180"/>
    </i>
    <i>
      <x v="181"/>
    </i>
    <i>
      <x v="182"/>
    </i>
    <i>
      <x v="185"/>
    </i>
    <i>
      <x v="187"/>
    </i>
    <i>
      <x v="188"/>
    </i>
    <i>
      <x v="189"/>
    </i>
    <i>
      <x v="190"/>
    </i>
    <i>
      <x v="191"/>
    </i>
    <i>
      <x v="193"/>
    </i>
    <i>
      <x v="194"/>
    </i>
    <i>
      <x v="197"/>
    </i>
    <i>
      <x v="198"/>
    </i>
    <i>
      <x v="202"/>
    </i>
    <i>
      <x v="203"/>
    </i>
    <i>
      <x v="204"/>
    </i>
    <i>
      <x v="205"/>
    </i>
    <i>
      <x v="207"/>
    </i>
    <i>
      <x v="208"/>
    </i>
    <i>
      <x v="209"/>
    </i>
    <i>
      <x v="210"/>
    </i>
    <i>
      <x v="211"/>
    </i>
    <i>
      <x v="212"/>
    </i>
    <i>
      <x v="216"/>
    </i>
    <i>
      <x v="219"/>
    </i>
    <i>
      <x v="220"/>
    </i>
    <i>
      <x v="224"/>
    </i>
    <i>
      <x v="225"/>
    </i>
    <i>
      <x v="226"/>
    </i>
    <i>
      <x v="227"/>
    </i>
    <i>
      <x v="229"/>
    </i>
    <i>
      <x v="230"/>
    </i>
    <i>
      <x v="234"/>
    </i>
    <i>
      <x v="235"/>
    </i>
    <i>
      <x v="236"/>
    </i>
    <i>
      <x v="237"/>
    </i>
    <i>
      <x v="238"/>
    </i>
    <i>
      <x v="240"/>
    </i>
    <i>
      <x v="241"/>
    </i>
    <i>
      <x v="244"/>
    </i>
    <i>
      <x v="246"/>
    </i>
    <i>
      <x v="247"/>
    </i>
    <i>
      <x v="248"/>
    </i>
    <i>
      <x v="250"/>
    </i>
    <i>
      <x v="252"/>
    </i>
    <i>
      <x v="256"/>
    </i>
    <i>
      <x v="257"/>
    </i>
    <i>
      <x v="259"/>
    </i>
    <i>
      <x v="261"/>
    </i>
    <i>
      <x v="262"/>
    </i>
    <i>
      <x v="263"/>
    </i>
    <i>
      <x v="265"/>
    </i>
    <i>
      <x v="266"/>
    </i>
    <i>
      <x v="267"/>
    </i>
    <i>
      <x v="268"/>
    </i>
    <i>
      <x v="270"/>
    </i>
    <i>
      <x v="271"/>
    </i>
    <i>
      <x v="273"/>
    </i>
    <i>
      <x v="274"/>
    </i>
    <i>
      <x v="276"/>
    </i>
    <i>
      <x v="278"/>
    </i>
    <i>
      <x v="282"/>
    </i>
    <i>
      <x v="283"/>
    </i>
    <i>
      <x v="285"/>
    </i>
    <i>
      <x v="288"/>
    </i>
    <i>
      <x v="289"/>
    </i>
    <i>
      <x v="291"/>
    </i>
    <i>
      <x v="292"/>
    </i>
    <i>
      <x v="293"/>
    </i>
    <i>
      <x v="294"/>
    </i>
    <i>
      <x v="295"/>
    </i>
    <i>
      <x v="297"/>
    </i>
    <i>
      <x v="299"/>
    </i>
    <i>
      <x v="301"/>
    </i>
    <i>
      <x v="303"/>
    </i>
    <i>
      <x v="305"/>
    </i>
    <i>
      <x v="307"/>
    </i>
    <i>
      <x v="310"/>
    </i>
    <i>
      <x v="311"/>
    </i>
    <i>
      <x v="312"/>
    </i>
    <i>
      <x v="313"/>
    </i>
    <i>
      <x v="316"/>
    </i>
    <i>
      <x v="319"/>
    </i>
    <i>
      <x v="320"/>
    </i>
    <i>
      <x v="322"/>
    </i>
    <i>
      <x v="324"/>
    </i>
    <i>
      <x v="325"/>
    </i>
    <i>
      <x v="327"/>
    </i>
    <i>
      <x v="328"/>
    </i>
    <i>
      <x v="331"/>
    </i>
    <i>
      <x v="332"/>
    </i>
    <i>
      <x v="334"/>
    </i>
    <i>
      <x v="336"/>
    </i>
    <i>
      <x v="337"/>
    </i>
    <i>
      <x v="342"/>
    </i>
    <i>
      <x v="343"/>
    </i>
    <i>
      <x v="346"/>
    </i>
    <i>
      <x v="347"/>
    </i>
    <i>
      <x v="348"/>
    </i>
    <i>
      <x v="351"/>
    </i>
    <i>
      <x v="352"/>
    </i>
    <i>
      <x v="353"/>
    </i>
    <i>
      <x v="356"/>
    </i>
    <i>
      <x v="358"/>
    </i>
    <i>
      <x v="360"/>
    </i>
    <i>
      <x v="361"/>
    </i>
    <i>
      <x v="364"/>
    </i>
    <i>
      <x v="366"/>
    </i>
    <i>
      <x v="372"/>
    </i>
    <i>
      <x v="374"/>
    </i>
    <i>
      <x v="375"/>
    </i>
    <i>
      <x v="379"/>
    </i>
    <i>
      <x v="380"/>
    </i>
    <i>
      <x v="381"/>
    </i>
    <i>
      <x v="383"/>
    </i>
    <i>
      <x v="386"/>
    </i>
    <i>
      <x v="387"/>
    </i>
    <i>
      <x v="388"/>
    </i>
    <i>
      <x v="390"/>
    </i>
    <i>
      <x v="391"/>
    </i>
    <i>
      <x v="392"/>
    </i>
    <i>
      <x v="395"/>
    </i>
    <i>
      <x v="396"/>
    </i>
    <i>
      <x v="401"/>
    </i>
    <i>
      <x v="404"/>
    </i>
    <i>
      <x v="405"/>
    </i>
    <i>
      <x v="406"/>
    </i>
    <i>
      <x v="408"/>
    </i>
    <i>
      <x v="409"/>
    </i>
    <i>
      <x v="412"/>
    </i>
    <i>
      <x v="413"/>
    </i>
    <i>
      <x v="416"/>
    </i>
    <i>
      <x v="419"/>
    </i>
    <i>
      <x v="421"/>
    </i>
    <i>
      <x v="422"/>
    </i>
    <i>
      <x v="423"/>
    </i>
    <i>
      <x v="426"/>
    </i>
    <i>
      <x v="428"/>
    </i>
    <i>
      <x v="429"/>
    </i>
    <i>
      <x v="430"/>
    </i>
    <i>
      <x v="431"/>
    </i>
    <i>
      <x v="435"/>
    </i>
    <i>
      <x v="438"/>
    </i>
    <i>
      <x v="440"/>
    </i>
    <i>
      <x v="442"/>
    </i>
    <i>
      <x v="447"/>
    </i>
    <i>
      <x v="449"/>
    </i>
    <i>
      <x v="452"/>
    </i>
    <i>
      <x v="453"/>
    </i>
    <i>
      <x v="454"/>
    </i>
    <i>
      <x v="456"/>
    </i>
    <i>
      <x v="461"/>
    </i>
    <i>
      <x v="462"/>
    </i>
    <i>
      <x v="463"/>
    </i>
    <i>
      <x v="468"/>
    </i>
    <i>
      <x v="470"/>
    </i>
    <i>
      <x v="471"/>
    </i>
    <i>
      <x v="472"/>
    </i>
    <i>
      <x v="476"/>
    </i>
    <i>
      <x v="477"/>
    </i>
    <i>
      <x v="479"/>
    </i>
    <i>
      <x v="484"/>
    </i>
    <i>
      <x v="487"/>
    </i>
    <i>
      <x v="493"/>
    </i>
    <i>
      <x v="494"/>
    </i>
    <i>
      <x v="501"/>
    </i>
    <i>
      <x v="504"/>
    </i>
    <i>
      <x v="505"/>
    </i>
    <i>
      <x v="506"/>
    </i>
    <i>
      <x v="508"/>
    </i>
    <i>
      <x v="509"/>
    </i>
    <i>
      <x v="512"/>
    </i>
    <i>
      <x v="513"/>
    </i>
    <i>
      <x v="514"/>
    </i>
    <i>
      <x v="516"/>
    </i>
    <i>
      <x v="519"/>
    </i>
    <i>
      <x v="520"/>
    </i>
    <i>
      <x v="526"/>
    </i>
    <i>
      <x v="529"/>
    </i>
    <i>
      <x v="533"/>
    </i>
    <i>
      <x v="535"/>
    </i>
    <i>
      <x v="537"/>
    </i>
    <i>
      <x v="538"/>
    </i>
    <i>
      <x v="539"/>
    </i>
    <i>
      <x v="540"/>
    </i>
    <i>
      <x v="542"/>
    </i>
    <i>
      <x v="545"/>
    </i>
    <i>
      <x v="546"/>
    </i>
    <i>
      <x v="548"/>
    </i>
    <i>
      <x v="550"/>
    </i>
    <i>
      <x v="551"/>
    </i>
    <i>
      <x v="552"/>
    </i>
    <i>
      <x v="553"/>
    </i>
    <i>
      <x v="555"/>
    </i>
    <i>
      <x v="559"/>
    </i>
    <i>
      <x v="560"/>
    </i>
    <i>
      <x v="566"/>
    </i>
    <i>
      <x v="567"/>
    </i>
    <i>
      <x v="569"/>
    </i>
    <i>
      <x v="570"/>
    </i>
    <i>
      <x v="571"/>
    </i>
    <i>
      <x v="573"/>
    </i>
    <i>
      <x v="574"/>
    </i>
    <i>
      <x v="576"/>
    </i>
    <i>
      <x v="577"/>
    </i>
    <i>
      <x v="578"/>
    </i>
    <i>
      <x v="579"/>
    </i>
    <i>
      <x v="583"/>
    </i>
    <i>
      <x v="584"/>
    </i>
    <i>
      <x v="587"/>
    </i>
    <i>
      <x v="588"/>
    </i>
    <i>
      <x v="589"/>
    </i>
    <i>
      <x v="592"/>
    </i>
    <i>
      <x v="593"/>
    </i>
    <i>
      <x v="594"/>
    </i>
    <i>
      <x v="597"/>
    </i>
    <i>
      <x v="599"/>
    </i>
    <i>
      <x v="603"/>
    </i>
    <i>
      <x v="609"/>
    </i>
    <i>
      <x v="612"/>
    </i>
    <i>
      <x v="616"/>
    </i>
    <i>
      <x v="617"/>
    </i>
    <i>
      <x v="619"/>
    </i>
    <i>
      <x v="622"/>
    </i>
    <i>
      <x v="628"/>
    </i>
    <i>
      <x v="661"/>
    </i>
    <i>
      <x v="667"/>
    </i>
    <i>
      <x v="688"/>
    </i>
    <i>
      <x v="748"/>
    </i>
    <i>
      <x v="751"/>
    </i>
    <i>
      <x v="752"/>
    </i>
    <i>
      <x v="775"/>
    </i>
    <i>
      <x v="785"/>
    </i>
    <i>
      <x v="787"/>
    </i>
    <i>
      <x v="790"/>
    </i>
    <i>
      <x v="792"/>
    </i>
    <i>
      <x v="799"/>
    </i>
    <i>
      <x v="807"/>
    </i>
    <i>
      <x v="812"/>
    </i>
    <i>
      <x v="814"/>
    </i>
    <i>
      <x v="823"/>
    </i>
    <i>
      <x v="835"/>
    </i>
    <i>
      <x v="837"/>
    </i>
    <i>
      <x v="838"/>
    </i>
    <i>
      <x v="839"/>
    </i>
    <i>
      <x v="841"/>
    </i>
    <i>
      <x v="847"/>
    </i>
    <i>
      <x v="848"/>
    </i>
    <i>
      <x v="850"/>
    </i>
    <i>
      <x v="851"/>
    </i>
    <i>
      <x v="854"/>
    </i>
    <i>
      <x v="855"/>
    </i>
    <i>
      <x v="856"/>
    </i>
    <i>
      <x v="857"/>
    </i>
    <i>
      <x v="869"/>
    </i>
    <i>
      <x v="886"/>
    </i>
    <i>
      <x v="906"/>
    </i>
    <i>
      <x v="909"/>
    </i>
    <i>
      <x v="923"/>
    </i>
    <i>
      <x v="930"/>
    </i>
    <i>
      <x v="931"/>
    </i>
    <i>
      <x v="946"/>
    </i>
    <i>
      <x v="957"/>
    </i>
    <i>
      <x v="966"/>
    </i>
    <i>
      <x v="981"/>
    </i>
    <i>
      <x v="999"/>
    </i>
    <i>
      <x v="1110"/>
    </i>
    <i>
      <x v="1116"/>
    </i>
    <i>
      <x v="1124"/>
    </i>
    <i>
      <x v="1131"/>
    </i>
    <i>
      <x v="1139"/>
    </i>
    <i>
      <x v="1140"/>
    </i>
    <i>
      <x v="1154"/>
    </i>
    <i>
      <x v="1159"/>
    </i>
    <i>
      <x v="1162"/>
    </i>
    <i>
      <x v="1165"/>
    </i>
    <i>
      <x v="1169"/>
    </i>
    <i>
      <x v="1170"/>
    </i>
    <i>
      <x v="1175"/>
    </i>
    <i>
      <x v="1182"/>
    </i>
    <i>
      <x v="1186"/>
    </i>
    <i>
      <x v="1189"/>
    </i>
    <i>
      <x v="1190"/>
    </i>
    <i>
      <x v="1191"/>
    </i>
    <i>
      <x v="1193"/>
    </i>
    <i>
      <x v="1198"/>
    </i>
    <i>
      <x v="1215"/>
    </i>
    <i>
      <x v="1219"/>
    </i>
    <i>
      <x v="1221"/>
    </i>
    <i>
      <x v="1224"/>
    </i>
    <i>
      <x v="1225"/>
    </i>
    <i>
      <x v="1229"/>
    </i>
    <i>
      <x v="1236"/>
    </i>
    <i>
      <x v="1237"/>
    </i>
    <i>
      <x v="1238"/>
    </i>
    <i>
      <x v="1241"/>
    </i>
    <i>
      <x v="1244"/>
    </i>
    <i>
      <x v="1245"/>
    </i>
    <i>
      <x v="1251"/>
    </i>
    <i>
      <x v="1255"/>
    </i>
    <i>
      <x v="1256"/>
    </i>
    <i>
      <x v="1264"/>
    </i>
    <i>
      <x v="1270"/>
    </i>
    <i>
      <x v="1312"/>
    </i>
    <i>
      <x v="1318"/>
    </i>
    <i>
      <x v="1321"/>
    </i>
    <i>
      <x v="1323"/>
    </i>
    <i>
      <x v="1325"/>
    </i>
    <i>
      <x v="1327"/>
    </i>
    <i>
      <x v="1330"/>
    </i>
    <i>
      <x v="1331"/>
    </i>
    <i>
      <x v="1335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50"/>
    </i>
    <i>
      <x v="1351"/>
    </i>
    <i>
      <x v="1352"/>
    </i>
    <i>
      <x v="1353"/>
    </i>
    <i>
      <x v="1357"/>
    </i>
    <i>
      <x v="1358"/>
    </i>
    <i>
      <x v="1359"/>
    </i>
    <i>
      <x v="1361"/>
    </i>
    <i>
      <x v="1362"/>
    </i>
    <i>
      <x v="1363"/>
    </i>
    <i>
      <x v="1364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8"/>
    </i>
    <i>
      <x v="1379"/>
    </i>
    <i>
      <x v="1380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400"/>
    </i>
    <i>
      <x v="1401"/>
    </i>
    <i>
      <x v="1404"/>
    </i>
    <i>
      <x v="1405"/>
    </i>
    <i>
      <x v="1408"/>
    </i>
    <i>
      <x v="1409"/>
    </i>
    <i>
      <x v="1410"/>
    </i>
    <i>
      <x v="1414"/>
    </i>
    <i>
      <x v="1424"/>
    </i>
    <i>
      <x v="1445"/>
    </i>
    <i>
      <x v="1448"/>
    </i>
    <i>
      <x v="1449"/>
    </i>
    <i>
      <x v="1451"/>
    </i>
    <i>
      <x v="1453"/>
    </i>
    <i>
      <x v="1455"/>
    </i>
    <i>
      <x v="1461"/>
    </i>
    <i>
      <x v="1466"/>
    </i>
    <i>
      <x v="1467"/>
    </i>
    <i>
      <x v="1469"/>
    </i>
    <i>
      <x v="1470"/>
    </i>
    <i>
      <x v="1476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8"/>
    </i>
    <i>
      <x v="1489"/>
    </i>
    <i>
      <x v="1490"/>
    </i>
    <i>
      <x v="1491"/>
    </i>
    <i>
      <x v="1492"/>
    </i>
    <i>
      <x v="1493"/>
    </i>
    <i>
      <x v="1497"/>
    </i>
    <i>
      <x v="1516"/>
    </i>
    <i>
      <x v="1520"/>
    </i>
    <i>
      <x v="1522"/>
    </i>
    <i>
      <x v="1523"/>
    </i>
    <i>
      <x v="1526"/>
    </i>
    <i>
      <x v="1528"/>
    </i>
    <i>
      <x v="1530"/>
    </i>
    <i>
      <x v="1531"/>
    </i>
    <i>
      <x v="1532"/>
    </i>
    <i>
      <x v="1536"/>
    </i>
    <i>
      <x v="1542"/>
    </i>
    <i>
      <x v="1544"/>
    </i>
    <i>
      <x v="1550"/>
    </i>
    <i>
      <x v="1554"/>
    </i>
    <i>
      <x v="1563"/>
    </i>
    <i>
      <x v="1565"/>
    </i>
    <i>
      <x v="1570"/>
    </i>
    <i>
      <x v="1571"/>
    </i>
    <i>
      <x v="1573"/>
    </i>
    <i>
      <x v="1574"/>
    </i>
    <i>
      <x v="1576"/>
    </i>
    <i>
      <x v="1577"/>
    </i>
    <i>
      <x v="1578"/>
    </i>
    <i>
      <x v="1579"/>
    </i>
    <i>
      <x v="1580"/>
    </i>
    <i>
      <x v="1585"/>
    </i>
    <i>
      <x v="1589"/>
    </i>
    <i>
      <x v="1601"/>
    </i>
    <i>
      <x v="1602"/>
    </i>
    <i>
      <x v="1613"/>
    </i>
    <i>
      <x v="1614"/>
    </i>
    <i>
      <x v="1615"/>
    </i>
    <i>
      <x v="1627"/>
    </i>
    <i>
      <x v="1628"/>
    </i>
    <i>
      <x v="1631"/>
    </i>
    <i>
      <x v="1632"/>
    </i>
    <i>
      <x v="1633"/>
    </i>
    <i>
      <x v="1634"/>
    </i>
    <i>
      <x v="1637"/>
    </i>
    <i>
      <x v="1638"/>
    </i>
    <i>
      <x v="1639"/>
    </i>
    <i>
      <x v="1646"/>
    </i>
    <i>
      <x v="1650"/>
    </i>
    <i>
      <x v="1652"/>
    </i>
    <i>
      <x v="1654"/>
    </i>
    <i>
      <x v="1655"/>
    </i>
    <i>
      <x v="1656"/>
    </i>
    <i>
      <x v="1659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95"/>
    </i>
    <i>
      <x v="1696"/>
    </i>
    <i>
      <x v="1697"/>
    </i>
    <i>
      <x v="1698"/>
    </i>
    <i>
      <x v="1699"/>
    </i>
    <i>
      <x v="1701"/>
    </i>
    <i>
      <x v="1702"/>
    </i>
    <i>
      <x v="1703"/>
    </i>
    <i>
      <x v="1704"/>
    </i>
    <i>
      <x v="1706"/>
    </i>
    <i>
      <x v="1709"/>
    </i>
    <i>
      <x v="1710"/>
    </i>
    <i>
      <x v="1717"/>
    </i>
    <i>
      <x v="1718"/>
    </i>
    <i>
      <x v="1720"/>
    </i>
    <i>
      <x v="1721"/>
    </i>
    <i>
      <x v="1722"/>
    </i>
    <i>
      <x v="1723"/>
    </i>
    <i>
      <x v="1724"/>
    </i>
    <i>
      <x v="1725"/>
    </i>
    <i>
      <x v="1730"/>
    </i>
    <i>
      <x v="1733"/>
    </i>
    <i>
      <x v="1743"/>
    </i>
    <i>
      <x v="1749"/>
    </i>
    <i>
      <x v="1751"/>
    </i>
    <i>
      <x v="1754"/>
    </i>
    <i>
      <x v="1757"/>
    </i>
    <i>
      <x v="1758"/>
    </i>
    <i>
      <x v="1759"/>
    </i>
    <i>
      <x v="1761"/>
    </i>
    <i>
      <x v="1762"/>
    </i>
    <i>
      <x v="1763"/>
    </i>
    <i>
      <x v="1764"/>
    </i>
    <i>
      <x v="1775"/>
    </i>
    <i>
      <x v="1778"/>
    </i>
    <i>
      <x v="1779"/>
    </i>
    <i>
      <x v="1780"/>
    </i>
    <i>
      <x v="1781"/>
    </i>
    <i>
      <x v="1782"/>
    </i>
    <i>
      <x v="1784"/>
    </i>
    <i>
      <x v="1793"/>
    </i>
    <i>
      <x v="1794"/>
    </i>
    <i>
      <x v="1795"/>
    </i>
    <i>
      <x v="1796"/>
    </i>
    <i>
      <x v="1797"/>
    </i>
    <i>
      <x v="1801"/>
    </i>
    <i>
      <x v="1803"/>
    </i>
    <i>
      <x v="1805"/>
    </i>
    <i>
      <x v="1806"/>
    </i>
    <i>
      <x v="1809"/>
    </i>
    <i>
      <x v="1810"/>
    </i>
    <i>
      <x v="1811"/>
    </i>
    <i>
      <x v="1818"/>
    </i>
    <i>
      <x v="1822"/>
    </i>
    <i>
      <x v="1823"/>
    </i>
    <i>
      <x v="1824"/>
    </i>
    <i>
      <x v="1825"/>
    </i>
    <i>
      <x v="1827"/>
    </i>
    <i>
      <x v="1828"/>
    </i>
    <i>
      <x v="1844"/>
    </i>
    <i>
      <x v="1849"/>
    </i>
    <i>
      <x v="1851"/>
    </i>
    <i>
      <x v="1853"/>
    </i>
    <i>
      <x v="1863"/>
    </i>
    <i>
      <x v="1864"/>
    </i>
    <i>
      <x v="1867"/>
    </i>
    <i>
      <x v="1871"/>
    </i>
    <i>
      <x v="1872"/>
    </i>
    <i>
      <x v="1873"/>
    </i>
    <i>
      <x v="1874"/>
    </i>
    <i>
      <x v="1880"/>
    </i>
    <i>
      <x v="1881"/>
    </i>
    <i>
      <x v="1882"/>
    </i>
  </rowItems>
  <colFields count="1">
    <field x="10"/>
  </colFields>
  <colItems count="5">
    <i>
      <x/>
    </i>
    <i>
      <x v="1"/>
    </i>
    <i>
      <x v="2"/>
    </i>
    <i>
      <x v="3"/>
    </i>
    <i>
      <x v="4"/>
    </i>
  </colItems>
  <pageFields count="1">
    <pageField fld="9" item="99" hier="-1"/>
  </pageFields>
  <dataFields count="1">
    <dataField name="Sum of Salary in USD" fld="5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3" cacheId="4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CH5:CI7" firstHeaderRow="1" firstDataRow="2" firstDataCol="0" rowPageCount="1" colPageCount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</pivotField>
    <pivotField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9" item="99" hier="-1"/>
  </pageFields>
  <dataFields count="2">
    <dataField name="Average of Salary in USD" fld="5" subtotal="average" baseField="0" baseItem="0" numFmtId="42"/>
    <dataField name="Average of Years of Experience" fld="11" subtotal="average" baseField="0" baseItem="0"/>
  </dataFields>
  <formats count="1"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4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CE5:CF7" firstHeaderRow="1" firstDataRow="2" firstDataCol="0" rowPageCount="1" colPageCount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</pivotField>
    <pivotField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Average of Salary in USD" fld="5" subtotal="average" baseField="0" baseItem="0" numFmtId="42"/>
    <dataField name="Average of Years of Experience" fld="11" subtotal="average" baseField="0" baseItem="0"/>
  </dataFields>
  <formats count="1">
    <format dxfId="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0" cacheId="49" applyNumberFormats="0" applyBorderFormats="0" applyFontFormats="0" applyPatternFormats="0" applyAlignmentFormats="0" applyWidthHeightFormats="1" dataCaption="Values" updatedVersion="3" minRefreshableVersion="3" showCalcMbrs="0" showDrill="0" showDataTips="0" preserveFormatting="0" rowGrandTotals="0" colGrandTotals="0" itemPrintTitles="1" createdVersion="3" indent="0" showHeaders="0" outline="1" outlineData="1" multipleFieldFilters="0" customListSort="0">
  <location ref="AI23:BC641" firstHeaderRow="0" firstDataRow="2" firstDataCol="1" rowPageCount="1" colPageCount="1"/>
  <pivotFields count="12">
    <pivotField axis="axisRow" showAll="0">
      <items count="18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t="default"/>
      </items>
    </pivotField>
    <pivotField numFmtId="164" showAll="0"/>
    <pivotField dataField="1" showAll="0"/>
    <pivotField showAll="0"/>
    <pivotField showAll="0"/>
    <pivotField dataField="1" showAll="0"/>
    <pivotField showAll="0"/>
    <pivotField axis="axisCol" showAll="0" sortType="descending">
      <items count="11">
        <item x="5"/>
        <item x="0"/>
        <item x="8"/>
        <item x="1"/>
        <item x="4"/>
        <item x="2"/>
        <item x="3"/>
        <item x="9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axis="axisPage" showAll="0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</pivotField>
    <pivotField showAll="0"/>
    <pivotField showAll="0"/>
  </pivotFields>
  <rowFields count="1">
    <field x="0"/>
  </rowFields>
  <rowItems count="617">
    <i>
      <x v="2"/>
    </i>
    <i>
      <x v="4"/>
    </i>
    <i>
      <x v="13"/>
    </i>
    <i>
      <x v="14"/>
    </i>
    <i>
      <x v="15"/>
    </i>
    <i>
      <x v="21"/>
    </i>
    <i>
      <x v="23"/>
    </i>
    <i>
      <x v="24"/>
    </i>
    <i>
      <x v="25"/>
    </i>
    <i>
      <x v="34"/>
    </i>
    <i>
      <x v="35"/>
    </i>
    <i>
      <x v="36"/>
    </i>
    <i>
      <x v="41"/>
    </i>
    <i>
      <x v="42"/>
    </i>
    <i>
      <x v="45"/>
    </i>
    <i>
      <x v="48"/>
    </i>
    <i>
      <x v="52"/>
    </i>
    <i>
      <x v="56"/>
    </i>
    <i>
      <x v="57"/>
    </i>
    <i>
      <x v="58"/>
    </i>
    <i>
      <x v="62"/>
    </i>
    <i>
      <x v="65"/>
    </i>
    <i>
      <x v="66"/>
    </i>
    <i>
      <x v="68"/>
    </i>
    <i>
      <x v="69"/>
    </i>
    <i>
      <x v="73"/>
    </i>
    <i>
      <x v="77"/>
    </i>
    <i>
      <x v="80"/>
    </i>
    <i>
      <x v="81"/>
    </i>
    <i>
      <x v="84"/>
    </i>
    <i>
      <x v="86"/>
    </i>
    <i>
      <x v="88"/>
    </i>
    <i>
      <x v="89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1"/>
    </i>
    <i>
      <x v="103"/>
    </i>
    <i>
      <x v="104"/>
    </i>
    <i>
      <x v="105"/>
    </i>
    <i>
      <x v="107"/>
    </i>
    <i>
      <x v="108"/>
    </i>
    <i>
      <x v="109"/>
    </i>
    <i>
      <x v="110"/>
    </i>
    <i>
      <x v="112"/>
    </i>
    <i>
      <x v="114"/>
    </i>
    <i>
      <x v="116"/>
    </i>
    <i>
      <x v="118"/>
    </i>
    <i>
      <x v="119"/>
    </i>
    <i>
      <x v="121"/>
    </i>
    <i>
      <x v="122"/>
    </i>
    <i>
      <x v="123"/>
    </i>
    <i>
      <x v="124"/>
    </i>
    <i>
      <x v="128"/>
    </i>
    <i>
      <x v="129"/>
    </i>
    <i>
      <x v="131"/>
    </i>
    <i>
      <x v="135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2"/>
    </i>
    <i>
      <x v="153"/>
    </i>
    <i>
      <x v="154"/>
    </i>
    <i>
      <x v="157"/>
    </i>
    <i>
      <x v="159"/>
    </i>
    <i>
      <x v="160"/>
    </i>
    <i>
      <x v="164"/>
    </i>
    <i>
      <x v="165"/>
    </i>
    <i>
      <x v="169"/>
    </i>
    <i>
      <x v="170"/>
    </i>
    <i>
      <x v="172"/>
    </i>
    <i>
      <x v="173"/>
    </i>
    <i>
      <x v="176"/>
    </i>
    <i>
      <x v="177"/>
    </i>
    <i>
      <x v="179"/>
    </i>
    <i>
      <x v="180"/>
    </i>
    <i>
      <x v="181"/>
    </i>
    <i>
      <x v="182"/>
    </i>
    <i>
      <x v="185"/>
    </i>
    <i>
      <x v="187"/>
    </i>
    <i>
      <x v="188"/>
    </i>
    <i>
      <x v="189"/>
    </i>
    <i>
      <x v="190"/>
    </i>
    <i>
      <x v="191"/>
    </i>
    <i>
      <x v="193"/>
    </i>
    <i>
      <x v="194"/>
    </i>
    <i>
      <x v="197"/>
    </i>
    <i>
      <x v="198"/>
    </i>
    <i>
      <x v="202"/>
    </i>
    <i>
      <x v="203"/>
    </i>
    <i>
      <x v="204"/>
    </i>
    <i>
      <x v="205"/>
    </i>
    <i>
      <x v="207"/>
    </i>
    <i>
      <x v="208"/>
    </i>
    <i>
      <x v="209"/>
    </i>
    <i>
      <x v="210"/>
    </i>
    <i>
      <x v="211"/>
    </i>
    <i>
      <x v="212"/>
    </i>
    <i>
      <x v="216"/>
    </i>
    <i>
      <x v="219"/>
    </i>
    <i>
      <x v="220"/>
    </i>
    <i>
      <x v="224"/>
    </i>
    <i>
      <x v="225"/>
    </i>
    <i>
      <x v="226"/>
    </i>
    <i>
      <x v="227"/>
    </i>
    <i>
      <x v="229"/>
    </i>
    <i>
      <x v="230"/>
    </i>
    <i>
      <x v="234"/>
    </i>
    <i>
      <x v="235"/>
    </i>
    <i>
      <x v="236"/>
    </i>
    <i>
      <x v="237"/>
    </i>
    <i>
      <x v="238"/>
    </i>
    <i>
      <x v="240"/>
    </i>
    <i>
      <x v="241"/>
    </i>
    <i>
      <x v="244"/>
    </i>
    <i>
      <x v="246"/>
    </i>
    <i>
      <x v="247"/>
    </i>
    <i>
      <x v="248"/>
    </i>
    <i>
      <x v="250"/>
    </i>
    <i>
      <x v="252"/>
    </i>
    <i>
      <x v="256"/>
    </i>
    <i>
      <x v="257"/>
    </i>
    <i>
      <x v="259"/>
    </i>
    <i>
      <x v="261"/>
    </i>
    <i>
      <x v="262"/>
    </i>
    <i>
      <x v="263"/>
    </i>
    <i>
      <x v="265"/>
    </i>
    <i>
      <x v="266"/>
    </i>
    <i>
      <x v="267"/>
    </i>
    <i>
      <x v="268"/>
    </i>
    <i>
      <x v="270"/>
    </i>
    <i>
      <x v="271"/>
    </i>
    <i>
      <x v="273"/>
    </i>
    <i>
      <x v="274"/>
    </i>
    <i>
      <x v="276"/>
    </i>
    <i>
      <x v="278"/>
    </i>
    <i>
      <x v="282"/>
    </i>
    <i>
      <x v="283"/>
    </i>
    <i>
      <x v="285"/>
    </i>
    <i>
      <x v="288"/>
    </i>
    <i>
      <x v="289"/>
    </i>
    <i>
      <x v="291"/>
    </i>
    <i>
      <x v="292"/>
    </i>
    <i>
      <x v="293"/>
    </i>
    <i>
      <x v="294"/>
    </i>
    <i>
      <x v="295"/>
    </i>
    <i>
      <x v="297"/>
    </i>
    <i>
      <x v="299"/>
    </i>
    <i>
      <x v="301"/>
    </i>
    <i>
      <x v="303"/>
    </i>
    <i>
      <x v="305"/>
    </i>
    <i>
      <x v="307"/>
    </i>
    <i>
      <x v="310"/>
    </i>
    <i>
      <x v="311"/>
    </i>
    <i>
      <x v="312"/>
    </i>
    <i>
      <x v="313"/>
    </i>
    <i>
      <x v="316"/>
    </i>
    <i>
      <x v="319"/>
    </i>
    <i>
      <x v="320"/>
    </i>
    <i>
      <x v="322"/>
    </i>
    <i>
      <x v="324"/>
    </i>
    <i>
      <x v="325"/>
    </i>
    <i>
      <x v="327"/>
    </i>
    <i>
      <x v="328"/>
    </i>
    <i>
      <x v="331"/>
    </i>
    <i>
      <x v="332"/>
    </i>
    <i>
      <x v="334"/>
    </i>
    <i>
      <x v="336"/>
    </i>
    <i>
      <x v="337"/>
    </i>
    <i>
      <x v="342"/>
    </i>
    <i>
      <x v="343"/>
    </i>
    <i>
      <x v="346"/>
    </i>
    <i>
      <x v="347"/>
    </i>
    <i>
      <x v="348"/>
    </i>
    <i>
      <x v="351"/>
    </i>
    <i>
      <x v="352"/>
    </i>
    <i>
      <x v="353"/>
    </i>
    <i>
      <x v="356"/>
    </i>
    <i>
      <x v="358"/>
    </i>
    <i>
      <x v="360"/>
    </i>
    <i>
      <x v="361"/>
    </i>
    <i>
      <x v="364"/>
    </i>
    <i>
      <x v="366"/>
    </i>
    <i>
      <x v="372"/>
    </i>
    <i>
      <x v="374"/>
    </i>
    <i>
      <x v="375"/>
    </i>
    <i>
      <x v="379"/>
    </i>
    <i>
      <x v="380"/>
    </i>
    <i>
      <x v="381"/>
    </i>
    <i>
      <x v="383"/>
    </i>
    <i>
      <x v="386"/>
    </i>
    <i>
      <x v="387"/>
    </i>
    <i>
      <x v="388"/>
    </i>
    <i>
      <x v="390"/>
    </i>
    <i>
      <x v="391"/>
    </i>
    <i>
      <x v="392"/>
    </i>
    <i>
      <x v="395"/>
    </i>
    <i>
      <x v="396"/>
    </i>
    <i>
      <x v="401"/>
    </i>
    <i>
      <x v="404"/>
    </i>
    <i>
      <x v="405"/>
    </i>
    <i>
      <x v="406"/>
    </i>
    <i>
      <x v="408"/>
    </i>
    <i>
      <x v="409"/>
    </i>
    <i>
      <x v="412"/>
    </i>
    <i>
      <x v="413"/>
    </i>
    <i>
      <x v="416"/>
    </i>
    <i>
      <x v="419"/>
    </i>
    <i>
      <x v="421"/>
    </i>
    <i>
      <x v="422"/>
    </i>
    <i>
      <x v="423"/>
    </i>
    <i>
      <x v="426"/>
    </i>
    <i>
      <x v="428"/>
    </i>
    <i>
      <x v="429"/>
    </i>
    <i>
      <x v="430"/>
    </i>
    <i>
      <x v="431"/>
    </i>
    <i>
      <x v="435"/>
    </i>
    <i>
      <x v="438"/>
    </i>
    <i>
      <x v="440"/>
    </i>
    <i>
      <x v="442"/>
    </i>
    <i>
      <x v="447"/>
    </i>
    <i>
      <x v="449"/>
    </i>
    <i>
      <x v="452"/>
    </i>
    <i>
      <x v="453"/>
    </i>
    <i>
      <x v="454"/>
    </i>
    <i>
      <x v="456"/>
    </i>
    <i>
      <x v="461"/>
    </i>
    <i>
      <x v="462"/>
    </i>
    <i>
      <x v="463"/>
    </i>
    <i>
      <x v="468"/>
    </i>
    <i>
      <x v="470"/>
    </i>
    <i>
      <x v="471"/>
    </i>
    <i>
      <x v="472"/>
    </i>
    <i>
      <x v="476"/>
    </i>
    <i>
      <x v="477"/>
    </i>
    <i>
      <x v="479"/>
    </i>
    <i>
      <x v="484"/>
    </i>
    <i>
      <x v="487"/>
    </i>
    <i>
      <x v="493"/>
    </i>
    <i>
      <x v="494"/>
    </i>
    <i>
      <x v="501"/>
    </i>
    <i>
      <x v="504"/>
    </i>
    <i>
      <x v="505"/>
    </i>
    <i>
      <x v="506"/>
    </i>
    <i>
      <x v="508"/>
    </i>
    <i>
      <x v="509"/>
    </i>
    <i>
      <x v="512"/>
    </i>
    <i>
      <x v="513"/>
    </i>
    <i>
      <x v="514"/>
    </i>
    <i>
      <x v="516"/>
    </i>
    <i>
      <x v="519"/>
    </i>
    <i>
      <x v="520"/>
    </i>
    <i>
      <x v="526"/>
    </i>
    <i>
      <x v="529"/>
    </i>
    <i>
      <x v="533"/>
    </i>
    <i>
      <x v="535"/>
    </i>
    <i>
      <x v="537"/>
    </i>
    <i>
      <x v="538"/>
    </i>
    <i>
      <x v="539"/>
    </i>
    <i>
      <x v="540"/>
    </i>
    <i>
      <x v="542"/>
    </i>
    <i>
      <x v="545"/>
    </i>
    <i>
      <x v="546"/>
    </i>
    <i>
      <x v="548"/>
    </i>
    <i>
      <x v="550"/>
    </i>
    <i>
      <x v="551"/>
    </i>
    <i>
      <x v="552"/>
    </i>
    <i>
      <x v="553"/>
    </i>
    <i>
      <x v="555"/>
    </i>
    <i>
      <x v="559"/>
    </i>
    <i>
      <x v="560"/>
    </i>
    <i>
      <x v="566"/>
    </i>
    <i>
      <x v="567"/>
    </i>
    <i>
      <x v="569"/>
    </i>
    <i>
      <x v="570"/>
    </i>
    <i>
      <x v="571"/>
    </i>
    <i>
      <x v="573"/>
    </i>
    <i>
      <x v="574"/>
    </i>
    <i>
      <x v="576"/>
    </i>
    <i>
      <x v="577"/>
    </i>
    <i>
      <x v="578"/>
    </i>
    <i>
      <x v="579"/>
    </i>
    <i>
      <x v="583"/>
    </i>
    <i>
      <x v="584"/>
    </i>
    <i>
      <x v="587"/>
    </i>
    <i>
      <x v="588"/>
    </i>
    <i>
      <x v="589"/>
    </i>
    <i>
      <x v="592"/>
    </i>
    <i>
      <x v="593"/>
    </i>
    <i>
      <x v="594"/>
    </i>
    <i>
      <x v="597"/>
    </i>
    <i>
      <x v="599"/>
    </i>
    <i>
      <x v="603"/>
    </i>
    <i>
      <x v="609"/>
    </i>
    <i>
      <x v="612"/>
    </i>
    <i>
      <x v="616"/>
    </i>
    <i>
      <x v="617"/>
    </i>
    <i>
      <x v="619"/>
    </i>
    <i>
      <x v="622"/>
    </i>
    <i>
      <x v="628"/>
    </i>
    <i>
      <x v="661"/>
    </i>
    <i>
      <x v="667"/>
    </i>
    <i>
      <x v="688"/>
    </i>
    <i>
      <x v="748"/>
    </i>
    <i>
      <x v="751"/>
    </i>
    <i>
      <x v="752"/>
    </i>
    <i>
      <x v="775"/>
    </i>
    <i>
      <x v="785"/>
    </i>
    <i>
      <x v="787"/>
    </i>
    <i>
      <x v="790"/>
    </i>
    <i>
      <x v="792"/>
    </i>
    <i>
      <x v="799"/>
    </i>
    <i>
      <x v="807"/>
    </i>
    <i>
      <x v="812"/>
    </i>
    <i>
      <x v="814"/>
    </i>
    <i>
      <x v="823"/>
    </i>
    <i>
      <x v="835"/>
    </i>
    <i>
      <x v="837"/>
    </i>
    <i>
      <x v="838"/>
    </i>
    <i>
      <x v="839"/>
    </i>
    <i>
      <x v="841"/>
    </i>
    <i>
      <x v="847"/>
    </i>
    <i>
      <x v="848"/>
    </i>
    <i>
      <x v="850"/>
    </i>
    <i>
      <x v="851"/>
    </i>
    <i>
      <x v="854"/>
    </i>
    <i>
      <x v="855"/>
    </i>
    <i>
      <x v="856"/>
    </i>
    <i>
      <x v="857"/>
    </i>
    <i>
      <x v="869"/>
    </i>
    <i>
      <x v="886"/>
    </i>
    <i>
      <x v="906"/>
    </i>
    <i>
      <x v="909"/>
    </i>
    <i>
      <x v="923"/>
    </i>
    <i>
      <x v="930"/>
    </i>
    <i>
      <x v="931"/>
    </i>
    <i>
      <x v="946"/>
    </i>
    <i>
      <x v="957"/>
    </i>
    <i>
      <x v="966"/>
    </i>
    <i>
      <x v="981"/>
    </i>
    <i>
      <x v="999"/>
    </i>
    <i>
      <x v="1110"/>
    </i>
    <i>
      <x v="1116"/>
    </i>
    <i>
      <x v="1124"/>
    </i>
    <i>
      <x v="1131"/>
    </i>
    <i>
      <x v="1139"/>
    </i>
    <i>
      <x v="1140"/>
    </i>
    <i>
      <x v="1154"/>
    </i>
    <i>
      <x v="1159"/>
    </i>
    <i>
      <x v="1162"/>
    </i>
    <i>
      <x v="1165"/>
    </i>
    <i>
      <x v="1169"/>
    </i>
    <i>
      <x v="1170"/>
    </i>
    <i>
      <x v="1175"/>
    </i>
    <i>
      <x v="1182"/>
    </i>
    <i>
      <x v="1186"/>
    </i>
    <i>
      <x v="1189"/>
    </i>
    <i>
      <x v="1190"/>
    </i>
    <i>
      <x v="1191"/>
    </i>
    <i>
      <x v="1193"/>
    </i>
    <i>
      <x v="1198"/>
    </i>
    <i>
      <x v="1215"/>
    </i>
    <i>
      <x v="1219"/>
    </i>
    <i>
      <x v="1221"/>
    </i>
    <i>
      <x v="1224"/>
    </i>
    <i>
      <x v="1225"/>
    </i>
    <i>
      <x v="1229"/>
    </i>
    <i>
      <x v="1236"/>
    </i>
    <i>
      <x v="1237"/>
    </i>
    <i>
      <x v="1238"/>
    </i>
    <i>
      <x v="1241"/>
    </i>
    <i>
      <x v="1244"/>
    </i>
    <i>
      <x v="1245"/>
    </i>
    <i>
      <x v="1251"/>
    </i>
    <i>
      <x v="1255"/>
    </i>
    <i>
      <x v="1256"/>
    </i>
    <i>
      <x v="1264"/>
    </i>
    <i>
      <x v="1270"/>
    </i>
    <i>
      <x v="1312"/>
    </i>
    <i>
      <x v="1318"/>
    </i>
    <i>
      <x v="1321"/>
    </i>
    <i>
      <x v="1323"/>
    </i>
    <i>
      <x v="1325"/>
    </i>
    <i>
      <x v="1327"/>
    </i>
    <i>
      <x v="1330"/>
    </i>
    <i>
      <x v="1331"/>
    </i>
    <i>
      <x v="1335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50"/>
    </i>
    <i>
      <x v="1351"/>
    </i>
    <i>
      <x v="1352"/>
    </i>
    <i>
      <x v="1353"/>
    </i>
    <i>
      <x v="1357"/>
    </i>
    <i>
      <x v="1358"/>
    </i>
    <i>
      <x v="1359"/>
    </i>
    <i>
      <x v="1361"/>
    </i>
    <i>
      <x v="1362"/>
    </i>
    <i>
      <x v="1363"/>
    </i>
    <i>
      <x v="1364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8"/>
    </i>
    <i>
      <x v="1379"/>
    </i>
    <i>
      <x v="1380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400"/>
    </i>
    <i>
      <x v="1401"/>
    </i>
    <i>
      <x v="1404"/>
    </i>
    <i>
      <x v="1405"/>
    </i>
    <i>
      <x v="1408"/>
    </i>
    <i>
      <x v="1409"/>
    </i>
    <i>
      <x v="1410"/>
    </i>
    <i>
      <x v="1414"/>
    </i>
    <i>
      <x v="1424"/>
    </i>
    <i>
      <x v="1445"/>
    </i>
    <i>
      <x v="1448"/>
    </i>
    <i>
      <x v="1449"/>
    </i>
    <i>
      <x v="1451"/>
    </i>
    <i>
      <x v="1453"/>
    </i>
    <i>
      <x v="1455"/>
    </i>
    <i>
      <x v="1461"/>
    </i>
    <i>
      <x v="1466"/>
    </i>
    <i>
      <x v="1467"/>
    </i>
    <i>
      <x v="1469"/>
    </i>
    <i>
      <x v="1470"/>
    </i>
    <i>
      <x v="1476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8"/>
    </i>
    <i>
      <x v="1489"/>
    </i>
    <i>
      <x v="1490"/>
    </i>
    <i>
      <x v="1491"/>
    </i>
    <i>
      <x v="1492"/>
    </i>
    <i>
      <x v="1493"/>
    </i>
    <i>
      <x v="1497"/>
    </i>
    <i>
      <x v="1516"/>
    </i>
    <i>
      <x v="1520"/>
    </i>
    <i>
      <x v="1522"/>
    </i>
    <i>
      <x v="1523"/>
    </i>
    <i>
      <x v="1526"/>
    </i>
    <i>
      <x v="1528"/>
    </i>
    <i>
      <x v="1530"/>
    </i>
    <i>
      <x v="1531"/>
    </i>
    <i>
      <x v="1532"/>
    </i>
    <i>
      <x v="1536"/>
    </i>
    <i>
      <x v="1542"/>
    </i>
    <i>
      <x v="1544"/>
    </i>
    <i>
      <x v="1550"/>
    </i>
    <i>
      <x v="1554"/>
    </i>
    <i>
      <x v="1563"/>
    </i>
    <i>
      <x v="1565"/>
    </i>
    <i>
      <x v="1570"/>
    </i>
    <i>
      <x v="1571"/>
    </i>
    <i>
      <x v="1573"/>
    </i>
    <i>
      <x v="1574"/>
    </i>
    <i>
      <x v="1576"/>
    </i>
    <i>
      <x v="1577"/>
    </i>
    <i>
      <x v="1578"/>
    </i>
    <i>
      <x v="1579"/>
    </i>
    <i>
      <x v="1580"/>
    </i>
    <i>
      <x v="1585"/>
    </i>
    <i>
      <x v="1589"/>
    </i>
    <i>
      <x v="1601"/>
    </i>
    <i>
      <x v="1602"/>
    </i>
    <i>
      <x v="1613"/>
    </i>
    <i>
      <x v="1614"/>
    </i>
    <i>
      <x v="1615"/>
    </i>
    <i>
      <x v="1627"/>
    </i>
    <i>
      <x v="1628"/>
    </i>
    <i>
      <x v="1631"/>
    </i>
    <i>
      <x v="1632"/>
    </i>
    <i>
      <x v="1633"/>
    </i>
    <i>
      <x v="1634"/>
    </i>
    <i>
      <x v="1637"/>
    </i>
    <i>
      <x v="1638"/>
    </i>
    <i>
      <x v="1639"/>
    </i>
    <i>
      <x v="1646"/>
    </i>
    <i>
      <x v="1650"/>
    </i>
    <i>
      <x v="1652"/>
    </i>
    <i>
      <x v="1654"/>
    </i>
    <i>
      <x v="1655"/>
    </i>
    <i>
      <x v="1656"/>
    </i>
    <i>
      <x v="1659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95"/>
    </i>
    <i>
      <x v="1696"/>
    </i>
    <i>
      <x v="1697"/>
    </i>
    <i>
      <x v="1698"/>
    </i>
    <i>
      <x v="1699"/>
    </i>
    <i>
      <x v="1701"/>
    </i>
    <i>
      <x v="1702"/>
    </i>
    <i>
      <x v="1703"/>
    </i>
    <i>
      <x v="1704"/>
    </i>
    <i>
      <x v="1706"/>
    </i>
    <i>
      <x v="1709"/>
    </i>
    <i>
      <x v="1710"/>
    </i>
    <i>
      <x v="1717"/>
    </i>
    <i>
      <x v="1718"/>
    </i>
    <i>
      <x v="1720"/>
    </i>
    <i>
      <x v="1721"/>
    </i>
    <i>
      <x v="1722"/>
    </i>
    <i>
      <x v="1723"/>
    </i>
    <i>
      <x v="1724"/>
    </i>
    <i>
      <x v="1725"/>
    </i>
    <i>
      <x v="1730"/>
    </i>
    <i>
      <x v="1733"/>
    </i>
    <i>
      <x v="1743"/>
    </i>
    <i>
      <x v="1749"/>
    </i>
    <i>
      <x v="1751"/>
    </i>
    <i>
      <x v="1754"/>
    </i>
    <i>
      <x v="1757"/>
    </i>
    <i>
      <x v="1758"/>
    </i>
    <i>
      <x v="1759"/>
    </i>
    <i>
      <x v="1761"/>
    </i>
    <i>
      <x v="1762"/>
    </i>
    <i>
      <x v="1763"/>
    </i>
    <i>
      <x v="1764"/>
    </i>
    <i>
      <x v="1775"/>
    </i>
    <i>
      <x v="1778"/>
    </i>
    <i>
      <x v="1779"/>
    </i>
    <i>
      <x v="1780"/>
    </i>
    <i>
      <x v="1781"/>
    </i>
    <i>
      <x v="1782"/>
    </i>
    <i>
      <x v="1784"/>
    </i>
    <i>
      <x v="1793"/>
    </i>
    <i>
      <x v="1794"/>
    </i>
    <i>
      <x v="1795"/>
    </i>
    <i>
      <x v="1796"/>
    </i>
    <i>
      <x v="1797"/>
    </i>
    <i>
      <x v="1801"/>
    </i>
    <i>
      <x v="1803"/>
    </i>
    <i>
      <x v="1805"/>
    </i>
    <i>
      <x v="1806"/>
    </i>
    <i>
      <x v="1809"/>
    </i>
    <i>
      <x v="1810"/>
    </i>
    <i>
      <x v="1811"/>
    </i>
    <i>
      <x v="1818"/>
    </i>
    <i>
      <x v="1822"/>
    </i>
    <i>
      <x v="1823"/>
    </i>
    <i>
      <x v="1824"/>
    </i>
    <i>
      <x v="1825"/>
    </i>
    <i>
      <x v="1827"/>
    </i>
    <i>
      <x v="1828"/>
    </i>
    <i>
      <x v="1844"/>
    </i>
    <i>
      <x v="1849"/>
    </i>
    <i>
      <x v="1851"/>
    </i>
    <i>
      <x v="1853"/>
    </i>
    <i>
      <x v="1863"/>
    </i>
    <i>
      <x v="1864"/>
    </i>
    <i>
      <x v="1867"/>
    </i>
    <i>
      <x v="1871"/>
    </i>
    <i>
      <x v="1872"/>
    </i>
    <i>
      <x v="1873"/>
    </i>
    <i>
      <x v="1874"/>
    </i>
    <i>
      <x v="1880"/>
    </i>
    <i>
      <x v="1881"/>
    </i>
    <i>
      <x v="1882"/>
    </i>
  </rowItems>
  <colFields count="2">
    <field x="7"/>
    <field x="-2"/>
  </colFields>
  <colItems count="20">
    <i>
      <x v="1"/>
      <x/>
    </i>
    <i r="1" i="1">
      <x v="1"/>
    </i>
    <i>
      <x v="6"/>
      <x/>
    </i>
    <i r="1" i="1">
      <x v="1"/>
    </i>
    <i>
      <x/>
      <x/>
    </i>
    <i r="1" i="1">
      <x v="1"/>
    </i>
    <i>
      <x v="4"/>
      <x/>
    </i>
    <i r="1" i="1">
      <x v="1"/>
    </i>
    <i>
      <x v="5"/>
      <x/>
    </i>
    <i r="1" i="1">
      <x v="1"/>
    </i>
    <i>
      <x v="9"/>
      <x/>
    </i>
    <i r="1" i="1">
      <x v="1"/>
    </i>
    <i>
      <x v="2"/>
      <x/>
    </i>
    <i r="1" i="1">
      <x v="1"/>
    </i>
    <i>
      <x v="3"/>
      <x/>
    </i>
    <i r="1" i="1">
      <x v="1"/>
    </i>
    <i>
      <x v="8"/>
      <x/>
    </i>
    <i r="1" i="1">
      <x v="1"/>
    </i>
    <i>
      <x v="7"/>
      <x/>
    </i>
    <i r="1" i="1">
      <x v="1"/>
    </i>
  </colItems>
  <pageFields count="1">
    <pageField fld="9" item="99" hier="-1"/>
  </pageFields>
  <dataFields count="2">
    <dataField name="Sum of Salary in USD" fld="5" baseField="0" baseItem="0"/>
    <dataField name="Count of Your Salary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49" applyNumberFormats="0" applyBorderFormats="0" applyFontFormats="0" applyPatternFormats="0" applyAlignmentFormats="0" applyWidthHeightFormats="1" dataCaption="Values" updatedVersion="3" minRefreshableVersion="3" showCalcMbrs="0" showDrill="0" showDataTips="0" preserveFormatting="0" rowGrandTotals="0" colGrandTotals="0" itemPrintTitles="1" createdVersion="3" indent="0" showHeaders="0" outline="1" outlineData="1" multipleFieldFilters="0" customListSort="0">
  <location ref="P5:P119" firstHeaderRow="0" firstDataRow="0" firstDataCol="1" rowPageCount="1" colPageCount="1"/>
  <pivotFields count="12">
    <pivotField showAll="0"/>
    <pivotField numFmtId="164" showAll="0"/>
    <pivotField showAll="0"/>
    <pivotField showAll="0"/>
    <pivotField showAll="0"/>
    <pivotField showAll="0"/>
    <pivotField axis="axisRow" showAll="0">
      <items count="1122">
        <item x="1097"/>
        <item x="1110"/>
        <item x="33"/>
        <item x="1044"/>
        <item x="358"/>
        <item x="596"/>
        <item x="189"/>
        <item x="411"/>
        <item x="136"/>
        <item x="693"/>
        <item x="176"/>
        <item x="93"/>
        <item x="524"/>
        <item x="308"/>
        <item x="385"/>
        <item x="889"/>
        <item x="870"/>
        <item x="888"/>
        <item x="157"/>
        <item x="483"/>
        <item x="501"/>
        <item x="727"/>
        <item x="670"/>
        <item x="931"/>
        <item x="493"/>
        <item x="460"/>
        <item x="471"/>
        <item x="520"/>
        <item x="1079"/>
        <item x="1013"/>
        <item x="1094"/>
        <item x="104"/>
        <item x="74"/>
        <item x="745"/>
        <item x="368"/>
        <item x="163"/>
        <item x="156"/>
        <item x="1120"/>
        <item x="230"/>
        <item x="959"/>
        <item x="270"/>
        <item x="17"/>
        <item x="1028"/>
        <item x="440"/>
        <item x="318"/>
        <item x="1076"/>
        <item x="819"/>
        <item x="731"/>
        <item x="1102"/>
        <item x="735"/>
        <item x="1010"/>
        <item x="1048"/>
        <item x="562"/>
        <item x="5"/>
        <item x="1103"/>
        <item x="214"/>
        <item x="23"/>
        <item x="611"/>
        <item x="393"/>
        <item x="962"/>
        <item x="103"/>
        <item x="209"/>
        <item x="560"/>
        <item x="975"/>
        <item x="556"/>
        <item x="25"/>
        <item x="476"/>
        <item x="590"/>
        <item x="954"/>
        <item x="469"/>
        <item x="650"/>
        <item x="329"/>
        <item x="276"/>
        <item x="414"/>
        <item x="1050"/>
        <item x="724"/>
        <item x="179"/>
        <item x="1066"/>
        <item x="795"/>
        <item x="702"/>
        <item x="983"/>
        <item x="437"/>
        <item x="879"/>
        <item x="896"/>
        <item x="634"/>
        <item x="592"/>
        <item x="513"/>
        <item x="457"/>
        <item x="295"/>
        <item x="963"/>
        <item x="265"/>
        <item x="682"/>
        <item x="7"/>
        <item x="381"/>
        <item x="874"/>
        <item x="655"/>
        <item x="1060"/>
        <item x="1036"/>
        <item x="526"/>
        <item x="973"/>
        <item x="591"/>
        <item x="647"/>
        <item x="809"/>
        <item x="143"/>
        <item x="459"/>
        <item x="497"/>
        <item x="516"/>
        <item x="938"/>
        <item x="598"/>
        <item x="482"/>
        <item x="659"/>
        <item x="160"/>
        <item x="465"/>
        <item x="621"/>
        <item x="830"/>
        <item x="384"/>
        <item x="94"/>
        <item x="489"/>
        <item x="794"/>
        <item x="768"/>
        <item x="486"/>
        <item x="661"/>
        <item x="645"/>
        <item x="485"/>
        <item x="9"/>
        <item x="448"/>
        <item x="219"/>
        <item x="964"/>
        <item x="793"/>
        <item x="142"/>
        <item x="673"/>
        <item x="1029"/>
        <item x="1070"/>
        <item x="527"/>
        <item x="369"/>
        <item x="532"/>
        <item x="664"/>
        <item x="725"/>
        <item x="456"/>
        <item x="327"/>
        <item x="994"/>
        <item x="629"/>
        <item x="563"/>
        <item x="675"/>
        <item x="576"/>
        <item x="425"/>
        <item x="551"/>
        <item x="523"/>
        <item x="190"/>
        <item x="940"/>
        <item x="141"/>
        <item x="48"/>
        <item x="831"/>
        <item x="315"/>
        <item x="54"/>
        <item x="615"/>
        <item x="1117"/>
        <item x="36"/>
        <item x="561"/>
        <item x="972"/>
        <item x="264"/>
        <item x="12"/>
        <item x="734"/>
        <item x="749"/>
        <item x="1034"/>
        <item x="836"/>
        <item x="718"/>
        <item x="930"/>
        <item x="377"/>
        <item x="649"/>
        <item x="161"/>
        <item x="681"/>
        <item x="203"/>
        <item x="15"/>
        <item x="678"/>
        <item x="943"/>
        <item x="478"/>
        <item x="689"/>
        <item x="839"/>
        <item x="167"/>
        <item x="912"/>
        <item x="351"/>
        <item x="891"/>
        <item x="353"/>
        <item x="374"/>
        <item x="860"/>
        <item x="957"/>
        <item x="694"/>
        <item x="121"/>
        <item x="158"/>
        <item x="631"/>
        <item x="982"/>
        <item x="610"/>
        <item x="512"/>
        <item x="56"/>
        <item x="1003"/>
        <item x="120"/>
        <item x="1011"/>
        <item x="169"/>
        <item x="606"/>
        <item x="463"/>
        <item x="480"/>
        <item x="302"/>
        <item x="180"/>
        <item x="538"/>
        <item x="893"/>
        <item x="968"/>
        <item x="361"/>
        <item x="998"/>
        <item x="198"/>
        <item x="663"/>
        <item x="733"/>
        <item x="296"/>
        <item x="286"/>
        <item x="786"/>
        <item x="8"/>
        <item x="132"/>
        <item x="81"/>
        <item x="909"/>
        <item x="370"/>
        <item x="758"/>
        <item x="1083"/>
        <item x="166"/>
        <item x="27"/>
        <item x="301"/>
        <item x="354"/>
        <item x="845"/>
        <item x="620"/>
        <item x="705"/>
        <item x="873"/>
        <item x="984"/>
        <item x="452"/>
        <item x="599"/>
        <item x="347"/>
        <item x="593"/>
        <item x="282"/>
        <item x="530"/>
        <item x="514"/>
        <item x="508"/>
        <item x="1041"/>
        <item x="305"/>
        <item x="622"/>
        <item x="933"/>
        <item x="723"/>
        <item x="35"/>
        <item x="784"/>
        <item x="152"/>
        <item x="239"/>
        <item x="137"/>
        <item x="517"/>
        <item x="423"/>
        <item x="989"/>
        <item x="59"/>
        <item x="1015"/>
        <item x="446"/>
        <item x="338"/>
        <item x="298"/>
        <item x="788"/>
        <item x="1022"/>
        <item x="911"/>
        <item x="236"/>
        <item x="915"/>
        <item x="823"/>
        <item x="387"/>
        <item x="462"/>
        <item x="965"/>
        <item x="34"/>
        <item x="458"/>
        <item x="416"/>
        <item x="52"/>
        <item x="447"/>
        <item x="728"/>
        <item x="507"/>
        <item x="1119"/>
        <item x="127"/>
        <item x="402"/>
        <item x="1"/>
        <item x="744"/>
        <item x="585"/>
        <item x="412"/>
        <item x="864"/>
        <item x="319"/>
        <item x="613"/>
        <item x="835"/>
        <item x="644"/>
        <item x="643"/>
        <item x="1085"/>
        <item x="199"/>
        <item x="1116"/>
        <item x="999"/>
        <item x="1039"/>
        <item x="1057"/>
        <item x="625"/>
        <item x="503"/>
        <item x="79"/>
        <item x="521"/>
        <item x="866"/>
        <item x="742"/>
        <item x="684"/>
        <item x="1067"/>
        <item x="858"/>
        <item x="721"/>
        <item x="1042"/>
        <item x="929"/>
        <item x="1018"/>
        <item x="356"/>
        <item x="570"/>
        <item x="1001"/>
        <item x="651"/>
        <item x="1049"/>
        <item x="256"/>
        <item x="68"/>
        <item x="995"/>
        <item x="108"/>
        <item x="204"/>
        <item x="932"/>
        <item x="211"/>
        <item x="155"/>
        <item x="902"/>
        <item x="314"/>
        <item x="398"/>
        <item x="586"/>
        <item x="32"/>
        <item x="781"/>
        <item x="703"/>
        <item x="704"/>
        <item x="1052"/>
        <item x="707"/>
        <item x="967"/>
        <item x="875"/>
        <item x="1081"/>
        <item x="568"/>
        <item x="822"/>
        <item x="339"/>
        <item x="1009"/>
        <item x="69"/>
        <item x="147"/>
        <item x="916"/>
        <item x="174"/>
        <item x="193"/>
        <item x="76"/>
        <item x="280"/>
        <item x="394"/>
        <item x="834"/>
        <item x="433"/>
        <item x="636"/>
        <item x="544"/>
        <item x="577"/>
        <item x="408"/>
        <item x="808"/>
        <item x="601"/>
        <item x="753"/>
        <item x="249"/>
        <item x="213"/>
        <item x="19"/>
        <item x="971"/>
        <item x="378"/>
        <item x="1053"/>
        <item x="1008"/>
        <item x="294"/>
        <item x="771"/>
        <item x="466"/>
        <item x="862"/>
        <item x="803"/>
        <item x="188"/>
        <item x="849"/>
        <item x="600"/>
        <item x="306"/>
        <item x="50"/>
        <item x="846"/>
        <item x="837"/>
        <item x="220"/>
        <item x="217"/>
        <item x="1005"/>
        <item x="979"/>
        <item x="780"/>
        <item x="1118"/>
        <item x="1045"/>
        <item x="499"/>
        <item x="502"/>
        <item x="926"/>
        <item x="201"/>
        <item x="746"/>
        <item x="666"/>
        <item x="802"/>
        <item x="396"/>
        <item x="63"/>
        <item x="16"/>
        <item x="324"/>
        <item x="66"/>
        <item x="1023"/>
        <item x="444"/>
        <item x="148"/>
        <item x="992"/>
        <item x="233"/>
        <item x="944"/>
        <item x="814"/>
        <item x="344"/>
        <item x="422"/>
        <item x="872"/>
        <item x="612"/>
        <item x="686"/>
        <item x="687"/>
        <item x="115"/>
        <item x="363"/>
        <item x="410"/>
        <item x="633"/>
        <item x="750"/>
        <item x="594"/>
        <item x="244"/>
        <item x="341"/>
        <item x="207"/>
        <item x="388"/>
        <item x="925"/>
        <item x="566"/>
        <item x="330"/>
        <item x="806"/>
        <item x="730"/>
        <item x="2"/>
        <item x="1038"/>
        <item x="1021"/>
        <item x="57"/>
        <item x="899"/>
        <item x="78"/>
        <item x="555"/>
        <item x="96"/>
        <item x="618"/>
        <item x="320"/>
        <item x="1071"/>
        <item x="602"/>
        <item x="1100"/>
        <item x="824"/>
        <item x="47"/>
        <item x="259"/>
        <item x="247"/>
        <item x="752"/>
        <item x="135"/>
        <item x="565"/>
        <item x="107"/>
        <item x="42"/>
        <item x="197"/>
        <item x="1012"/>
        <item x="272"/>
        <item x="216"/>
        <item x="18"/>
        <item x="713"/>
        <item x="1019"/>
        <item x="477"/>
        <item x="241"/>
        <item x="77"/>
        <item x="350"/>
        <item x="571"/>
        <item x="427"/>
        <item x="626"/>
        <item x="977"/>
        <item x="55"/>
        <item x="739"/>
        <item x="656"/>
        <item x="364"/>
        <item x="431"/>
        <item x="557"/>
        <item x="605"/>
        <item x="237"/>
        <item x="877"/>
        <item x="558"/>
        <item x="343"/>
        <item x="192"/>
        <item x="1090"/>
        <item x="920"/>
        <item x="186"/>
        <item x="641"/>
        <item x="805"/>
        <item x="852"/>
        <item x="251"/>
        <item x="490"/>
        <item x="415"/>
        <item x="435"/>
        <item x="116"/>
        <item x="144"/>
        <item x="773"/>
        <item x="928"/>
        <item x="119"/>
        <item x="145"/>
        <item x="1089"/>
        <item x="246"/>
        <item x="175"/>
        <item x="309"/>
        <item x="102"/>
        <item x="172"/>
        <item x="196"/>
        <item x="403"/>
        <item x="484"/>
        <item x="1106"/>
        <item x="884"/>
        <item x="706"/>
        <item x="112"/>
        <item x="755"/>
        <item x="461"/>
        <item x="553"/>
        <item x="300"/>
        <item x="322"/>
        <item x="231"/>
        <item x="883"/>
        <item x="88"/>
        <item x="736"/>
        <item x="75"/>
        <item x="574"/>
        <item x="281"/>
        <item x="955"/>
        <item x="981"/>
        <item x="782"/>
        <item x="321"/>
        <item x="373"/>
        <item x="406"/>
        <item x="85"/>
        <item x="978"/>
        <item x="1065"/>
        <item x="380"/>
        <item x="178"/>
        <item x="840"/>
        <item x="939"/>
        <item x="711"/>
        <item x="529"/>
        <item x="1074"/>
        <item x="868"/>
        <item x="766"/>
        <item x="1058"/>
        <item x="719"/>
        <item x="887"/>
        <item x="826"/>
        <item x="548"/>
        <item x="371"/>
        <item x="504"/>
        <item x="737"/>
        <item x="700"/>
        <item x="542"/>
        <item x="162"/>
        <item x="895"/>
        <item x="903"/>
        <item x="974"/>
        <item x="1054"/>
        <item x="1043"/>
        <item x="472"/>
        <item x="1000"/>
        <item x="224"/>
        <item x="248"/>
        <item x="303"/>
        <item x="337"/>
        <item x="29"/>
        <item x="654"/>
        <item x="720"/>
        <item x="674"/>
        <item x="564"/>
        <item x="946"/>
        <item x="549"/>
        <item x="20"/>
        <item x="950"/>
        <item x="597"/>
        <item x="1086"/>
        <item x="815"/>
        <item x="390"/>
        <item x="787"/>
        <item x="335"/>
        <item x="1020"/>
        <item x="111"/>
        <item x="194"/>
        <item x="761"/>
        <item x="892"/>
        <item x="765"/>
        <item x="1096"/>
        <item x="759"/>
        <item x="680"/>
        <item x="372"/>
        <item x="859"/>
        <item x="603"/>
        <item x="1061"/>
        <item x="843"/>
        <item x="263"/>
        <item x="797"/>
        <item x="474"/>
        <item x="195"/>
        <item x="1104"/>
        <item x="134"/>
        <item x="886"/>
        <item x="867"/>
        <item x="70"/>
        <item x="1064"/>
        <item x="751"/>
        <item x="129"/>
        <item x="729"/>
        <item x="291"/>
        <item x="367"/>
        <item x="559"/>
        <item x="688"/>
        <item x="99"/>
        <item x="552"/>
        <item x="110"/>
        <item x="243"/>
        <item x="67"/>
        <item x="1109"/>
        <item x="290"/>
        <item x="997"/>
        <item x="1095"/>
        <item x="21"/>
        <item x="1091"/>
        <item x="623"/>
        <item x="567"/>
        <item x="985"/>
        <item x="937"/>
        <item x="404"/>
        <item x="776"/>
        <item x="790"/>
        <item x="535"/>
        <item x="1093"/>
        <item x="228"/>
        <item x="696"/>
        <item x="850"/>
        <item x="853"/>
        <item x="838"/>
        <item x="183"/>
        <item x="588"/>
        <item x="627"/>
        <item x="935"/>
        <item x="509"/>
        <item x="383"/>
        <item x="312"/>
        <item x="417"/>
        <item x="908"/>
        <item x="726"/>
        <item x="708"/>
        <item x="223"/>
        <item x="488"/>
        <item x="658"/>
        <item x="0"/>
        <item x="820"/>
        <item x="856"/>
        <item x="811"/>
        <item x="269"/>
        <item x="531"/>
        <item x="442"/>
        <item x="829"/>
        <item x="299"/>
        <item x="1111"/>
        <item x="716"/>
        <item x="114"/>
        <item x="609"/>
        <item x="1073"/>
        <item x="58"/>
        <item x="550"/>
        <item x="495"/>
        <item x="222"/>
        <item x="669"/>
        <item x="1112"/>
        <item x="816"/>
        <item x="740"/>
        <item x="1024"/>
        <item x="709"/>
        <item x="987"/>
        <item x="774"/>
        <item x="348"/>
        <item x="697"/>
        <item x="743"/>
        <item x="913"/>
        <item x="756"/>
        <item x="271"/>
        <item x="901"/>
        <item x="43"/>
        <item x="608"/>
        <item x="65"/>
        <item x="921"/>
        <item x="266"/>
        <item x="428"/>
        <item x="914"/>
        <item x="242"/>
        <item x="1114"/>
        <item x="635"/>
        <item x="95"/>
        <item x="173"/>
        <item x="554"/>
        <item x="653"/>
        <item x="945"/>
        <item x="92"/>
        <item x="546"/>
        <item x="789"/>
        <item x="346"/>
        <item x="949"/>
        <item x="1107"/>
        <item x="525"/>
        <item x="481"/>
        <item x="205"/>
        <item x="454"/>
        <item x="288"/>
        <item x="966"/>
        <item x="885"/>
        <item x="80"/>
        <item x="345"/>
        <item x="741"/>
        <item x="420"/>
        <item x="714"/>
        <item x="1072"/>
        <item x="328"/>
        <item x="671"/>
        <item x="900"/>
        <item x="275"/>
        <item x="1069"/>
        <item x="450"/>
        <item x="842"/>
        <item x="238"/>
        <item x="1101"/>
        <item x="464"/>
        <item x="1027"/>
        <item x="827"/>
        <item x="572"/>
        <item x="692"/>
        <item x="31"/>
        <item x="1115"/>
        <item x="46"/>
        <item x="1017"/>
        <item x="763"/>
        <item x="791"/>
        <item x="801"/>
        <item x="732"/>
        <item x="418"/>
        <item x="936"/>
        <item x="833"/>
        <item x="648"/>
        <item x="470"/>
        <item x="360"/>
        <item x="580"/>
        <item x="124"/>
        <item x="1105"/>
        <item x="898"/>
        <item x="919"/>
        <item x="1014"/>
        <item x="391"/>
        <item x="783"/>
        <item x="61"/>
        <item x="62"/>
        <item x="153"/>
        <item x="113"/>
        <item x="505"/>
        <item x="187"/>
        <item x="349"/>
        <item x="257"/>
        <item x="37"/>
        <item x="430"/>
        <item x="255"/>
        <item x="84"/>
        <item x="235"/>
        <item x="970"/>
        <item x="389"/>
        <item x="83"/>
        <item x="679"/>
        <item x="777"/>
        <item x="130"/>
        <item x="449"/>
        <item x="492"/>
        <item x="170"/>
        <item x="122"/>
        <item x="432"/>
        <item x="1080"/>
        <item x="614"/>
        <item x="533"/>
        <item x="677"/>
        <item x="695"/>
        <item x="1078"/>
        <item x="668"/>
        <item x="578"/>
        <item x="443"/>
        <item x="1108"/>
        <item x="13"/>
        <item x="1046"/>
        <item x="382"/>
        <item x="510"/>
        <item x="1037"/>
        <item x="24"/>
        <item x="890"/>
        <item x="89"/>
        <item x="881"/>
        <item x="118"/>
        <item x="154"/>
        <item x="817"/>
        <item x="261"/>
        <item x="660"/>
        <item x="149"/>
        <item x="128"/>
        <item x="807"/>
        <item x="227"/>
        <item x="1040"/>
        <item x="405"/>
        <item x="799"/>
        <item x="434"/>
        <item x="1068"/>
        <item x="701"/>
        <item x="951"/>
        <item x="138"/>
        <item x="604"/>
        <item x="582"/>
        <item x="262"/>
        <item x="439"/>
        <item x="293"/>
        <item x="961"/>
        <item x="760"/>
        <item x="283"/>
        <item x="401"/>
        <item x="3"/>
        <item x="844"/>
        <item x="4"/>
        <item x="630"/>
        <item x="747"/>
        <item x="455"/>
        <item x="445"/>
        <item x="1077"/>
        <item x="616"/>
        <item x="905"/>
        <item x="522"/>
        <item x="342"/>
        <item x="1047"/>
        <item x="818"/>
        <item x="798"/>
        <item x="376"/>
        <item x="667"/>
        <item x="722"/>
        <item x="506"/>
        <item x="171"/>
        <item x="638"/>
        <item x="541"/>
        <item x="1026"/>
        <item x="569"/>
        <item x="253"/>
        <item x="617"/>
        <item x="947"/>
        <item x="400"/>
        <item x="918"/>
        <item x="109"/>
        <item x="395"/>
        <item x="399"/>
        <item x="1082"/>
        <item x="98"/>
        <item x="355"/>
        <item x="357"/>
        <item x="800"/>
        <item x="191"/>
        <item x="379"/>
        <item x="642"/>
        <item x="1098"/>
        <item x="500"/>
        <item x="624"/>
        <item x="941"/>
        <item x="240"/>
        <item x="672"/>
        <item x="279"/>
        <item x="528"/>
        <item x="996"/>
        <item x="813"/>
        <item x="587"/>
        <item x="1035"/>
        <item x="51"/>
        <item x="254"/>
        <item x="22"/>
        <item x="82"/>
        <item x="436"/>
        <item x="1092"/>
        <item x="441"/>
        <item x="467"/>
        <item x="150"/>
        <item x="1062"/>
        <item x="515"/>
        <item x="632"/>
        <item x="304"/>
        <item x="413"/>
        <item x="438"/>
        <item x="712"/>
        <item x="229"/>
        <item x="906"/>
        <item x="762"/>
        <item x="53"/>
        <item x="969"/>
        <item x="105"/>
        <item x="39"/>
        <item x="1051"/>
        <item x="573"/>
        <item x="534"/>
        <item x="44"/>
        <item x="11"/>
        <item x="38"/>
        <item x="210"/>
        <item x="45"/>
        <item x="772"/>
        <item x="139"/>
        <item x="49"/>
        <item x="882"/>
        <item x="579"/>
        <item x="828"/>
        <item x="1059"/>
        <item x="986"/>
        <item x="292"/>
        <item x="876"/>
        <item x="289"/>
        <item x="804"/>
        <item x="923"/>
        <item x="332"/>
        <item x="30"/>
        <item x="924"/>
        <item x="362"/>
        <item x="268"/>
        <item x="1033"/>
        <item x="125"/>
        <item x="274"/>
        <item x="869"/>
        <item x="451"/>
        <item x="775"/>
        <item x="1032"/>
        <item x="117"/>
        <item x="267"/>
        <item x="41"/>
        <item x="1099"/>
        <item x="1084"/>
        <item x="607"/>
        <item x="785"/>
        <item x="980"/>
        <item x="1075"/>
        <item x="848"/>
        <item x="910"/>
        <item x="1025"/>
        <item x="6"/>
        <item x="311"/>
        <item x="1007"/>
        <item x="543"/>
        <item x="72"/>
        <item x="810"/>
        <item x="221"/>
        <item x="151"/>
        <item x="284"/>
        <item x="857"/>
        <item x="738"/>
        <item x="988"/>
        <item x="164"/>
        <item x="904"/>
        <item x="182"/>
        <item x="1056"/>
        <item x="639"/>
        <item x="200"/>
        <item x="952"/>
        <item x="767"/>
        <item x="657"/>
        <item x="208"/>
        <item x="715"/>
        <item x="226"/>
        <item x="628"/>
        <item x="1030"/>
        <item x="252"/>
        <item x="769"/>
        <item x="698"/>
        <item x="28"/>
        <item x="123"/>
        <item x="948"/>
        <item x="106"/>
        <item x="87"/>
        <item x="907"/>
        <item x="498"/>
        <item x="126"/>
        <item x="676"/>
        <item x="1063"/>
        <item x="1006"/>
        <item x="159"/>
        <item x="313"/>
        <item x="496"/>
        <item x="1055"/>
        <item x="307"/>
        <item x="619"/>
        <item x="333"/>
        <item x="863"/>
        <item x="453"/>
        <item x="14"/>
        <item x="375"/>
        <item x="958"/>
        <item x="273"/>
        <item x="317"/>
        <item x="511"/>
        <item x="101"/>
        <item x="421"/>
        <item x="140"/>
        <item x="245"/>
        <item x="754"/>
        <item x="545"/>
        <item x="475"/>
        <item x="812"/>
        <item x="547"/>
        <item x="168"/>
        <item x="206"/>
        <item x="419"/>
        <item x="331"/>
        <item x="690"/>
        <item x="851"/>
        <item x="366"/>
        <item x="683"/>
        <item x="494"/>
        <item x="86"/>
        <item x="942"/>
        <item x="880"/>
        <item x="184"/>
        <item x="1087"/>
        <item x="779"/>
        <item x="310"/>
        <item x="710"/>
        <item x="652"/>
        <item x="1088"/>
        <item x="691"/>
        <item x="764"/>
        <item x="646"/>
        <item x="792"/>
        <item x="316"/>
        <item x="770"/>
        <item x="64"/>
        <item x="519"/>
        <item x="991"/>
        <item x="581"/>
        <item x="90"/>
        <item x="662"/>
        <item x="165"/>
        <item x="73"/>
        <item x="26"/>
        <item x="861"/>
        <item x="1016"/>
        <item x="584"/>
        <item x="326"/>
        <item x="748"/>
        <item x="285"/>
        <item x="917"/>
        <item x="583"/>
        <item x="258"/>
        <item x="956"/>
        <item x="575"/>
        <item x="250"/>
        <item x="993"/>
        <item x="897"/>
        <item x="825"/>
        <item x="232"/>
        <item x="637"/>
        <item x="927"/>
        <item x="990"/>
        <item x="518"/>
        <item x="841"/>
        <item x="287"/>
        <item x="778"/>
        <item x="699"/>
        <item x="491"/>
        <item x="468"/>
        <item x="429"/>
        <item x="1031"/>
        <item x="871"/>
        <item x="177"/>
        <item x="323"/>
        <item x="665"/>
        <item x="595"/>
        <item x="540"/>
        <item x="40"/>
        <item x="131"/>
        <item x="479"/>
        <item x="473"/>
        <item x="960"/>
        <item x="796"/>
        <item x="487"/>
        <item x="426"/>
        <item x="1004"/>
        <item x="181"/>
        <item x="407"/>
        <item x="60"/>
        <item x="976"/>
        <item x="539"/>
        <item x="424"/>
        <item x="133"/>
        <item x="225"/>
        <item x="260"/>
        <item x="854"/>
        <item x="821"/>
        <item x="934"/>
        <item x="922"/>
        <item x="146"/>
        <item x="397"/>
        <item x="297"/>
        <item x="589"/>
        <item x="10"/>
        <item x="717"/>
        <item x="277"/>
        <item x="865"/>
        <item x="91"/>
        <item x="352"/>
        <item x="878"/>
        <item x="218"/>
        <item x="97"/>
        <item x="71"/>
        <item x="392"/>
        <item x="894"/>
        <item x="847"/>
        <item x="685"/>
        <item x="1113"/>
        <item x="832"/>
        <item x="386"/>
        <item x="359"/>
        <item x="215"/>
        <item x="185"/>
        <item x="212"/>
        <item x="536"/>
        <item x="234"/>
        <item x="855"/>
        <item x="640"/>
        <item x="1002"/>
        <item x="757"/>
        <item x="336"/>
        <item x="100"/>
        <item x="278"/>
        <item x="334"/>
        <item x="202"/>
        <item x="325"/>
        <item x="340"/>
        <item x="953"/>
        <item x="409"/>
        <item x="365"/>
        <item x="537"/>
        <item t="default"/>
      </items>
    </pivotField>
    <pivotField showAll="0"/>
    <pivotField showAll="0"/>
    <pivotField axis="axisPage" showAll="0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</pivotField>
    <pivotField showAll="0"/>
    <pivotField showAll="0"/>
  </pivotFields>
  <rowFields count="1">
    <field x="6"/>
  </rowFields>
  <rowItems count="115">
    <i>
      <x v="6"/>
    </i>
    <i>
      <x v="34"/>
    </i>
    <i>
      <x v="51"/>
    </i>
    <i>
      <x v="53"/>
    </i>
    <i>
      <x v="74"/>
    </i>
    <i>
      <x v="75"/>
    </i>
    <i>
      <x v="79"/>
    </i>
    <i>
      <x v="83"/>
    </i>
    <i>
      <x v="93"/>
    </i>
    <i>
      <x v="151"/>
    </i>
    <i>
      <x v="161"/>
    </i>
    <i>
      <x v="162"/>
    </i>
    <i>
      <x v="171"/>
    </i>
    <i>
      <x v="177"/>
    </i>
    <i>
      <x v="179"/>
    </i>
    <i>
      <x v="184"/>
    </i>
    <i>
      <x v="187"/>
    </i>
    <i>
      <x v="193"/>
    </i>
    <i>
      <x v="198"/>
    </i>
    <i>
      <x v="212"/>
    </i>
    <i>
      <x v="228"/>
    </i>
    <i>
      <x v="233"/>
    </i>
    <i>
      <x v="234"/>
    </i>
    <i>
      <x v="235"/>
    </i>
    <i>
      <x v="238"/>
    </i>
    <i>
      <x v="242"/>
    </i>
    <i>
      <x v="244"/>
    </i>
    <i>
      <x v="258"/>
    </i>
    <i>
      <x v="271"/>
    </i>
    <i>
      <x v="272"/>
    </i>
    <i>
      <x v="275"/>
    </i>
    <i>
      <x v="294"/>
    </i>
    <i>
      <x v="301"/>
    </i>
    <i>
      <x v="305"/>
    </i>
    <i>
      <x v="309"/>
    </i>
    <i>
      <x v="311"/>
    </i>
    <i>
      <x v="314"/>
    </i>
    <i>
      <x v="324"/>
    </i>
    <i>
      <x v="325"/>
    </i>
    <i>
      <x v="364"/>
    </i>
    <i>
      <x v="370"/>
    </i>
    <i>
      <x v="375"/>
    </i>
    <i>
      <x v="381"/>
    </i>
    <i>
      <x v="400"/>
    </i>
    <i>
      <x v="401"/>
    </i>
    <i>
      <x v="403"/>
    </i>
    <i>
      <x v="404"/>
    </i>
    <i>
      <x v="411"/>
    </i>
    <i>
      <x v="418"/>
    </i>
    <i>
      <x v="425"/>
    </i>
    <i>
      <x v="429"/>
    </i>
    <i>
      <x v="448"/>
    </i>
    <i>
      <x v="456"/>
    </i>
    <i>
      <x v="458"/>
    </i>
    <i>
      <x v="461"/>
    </i>
    <i>
      <x v="473"/>
    </i>
    <i>
      <x v="479"/>
    </i>
    <i>
      <x v="484"/>
    </i>
    <i>
      <x v="496"/>
    </i>
    <i>
      <x v="507"/>
    </i>
    <i>
      <x v="511"/>
    </i>
    <i>
      <x v="517"/>
    </i>
    <i>
      <x v="531"/>
    </i>
    <i>
      <x v="544"/>
    </i>
    <i>
      <x v="547"/>
    </i>
    <i>
      <x v="548"/>
    </i>
    <i>
      <x v="555"/>
    </i>
    <i>
      <x v="590"/>
    </i>
    <i>
      <x v="591"/>
    </i>
    <i>
      <x v="593"/>
    </i>
    <i>
      <x v="594"/>
    </i>
    <i>
      <x v="615"/>
    </i>
    <i>
      <x v="625"/>
    </i>
    <i>
      <x v="628"/>
    </i>
    <i>
      <x v="629"/>
    </i>
    <i>
      <x v="649"/>
    </i>
    <i>
      <x v="654"/>
    </i>
    <i>
      <x v="655"/>
    </i>
    <i>
      <x v="673"/>
    </i>
    <i>
      <x v="689"/>
    </i>
    <i>
      <x v="692"/>
    </i>
    <i>
      <x v="702"/>
    </i>
    <i>
      <x v="713"/>
    </i>
    <i>
      <x v="723"/>
    </i>
    <i>
      <x v="730"/>
    </i>
    <i>
      <x v="741"/>
    </i>
    <i>
      <x v="750"/>
    </i>
    <i>
      <x v="777"/>
    </i>
    <i>
      <x v="785"/>
    </i>
    <i>
      <x v="822"/>
    </i>
    <i>
      <x v="826"/>
    </i>
    <i>
      <x v="831"/>
    </i>
    <i>
      <x v="834"/>
    </i>
    <i>
      <x v="851"/>
    </i>
    <i>
      <x v="857"/>
    </i>
    <i>
      <x v="885"/>
    </i>
    <i>
      <x v="888"/>
    </i>
    <i>
      <x v="902"/>
    </i>
    <i>
      <x v="905"/>
    </i>
    <i>
      <x v="915"/>
    </i>
    <i>
      <x v="917"/>
    </i>
    <i>
      <x v="921"/>
    </i>
    <i>
      <x v="923"/>
    </i>
    <i>
      <x v="935"/>
    </i>
    <i>
      <x v="939"/>
    </i>
    <i>
      <x v="1021"/>
    </i>
    <i>
      <x v="1035"/>
    </i>
    <i>
      <x v="1046"/>
    </i>
    <i>
      <x v="1065"/>
    </i>
    <i>
      <x v="1069"/>
    </i>
    <i>
      <x v="1073"/>
    </i>
    <i>
      <x v="1079"/>
    </i>
    <i>
      <x v="1093"/>
    </i>
    <i>
      <x v="1094"/>
    </i>
    <i>
      <x v="1110"/>
    </i>
  </rowItems>
  <colItems count="1">
    <i/>
  </colItems>
  <pageFields count="1">
    <pageField fld="9" item="96" hier="-1"/>
  </pageFields>
  <pivotTableStyleInfo name="PivotStyleMedium15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8" cacheId="49" applyNumberFormats="0" applyBorderFormats="0" applyFontFormats="0" applyPatternFormats="0" applyAlignmentFormats="0" applyWidthHeightFormats="1" dataCaption="Values" updatedVersion="3" minRefreshableVersion="3" showCalcMbrs="0" showDrill="0" showDataTips="0" preserveFormatting="0" rowGrandTotals="0" itemPrintTitles="1" createdVersion="3" indent="0" showHeaders="0" outline="1" outlineData="1" multipleFieldFilters="0" customListSort="0">
  <location ref="AC3:AD106" firstHeaderRow="1" firstDataRow="1" firstDataCol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descending">
      <items count="104">
        <item x="71"/>
        <item x="24"/>
        <item x="79"/>
        <item x="98"/>
        <item x="64"/>
        <item x="74"/>
        <item x="16"/>
        <item x="86"/>
        <item x="95"/>
        <item x="100"/>
        <item x="36"/>
        <item x="12"/>
        <item x="30"/>
        <item x="59"/>
        <item x="88"/>
        <item x="20"/>
        <item x="90"/>
        <item x="56"/>
        <item x="17"/>
        <item x="77"/>
        <item x="49"/>
        <item x="53"/>
        <item x="27"/>
        <item x="38"/>
        <item x="1"/>
        <item x="68"/>
        <item x="61"/>
        <item x="41"/>
        <item x="33"/>
        <item x="58"/>
        <item x="44"/>
        <item x="101"/>
        <item x="87"/>
        <item x="40"/>
        <item x="19"/>
        <item x="5"/>
        <item x="85"/>
        <item x="26"/>
        <item x="52"/>
        <item x="99"/>
        <item x="9"/>
        <item x="4"/>
        <item x="0"/>
        <item x="55"/>
        <item x="39"/>
        <item x="8"/>
        <item x="34"/>
        <item x="62"/>
        <item x="51"/>
        <item x="80"/>
        <item x="76"/>
        <item x="67"/>
        <item x="81"/>
        <item x="93"/>
        <item x="89"/>
        <item x="57"/>
        <item x="73"/>
        <item x="94"/>
        <item x="25"/>
        <item x="82"/>
        <item x="78"/>
        <item x="92"/>
        <item x="45"/>
        <item x="83"/>
        <item x="18"/>
        <item x="48"/>
        <item x="60"/>
        <item x="46"/>
        <item x="102"/>
        <item x="3"/>
        <item x="23"/>
        <item x="75"/>
        <item x="91"/>
        <item x="32"/>
        <item x="15"/>
        <item x="7"/>
        <item x="65"/>
        <item x="43"/>
        <item x="37"/>
        <item x="13"/>
        <item x="22"/>
        <item x="50"/>
        <item x="29"/>
        <item x="96"/>
        <item x="70"/>
        <item x="42"/>
        <item x="11"/>
        <item x="47"/>
        <item x="54"/>
        <item x="35"/>
        <item x="10"/>
        <item x="31"/>
        <item x="97"/>
        <item x="28"/>
        <item x="21"/>
        <item x="84"/>
        <item x="14"/>
        <item x="6"/>
        <item x="63"/>
        <item x="2"/>
        <item x="66"/>
        <item x="72"/>
        <item x="6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9"/>
  </rowFields>
  <rowItems count="103">
    <i>
      <x v="53"/>
    </i>
    <i>
      <x v="90"/>
    </i>
    <i>
      <x v="32"/>
    </i>
    <i>
      <x v="68"/>
    </i>
    <i>
      <x v="95"/>
    </i>
    <i>
      <x v="67"/>
    </i>
    <i>
      <x v="20"/>
    </i>
    <i>
      <x v="6"/>
    </i>
    <i>
      <x v="18"/>
    </i>
    <i>
      <x v="19"/>
    </i>
    <i>
      <x v="89"/>
    </i>
    <i>
      <x v="26"/>
    </i>
    <i>
      <x v="35"/>
    </i>
    <i>
      <x v="12"/>
    </i>
    <i>
      <x v="85"/>
    </i>
    <i>
      <x v="33"/>
    </i>
    <i>
      <x v="64"/>
    </i>
    <i>
      <x v="91"/>
    </i>
    <i>
      <x v="99"/>
    </i>
    <i>
      <x v="65"/>
    </i>
    <i>
      <x v="48"/>
    </i>
    <i>
      <x v="96"/>
    </i>
    <i>
      <x v="46"/>
    </i>
    <i>
      <x v="45"/>
    </i>
    <i>
      <x v="34"/>
    </i>
    <i>
      <x v="79"/>
    </i>
    <i>
      <x v="76"/>
    </i>
    <i>
      <x v="82"/>
    </i>
    <i>
      <x v="49"/>
    </i>
    <i>
      <x v="7"/>
    </i>
    <i>
      <x v="81"/>
    </i>
    <i>
      <x v="86"/>
    </i>
    <i>
      <x v="93"/>
    </i>
    <i>
      <x v="47"/>
    </i>
    <i>
      <x v="87"/>
    </i>
    <i>
      <x v="70"/>
    </i>
    <i>
      <x v="24"/>
    </i>
    <i>
      <x v="94"/>
    </i>
    <i>
      <x v="15"/>
    </i>
    <i>
      <x v="50"/>
    </i>
    <i>
      <x v="41"/>
    </i>
    <i>
      <x v="11"/>
    </i>
    <i>
      <x v="102"/>
    </i>
    <i>
      <x v="8"/>
    </i>
    <i>
      <x v="25"/>
    </i>
    <i>
      <x v="80"/>
    </i>
    <i>
      <x v="98"/>
    </i>
    <i>
      <x v="74"/>
    </i>
    <i>
      <x v="75"/>
    </i>
    <i>
      <x v="28"/>
    </i>
    <i>
      <x v="58"/>
    </i>
    <i>
      <x v="37"/>
    </i>
    <i>
      <x v="43"/>
    </i>
    <i>
      <x v="23"/>
    </i>
    <i>
      <x v="54"/>
    </i>
    <i>
      <x v="40"/>
    </i>
    <i>
      <x v="62"/>
    </i>
    <i>
      <x v="2"/>
    </i>
    <i>
      <x v="56"/>
    </i>
    <i>
      <x v="88"/>
    </i>
    <i>
      <x v="1"/>
    </i>
    <i>
      <x/>
    </i>
    <i>
      <x v="71"/>
    </i>
    <i>
      <x v="39"/>
    </i>
    <i>
      <x v="29"/>
    </i>
    <i>
      <x v="84"/>
    </i>
    <i>
      <x v="36"/>
    </i>
    <i>
      <x v="44"/>
    </i>
    <i>
      <x v="63"/>
    </i>
    <i>
      <x v="73"/>
    </i>
    <i>
      <x v="21"/>
    </i>
    <i>
      <x v="78"/>
    </i>
    <i>
      <x v="72"/>
    </i>
    <i>
      <x v="51"/>
    </i>
    <i>
      <x v="55"/>
    </i>
    <i>
      <x v="16"/>
    </i>
    <i>
      <x v="61"/>
    </i>
    <i>
      <x v="42"/>
    </i>
    <i>
      <x v="60"/>
    </i>
    <i>
      <x v="66"/>
    </i>
    <i>
      <x v="83"/>
    </i>
    <i>
      <x v="101"/>
    </i>
    <i>
      <x v="22"/>
    </i>
    <i>
      <x v="30"/>
    </i>
    <i>
      <x v="5"/>
    </i>
    <i>
      <x v="69"/>
    </i>
    <i>
      <x v="97"/>
    </i>
    <i>
      <x v="27"/>
    </i>
    <i>
      <x v="92"/>
    </i>
    <i>
      <x v="10"/>
    </i>
    <i>
      <x v="100"/>
    </i>
    <i>
      <x v="14"/>
    </i>
    <i>
      <x v="57"/>
    </i>
    <i>
      <x v="9"/>
    </i>
    <i>
      <x v="59"/>
    </i>
    <i>
      <x v="38"/>
    </i>
    <i>
      <x v="3"/>
    </i>
    <i>
      <x v="77"/>
    </i>
    <i>
      <x v="4"/>
    </i>
    <i>
      <x v="13"/>
    </i>
    <i>
      <x v="52"/>
    </i>
    <i>
      <x v="17"/>
    </i>
    <i>
      <x v="31"/>
    </i>
  </rowItems>
  <colItems count="1">
    <i/>
  </colItems>
  <dataFields count="1">
    <dataField name="Average of Salary in USD" fld="5" subtotal="average" baseField="0" baseItem="0"/>
  </dataFields>
  <pivotTableStyleInfo name="PivotStyleMedium15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blSalaries" displayName="tblSalaries" ref="B5:M1888" totalsRowShown="0">
  <autoFilter ref="B5:M1888"/>
  <sortState ref="B6:M1888">
    <sortCondition ref="B5:B1888"/>
  </sortState>
  <tableColumns count="12">
    <tableColumn id="1" name="Unique ID"/>
    <tableColumn id="2" name="Timestamp" dataDxfId="4"/>
    <tableColumn id="3" name="Your Salary" dataDxfId="3"/>
    <tableColumn id="4" name="clean Salary (in local currency)"/>
    <tableColumn id="5" name="Currency"/>
    <tableColumn id="13" name="Salary in USD" dataDxfId="2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1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Countries" displayName="tblCountries" ref="L3:M137" totalsRowShown="0">
  <autoFilter ref="L3:M137"/>
  <sortState ref="L4:M137">
    <sortCondition ref="M3:M137"/>
  </sortState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tabColor rgb="FFC00000"/>
  </sheetPr>
  <dimension ref="B1:S115"/>
  <sheetViews>
    <sheetView showGridLines="0" showRowColHeaders="0" tabSelected="1" zoomScaleNormal="100" zoomScaleSheetLayoutView="100" zoomScalePageLayoutView="70" workbookViewId="0">
      <selection activeCell="F4" sqref="F4:G4"/>
    </sheetView>
  </sheetViews>
  <sheetFormatPr defaultRowHeight="15"/>
  <cols>
    <col min="1" max="1" width="2.7109375" customWidth="1"/>
    <col min="2" max="2" width="15.42578125" bestFit="1" customWidth="1"/>
    <col min="3" max="3" width="10.85546875" bestFit="1" customWidth="1"/>
    <col min="4" max="4" width="3.7109375" customWidth="1"/>
    <col min="8" max="8" width="0.85546875" customWidth="1"/>
    <col min="10" max="11" width="14.5703125" customWidth="1"/>
    <col min="12" max="12" width="9.140625" customWidth="1"/>
    <col min="13" max="13" width="4.7109375" customWidth="1"/>
    <col min="15" max="15" width="18.7109375" customWidth="1"/>
    <col min="16" max="16" width="25.7109375" customWidth="1"/>
    <col min="17" max="17" width="8.7109375" customWidth="1"/>
    <col min="18" max="18" width="25.7109375" customWidth="1"/>
    <col min="19" max="19" width="2.7109375" customWidth="1"/>
  </cols>
  <sheetData>
    <row r="1" spans="2:18" ht="18" customHeight="1">
      <c r="B1" s="62" t="s">
        <v>4057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49"/>
      <c r="O1" s="49"/>
      <c r="P1" s="49"/>
      <c r="Q1" s="49"/>
      <c r="R1" s="49"/>
    </row>
    <row r="2" spans="2:18" ht="15" customHeight="1">
      <c r="B2" s="50" t="s">
        <v>4076</v>
      </c>
      <c r="C2" s="41"/>
      <c r="D2" s="41"/>
      <c r="E2" s="41"/>
      <c r="F2" s="41"/>
      <c r="G2" s="40"/>
      <c r="H2" s="18"/>
      <c r="I2" s="50" t="s">
        <v>4087</v>
      </c>
      <c r="J2" s="40"/>
      <c r="K2" s="40"/>
      <c r="L2" s="40"/>
      <c r="M2" s="18"/>
      <c r="N2" s="39" t="s">
        <v>4058</v>
      </c>
      <c r="O2" s="36"/>
      <c r="P2" s="36"/>
      <c r="Q2" s="36"/>
      <c r="R2" s="36"/>
    </row>
    <row r="3" spans="2:18" ht="5.0999999999999996" customHeight="1"/>
    <row r="4" spans="2:18" ht="15" customHeight="1">
      <c r="E4" s="34" t="s">
        <v>4080</v>
      </c>
      <c r="F4" s="65" t="s">
        <v>15</v>
      </c>
      <c r="G4" s="66"/>
      <c r="H4" s="61"/>
      <c r="I4" s="67" t="str">
        <f>IF(selectCountry="All",CONCATENATE("The average respondant makes ",TEXT(Analysis!$CH$7,"$#,##0")," and has ",TEXT(Analysis!$CI$7,"0.00")," years of experience."),CONCATENATE("Excel jobs in ",selectCountry," make an avg of  ",TEXT(Analysis!$CH$7,"$#,##0")," (",TEXT(Analysis!CH9,"0.00%")," ",Analysis!CH10," than avg),"," and have ",TEXT(Analysis!$CI$7,"0.00")," years of experience (",TEXT(Analysis!CI9,"0.00%")," ",Analysis!CI10," than avg)."))</f>
        <v>Excel jobs in USA make an avg of  $72,738 (31.52% higher than avg), and have 10.29 years of experience (15.89% higher than avg).</v>
      </c>
      <c r="J4" s="68"/>
      <c r="K4" s="68"/>
      <c r="L4" s="69"/>
      <c r="N4" s="20"/>
      <c r="O4" s="32" t="s">
        <v>4088</v>
      </c>
      <c r="P4" s="56" t="s">
        <v>628</v>
      </c>
      <c r="Q4" s="55" t="s">
        <v>4033</v>
      </c>
      <c r="R4" s="56" t="s">
        <v>71</v>
      </c>
    </row>
    <row r="5" spans="2:18" ht="15.75">
      <c r="E5" s="34" t="s">
        <v>4078</v>
      </c>
      <c r="I5" s="70"/>
      <c r="J5" s="71"/>
      <c r="K5" s="71"/>
      <c r="L5" s="72"/>
      <c r="O5" s="32" t="s">
        <v>4089</v>
      </c>
      <c r="P5" s="57" t="s">
        <v>4049</v>
      </c>
      <c r="R5" s="58" t="s">
        <v>4050</v>
      </c>
    </row>
    <row r="6" spans="2:18">
      <c r="E6" s="34" t="s">
        <v>4079</v>
      </c>
      <c r="I6" s="73"/>
      <c r="J6" s="74"/>
      <c r="K6" s="74"/>
      <c r="L6" s="75"/>
    </row>
    <row r="8" spans="2:18" ht="15" customHeight="1">
      <c r="B8" s="37" t="s">
        <v>4055</v>
      </c>
      <c r="C8" s="37"/>
      <c r="D8" s="38"/>
      <c r="E8" s="37" t="s">
        <v>4054</v>
      </c>
      <c r="F8" s="37"/>
      <c r="G8" s="37"/>
      <c r="H8" s="37"/>
      <c r="I8" s="37"/>
      <c r="J8" s="37"/>
      <c r="K8" s="37"/>
      <c r="L8" s="37"/>
      <c r="M8" s="38"/>
    </row>
    <row r="9" spans="2:18" ht="5.0999999999999996" customHeight="1">
      <c r="B9" s="35">
        <v>0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</row>
    <row r="10" spans="2:18">
      <c r="B10" s="45" t="str">
        <f ca="1">IF(flagCountries=FALSE,CONCATENATE(OFFSET(Analysis!AB4,Dashboard!$B$9,0,1,1),". ",OFFSET(Analysis!AC4,Dashboard!$B$9,0,1,1)),IF(OFFSET(Analysis!AC4,Dashboard!$B$9,2,1,1)="","",CONCATENATE(OFFSET(Analysis!AB4,Dashboard!$B$9,0,1,1),". ",OFFSET(Analysis!AC4,Dashboard!$B$9,2,1,1))))</f>
        <v>1. Australia</v>
      </c>
      <c r="C10" s="46">
        <f ca="1">IF(flagCountries=FALSE,OFFSET(Analysis!AD4,Dashboard!$B$9,0,1,1),IF(OFFSET(Analysis!AD4,Dashboard!$B$9,2,1,1)="","",OFFSET(Analysis!AD4,Dashboard!$B$9,2,1,1)))</f>
        <v>92857.629854916348</v>
      </c>
    </row>
    <row r="11" spans="2:18" ht="15" customHeight="1">
      <c r="B11" s="45" t="str">
        <f ca="1">IF(flagCountries=FALSE,CONCATENATE(OFFSET(Analysis!AB5,Dashboard!$B$9,0,1,1),". ",OFFSET(Analysis!AC5,Dashboard!$B$9,0,1,1)),IF(OFFSET(Analysis!AC5,Dashboard!$B$9,2,1,1)="","",CONCATENATE(OFFSET(Analysis!AB5,Dashboard!$B$9,0,1,1),". ",OFFSET(Analysis!AC5,Dashboard!$B$9,2,1,1))))</f>
        <v>2. Canada</v>
      </c>
      <c r="C11" s="46">
        <f ca="1">IF(flagCountries=FALSE,OFFSET(Analysis!AD5,Dashboard!$B$9,0,1,1),IF(OFFSET(Analysis!AD5,Dashboard!$B$9,2,1,1)="","",OFFSET(Analysis!AD5,Dashboard!$B$9,2,1,1)))</f>
        <v>89799.526836779929</v>
      </c>
    </row>
    <row r="12" spans="2:18" ht="15" customHeight="1">
      <c r="B12" s="45" t="str">
        <f ca="1">IF(flagCountries=FALSE,CONCATENATE(OFFSET(Analysis!AB6,Dashboard!$B$9,0,1,1),". ",OFFSET(Analysis!AC6,Dashboard!$B$9,0,1,1)),IF(OFFSET(Analysis!AC6,Dashboard!$B$9,2,1,1)="","",CONCATENATE(OFFSET(Analysis!AB6,Dashboard!$B$9,0,1,1),". ",OFFSET(Analysis!AC6,Dashboard!$B$9,2,1,1))))</f>
        <v>3. Germany</v>
      </c>
      <c r="C12" s="46">
        <f ca="1">IF(flagCountries=FALSE,OFFSET(Analysis!AD6,Dashboard!$B$9,0,1,1),IF(OFFSET(Analysis!AD6,Dashboard!$B$9,2,1,1)="","",OFFSET(Analysis!AD6,Dashboard!$B$9,2,1,1)))</f>
        <v>79637.147017647629</v>
      </c>
    </row>
    <row r="13" spans="2:18" ht="15" customHeight="1">
      <c r="B13" s="45" t="str">
        <f ca="1">IF(flagCountries=FALSE,CONCATENATE(OFFSET(Analysis!AB7,Dashboard!$B$9,0,1,1),". ",OFFSET(Analysis!AC7,Dashboard!$B$9,0,1,1)),IF(OFFSET(Analysis!AC7,Dashboard!$B$9,2,1,1)="","",CONCATENATE(OFFSET(Analysis!AB7,Dashboard!$B$9,0,1,1),". ",OFFSET(Analysis!AC7,Dashboard!$B$9,2,1,1))))</f>
        <v>4. Netherlands</v>
      </c>
      <c r="C13" s="46">
        <f ca="1">IF(flagCountries=FALSE,OFFSET(Analysis!AD7,Dashboard!$B$9,0,1,1),IF(OFFSET(Analysis!AD7,Dashboard!$B$9,2,1,1)="","",OFFSET(Analysis!AD7,Dashboard!$B$9,2,1,1)))</f>
        <v>73006.431203838249</v>
      </c>
      <c r="J13" s="10"/>
      <c r="K13" s="10"/>
    </row>
    <row r="14" spans="2:18" ht="15" customHeight="1">
      <c r="B14" s="45" t="str">
        <f ca="1">IF(flagCountries=FALSE,CONCATENATE(OFFSET(Analysis!AB8,Dashboard!$B$9,0,1,1),". ",OFFSET(Analysis!AC8,Dashboard!$B$9,0,1,1)),IF(OFFSET(Analysis!AC8,Dashboard!$B$9,2,1,1)="","",CONCATENATE(OFFSET(Analysis!AB8,Dashboard!$B$9,0,1,1),". ",OFFSET(Analysis!AC8,Dashboard!$B$9,2,1,1))))</f>
        <v>5. USA</v>
      </c>
      <c r="C14" s="46">
        <f ca="1">IF(flagCountries=FALSE,OFFSET(Analysis!AD8,Dashboard!$B$9,0,1,1),IF(OFFSET(Analysis!AD8,Dashboard!$B$9,2,1,1)="","",OFFSET(Analysis!AD8,Dashboard!$B$9,2,1,1)))</f>
        <v>72738.12965964344</v>
      </c>
    </row>
    <row r="15" spans="2:18" ht="15" customHeight="1">
      <c r="B15" s="45" t="str">
        <f ca="1">IF(flagCountries=FALSE,CONCATENATE(OFFSET(Analysis!AB9,Dashboard!$B$9,0,1,1),". ",OFFSET(Analysis!AC9,Dashboard!$B$9,0,1,1)),IF(OFFSET(Analysis!AC9,Dashboard!$B$9,2,1,1)="","",CONCATENATE(OFFSET(Analysis!AB9,Dashboard!$B$9,0,1,1),". ",OFFSET(Analysis!AC9,Dashboard!$B$9,2,1,1))))</f>
        <v>6. New Zealand</v>
      </c>
      <c r="C15" s="46">
        <f ca="1">IF(flagCountries=FALSE,OFFSET(Analysis!AD9,Dashboard!$B$9,0,1,1),IF(OFFSET(Analysis!AD9,Dashboard!$B$9,2,1,1)="","",OFFSET(Analysis!AD9,Dashboard!$B$9,2,1,1)))</f>
        <v>70287.554967112796</v>
      </c>
    </row>
    <row r="16" spans="2:18" ht="15" customHeight="1">
      <c r="B16" s="45" t="str">
        <f ca="1">IF(flagCountries=FALSE,CONCATENATE(OFFSET(Analysis!AB10,Dashboard!$B$9,0,1,1),". ",OFFSET(Analysis!AC10,Dashboard!$B$9,0,1,1)),IF(OFFSET(Analysis!AC10,Dashboard!$B$9,2,1,1)="","",CONCATENATE(OFFSET(Analysis!AB10,Dashboard!$B$9,0,1,1),". ",OFFSET(Analysis!AC10,Dashboard!$B$9,2,1,1))))</f>
        <v>7. UK</v>
      </c>
      <c r="C16" s="46">
        <f ca="1">IF(flagCountries=FALSE,OFFSET(Analysis!AD10,Dashboard!$B$9,0,1,1),IF(OFFSET(Analysis!AD10,Dashboard!$B$9,2,1,1)="","",OFFSET(Analysis!AD10,Dashboard!$B$9,2,1,1)))</f>
        <v>67240.730112795849</v>
      </c>
    </row>
    <row r="17" spans="2:19" ht="15" customHeight="1">
      <c r="B17" s="45" t="str">
        <f ca="1">IF(flagCountries=FALSE,CONCATENATE(OFFSET(Analysis!AB11,Dashboard!$B$9,0,1,1),". ",OFFSET(Analysis!AC11,Dashboard!$B$9,0,1,1)),IF(OFFSET(Analysis!AC11,Dashboard!$B$9,2,1,1)="","",CONCATENATE(OFFSET(Analysis!AB11,Dashboard!$B$9,0,1,1),". ",OFFSET(Analysis!AC11,Dashboard!$B$9,2,1,1))))</f>
        <v>8. South Africa</v>
      </c>
      <c r="C17" s="46">
        <f ca="1">IF(flagCountries=FALSE,OFFSET(Analysis!AD11,Dashboard!$B$9,0,1,1),IF(OFFSET(Analysis!AD11,Dashboard!$B$9,2,1,1)="","",OFFSET(Analysis!AD11,Dashboard!$B$9,2,1,1)))</f>
        <v>49555.624994016209</v>
      </c>
    </row>
    <row r="18" spans="2:19" ht="15" customHeight="1">
      <c r="B18" s="45" t="str">
        <f ca="1">IF(flagCountries=FALSE,CONCATENATE(OFFSET(Analysis!AB12,Dashboard!$B$9,0,1,1),". ",OFFSET(Analysis!AC12,Dashboard!$B$9,0,1,1)),IF(OFFSET(Analysis!AC12,Dashboard!$B$9,2,1,1)="","",CONCATENATE(OFFSET(Analysis!AB12,Dashboard!$B$9,0,1,1),". ",OFFSET(Analysis!AC12,Dashboard!$B$9,2,1,1))))</f>
        <v>9. UAE</v>
      </c>
      <c r="C18" s="46">
        <f ca="1">IF(flagCountries=FALSE,OFFSET(Analysis!AD12,Dashboard!$B$9,0,1,1),IF(OFFSET(Analysis!AD12,Dashboard!$B$9,2,1,1)="","",OFFSET(Analysis!AD12,Dashboard!$B$9,2,1,1)))</f>
        <v>43014.900191685309</v>
      </c>
      <c r="L18" t="s">
        <v>4030</v>
      </c>
    </row>
    <row r="19" spans="2:19" ht="15" customHeight="1" thickBot="1">
      <c r="B19" s="45" t="str">
        <f ca="1">IF(flagCountries=FALSE,CONCATENATE(OFFSET(Analysis!AB13,Dashboard!$B$9,0,1,1),". ",OFFSET(Analysis!AC13,Dashboard!$B$9,0,1,1)),IF(OFFSET(Analysis!AC13,Dashboard!$B$9,2,1,1)="","",CONCATENATE(OFFSET(Analysis!AB13,Dashboard!$B$9,0,1,1),". ",OFFSET(Analysis!AC13,Dashboard!$B$9,2,1,1))))</f>
        <v>10. Brazil</v>
      </c>
      <c r="C19" s="46">
        <f ca="1">IF(flagCountries=FALSE,OFFSET(Analysis!AD13,Dashboard!$B$9,0,1,1),IF(OFFSET(Analysis!AD13,Dashboard!$B$9,2,1,1)="","",OFFSET(Analysis!AD13,Dashboard!$B$9,2,1,1)))</f>
        <v>42672.036574334947</v>
      </c>
      <c r="N19" s="28" t="s">
        <v>4048</v>
      </c>
      <c r="O19" s="24"/>
      <c r="P19" s="24"/>
      <c r="Q19" s="24"/>
      <c r="R19" s="24"/>
    </row>
    <row r="20" spans="2:19" ht="15" customHeight="1">
      <c r="B20" s="45" t="str">
        <f ca="1">IF(flagCountries=FALSE,CONCATENATE(OFFSET(Analysis!AB14,Dashboard!$B$9,0,1,1),". ",OFFSET(Analysis!AC14,Dashboard!$B$9,0,1,1)),IF(OFFSET(Analysis!AC14,Dashboard!$B$9,2,1,1)="","",CONCATENATE(OFFSET(Analysis!AB14,Dashboard!$B$9,0,1,1),". ",OFFSET(Analysis!AC14,Dashboard!$B$9,2,1,1))))</f>
        <v>11. India</v>
      </c>
      <c r="C20" s="46">
        <f ca="1">IF(flagCountries=FALSE,OFFSET(Analysis!AD14,Dashboard!$B$9,0,1,1),IF(OFFSET(Analysis!AD14,Dashboard!$B$9,2,1,1)="","",OFFSET(Analysis!AD14,Dashboard!$B$9,2,1,1)))</f>
        <v>13529.430894182482</v>
      </c>
      <c r="N20" s="21"/>
      <c r="O20" s="33" t="s">
        <v>4052</v>
      </c>
      <c r="P20" s="30">
        <f>AVERAGE(Analysis!$D$3:$D$1337)</f>
        <v>98244.223282017672</v>
      </c>
      <c r="Q20" s="43"/>
      <c r="R20" s="30">
        <f>AVERAGE(Analysis!$M$3:$M$1337)</f>
        <v>133007.51101485916</v>
      </c>
    </row>
    <row r="21" spans="2:19" ht="15" customHeight="1">
      <c r="B21" s="45" t="str">
        <f ca="1">IF(flagCountries=FALSE,CONCATENATE(OFFSET(Analysis!AB15,Dashboard!$B$9,0,1,1),". ",OFFSET(Analysis!AC15,Dashboard!$B$9,0,1,1)),IF(OFFSET(Analysis!AC15,Dashboard!$B$9,2,1,1)="","",CONCATENATE(OFFSET(Analysis!AB15,Dashboard!$B$9,0,1,1),". ",OFFSET(Analysis!AC15,Dashboard!$B$9,2,1,1))))</f>
        <v>12. Pakistan</v>
      </c>
      <c r="C21" s="46">
        <f ca="1">IF(flagCountries=FALSE,OFFSET(Analysis!AD15,Dashboard!$B$9,0,1,1),IF(OFFSET(Analysis!AD15,Dashboard!$B$9,2,1,1)="","",OFFSET(Analysis!AD15,Dashboard!$B$9,2,1,1)))</f>
        <v>11873.552586779413</v>
      </c>
      <c r="N21" s="21"/>
      <c r="O21" s="33" t="s">
        <v>4034</v>
      </c>
      <c r="P21" s="29">
        <f>AVERAGE(Analysis!C3:C1337)</f>
        <v>66161.065520115561</v>
      </c>
      <c r="Q21" s="43"/>
      <c r="R21" s="29">
        <f>AVERAGE(Analysis!L3:L1337)</f>
        <v>62818.382566752676</v>
      </c>
    </row>
    <row r="22" spans="2:19" ht="15" customHeight="1">
      <c r="B22" s="45" t="str">
        <f ca="1">IF(flagCountries=FALSE,CONCATENATE(OFFSET(Analysis!AB16,Dashboard!$B$9,0,1,1),". ",OFFSET(Analysis!AC16,Dashboard!$B$9,0,1,1)),IF(OFFSET(Analysis!AC16,Dashboard!$B$9,2,1,1)="","",CONCATENATE(OFFSET(Analysis!AB16,Dashboard!$B$9,0,1,1),". ",OFFSET(Analysis!AC16,Dashboard!$B$9,2,1,1))))</f>
        <v/>
      </c>
      <c r="C22" s="46" t="str">
        <f ca="1">IF(flagCountries=FALSE,OFFSET(Analysis!AD16,Dashboard!$B$9,0,1,1),IF(OFFSET(Analysis!AD16,Dashboard!$B$9,2,1,1)="","",OFFSET(Analysis!AD16,Dashboard!$B$9,2,1,1)))</f>
        <v/>
      </c>
      <c r="N22" s="21"/>
      <c r="O22" s="33" t="s">
        <v>4053</v>
      </c>
      <c r="P22" s="29">
        <f>AVERAGE(Analysis!$E$3:$E$1337)</f>
        <v>37159.18359050453</v>
      </c>
      <c r="Q22" s="43"/>
      <c r="R22" s="29">
        <f>AVERAGE(Analysis!$N$3:$N$1337)</f>
        <v>26691.127377270885</v>
      </c>
    </row>
    <row r="23" spans="2:19" ht="15" customHeight="1">
      <c r="B23" s="45" t="str">
        <f ca="1">IF(flagCountries=FALSE,CONCATENATE(OFFSET(Analysis!AB17,Dashboard!$B$9,0,1,1),". ",OFFSET(Analysis!AC17,Dashboard!$B$9,0,1,1)),IF(OFFSET(Analysis!AC17,Dashboard!$B$9,2,1,1)="","",CONCATENATE(OFFSET(Analysis!AB17,Dashboard!$B$9,0,1,1),". ",OFFSET(Analysis!AC17,Dashboard!$B$9,2,1,1))))</f>
        <v/>
      </c>
      <c r="C23" s="46" t="str">
        <f ca="1">IF(flagCountries=FALSE,OFFSET(Analysis!AD17,Dashboard!$B$9,0,1,1),IF(OFFSET(Analysis!AD17,Dashboard!$B$9,2,1,1)="","",OFFSET(Analysis!AD17,Dashboard!$B$9,2,1,1)))</f>
        <v/>
      </c>
    </row>
    <row r="24" spans="2:19" ht="15" customHeight="1" thickBot="1">
      <c r="B24" s="45" t="str">
        <f ca="1">IF(flagCountries=FALSE,CONCATENATE(OFFSET(Analysis!AB18,Dashboard!$B$9,0,1,1),". ",OFFSET(Analysis!AC18,Dashboard!$B$9,0,1,1)),IF(OFFSET(Analysis!AC18,Dashboard!$B$9,2,1,1)="","",CONCATENATE(OFFSET(Analysis!AB18,Dashboard!$B$9,0,1,1),". ",OFFSET(Analysis!AC18,Dashboard!$B$9,2,1,1))))</f>
        <v/>
      </c>
      <c r="C24" s="46" t="str">
        <f ca="1">IF(flagCountries=FALSE,OFFSET(Analysis!AD18,Dashboard!$B$9,0,1,1),IF(OFFSET(Analysis!AD18,Dashboard!$B$9,2,1,1)="","",OFFSET(Analysis!AD18,Dashboard!$B$9,2,1,1)))</f>
        <v/>
      </c>
      <c r="N24" s="28" t="s">
        <v>4047</v>
      </c>
      <c r="O24" s="24"/>
      <c r="P24" s="24"/>
      <c r="Q24" s="24"/>
      <c r="R24" s="24"/>
    </row>
    <row r="25" spans="2:19" ht="15" customHeight="1">
      <c r="B25" s="53"/>
      <c r="C25" s="54"/>
      <c r="O25" s="32" t="s">
        <v>4041</v>
      </c>
      <c r="P25" s="47">
        <f>AVERAGE(Analysis!F3:F1337)</f>
        <v>9.8421052631578956</v>
      </c>
      <c r="Q25" s="43"/>
      <c r="R25" s="47">
        <f>AVERAGE(Analysis!O3:O1337)</f>
        <v>10.382882882882884</v>
      </c>
    </row>
    <row r="26" spans="2:19" ht="15" customHeight="1">
      <c r="B26" s="51"/>
      <c r="C26" s="52"/>
      <c r="O26" s="23"/>
      <c r="P26" s="31"/>
      <c r="R26" s="31"/>
    </row>
    <row r="27" spans="2:19" ht="15" customHeight="1" thickBot="1">
      <c r="B27" s="37" t="s">
        <v>4056</v>
      </c>
      <c r="C27" s="37"/>
      <c r="D27" s="37"/>
      <c r="E27" s="37"/>
      <c r="F27" s="37"/>
      <c r="G27" s="40"/>
      <c r="H27" s="40"/>
      <c r="I27" s="40"/>
      <c r="J27" s="40"/>
      <c r="K27" s="40"/>
      <c r="L27" s="40"/>
      <c r="N27" s="28" t="s">
        <v>4051</v>
      </c>
      <c r="O27" s="25"/>
      <c r="P27" s="27">
        <v>0</v>
      </c>
      <c r="Q27" s="24"/>
      <c r="R27" s="27">
        <v>0</v>
      </c>
    </row>
    <row r="28" spans="2:19" ht="15" customHeight="1">
      <c r="B28" s="44"/>
      <c r="C28" s="44"/>
      <c r="D28" s="21"/>
      <c r="E28" s="21"/>
      <c r="F28" s="21"/>
      <c r="G28" s="21"/>
      <c r="H28" s="21"/>
      <c r="I28" s="21"/>
      <c r="J28" s="21"/>
      <c r="K28" s="21"/>
      <c r="L28" s="21"/>
      <c r="N28" s="23"/>
      <c r="P28" s="26" t="str">
        <f ca="1">IF(OFFSET(Analysis!G5,0+Dashboard!$P$27,0,1,1)=0,"-",OFFSET(Analysis!G5,0+Dashboard!$P$27,0,1,1))</f>
        <v>Accounting analyst</v>
      </c>
      <c r="Q28" s="64" t="s">
        <v>4046</v>
      </c>
      <c r="R28" s="26" t="str">
        <f ca="1">OFFSET(Analysis!P5,0+Dashboard!$R$27,0,1,1)</f>
        <v>Accountant</v>
      </c>
      <c r="S28" s="63"/>
    </row>
    <row r="29" spans="2:19" ht="15" customHeight="1">
      <c r="B29" s="44"/>
      <c r="C29" s="44"/>
      <c r="D29" s="21"/>
      <c r="E29" s="21"/>
      <c r="F29" s="21"/>
      <c r="G29" s="21"/>
      <c r="H29" s="21"/>
      <c r="I29" s="21"/>
      <c r="J29" s="21"/>
      <c r="K29" s="21"/>
      <c r="L29" s="21"/>
      <c r="N29" s="10"/>
      <c r="O29" s="10"/>
      <c r="P29" s="19" t="str">
        <f ca="1">IF(OFFSET(Analysis!G6,0+Dashboard!$P$27,0,1,1)=0,"-",OFFSET(Analysis!G6,0+Dashboard!$P$27,0,1,1))</f>
        <v>Analyst</v>
      </c>
      <c r="Q29" s="64"/>
      <c r="R29" s="19" t="str">
        <f ca="1">OFFSET(Analysis!P6,0+Dashboard!$R$27,0,1,1)</f>
        <v>Administration Officer</v>
      </c>
      <c r="S29" s="63"/>
    </row>
    <row r="30" spans="2:19" s="20" customFormat="1" ht="15" customHeight="1">
      <c r="B30" s="11"/>
      <c r="C30" s="11"/>
      <c r="D30"/>
      <c r="E30"/>
      <c r="F30"/>
      <c r="G30"/>
      <c r="H30"/>
      <c r="I30"/>
      <c r="J30"/>
      <c r="K30"/>
      <c r="L30"/>
      <c r="N30" s="10"/>
      <c r="O30" s="10"/>
      <c r="P30" s="19" t="str">
        <f ca="1">IF(OFFSET(Analysis!G7,0+Dashboard!$P$27,0,1,1)=0,"-",OFFSET(Analysis!G7,0+Dashboard!$P$27,0,1,1))</f>
        <v>busines analist</v>
      </c>
      <c r="Q30" s="64"/>
      <c r="R30" s="19" t="str">
        <f ca="1">OFFSET(Analysis!P7,0+Dashboard!$R$27,0,1,1)</f>
        <v>Analysis &amp; insight consultant</v>
      </c>
      <c r="S30" s="63"/>
    </row>
    <row r="31" spans="2:19">
      <c r="B31" s="11"/>
      <c r="C31" s="11"/>
      <c r="M31" s="18"/>
      <c r="N31" s="10"/>
      <c r="O31" s="10"/>
      <c r="P31" s="19" t="str">
        <f ca="1">IF(OFFSET(Analysis!G8,0+Dashboard!$P$27,0,1,1)=0,"-",OFFSET(Analysis!G8,0+Dashboard!$P$27,0,1,1))</f>
        <v>business analyst</v>
      </c>
      <c r="Q31" s="64"/>
      <c r="R31" s="19" t="str">
        <f ca="1">OFFSET(Analysis!P8,0+Dashboard!$R$27,0,1,1)</f>
        <v>Analyst</v>
      </c>
      <c r="S31" s="63"/>
    </row>
    <row r="32" spans="2:19" ht="15" customHeight="1">
      <c r="B32" s="11"/>
      <c r="C32" s="11"/>
      <c r="N32" s="10"/>
      <c r="O32" s="10"/>
      <c r="P32" s="19" t="str">
        <f ca="1">IF(OFFSET(Analysis!G9,0+Dashboard!$P$27,0,1,1)=0,"-",OFFSET(Analysis!G9,0+Dashboard!$P$27,0,1,1))</f>
        <v>Business Engineer</v>
      </c>
      <c r="Q32" s="64"/>
      <c r="R32" s="19" t="str">
        <f ca="1">OFFSET(Analysis!P9,0+Dashboard!$R$27,0,1,1)</f>
        <v>assistant account manager</v>
      </c>
      <c r="S32" s="63"/>
    </row>
    <row r="33" spans="2:19" ht="15" customHeight="1">
      <c r="B33" s="11"/>
      <c r="C33" s="11"/>
      <c r="N33" s="10"/>
      <c r="O33" s="10"/>
      <c r="P33" s="19" t="str">
        <f ca="1">IF(OFFSET(Analysis!G10,0+Dashboard!$P$27,0,1,1)=0,"-",OFFSET(Analysis!G10,0+Dashboard!$P$27,0,1,1))</f>
        <v>consultant bi</v>
      </c>
      <c r="Q33" s="64"/>
      <c r="R33" s="19" t="str">
        <f ca="1">OFFSET(Analysis!P10,0+Dashboard!$R$27,0,1,1)</f>
        <v>Assistant Accountant</v>
      </c>
      <c r="S33" s="63"/>
    </row>
    <row r="34" spans="2:19" s="21" customFormat="1" ht="15.95" customHeight="1">
      <c r="B34" s="11"/>
      <c r="C34" s="11"/>
      <c r="D34"/>
      <c r="E34"/>
      <c r="F34"/>
      <c r="G34"/>
      <c r="H34"/>
      <c r="I34"/>
      <c r="J34"/>
      <c r="K34"/>
      <c r="L34"/>
      <c r="N34"/>
      <c r="O34"/>
      <c r="P34"/>
      <c r="Q34"/>
      <c r="R34"/>
    </row>
    <row r="35" spans="2:19" s="21" customFormat="1" ht="15.95" customHeight="1">
      <c r="B35" s="11"/>
      <c r="C35" s="11"/>
      <c r="D35"/>
      <c r="E35"/>
      <c r="F35"/>
      <c r="G35"/>
      <c r="H35"/>
      <c r="I35"/>
      <c r="J35"/>
      <c r="K35"/>
      <c r="L35"/>
      <c r="N35"/>
      <c r="O35"/>
      <c r="P35"/>
      <c r="Q35"/>
      <c r="R35"/>
    </row>
    <row r="36" spans="2:19" s="21" customFormat="1" ht="15.95" customHeight="1">
      <c r="B36" s="11"/>
      <c r="C36" s="11"/>
      <c r="D36"/>
      <c r="E36"/>
      <c r="F36"/>
      <c r="G36"/>
      <c r="H36"/>
      <c r="I36"/>
      <c r="J36"/>
      <c r="K36"/>
      <c r="L36"/>
      <c r="N36"/>
      <c r="O36"/>
      <c r="P36"/>
      <c r="Q36"/>
      <c r="R36"/>
    </row>
    <row r="37" spans="2:19" ht="15.95" customHeight="1">
      <c r="B37" s="11"/>
      <c r="C37" s="11"/>
    </row>
    <row r="38" spans="2:19" ht="15.95" customHeight="1">
      <c r="B38" s="11"/>
      <c r="C38" s="11"/>
    </row>
    <row r="39" spans="2:19" ht="15.95" customHeight="1">
      <c r="B39" s="11"/>
      <c r="C39" s="11"/>
    </row>
    <row r="40" spans="2:19" ht="15.95" customHeight="1">
      <c r="B40" s="11"/>
      <c r="C40" s="11"/>
    </row>
    <row r="41" spans="2:19" ht="15.95" customHeight="1">
      <c r="B41" s="11"/>
      <c r="C41" s="11"/>
      <c r="J41" s="10"/>
      <c r="K41" s="10"/>
    </row>
    <row r="42" spans="2:19" ht="15.95" customHeight="1">
      <c r="B42" s="11"/>
      <c r="C42" s="11"/>
      <c r="J42" s="10"/>
      <c r="K42" s="10"/>
    </row>
    <row r="43" spans="2:19" ht="15.95" customHeight="1">
      <c r="B43" s="11"/>
      <c r="C43" s="11"/>
    </row>
    <row r="44" spans="2:19" ht="15.95" customHeight="1">
      <c r="B44" s="11"/>
      <c r="C44" s="11"/>
    </row>
    <row r="45" spans="2:19" ht="15.95" customHeight="1">
      <c r="B45" s="11"/>
      <c r="C45" s="11"/>
    </row>
    <row r="46" spans="2:19" ht="15.95" customHeight="1">
      <c r="B46" s="11"/>
      <c r="C46" s="11"/>
    </row>
    <row r="47" spans="2:19" ht="15.95" customHeight="1">
      <c r="B47" s="11"/>
      <c r="C47" s="11"/>
    </row>
    <row r="48" spans="2:19" ht="15.95" customHeight="1">
      <c r="B48" s="11"/>
      <c r="C48" s="11"/>
    </row>
    <row r="49" spans="2:3" ht="15.95" customHeight="1">
      <c r="B49" s="11"/>
      <c r="C49" s="11"/>
    </row>
    <row r="50" spans="2:3" ht="15.95" customHeight="1">
      <c r="B50" s="11"/>
      <c r="C50" s="11"/>
    </row>
    <row r="51" spans="2:3" ht="15.95" customHeight="1">
      <c r="B51" s="11"/>
      <c r="C51" s="11"/>
    </row>
    <row r="52" spans="2:3" ht="15.95" customHeight="1">
      <c r="B52" s="11"/>
      <c r="C52" s="11"/>
    </row>
    <row r="53" spans="2:3" ht="15.95" customHeight="1"/>
    <row r="54" spans="2:3" ht="15.95" customHeight="1"/>
    <row r="55" spans="2:3" ht="15.95" customHeight="1"/>
    <row r="56" spans="2:3" ht="15.95" customHeight="1"/>
    <row r="57" spans="2:3" ht="15.95" customHeight="1"/>
    <row r="58" spans="2:3" ht="15.95" customHeight="1"/>
    <row r="59" spans="2:3" ht="15.95" customHeight="1"/>
    <row r="60" spans="2:3" ht="15.95" customHeight="1"/>
    <row r="61" spans="2:3" ht="15.95" customHeight="1"/>
    <row r="62" spans="2:3" ht="15.95" customHeight="1"/>
    <row r="63" spans="2:3" ht="15.95" customHeight="1"/>
    <row r="64" spans="2:3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  <row r="109" ht="15.95" customHeight="1"/>
    <row r="110" ht="15.95" customHeight="1"/>
    <row r="111" ht="15.95" customHeight="1"/>
    <row r="112" ht="15.95" customHeight="1"/>
    <row r="113" ht="15.95" customHeight="1"/>
    <row r="114" ht="15.95" customHeight="1"/>
    <row r="115" ht="15.95" customHeight="1"/>
  </sheetData>
  <mergeCells count="4">
    <mergeCell ref="S28:S33"/>
    <mergeCell ref="Q28:Q33"/>
    <mergeCell ref="F4:G4"/>
    <mergeCell ref="I4:L6"/>
  </mergeCells>
  <conditionalFormatting sqref="P20:P22 P25">
    <cfRule type="expression" dxfId="9" priority="2">
      <formula>IF($P20&gt;$R20,TRUE,FALSE)</formula>
    </cfRule>
  </conditionalFormatting>
  <conditionalFormatting sqref="R20:R22 R25">
    <cfRule type="expression" dxfId="8" priority="1">
      <formula>IF($R20&gt;$P20,TRUE,FALSE)</formula>
    </cfRule>
  </conditionalFormatting>
  <dataValidations count="1">
    <dataValidation type="list" allowBlank="1" showInputMessage="1" showErrorMessage="1" sqref="P4 F4 R4">
      <formula1>IF(flagCountries=FALSE,listCountries,listCountries2)</formula1>
    </dataValidation>
  </dataValidations>
  <pageMargins left="0.7" right="0.7" top="0.75" bottom="0.75" header="0.3" footer="0.3"/>
  <pageSetup scale="47" orientation="landscape" r:id="rId1"/>
  <rowBreaks count="2" manualBreakCount="2">
    <brk id="42" max="17" man="1"/>
    <brk id="88" max="17" man="1"/>
  </rowBreaks>
  <drawing r:id="rId2"/>
  <legacyDrawing r:id="rId3"/>
  <controls>
    <control shapeId="1073" r:id="rId4" name="CheckBox2"/>
    <control shapeId="1070" r:id="rId5" name="checkbox1"/>
    <control shapeId="1067" r:id="rId6" name="ScrollBar3"/>
    <control shapeId="1055" r:id="rId7" name="ScrollBar2"/>
    <control shapeId="1054" r:id="rId8" name="ScrollB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1:CI1337"/>
  <sheetViews>
    <sheetView showGridLines="0" topLeftCell="K1" zoomScaleNormal="100" workbookViewId="0">
      <selection activeCell="CI9" sqref="CI9"/>
    </sheetView>
  </sheetViews>
  <sheetFormatPr defaultRowHeight="15"/>
  <cols>
    <col min="1" max="1" width="4.7109375" customWidth="1"/>
    <col min="2" max="6" width="10.7109375" customWidth="1"/>
    <col min="7" max="7" width="60" bestFit="1" customWidth="1"/>
    <col min="8" max="8" width="9.7109375" customWidth="1"/>
    <col min="9" max="10" width="4.7109375" customWidth="1"/>
    <col min="11" max="15" width="10.7109375" customWidth="1"/>
    <col min="16" max="16" width="52.28515625" bestFit="1" customWidth="1"/>
    <col min="17" max="17" width="7.140625" customWidth="1"/>
    <col min="18" max="19" width="4.7109375" customWidth="1"/>
    <col min="20" max="20" width="12" bestFit="1" customWidth="1"/>
    <col min="21" max="21" width="4.7109375" style="9" customWidth="1"/>
    <col min="22" max="22" width="4.7109375" customWidth="1"/>
    <col min="23" max="23" width="18.85546875" bestFit="1" customWidth="1"/>
    <col min="24" max="24" width="18.85546875" customWidth="1"/>
    <col min="25" max="25" width="5" style="10" bestFit="1" customWidth="1"/>
    <col min="26" max="27" width="4.7109375" customWidth="1"/>
    <col min="28" max="28" width="4" bestFit="1" customWidth="1"/>
    <col min="29" max="29" width="18.85546875" customWidth="1"/>
    <col min="30" max="30" width="23" customWidth="1"/>
    <col min="31" max="31" width="18.85546875" customWidth="1"/>
    <col min="32" max="32" width="18.140625" customWidth="1"/>
    <col min="33" max="33" width="23" customWidth="1"/>
    <col min="34" max="34" width="4.7109375" customWidth="1"/>
    <col min="35" max="35" width="13.28515625" customWidth="1"/>
    <col min="36" max="36" width="19.42578125" customWidth="1"/>
    <col min="37" max="37" width="19.140625" customWidth="1"/>
    <col min="38" max="38" width="19.42578125" customWidth="1"/>
    <col min="39" max="39" width="19.140625" customWidth="1"/>
    <col min="40" max="40" width="19.42578125" customWidth="1"/>
    <col min="41" max="41" width="19.140625" customWidth="1"/>
    <col min="42" max="42" width="19.42578125" customWidth="1"/>
    <col min="43" max="43" width="19.140625" customWidth="1"/>
    <col min="44" max="44" width="19.42578125" customWidth="1"/>
    <col min="45" max="45" width="19.140625" customWidth="1"/>
    <col min="46" max="46" width="19.42578125" customWidth="1"/>
    <col min="47" max="47" width="19.140625" customWidth="1"/>
    <col min="48" max="48" width="19.42578125" customWidth="1"/>
    <col min="49" max="49" width="19.140625" customWidth="1"/>
    <col min="50" max="50" width="19.42578125" customWidth="1"/>
    <col min="51" max="51" width="19.140625" customWidth="1"/>
    <col min="52" max="52" width="19.42578125" customWidth="1"/>
    <col min="53" max="53" width="19.140625" customWidth="1"/>
    <col min="54" max="54" width="19.42578125" customWidth="1"/>
    <col min="55" max="55" width="19.140625" customWidth="1"/>
    <col min="56" max="56" width="24.42578125" bestFit="1" customWidth="1"/>
    <col min="57" max="57" width="24.140625" customWidth="1"/>
    <col min="69" max="69" width="19.42578125" customWidth="1"/>
    <col min="70" max="70" width="16.28515625" customWidth="1"/>
    <col min="71" max="71" width="18.42578125" customWidth="1"/>
    <col min="72" max="72" width="16.28515625" customWidth="1"/>
    <col min="73" max="73" width="27.7109375" customWidth="1"/>
    <col min="74" max="74" width="20.28515625" customWidth="1"/>
    <col min="75" max="75" width="12" customWidth="1"/>
    <col min="76" max="77" width="4.7109375" customWidth="1"/>
    <col min="78" max="78" width="21.140625" customWidth="1"/>
    <col min="83" max="83" width="23" customWidth="1"/>
    <col min="84" max="84" width="29" customWidth="1"/>
    <col min="85" max="85" width="4.28515625" customWidth="1"/>
    <col min="86" max="86" width="23" customWidth="1"/>
    <col min="87" max="87" width="29" bestFit="1" customWidth="1"/>
    <col min="88" max="88" width="27" bestFit="1" customWidth="1"/>
  </cols>
  <sheetData>
    <row r="1" spans="2:87">
      <c r="B1" s="77" t="s">
        <v>4059</v>
      </c>
      <c r="C1" s="77"/>
      <c r="D1" s="77"/>
      <c r="E1" s="77"/>
      <c r="F1" s="77"/>
      <c r="G1" s="77"/>
      <c r="H1" s="77"/>
      <c r="K1" s="77" t="s">
        <v>4060</v>
      </c>
      <c r="L1" s="77"/>
      <c r="M1" s="77"/>
      <c r="N1" s="77"/>
      <c r="O1" s="77"/>
      <c r="P1" s="77"/>
      <c r="Q1" s="77"/>
      <c r="AC1" t="s">
        <v>4065</v>
      </c>
      <c r="AE1" t="s">
        <v>4083</v>
      </c>
    </row>
    <row r="2" spans="2:87">
      <c r="B2" t="s">
        <v>4061</v>
      </c>
      <c r="C2" t="s">
        <v>4035</v>
      </c>
      <c r="D2" t="s">
        <v>4037</v>
      </c>
      <c r="E2" t="s">
        <v>4038</v>
      </c>
      <c r="F2" t="s">
        <v>4042</v>
      </c>
      <c r="G2" t="s">
        <v>4044</v>
      </c>
      <c r="K2" t="s">
        <v>4062</v>
      </c>
      <c r="L2" t="s">
        <v>4036</v>
      </c>
      <c r="M2" t="s">
        <v>4039</v>
      </c>
      <c r="N2" t="s">
        <v>4040</v>
      </c>
      <c r="O2" t="s">
        <v>4043</v>
      </c>
      <c r="P2" t="s">
        <v>4045</v>
      </c>
      <c r="T2" t="s">
        <v>4063</v>
      </c>
      <c r="W2" t="s">
        <v>4064</v>
      </c>
      <c r="X2" t="s">
        <v>4077</v>
      </c>
      <c r="AC2">
        <f>COUNTA($AC$4:$AC$111)-15</f>
        <v>88</v>
      </c>
      <c r="AE2">
        <f>COUNTA(AE4:AE15)-15</f>
        <v>-3</v>
      </c>
      <c r="AI2" s="76" t="s">
        <v>4066</v>
      </c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Q2" s="78" t="s">
        <v>4067</v>
      </c>
      <c r="BR2" s="78"/>
      <c r="BS2" s="78"/>
      <c r="BT2" s="78"/>
      <c r="BU2" s="78"/>
      <c r="BV2" s="78"/>
      <c r="CA2" t="s">
        <v>4072</v>
      </c>
    </row>
    <row r="3" spans="2:87">
      <c r="B3" t="e">
        <f>IF(Dashboard!$P$4="All",Data!G554,IF(Data!K554=Dashboard!$P$4,Data!G554,NA()))</f>
        <v>#N/A</v>
      </c>
      <c r="C3" t="str">
        <f>IF(ISNA(B3),"",B3)</f>
        <v/>
      </c>
      <c r="D3" t="str">
        <f>IF(C3&gt;=PERCENTILE($C$3:$C$1337,0.9),C3,"")</f>
        <v/>
      </c>
      <c r="E3" t="str">
        <f>IF(C3&lt;=PERCENTILE($C$3:$C$1337,0.1),C3,"")</f>
        <v/>
      </c>
      <c r="F3" t="str">
        <f>IF(C3&lt;&gt;"",Data!$M554,"")</f>
        <v/>
      </c>
      <c r="G3" s="12" t="s">
        <v>4004</v>
      </c>
      <c r="H3" t="s">
        <v>628</v>
      </c>
      <c r="K3" t="e">
        <f>IF(Dashboard!$R$4="All",Data!G554,IF(Data!K554=Dashboard!$R$4,Data!G554,NA()))</f>
        <v>#N/A</v>
      </c>
      <c r="L3" t="str">
        <f>IF(ISNA(K3),"",K3)</f>
        <v/>
      </c>
      <c r="M3" t="str">
        <f>IF(L3&gt;=PERCENTILE($L$3:$L$1337,0.9),L3,"")</f>
        <v/>
      </c>
      <c r="N3" t="str">
        <f>IF(L3&lt;=PERCENTILE($L$3:$L$1337,0.1),L3,"")</f>
        <v/>
      </c>
      <c r="O3" t="str">
        <f>IF(L3&lt;&gt;"",Data!$M554,"")</f>
        <v/>
      </c>
      <c r="P3" s="12" t="s">
        <v>4004</v>
      </c>
      <c r="Q3" t="s">
        <v>71</v>
      </c>
      <c r="T3">
        <f>IF(OR(Dashboard!$P$4="All",Dashboard!$R$4="All"),NA(),IF(OR(Data!K554&lt;&gt;Dashboard!$P$4,Data!K554&lt;&gt;Dashboard!$R$4),Data!G554,NA()))</f>
        <v>54000</v>
      </c>
      <c r="W3" t="s">
        <v>4032</v>
      </c>
      <c r="X3" t="s">
        <v>4032</v>
      </c>
      <c r="Y3" s="10">
        <v>1883</v>
      </c>
      <c r="AD3" t="s">
        <v>4011</v>
      </c>
      <c r="AE3" t="s">
        <v>4081</v>
      </c>
      <c r="AF3" t="s">
        <v>4082</v>
      </c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Q3" s="78"/>
      <c r="BR3" s="78"/>
      <c r="BS3" s="78"/>
      <c r="BT3" s="78"/>
      <c r="BU3" s="78"/>
      <c r="BV3" s="78"/>
      <c r="CA3" t="s">
        <v>4068</v>
      </c>
      <c r="CE3" s="12" t="s">
        <v>4004</v>
      </c>
      <c r="CF3" t="s">
        <v>4084</v>
      </c>
      <c r="CH3" s="12" t="s">
        <v>4004</v>
      </c>
      <c r="CI3" t="s">
        <v>15</v>
      </c>
    </row>
    <row r="4" spans="2:87">
      <c r="B4" t="e">
        <f>IF(Dashboard!$P$4="All",Data!G555,IF(Data!K555=Dashboard!$P$4,Data!G555,NA()))</f>
        <v>#N/A</v>
      </c>
      <c r="C4" t="str">
        <f t="shared" ref="C4:C67" si="0">IF(ISNA(B4),"",B4)</f>
        <v/>
      </c>
      <c r="D4" t="str">
        <f t="shared" ref="D4:D67" si="1">IF(C4&gt;=PERCENTILE($C$3:$C$1337,0.9),C4,"")</f>
        <v/>
      </c>
      <c r="E4" t="str">
        <f t="shared" ref="E4:E67" si="2">IF(C4&lt;=PERCENTILE($C$3:$C$1337,0.1),C4,"")</f>
        <v/>
      </c>
      <c r="F4" t="str">
        <f>IF(C4&lt;&gt;"",Data!$M555,"")</f>
        <v/>
      </c>
      <c r="G4">
        <f>COUNTA(G5:G1337)-6</f>
        <v>16</v>
      </c>
      <c r="K4" t="e">
        <f>IF(Dashboard!$R$4="All",Data!G555,IF(Data!K555=Dashboard!$R$4,Data!G555,NA()))</f>
        <v>#N/A</v>
      </c>
      <c r="L4" t="str">
        <f t="shared" ref="L4:L67" si="3">IF(ISNA(K4),"",K4)</f>
        <v/>
      </c>
      <c r="M4" t="str">
        <f t="shared" ref="M4:M67" si="4">IF(L4&gt;=PERCENTILE($L$3:$L$1337,0.9),L4,"")</f>
        <v/>
      </c>
      <c r="N4" t="str">
        <f t="shared" ref="N4:N67" si="5">IF(L4&lt;=PERCENTILE($L$3:$L$1337,0.1),L4,"")</f>
        <v/>
      </c>
      <c r="O4" t="str">
        <f>IF(L4&lt;&gt;"",Data!$M555,"")</f>
        <v/>
      </c>
      <c r="P4">
        <f>COUNTA(P5:P1337)-6</f>
        <v>109</v>
      </c>
      <c r="T4">
        <f>IF(OR(Dashboard!$P$4="All",Dashboard!$R$4="All"),NA(),IF(OR(Data!K555&lt;&gt;Dashboard!$P$4,Data!K555&lt;&gt;Dashboard!$R$4),Data!G555,NA()))</f>
        <v>15600</v>
      </c>
      <c r="W4" s="13" t="s">
        <v>1074</v>
      </c>
      <c r="X4" t="s">
        <v>84</v>
      </c>
      <c r="Y4" s="10">
        <v>81</v>
      </c>
      <c r="Z4" s="13"/>
      <c r="AA4" s="13"/>
      <c r="AB4" s="10">
        <f>1</f>
        <v>1</v>
      </c>
      <c r="AC4" s="13" t="s">
        <v>1745</v>
      </c>
      <c r="AD4" s="8">
        <v>177600</v>
      </c>
      <c r="AE4" s="13" t="s">
        <v>84</v>
      </c>
      <c r="AF4" s="59">
        <v>92857.629854916348</v>
      </c>
      <c r="BD4" t="s">
        <v>4027</v>
      </c>
      <c r="BE4">
        <f>IF(ISNA(BE6),NA(),0)</f>
        <v>0</v>
      </c>
      <c r="BF4">
        <f t="shared" ref="BF4:BN4" si="6">IF(ISNA(BF6),NA(),0)</f>
        <v>0</v>
      </c>
      <c r="BG4">
        <f t="shared" si="6"/>
        <v>0</v>
      </c>
      <c r="BH4">
        <f t="shared" si="6"/>
        <v>0</v>
      </c>
      <c r="BI4">
        <f t="shared" si="6"/>
        <v>0</v>
      </c>
      <c r="BJ4">
        <f t="shared" si="6"/>
        <v>0</v>
      </c>
      <c r="BK4">
        <f t="shared" si="6"/>
        <v>0</v>
      </c>
      <c r="BL4">
        <f t="shared" si="6"/>
        <v>0</v>
      </c>
      <c r="BM4">
        <f t="shared" si="6"/>
        <v>0</v>
      </c>
      <c r="BN4">
        <f t="shared" si="6"/>
        <v>0</v>
      </c>
      <c r="BQ4" t="s">
        <v>4027</v>
      </c>
      <c r="BR4">
        <f>IF(ISNA(BR5),NA(),0)</f>
        <v>0</v>
      </c>
      <c r="BS4">
        <f t="shared" ref="BS4:BV4" si="7">IF(ISNA(BS5),NA(),0)</f>
        <v>0</v>
      </c>
      <c r="BT4">
        <f t="shared" si="7"/>
        <v>0</v>
      </c>
      <c r="BU4">
        <f t="shared" si="7"/>
        <v>0</v>
      </c>
      <c r="BV4">
        <f t="shared" si="7"/>
        <v>0</v>
      </c>
      <c r="CA4" t="s">
        <v>4069</v>
      </c>
      <c r="CB4" t="s">
        <v>4070</v>
      </c>
    </row>
    <row r="5" spans="2:87">
      <c r="B5" t="e">
        <f>IF(Dashboard!$P$4="All",Data!G556,IF(Data!K556=Dashboard!$P$4,Data!G556,NA()))</f>
        <v>#N/A</v>
      </c>
      <c r="C5" t="str">
        <f t="shared" si="0"/>
        <v/>
      </c>
      <c r="D5" t="str">
        <f t="shared" si="1"/>
        <v/>
      </c>
      <c r="E5" t="str">
        <f t="shared" si="2"/>
        <v/>
      </c>
      <c r="F5" t="str">
        <f>IF(C5&lt;&gt;"",Data!$M556,"")</f>
        <v/>
      </c>
      <c r="G5" s="13" t="s">
        <v>1231</v>
      </c>
      <c r="K5" t="e">
        <f>IF(Dashboard!$R$4="All",Data!G556,IF(Data!K556=Dashboard!$R$4,Data!G556,NA()))</f>
        <v>#N/A</v>
      </c>
      <c r="L5" t="str">
        <f t="shared" si="3"/>
        <v/>
      </c>
      <c r="M5" t="str">
        <f t="shared" si="4"/>
        <v/>
      </c>
      <c r="N5" t="str">
        <f t="shared" si="5"/>
        <v/>
      </c>
      <c r="O5" t="str">
        <f>IF(L5&lt;&gt;"",Data!$M556,"")</f>
        <v/>
      </c>
      <c r="P5" s="13" t="s">
        <v>310</v>
      </c>
      <c r="T5">
        <f>IF(OR(Dashboard!$P$4="All",Dashboard!$R$4="All"),NA(),IF(OR(Data!K556&lt;&gt;Dashboard!$P$4,Data!K556&lt;&gt;Dashboard!$R$4),Data!G556,NA()))</f>
        <v>35000</v>
      </c>
      <c r="W5" s="13" t="s">
        <v>4008</v>
      </c>
      <c r="X5" t="s">
        <v>143</v>
      </c>
      <c r="Y5" s="10">
        <v>20</v>
      </c>
      <c r="Z5" s="13"/>
      <c r="AA5" s="13"/>
      <c r="AB5" s="10">
        <f>AB4+1</f>
        <v>2</v>
      </c>
      <c r="AC5" s="13" t="s">
        <v>46</v>
      </c>
      <c r="AD5" s="8">
        <v>137525.55715529469</v>
      </c>
      <c r="AE5" s="13" t="s">
        <v>88</v>
      </c>
      <c r="AF5" s="59">
        <v>89799.526836779929</v>
      </c>
      <c r="AJ5" t="str">
        <f>IF(AJ23="",NA(),AJ23)</f>
        <v>Analyst</v>
      </c>
      <c r="AL5" t="str">
        <f t="shared" ref="AL5:BB5" si="8">IF(AL23="",NA(),AL23)</f>
        <v>Manager</v>
      </c>
      <c r="AN5" t="str">
        <f t="shared" si="8"/>
        <v>Accountant</v>
      </c>
      <c r="AP5" t="str">
        <f t="shared" si="8"/>
        <v>CXO or Top Mgmt.</v>
      </c>
      <c r="AR5" t="str">
        <f t="shared" si="8"/>
        <v>Engineer</v>
      </c>
      <c r="AT5" t="str">
        <f t="shared" si="8"/>
        <v>Specialist</v>
      </c>
      <c r="AV5" t="str">
        <f t="shared" si="8"/>
        <v>Consultant</v>
      </c>
      <c r="AX5" t="str">
        <f t="shared" si="8"/>
        <v>Controller</v>
      </c>
      <c r="AZ5" t="str">
        <f t="shared" si="8"/>
        <v>Reporting</v>
      </c>
      <c r="BB5" t="str">
        <f t="shared" si="8"/>
        <v>Misc.</v>
      </c>
      <c r="BD5" t="s">
        <v>3998</v>
      </c>
      <c r="BE5" s="13" t="str">
        <f>AJ5</f>
        <v>Analyst</v>
      </c>
      <c r="BF5" s="13" t="str">
        <f>AL5</f>
        <v>Manager</v>
      </c>
      <c r="BG5" s="13" t="str">
        <f>AN5</f>
        <v>Accountant</v>
      </c>
      <c r="BH5" s="13" t="str">
        <f>AP5</f>
        <v>CXO or Top Mgmt.</v>
      </c>
      <c r="BI5" s="13" t="str">
        <f>AR5</f>
        <v>Engineer</v>
      </c>
      <c r="BJ5" s="13" t="str">
        <f>AT5</f>
        <v>Specialist</v>
      </c>
      <c r="BK5" s="13" t="str">
        <f>AV5</f>
        <v>Consultant</v>
      </c>
      <c r="BL5" s="13" t="str">
        <f>AX5</f>
        <v>Controller</v>
      </c>
      <c r="BM5" s="13" t="str">
        <f>AZ5</f>
        <v>Reporting</v>
      </c>
      <c r="BN5" s="13" t="str">
        <f>BB5</f>
        <v>Misc.</v>
      </c>
      <c r="BQ5" s="17" t="s">
        <v>4029</v>
      </c>
      <c r="BR5" t="str">
        <f>IF(BR24="",NA(),BR24)</f>
        <v>1 or 2 hours a day</v>
      </c>
      <c r="BS5" t="str">
        <f t="shared" ref="BS5:BV5" si="9">IF(BS24="",NA(),BS24)</f>
        <v>2 to 3 hours per day</v>
      </c>
      <c r="BT5" t="str">
        <f t="shared" si="9"/>
        <v>4 to 6 hours a day</v>
      </c>
      <c r="BU5" t="str">
        <f t="shared" si="9"/>
        <v>All the 8 hours baby, all the 8!</v>
      </c>
      <c r="BV5" t="str">
        <f t="shared" si="9"/>
        <v>Excel ?!? What Excel?</v>
      </c>
      <c r="BZ5" t="s">
        <v>310</v>
      </c>
      <c r="CA5">
        <v>29.33</v>
      </c>
      <c r="CB5">
        <f>CA5*2088</f>
        <v>61241.039999999994</v>
      </c>
      <c r="CE5" s="12" t="s">
        <v>4085</v>
      </c>
      <c r="CH5" s="12" t="s">
        <v>4085</v>
      </c>
    </row>
    <row r="6" spans="2:87">
      <c r="B6" t="e">
        <f>IF(Dashboard!$P$4="All",Data!G557,IF(Data!K557=Dashboard!$P$4,Data!G557,NA()))</f>
        <v>#N/A</v>
      </c>
      <c r="C6" t="str">
        <f t="shared" si="0"/>
        <v/>
      </c>
      <c r="D6" t="str">
        <f t="shared" si="1"/>
        <v/>
      </c>
      <c r="E6" t="str">
        <f t="shared" si="2"/>
        <v/>
      </c>
      <c r="F6" t="str">
        <f>IF(C6&lt;&gt;"",Data!$M557,"")</f>
        <v/>
      </c>
      <c r="G6" s="13" t="s">
        <v>20</v>
      </c>
      <c r="K6" t="e">
        <f>IF(Dashboard!$R$4="All",Data!G557,IF(Data!K557=Dashboard!$R$4,Data!G557,NA()))</f>
        <v>#N/A</v>
      </c>
      <c r="L6" t="str">
        <f t="shared" si="3"/>
        <v/>
      </c>
      <c r="M6" t="str">
        <f t="shared" si="4"/>
        <v/>
      </c>
      <c r="N6" t="str">
        <f t="shared" si="5"/>
        <v/>
      </c>
      <c r="O6" t="str">
        <f>IF(L6&lt;&gt;"",Data!$M557,"")</f>
        <v/>
      </c>
      <c r="P6" s="13" t="s">
        <v>594</v>
      </c>
      <c r="T6">
        <f>IF(OR(Dashboard!$P$4="All",Dashboard!$R$4="All"),NA(),IF(OR(Data!K557&lt;&gt;Dashboard!$P$4,Data!K557&lt;&gt;Dashboard!$R$4),Data!G557,NA()))</f>
        <v>188000</v>
      </c>
      <c r="W6" s="13" t="s">
        <v>1331</v>
      </c>
      <c r="X6" t="s">
        <v>88</v>
      </c>
      <c r="Y6" s="10">
        <v>58</v>
      </c>
      <c r="Z6" s="13"/>
      <c r="AA6" s="13"/>
      <c r="AB6" s="10">
        <f t="shared" ref="AB6:AB69" si="10">AB5+1</f>
        <v>3</v>
      </c>
      <c r="AC6" s="13" t="s">
        <v>983</v>
      </c>
      <c r="AD6" s="8">
        <v>123889.35329046159</v>
      </c>
      <c r="AE6" s="13" t="s">
        <v>24</v>
      </c>
      <c r="AF6" s="59">
        <v>79637.147017647629</v>
      </c>
      <c r="AI6" s="14" t="s">
        <v>4012</v>
      </c>
      <c r="AJ6">
        <f>IF(AJ24="",NA(),COUNT(AJ25:AJ2005))</f>
        <v>297</v>
      </c>
      <c r="AL6">
        <f>IF(AL24="",NA(),COUNT(AL25:AL2005))</f>
        <v>145</v>
      </c>
      <c r="AN6">
        <f t="shared" ref="AN6:BB6" si="11">IF(AN24="",NA(),COUNT(AN25:AN2005))</f>
        <v>42</v>
      </c>
      <c r="AP6">
        <f t="shared" si="11"/>
        <v>39</v>
      </c>
      <c r="AR6">
        <f t="shared" si="11"/>
        <v>26</v>
      </c>
      <c r="AT6">
        <f t="shared" si="11"/>
        <v>25</v>
      </c>
      <c r="AV6">
        <f t="shared" si="11"/>
        <v>18</v>
      </c>
      <c r="AX6">
        <f t="shared" si="11"/>
        <v>17</v>
      </c>
      <c r="AZ6">
        <f t="shared" si="11"/>
        <v>5</v>
      </c>
      <c r="BB6">
        <f t="shared" si="11"/>
        <v>3</v>
      </c>
      <c r="BD6" s="14" t="s">
        <v>4012</v>
      </c>
      <c r="BE6">
        <f>AJ6</f>
        <v>297</v>
      </c>
      <c r="BF6">
        <f>AL6</f>
        <v>145</v>
      </c>
      <c r="BG6">
        <f>AN6</f>
        <v>42</v>
      </c>
      <c r="BH6">
        <f>AP6</f>
        <v>39</v>
      </c>
      <c r="BI6">
        <f>AR6</f>
        <v>26</v>
      </c>
      <c r="BJ6">
        <f>AT6</f>
        <v>25</v>
      </c>
      <c r="BK6">
        <f>AV6</f>
        <v>18</v>
      </c>
      <c r="BL6">
        <f>AX6</f>
        <v>17</v>
      </c>
      <c r="BM6">
        <f>AZ6</f>
        <v>5</v>
      </c>
      <c r="BN6">
        <f>BB6</f>
        <v>3</v>
      </c>
      <c r="BQ6" s="14" t="s">
        <v>4012</v>
      </c>
      <c r="BR6" s="8">
        <f>IF(COUNT(BR$25:BR$1907)=0,"",COUNT(BR$25:BR$1907))</f>
        <v>43</v>
      </c>
      <c r="BS6" s="8">
        <f t="shared" ref="BS6:BV6" si="12">IF(COUNT(BS$25:BS$1907)=0,"",COUNT(BS$25:BS$1907))</f>
        <v>155</v>
      </c>
      <c r="BT6" s="8">
        <f t="shared" si="12"/>
        <v>282</v>
      </c>
      <c r="BU6" s="8">
        <f t="shared" si="12"/>
        <v>134</v>
      </c>
      <c r="BV6" s="8">
        <f t="shared" si="12"/>
        <v>3</v>
      </c>
      <c r="BZ6" t="s">
        <v>20</v>
      </c>
      <c r="CA6">
        <v>34.880000000000003</v>
      </c>
      <c r="CB6">
        <f>CA6*2088</f>
        <v>72829.440000000002</v>
      </c>
      <c r="CE6" t="s">
        <v>4011</v>
      </c>
      <c r="CF6" t="s">
        <v>4086</v>
      </c>
      <c r="CH6" t="s">
        <v>4011</v>
      </c>
      <c r="CI6" t="s">
        <v>4086</v>
      </c>
    </row>
    <row r="7" spans="2:87">
      <c r="B7" t="e">
        <f>IF(Dashboard!$P$4="All",Data!G558,IF(Data!K558=Dashboard!$P$4,Data!G558,NA()))</f>
        <v>#N/A</v>
      </c>
      <c r="C7" t="str">
        <f t="shared" si="0"/>
        <v/>
      </c>
      <c r="D7" t="str">
        <f t="shared" si="1"/>
        <v/>
      </c>
      <c r="E7" t="str">
        <f t="shared" si="2"/>
        <v/>
      </c>
      <c r="F7" t="str">
        <f>IF(C7&lt;&gt;"",Data!$M558,"")</f>
        <v/>
      </c>
      <c r="G7" s="13" t="s">
        <v>115</v>
      </c>
      <c r="K7" t="e">
        <f>IF(Dashboard!$R$4="All",Data!G558,IF(Data!K558=Dashboard!$R$4,Data!G558,NA()))</f>
        <v>#N/A</v>
      </c>
      <c r="L7" t="str">
        <f t="shared" si="3"/>
        <v/>
      </c>
      <c r="M7" t="str">
        <f t="shared" si="4"/>
        <v/>
      </c>
      <c r="N7" t="str">
        <f t="shared" si="5"/>
        <v/>
      </c>
      <c r="O7" t="str">
        <f>IF(L7&lt;&gt;"",Data!$M558,"")</f>
        <v/>
      </c>
      <c r="P7" s="13" t="s">
        <v>1897</v>
      </c>
      <c r="T7">
        <f>IF(OR(Dashboard!$P$4="All",Dashboard!$R$4="All"),NA(),IF(OR(Data!K558&lt;&gt;Dashboard!$P$4,Data!K558&lt;&gt;Dashboard!$R$4),Data!G558,NA()))</f>
        <v>27500</v>
      </c>
      <c r="W7" s="13" t="s">
        <v>1860</v>
      </c>
      <c r="X7" t="s">
        <v>24</v>
      </c>
      <c r="Y7" s="10">
        <v>17</v>
      </c>
      <c r="Z7" s="13"/>
      <c r="AA7" s="13"/>
      <c r="AB7" s="10">
        <f t="shared" si="10"/>
        <v>4</v>
      </c>
      <c r="AC7" s="13" t="s">
        <v>2004</v>
      </c>
      <c r="AD7" s="8">
        <v>100800</v>
      </c>
      <c r="AE7" s="13" t="s">
        <v>628</v>
      </c>
      <c r="AF7" s="59">
        <v>73006.431203838249</v>
      </c>
      <c r="AI7" s="14" t="s">
        <v>4013</v>
      </c>
      <c r="AJ7">
        <f>IF(AJ24="",NA(),AVERAGE(AJ25:AJ2005))</f>
        <v>62583.737373737371</v>
      </c>
      <c r="AL7">
        <f>IF(AL24="",NA(),AVERAGE(AL25:AL2005))</f>
        <v>77581.710344827588</v>
      </c>
      <c r="AN7">
        <f>IF(AN24="",NA(),AVERAGE(AN25:AN2005))</f>
        <v>64737.190476190473</v>
      </c>
      <c r="AP7">
        <f>IF(AP24="",NA(),AVERAGE(AP25:AP2005))</f>
        <v>125615.38461538461</v>
      </c>
      <c r="AR7">
        <f>IF(AR24="",NA(),AVERAGE(AR25:AR2005))</f>
        <v>72056.153846153844</v>
      </c>
      <c r="AT7">
        <f t="shared" ref="AT7" si="13">IF(AT24="",NA(),AVERAGE(AT25:AT2005))</f>
        <v>69800</v>
      </c>
      <c r="AV7">
        <f t="shared" ref="AV7:BB7" si="14">IF(AV24="",NA(),AVERAGE(AV25:AV2005))</f>
        <v>98388.888888888891</v>
      </c>
      <c r="AX7">
        <f t="shared" si="14"/>
        <v>87813.23529411765</v>
      </c>
      <c r="AZ7">
        <f t="shared" si="14"/>
        <v>58200</v>
      </c>
      <c r="BB7">
        <f t="shared" si="14"/>
        <v>83820.333333333328</v>
      </c>
      <c r="BD7" s="14" t="s">
        <v>4013</v>
      </c>
      <c r="BE7" s="48">
        <f t="shared" ref="BE7:BE19" si="15">AJ7</f>
        <v>62583.737373737371</v>
      </c>
      <c r="BF7" s="48">
        <f t="shared" ref="BF7:BF19" si="16">AL7</f>
        <v>77581.710344827588</v>
      </c>
      <c r="BG7" s="48">
        <f t="shared" ref="BG7:BG19" si="17">AN7</f>
        <v>64737.190476190473</v>
      </c>
      <c r="BH7" s="48">
        <f t="shared" ref="BH7:BH19" si="18">AP7</f>
        <v>125615.38461538461</v>
      </c>
      <c r="BI7" s="48">
        <f t="shared" ref="BI7:BI19" si="19">AR7</f>
        <v>72056.153846153844</v>
      </c>
      <c r="BJ7" s="48">
        <f t="shared" ref="BJ7:BJ19" si="20">AT7</f>
        <v>69800</v>
      </c>
      <c r="BK7" s="48">
        <f t="shared" ref="BK7:BK19" si="21">AV7</f>
        <v>98388.888888888891</v>
      </c>
      <c r="BL7" s="48">
        <f t="shared" ref="BL7:BL19" si="22">AX7</f>
        <v>87813.23529411765</v>
      </c>
      <c r="BM7">
        <f t="shared" ref="BM7:BM19" si="23">AZ7</f>
        <v>58200</v>
      </c>
      <c r="BN7">
        <f t="shared" ref="BN7:BN19" si="24">BB7</f>
        <v>83820.333333333328</v>
      </c>
      <c r="BQ7" s="14" t="s">
        <v>4013</v>
      </c>
      <c r="BR7" s="48">
        <f>IF(OR(BR6&lt;1,BR6=""),NA(),AVERAGE(BR$25:BR$1907))</f>
        <v>80399.093023255817</v>
      </c>
      <c r="BS7" s="48">
        <f t="shared" ref="BS7:BV7" si="25">IF(OR(BS6&lt;1,BS6=""),NA(),AVERAGE(BS$25:BS$1907))</f>
        <v>76343.612903225803</v>
      </c>
      <c r="BT7" s="48">
        <f t="shared" si="25"/>
        <v>69667.656028368801</v>
      </c>
      <c r="BU7" s="48">
        <f t="shared" si="25"/>
        <v>73087.507462686568</v>
      </c>
      <c r="BV7" s="48">
        <f t="shared" si="25"/>
        <v>49666.666666666664</v>
      </c>
      <c r="BZ7" t="s">
        <v>4071</v>
      </c>
      <c r="CA7">
        <v>76.48</v>
      </c>
      <c r="CB7">
        <f>CA7*2088</f>
        <v>159690.24000000002</v>
      </c>
      <c r="CE7" s="59">
        <v>49814.598255586949</v>
      </c>
      <c r="CF7" s="8">
        <v>8.6566292134831464</v>
      </c>
      <c r="CH7" s="59">
        <v>72738.12965964344</v>
      </c>
      <c r="CI7" s="8">
        <v>10.292035398230089</v>
      </c>
    </row>
    <row r="8" spans="2:87">
      <c r="B8" t="e">
        <f>IF(Dashboard!$P$4="All",Data!G559,IF(Data!K559=Dashboard!$P$4,Data!G559,NA()))</f>
        <v>#N/A</v>
      </c>
      <c r="C8" t="str">
        <f t="shared" si="0"/>
        <v/>
      </c>
      <c r="D8" t="str">
        <f t="shared" si="1"/>
        <v/>
      </c>
      <c r="E8" t="str">
        <f t="shared" si="2"/>
        <v/>
      </c>
      <c r="F8" t="str">
        <f>IF(C8&lt;&gt;"",Data!$M559,"")</f>
        <v/>
      </c>
      <c r="G8" s="13" t="s">
        <v>42</v>
      </c>
      <c r="K8" t="e">
        <f>IF(Dashboard!$R$4="All",Data!G559,IF(Data!K559=Dashboard!$R$4,Data!G559,NA()))</f>
        <v>#N/A</v>
      </c>
      <c r="L8" t="str">
        <f t="shared" si="3"/>
        <v/>
      </c>
      <c r="M8" t="str">
        <f t="shared" si="4"/>
        <v/>
      </c>
      <c r="N8" t="str">
        <f t="shared" si="5"/>
        <v/>
      </c>
      <c r="O8" t="str">
        <f>IF(L8&lt;&gt;"",Data!$M559,"")</f>
        <v/>
      </c>
      <c r="P8" s="13" t="s">
        <v>20</v>
      </c>
      <c r="T8">
        <f>IF(OR(Dashboard!$P$4="All",Dashboard!$R$4="All"),NA(),IF(OR(Data!K559&lt;&gt;Dashboard!$P$4,Data!K559&lt;&gt;Dashboard!$R$4),Data!G559,NA()))</f>
        <v>140000</v>
      </c>
      <c r="W8" s="13" t="s">
        <v>992</v>
      </c>
      <c r="X8" t="s">
        <v>8</v>
      </c>
      <c r="Y8" s="10">
        <v>565</v>
      </c>
      <c r="Z8" s="13"/>
      <c r="AA8" s="13"/>
      <c r="AB8" s="10">
        <f t="shared" si="10"/>
        <v>5</v>
      </c>
      <c r="AC8" s="13" t="s">
        <v>1458</v>
      </c>
      <c r="AD8" s="8">
        <v>100000</v>
      </c>
      <c r="AE8" s="13" t="s">
        <v>15</v>
      </c>
      <c r="AF8" s="59">
        <v>72738.12965964344</v>
      </c>
      <c r="AI8" s="16" t="s">
        <v>4014</v>
      </c>
      <c r="AJ8">
        <f>IF(AJ6=1,0,IF(AJ24="",NA(),STDEV(AJ25:AJ2005)))</f>
        <v>22359.036863980713</v>
      </c>
      <c r="AL8">
        <f t="shared" ref="AL8:BB8" si="26">IF(AL6=1,0,IF(AL24="",NA(),STDEV(AL25:AL2005)))</f>
        <v>40819.500740032541</v>
      </c>
      <c r="AN8">
        <f t="shared" si="26"/>
        <v>27012.9733206356</v>
      </c>
      <c r="AP8">
        <f t="shared" si="26"/>
        <v>58163.501570828383</v>
      </c>
      <c r="AR8">
        <f t="shared" si="26"/>
        <v>22977.667083831304</v>
      </c>
      <c r="AT8">
        <f t="shared" si="26"/>
        <v>70881.944104263952</v>
      </c>
      <c r="AV8">
        <f t="shared" si="26"/>
        <v>66415.925525424187</v>
      </c>
      <c r="AX8">
        <f t="shared" si="26"/>
        <v>45831.527526814731</v>
      </c>
      <c r="AZ8">
        <f t="shared" si="26"/>
        <v>28154.928520598307</v>
      </c>
      <c r="BB8">
        <f t="shared" si="26"/>
        <v>8243.0480001837896</v>
      </c>
      <c r="BD8" s="16" t="s">
        <v>4014</v>
      </c>
      <c r="BE8" s="48">
        <f t="shared" si="15"/>
        <v>22359.036863980713</v>
      </c>
      <c r="BF8" s="48">
        <f t="shared" si="16"/>
        <v>40819.500740032541</v>
      </c>
      <c r="BG8" s="48">
        <f t="shared" si="17"/>
        <v>27012.9733206356</v>
      </c>
      <c r="BH8" s="48">
        <f t="shared" si="18"/>
        <v>58163.501570828383</v>
      </c>
      <c r="BI8" s="48">
        <f t="shared" si="19"/>
        <v>22977.667083831304</v>
      </c>
      <c r="BJ8" s="48">
        <f t="shared" si="20"/>
        <v>70881.944104263952</v>
      </c>
      <c r="BK8" s="48">
        <f t="shared" si="21"/>
        <v>66415.925525424187</v>
      </c>
      <c r="BL8" s="48">
        <f t="shared" si="22"/>
        <v>45831.527526814731</v>
      </c>
      <c r="BM8">
        <f t="shared" si="23"/>
        <v>28154.928520598307</v>
      </c>
      <c r="BN8">
        <f t="shared" si="24"/>
        <v>8243.0480001837896</v>
      </c>
      <c r="BQ8" s="16" t="s">
        <v>4014</v>
      </c>
      <c r="BR8" s="48">
        <f>STDEV(BR$25:BR$1907)</f>
        <v>61176.622068834811</v>
      </c>
      <c r="BS8" s="48">
        <f t="shared" ref="BS8:BV8" si="27">STDEV(BS$25:BS$1907)</f>
        <v>40875.64367139044</v>
      </c>
      <c r="BT8" s="48">
        <f t="shared" si="27"/>
        <v>28316.259349161028</v>
      </c>
      <c r="BU8" s="48">
        <f t="shared" si="27"/>
        <v>47957.071537755386</v>
      </c>
      <c r="BV8" s="48">
        <f t="shared" si="27"/>
        <v>18610.03313627715</v>
      </c>
      <c r="BZ8" t="s">
        <v>279</v>
      </c>
      <c r="CA8">
        <v>41.99</v>
      </c>
      <c r="CB8">
        <f t="shared" ref="CB8" si="28">CA8*2088</f>
        <v>87675.12000000001</v>
      </c>
    </row>
    <row r="9" spans="2:87">
      <c r="B9">
        <f>IF(Dashboard!$P$4="All",Data!G560,IF(Data!K560=Dashboard!$P$4,Data!G560,NA()))</f>
        <v>69871.969144538423</v>
      </c>
      <c r="C9">
        <f t="shared" si="0"/>
        <v>69871.969144538423</v>
      </c>
      <c r="D9" t="str">
        <f t="shared" si="1"/>
        <v/>
      </c>
      <c r="E9" t="str">
        <f t="shared" si="2"/>
        <v/>
      </c>
      <c r="F9">
        <f>IF(C9&lt;&gt;"",Data!$M560,"")</f>
        <v>6</v>
      </c>
      <c r="G9" s="13" t="s">
        <v>1705</v>
      </c>
      <c r="K9" t="e">
        <f>IF(Dashboard!$R$4="All",Data!G560,IF(Data!K560=Dashboard!$R$4,Data!G560,NA()))</f>
        <v>#N/A</v>
      </c>
      <c r="L9" t="str">
        <f t="shared" si="3"/>
        <v/>
      </c>
      <c r="M9" t="str">
        <f t="shared" si="4"/>
        <v/>
      </c>
      <c r="N9" t="str">
        <f t="shared" si="5"/>
        <v/>
      </c>
      <c r="O9" t="str">
        <f>IF(L9&lt;&gt;"",Data!$M560,"")</f>
        <v/>
      </c>
      <c r="P9" s="13" t="s">
        <v>1900</v>
      </c>
      <c r="T9">
        <f>IF(OR(Dashboard!$P$4="All",Dashboard!$R$4="All"),NA(),IF(OR(Data!K560&lt;&gt;Dashboard!$P$4,Data!K560&lt;&gt;Dashboard!$R$4),Data!G560,NA()))</f>
        <v>69871.969144538423</v>
      </c>
      <c r="W9" s="13" t="s">
        <v>1126</v>
      </c>
      <c r="X9" t="s">
        <v>628</v>
      </c>
      <c r="Y9" s="10">
        <v>23</v>
      </c>
      <c r="Z9" s="13"/>
      <c r="AA9" s="13"/>
      <c r="AB9" s="10">
        <f t="shared" si="10"/>
        <v>6</v>
      </c>
      <c r="AC9" s="13" t="s">
        <v>583</v>
      </c>
      <c r="AD9" s="8">
        <v>99016.174371435307</v>
      </c>
      <c r="AE9" s="13" t="s">
        <v>672</v>
      </c>
      <c r="AF9" s="59">
        <v>70287.554967112796</v>
      </c>
      <c r="AI9" s="16" t="s">
        <v>4015</v>
      </c>
      <c r="AJ9">
        <f>IF(AJ24="",NA(),MIN(AJ25:AJ2005))</f>
        <v>10000</v>
      </c>
      <c r="AL9">
        <f t="shared" ref="AL9:BB9" si="29">IF(AL24="",NA(),MIN(AL25:AL2005))</f>
        <v>15000</v>
      </c>
      <c r="AN9">
        <f t="shared" si="29"/>
        <v>22880</v>
      </c>
      <c r="AP9">
        <f t="shared" si="29"/>
        <v>16000</v>
      </c>
      <c r="AR9">
        <f t="shared" si="29"/>
        <v>24000</v>
      </c>
      <c r="AT9">
        <f t="shared" si="29"/>
        <v>31000</v>
      </c>
      <c r="AV9">
        <f t="shared" si="29"/>
        <v>12000</v>
      </c>
      <c r="AX9">
        <f t="shared" si="29"/>
        <v>24000</v>
      </c>
      <c r="AZ9">
        <f t="shared" si="29"/>
        <v>32000</v>
      </c>
      <c r="BB9">
        <f t="shared" si="29"/>
        <v>74461</v>
      </c>
      <c r="BD9" s="16" t="s">
        <v>4015</v>
      </c>
      <c r="BE9" s="48">
        <f t="shared" si="15"/>
        <v>10000</v>
      </c>
      <c r="BF9" s="48">
        <f t="shared" si="16"/>
        <v>15000</v>
      </c>
      <c r="BG9" s="48">
        <f t="shared" si="17"/>
        <v>22880</v>
      </c>
      <c r="BH9" s="48">
        <f t="shared" si="18"/>
        <v>16000</v>
      </c>
      <c r="BI9" s="48">
        <f t="shared" si="19"/>
        <v>24000</v>
      </c>
      <c r="BJ9" s="48">
        <f t="shared" si="20"/>
        <v>31000</v>
      </c>
      <c r="BK9" s="48">
        <f t="shared" si="21"/>
        <v>12000</v>
      </c>
      <c r="BL9" s="48">
        <f t="shared" si="22"/>
        <v>24000</v>
      </c>
      <c r="BM9">
        <f t="shared" si="23"/>
        <v>32000</v>
      </c>
      <c r="BN9">
        <f t="shared" si="24"/>
        <v>74461</v>
      </c>
      <c r="BQ9" s="16" t="s">
        <v>4015</v>
      </c>
      <c r="BR9" s="48">
        <f>MIN(BR$25:BR$1907)</f>
        <v>12000</v>
      </c>
      <c r="BS9" s="48">
        <f t="shared" ref="BS9:BV9" si="30">MIN(BS$25:BS$1907)</f>
        <v>12000</v>
      </c>
      <c r="BT9" s="48">
        <f t="shared" si="30"/>
        <v>10000</v>
      </c>
      <c r="BU9" s="48">
        <f t="shared" si="30"/>
        <v>15000</v>
      </c>
      <c r="BV9" s="48">
        <f t="shared" si="30"/>
        <v>30000</v>
      </c>
      <c r="CH9" s="60">
        <f>ABS(CH7-CE7)/MAX((CH7,CE7))</f>
        <v>0.31515151009959119</v>
      </c>
      <c r="CI9" s="60">
        <f>ABS(CI7-CF7)/MAX((CI7,CF7))</f>
        <v>0.15890017100292736</v>
      </c>
    </row>
    <row r="10" spans="2:87">
      <c r="B10" t="e">
        <f>IF(Dashboard!$P$4="All",Data!G561,IF(Data!K561=Dashboard!$P$4,Data!G561,NA()))</f>
        <v>#N/A</v>
      </c>
      <c r="C10" t="str">
        <f t="shared" si="0"/>
        <v/>
      </c>
      <c r="D10" t="str">
        <f t="shared" si="1"/>
        <v/>
      </c>
      <c r="E10" t="str">
        <f t="shared" si="2"/>
        <v/>
      </c>
      <c r="F10" t="str">
        <f>IF(C10&lt;&gt;"",Data!$M561,"")</f>
        <v/>
      </c>
      <c r="G10" s="13" t="s">
        <v>381</v>
      </c>
      <c r="K10" t="e">
        <f>IF(Dashboard!$R$4="All",Data!G561,IF(Data!K561=Dashboard!$R$4,Data!G561,NA()))</f>
        <v>#N/A</v>
      </c>
      <c r="L10" t="str">
        <f t="shared" si="3"/>
        <v/>
      </c>
      <c r="M10" t="str">
        <f t="shared" si="4"/>
        <v/>
      </c>
      <c r="N10" t="str">
        <f t="shared" si="5"/>
        <v/>
      </c>
      <c r="O10" t="str">
        <f>IF(L10&lt;&gt;"",Data!$M561,"")</f>
        <v/>
      </c>
      <c r="P10" s="13" t="s">
        <v>1287</v>
      </c>
      <c r="T10">
        <f>IF(OR(Dashboard!$P$4="All",Dashboard!$R$4="All"),NA(),IF(OR(Data!K561&lt;&gt;Dashboard!$P$4,Data!K561&lt;&gt;Dashboard!$R$4),Data!G561,NA()))</f>
        <v>45000</v>
      </c>
      <c r="W10" s="13" t="s">
        <v>84</v>
      </c>
      <c r="X10" t="s">
        <v>17</v>
      </c>
      <c r="Y10" s="10">
        <v>29</v>
      </c>
      <c r="Z10" s="13"/>
      <c r="AA10" s="13"/>
      <c r="AB10" s="10">
        <f t="shared" si="10"/>
        <v>7</v>
      </c>
      <c r="AC10" s="13" t="s">
        <v>639</v>
      </c>
      <c r="AD10" s="8">
        <v>95000</v>
      </c>
      <c r="AE10" s="13" t="s">
        <v>71</v>
      </c>
      <c r="AF10" s="59">
        <v>67240.730112795849</v>
      </c>
      <c r="AI10" s="16" t="s">
        <v>4016</v>
      </c>
      <c r="AJ10" s="15">
        <f>IF(AJ24="",NA(),QUARTILE(AJ25:AJ2005,1))</f>
        <v>46000</v>
      </c>
      <c r="AK10" s="15"/>
      <c r="AL10" s="15">
        <f t="shared" ref="AL10:BB10" si="31">IF(AL24="",NA(),QUARTILE(AL25:AL2005,1))</f>
        <v>52500</v>
      </c>
      <c r="AM10" s="15"/>
      <c r="AN10" s="15">
        <f t="shared" si="31"/>
        <v>45750</v>
      </c>
      <c r="AO10" s="15"/>
      <c r="AP10" s="15">
        <f t="shared" si="31"/>
        <v>90000</v>
      </c>
      <c r="AQ10" s="15"/>
      <c r="AR10" s="15">
        <f t="shared" si="31"/>
        <v>57750</v>
      </c>
      <c r="AS10" s="15"/>
      <c r="AT10" s="15">
        <f t="shared" si="31"/>
        <v>45000</v>
      </c>
      <c r="AU10" s="15"/>
      <c r="AV10" s="15">
        <f t="shared" si="31"/>
        <v>69750</v>
      </c>
      <c r="AW10" s="15"/>
      <c r="AX10" s="15">
        <f t="shared" si="31"/>
        <v>65000</v>
      </c>
      <c r="AY10" s="15"/>
      <c r="AZ10" s="15">
        <f t="shared" si="31"/>
        <v>37000</v>
      </c>
      <c r="BA10" s="15"/>
      <c r="BB10" s="15">
        <f t="shared" si="31"/>
        <v>80730.5</v>
      </c>
      <c r="BC10" s="15"/>
      <c r="BD10" s="16" t="s">
        <v>4016</v>
      </c>
      <c r="BE10" s="48">
        <f t="shared" si="15"/>
        <v>46000</v>
      </c>
      <c r="BF10" s="48">
        <f t="shared" si="16"/>
        <v>52500</v>
      </c>
      <c r="BG10" s="48">
        <f t="shared" si="17"/>
        <v>45750</v>
      </c>
      <c r="BH10" s="48">
        <f t="shared" si="18"/>
        <v>90000</v>
      </c>
      <c r="BI10" s="48">
        <f t="shared" si="19"/>
        <v>57750</v>
      </c>
      <c r="BJ10" s="48">
        <f t="shared" si="20"/>
        <v>45000</v>
      </c>
      <c r="BK10" s="48">
        <f t="shared" si="21"/>
        <v>69750</v>
      </c>
      <c r="BL10" s="48">
        <f t="shared" si="22"/>
        <v>65000</v>
      </c>
      <c r="BM10">
        <f t="shared" si="23"/>
        <v>37000</v>
      </c>
      <c r="BN10">
        <f t="shared" si="24"/>
        <v>80730.5</v>
      </c>
      <c r="BQ10" s="16" t="s">
        <v>4016</v>
      </c>
      <c r="BR10" s="48">
        <f>QUARTILE(BR$25:BR$1907,1)</f>
        <v>51500</v>
      </c>
      <c r="BS10" s="48">
        <f t="shared" ref="BS10:BV10" si="32">QUARTILE(BS$25:BS$1907,1)</f>
        <v>50000</v>
      </c>
      <c r="BT10" s="48">
        <f t="shared" si="32"/>
        <v>50000</v>
      </c>
      <c r="BU10" s="48">
        <f t="shared" si="32"/>
        <v>47875</v>
      </c>
      <c r="BV10" s="48">
        <f t="shared" si="32"/>
        <v>41000</v>
      </c>
      <c r="CH10" t="str">
        <f>IF(CH7&gt;CE7,"higher","lower")</f>
        <v>higher</v>
      </c>
      <c r="CI10" t="str">
        <f>IF(CI7&gt;CF7,"higher","lower")</f>
        <v>higher</v>
      </c>
    </row>
    <row r="11" spans="2:87">
      <c r="B11" t="e">
        <f>IF(Dashboard!$P$4="All",Data!G562,IF(Data!K562=Dashboard!$P$4,Data!G562,NA()))</f>
        <v>#N/A</v>
      </c>
      <c r="C11" t="str">
        <f t="shared" si="0"/>
        <v/>
      </c>
      <c r="D11" t="str">
        <f t="shared" si="1"/>
        <v/>
      </c>
      <c r="E11" t="str">
        <f t="shared" si="2"/>
        <v/>
      </c>
      <c r="F11" t="str">
        <f>IF(C11&lt;&gt;"",Data!$M562,"")</f>
        <v/>
      </c>
      <c r="G11" s="13" t="s">
        <v>270</v>
      </c>
      <c r="K11" t="e">
        <f>IF(Dashboard!$R$4="All",Data!G562,IF(Data!K562=Dashboard!$R$4,Data!G562,NA()))</f>
        <v>#N/A</v>
      </c>
      <c r="L11" t="str">
        <f t="shared" si="3"/>
        <v/>
      </c>
      <c r="M11" t="str">
        <f t="shared" si="4"/>
        <v/>
      </c>
      <c r="N11" t="str">
        <f t="shared" si="5"/>
        <v/>
      </c>
      <c r="O11" t="str">
        <f>IF(L11&lt;&gt;"",Data!$M562,"")</f>
        <v/>
      </c>
      <c r="P11" s="13" t="s">
        <v>1250</v>
      </c>
      <c r="T11">
        <f>IF(OR(Dashboard!$P$4="All",Dashboard!$R$4="All"),NA(),IF(OR(Data!K562&lt;&gt;Dashboard!$P$4,Data!K562&lt;&gt;Dashboard!$R$4),Data!G562,NA()))</f>
        <v>95000</v>
      </c>
      <c r="W11" s="13" t="s">
        <v>1519</v>
      </c>
      <c r="X11" t="s">
        <v>48</v>
      </c>
      <c r="Y11" s="10">
        <v>19</v>
      </c>
      <c r="Z11" s="13"/>
      <c r="AA11" s="13"/>
      <c r="AB11" s="10">
        <f t="shared" si="10"/>
        <v>8</v>
      </c>
      <c r="AC11" s="13" t="s">
        <v>84</v>
      </c>
      <c r="AD11" s="8">
        <v>92857.629854916348</v>
      </c>
      <c r="AE11" s="13" t="s">
        <v>48</v>
      </c>
      <c r="AF11" s="59">
        <v>49555.624994016209</v>
      </c>
      <c r="AI11" s="16" t="s">
        <v>4017</v>
      </c>
      <c r="AJ11" s="15">
        <f>IF(AJ24="",NA(),MEDIAN(AJ25:AJ2005))</f>
        <v>60000</v>
      </c>
      <c r="AK11" s="15"/>
      <c r="AL11" s="15">
        <f t="shared" ref="AL11:BB11" si="33">IF(AL24="",NA(),MEDIAN(AL25:AL2005))</f>
        <v>70000</v>
      </c>
      <c r="AM11" s="15"/>
      <c r="AN11" s="15">
        <f t="shared" si="33"/>
        <v>59000</v>
      </c>
      <c r="AO11" s="15"/>
      <c r="AP11" s="15">
        <f t="shared" si="33"/>
        <v>114000</v>
      </c>
      <c r="AQ11" s="15"/>
      <c r="AR11" s="15">
        <f t="shared" si="33"/>
        <v>73250</v>
      </c>
      <c r="AS11" s="15"/>
      <c r="AT11" s="15">
        <f t="shared" si="33"/>
        <v>50000</v>
      </c>
      <c r="AU11" s="15"/>
      <c r="AV11" s="15">
        <f t="shared" si="33"/>
        <v>87500</v>
      </c>
      <c r="AW11" s="15"/>
      <c r="AX11" s="15">
        <f t="shared" si="33"/>
        <v>80000</v>
      </c>
      <c r="AY11" s="15"/>
      <c r="AZ11" s="15">
        <f t="shared" si="33"/>
        <v>45000</v>
      </c>
      <c r="BA11" s="15"/>
      <c r="BB11" s="15">
        <f t="shared" si="33"/>
        <v>87000</v>
      </c>
      <c r="BC11" s="15"/>
      <c r="BD11" s="16" t="s">
        <v>4017</v>
      </c>
      <c r="BE11" s="48">
        <f t="shared" si="15"/>
        <v>60000</v>
      </c>
      <c r="BF11" s="48">
        <f t="shared" si="16"/>
        <v>70000</v>
      </c>
      <c r="BG11" s="48">
        <f t="shared" si="17"/>
        <v>59000</v>
      </c>
      <c r="BH11" s="48">
        <f t="shared" si="18"/>
        <v>114000</v>
      </c>
      <c r="BI11" s="48">
        <f t="shared" si="19"/>
        <v>73250</v>
      </c>
      <c r="BJ11" s="48">
        <f t="shared" si="20"/>
        <v>50000</v>
      </c>
      <c r="BK11" s="48">
        <f t="shared" si="21"/>
        <v>87500</v>
      </c>
      <c r="BL11" s="48">
        <f t="shared" si="22"/>
        <v>80000</v>
      </c>
      <c r="BM11">
        <f t="shared" si="23"/>
        <v>45000</v>
      </c>
      <c r="BN11">
        <f t="shared" si="24"/>
        <v>87000</v>
      </c>
      <c r="BQ11" s="16" t="s">
        <v>4017</v>
      </c>
      <c r="BR11" s="48">
        <f>MEDIAN(BR$25:BR$1907)</f>
        <v>75000</v>
      </c>
      <c r="BS11" s="48">
        <f t="shared" ref="BS11:BV11" si="34">MEDIAN(BS$25:BS$1907)</f>
        <v>69960</v>
      </c>
      <c r="BT11" s="48">
        <f t="shared" si="34"/>
        <v>65000</v>
      </c>
      <c r="BU11" s="48">
        <f t="shared" si="34"/>
        <v>62000</v>
      </c>
      <c r="BV11" s="48">
        <f t="shared" si="34"/>
        <v>52000</v>
      </c>
    </row>
    <row r="12" spans="2:87">
      <c r="B12" t="e">
        <f>IF(Dashboard!$P$4="All",Data!G563,IF(Data!K563=Dashboard!$P$4,Data!G563,NA()))</f>
        <v>#N/A</v>
      </c>
      <c r="C12" t="str">
        <f t="shared" si="0"/>
        <v/>
      </c>
      <c r="D12" t="str">
        <f t="shared" si="1"/>
        <v/>
      </c>
      <c r="E12" t="str">
        <f t="shared" si="2"/>
        <v/>
      </c>
      <c r="F12" t="str">
        <f>IF(C12&lt;&gt;"",Data!$M563,"")</f>
        <v/>
      </c>
      <c r="G12" s="13" t="s">
        <v>1091</v>
      </c>
      <c r="K12" t="e">
        <f>IF(Dashboard!$R$4="All",Data!G563,IF(Data!K563=Dashboard!$R$4,Data!G563,NA()))</f>
        <v>#N/A</v>
      </c>
      <c r="L12" t="str">
        <f t="shared" si="3"/>
        <v/>
      </c>
      <c r="M12" t="str">
        <f t="shared" si="4"/>
        <v/>
      </c>
      <c r="N12" t="str">
        <f t="shared" si="5"/>
        <v/>
      </c>
      <c r="O12" t="str">
        <f>IF(L12&lt;&gt;"",Data!$M563,"")</f>
        <v/>
      </c>
      <c r="P12" s="13" t="s">
        <v>1621</v>
      </c>
      <c r="T12">
        <f>IF(OR(Dashboard!$P$4="All",Dashboard!$R$4="All"),NA(),IF(OR(Data!K563&lt;&gt;Dashboard!$P$4,Data!K563&lt;&gt;Dashboard!$R$4),Data!G563,NA()))</f>
        <v>158085.99674240855</v>
      </c>
      <c r="W12" s="13" t="s">
        <v>1773</v>
      </c>
      <c r="X12" t="s">
        <v>179</v>
      </c>
      <c r="Y12" s="10">
        <v>19</v>
      </c>
      <c r="Z12" s="13"/>
      <c r="AA12" s="13"/>
      <c r="AB12" s="10">
        <f t="shared" si="10"/>
        <v>9</v>
      </c>
      <c r="AC12" s="13" t="s">
        <v>88</v>
      </c>
      <c r="AD12" s="8">
        <v>89799.526836779929</v>
      </c>
      <c r="AE12" s="13" t="s">
        <v>179</v>
      </c>
      <c r="AF12" s="59">
        <v>43014.900191685309</v>
      </c>
      <c r="AI12" s="16" t="s">
        <v>4018</v>
      </c>
      <c r="AJ12" s="15">
        <f>IF(AJ24="",NA(),QUARTILE(AJ25:AJ2005,3))</f>
        <v>75000</v>
      </c>
      <c r="AK12" s="15"/>
      <c r="AL12" s="15">
        <f t="shared" ref="AL12:BB12" si="35">IF(AL24="",NA(),QUARTILE(AL25:AL2005,3))</f>
        <v>90000</v>
      </c>
      <c r="AM12" s="15"/>
      <c r="AN12" s="15">
        <f t="shared" si="35"/>
        <v>75000</v>
      </c>
      <c r="AO12" s="15"/>
      <c r="AP12" s="15">
        <f t="shared" si="35"/>
        <v>150000</v>
      </c>
      <c r="AQ12" s="15"/>
      <c r="AR12" s="15">
        <f t="shared" si="35"/>
        <v>85000</v>
      </c>
      <c r="AS12" s="15"/>
      <c r="AT12" s="15">
        <f t="shared" si="35"/>
        <v>73000</v>
      </c>
      <c r="AU12" s="15"/>
      <c r="AV12" s="15">
        <f t="shared" si="35"/>
        <v>113250</v>
      </c>
      <c r="AW12" s="15"/>
      <c r="AX12" s="15">
        <f t="shared" si="35"/>
        <v>99000</v>
      </c>
      <c r="AY12" s="15"/>
      <c r="AZ12" s="15">
        <f t="shared" si="35"/>
        <v>85000</v>
      </c>
      <c r="BA12" s="15"/>
      <c r="BB12" s="15">
        <f t="shared" si="35"/>
        <v>88500</v>
      </c>
      <c r="BC12" s="15"/>
      <c r="BD12" s="16" t="s">
        <v>4018</v>
      </c>
      <c r="BE12" s="48">
        <f t="shared" si="15"/>
        <v>75000</v>
      </c>
      <c r="BF12" s="48">
        <f t="shared" si="16"/>
        <v>90000</v>
      </c>
      <c r="BG12" s="48">
        <f t="shared" si="17"/>
        <v>75000</v>
      </c>
      <c r="BH12" s="48">
        <f t="shared" si="18"/>
        <v>150000</v>
      </c>
      <c r="BI12" s="48">
        <f t="shared" si="19"/>
        <v>85000</v>
      </c>
      <c r="BJ12" s="48">
        <f t="shared" si="20"/>
        <v>73000</v>
      </c>
      <c r="BK12" s="48">
        <f t="shared" si="21"/>
        <v>113250</v>
      </c>
      <c r="BL12" s="48">
        <f t="shared" si="22"/>
        <v>99000</v>
      </c>
      <c r="BM12">
        <f t="shared" si="23"/>
        <v>85000</v>
      </c>
      <c r="BN12">
        <f t="shared" si="24"/>
        <v>88500</v>
      </c>
      <c r="BQ12" s="16" t="s">
        <v>4018</v>
      </c>
      <c r="BR12" s="48">
        <f>QUARTILE(BR$25:BR$1907,3)</f>
        <v>90500</v>
      </c>
      <c r="BS12" s="48">
        <f t="shared" ref="BS12:BV12" si="36">QUARTILE(BS$25:BS$1907,3)</f>
        <v>90000</v>
      </c>
      <c r="BT12" s="48">
        <f t="shared" si="36"/>
        <v>85000</v>
      </c>
      <c r="BU12" s="48">
        <f t="shared" si="36"/>
        <v>76750</v>
      </c>
      <c r="BV12" s="48">
        <f t="shared" si="36"/>
        <v>59500</v>
      </c>
    </row>
    <row r="13" spans="2:87">
      <c r="B13" t="e">
        <f>IF(Dashboard!$P$4="All",Data!G564,IF(Data!K564=Dashboard!$P$4,Data!G564,NA()))</f>
        <v>#N/A</v>
      </c>
      <c r="C13" t="str">
        <f t="shared" si="0"/>
        <v/>
      </c>
      <c r="D13" t="str">
        <f t="shared" si="1"/>
        <v/>
      </c>
      <c r="E13" t="str">
        <f t="shared" si="2"/>
        <v/>
      </c>
      <c r="F13" t="str">
        <f>IF(C13&lt;&gt;"",Data!$M564,"")</f>
        <v/>
      </c>
      <c r="G13" s="13" t="s">
        <v>1388</v>
      </c>
      <c r="K13" t="e">
        <f>IF(Dashboard!$R$4="All",Data!G564,IF(Data!K564=Dashboard!$R$4,Data!G564,NA()))</f>
        <v>#N/A</v>
      </c>
      <c r="L13" t="str">
        <f t="shared" si="3"/>
        <v/>
      </c>
      <c r="M13" t="str">
        <f t="shared" si="4"/>
        <v/>
      </c>
      <c r="N13" t="str">
        <f t="shared" si="5"/>
        <v/>
      </c>
      <c r="O13" t="str">
        <f>IF(L13&lt;&gt;"",Data!$M564,"")</f>
        <v/>
      </c>
      <c r="P13" s="13" t="s">
        <v>616</v>
      </c>
      <c r="T13">
        <f>IF(OR(Dashboard!$P$4="All",Dashboard!$R$4="All"),NA(),IF(OR(Data!K564&lt;&gt;Dashboard!$P$4,Data!K564&lt;&gt;Dashboard!$R$4),Data!G564,NA()))</f>
        <v>63807.047488395103</v>
      </c>
      <c r="U13" s="11"/>
      <c r="W13" s="13" t="s">
        <v>1951</v>
      </c>
      <c r="X13" t="s">
        <v>71</v>
      </c>
      <c r="Y13" s="10">
        <v>154</v>
      </c>
      <c r="Z13" s="13"/>
      <c r="AA13" s="13"/>
      <c r="AB13" s="10">
        <f t="shared" si="10"/>
        <v>10</v>
      </c>
      <c r="AC13" s="13" t="s">
        <v>1497</v>
      </c>
      <c r="AD13" s="8">
        <v>87167.974754622352</v>
      </c>
      <c r="AE13" s="13" t="s">
        <v>143</v>
      </c>
      <c r="AF13" s="59">
        <v>42672.036574334947</v>
      </c>
      <c r="AI13" s="16" t="s">
        <v>4019</v>
      </c>
      <c r="AJ13" s="15">
        <f>IF(AJ24="",NA(),MAX(AJ25:AJ2005))</f>
        <v>160000</v>
      </c>
      <c r="AK13" s="15"/>
      <c r="AL13" s="15">
        <f t="shared" ref="AL13:BB13" si="37">IF(AL24="",NA(),MAX(AL25:AL2005))</f>
        <v>400000</v>
      </c>
      <c r="AM13" s="15"/>
      <c r="AN13" s="15">
        <f t="shared" si="37"/>
        <v>150000</v>
      </c>
      <c r="AO13" s="15"/>
      <c r="AP13" s="15">
        <f t="shared" si="37"/>
        <v>300000</v>
      </c>
      <c r="AQ13" s="15"/>
      <c r="AR13" s="15">
        <f t="shared" si="37"/>
        <v>130000</v>
      </c>
      <c r="AS13" s="15"/>
      <c r="AT13" s="15">
        <f t="shared" si="37"/>
        <v>400000</v>
      </c>
      <c r="AU13" s="15"/>
      <c r="AV13" s="15">
        <f t="shared" si="37"/>
        <v>250000</v>
      </c>
      <c r="AW13" s="15"/>
      <c r="AX13" s="15">
        <f t="shared" si="37"/>
        <v>214000</v>
      </c>
      <c r="AY13" s="15"/>
      <c r="AZ13" s="15">
        <f t="shared" si="37"/>
        <v>92000</v>
      </c>
      <c r="BA13" s="15"/>
      <c r="BB13" s="15">
        <f t="shared" si="37"/>
        <v>90000</v>
      </c>
      <c r="BC13" s="15"/>
      <c r="BD13" s="16" t="s">
        <v>4019</v>
      </c>
      <c r="BE13" s="48">
        <f t="shared" si="15"/>
        <v>160000</v>
      </c>
      <c r="BF13" s="48">
        <f t="shared" si="16"/>
        <v>400000</v>
      </c>
      <c r="BG13" s="48">
        <f t="shared" si="17"/>
        <v>150000</v>
      </c>
      <c r="BH13" s="48">
        <f t="shared" si="18"/>
        <v>300000</v>
      </c>
      <c r="BI13" s="48">
        <f t="shared" si="19"/>
        <v>130000</v>
      </c>
      <c r="BJ13" s="48">
        <f t="shared" si="20"/>
        <v>400000</v>
      </c>
      <c r="BK13" s="48">
        <f t="shared" si="21"/>
        <v>250000</v>
      </c>
      <c r="BL13" s="48">
        <f t="shared" si="22"/>
        <v>214000</v>
      </c>
      <c r="BM13">
        <f t="shared" si="23"/>
        <v>92000</v>
      </c>
      <c r="BN13">
        <f t="shared" si="24"/>
        <v>90000</v>
      </c>
      <c r="BQ13" s="16" t="s">
        <v>4019</v>
      </c>
      <c r="BR13" s="48">
        <f>MAX(BR$25:BR$1907)</f>
        <v>400000</v>
      </c>
      <c r="BS13" s="48">
        <f t="shared" ref="BS13:BV13" si="38">MAX(BS$25:BS$1907)</f>
        <v>300000</v>
      </c>
      <c r="BT13" s="48">
        <f t="shared" si="38"/>
        <v>225000</v>
      </c>
      <c r="BU13" s="48">
        <f t="shared" si="38"/>
        <v>400000</v>
      </c>
      <c r="BV13" s="48">
        <f t="shared" si="38"/>
        <v>67000</v>
      </c>
    </row>
    <row r="14" spans="2:87">
      <c r="B14" t="e">
        <f>IF(Dashboard!$P$4="All",Data!G565,IF(Data!K565=Dashboard!$P$4,Data!G565,NA()))</f>
        <v>#N/A</v>
      </c>
      <c r="C14" t="str">
        <f t="shared" si="0"/>
        <v/>
      </c>
      <c r="D14" t="str">
        <f t="shared" si="1"/>
        <v/>
      </c>
      <c r="E14" t="str">
        <f t="shared" si="2"/>
        <v/>
      </c>
      <c r="F14" t="str">
        <f>IF(C14&lt;&gt;"",Data!$M565,"")</f>
        <v/>
      </c>
      <c r="G14" s="13" t="s">
        <v>1346</v>
      </c>
      <c r="K14" t="e">
        <f>IF(Dashboard!$R$4="All",Data!G565,IF(Data!K565=Dashboard!$R$4,Data!G565,NA()))</f>
        <v>#N/A</v>
      </c>
      <c r="L14" t="str">
        <f t="shared" si="3"/>
        <v/>
      </c>
      <c r="M14" t="str">
        <f t="shared" si="4"/>
        <v/>
      </c>
      <c r="N14" t="str">
        <f t="shared" si="5"/>
        <v/>
      </c>
      <c r="O14" t="str">
        <f>IF(L14&lt;&gt;"",Data!$M565,"")</f>
        <v/>
      </c>
      <c r="P14" s="13" t="s">
        <v>104</v>
      </c>
      <c r="T14">
        <f>IF(OR(Dashboard!$P$4="All",Dashboard!$R$4="All"),NA(),IF(OR(Data!K565&lt;&gt;Dashboard!$P$4,Data!K565&lt;&gt;Dashboard!$R$4),Data!G565,NA()))</f>
        <v>38000</v>
      </c>
      <c r="U14" s="42"/>
      <c r="W14" s="13" t="s">
        <v>425</v>
      </c>
      <c r="X14" t="s">
        <v>15</v>
      </c>
      <c r="Y14" s="10">
        <v>617</v>
      </c>
      <c r="Z14" s="13"/>
      <c r="AA14" s="13"/>
      <c r="AB14" s="10">
        <f t="shared" si="10"/>
        <v>11</v>
      </c>
      <c r="AC14" s="13" t="s">
        <v>447</v>
      </c>
      <c r="AD14" s="8">
        <v>84477.260092140481</v>
      </c>
      <c r="AE14" s="13" t="s">
        <v>8</v>
      </c>
      <c r="AF14" s="59">
        <v>13529.430894182482</v>
      </c>
      <c r="AI14" s="16" t="s">
        <v>4020</v>
      </c>
      <c r="AJ14" s="15">
        <f>IF(AJ5="",NA(),IF(COUNT(AJ25:AJ2005)&lt;=15,0,IF(AJ24="",NA(),AJ10)))</f>
        <v>46000</v>
      </c>
      <c r="AK14" s="15"/>
      <c r="AL14" s="15">
        <f t="shared" ref="AL14:BB14" si="39">IF(AL5="",NA(),IF(COUNT(AL25:AL2005)&lt;=15,0,IF(AL24="",NA(),AL10)))</f>
        <v>52500</v>
      </c>
      <c r="AM14" s="15"/>
      <c r="AN14" s="15">
        <f t="shared" si="39"/>
        <v>45750</v>
      </c>
      <c r="AO14" s="15"/>
      <c r="AP14" s="15">
        <f t="shared" si="39"/>
        <v>90000</v>
      </c>
      <c r="AQ14" s="15"/>
      <c r="AR14" s="15">
        <f t="shared" si="39"/>
        <v>57750</v>
      </c>
      <c r="AS14" s="15"/>
      <c r="AT14" s="15">
        <f t="shared" si="39"/>
        <v>45000</v>
      </c>
      <c r="AU14" s="15"/>
      <c r="AV14" s="15">
        <f t="shared" si="39"/>
        <v>69750</v>
      </c>
      <c r="AW14" s="15"/>
      <c r="AX14" s="15">
        <f t="shared" si="39"/>
        <v>65000</v>
      </c>
      <c r="AY14" s="15"/>
      <c r="AZ14" s="15">
        <f t="shared" si="39"/>
        <v>0</v>
      </c>
      <c r="BA14" s="15"/>
      <c r="BB14" s="15">
        <f t="shared" si="39"/>
        <v>0</v>
      </c>
      <c r="BC14" s="15"/>
      <c r="BD14" s="16" t="s">
        <v>4020</v>
      </c>
      <c r="BE14" s="48">
        <f t="shared" si="15"/>
        <v>46000</v>
      </c>
      <c r="BF14" s="48">
        <f t="shared" si="16"/>
        <v>52500</v>
      </c>
      <c r="BG14" s="48">
        <f t="shared" si="17"/>
        <v>45750</v>
      </c>
      <c r="BH14" s="48">
        <f t="shared" si="18"/>
        <v>90000</v>
      </c>
      <c r="BI14" s="48">
        <f t="shared" si="19"/>
        <v>57750</v>
      </c>
      <c r="BJ14" s="48">
        <f>AT14</f>
        <v>45000</v>
      </c>
      <c r="BK14" s="48">
        <f t="shared" si="21"/>
        <v>69750</v>
      </c>
      <c r="BL14" s="48">
        <f t="shared" si="22"/>
        <v>65000</v>
      </c>
      <c r="BM14">
        <f t="shared" si="23"/>
        <v>0</v>
      </c>
      <c r="BN14">
        <f t="shared" si="24"/>
        <v>0</v>
      </c>
      <c r="BQ14" s="16" t="s">
        <v>4020</v>
      </c>
      <c r="BR14" s="48">
        <f>IF(BR6&lt;=15,0,BR10)</f>
        <v>51500</v>
      </c>
      <c r="BS14" s="48">
        <f t="shared" ref="BS14:BV14" si="40">IF(BS6&lt;=15,0,BS10)</f>
        <v>50000</v>
      </c>
      <c r="BT14" s="48">
        <f t="shared" si="40"/>
        <v>50000</v>
      </c>
      <c r="BU14" s="48">
        <f t="shared" si="40"/>
        <v>47875</v>
      </c>
      <c r="BV14" s="48">
        <f t="shared" si="40"/>
        <v>0</v>
      </c>
    </row>
    <row r="15" spans="2:87">
      <c r="B15" t="e">
        <f>IF(Dashboard!$P$4="All",Data!G566,IF(Data!K566=Dashboard!$P$4,Data!G566,NA()))</f>
        <v>#N/A</v>
      </c>
      <c r="C15" t="str">
        <f t="shared" si="0"/>
        <v/>
      </c>
      <c r="D15" t="str">
        <f t="shared" si="1"/>
        <v/>
      </c>
      <c r="E15" t="str">
        <f t="shared" si="2"/>
        <v/>
      </c>
      <c r="F15" t="str">
        <f>IF(C15&lt;&gt;"",Data!$M566,"")</f>
        <v/>
      </c>
      <c r="G15" s="13" t="s">
        <v>627</v>
      </c>
      <c r="K15" t="e">
        <f>IF(Dashboard!$R$4="All",Data!G566,IF(Data!K566=Dashboard!$R$4,Data!G566,NA()))</f>
        <v>#N/A</v>
      </c>
      <c r="L15" t="str">
        <f t="shared" si="3"/>
        <v/>
      </c>
      <c r="M15" t="str">
        <f t="shared" si="4"/>
        <v/>
      </c>
      <c r="N15" t="str">
        <f t="shared" si="5"/>
        <v/>
      </c>
      <c r="O15" t="str">
        <f>IF(L15&lt;&gt;"",Data!$M566,"")</f>
        <v/>
      </c>
      <c r="P15" s="13" t="s">
        <v>42</v>
      </c>
      <c r="T15">
        <f>IF(OR(Dashboard!$P$4="All",Dashboard!$R$4="All"),NA(),IF(OR(Data!K566&lt;&gt;Dashboard!$P$4,Data!K566&lt;&gt;Dashboard!$R$4),Data!G566,NA()))</f>
        <v>90000</v>
      </c>
      <c r="U15" s="11"/>
      <c r="W15" s="13" t="s">
        <v>59</v>
      </c>
      <c r="Z15" s="13"/>
      <c r="AA15" s="13"/>
      <c r="AB15" s="10">
        <f t="shared" si="10"/>
        <v>12</v>
      </c>
      <c r="AC15" s="13" t="s">
        <v>877</v>
      </c>
      <c r="AD15" s="8">
        <v>82525.525402351297</v>
      </c>
      <c r="AE15" s="13" t="s">
        <v>17</v>
      </c>
      <c r="AF15" s="59">
        <v>11873.552586779413</v>
      </c>
      <c r="AI15" s="16" t="s">
        <v>4021</v>
      </c>
      <c r="AJ15" s="15">
        <f>IF(AJ5="",NA(),IF(COUNT(AJ25:AJ2005)&lt;=15,0,IF(AJ24="",NA(),AJ11-AJ10)))</f>
        <v>14000</v>
      </c>
      <c r="AK15" s="15"/>
      <c r="AL15" s="15">
        <f t="shared" ref="AL15:BB15" si="41">IF(AL5="",NA(),IF(COUNT(AL25:AL2005)&lt;=15,0,IF(AL24="",NA(),AL11-AL10)))</f>
        <v>17500</v>
      </c>
      <c r="AM15" s="15"/>
      <c r="AN15" s="15">
        <f t="shared" si="41"/>
        <v>13250</v>
      </c>
      <c r="AO15" s="15"/>
      <c r="AP15" s="15">
        <f t="shared" si="41"/>
        <v>24000</v>
      </c>
      <c r="AQ15" s="15"/>
      <c r="AR15" s="15">
        <f t="shared" si="41"/>
        <v>15500</v>
      </c>
      <c r="AS15" s="15"/>
      <c r="AT15" s="15">
        <f t="shared" si="41"/>
        <v>5000</v>
      </c>
      <c r="AU15" s="15"/>
      <c r="AV15" s="15">
        <f t="shared" si="41"/>
        <v>17750</v>
      </c>
      <c r="AW15" s="15"/>
      <c r="AX15" s="15">
        <f t="shared" si="41"/>
        <v>15000</v>
      </c>
      <c r="AY15" s="15"/>
      <c r="AZ15" s="15">
        <f t="shared" si="41"/>
        <v>0</v>
      </c>
      <c r="BA15" s="15"/>
      <c r="BB15" s="15">
        <f t="shared" si="41"/>
        <v>0</v>
      </c>
      <c r="BC15" s="15"/>
      <c r="BD15" s="16" t="s">
        <v>4021</v>
      </c>
      <c r="BE15" s="48">
        <f t="shared" si="15"/>
        <v>14000</v>
      </c>
      <c r="BF15" s="48">
        <f t="shared" si="16"/>
        <v>17500</v>
      </c>
      <c r="BG15" s="48">
        <f t="shared" si="17"/>
        <v>13250</v>
      </c>
      <c r="BH15" s="48">
        <f t="shared" si="18"/>
        <v>24000</v>
      </c>
      <c r="BI15" s="48">
        <f t="shared" si="19"/>
        <v>15500</v>
      </c>
      <c r="BJ15" s="48">
        <f t="shared" si="20"/>
        <v>5000</v>
      </c>
      <c r="BK15" s="48">
        <f t="shared" si="21"/>
        <v>17750</v>
      </c>
      <c r="BL15" s="48">
        <f t="shared" si="22"/>
        <v>15000</v>
      </c>
      <c r="BM15">
        <f t="shared" si="23"/>
        <v>0</v>
      </c>
      <c r="BN15">
        <f t="shared" si="24"/>
        <v>0</v>
      </c>
      <c r="BQ15" s="16" t="s">
        <v>4021</v>
      </c>
      <c r="BR15" s="48">
        <f>IF(BR6&lt;=15,0,BR11-BR10)</f>
        <v>23500</v>
      </c>
      <c r="BS15" s="48">
        <f t="shared" ref="BS15:BV15" si="42">IF(BS6&lt;=15,0,BS11-BS10)</f>
        <v>19960</v>
      </c>
      <c r="BT15" s="48">
        <f t="shared" si="42"/>
        <v>15000</v>
      </c>
      <c r="BU15" s="48">
        <f t="shared" si="42"/>
        <v>14125</v>
      </c>
      <c r="BV15" s="48">
        <f t="shared" si="42"/>
        <v>0</v>
      </c>
    </row>
    <row r="16" spans="2:87">
      <c r="B16" t="e">
        <f>IF(Dashboard!$P$4="All",Data!G567,IF(Data!K567=Dashboard!$P$4,Data!G567,NA()))</f>
        <v>#N/A</v>
      </c>
      <c r="C16" t="str">
        <f t="shared" si="0"/>
        <v/>
      </c>
      <c r="D16" t="str">
        <f t="shared" si="1"/>
        <v/>
      </c>
      <c r="E16" t="str">
        <f t="shared" si="2"/>
        <v/>
      </c>
      <c r="F16" t="str">
        <f>IF(C16&lt;&gt;"",Data!$M567,"")</f>
        <v/>
      </c>
      <c r="G16" s="13" t="s">
        <v>14</v>
      </c>
      <c r="K16">
        <f>IF(Dashboard!$R$4="All",Data!G567,IF(Data!K567=Dashboard!$R$4,Data!G567,NA()))</f>
        <v>45393.934235537781</v>
      </c>
      <c r="L16">
        <f t="shared" si="3"/>
        <v>45393.934235537781</v>
      </c>
      <c r="M16" t="str">
        <f t="shared" si="4"/>
        <v/>
      </c>
      <c r="N16" t="str">
        <f t="shared" si="5"/>
        <v/>
      </c>
      <c r="O16">
        <f>IF(L16&lt;&gt;"",Data!$M567,"")</f>
        <v>27</v>
      </c>
      <c r="P16" s="13" t="s">
        <v>1304</v>
      </c>
      <c r="T16">
        <f>IF(OR(Dashboard!$P$4="All",Dashboard!$R$4="All"),NA(),IF(OR(Data!K567&lt;&gt;Dashboard!$P$4,Data!K567&lt;&gt;Dashboard!$R$4),Data!G567,NA()))</f>
        <v>45393.934235537781</v>
      </c>
      <c r="U16" s="11"/>
      <c r="W16" s="13" t="s">
        <v>292</v>
      </c>
      <c r="X16" t="b">
        <v>1</v>
      </c>
      <c r="Z16" s="13"/>
      <c r="AA16" s="13"/>
      <c r="AB16" s="10">
        <f t="shared" si="10"/>
        <v>13</v>
      </c>
      <c r="AC16" s="13" t="s">
        <v>24</v>
      </c>
      <c r="AD16" s="8">
        <v>79637.147017647629</v>
      </c>
      <c r="AI16" s="16" t="s">
        <v>4022</v>
      </c>
      <c r="AJ16" s="15">
        <f>IF(AJ5="",NA(),IF(COUNT(AJ25:AJ2005)&lt;=15,0,IF(AJ24="",NA(),AJ12-AJ11)))</f>
        <v>15000</v>
      </c>
      <c r="AK16" s="15"/>
      <c r="AL16" s="15">
        <f t="shared" ref="AL16:BB16" si="43">IF(AL5="",NA(),IF(COUNT(AL25:AL2005)&lt;=15,0,IF(AL24="",NA(),AL12-AL11)))</f>
        <v>20000</v>
      </c>
      <c r="AM16" s="15"/>
      <c r="AN16" s="15">
        <f t="shared" si="43"/>
        <v>16000</v>
      </c>
      <c r="AO16" s="15"/>
      <c r="AP16" s="15">
        <f t="shared" si="43"/>
        <v>36000</v>
      </c>
      <c r="AQ16" s="15"/>
      <c r="AR16" s="15">
        <f t="shared" si="43"/>
        <v>11750</v>
      </c>
      <c r="AS16" s="15"/>
      <c r="AT16" s="15">
        <f t="shared" si="43"/>
        <v>23000</v>
      </c>
      <c r="AU16" s="15"/>
      <c r="AV16" s="15">
        <f t="shared" si="43"/>
        <v>25750</v>
      </c>
      <c r="AW16" s="15"/>
      <c r="AX16" s="15">
        <f t="shared" si="43"/>
        <v>19000</v>
      </c>
      <c r="AY16" s="15"/>
      <c r="AZ16" s="15">
        <f t="shared" si="43"/>
        <v>0</v>
      </c>
      <c r="BA16" s="15"/>
      <c r="BB16" s="15">
        <f t="shared" si="43"/>
        <v>0</v>
      </c>
      <c r="BC16" s="15"/>
      <c r="BD16" s="16" t="s">
        <v>4022</v>
      </c>
      <c r="BE16" s="48">
        <f t="shared" si="15"/>
        <v>15000</v>
      </c>
      <c r="BF16" s="48">
        <f t="shared" si="16"/>
        <v>20000</v>
      </c>
      <c r="BG16" s="48">
        <f t="shared" si="17"/>
        <v>16000</v>
      </c>
      <c r="BH16" s="48">
        <f t="shared" si="18"/>
        <v>36000</v>
      </c>
      <c r="BI16" s="48">
        <f t="shared" si="19"/>
        <v>11750</v>
      </c>
      <c r="BJ16" s="48">
        <f t="shared" si="20"/>
        <v>23000</v>
      </c>
      <c r="BK16" s="48">
        <f t="shared" si="21"/>
        <v>25750</v>
      </c>
      <c r="BL16" s="48">
        <f t="shared" si="22"/>
        <v>19000</v>
      </c>
      <c r="BM16">
        <f t="shared" si="23"/>
        <v>0</v>
      </c>
      <c r="BN16">
        <f t="shared" si="24"/>
        <v>0</v>
      </c>
      <c r="BQ16" s="16" t="s">
        <v>4022</v>
      </c>
      <c r="BR16" s="48">
        <f>IF(BR6&lt;=15,0,BR12-BR11)</f>
        <v>15500</v>
      </c>
      <c r="BS16" s="48">
        <f t="shared" ref="BS16:BV16" si="44">IF(BS6&lt;=15,0,BS12-BS11)</f>
        <v>20040</v>
      </c>
      <c r="BT16" s="48">
        <f t="shared" si="44"/>
        <v>20000</v>
      </c>
      <c r="BU16" s="48">
        <f t="shared" si="44"/>
        <v>14750</v>
      </c>
      <c r="BV16" s="48">
        <f t="shared" si="44"/>
        <v>0</v>
      </c>
    </row>
    <row r="17" spans="2:74">
      <c r="B17" t="e">
        <f>IF(Dashboard!$P$4="All",Data!G568,IF(Data!K568=Dashboard!$P$4,Data!G568,NA()))</f>
        <v>#N/A</v>
      </c>
      <c r="C17" t="str">
        <f t="shared" si="0"/>
        <v/>
      </c>
      <c r="D17" t="str">
        <f t="shared" si="1"/>
        <v/>
      </c>
      <c r="E17" t="str">
        <f t="shared" si="2"/>
        <v/>
      </c>
      <c r="F17" t="str">
        <f>IF(C17&lt;&gt;"",Data!$M568,"")</f>
        <v/>
      </c>
      <c r="G17" s="13" t="s">
        <v>392</v>
      </c>
      <c r="K17">
        <f>IF(Dashboard!$R$4="All",Data!G568,IF(Data!K568=Dashboard!$R$4,Data!G568,NA()))</f>
        <v>33099.743713412965</v>
      </c>
      <c r="L17">
        <f t="shared" si="3"/>
        <v>33099.743713412965</v>
      </c>
      <c r="M17" t="str">
        <f t="shared" si="4"/>
        <v/>
      </c>
      <c r="N17">
        <f t="shared" si="5"/>
        <v>33099.743713412965</v>
      </c>
      <c r="O17">
        <f>IF(L17&lt;&gt;"",Data!$M568,"")</f>
        <v>10</v>
      </c>
      <c r="P17" s="13" t="s">
        <v>1208</v>
      </c>
      <c r="T17">
        <f>IF(OR(Dashboard!$P$4="All",Dashboard!$R$4="All"),NA(),IF(OR(Data!K568&lt;&gt;Dashboard!$P$4,Data!K568&lt;&gt;Dashboard!$R$4),Data!G568,NA()))</f>
        <v>33099.743713412965</v>
      </c>
      <c r="U17" s="11"/>
      <c r="W17" s="13" t="s">
        <v>851</v>
      </c>
      <c r="Z17" s="13"/>
      <c r="AA17" s="13"/>
      <c r="AB17" s="10">
        <f t="shared" si="10"/>
        <v>14</v>
      </c>
      <c r="AC17" s="13" t="s">
        <v>292</v>
      </c>
      <c r="AD17" s="8">
        <v>78000</v>
      </c>
      <c r="AI17" s="16" t="s">
        <v>4023</v>
      </c>
      <c r="AJ17" s="15">
        <f>IF(AJ5="",NA(),IF(COUNT(AJ25:AJ2005)&lt;=15,0,IF(AJ24="",NA(),AJ10-AJ9)))</f>
        <v>36000</v>
      </c>
      <c r="AK17" s="15"/>
      <c r="AL17" s="15">
        <f t="shared" ref="AL17:BB17" si="45">IF(AL5="",NA(),IF(COUNT(AL25:AL2005)&lt;=15,0,IF(AL24="",NA(),AL10-AL9)))</f>
        <v>37500</v>
      </c>
      <c r="AM17" s="15"/>
      <c r="AN17" s="15">
        <f t="shared" si="45"/>
        <v>22870</v>
      </c>
      <c r="AO17" s="15"/>
      <c r="AP17" s="15">
        <f t="shared" si="45"/>
        <v>74000</v>
      </c>
      <c r="AQ17" s="15"/>
      <c r="AR17" s="15">
        <f t="shared" si="45"/>
        <v>33750</v>
      </c>
      <c r="AS17" s="15"/>
      <c r="AT17" s="15">
        <f t="shared" si="45"/>
        <v>14000</v>
      </c>
      <c r="AU17" s="15"/>
      <c r="AV17" s="15">
        <f t="shared" si="45"/>
        <v>57750</v>
      </c>
      <c r="AW17" s="15"/>
      <c r="AX17" s="15">
        <f t="shared" si="45"/>
        <v>41000</v>
      </c>
      <c r="AY17" s="15"/>
      <c r="AZ17" s="15">
        <f t="shared" si="45"/>
        <v>0</v>
      </c>
      <c r="BA17" s="15"/>
      <c r="BB17" s="15">
        <f t="shared" si="45"/>
        <v>0</v>
      </c>
      <c r="BC17" s="15"/>
      <c r="BD17" s="16" t="s">
        <v>4023</v>
      </c>
      <c r="BE17" s="48">
        <f t="shared" si="15"/>
        <v>36000</v>
      </c>
      <c r="BF17" s="48">
        <f t="shared" si="16"/>
        <v>37500</v>
      </c>
      <c r="BG17" s="48">
        <f t="shared" si="17"/>
        <v>22870</v>
      </c>
      <c r="BH17" s="48">
        <f t="shared" si="18"/>
        <v>74000</v>
      </c>
      <c r="BI17" s="48">
        <f t="shared" si="19"/>
        <v>33750</v>
      </c>
      <c r="BJ17" s="48">
        <f t="shared" si="20"/>
        <v>14000</v>
      </c>
      <c r="BK17" s="48">
        <f t="shared" si="21"/>
        <v>57750</v>
      </c>
      <c r="BL17" s="48">
        <f t="shared" si="22"/>
        <v>41000</v>
      </c>
      <c r="BM17">
        <f t="shared" si="23"/>
        <v>0</v>
      </c>
      <c r="BN17">
        <f t="shared" si="24"/>
        <v>0</v>
      </c>
      <c r="BQ17" s="16" t="s">
        <v>4023</v>
      </c>
      <c r="BR17" s="48">
        <f>IF(BR6&lt;=15,0,BR10-BR9)</f>
        <v>39500</v>
      </c>
      <c r="BS17" s="48">
        <f t="shared" ref="BS17:BV17" si="46">IF(BS6&lt;=15,0,BS10-BS9)</f>
        <v>38000</v>
      </c>
      <c r="BT17" s="48">
        <f t="shared" si="46"/>
        <v>40000</v>
      </c>
      <c r="BU17" s="48">
        <f t="shared" si="46"/>
        <v>32875</v>
      </c>
      <c r="BV17" s="48">
        <f t="shared" si="46"/>
        <v>0</v>
      </c>
    </row>
    <row r="18" spans="2:74">
      <c r="B18" t="e">
        <f>IF(Dashboard!$P$4="All",Data!G569,IF(Data!K569=Dashboard!$P$4,Data!G569,NA()))</f>
        <v>#N/A</v>
      </c>
      <c r="C18" t="str">
        <f t="shared" si="0"/>
        <v/>
      </c>
      <c r="D18" t="str">
        <f t="shared" si="1"/>
        <v/>
      </c>
      <c r="E18" t="str">
        <f t="shared" si="2"/>
        <v/>
      </c>
      <c r="F18" t="str">
        <f>IF(C18&lt;&gt;"",Data!$M569,"")</f>
        <v/>
      </c>
      <c r="G18" s="13" t="s">
        <v>1922</v>
      </c>
      <c r="K18" t="e">
        <f>IF(Dashboard!$R$4="All",Data!G569,IF(Data!K569=Dashboard!$R$4,Data!G569,NA()))</f>
        <v>#N/A</v>
      </c>
      <c r="L18" t="str">
        <f t="shared" si="3"/>
        <v/>
      </c>
      <c r="M18" t="str">
        <f t="shared" si="4"/>
        <v/>
      </c>
      <c r="N18" t="str">
        <f t="shared" si="5"/>
        <v/>
      </c>
      <c r="O18" t="str">
        <f>IF(L18&lt;&gt;"",Data!$M569,"")</f>
        <v/>
      </c>
      <c r="P18" s="13" t="s">
        <v>1222</v>
      </c>
      <c r="T18">
        <f>IF(OR(Dashboard!$P$4="All",Dashboard!$R$4="All"),NA(),IF(OR(Data!K569&lt;&gt;Dashboard!$P$4,Data!K569&lt;&gt;Dashboard!$R$4),Data!G569,NA()))</f>
        <v>4285</v>
      </c>
      <c r="U18" s="11"/>
      <c r="W18" s="13" t="s">
        <v>1671</v>
      </c>
      <c r="Z18" s="13"/>
      <c r="AA18" s="13"/>
      <c r="AB18" s="10">
        <f t="shared" si="10"/>
        <v>15</v>
      </c>
      <c r="AC18" s="13" t="s">
        <v>548</v>
      </c>
      <c r="AD18" s="8">
        <v>78000</v>
      </c>
      <c r="AI18" s="16" t="s">
        <v>4024</v>
      </c>
      <c r="AJ18" s="15">
        <f>IF(AJ5="",NA(),IF(COUNT(AJ25:AJ2005)&lt;=15,0,IF(AJ24="",NA(),AJ13-AJ12)))</f>
        <v>85000</v>
      </c>
      <c r="AK18" s="15"/>
      <c r="AL18" s="15">
        <f t="shared" ref="AL18:BB18" si="47">IF(AL5="",NA(),IF(COUNT(AL25:AL2005)&lt;=15,0,IF(AL24="",NA(),AL13-AL12)))</f>
        <v>310000</v>
      </c>
      <c r="AM18" s="15"/>
      <c r="AN18" s="15">
        <f t="shared" si="47"/>
        <v>75000</v>
      </c>
      <c r="AO18" s="15"/>
      <c r="AP18" s="15">
        <f t="shared" si="47"/>
        <v>150000</v>
      </c>
      <c r="AQ18" s="15"/>
      <c r="AR18" s="15">
        <f t="shared" si="47"/>
        <v>45000</v>
      </c>
      <c r="AS18" s="15"/>
      <c r="AT18" s="15">
        <f t="shared" si="47"/>
        <v>327000</v>
      </c>
      <c r="AU18" s="15"/>
      <c r="AV18" s="15">
        <f t="shared" si="47"/>
        <v>136750</v>
      </c>
      <c r="AW18" s="15"/>
      <c r="AX18" s="15">
        <f t="shared" si="47"/>
        <v>115000</v>
      </c>
      <c r="AY18" s="15"/>
      <c r="AZ18" s="15">
        <f t="shared" si="47"/>
        <v>0</v>
      </c>
      <c r="BA18" s="15"/>
      <c r="BB18" s="15">
        <f t="shared" si="47"/>
        <v>0</v>
      </c>
      <c r="BC18" s="15"/>
      <c r="BD18" s="16" t="s">
        <v>4024</v>
      </c>
      <c r="BE18" s="48">
        <f t="shared" si="15"/>
        <v>85000</v>
      </c>
      <c r="BF18" s="48">
        <f t="shared" si="16"/>
        <v>310000</v>
      </c>
      <c r="BG18" s="48">
        <f t="shared" si="17"/>
        <v>75000</v>
      </c>
      <c r="BH18" s="48">
        <f t="shared" si="18"/>
        <v>150000</v>
      </c>
      <c r="BI18" s="48">
        <f t="shared" si="19"/>
        <v>45000</v>
      </c>
      <c r="BJ18" s="48">
        <f t="shared" si="20"/>
        <v>327000</v>
      </c>
      <c r="BK18" s="48">
        <f t="shared" si="21"/>
        <v>136750</v>
      </c>
      <c r="BL18" s="48">
        <f t="shared" si="22"/>
        <v>115000</v>
      </c>
      <c r="BM18">
        <f t="shared" si="23"/>
        <v>0</v>
      </c>
      <c r="BN18">
        <f t="shared" si="24"/>
        <v>0</v>
      </c>
      <c r="BQ18" s="16" t="s">
        <v>4024</v>
      </c>
      <c r="BR18" s="48">
        <f>IF(BR6&lt;=15,0,BR13-BR12)</f>
        <v>309500</v>
      </c>
      <c r="BS18" s="48">
        <f t="shared" ref="BS18:BV18" si="48">IF(BS6&lt;=15,0,BS13-BS12)</f>
        <v>210000</v>
      </c>
      <c r="BT18" s="48">
        <f t="shared" si="48"/>
        <v>140000</v>
      </c>
      <c r="BU18" s="48">
        <f t="shared" si="48"/>
        <v>323250</v>
      </c>
      <c r="BV18" s="48">
        <f t="shared" si="48"/>
        <v>0</v>
      </c>
    </row>
    <row r="19" spans="2:74">
      <c r="B19" t="e">
        <f>IF(Dashboard!$P$4="All",Data!G570,IF(Data!K570=Dashboard!$P$4,Data!G570,NA()))</f>
        <v>#N/A</v>
      </c>
      <c r="C19" t="str">
        <f t="shared" si="0"/>
        <v/>
      </c>
      <c r="D19" t="str">
        <f t="shared" si="1"/>
        <v/>
      </c>
      <c r="E19" t="str">
        <f t="shared" si="2"/>
        <v/>
      </c>
      <c r="F19" t="str">
        <f>IF(C19&lt;&gt;"",Data!$M570,"")</f>
        <v/>
      </c>
      <c r="G19" s="13" t="s">
        <v>1014</v>
      </c>
      <c r="K19" t="e">
        <f>IF(Dashboard!$R$4="All",Data!G570,IF(Data!K570=Dashboard!$R$4,Data!G570,NA()))</f>
        <v>#N/A</v>
      </c>
      <c r="L19" t="str">
        <f t="shared" si="3"/>
        <v/>
      </c>
      <c r="M19" t="str">
        <f t="shared" si="4"/>
        <v/>
      </c>
      <c r="N19" t="str">
        <f t="shared" si="5"/>
        <v/>
      </c>
      <c r="O19" t="str">
        <f>IF(L19&lt;&gt;"",Data!$M570,"")</f>
        <v/>
      </c>
      <c r="P19" s="13" t="s">
        <v>280</v>
      </c>
      <c r="T19">
        <f>IF(OR(Dashboard!$P$4="All",Dashboard!$R$4="All"),NA(),IF(OR(Data!K570&lt;&gt;Dashboard!$P$4,Data!K570&lt;&gt;Dashboard!$R$4),Data!G570,NA()))</f>
        <v>6000</v>
      </c>
      <c r="U19" s="11"/>
      <c r="W19" s="13" t="s">
        <v>143</v>
      </c>
      <c r="Z19" s="13"/>
      <c r="AA19" s="13"/>
      <c r="AB19" s="10">
        <f t="shared" si="10"/>
        <v>16</v>
      </c>
      <c r="AC19" s="13" t="s">
        <v>515</v>
      </c>
      <c r="AD19" s="8">
        <v>75389.415540034111</v>
      </c>
      <c r="AI19" s="14" t="s">
        <v>4025</v>
      </c>
      <c r="AJ19" s="15">
        <f>IF(AJ24="",NA(),0.5)</f>
        <v>0.5</v>
      </c>
      <c r="AK19" s="15"/>
      <c r="AL19" s="15">
        <f>IF(AL24="",NA(),AJ19+1)</f>
        <v>1.5</v>
      </c>
      <c r="AM19" s="15"/>
      <c r="AN19" s="15">
        <f t="shared" ref="AN19:BB19" si="49">IF(AN24="",NA(),AL19+1)</f>
        <v>2.5</v>
      </c>
      <c r="AO19" s="15"/>
      <c r="AP19" s="15">
        <f t="shared" si="49"/>
        <v>3.5</v>
      </c>
      <c r="AQ19" s="15"/>
      <c r="AR19" s="15">
        <f t="shared" si="49"/>
        <v>4.5</v>
      </c>
      <c r="AS19" s="15"/>
      <c r="AT19" s="15">
        <f t="shared" si="49"/>
        <v>5.5</v>
      </c>
      <c r="AU19" s="15"/>
      <c r="AV19" s="15">
        <f t="shared" si="49"/>
        <v>6.5</v>
      </c>
      <c r="AW19" s="15"/>
      <c r="AX19" s="15">
        <f t="shared" si="49"/>
        <v>7.5</v>
      </c>
      <c r="AY19" s="15"/>
      <c r="AZ19" s="15">
        <f t="shared" si="49"/>
        <v>8.5</v>
      </c>
      <c r="BA19" s="15"/>
      <c r="BB19" s="15">
        <f t="shared" si="49"/>
        <v>9.5</v>
      </c>
      <c r="BC19" s="15"/>
      <c r="BD19" s="14" t="s">
        <v>4025</v>
      </c>
      <c r="BE19">
        <f t="shared" si="15"/>
        <v>0.5</v>
      </c>
      <c r="BF19">
        <f t="shared" si="16"/>
        <v>1.5</v>
      </c>
      <c r="BG19">
        <f t="shared" si="17"/>
        <v>2.5</v>
      </c>
      <c r="BH19">
        <f t="shared" si="18"/>
        <v>3.5</v>
      </c>
      <c r="BI19">
        <f t="shared" si="19"/>
        <v>4.5</v>
      </c>
      <c r="BJ19">
        <f t="shared" si="20"/>
        <v>5.5</v>
      </c>
      <c r="BK19">
        <f t="shared" si="21"/>
        <v>6.5</v>
      </c>
      <c r="BL19">
        <f t="shared" si="22"/>
        <v>7.5</v>
      </c>
      <c r="BM19">
        <f t="shared" si="23"/>
        <v>8.5</v>
      </c>
      <c r="BN19">
        <f t="shared" si="24"/>
        <v>9.5</v>
      </c>
      <c r="BQ19" s="14" t="s">
        <v>4028</v>
      </c>
      <c r="BR19" s="48">
        <f>IF(ISNA(BR5),NA(),1)</f>
        <v>1</v>
      </c>
      <c r="BS19" s="48">
        <f>IF(ISNA(BS5),NA(),BR19+1)</f>
        <v>2</v>
      </c>
      <c r="BT19" s="48">
        <f t="shared" ref="BT19:BV19" si="50">IF(ISNA(BT5),NA(),BS19+1)</f>
        <v>3</v>
      </c>
      <c r="BU19" s="48">
        <f t="shared" si="50"/>
        <v>4</v>
      </c>
      <c r="BV19" s="48">
        <f t="shared" si="50"/>
        <v>5</v>
      </c>
    </row>
    <row r="20" spans="2:74">
      <c r="B20" t="e">
        <f>IF(Dashboard!$P$4="All",Data!G571,IF(Data!K571=Dashboard!$P$4,Data!G571,NA()))</f>
        <v>#N/A</v>
      </c>
      <c r="C20" t="str">
        <f t="shared" si="0"/>
        <v/>
      </c>
      <c r="D20" t="str">
        <f t="shared" si="1"/>
        <v/>
      </c>
      <c r="E20" t="str">
        <f t="shared" si="2"/>
        <v/>
      </c>
      <c r="F20" t="str">
        <f>IF(C20&lt;&gt;"",Data!$M571,"")</f>
        <v/>
      </c>
      <c r="G20" s="13" t="s">
        <v>95</v>
      </c>
      <c r="K20" t="e">
        <f>IF(Dashboard!$R$4="All",Data!G571,IF(Data!K571=Dashboard!$R$4,Data!G571,NA()))</f>
        <v>#N/A</v>
      </c>
      <c r="L20" t="str">
        <f t="shared" si="3"/>
        <v/>
      </c>
      <c r="M20" t="str">
        <f t="shared" si="4"/>
        <v/>
      </c>
      <c r="N20" t="str">
        <f t="shared" si="5"/>
        <v/>
      </c>
      <c r="O20" t="str">
        <f>IF(L20&lt;&gt;"",Data!$M571,"")</f>
        <v/>
      </c>
      <c r="P20" s="13" t="s">
        <v>604</v>
      </c>
      <c r="T20">
        <f>IF(OR(Dashboard!$P$4="All",Dashboard!$R$4="All"),NA(),IF(OR(Data!K571&lt;&gt;Dashboard!$P$4,Data!K571&lt;&gt;Dashboard!$R$4),Data!G571,NA()))</f>
        <v>22438.012440857987</v>
      </c>
      <c r="U20" s="11"/>
      <c r="W20" s="13" t="s">
        <v>1707</v>
      </c>
      <c r="Z20" s="13"/>
      <c r="AA20" s="13"/>
      <c r="AB20" s="10">
        <f t="shared" si="10"/>
        <v>17</v>
      </c>
      <c r="AC20" s="13" t="s">
        <v>628</v>
      </c>
      <c r="AD20" s="8">
        <v>73006.431203838249</v>
      </c>
      <c r="BD20" s="16" t="s">
        <v>4073</v>
      </c>
      <c r="BE20">
        <f>IF($BD$22=FALSE,NA(),IF(ISNA(VLOOKUP(BE5,$BZ$5:$CB$8,3,FALSE)),NA(),VLOOKUP(BE5,$BZ$5:$CB$8,3,FALSE)))</f>
        <v>72829.440000000002</v>
      </c>
      <c r="BF20" t="e">
        <f t="shared" ref="BF20:BN20" si="51">IF($BD$22=FALSE,NA(),IF(ISNA(VLOOKUP(BF5,$BZ$5:$CB$8,3,FALSE)),NA(),VLOOKUP(BF5,$BZ$5:$CB$8,3,FALSE)))</f>
        <v>#N/A</v>
      </c>
      <c r="BG20">
        <f t="shared" si="51"/>
        <v>61241.039999999994</v>
      </c>
      <c r="BH20" t="e">
        <f t="shared" si="51"/>
        <v>#N/A</v>
      </c>
      <c r="BI20">
        <f t="shared" si="51"/>
        <v>87675.12000000001</v>
      </c>
      <c r="BJ20" t="e">
        <f t="shared" si="51"/>
        <v>#N/A</v>
      </c>
      <c r="BK20" t="e">
        <f t="shared" si="51"/>
        <v>#N/A</v>
      </c>
      <c r="BL20" t="e">
        <f t="shared" si="51"/>
        <v>#N/A</v>
      </c>
      <c r="BM20" t="e">
        <f t="shared" si="51"/>
        <v>#N/A</v>
      </c>
      <c r="BN20" t="e">
        <f t="shared" si="51"/>
        <v>#N/A</v>
      </c>
      <c r="BQ20" s="14" t="s">
        <v>4031</v>
      </c>
      <c r="BR20" s="22">
        <f>IF(ISNA(BR5),NA(),0.5)</f>
        <v>0.5</v>
      </c>
      <c r="BS20" s="22">
        <f>IF(ISNA(BS5),NA(),BR20+1)</f>
        <v>1.5</v>
      </c>
      <c r="BT20" s="22">
        <f t="shared" ref="BT20:BV20" si="52">IF(ISNA(BT5),NA(),BS20+1)</f>
        <v>2.5</v>
      </c>
      <c r="BU20" s="22">
        <f t="shared" si="52"/>
        <v>3.5</v>
      </c>
      <c r="BV20" s="22">
        <f t="shared" si="52"/>
        <v>4.5</v>
      </c>
    </row>
    <row r="21" spans="2:74">
      <c r="B21" t="e">
        <f>IF(Dashboard!$P$4="All",Data!G572,IF(Data!K572=Dashboard!$P$4,Data!G572,NA()))</f>
        <v>#N/A</v>
      </c>
      <c r="C21" t="str">
        <f t="shared" si="0"/>
        <v/>
      </c>
      <c r="D21" t="str">
        <f t="shared" si="1"/>
        <v/>
      </c>
      <c r="E21" t="str">
        <f t="shared" si="2"/>
        <v/>
      </c>
      <c r="F21" t="str">
        <f>IF(C21&lt;&gt;"",Data!$M572,"")</f>
        <v/>
      </c>
      <c r="G21" s="13" t="s">
        <v>43</v>
      </c>
      <c r="K21" t="e">
        <f>IF(Dashboard!$R$4="All",Data!G572,IF(Data!K572=Dashboard!$R$4,Data!G572,NA()))</f>
        <v>#N/A</v>
      </c>
      <c r="L21" t="str">
        <f t="shared" si="3"/>
        <v/>
      </c>
      <c r="M21" t="str">
        <f t="shared" si="4"/>
        <v/>
      </c>
      <c r="N21" t="str">
        <f t="shared" si="5"/>
        <v/>
      </c>
      <c r="O21" t="str">
        <f>IF(L21&lt;&gt;"",Data!$M572,"")</f>
        <v/>
      </c>
      <c r="P21" s="13" t="s">
        <v>1232</v>
      </c>
      <c r="T21">
        <f>IF(OR(Dashboard!$P$4="All",Dashboard!$R$4="All"),NA(),IF(OR(Data!K572&lt;&gt;Dashboard!$P$4,Data!K572&lt;&gt;Dashboard!$R$4),Data!G572,NA()))</f>
        <v>90000</v>
      </c>
      <c r="U21" s="11"/>
      <c r="W21" s="13" t="s">
        <v>799</v>
      </c>
      <c r="Z21" s="13"/>
      <c r="AA21" s="13"/>
      <c r="AB21" s="10">
        <f t="shared" si="10"/>
        <v>18</v>
      </c>
      <c r="AC21" s="13" t="s">
        <v>299</v>
      </c>
      <c r="AD21" s="8">
        <v>73000</v>
      </c>
      <c r="AI21" s="12" t="s">
        <v>4004</v>
      </c>
      <c r="AJ21" t="s">
        <v>15</v>
      </c>
      <c r="BD21" s="16" t="s">
        <v>4074</v>
      </c>
      <c r="BE21" t="str">
        <f>IF($BD$22=FALSE,NA(),IF(ISNA(VLOOKUP(BE5,$BZ$5:$CB$8,1,FALSE)),NA(),VLOOKUP(BE5,$BZ$5:$CB$8,1,FALSE)))</f>
        <v>Analyst</v>
      </c>
      <c r="BF21" t="e">
        <f t="shared" ref="BF21:BN21" si="53">IF($BD$22=FALSE,NA(),IF(ISNA(VLOOKUP(BF5,$BZ$5:$CB$8,1,FALSE)),NA(),VLOOKUP(BF5,$BZ$5:$CB$8,1,FALSE)))</f>
        <v>#N/A</v>
      </c>
      <c r="BG21" t="str">
        <f t="shared" si="53"/>
        <v>Accountant</v>
      </c>
      <c r="BH21" t="e">
        <f t="shared" si="53"/>
        <v>#N/A</v>
      </c>
      <c r="BI21" t="str">
        <f t="shared" si="53"/>
        <v>Engineer</v>
      </c>
      <c r="BJ21" t="e">
        <f t="shared" si="53"/>
        <v>#N/A</v>
      </c>
      <c r="BK21" t="e">
        <f t="shared" si="53"/>
        <v>#N/A</v>
      </c>
      <c r="BL21" t="e">
        <f t="shared" si="53"/>
        <v>#N/A</v>
      </c>
      <c r="BM21" t="e">
        <f t="shared" si="53"/>
        <v>#N/A</v>
      </c>
      <c r="BN21" t="e">
        <f t="shared" si="53"/>
        <v>#N/A</v>
      </c>
      <c r="BQ21" s="12" t="s">
        <v>4004</v>
      </c>
      <c r="BR21" t="s">
        <v>15</v>
      </c>
    </row>
    <row r="22" spans="2:74">
      <c r="B22" t="e">
        <f>IF(Dashboard!$P$4="All",Data!G573,IF(Data!K573=Dashboard!$P$4,Data!G573,NA()))</f>
        <v>#N/A</v>
      </c>
      <c r="C22" t="str">
        <f t="shared" si="0"/>
        <v/>
      </c>
      <c r="D22" t="str">
        <f t="shared" si="1"/>
        <v/>
      </c>
      <c r="E22" t="str">
        <f t="shared" si="2"/>
        <v/>
      </c>
      <c r="F22" t="str">
        <f>IF(C22&lt;&gt;"",Data!$M573,"")</f>
        <v/>
      </c>
      <c r="G22" s="13" t="s">
        <v>1090</v>
      </c>
      <c r="K22" t="e">
        <f>IF(Dashboard!$R$4="All",Data!G573,IF(Data!K573=Dashboard!$R$4,Data!G573,NA()))</f>
        <v>#N/A</v>
      </c>
      <c r="L22" t="str">
        <f t="shared" si="3"/>
        <v/>
      </c>
      <c r="M22" t="str">
        <f t="shared" si="4"/>
        <v/>
      </c>
      <c r="N22" t="str">
        <f t="shared" si="5"/>
        <v/>
      </c>
      <c r="O22" t="str">
        <f>IF(L22&lt;&gt;"",Data!$M573,"")</f>
        <v/>
      </c>
      <c r="P22" s="13" t="s">
        <v>865</v>
      </c>
      <c r="T22">
        <f>IF(OR(Dashboard!$P$4="All",Dashboard!$R$4="All"),NA(),IF(OR(Data!K573&lt;&gt;Dashboard!$P$4,Data!K573&lt;&gt;Dashboard!$R$4),Data!G573,NA()))</f>
        <v>150000</v>
      </c>
      <c r="U22" s="11"/>
      <c r="W22" s="13" t="s">
        <v>88</v>
      </c>
      <c r="X22" s="13"/>
      <c r="Z22" s="13"/>
      <c r="AA22" s="13"/>
      <c r="AB22" s="10">
        <f t="shared" si="10"/>
        <v>19</v>
      </c>
      <c r="AC22" s="13" t="s">
        <v>15</v>
      </c>
      <c r="AD22" s="8">
        <v>72738.12965964344</v>
      </c>
      <c r="BC22" t="s">
        <v>4075</v>
      </c>
      <c r="BD22" s="18" t="b">
        <v>1</v>
      </c>
    </row>
    <row r="23" spans="2:74">
      <c r="B23" t="e">
        <f>IF(Dashboard!$P$4="All",Data!G574,IF(Data!K574=Dashboard!$P$4,Data!G574,NA()))</f>
        <v>#N/A</v>
      </c>
      <c r="C23" t="str">
        <f t="shared" si="0"/>
        <v/>
      </c>
      <c r="D23" t="str">
        <f t="shared" si="1"/>
        <v/>
      </c>
      <c r="E23" t="str">
        <f t="shared" si="2"/>
        <v/>
      </c>
      <c r="F23" t="str">
        <f>IF(C23&lt;&gt;"",Data!$M574,"")</f>
        <v/>
      </c>
      <c r="G23" s="13" t="s">
        <v>1702</v>
      </c>
      <c r="K23" t="e">
        <f>IF(Dashboard!$R$4="All",Data!G574,IF(Data!K574=Dashboard!$R$4,Data!G574,NA()))</f>
        <v>#N/A</v>
      </c>
      <c r="L23" t="str">
        <f t="shared" si="3"/>
        <v/>
      </c>
      <c r="M23" t="str">
        <f t="shared" si="4"/>
        <v/>
      </c>
      <c r="N23" t="str">
        <f t="shared" si="5"/>
        <v/>
      </c>
      <c r="O23" t="str">
        <f>IF(L23&lt;&gt;"",Data!$M574,"")</f>
        <v/>
      </c>
      <c r="P23" s="13" t="s">
        <v>283</v>
      </c>
      <c r="T23">
        <f>IF(OR(Dashboard!$P$4="All",Dashboard!$R$4="All"),NA(),IF(OR(Data!K574&lt;&gt;Dashboard!$P$4,Data!K574&lt;&gt;Dashboard!$R$4),Data!G574,NA()))</f>
        <v>132588.25533234264</v>
      </c>
      <c r="U23" s="11"/>
      <c r="W23" s="13" t="s">
        <v>1497</v>
      </c>
      <c r="X23" s="13"/>
      <c r="Z23" s="13"/>
      <c r="AA23" s="13"/>
      <c r="AB23" s="10">
        <f t="shared" si="10"/>
        <v>20</v>
      </c>
      <c r="AC23" s="13" t="s">
        <v>672</v>
      </c>
      <c r="AD23" s="8">
        <v>70287.554967112796</v>
      </c>
      <c r="AJ23" t="s">
        <v>20</v>
      </c>
      <c r="AL23" t="s">
        <v>52</v>
      </c>
      <c r="AN23" t="s">
        <v>310</v>
      </c>
      <c r="AP23" t="s">
        <v>4001</v>
      </c>
      <c r="AR23" t="s">
        <v>279</v>
      </c>
      <c r="AT23" t="s">
        <v>67</v>
      </c>
      <c r="AV23" t="s">
        <v>356</v>
      </c>
      <c r="AX23" t="s">
        <v>488</v>
      </c>
      <c r="AZ23" t="s">
        <v>3999</v>
      </c>
      <c r="BB23" t="s">
        <v>4000</v>
      </c>
      <c r="BQ23" s="12" t="s">
        <v>4010</v>
      </c>
    </row>
    <row r="24" spans="2:74">
      <c r="B24" t="e">
        <f>IF(Dashboard!$P$4="All",Data!G575,IF(Data!K575=Dashboard!$P$4,Data!G575,NA()))</f>
        <v>#N/A</v>
      </c>
      <c r="C24" t="str">
        <f t="shared" si="0"/>
        <v/>
      </c>
      <c r="D24" t="str">
        <f t="shared" si="1"/>
        <v/>
      </c>
      <c r="E24" t="str">
        <f t="shared" si="2"/>
        <v/>
      </c>
      <c r="F24" t="str">
        <f>IF(C24&lt;&gt;"",Data!$M575,"")</f>
        <v/>
      </c>
      <c r="G24" s="13" t="s">
        <v>1475</v>
      </c>
      <c r="K24" t="e">
        <f>IF(Dashboard!$R$4="All",Data!G575,IF(Data!K575=Dashboard!$R$4,Data!G575,NA()))</f>
        <v>#N/A</v>
      </c>
      <c r="L24" t="str">
        <f t="shared" si="3"/>
        <v/>
      </c>
      <c r="M24" t="str">
        <f t="shared" si="4"/>
        <v/>
      </c>
      <c r="N24" t="str">
        <f t="shared" si="5"/>
        <v/>
      </c>
      <c r="O24" t="str">
        <f>IF(L24&lt;&gt;"",Data!$M575,"")</f>
        <v/>
      </c>
      <c r="P24" s="13" t="s">
        <v>471</v>
      </c>
      <c r="T24">
        <f>IF(OR(Dashboard!$P$4="All",Dashboard!$R$4="All"),NA(),IF(OR(Data!K575&lt;&gt;Dashboard!$P$4,Data!K575&lt;&gt;Dashboard!$R$4),Data!G575,NA()))</f>
        <v>45000</v>
      </c>
      <c r="U24" s="11"/>
      <c r="W24" s="13" t="s">
        <v>639</v>
      </c>
      <c r="X24" s="13"/>
      <c r="Z24" s="13"/>
      <c r="AA24" s="13"/>
      <c r="AB24" s="10">
        <f t="shared" si="10"/>
        <v>21</v>
      </c>
      <c r="AC24" s="13" t="s">
        <v>654</v>
      </c>
      <c r="AD24" s="8">
        <v>67564.774036395989</v>
      </c>
      <c r="AJ24" t="s">
        <v>4010</v>
      </c>
      <c r="AK24" t="s">
        <v>4026</v>
      </c>
      <c r="AL24" t="s">
        <v>4010</v>
      </c>
      <c r="AM24" t="s">
        <v>4026</v>
      </c>
      <c r="AN24" t="s">
        <v>4010</v>
      </c>
      <c r="AO24" t="s">
        <v>4026</v>
      </c>
      <c r="AP24" t="s">
        <v>4010</v>
      </c>
      <c r="AQ24" t="s">
        <v>4026</v>
      </c>
      <c r="AR24" t="s">
        <v>4010</v>
      </c>
      <c r="AS24" t="s">
        <v>4026</v>
      </c>
      <c r="AT24" t="s">
        <v>4010</v>
      </c>
      <c r="AU24" t="s">
        <v>4026</v>
      </c>
      <c r="AV24" t="s">
        <v>4010</v>
      </c>
      <c r="AW24" t="s">
        <v>4026</v>
      </c>
      <c r="AX24" t="s">
        <v>4010</v>
      </c>
      <c r="AY24" t="s">
        <v>4026</v>
      </c>
      <c r="AZ24" t="s">
        <v>4010</v>
      </c>
      <c r="BA24" t="s">
        <v>4026</v>
      </c>
      <c r="BB24" t="s">
        <v>4010</v>
      </c>
      <c r="BC24" t="s">
        <v>4026</v>
      </c>
      <c r="BR24" t="s">
        <v>25</v>
      </c>
      <c r="BS24" t="s">
        <v>18</v>
      </c>
      <c r="BT24" t="s">
        <v>9</v>
      </c>
      <c r="BU24" t="s">
        <v>13</v>
      </c>
      <c r="BV24" t="s">
        <v>186</v>
      </c>
    </row>
    <row r="25" spans="2:74">
      <c r="B25" t="e">
        <f>IF(Dashboard!$P$4="All",Data!G576,IF(Data!K576=Dashboard!$P$4,Data!G576,NA()))</f>
        <v>#N/A</v>
      </c>
      <c r="C25" t="str">
        <f t="shared" si="0"/>
        <v/>
      </c>
      <c r="D25" t="str">
        <f t="shared" si="1"/>
        <v/>
      </c>
      <c r="E25" t="str">
        <f t="shared" si="2"/>
        <v/>
      </c>
      <c r="F25" t="str">
        <f>IF(C25&lt;&gt;"",Data!$M576,"")</f>
        <v/>
      </c>
      <c r="G25" s="13" t="s">
        <v>1386</v>
      </c>
      <c r="K25" t="e">
        <f>IF(Dashboard!$R$4="All",Data!G576,IF(Data!K576=Dashboard!$R$4,Data!G576,NA()))</f>
        <v>#N/A</v>
      </c>
      <c r="L25" t="str">
        <f t="shared" si="3"/>
        <v/>
      </c>
      <c r="M25" t="str">
        <f t="shared" si="4"/>
        <v/>
      </c>
      <c r="N25" t="str">
        <f t="shared" si="5"/>
        <v/>
      </c>
      <c r="O25" t="str">
        <f>IF(L25&lt;&gt;"",Data!$M576,"")</f>
        <v/>
      </c>
      <c r="P25" s="13" t="s">
        <v>1255</v>
      </c>
      <c r="T25">
        <f>IF(OR(Dashboard!$P$4="All",Dashboard!$R$4="All"),NA(),IF(OR(Data!K576&lt;&gt;Dashboard!$P$4,Data!K576&lt;&gt;Dashboard!$R$4),Data!G576,NA()))</f>
        <v>50000</v>
      </c>
      <c r="U25" s="11"/>
      <c r="W25" s="13" t="s">
        <v>1123</v>
      </c>
      <c r="X25" s="13"/>
      <c r="Z25" s="13"/>
      <c r="AA25" s="13"/>
      <c r="AB25" s="10">
        <f t="shared" si="10"/>
        <v>22</v>
      </c>
      <c r="AC25" s="13" t="s">
        <v>71</v>
      </c>
      <c r="AD25" s="8">
        <v>67240.730112795849</v>
      </c>
      <c r="AI25" s="13" t="s">
        <v>2011</v>
      </c>
      <c r="AJ25" s="8">
        <v>58000</v>
      </c>
      <c r="AK25" s="8">
        <v>1</v>
      </c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Q25" s="13" t="s">
        <v>2011</v>
      </c>
      <c r="BR25" s="8"/>
      <c r="BS25" s="8"/>
      <c r="BT25" s="8"/>
      <c r="BU25" s="8">
        <v>58000</v>
      </c>
      <c r="BV25" s="8"/>
    </row>
    <row r="26" spans="2:74">
      <c r="B26" t="e">
        <f>IF(Dashboard!$P$4="All",Data!G577,IF(Data!K577=Dashboard!$P$4,Data!G577,NA()))</f>
        <v>#N/A</v>
      </c>
      <c r="C26" t="str">
        <f t="shared" si="0"/>
        <v/>
      </c>
      <c r="D26" t="str">
        <f t="shared" si="1"/>
        <v/>
      </c>
      <c r="E26" t="str">
        <f t="shared" si="2"/>
        <v/>
      </c>
      <c r="F26" t="str">
        <f>IF(C26&lt;&gt;"",Data!$M577,"")</f>
        <v/>
      </c>
      <c r="G26" s="13" t="s">
        <v>1689</v>
      </c>
      <c r="K26" t="e">
        <f>IF(Dashboard!$R$4="All",Data!G577,IF(Data!K577=Dashboard!$R$4,Data!G577,NA()))</f>
        <v>#N/A</v>
      </c>
      <c r="L26" t="str">
        <f t="shared" si="3"/>
        <v/>
      </c>
      <c r="M26" t="str">
        <f t="shared" si="4"/>
        <v/>
      </c>
      <c r="N26" t="str">
        <f t="shared" si="5"/>
        <v/>
      </c>
      <c r="O26" t="str">
        <f>IF(L26&lt;&gt;"",Data!$M577,"")</f>
        <v/>
      </c>
      <c r="P26" s="13" t="s">
        <v>557</v>
      </c>
      <c r="T26">
        <f>IF(OR(Dashboard!$P$4="All",Dashboard!$R$4="All"),NA(),IF(OR(Data!K577&lt;&gt;Dashboard!$P$4,Data!K577&lt;&gt;Dashboard!$R$4),Data!G577,NA()))</f>
        <v>300000</v>
      </c>
      <c r="U26" s="11"/>
      <c r="W26" s="13" t="s">
        <v>184</v>
      </c>
      <c r="X26" s="13"/>
      <c r="Z26" s="13"/>
      <c r="AA26" s="13"/>
      <c r="AB26" s="10">
        <f t="shared" si="10"/>
        <v>23</v>
      </c>
      <c r="AC26" s="13" t="s">
        <v>416</v>
      </c>
      <c r="AD26" s="8">
        <v>66840</v>
      </c>
      <c r="AI26" s="13" t="s">
        <v>2013</v>
      </c>
      <c r="AJ26" s="8"/>
      <c r="AK26" s="8"/>
      <c r="AL26" s="8"/>
      <c r="AM26" s="8"/>
      <c r="AN26" s="8"/>
      <c r="AO26" s="8"/>
      <c r="AP26" s="8"/>
      <c r="AQ26" s="8"/>
      <c r="AR26" s="8">
        <v>54000</v>
      </c>
      <c r="AS26" s="8">
        <v>1</v>
      </c>
      <c r="AT26" s="8"/>
      <c r="AU26" s="8"/>
      <c r="AV26" s="8"/>
      <c r="AW26" s="8"/>
      <c r="AX26" s="8"/>
      <c r="AY26" s="8"/>
      <c r="AZ26" s="8"/>
      <c r="BA26" s="8"/>
      <c r="BB26" s="8"/>
      <c r="BC26" s="8"/>
      <c r="BQ26" s="13" t="s">
        <v>2013</v>
      </c>
      <c r="BR26" s="8"/>
      <c r="BS26" s="8"/>
      <c r="BT26" s="8"/>
      <c r="BU26" s="8">
        <v>54000</v>
      </c>
      <c r="BV26" s="8"/>
    </row>
    <row r="27" spans="2:74">
      <c r="B27" t="e">
        <f>IF(Dashboard!$P$4="All",Data!G578,IF(Data!K578=Dashboard!$P$4,Data!G578,NA()))</f>
        <v>#N/A</v>
      </c>
      <c r="C27" t="str">
        <f t="shared" si="0"/>
        <v/>
      </c>
      <c r="D27" t="str">
        <f t="shared" si="1"/>
        <v/>
      </c>
      <c r="E27" t="str">
        <f t="shared" si="2"/>
        <v/>
      </c>
      <c r="F27" t="str">
        <f>IF(C27&lt;&gt;"",Data!$M578,"")</f>
        <v/>
      </c>
      <c r="K27" t="e">
        <f>IF(Dashboard!$R$4="All",Data!G578,IF(Data!K578=Dashboard!$R$4,Data!G578,NA()))</f>
        <v>#N/A</v>
      </c>
      <c r="L27" t="str">
        <f t="shared" si="3"/>
        <v/>
      </c>
      <c r="M27" t="str">
        <f t="shared" si="4"/>
        <v/>
      </c>
      <c r="N27" t="str">
        <f t="shared" si="5"/>
        <v/>
      </c>
      <c r="O27" t="str">
        <f>IF(L27&lt;&gt;"",Data!$M578,"")</f>
        <v/>
      </c>
      <c r="P27" s="13" t="s">
        <v>1024</v>
      </c>
      <c r="T27">
        <f>IF(OR(Dashboard!$P$4="All",Dashboard!$R$4="All"),NA(),IF(OR(Data!K578&lt;&gt;Dashboard!$P$4,Data!K578&lt;&gt;Dashboard!$R$4),Data!G578,NA()))</f>
        <v>104030.78495306884</v>
      </c>
      <c r="U27" s="11"/>
      <c r="W27" s="13" t="s">
        <v>499</v>
      </c>
      <c r="X27" s="13"/>
      <c r="Z27" s="13"/>
      <c r="AA27" s="13"/>
      <c r="AB27" s="10">
        <f t="shared" si="10"/>
        <v>24</v>
      </c>
      <c r="AC27" s="13" t="s">
        <v>36</v>
      </c>
      <c r="AD27" s="8">
        <v>61652.484774262724</v>
      </c>
      <c r="AI27" s="13" t="s">
        <v>2022</v>
      </c>
      <c r="AJ27" s="8">
        <v>49000</v>
      </c>
      <c r="AK27" s="8">
        <v>1</v>
      </c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Q27" s="13" t="s">
        <v>2022</v>
      </c>
      <c r="BR27" s="8"/>
      <c r="BS27" s="8"/>
      <c r="BT27" s="8"/>
      <c r="BU27" s="8">
        <v>49000</v>
      </c>
      <c r="BV27" s="8"/>
    </row>
    <row r="28" spans="2:74">
      <c r="B28" t="e">
        <f>IF(Dashboard!$P$4="All",Data!G579,IF(Data!K579=Dashboard!$P$4,Data!G579,NA()))</f>
        <v>#N/A</v>
      </c>
      <c r="C28" t="str">
        <f t="shared" si="0"/>
        <v/>
      </c>
      <c r="D28" t="str">
        <f t="shared" si="1"/>
        <v/>
      </c>
      <c r="E28" t="str">
        <f t="shared" si="2"/>
        <v/>
      </c>
      <c r="F28" t="str">
        <f>IF(C28&lt;&gt;"",Data!$M579,"")</f>
        <v/>
      </c>
      <c r="K28" t="e">
        <f>IF(Dashboard!$R$4="All",Data!G579,IF(Data!K579=Dashboard!$R$4,Data!G579,NA()))</f>
        <v>#N/A</v>
      </c>
      <c r="L28" t="str">
        <f t="shared" si="3"/>
        <v/>
      </c>
      <c r="M28" t="str">
        <f t="shared" si="4"/>
        <v/>
      </c>
      <c r="N28" t="str">
        <f t="shared" si="5"/>
        <v/>
      </c>
      <c r="O28" t="str">
        <f>IF(L28&lt;&gt;"",Data!$M579,"")</f>
        <v/>
      </c>
      <c r="P28" s="13" t="s">
        <v>448</v>
      </c>
      <c r="T28">
        <f>IF(OR(Dashboard!$P$4="All",Dashboard!$R$4="All"),NA(),IF(OR(Data!K579&lt;&gt;Dashboard!$P$4,Data!K579&lt;&gt;Dashboard!$R$4),Data!G579,NA()))</f>
        <v>115000</v>
      </c>
      <c r="U28" s="11"/>
      <c r="W28" s="13" t="s">
        <v>935</v>
      </c>
      <c r="X28" s="13"/>
      <c r="Z28" s="13"/>
      <c r="AA28" s="13"/>
      <c r="AB28" s="10">
        <f t="shared" si="10"/>
        <v>25</v>
      </c>
      <c r="AC28" s="13" t="s">
        <v>106</v>
      </c>
      <c r="AD28" s="8">
        <v>56952.725049143286</v>
      </c>
      <c r="AI28" s="13" t="s">
        <v>2023</v>
      </c>
      <c r="AJ28" s="8"/>
      <c r="AK28" s="8"/>
      <c r="AL28" s="8"/>
      <c r="AM28" s="8"/>
      <c r="AN28" s="8"/>
      <c r="AO28" s="8"/>
      <c r="AP28" s="8"/>
      <c r="AQ28" s="8"/>
      <c r="AR28" s="8">
        <v>85000</v>
      </c>
      <c r="AS28" s="8">
        <v>1</v>
      </c>
      <c r="AT28" s="8"/>
      <c r="AU28" s="8"/>
      <c r="AV28" s="8"/>
      <c r="AW28" s="8"/>
      <c r="AX28" s="8"/>
      <c r="AY28" s="8"/>
      <c r="AZ28" s="8"/>
      <c r="BA28" s="8"/>
      <c r="BB28" s="8"/>
      <c r="BC28" s="8"/>
      <c r="BQ28" s="13" t="s">
        <v>2023</v>
      </c>
      <c r="BR28" s="8">
        <v>85000</v>
      </c>
      <c r="BS28" s="8"/>
      <c r="BT28" s="8"/>
      <c r="BU28" s="8"/>
      <c r="BV28" s="8"/>
    </row>
    <row r="29" spans="2:74">
      <c r="B29" t="e">
        <f>IF(Dashboard!$P$4="All",Data!G580,IF(Data!K580=Dashboard!$P$4,Data!G580,NA()))</f>
        <v>#N/A</v>
      </c>
      <c r="C29" t="str">
        <f t="shared" si="0"/>
        <v/>
      </c>
      <c r="D29" t="str">
        <f t="shared" si="1"/>
        <v/>
      </c>
      <c r="E29" t="str">
        <f t="shared" si="2"/>
        <v/>
      </c>
      <c r="F29" t="str">
        <f>IF(C29&lt;&gt;"",Data!$M580,"")</f>
        <v/>
      </c>
      <c r="K29" t="e">
        <f>IF(Dashboard!$R$4="All",Data!G580,IF(Data!K580=Dashboard!$R$4,Data!G580,NA()))</f>
        <v>#N/A</v>
      </c>
      <c r="L29" t="str">
        <f t="shared" si="3"/>
        <v/>
      </c>
      <c r="M29" t="str">
        <f t="shared" si="4"/>
        <v/>
      </c>
      <c r="N29" t="str">
        <f t="shared" si="5"/>
        <v/>
      </c>
      <c r="O29" t="str">
        <f>IF(L29&lt;&gt;"",Data!$M580,"")</f>
        <v/>
      </c>
      <c r="P29" s="13" t="s">
        <v>858</v>
      </c>
      <c r="T29">
        <f>IF(OR(Dashboard!$P$4="All",Dashboard!$R$4="All"),NA(),IF(OR(Data!K580&lt;&gt;Dashboard!$P$4,Data!K580&lt;&gt;Dashboard!$R$4),Data!G580,NA()))</f>
        <v>70000</v>
      </c>
      <c r="U29" s="11"/>
      <c r="W29" s="13" t="s">
        <v>1052</v>
      </c>
      <c r="X29" s="13"/>
      <c r="Z29" s="13"/>
      <c r="AA29" s="13"/>
      <c r="AB29" s="10">
        <f t="shared" si="10"/>
        <v>26</v>
      </c>
      <c r="AC29" s="13" t="s">
        <v>65</v>
      </c>
      <c r="AD29" s="8">
        <v>55905.222222222219</v>
      </c>
      <c r="AI29" s="13" t="s">
        <v>2024</v>
      </c>
      <c r="AJ29" s="8"/>
      <c r="AK29" s="8"/>
      <c r="AL29" s="8"/>
      <c r="AM29" s="8"/>
      <c r="AN29" s="8"/>
      <c r="AO29" s="8"/>
      <c r="AP29" s="8"/>
      <c r="AQ29" s="8"/>
      <c r="AR29" s="8">
        <v>75000</v>
      </c>
      <c r="AS29" s="8">
        <v>1</v>
      </c>
      <c r="AT29" s="8"/>
      <c r="AU29" s="8"/>
      <c r="AV29" s="8"/>
      <c r="AW29" s="8"/>
      <c r="AX29" s="8"/>
      <c r="AY29" s="8"/>
      <c r="AZ29" s="8"/>
      <c r="BA29" s="8"/>
      <c r="BB29" s="8"/>
      <c r="BC29" s="8"/>
      <c r="BQ29" s="13" t="s">
        <v>2024</v>
      </c>
      <c r="BR29" s="8"/>
      <c r="BS29" s="8"/>
      <c r="BT29" s="8"/>
      <c r="BU29" s="8">
        <v>75000</v>
      </c>
      <c r="BV29" s="8"/>
    </row>
    <row r="30" spans="2:74">
      <c r="B30" t="e">
        <f>IF(Dashboard!$P$4="All",Data!G581,IF(Data!K581=Dashboard!$P$4,Data!G581,NA()))</f>
        <v>#N/A</v>
      </c>
      <c r="C30" t="str">
        <f t="shared" si="0"/>
        <v/>
      </c>
      <c r="D30" t="str">
        <f t="shared" si="1"/>
        <v/>
      </c>
      <c r="E30" t="str">
        <f t="shared" si="2"/>
        <v/>
      </c>
      <c r="F30" t="str">
        <f>IF(C30&lt;&gt;"",Data!$M581,"")</f>
        <v/>
      </c>
      <c r="K30" t="e">
        <f>IF(Dashboard!$R$4="All",Data!G581,IF(Data!K581=Dashboard!$R$4,Data!G581,NA()))</f>
        <v>#N/A</v>
      </c>
      <c r="L30" t="str">
        <f t="shared" si="3"/>
        <v/>
      </c>
      <c r="M30" t="str">
        <f t="shared" si="4"/>
        <v/>
      </c>
      <c r="N30" t="str">
        <f t="shared" si="5"/>
        <v/>
      </c>
      <c r="O30" t="str">
        <f>IF(L30&lt;&gt;"",Data!$M581,"")</f>
        <v/>
      </c>
      <c r="P30" s="13" t="s">
        <v>1687</v>
      </c>
      <c r="T30">
        <f>IF(OR(Dashboard!$P$4="All",Dashboard!$R$4="All"),NA(),IF(OR(Data!K581&lt;&gt;Dashboard!$P$4,Data!K581&lt;&gt;Dashboard!$R$4),Data!G581,NA()))</f>
        <v>108110.42357867939</v>
      </c>
      <c r="W30" s="13" t="s">
        <v>877</v>
      </c>
      <c r="X30" s="13"/>
      <c r="Z30" s="13"/>
      <c r="AA30" s="13"/>
      <c r="AB30" s="10">
        <f t="shared" si="10"/>
        <v>27</v>
      </c>
      <c r="AC30" s="13" t="s">
        <v>1011</v>
      </c>
      <c r="AD30" s="8">
        <v>53066.666666666664</v>
      </c>
      <c r="AI30" s="13" t="s">
        <v>2030</v>
      </c>
      <c r="AJ30" s="8">
        <v>96000</v>
      </c>
      <c r="AK30" s="8">
        <v>1</v>
      </c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Q30" s="13" t="s">
        <v>2030</v>
      </c>
      <c r="BR30" s="8"/>
      <c r="BS30" s="8">
        <v>96000</v>
      </c>
      <c r="BT30" s="8"/>
      <c r="BU30" s="8"/>
      <c r="BV30" s="8"/>
    </row>
    <row r="31" spans="2:74">
      <c r="B31" t="e">
        <f>IF(Dashboard!$P$4="All",Data!G582,IF(Data!K582=Dashboard!$P$4,Data!G582,NA()))</f>
        <v>#N/A</v>
      </c>
      <c r="C31" t="str">
        <f t="shared" si="0"/>
        <v/>
      </c>
      <c r="D31" t="str">
        <f t="shared" si="1"/>
        <v/>
      </c>
      <c r="E31" t="str">
        <f t="shared" si="2"/>
        <v/>
      </c>
      <c r="F31" t="str">
        <f>IF(C31&lt;&gt;"",Data!$M582,"")</f>
        <v/>
      </c>
      <c r="K31" t="e">
        <f>IF(Dashboard!$R$4="All",Data!G582,IF(Data!K582=Dashboard!$R$4,Data!G582,NA()))</f>
        <v>#N/A</v>
      </c>
      <c r="L31" t="str">
        <f t="shared" si="3"/>
        <v/>
      </c>
      <c r="M31" t="str">
        <f t="shared" si="4"/>
        <v/>
      </c>
      <c r="N31" t="str">
        <f t="shared" si="5"/>
        <v/>
      </c>
      <c r="O31" t="str">
        <f>IF(L31&lt;&gt;"",Data!$M582,"")</f>
        <v/>
      </c>
      <c r="P31" s="13" t="s">
        <v>83</v>
      </c>
      <c r="T31">
        <f>IF(OR(Dashboard!$P$4="All",Dashboard!$R$4="All"),NA(),IF(OR(Data!K582&lt;&gt;Dashboard!$P$4,Data!K582&lt;&gt;Dashboard!$R$4),Data!G582,NA()))</f>
        <v>75000</v>
      </c>
      <c r="W31" s="13" t="s">
        <v>526</v>
      </c>
      <c r="X31" s="13"/>
      <c r="Z31" s="13"/>
      <c r="AA31" s="13"/>
      <c r="AB31" s="10">
        <f t="shared" si="10"/>
        <v>28</v>
      </c>
      <c r="AC31" s="13" t="s">
        <v>171</v>
      </c>
      <c r="AD31" s="8">
        <v>52154.754053796576</v>
      </c>
      <c r="AI31" s="13" t="s">
        <v>2032</v>
      </c>
      <c r="AJ31" s="8"/>
      <c r="AK31" s="8"/>
      <c r="AL31" s="8"/>
      <c r="AM31" s="8"/>
      <c r="AN31" s="8"/>
      <c r="AO31" s="8"/>
      <c r="AP31" s="8">
        <v>75000</v>
      </c>
      <c r="AQ31" s="8">
        <v>1</v>
      </c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Q31" s="13" t="s">
        <v>2032</v>
      </c>
      <c r="BR31" s="8"/>
      <c r="BS31" s="8"/>
      <c r="BT31" s="8">
        <v>75000</v>
      </c>
      <c r="BU31" s="8"/>
      <c r="BV31" s="8"/>
    </row>
    <row r="32" spans="2:74">
      <c r="B32" t="e">
        <f>IF(Dashboard!$P$4="All",Data!G583,IF(Data!K583=Dashboard!$P$4,Data!G583,NA()))</f>
        <v>#N/A</v>
      </c>
      <c r="C32" t="str">
        <f t="shared" si="0"/>
        <v/>
      </c>
      <c r="D32" t="str">
        <f t="shared" si="1"/>
        <v/>
      </c>
      <c r="E32" t="str">
        <f t="shared" si="2"/>
        <v/>
      </c>
      <c r="F32" t="str">
        <f>IF(C32&lt;&gt;"",Data!$M583,"")</f>
        <v/>
      </c>
      <c r="K32" t="e">
        <f>IF(Dashboard!$R$4="All",Data!G583,IF(Data!K583=Dashboard!$R$4,Data!G583,NA()))</f>
        <v>#N/A</v>
      </c>
      <c r="L32" t="str">
        <f t="shared" si="3"/>
        <v/>
      </c>
      <c r="M32" t="str">
        <f t="shared" si="4"/>
        <v/>
      </c>
      <c r="N32" t="str">
        <f t="shared" si="5"/>
        <v/>
      </c>
      <c r="O32" t="str">
        <f>IF(L32&lt;&gt;"",Data!$M583,"")</f>
        <v/>
      </c>
      <c r="P32" s="13" t="s">
        <v>1852</v>
      </c>
      <c r="T32">
        <f>IF(OR(Dashboard!$P$4="All",Dashboard!$R$4="All"),NA(),IF(OR(Data!K583&lt;&gt;Dashboard!$P$4,Data!K583&lt;&gt;Dashboard!$R$4),Data!G583,NA()))</f>
        <v>40414</v>
      </c>
      <c r="W32" s="13" t="s">
        <v>359</v>
      </c>
      <c r="X32" s="13"/>
      <c r="Z32" s="13"/>
      <c r="AA32" s="13"/>
      <c r="AB32" s="10">
        <f t="shared" si="10"/>
        <v>29</v>
      </c>
      <c r="AC32" s="13" t="s">
        <v>1344</v>
      </c>
      <c r="AD32" s="8">
        <v>51497.005988023957</v>
      </c>
      <c r="AI32" s="13" t="s">
        <v>2033</v>
      </c>
      <c r="AJ32" s="8"/>
      <c r="AK32" s="8"/>
      <c r="AL32" s="8">
        <v>40000</v>
      </c>
      <c r="AM32" s="8">
        <v>1</v>
      </c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Q32" s="13" t="s">
        <v>2033</v>
      </c>
      <c r="BR32" s="8"/>
      <c r="BS32" s="8">
        <v>40000</v>
      </c>
      <c r="BT32" s="8"/>
      <c r="BU32" s="8"/>
      <c r="BV32" s="8"/>
    </row>
    <row r="33" spans="2:74">
      <c r="B33" t="e">
        <f>IF(Dashboard!$P$4="All",Data!G584,IF(Data!K584=Dashboard!$P$4,Data!G584,NA()))</f>
        <v>#N/A</v>
      </c>
      <c r="C33" t="str">
        <f t="shared" si="0"/>
        <v/>
      </c>
      <c r="D33" t="str">
        <f t="shared" si="1"/>
        <v/>
      </c>
      <c r="E33" t="str">
        <f t="shared" si="2"/>
        <v/>
      </c>
      <c r="F33" t="str">
        <f>IF(C33&lt;&gt;"",Data!$M584,"")</f>
        <v/>
      </c>
      <c r="K33" t="e">
        <f>IF(Dashboard!$R$4="All",Data!G584,IF(Data!K584=Dashboard!$R$4,Data!G584,NA()))</f>
        <v>#N/A</v>
      </c>
      <c r="L33" t="str">
        <f t="shared" si="3"/>
        <v/>
      </c>
      <c r="M33" t="str">
        <f t="shared" si="4"/>
        <v/>
      </c>
      <c r="N33" t="str">
        <f t="shared" si="5"/>
        <v/>
      </c>
      <c r="O33" t="str">
        <f>IF(L33&lt;&gt;"",Data!$M584,"")</f>
        <v/>
      </c>
      <c r="P33" s="13" t="s">
        <v>1293</v>
      </c>
      <c r="T33">
        <f>IF(OR(Dashboard!$P$4="All",Dashboard!$R$4="All"),NA(),IF(OR(Data!K584&lt;&gt;Dashboard!$P$4,Data!K584&lt;&gt;Dashboard!$R$4),Data!G584,NA()))</f>
        <v>65000</v>
      </c>
      <c r="W33" s="13" t="s">
        <v>847</v>
      </c>
      <c r="X33" s="13"/>
      <c r="Z33" s="13"/>
      <c r="AA33" s="13"/>
      <c r="AB33" s="10">
        <f t="shared" si="10"/>
        <v>30</v>
      </c>
      <c r="AC33" s="13" t="s">
        <v>1519</v>
      </c>
      <c r="AD33" s="8">
        <v>50815.977559664309</v>
      </c>
      <c r="AI33" s="13" t="s">
        <v>2034</v>
      </c>
      <c r="AJ33" s="8">
        <v>60000</v>
      </c>
      <c r="AK33" s="8">
        <v>1</v>
      </c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Q33" s="13" t="s">
        <v>2034</v>
      </c>
      <c r="BR33" s="8"/>
      <c r="BS33" s="8"/>
      <c r="BT33" s="8"/>
      <c r="BU33" s="8">
        <v>60000</v>
      </c>
      <c r="BV33" s="8"/>
    </row>
    <row r="34" spans="2:74">
      <c r="B34" t="e">
        <f>IF(Dashboard!$P$4="All",Data!G585,IF(Data!K585=Dashboard!$P$4,Data!G585,NA()))</f>
        <v>#N/A</v>
      </c>
      <c r="C34" t="str">
        <f t="shared" si="0"/>
        <v/>
      </c>
      <c r="D34" t="str">
        <f t="shared" si="1"/>
        <v/>
      </c>
      <c r="E34" t="str">
        <f t="shared" si="2"/>
        <v/>
      </c>
      <c r="F34" t="str">
        <f>IF(C34&lt;&gt;"",Data!$M585,"")</f>
        <v/>
      </c>
      <c r="K34" t="e">
        <f>IF(Dashboard!$R$4="All",Data!G585,IF(Data!K585=Dashboard!$R$4,Data!G585,NA()))</f>
        <v>#N/A</v>
      </c>
      <c r="L34" t="str">
        <f t="shared" si="3"/>
        <v/>
      </c>
      <c r="M34" t="str">
        <f t="shared" si="4"/>
        <v/>
      </c>
      <c r="N34" t="str">
        <f t="shared" si="5"/>
        <v/>
      </c>
      <c r="O34" t="str">
        <f>IF(L34&lt;&gt;"",Data!$M585,"")</f>
        <v/>
      </c>
      <c r="P34" s="13" t="s">
        <v>856</v>
      </c>
      <c r="T34">
        <f>IF(OR(Dashboard!$P$4="All",Dashboard!$R$4="All"),NA(),IF(OR(Data!K585&lt;&gt;Dashboard!$P$4,Data!K585&lt;&gt;Dashboard!$R$4),Data!G585,NA()))</f>
        <v>120000</v>
      </c>
      <c r="W34" s="13" t="s">
        <v>574</v>
      </c>
      <c r="X34" s="13"/>
      <c r="Z34" s="13"/>
      <c r="AA34" s="13"/>
      <c r="AB34" s="10">
        <f t="shared" si="10"/>
        <v>31</v>
      </c>
      <c r="AC34" s="13" t="s">
        <v>644</v>
      </c>
      <c r="AD34" s="8">
        <v>50000</v>
      </c>
      <c r="AI34" s="13" t="s">
        <v>2043</v>
      </c>
      <c r="AJ34" s="8"/>
      <c r="AK34" s="8"/>
      <c r="AL34" s="8">
        <v>150000</v>
      </c>
      <c r="AM34" s="8">
        <v>1</v>
      </c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Q34" s="13" t="s">
        <v>2043</v>
      </c>
      <c r="BR34" s="8"/>
      <c r="BS34" s="8">
        <v>150000</v>
      </c>
      <c r="BT34" s="8"/>
      <c r="BU34" s="8"/>
      <c r="BV34" s="8"/>
    </row>
    <row r="35" spans="2:74">
      <c r="B35" t="e">
        <f>IF(Dashboard!$P$4="All",Data!G586,IF(Data!K586=Dashboard!$P$4,Data!G586,NA()))</f>
        <v>#N/A</v>
      </c>
      <c r="C35" t="str">
        <f t="shared" si="0"/>
        <v/>
      </c>
      <c r="D35" t="str">
        <f t="shared" si="1"/>
        <v/>
      </c>
      <c r="E35" t="str">
        <f t="shared" si="2"/>
        <v/>
      </c>
      <c r="F35" t="str">
        <f>IF(C35&lt;&gt;"",Data!$M586,"")</f>
        <v/>
      </c>
      <c r="K35" t="e">
        <f>IF(Dashboard!$R$4="All",Data!G586,IF(Data!K586=Dashboard!$R$4,Data!G586,NA()))</f>
        <v>#N/A</v>
      </c>
      <c r="L35" t="str">
        <f t="shared" si="3"/>
        <v/>
      </c>
      <c r="M35" t="str">
        <f t="shared" si="4"/>
        <v/>
      </c>
      <c r="N35" t="str">
        <f t="shared" si="5"/>
        <v/>
      </c>
      <c r="O35" t="str">
        <f>IF(L35&lt;&gt;"",Data!$M586,"")</f>
        <v/>
      </c>
      <c r="P35" s="13" t="s">
        <v>653</v>
      </c>
      <c r="T35">
        <f>IF(OR(Dashboard!$P$4="All",Dashboard!$R$4="All"),NA(),IF(OR(Data!K586&lt;&gt;Dashboard!$P$4,Data!K586&lt;&gt;Dashboard!$R$4),Data!G586,NA()))</f>
        <v>15092.18020692008</v>
      </c>
      <c r="W35" s="13" t="s">
        <v>1991</v>
      </c>
      <c r="X35" s="13"/>
      <c r="Z35" s="13"/>
      <c r="AA35" s="13"/>
      <c r="AB35" s="10">
        <f t="shared" si="10"/>
        <v>32</v>
      </c>
      <c r="AC35" s="13" t="s">
        <v>48</v>
      </c>
      <c r="AD35" s="8">
        <v>49555.624994016209</v>
      </c>
      <c r="AI35" s="13" t="s">
        <v>2044</v>
      </c>
      <c r="AJ35" s="8"/>
      <c r="AK35" s="8"/>
      <c r="AL35" s="8"/>
      <c r="AM35" s="8"/>
      <c r="AN35" s="8"/>
      <c r="AO35" s="8"/>
      <c r="AP35" s="8"/>
      <c r="AQ35" s="8"/>
      <c r="AR35" s="8">
        <v>69000</v>
      </c>
      <c r="AS35" s="8">
        <v>1</v>
      </c>
      <c r="AT35" s="8"/>
      <c r="AU35" s="8"/>
      <c r="AV35" s="8"/>
      <c r="AW35" s="8"/>
      <c r="AX35" s="8"/>
      <c r="AY35" s="8"/>
      <c r="AZ35" s="8"/>
      <c r="BA35" s="8"/>
      <c r="BB35" s="8"/>
      <c r="BC35" s="8"/>
      <c r="BQ35" s="13" t="s">
        <v>2044</v>
      </c>
      <c r="BR35" s="8"/>
      <c r="BS35" s="8"/>
      <c r="BT35" s="8">
        <v>69000</v>
      </c>
      <c r="BU35" s="8"/>
      <c r="BV35" s="8"/>
    </row>
    <row r="36" spans="2:74">
      <c r="B36" t="e">
        <f>IF(Dashboard!$P$4="All",Data!G587,IF(Data!K587=Dashboard!$P$4,Data!G587,NA()))</f>
        <v>#N/A</v>
      </c>
      <c r="C36" t="str">
        <f t="shared" si="0"/>
        <v/>
      </c>
      <c r="D36" t="str">
        <f t="shared" si="1"/>
        <v/>
      </c>
      <c r="E36" t="str">
        <f t="shared" si="2"/>
        <v/>
      </c>
      <c r="F36" t="str">
        <f>IF(C36&lt;&gt;"",Data!$M587,"")</f>
        <v/>
      </c>
      <c r="K36" t="e">
        <f>IF(Dashboard!$R$4="All",Data!G587,IF(Data!K587=Dashboard!$R$4,Data!G587,NA()))</f>
        <v>#N/A</v>
      </c>
      <c r="L36" t="str">
        <f t="shared" si="3"/>
        <v/>
      </c>
      <c r="M36" t="str">
        <f t="shared" si="4"/>
        <v/>
      </c>
      <c r="N36" t="str">
        <f t="shared" si="5"/>
        <v/>
      </c>
      <c r="O36" t="str">
        <f>IF(L36&lt;&gt;"",Data!$M587,"")</f>
        <v/>
      </c>
      <c r="P36" s="13" t="s">
        <v>153</v>
      </c>
      <c r="T36">
        <f>IF(OR(Dashboard!$P$4="All",Dashboard!$R$4="All"),NA(),IF(OR(Data!K587&lt;&gt;Dashboard!$P$4,Data!K587&lt;&gt;Dashboard!$R$4),Data!G587,NA()))</f>
        <v>36000</v>
      </c>
      <c r="W36" s="13" t="s">
        <v>983</v>
      </c>
      <c r="X36" s="13"/>
      <c r="Z36" s="13"/>
      <c r="AA36" s="13"/>
      <c r="AB36" s="10">
        <f t="shared" si="10"/>
        <v>33</v>
      </c>
      <c r="AC36" s="13" t="s">
        <v>197</v>
      </c>
      <c r="AD36" s="8">
        <v>48000</v>
      </c>
      <c r="AI36" s="13" t="s">
        <v>2045</v>
      </c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>
        <v>30000</v>
      </c>
      <c r="AW36" s="8">
        <v>1</v>
      </c>
      <c r="AX36" s="8"/>
      <c r="AY36" s="8"/>
      <c r="AZ36" s="8"/>
      <c r="BA36" s="8"/>
      <c r="BB36" s="8"/>
      <c r="BC36" s="8"/>
      <c r="BQ36" s="13" t="s">
        <v>2045</v>
      </c>
      <c r="BR36" s="8"/>
      <c r="BS36" s="8">
        <v>30000</v>
      </c>
      <c r="BT36" s="8"/>
      <c r="BU36" s="8"/>
      <c r="BV36" s="8"/>
    </row>
    <row r="37" spans="2:74">
      <c r="B37" t="e">
        <f>IF(Dashboard!$P$4="All",Data!G588,IF(Data!K588=Dashboard!$P$4,Data!G588,NA()))</f>
        <v>#N/A</v>
      </c>
      <c r="C37" t="str">
        <f t="shared" si="0"/>
        <v/>
      </c>
      <c r="D37" t="str">
        <f t="shared" si="1"/>
        <v/>
      </c>
      <c r="E37" t="str">
        <f t="shared" si="2"/>
        <v/>
      </c>
      <c r="F37" t="str">
        <f>IF(C37&lt;&gt;"",Data!$M588,"")</f>
        <v/>
      </c>
      <c r="K37" t="e">
        <f>IF(Dashboard!$R$4="All",Data!G588,IF(Data!K588=Dashboard!$R$4,Data!G588,NA()))</f>
        <v>#N/A</v>
      </c>
      <c r="L37" t="str">
        <f t="shared" si="3"/>
        <v/>
      </c>
      <c r="M37" t="str">
        <f t="shared" si="4"/>
        <v/>
      </c>
      <c r="N37" t="str">
        <f t="shared" si="5"/>
        <v/>
      </c>
      <c r="O37" t="str">
        <f>IF(L37&lt;&gt;"",Data!$M588,"")</f>
        <v/>
      </c>
      <c r="P37" s="13" t="s">
        <v>1283</v>
      </c>
      <c r="T37">
        <f>IF(OR(Dashboard!$P$4="All",Dashboard!$R$4="All"),NA(),IF(OR(Data!K588&lt;&gt;Dashboard!$P$4,Data!K588&lt;&gt;Dashboard!$R$4),Data!G588,NA()))</f>
        <v>63519.971949580387</v>
      </c>
      <c r="W37" s="13" t="s">
        <v>515</v>
      </c>
      <c r="X37" s="13"/>
      <c r="Z37" s="13"/>
      <c r="AA37" s="13"/>
      <c r="AB37" s="10">
        <f t="shared" si="10"/>
        <v>34</v>
      </c>
      <c r="AC37" s="13" t="s">
        <v>1351</v>
      </c>
      <c r="AD37" s="8">
        <v>47258.859130487806</v>
      </c>
      <c r="AI37" s="13" t="s">
        <v>2050</v>
      </c>
      <c r="AJ37" s="8"/>
      <c r="AK37" s="8"/>
      <c r="AL37" s="8"/>
      <c r="AM37" s="8"/>
      <c r="AN37" s="8">
        <v>58000</v>
      </c>
      <c r="AO37" s="8">
        <v>1</v>
      </c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Q37" s="13" t="s">
        <v>2050</v>
      </c>
      <c r="BR37" s="8"/>
      <c r="BS37" s="8"/>
      <c r="BT37" s="8">
        <v>58000</v>
      </c>
      <c r="BU37" s="8"/>
      <c r="BV37" s="8"/>
    </row>
    <row r="38" spans="2:74">
      <c r="B38" t="e">
        <f>IF(Dashboard!$P$4="All",Data!G589,IF(Data!K589=Dashboard!$P$4,Data!G589,NA()))</f>
        <v>#N/A</v>
      </c>
      <c r="C38" t="str">
        <f t="shared" si="0"/>
        <v/>
      </c>
      <c r="D38" t="str">
        <f t="shared" si="1"/>
        <v/>
      </c>
      <c r="E38" t="str">
        <f t="shared" si="2"/>
        <v/>
      </c>
      <c r="F38" t="str">
        <f>IF(C38&lt;&gt;"",Data!$M589,"")</f>
        <v/>
      </c>
      <c r="K38" t="e">
        <f>IF(Dashboard!$R$4="All",Data!G589,IF(Data!K589=Dashboard!$R$4,Data!G589,NA()))</f>
        <v>#N/A</v>
      </c>
      <c r="L38" t="str">
        <f t="shared" si="3"/>
        <v/>
      </c>
      <c r="M38" t="str">
        <f t="shared" si="4"/>
        <v/>
      </c>
      <c r="N38" t="str">
        <f t="shared" si="5"/>
        <v/>
      </c>
      <c r="O38" t="str">
        <f>IF(L38&lt;&gt;"",Data!$M589,"")</f>
        <v/>
      </c>
      <c r="P38" s="13" t="s">
        <v>572</v>
      </c>
      <c r="T38">
        <f>IF(OR(Dashboard!$P$4="All",Dashboard!$R$4="All"),NA(),IF(OR(Data!K589&lt;&gt;Dashboard!$P$4,Data!K589&lt;&gt;Dashboard!$R$4),Data!G589,NA()))</f>
        <v>108000</v>
      </c>
      <c r="W38" s="13" t="s">
        <v>106</v>
      </c>
      <c r="X38" s="13"/>
      <c r="Z38" s="13"/>
      <c r="AA38" s="13"/>
      <c r="AB38" s="10">
        <f t="shared" si="10"/>
        <v>35</v>
      </c>
      <c r="AC38" s="13" t="s">
        <v>608</v>
      </c>
      <c r="AD38" s="8">
        <v>46235.660112252495</v>
      </c>
      <c r="AI38" s="13" t="s">
        <v>2051</v>
      </c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>
        <v>90000</v>
      </c>
      <c r="BC38" s="8">
        <v>1</v>
      </c>
      <c r="BQ38" s="13" t="s">
        <v>2051</v>
      </c>
      <c r="BR38" s="8">
        <v>90000</v>
      </c>
      <c r="BS38" s="8"/>
      <c r="BT38" s="8"/>
      <c r="BU38" s="8"/>
      <c r="BV38" s="8"/>
    </row>
    <row r="39" spans="2:74">
      <c r="B39" t="e">
        <f>IF(Dashboard!$P$4="All",Data!G590,IF(Data!K590=Dashboard!$P$4,Data!G590,NA()))</f>
        <v>#N/A</v>
      </c>
      <c r="C39" t="str">
        <f t="shared" si="0"/>
        <v/>
      </c>
      <c r="D39" t="str">
        <f t="shared" si="1"/>
        <v/>
      </c>
      <c r="E39" t="str">
        <f t="shared" si="2"/>
        <v/>
      </c>
      <c r="F39" t="str">
        <f>IF(C39&lt;&gt;"",Data!$M590,"")</f>
        <v/>
      </c>
      <c r="K39" t="e">
        <f>IF(Dashboard!$R$4="All",Data!G590,IF(Data!K590=Dashboard!$R$4,Data!G590,NA()))</f>
        <v>#N/A</v>
      </c>
      <c r="L39" t="str">
        <f t="shared" si="3"/>
        <v/>
      </c>
      <c r="M39" t="str">
        <f t="shared" si="4"/>
        <v/>
      </c>
      <c r="N39" t="str">
        <f t="shared" si="5"/>
        <v/>
      </c>
      <c r="O39" t="str">
        <f>IF(L39&lt;&gt;"",Data!$M590,"")</f>
        <v/>
      </c>
      <c r="P39" s="13" t="s">
        <v>1899</v>
      </c>
      <c r="T39">
        <f>IF(OR(Dashboard!$P$4="All",Dashboard!$R$4="All"),NA(),IF(OR(Data!K590&lt;&gt;Dashboard!$P$4,Data!K590&lt;&gt;Dashboard!$R$4),Data!G590,NA()))</f>
        <v>75000</v>
      </c>
      <c r="W39" s="13" t="s">
        <v>24</v>
      </c>
      <c r="X39" s="13"/>
      <c r="Z39" s="13"/>
      <c r="AA39" s="13"/>
      <c r="AB39" s="10">
        <f t="shared" si="10"/>
        <v>36</v>
      </c>
      <c r="AC39" s="13" t="s">
        <v>136</v>
      </c>
      <c r="AD39" s="8">
        <v>44759.985974790194</v>
      </c>
      <c r="AI39" s="13" t="s">
        <v>2054</v>
      </c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>
        <v>12000</v>
      </c>
      <c r="AW39" s="8">
        <v>1</v>
      </c>
      <c r="AX39" s="8"/>
      <c r="AY39" s="8"/>
      <c r="AZ39" s="8"/>
      <c r="BA39" s="8"/>
      <c r="BB39" s="8"/>
      <c r="BC39" s="8"/>
      <c r="BQ39" s="13" t="s">
        <v>2054</v>
      </c>
      <c r="BR39" s="8">
        <v>12000</v>
      </c>
      <c r="BS39" s="8"/>
      <c r="BT39" s="8"/>
      <c r="BU39" s="8"/>
      <c r="BV39" s="8"/>
    </row>
    <row r="40" spans="2:74">
      <c r="B40" t="e">
        <f>IF(Dashboard!$P$4="All",Data!G591,IF(Data!K591=Dashboard!$P$4,Data!G591,NA()))</f>
        <v>#N/A</v>
      </c>
      <c r="C40" t="str">
        <f t="shared" si="0"/>
        <v/>
      </c>
      <c r="D40" t="str">
        <f t="shared" si="1"/>
        <v/>
      </c>
      <c r="E40" t="str">
        <f t="shared" si="2"/>
        <v/>
      </c>
      <c r="F40" t="str">
        <f>IF(C40&lt;&gt;"",Data!$M591,"")</f>
        <v/>
      </c>
      <c r="K40" t="e">
        <f>IF(Dashboard!$R$4="All",Data!G591,IF(Data!K591=Dashboard!$R$4,Data!G591,NA()))</f>
        <v>#N/A</v>
      </c>
      <c r="L40" t="str">
        <f t="shared" si="3"/>
        <v/>
      </c>
      <c r="M40" t="str">
        <f t="shared" si="4"/>
        <v/>
      </c>
      <c r="N40" t="str">
        <f t="shared" si="5"/>
        <v/>
      </c>
      <c r="O40" t="str">
        <f>IF(L40&lt;&gt;"",Data!$M591,"")</f>
        <v/>
      </c>
      <c r="P40" s="13" t="s">
        <v>138</v>
      </c>
      <c r="T40">
        <f>IF(OR(Dashboard!$P$4="All",Dashboard!$R$4="All"),NA(),IF(OR(Data!K591&lt;&gt;Dashboard!$P$4,Data!K591&lt;&gt;Dashboard!$R$4),Data!G591,NA()))</f>
        <v>7123.1666749770275</v>
      </c>
      <c r="W40" s="13" t="s">
        <v>1503</v>
      </c>
      <c r="X40" s="13"/>
      <c r="Z40" s="13"/>
      <c r="AA40" s="13"/>
      <c r="AB40" s="10">
        <f t="shared" si="10"/>
        <v>37</v>
      </c>
      <c r="AC40" s="13" t="s">
        <v>935</v>
      </c>
      <c r="AD40" s="8">
        <v>43489.586535798582</v>
      </c>
      <c r="AI40" s="13" t="s">
        <v>2057</v>
      </c>
      <c r="AJ40" s="8"/>
      <c r="AK40" s="8"/>
      <c r="AL40" s="8"/>
      <c r="AM40" s="8"/>
      <c r="AN40" s="8">
        <v>57000</v>
      </c>
      <c r="AO40" s="8">
        <v>1</v>
      </c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Q40" s="13" t="s">
        <v>2057</v>
      </c>
      <c r="BR40" s="8"/>
      <c r="BS40" s="8">
        <v>57000</v>
      </c>
      <c r="BT40" s="8"/>
      <c r="BU40" s="8"/>
      <c r="BV40" s="8"/>
    </row>
    <row r="41" spans="2:74">
      <c r="B41" t="e">
        <f>IF(Dashboard!$P$4="All",Data!G592,IF(Data!K592=Dashboard!$P$4,Data!G592,NA()))</f>
        <v>#N/A</v>
      </c>
      <c r="C41" t="str">
        <f t="shared" si="0"/>
        <v/>
      </c>
      <c r="D41" t="str">
        <f t="shared" si="1"/>
        <v/>
      </c>
      <c r="E41" t="str">
        <f t="shared" si="2"/>
        <v/>
      </c>
      <c r="F41" t="str">
        <f>IF(C41&lt;&gt;"",Data!$M592,"")</f>
        <v/>
      </c>
      <c r="K41" t="e">
        <f>IF(Dashboard!$R$4="All",Data!G592,IF(Data!K592=Dashboard!$R$4,Data!G592,NA()))</f>
        <v>#N/A</v>
      </c>
      <c r="L41" t="str">
        <f t="shared" si="3"/>
        <v/>
      </c>
      <c r="M41" t="str">
        <f t="shared" si="4"/>
        <v/>
      </c>
      <c r="N41" t="str">
        <f t="shared" si="5"/>
        <v/>
      </c>
      <c r="O41" t="str">
        <f>IF(L41&lt;&gt;"",Data!$M592,"")</f>
        <v/>
      </c>
      <c r="P41" s="13" t="s">
        <v>331</v>
      </c>
      <c r="T41">
        <f>IF(OR(Dashboard!$P$4="All",Dashboard!$R$4="All"),NA(),IF(OR(Data!K592&lt;&gt;Dashboard!$P$4,Data!K592&lt;&gt;Dashboard!$R$4),Data!G592,NA()))</f>
        <v>50000</v>
      </c>
      <c r="W41" s="13" t="s">
        <v>169</v>
      </c>
      <c r="X41" s="13"/>
      <c r="Z41" s="13"/>
      <c r="AA41" s="13"/>
      <c r="AB41" s="10">
        <f t="shared" si="10"/>
        <v>38</v>
      </c>
      <c r="AC41" s="13" t="s">
        <v>179</v>
      </c>
      <c r="AD41" s="8">
        <v>43014.900191685309</v>
      </c>
      <c r="AI41" s="13" t="s">
        <v>2061</v>
      </c>
      <c r="AJ41" s="8">
        <v>62000</v>
      </c>
      <c r="AK41" s="8">
        <v>1</v>
      </c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Q41" s="13" t="s">
        <v>2061</v>
      </c>
      <c r="BR41" s="8"/>
      <c r="BS41" s="8"/>
      <c r="BT41" s="8">
        <v>62000</v>
      </c>
      <c r="BU41" s="8"/>
      <c r="BV41" s="8"/>
    </row>
    <row r="42" spans="2:74">
      <c r="B42" t="e">
        <f>IF(Dashboard!$P$4="All",Data!G593,IF(Data!K593=Dashboard!$P$4,Data!G593,NA()))</f>
        <v>#N/A</v>
      </c>
      <c r="C42" t="str">
        <f t="shared" si="0"/>
        <v/>
      </c>
      <c r="D42" t="str">
        <f t="shared" si="1"/>
        <v/>
      </c>
      <c r="E42" t="str">
        <f t="shared" si="2"/>
        <v/>
      </c>
      <c r="F42" t="str">
        <f>IF(C42&lt;&gt;"",Data!$M593,"")</f>
        <v/>
      </c>
      <c r="K42" t="e">
        <f>IF(Dashboard!$R$4="All",Data!G593,IF(Data!K593=Dashboard!$R$4,Data!G593,NA()))</f>
        <v>#N/A</v>
      </c>
      <c r="L42" t="str">
        <f t="shared" si="3"/>
        <v/>
      </c>
      <c r="M42" t="str">
        <f t="shared" si="4"/>
        <v/>
      </c>
      <c r="N42" t="str">
        <f t="shared" si="5"/>
        <v/>
      </c>
      <c r="O42" t="str">
        <f>IF(L42&lt;&gt;"",Data!$M593,"")</f>
        <v/>
      </c>
      <c r="P42" s="13" t="s">
        <v>1252</v>
      </c>
      <c r="T42">
        <f>IF(OR(Dashboard!$P$4="All",Dashboard!$R$4="All"),NA(),IF(OR(Data!K593&lt;&gt;Dashboard!$P$4,Data!K593&lt;&gt;Dashboard!$R$4),Data!G593,NA()))</f>
        <v>45000</v>
      </c>
      <c r="W42" s="13" t="s">
        <v>680</v>
      </c>
      <c r="X42" s="13"/>
      <c r="Z42" s="13"/>
      <c r="AA42" s="13"/>
      <c r="AB42" s="10">
        <f t="shared" si="10"/>
        <v>39</v>
      </c>
      <c r="AC42" s="13" t="s">
        <v>143</v>
      </c>
      <c r="AD42" s="8">
        <v>42672.036574334947</v>
      </c>
      <c r="AI42" s="13" t="s">
        <v>2065</v>
      </c>
      <c r="AJ42" s="8">
        <v>38000</v>
      </c>
      <c r="AK42" s="8">
        <v>1</v>
      </c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Q42" s="13" t="s">
        <v>2065</v>
      </c>
      <c r="BR42" s="8"/>
      <c r="BS42" s="8"/>
      <c r="BT42" s="8">
        <v>38000</v>
      </c>
      <c r="BU42" s="8"/>
      <c r="BV42" s="8"/>
    </row>
    <row r="43" spans="2:74">
      <c r="B43" t="e">
        <f>IF(Dashboard!$P$4="All",Data!G594,IF(Data!K594=Dashboard!$P$4,Data!G594,NA()))</f>
        <v>#N/A</v>
      </c>
      <c r="C43" t="str">
        <f t="shared" si="0"/>
        <v/>
      </c>
      <c r="D43" t="str">
        <f t="shared" si="1"/>
        <v/>
      </c>
      <c r="E43" t="str">
        <f t="shared" si="2"/>
        <v/>
      </c>
      <c r="F43" t="str">
        <f>IF(C43&lt;&gt;"",Data!$M594,"")</f>
        <v/>
      </c>
      <c r="K43" t="e">
        <f>IF(Dashboard!$R$4="All",Data!G594,IF(Data!K594=Dashboard!$R$4,Data!G594,NA()))</f>
        <v>#N/A</v>
      </c>
      <c r="L43" t="str">
        <f t="shared" si="3"/>
        <v/>
      </c>
      <c r="M43" t="str">
        <f t="shared" si="4"/>
        <v/>
      </c>
      <c r="N43" t="str">
        <f t="shared" si="5"/>
        <v/>
      </c>
      <c r="O43" t="str">
        <f>IF(L43&lt;&gt;"",Data!$M594,"")</f>
        <v/>
      </c>
      <c r="P43" s="13" t="s">
        <v>1253</v>
      </c>
      <c r="T43">
        <f>IF(OR(Dashboard!$P$4="All",Dashboard!$R$4="All"),NA(),IF(OR(Data!K594&lt;&gt;Dashboard!$P$4,Data!K594&lt;&gt;Dashboard!$R$4),Data!G594,NA()))</f>
        <v>45000</v>
      </c>
      <c r="W43" s="13" t="s">
        <v>1933</v>
      </c>
      <c r="X43" s="13"/>
      <c r="Z43" s="13"/>
      <c r="AA43" s="13"/>
      <c r="AB43" s="10">
        <f t="shared" si="10"/>
        <v>40</v>
      </c>
      <c r="AC43" s="13" t="s">
        <v>1176</v>
      </c>
      <c r="AD43" s="8">
        <v>42666.666666666664</v>
      </c>
      <c r="AI43" s="13" t="s">
        <v>2066</v>
      </c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>
        <v>41000</v>
      </c>
      <c r="AU43" s="8">
        <v>1</v>
      </c>
      <c r="AV43" s="8"/>
      <c r="AW43" s="8"/>
      <c r="AX43" s="8"/>
      <c r="AY43" s="8"/>
      <c r="AZ43" s="8"/>
      <c r="BA43" s="8"/>
      <c r="BB43" s="8"/>
      <c r="BC43" s="8"/>
      <c r="BQ43" s="13" t="s">
        <v>2066</v>
      </c>
      <c r="BR43" s="8"/>
      <c r="BS43" s="8"/>
      <c r="BT43" s="8">
        <v>41000</v>
      </c>
      <c r="BU43" s="8"/>
      <c r="BV43" s="8"/>
    </row>
    <row r="44" spans="2:74">
      <c r="B44" t="e">
        <f>IF(Dashboard!$P$4="All",Data!G595,IF(Data!K595=Dashboard!$P$4,Data!G595,NA()))</f>
        <v>#N/A</v>
      </c>
      <c r="C44" t="str">
        <f t="shared" si="0"/>
        <v/>
      </c>
      <c r="D44" t="str">
        <f t="shared" si="1"/>
        <v/>
      </c>
      <c r="E44" t="str">
        <f t="shared" si="2"/>
        <v/>
      </c>
      <c r="F44" t="str">
        <f>IF(C44&lt;&gt;"",Data!$M595,"")</f>
        <v/>
      </c>
      <c r="K44" t="e">
        <f>IF(Dashboard!$R$4="All",Data!G595,IF(Data!K595=Dashboard!$R$4,Data!G595,NA()))</f>
        <v>#N/A</v>
      </c>
      <c r="L44" t="str">
        <f t="shared" si="3"/>
        <v/>
      </c>
      <c r="M44" t="str">
        <f t="shared" si="4"/>
        <v/>
      </c>
      <c r="N44" t="str">
        <f t="shared" si="5"/>
        <v/>
      </c>
      <c r="O44" t="str">
        <f>IF(L44&lt;&gt;"",Data!$M595,"")</f>
        <v/>
      </c>
      <c r="P44" s="13" t="s">
        <v>309</v>
      </c>
      <c r="T44">
        <f>IF(OR(Dashboard!$P$4="All",Dashboard!$R$4="All"),NA(),IF(OR(Data!K595&lt;&gt;Dashboard!$P$4,Data!K595&lt;&gt;Dashboard!$R$4),Data!G595,NA()))</f>
        <v>90000</v>
      </c>
      <c r="W44" s="13" t="s">
        <v>38</v>
      </c>
      <c r="X44" s="13"/>
      <c r="Z44" s="13"/>
      <c r="AA44" s="13"/>
      <c r="AB44" s="10">
        <f t="shared" si="10"/>
        <v>41</v>
      </c>
      <c r="AC44" s="13" t="s">
        <v>21</v>
      </c>
      <c r="AD44" s="8">
        <v>41731</v>
      </c>
      <c r="AI44" s="13" t="s">
        <v>2067</v>
      </c>
      <c r="AJ44" s="8">
        <v>68000</v>
      </c>
      <c r="AK44" s="8">
        <v>1</v>
      </c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Q44" s="13" t="s">
        <v>2067</v>
      </c>
      <c r="BR44" s="8"/>
      <c r="BS44" s="8"/>
      <c r="BT44" s="8"/>
      <c r="BU44" s="8">
        <v>68000</v>
      </c>
      <c r="BV44" s="8"/>
    </row>
    <row r="45" spans="2:74">
      <c r="B45" t="e">
        <f>IF(Dashboard!$P$4="All",Data!G596,IF(Data!K596=Dashboard!$P$4,Data!G596,NA()))</f>
        <v>#N/A</v>
      </c>
      <c r="C45" t="str">
        <f t="shared" si="0"/>
        <v/>
      </c>
      <c r="D45" t="str">
        <f t="shared" si="1"/>
        <v/>
      </c>
      <c r="E45" t="str">
        <f t="shared" si="2"/>
        <v/>
      </c>
      <c r="F45" t="str">
        <f>IF(C45&lt;&gt;"",Data!$M596,"")</f>
        <v/>
      </c>
      <c r="K45" t="e">
        <f>IF(Dashboard!$R$4="All",Data!G596,IF(Data!K596=Dashboard!$R$4,Data!G596,NA()))</f>
        <v>#N/A</v>
      </c>
      <c r="L45" t="str">
        <f t="shared" si="3"/>
        <v/>
      </c>
      <c r="M45" t="str">
        <f t="shared" si="4"/>
        <v/>
      </c>
      <c r="N45" t="str">
        <f t="shared" si="5"/>
        <v/>
      </c>
      <c r="O45" t="str">
        <f>IF(L45&lt;&gt;"",Data!$M596,"")</f>
        <v/>
      </c>
      <c r="P45" s="13" t="s">
        <v>1524</v>
      </c>
      <c r="T45">
        <f>IF(OR(Dashboard!$P$4="All",Dashboard!$R$4="All"),NA(),IF(OR(Data!K596&lt;&gt;Dashboard!$P$4,Data!K596&lt;&gt;Dashboard!$R$4),Data!G596,NA()))</f>
        <v>4273.9000049862161</v>
      </c>
      <c r="W45" s="13" t="s">
        <v>21</v>
      </c>
      <c r="X45" s="13"/>
      <c r="Z45" s="13"/>
      <c r="AA45" s="13"/>
      <c r="AB45" s="10">
        <f t="shared" si="10"/>
        <v>42</v>
      </c>
      <c r="AC45" s="13" t="s">
        <v>59</v>
      </c>
      <c r="AD45" s="8">
        <v>41707.21358209449</v>
      </c>
      <c r="AI45" s="13" t="s">
        <v>2071</v>
      </c>
      <c r="AJ45" s="8"/>
      <c r="AK45" s="8"/>
      <c r="AL45" s="8">
        <v>85000</v>
      </c>
      <c r="AM45" s="8">
        <v>1</v>
      </c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Q45" s="13" t="s">
        <v>2071</v>
      </c>
      <c r="BR45" s="8"/>
      <c r="BS45" s="8"/>
      <c r="BT45" s="8">
        <v>85000</v>
      </c>
      <c r="BU45" s="8"/>
      <c r="BV45" s="8"/>
    </row>
    <row r="46" spans="2:74">
      <c r="B46" t="e">
        <f>IF(Dashboard!$P$4="All",Data!G597,IF(Data!K597=Dashboard!$P$4,Data!G597,NA()))</f>
        <v>#N/A</v>
      </c>
      <c r="C46" t="str">
        <f t="shared" si="0"/>
        <v/>
      </c>
      <c r="D46" t="str">
        <f t="shared" si="1"/>
        <v/>
      </c>
      <c r="E46" t="str">
        <f t="shared" si="2"/>
        <v/>
      </c>
      <c r="F46" t="str">
        <f>IF(C46&lt;&gt;"",Data!$M597,"")</f>
        <v/>
      </c>
      <c r="K46" t="e">
        <f>IF(Dashboard!$R$4="All",Data!G597,IF(Data!K597=Dashboard!$R$4,Data!G597,NA()))</f>
        <v>#N/A</v>
      </c>
      <c r="L46" t="str">
        <f t="shared" si="3"/>
        <v/>
      </c>
      <c r="M46" t="str">
        <f t="shared" si="4"/>
        <v/>
      </c>
      <c r="N46" t="str">
        <f t="shared" si="5"/>
        <v/>
      </c>
      <c r="O46" t="str">
        <f>IF(L46&lt;&gt;"",Data!$M597,"")</f>
        <v/>
      </c>
      <c r="P46" s="13" t="s">
        <v>1407</v>
      </c>
      <c r="T46">
        <f>IF(OR(Dashboard!$P$4="All",Dashboard!$R$4="All"),NA(),IF(OR(Data!K597&lt;&gt;Dashboard!$P$4,Data!K597&lt;&gt;Dashboard!$R$4),Data!G597,NA()))</f>
        <v>50000</v>
      </c>
      <c r="W46" s="13" t="s">
        <v>8</v>
      </c>
      <c r="X46" s="13"/>
      <c r="Z46" s="13"/>
      <c r="AA46" s="13"/>
      <c r="AB46" s="10">
        <f t="shared" si="10"/>
        <v>43</v>
      </c>
      <c r="AC46" s="13" t="s">
        <v>1055</v>
      </c>
      <c r="AD46" s="8">
        <v>36400</v>
      </c>
      <c r="AI46" s="13" t="s">
        <v>2074</v>
      </c>
      <c r="AJ46" s="8">
        <v>85087</v>
      </c>
      <c r="AK46" s="8">
        <v>1</v>
      </c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Q46" s="13" t="s">
        <v>2074</v>
      </c>
      <c r="BR46" s="8"/>
      <c r="BS46" s="8">
        <v>85087</v>
      </c>
      <c r="BT46" s="8"/>
      <c r="BU46" s="8"/>
      <c r="BV46" s="8"/>
    </row>
    <row r="47" spans="2:74">
      <c r="B47" t="e">
        <f>IF(Dashboard!$P$4="All",Data!G598,IF(Data!K598=Dashboard!$P$4,Data!G598,NA()))</f>
        <v>#N/A</v>
      </c>
      <c r="C47" t="str">
        <f t="shared" si="0"/>
        <v/>
      </c>
      <c r="D47" t="str">
        <f t="shared" si="1"/>
        <v/>
      </c>
      <c r="E47" t="str">
        <f t="shared" si="2"/>
        <v/>
      </c>
      <c r="F47" t="str">
        <f>IF(C47&lt;&gt;"",Data!$M598,"")</f>
        <v/>
      </c>
      <c r="K47" t="e">
        <f>IF(Dashboard!$R$4="All",Data!G598,IF(Data!K598=Dashboard!$R$4,Data!G598,NA()))</f>
        <v>#N/A</v>
      </c>
      <c r="L47" t="str">
        <f t="shared" si="3"/>
        <v/>
      </c>
      <c r="M47" t="str">
        <f t="shared" si="4"/>
        <v/>
      </c>
      <c r="N47" t="str">
        <f t="shared" si="5"/>
        <v/>
      </c>
      <c r="O47" t="str">
        <f>IF(L47&lt;&gt;"",Data!$M598,"")</f>
        <v/>
      </c>
      <c r="P47" s="13" t="s">
        <v>325</v>
      </c>
      <c r="T47">
        <f>IF(OR(Dashboard!$P$4="All",Dashboard!$R$4="All"),NA(),IF(OR(Data!K598&lt;&gt;Dashboard!$P$4,Data!K598&lt;&gt;Dashboard!$R$4),Data!G598,NA()))</f>
        <v>65000</v>
      </c>
      <c r="W47" s="13" t="s">
        <v>726</v>
      </c>
      <c r="X47" s="13"/>
      <c r="Z47" s="13"/>
      <c r="AA47" s="13"/>
      <c r="AB47" s="10">
        <f t="shared" si="10"/>
        <v>44</v>
      </c>
      <c r="AC47" s="13" t="s">
        <v>1773</v>
      </c>
      <c r="AD47" s="8">
        <v>36000</v>
      </c>
      <c r="AI47" s="13" t="s">
        <v>2075</v>
      </c>
      <c r="AJ47" s="8">
        <v>50000</v>
      </c>
      <c r="AK47" s="8">
        <v>1</v>
      </c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Q47" s="13" t="s">
        <v>2075</v>
      </c>
      <c r="BR47" s="8"/>
      <c r="BS47" s="8"/>
      <c r="BT47" s="8"/>
      <c r="BU47" s="8">
        <v>50000</v>
      </c>
      <c r="BV47" s="8"/>
    </row>
    <row r="48" spans="2:74">
      <c r="B48" t="e">
        <f>IF(Dashboard!$P$4="All",Data!G599,IF(Data!K599=Dashboard!$P$4,Data!G599,NA()))</f>
        <v>#N/A</v>
      </c>
      <c r="C48" t="str">
        <f t="shared" si="0"/>
        <v/>
      </c>
      <c r="D48" t="str">
        <f t="shared" si="1"/>
        <v/>
      </c>
      <c r="E48" t="str">
        <f t="shared" si="2"/>
        <v/>
      </c>
      <c r="F48" t="str">
        <f>IF(C48&lt;&gt;"",Data!$M599,"")</f>
        <v/>
      </c>
      <c r="K48" t="e">
        <f>IF(Dashboard!$R$4="All",Data!G599,IF(Data!K599=Dashboard!$R$4,Data!G599,NA()))</f>
        <v>#N/A</v>
      </c>
      <c r="L48" t="str">
        <f t="shared" si="3"/>
        <v/>
      </c>
      <c r="M48" t="str">
        <f t="shared" si="4"/>
        <v/>
      </c>
      <c r="N48" t="str">
        <f t="shared" si="5"/>
        <v/>
      </c>
      <c r="O48" t="str">
        <f>IF(L48&lt;&gt;"",Data!$M599,"")</f>
        <v/>
      </c>
      <c r="P48" s="13" t="s">
        <v>1068</v>
      </c>
      <c r="T48">
        <f>IF(OR(Dashboard!$P$4="All",Dashboard!$R$4="All"),NA(),IF(OR(Data!K599&lt;&gt;Dashboard!$P$4,Data!K599&lt;&gt;Dashboard!$R$4),Data!G599,NA()))</f>
        <v>70000</v>
      </c>
      <c r="W48" s="13" t="s">
        <v>1078</v>
      </c>
      <c r="X48" s="13"/>
      <c r="Z48" s="13"/>
      <c r="AA48" s="13"/>
      <c r="AB48" s="10">
        <f t="shared" si="10"/>
        <v>45</v>
      </c>
      <c r="AC48" s="13" t="s">
        <v>1052</v>
      </c>
      <c r="AD48" s="8">
        <v>36000</v>
      </c>
      <c r="AI48" s="13" t="s">
        <v>2077</v>
      </c>
      <c r="AJ48" s="8">
        <v>57000</v>
      </c>
      <c r="AK48" s="8">
        <v>1</v>
      </c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Q48" s="13" t="s">
        <v>2077</v>
      </c>
      <c r="BR48" s="8"/>
      <c r="BS48" s="8"/>
      <c r="BT48" s="8">
        <v>57000</v>
      </c>
      <c r="BU48" s="8"/>
      <c r="BV48" s="8"/>
    </row>
    <row r="49" spans="2:74">
      <c r="B49" t="e">
        <f>IF(Dashboard!$P$4="All",Data!G600,IF(Data!K600=Dashboard!$P$4,Data!G600,NA()))</f>
        <v>#N/A</v>
      </c>
      <c r="C49" t="str">
        <f t="shared" si="0"/>
        <v/>
      </c>
      <c r="D49" t="str">
        <f t="shared" si="1"/>
        <v/>
      </c>
      <c r="E49" t="str">
        <f t="shared" si="2"/>
        <v/>
      </c>
      <c r="F49" t="str">
        <f>IF(C49&lt;&gt;"",Data!$M600,"")</f>
        <v/>
      </c>
      <c r="K49" t="e">
        <f>IF(Dashboard!$R$4="All",Data!G600,IF(Data!K600=Dashboard!$R$4,Data!G600,NA()))</f>
        <v>#N/A</v>
      </c>
      <c r="L49" t="str">
        <f t="shared" si="3"/>
        <v/>
      </c>
      <c r="M49" t="str">
        <f t="shared" si="4"/>
        <v/>
      </c>
      <c r="N49" t="str">
        <f t="shared" si="5"/>
        <v/>
      </c>
      <c r="O49" t="str">
        <f>IF(L49&lt;&gt;"",Data!$M600,"")</f>
        <v/>
      </c>
      <c r="P49" s="13" t="s">
        <v>1218</v>
      </c>
      <c r="T49">
        <f>IF(OR(Dashboard!$P$4="All",Dashboard!$R$4="All"),NA(),IF(OR(Data!K600&lt;&gt;Dashboard!$P$4,Data!K600&lt;&gt;Dashboard!$R$4),Data!G600,NA()))</f>
        <v>160000</v>
      </c>
      <c r="W49" s="13" t="s">
        <v>36</v>
      </c>
      <c r="X49" s="13"/>
      <c r="Z49" s="13"/>
      <c r="AA49" s="13"/>
      <c r="AB49" s="10">
        <f t="shared" si="10"/>
        <v>46</v>
      </c>
      <c r="AC49" s="13" t="s">
        <v>133</v>
      </c>
      <c r="AD49" s="8">
        <v>35832.121212121208</v>
      </c>
      <c r="AI49" s="13" t="s">
        <v>2078</v>
      </c>
      <c r="AJ49" s="8"/>
      <c r="AK49" s="8"/>
      <c r="AL49" s="8">
        <v>75000</v>
      </c>
      <c r="AM49" s="8">
        <v>1</v>
      </c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Q49" s="13" t="s">
        <v>2078</v>
      </c>
      <c r="BR49" s="8"/>
      <c r="BS49" s="8"/>
      <c r="BT49" s="8"/>
      <c r="BU49" s="8">
        <v>75000</v>
      </c>
      <c r="BV49" s="8"/>
    </row>
    <row r="50" spans="2:74">
      <c r="B50" t="e">
        <f>IF(Dashboard!$P$4="All",Data!G601,IF(Data!K601=Dashboard!$P$4,Data!G601,NA()))</f>
        <v>#N/A</v>
      </c>
      <c r="C50" t="str">
        <f t="shared" si="0"/>
        <v/>
      </c>
      <c r="D50" t="str">
        <f t="shared" si="1"/>
        <v/>
      </c>
      <c r="E50" t="str">
        <f t="shared" si="2"/>
        <v/>
      </c>
      <c r="F50" t="str">
        <f>IF(C50&lt;&gt;"",Data!$M601,"")</f>
        <v/>
      </c>
      <c r="K50" t="e">
        <f>IF(Dashboard!$R$4="All",Data!G601,IF(Data!K601=Dashboard!$R$4,Data!G601,NA()))</f>
        <v>#N/A</v>
      </c>
      <c r="L50" t="str">
        <f t="shared" si="3"/>
        <v/>
      </c>
      <c r="M50" t="str">
        <f t="shared" si="4"/>
        <v/>
      </c>
      <c r="N50" t="str">
        <f t="shared" si="5"/>
        <v/>
      </c>
      <c r="O50" t="str">
        <f>IF(L50&lt;&gt;"",Data!$M601,"")</f>
        <v/>
      </c>
      <c r="P50" s="13" t="s">
        <v>212</v>
      </c>
      <c r="T50">
        <f>IF(OR(Dashboard!$P$4="All",Dashboard!$R$4="All"),NA(),IF(OR(Data!K601&lt;&gt;Dashboard!$P$4,Data!K601&lt;&gt;Dashboard!$R$4),Data!G601,NA()))</f>
        <v>101990.96564026357</v>
      </c>
      <c r="W50" s="13" t="s">
        <v>416</v>
      </c>
      <c r="X50" s="13"/>
      <c r="Z50" s="13"/>
      <c r="AA50" s="13"/>
      <c r="AB50" s="10">
        <f t="shared" si="10"/>
        <v>47</v>
      </c>
      <c r="AC50" s="13" t="s">
        <v>989</v>
      </c>
      <c r="AD50" s="8">
        <v>35000</v>
      </c>
      <c r="AI50" s="13" t="s">
        <v>2082</v>
      </c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>
        <v>15000</v>
      </c>
      <c r="AW50" s="8">
        <v>1</v>
      </c>
      <c r="AX50" s="8"/>
      <c r="AY50" s="8"/>
      <c r="AZ50" s="8"/>
      <c r="BA50" s="8"/>
      <c r="BB50" s="8"/>
      <c r="BC50" s="8"/>
      <c r="BQ50" s="13" t="s">
        <v>2082</v>
      </c>
      <c r="BR50" s="8"/>
      <c r="BS50" s="8"/>
      <c r="BT50" s="8"/>
      <c r="BU50" s="8">
        <v>15000</v>
      </c>
      <c r="BV50" s="8"/>
    </row>
    <row r="51" spans="2:74">
      <c r="B51" t="e">
        <f>IF(Dashboard!$P$4="All",Data!G602,IF(Data!K602=Dashboard!$P$4,Data!G602,NA()))</f>
        <v>#N/A</v>
      </c>
      <c r="C51" t="str">
        <f t="shared" si="0"/>
        <v/>
      </c>
      <c r="D51" t="str">
        <f t="shared" si="1"/>
        <v/>
      </c>
      <c r="E51" t="str">
        <f t="shared" si="2"/>
        <v/>
      </c>
      <c r="F51" t="str">
        <f>IF(C51&lt;&gt;"",Data!$M602,"")</f>
        <v/>
      </c>
      <c r="K51" t="e">
        <f>IF(Dashboard!$R$4="All",Data!G602,IF(Data!K602=Dashboard!$R$4,Data!G602,NA()))</f>
        <v>#N/A</v>
      </c>
      <c r="L51" t="str">
        <f t="shared" si="3"/>
        <v/>
      </c>
      <c r="M51" t="str">
        <f t="shared" si="4"/>
        <v/>
      </c>
      <c r="N51" t="str">
        <f t="shared" si="5"/>
        <v/>
      </c>
      <c r="O51" t="str">
        <f>IF(L51&lt;&gt;"",Data!$M602,"")</f>
        <v/>
      </c>
      <c r="P51" s="13" t="s">
        <v>586</v>
      </c>
      <c r="T51">
        <f>IF(OR(Dashboard!$P$4="All",Dashboard!$R$4="All"),NA(),IF(OR(Data!K602&lt;&gt;Dashboard!$P$4,Data!K602&lt;&gt;Dashboard!$R$4),Data!G602,NA()))</f>
        <v>6767.0083412281756</v>
      </c>
      <c r="W51" s="13" t="s">
        <v>1351</v>
      </c>
      <c r="X51" s="13"/>
      <c r="Z51" s="13"/>
      <c r="AA51" s="13"/>
      <c r="AB51" s="10">
        <f t="shared" si="10"/>
        <v>48</v>
      </c>
      <c r="AC51" s="13" t="s">
        <v>75</v>
      </c>
      <c r="AD51" s="8">
        <v>34210.345381590014</v>
      </c>
      <c r="AI51" s="13" t="s">
        <v>2086</v>
      </c>
      <c r="AJ51" s="8"/>
      <c r="AK51" s="8"/>
      <c r="AL51" s="8">
        <v>50000</v>
      </c>
      <c r="AM51" s="8">
        <v>1</v>
      </c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Q51" s="13" t="s">
        <v>2086</v>
      </c>
      <c r="BR51" s="8"/>
      <c r="BS51" s="8">
        <v>50000</v>
      </c>
      <c r="BT51" s="8"/>
      <c r="BU51" s="8"/>
      <c r="BV51" s="8"/>
    </row>
    <row r="52" spans="2:74">
      <c r="B52" t="e">
        <f>IF(Dashboard!$P$4="All",Data!G603,IF(Data!K603=Dashboard!$P$4,Data!G603,NA()))</f>
        <v>#N/A</v>
      </c>
      <c r="C52" t="str">
        <f t="shared" si="0"/>
        <v/>
      </c>
      <c r="D52" t="str">
        <f t="shared" si="1"/>
        <v/>
      </c>
      <c r="E52" t="str">
        <f t="shared" si="2"/>
        <v/>
      </c>
      <c r="F52" t="str">
        <f>IF(C52&lt;&gt;"",Data!$M603,"")</f>
        <v/>
      </c>
      <c r="K52" t="e">
        <f>IF(Dashboard!$R$4="All",Data!G603,IF(Data!K603=Dashboard!$R$4,Data!G603,NA()))</f>
        <v>#N/A</v>
      </c>
      <c r="L52" t="str">
        <f t="shared" si="3"/>
        <v/>
      </c>
      <c r="M52" t="str">
        <f t="shared" si="4"/>
        <v/>
      </c>
      <c r="N52" t="str">
        <f t="shared" si="5"/>
        <v/>
      </c>
      <c r="O52" t="str">
        <f>IF(L52&lt;&gt;"",Data!$M603,"")</f>
        <v/>
      </c>
      <c r="P52" s="13" t="s">
        <v>334</v>
      </c>
      <c r="T52">
        <f>IF(OR(Dashboard!$P$4="All",Dashboard!$R$4="All"),NA(),IF(OR(Data!K603&lt;&gt;Dashboard!$P$4,Data!K603&lt;&gt;Dashboard!$R$4),Data!G603,NA()))</f>
        <v>30000</v>
      </c>
      <c r="W52" s="13" t="s">
        <v>654</v>
      </c>
      <c r="X52" s="13"/>
      <c r="Z52" s="13"/>
      <c r="AA52" s="13"/>
      <c r="AB52" s="10">
        <f t="shared" si="10"/>
        <v>49</v>
      </c>
      <c r="AC52" s="13" t="s">
        <v>30</v>
      </c>
      <c r="AD52" s="8">
        <v>32907.763410971675</v>
      </c>
      <c r="AI52" s="13" t="s">
        <v>2089</v>
      </c>
      <c r="AJ52" s="8"/>
      <c r="AK52" s="8"/>
      <c r="AL52" s="8"/>
      <c r="AM52" s="8"/>
      <c r="AN52" s="8"/>
      <c r="AO52" s="8"/>
      <c r="AP52" s="8">
        <v>150000</v>
      </c>
      <c r="AQ52" s="8">
        <v>1</v>
      </c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Q52" s="13" t="s">
        <v>2089</v>
      </c>
      <c r="BR52" s="8"/>
      <c r="BS52" s="8"/>
      <c r="BT52" s="8"/>
      <c r="BU52" s="8">
        <v>150000</v>
      </c>
      <c r="BV52" s="8"/>
    </row>
    <row r="53" spans="2:74">
      <c r="B53" t="e">
        <f>IF(Dashboard!$P$4="All",Data!G604,IF(Data!K604=Dashboard!$P$4,Data!G604,NA()))</f>
        <v>#N/A</v>
      </c>
      <c r="C53" t="str">
        <f t="shared" si="0"/>
        <v/>
      </c>
      <c r="D53" t="str">
        <f t="shared" si="1"/>
        <v/>
      </c>
      <c r="E53" t="str">
        <f t="shared" si="2"/>
        <v/>
      </c>
      <c r="F53" t="str">
        <f>IF(C53&lt;&gt;"",Data!$M604,"")</f>
        <v/>
      </c>
      <c r="K53" t="e">
        <f>IF(Dashboard!$R$4="All",Data!G604,IF(Data!K604=Dashboard!$R$4,Data!G604,NA()))</f>
        <v>#N/A</v>
      </c>
      <c r="L53" t="str">
        <f t="shared" si="3"/>
        <v/>
      </c>
      <c r="M53" t="str">
        <f t="shared" si="4"/>
        <v/>
      </c>
      <c r="N53" t="str">
        <f t="shared" si="5"/>
        <v/>
      </c>
      <c r="O53" t="str">
        <f>IF(L53&lt;&gt;"",Data!$M604,"")</f>
        <v/>
      </c>
      <c r="P53" s="13" t="s">
        <v>14</v>
      </c>
      <c r="T53">
        <f>IF(OR(Dashboard!$P$4="All",Dashboard!$R$4="All"),NA(),IF(OR(Data!K604&lt;&gt;Dashboard!$P$4,Data!K604&lt;&gt;Dashboard!$R$4),Data!G604,NA()))</f>
        <v>7479.3250087258784</v>
      </c>
      <c r="W53" s="13" t="s">
        <v>1344</v>
      </c>
      <c r="X53" s="13"/>
      <c r="Z53" s="13"/>
      <c r="AA53" s="13"/>
      <c r="AB53" s="10">
        <f t="shared" si="10"/>
        <v>50</v>
      </c>
      <c r="AC53" s="13" t="s">
        <v>359</v>
      </c>
      <c r="AD53" s="8">
        <v>32166.959188895635</v>
      </c>
      <c r="AI53" s="13" t="s">
        <v>2090</v>
      </c>
      <c r="AJ53" s="8"/>
      <c r="AK53" s="8"/>
      <c r="AL53" s="8">
        <v>120000</v>
      </c>
      <c r="AM53" s="8">
        <v>1</v>
      </c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Q53" s="13" t="s">
        <v>2090</v>
      </c>
      <c r="BR53" s="8"/>
      <c r="BS53" s="8"/>
      <c r="BT53" s="8">
        <v>120000</v>
      </c>
      <c r="BU53" s="8"/>
      <c r="BV53" s="8"/>
    </row>
    <row r="54" spans="2:74">
      <c r="B54" t="e">
        <f>IF(Dashboard!$P$4="All",Data!G605,IF(Data!K605=Dashboard!$P$4,Data!G605,NA()))</f>
        <v>#N/A</v>
      </c>
      <c r="C54" t="str">
        <f t="shared" si="0"/>
        <v/>
      </c>
      <c r="D54" t="str">
        <f t="shared" si="1"/>
        <v/>
      </c>
      <c r="E54" t="str">
        <f t="shared" si="2"/>
        <v/>
      </c>
      <c r="F54" t="str">
        <f>IF(C54&lt;&gt;"",Data!$M605,"")</f>
        <v/>
      </c>
      <c r="K54" t="e">
        <f>IF(Dashboard!$R$4="All",Data!G605,IF(Data!K605=Dashboard!$R$4,Data!G605,NA()))</f>
        <v>#N/A</v>
      </c>
      <c r="L54" t="str">
        <f t="shared" si="3"/>
        <v/>
      </c>
      <c r="M54" t="str">
        <f t="shared" si="4"/>
        <v/>
      </c>
      <c r="N54" t="str">
        <f t="shared" si="5"/>
        <v/>
      </c>
      <c r="O54" t="str">
        <f>IF(L54&lt;&gt;"",Data!$M605,"")</f>
        <v/>
      </c>
      <c r="P54" s="13" t="s">
        <v>181</v>
      </c>
      <c r="T54">
        <f>IF(OR(Dashboard!$P$4="All",Dashboard!$R$4="All"),NA(),IF(OR(Data!K605&lt;&gt;Dashboard!$P$4,Data!K605&lt;&gt;Dashboard!$R$4),Data!G605,NA()))</f>
        <v>61000</v>
      </c>
      <c r="W54" s="13" t="s">
        <v>1176</v>
      </c>
      <c r="X54" s="13"/>
      <c r="Z54" s="13"/>
      <c r="AA54" s="13"/>
      <c r="AB54" s="10">
        <f t="shared" si="10"/>
        <v>51</v>
      </c>
      <c r="AC54" s="13" t="s">
        <v>166</v>
      </c>
      <c r="AD54" s="8">
        <v>32138.498288519273</v>
      </c>
      <c r="AI54" s="13" t="s">
        <v>2093</v>
      </c>
      <c r="AJ54" s="8"/>
      <c r="AK54" s="8"/>
      <c r="AL54" s="8"/>
      <c r="AM54" s="8"/>
      <c r="AN54" s="8"/>
      <c r="AO54" s="8"/>
      <c r="AP54" s="8"/>
      <c r="AQ54" s="8"/>
      <c r="AR54" s="8">
        <v>110000</v>
      </c>
      <c r="AS54" s="8">
        <v>1</v>
      </c>
      <c r="AT54" s="8"/>
      <c r="AU54" s="8"/>
      <c r="AV54" s="8"/>
      <c r="AW54" s="8"/>
      <c r="AX54" s="8"/>
      <c r="AY54" s="8"/>
      <c r="AZ54" s="8"/>
      <c r="BA54" s="8"/>
      <c r="BB54" s="8"/>
      <c r="BC54" s="8"/>
      <c r="BQ54" s="13" t="s">
        <v>2093</v>
      </c>
      <c r="BR54" s="8"/>
      <c r="BS54" s="8">
        <v>110000</v>
      </c>
      <c r="BT54" s="8"/>
      <c r="BU54" s="8"/>
      <c r="BV54" s="8"/>
    </row>
    <row r="55" spans="2:74">
      <c r="B55" t="e">
        <f>IF(Dashboard!$P$4="All",Data!G606,IF(Data!K606=Dashboard!$P$4,Data!G606,NA()))</f>
        <v>#N/A</v>
      </c>
      <c r="C55" t="str">
        <f t="shared" si="0"/>
        <v/>
      </c>
      <c r="D55" t="str">
        <f t="shared" si="1"/>
        <v/>
      </c>
      <c r="E55" t="str">
        <f t="shared" si="2"/>
        <v/>
      </c>
      <c r="F55" t="str">
        <f>IF(C55&lt;&gt;"",Data!$M606,"")</f>
        <v/>
      </c>
      <c r="K55" t="e">
        <f>IF(Dashboard!$R$4="All",Data!G606,IF(Data!K606=Dashboard!$R$4,Data!G606,NA()))</f>
        <v>#N/A</v>
      </c>
      <c r="L55" t="str">
        <f t="shared" si="3"/>
        <v/>
      </c>
      <c r="M55" t="str">
        <f t="shared" si="4"/>
        <v/>
      </c>
      <c r="N55" t="str">
        <f t="shared" si="5"/>
        <v/>
      </c>
      <c r="O55" t="str">
        <f>IF(L55&lt;&gt;"",Data!$M606,"")</f>
        <v/>
      </c>
      <c r="P55" s="13" t="s">
        <v>1046</v>
      </c>
      <c r="T55">
        <f>IF(OR(Dashboard!$P$4="All",Dashboard!$R$4="All"),NA(),IF(OR(Data!K606&lt;&gt;Dashboard!$P$4,Data!K606&lt;&gt;Dashboard!$R$4),Data!G606,NA()))</f>
        <v>13800</v>
      </c>
      <c r="W55" s="13" t="s">
        <v>1043</v>
      </c>
      <c r="X55" s="13"/>
      <c r="Z55" s="13"/>
      <c r="AA55" s="13"/>
      <c r="AB55" s="10">
        <f t="shared" si="10"/>
        <v>52</v>
      </c>
      <c r="AC55" s="13" t="s">
        <v>169</v>
      </c>
      <c r="AD55" s="8">
        <v>30066.120056134718</v>
      </c>
      <c r="AI55" s="13" t="s">
        <v>2095</v>
      </c>
      <c r="AJ55" s="8">
        <v>40000</v>
      </c>
      <c r="AK55" s="8">
        <v>1</v>
      </c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Q55" s="13" t="s">
        <v>2095</v>
      </c>
      <c r="BR55" s="8"/>
      <c r="BS55" s="8"/>
      <c r="BT55" s="8">
        <v>40000</v>
      </c>
      <c r="BU55" s="8"/>
      <c r="BV55" s="8"/>
    </row>
    <row r="56" spans="2:74">
      <c r="B56" t="e">
        <f>IF(Dashboard!$P$4="All",Data!G607,IF(Data!K607=Dashboard!$P$4,Data!G607,NA()))</f>
        <v>#N/A</v>
      </c>
      <c r="C56" t="str">
        <f t="shared" si="0"/>
        <v/>
      </c>
      <c r="D56" t="str">
        <f t="shared" si="1"/>
        <v/>
      </c>
      <c r="E56" t="str">
        <f t="shared" si="2"/>
        <v/>
      </c>
      <c r="F56" t="str">
        <f>IF(C56&lt;&gt;"",Data!$M607,"")</f>
        <v/>
      </c>
      <c r="K56" t="e">
        <f>IF(Dashboard!$R$4="All",Data!G607,IF(Data!K607=Dashboard!$R$4,Data!G607,NA()))</f>
        <v>#N/A</v>
      </c>
      <c r="L56" t="str">
        <f t="shared" si="3"/>
        <v/>
      </c>
      <c r="M56" t="str">
        <f t="shared" si="4"/>
        <v/>
      </c>
      <c r="N56" t="str">
        <f t="shared" si="5"/>
        <v/>
      </c>
      <c r="O56" t="str">
        <f>IF(L56&lt;&gt;"",Data!$M607,"")</f>
        <v/>
      </c>
      <c r="P56" s="13" t="s">
        <v>385</v>
      </c>
      <c r="T56">
        <f>IF(OR(Dashboard!$P$4="All",Dashboard!$R$4="All"),NA(),IF(OR(Data!K607&lt;&gt;Dashboard!$P$4,Data!K607&lt;&gt;Dashboard!$R$4),Data!G607,NA()))</f>
        <v>15136.729184326183</v>
      </c>
      <c r="W56" s="13" t="s">
        <v>1371</v>
      </c>
      <c r="X56" s="13"/>
      <c r="Z56" s="13"/>
      <c r="AA56" s="13"/>
      <c r="AB56" s="10">
        <f t="shared" si="10"/>
        <v>53</v>
      </c>
      <c r="AC56" s="13" t="s">
        <v>726</v>
      </c>
      <c r="AD56" s="8">
        <v>28872.83679733074</v>
      </c>
      <c r="AI56" s="13" t="s">
        <v>2097</v>
      </c>
      <c r="AJ56" s="8"/>
      <c r="AK56" s="8"/>
      <c r="AL56" s="8"/>
      <c r="AM56" s="8"/>
      <c r="AN56" s="8"/>
      <c r="AO56" s="8"/>
      <c r="AP56" s="8">
        <v>125000</v>
      </c>
      <c r="AQ56" s="8">
        <v>1</v>
      </c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Q56" s="13" t="s">
        <v>2097</v>
      </c>
      <c r="BR56" s="8"/>
      <c r="BS56" s="8"/>
      <c r="BT56" s="8">
        <v>125000</v>
      </c>
      <c r="BU56" s="8"/>
      <c r="BV56" s="8"/>
    </row>
    <row r="57" spans="2:74">
      <c r="B57" t="e">
        <f>IF(Dashboard!$P$4="All",Data!G608,IF(Data!K608=Dashboard!$P$4,Data!G608,NA()))</f>
        <v>#N/A</v>
      </c>
      <c r="C57" t="str">
        <f t="shared" si="0"/>
        <v/>
      </c>
      <c r="D57" t="str">
        <f t="shared" si="1"/>
        <v/>
      </c>
      <c r="E57" t="str">
        <f t="shared" si="2"/>
        <v/>
      </c>
      <c r="F57" t="str">
        <f>IF(C57&lt;&gt;"",Data!$M608,"")</f>
        <v/>
      </c>
      <c r="K57" t="e">
        <f>IF(Dashboard!$R$4="All",Data!G608,IF(Data!K608=Dashboard!$R$4,Data!G608,NA()))</f>
        <v>#N/A</v>
      </c>
      <c r="L57" t="str">
        <f t="shared" si="3"/>
        <v/>
      </c>
      <c r="M57" t="str">
        <f t="shared" si="4"/>
        <v/>
      </c>
      <c r="N57" t="str">
        <f t="shared" si="5"/>
        <v/>
      </c>
      <c r="O57" t="str">
        <f>IF(L57&lt;&gt;"",Data!$M608,"")</f>
        <v/>
      </c>
      <c r="P57" s="13" t="s">
        <v>1317</v>
      </c>
      <c r="T57">
        <f>IF(OR(Dashboard!$P$4="All",Dashboard!$R$4="All"),NA(),IF(OR(Data!K608&lt;&gt;Dashboard!$P$4,Data!K608&lt;&gt;Dashboard!$R$4),Data!G608,NA()))</f>
        <v>32054.250037396621</v>
      </c>
      <c r="W57" s="13" t="s">
        <v>1745</v>
      </c>
      <c r="X57" s="13"/>
      <c r="Z57" s="13"/>
      <c r="AA57" s="13"/>
      <c r="AB57" s="10">
        <f t="shared" si="10"/>
        <v>54</v>
      </c>
      <c r="AC57" s="13" t="s">
        <v>499</v>
      </c>
      <c r="AD57" s="8">
        <v>28109.627547434993</v>
      </c>
      <c r="AI57" s="13" t="s">
        <v>2098</v>
      </c>
      <c r="AJ57" s="8"/>
      <c r="AK57" s="8"/>
      <c r="AL57" s="8">
        <v>36000</v>
      </c>
      <c r="AM57" s="8">
        <v>1</v>
      </c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Q57" s="13" t="s">
        <v>2098</v>
      </c>
      <c r="BR57" s="8"/>
      <c r="BS57" s="8">
        <v>36000</v>
      </c>
      <c r="BT57" s="8"/>
      <c r="BU57" s="8"/>
      <c r="BV57" s="8"/>
    </row>
    <row r="58" spans="2:74">
      <c r="B58" t="e">
        <f>IF(Dashboard!$P$4="All",Data!G609,IF(Data!K609=Dashboard!$P$4,Data!G609,NA()))</f>
        <v>#N/A</v>
      </c>
      <c r="C58" t="str">
        <f t="shared" si="0"/>
        <v/>
      </c>
      <c r="D58" t="str">
        <f t="shared" si="1"/>
        <v/>
      </c>
      <c r="E58" t="str">
        <f t="shared" si="2"/>
        <v/>
      </c>
      <c r="F58" t="str">
        <f>IF(C58&lt;&gt;"",Data!$M609,"")</f>
        <v/>
      </c>
      <c r="K58" t="e">
        <f>IF(Dashboard!$R$4="All",Data!G609,IF(Data!K609=Dashboard!$R$4,Data!G609,NA()))</f>
        <v>#N/A</v>
      </c>
      <c r="L58" t="str">
        <f t="shared" si="3"/>
        <v/>
      </c>
      <c r="M58" t="str">
        <f t="shared" si="4"/>
        <v/>
      </c>
      <c r="N58" t="str">
        <f t="shared" si="5"/>
        <v/>
      </c>
      <c r="O58" t="str">
        <f>IF(L58&lt;&gt;"",Data!$M609,"")</f>
        <v/>
      </c>
      <c r="P58" s="13" t="s">
        <v>589</v>
      </c>
      <c r="T58">
        <f>IF(OR(Dashboard!$P$4="All",Dashboard!$R$4="All"),NA(),IF(OR(Data!K609&lt;&gt;Dashboard!$P$4,Data!K609&lt;&gt;Dashboard!$R$4),Data!G609,NA()))</f>
        <v>80000</v>
      </c>
      <c r="W58" s="13" t="s">
        <v>1700</v>
      </c>
      <c r="X58" s="13"/>
      <c r="Z58" s="13"/>
      <c r="AA58" s="13"/>
      <c r="AB58" s="10">
        <f t="shared" si="10"/>
        <v>55</v>
      </c>
      <c r="AC58" s="13" t="s">
        <v>1700</v>
      </c>
      <c r="AD58" s="8">
        <v>24864</v>
      </c>
      <c r="AI58" s="13" t="s">
        <v>2100</v>
      </c>
      <c r="AJ58" s="8">
        <v>75000</v>
      </c>
      <c r="AK58" s="8">
        <v>1</v>
      </c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Q58" s="13" t="s">
        <v>2100</v>
      </c>
      <c r="BR58" s="8">
        <v>75000</v>
      </c>
      <c r="BS58" s="8"/>
      <c r="BT58" s="8"/>
      <c r="BU58" s="8"/>
      <c r="BV58" s="8"/>
    </row>
    <row r="59" spans="2:74">
      <c r="B59" t="e">
        <f>IF(Dashboard!$P$4="All",Data!G610,IF(Data!K610=Dashboard!$P$4,Data!G610,NA()))</f>
        <v>#N/A</v>
      </c>
      <c r="C59" t="str">
        <f t="shared" si="0"/>
        <v/>
      </c>
      <c r="D59" t="str">
        <f t="shared" si="1"/>
        <v/>
      </c>
      <c r="E59" t="str">
        <f t="shared" si="2"/>
        <v/>
      </c>
      <c r="F59" t="str">
        <f>IF(C59&lt;&gt;"",Data!$M610,"")</f>
        <v/>
      </c>
      <c r="K59" t="e">
        <f>IF(Dashboard!$R$4="All",Data!G610,IF(Data!K610=Dashboard!$R$4,Data!G610,NA()))</f>
        <v>#N/A</v>
      </c>
      <c r="L59" t="str">
        <f t="shared" si="3"/>
        <v/>
      </c>
      <c r="M59" t="str">
        <f t="shared" si="4"/>
        <v/>
      </c>
      <c r="N59" t="str">
        <f t="shared" si="5"/>
        <v/>
      </c>
      <c r="O59" t="str">
        <f>IF(L59&lt;&gt;"",Data!$M610,"")</f>
        <v/>
      </c>
      <c r="P59" s="13" t="s">
        <v>1056</v>
      </c>
      <c r="T59">
        <f>IF(OR(Dashboard!$P$4="All",Dashboard!$R$4="All"),NA(),IF(OR(Data!K610&lt;&gt;Dashboard!$P$4,Data!K610&lt;&gt;Dashboard!$R$4),Data!G610,NA()))</f>
        <v>21000</v>
      </c>
      <c r="W59" s="13" t="s">
        <v>818</v>
      </c>
      <c r="X59" s="13"/>
      <c r="Z59" s="13"/>
      <c r="AA59" s="13"/>
      <c r="AB59" s="10">
        <f t="shared" si="10"/>
        <v>56</v>
      </c>
      <c r="AC59" s="13" t="s">
        <v>38</v>
      </c>
      <c r="AD59" s="8">
        <v>24716.347245901055</v>
      </c>
      <c r="AI59" s="13" t="s">
        <v>2101</v>
      </c>
      <c r="AJ59" s="8"/>
      <c r="AK59" s="8"/>
      <c r="AL59" s="8"/>
      <c r="AM59" s="8"/>
      <c r="AN59" s="8"/>
      <c r="AO59" s="8"/>
      <c r="AP59" s="8">
        <v>95000</v>
      </c>
      <c r="AQ59" s="8">
        <v>1</v>
      </c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Q59" s="13" t="s">
        <v>2101</v>
      </c>
      <c r="BR59" s="8"/>
      <c r="BS59" s="8"/>
      <c r="BT59" s="8">
        <v>95000</v>
      </c>
      <c r="BU59" s="8"/>
      <c r="BV59" s="8"/>
    </row>
    <row r="60" spans="2:74">
      <c r="B60" t="e">
        <f>IF(Dashboard!$P$4="All",Data!G611,IF(Data!K611=Dashboard!$P$4,Data!G611,NA()))</f>
        <v>#N/A</v>
      </c>
      <c r="C60" t="str">
        <f t="shared" si="0"/>
        <v/>
      </c>
      <c r="D60" t="str">
        <f t="shared" si="1"/>
        <v/>
      </c>
      <c r="E60" t="str">
        <f t="shared" si="2"/>
        <v/>
      </c>
      <c r="F60" t="str">
        <f>IF(C60&lt;&gt;"",Data!$M611,"")</f>
        <v/>
      </c>
      <c r="K60" t="e">
        <f>IF(Dashboard!$R$4="All",Data!G611,IF(Data!K611=Dashboard!$R$4,Data!G611,NA()))</f>
        <v>#N/A</v>
      </c>
      <c r="L60" t="str">
        <f t="shared" si="3"/>
        <v/>
      </c>
      <c r="M60" t="str">
        <f t="shared" si="4"/>
        <v/>
      </c>
      <c r="N60" t="str">
        <f t="shared" si="5"/>
        <v/>
      </c>
      <c r="O60" t="str">
        <f>IF(L60&lt;&gt;"",Data!$M611,"")</f>
        <v/>
      </c>
      <c r="P60" s="13" t="s">
        <v>401</v>
      </c>
      <c r="T60">
        <f>IF(OR(Dashboard!$P$4="All",Dashboard!$R$4="All"),NA(),IF(OR(Data!K611&lt;&gt;Dashboard!$P$4,Data!K611&lt;&gt;Dashboard!$R$4),Data!G611,NA()))</f>
        <v>245840.3807575817</v>
      </c>
      <c r="W60" s="13" t="s">
        <v>1131</v>
      </c>
      <c r="X60" s="13"/>
      <c r="Z60" s="13"/>
      <c r="AA60" s="13"/>
      <c r="AB60" s="10">
        <f t="shared" si="10"/>
        <v>57</v>
      </c>
      <c r="AC60" s="13" t="s">
        <v>4009</v>
      </c>
      <c r="AD60" s="8">
        <v>24000</v>
      </c>
      <c r="AI60" s="13" t="s">
        <v>2102</v>
      </c>
      <c r="AJ60" s="8"/>
      <c r="AK60" s="8"/>
      <c r="AL60" s="8">
        <v>24000</v>
      </c>
      <c r="AM60" s="8">
        <v>1</v>
      </c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Q60" s="13" t="s">
        <v>2102</v>
      </c>
      <c r="BR60" s="8"/>
      <c r="BS60" s="8">
        <v>24000</v>
      </c>
      <c r="BT60" s="8"/>
      <c r="BU60" s="8"/>
      <c r="BV60" s="8"/>
    </row>
    <row r="61" spans="2:74">
      <c r="B61" t="e">
        <f>IF(Dashboard!$P$4="All",Data!G612,IF(Data!K612=Dashboard!$P$4,Data!G612,NA()))</f>
        <v>#N/A</v>
      </c>
      <c r="C61" t="str">
        <f t="shared" si="0"/>
        <v/>
      </c>
      <c r="D61" t="str">
        <f t="shared" si="1"/>
        <v/>
      </c>
      <c r="E61" t="str">
        <f t="shared" si="2"/>
        <v/>
      </c>
      <c r="F61" t="str">
        <f>IF(C61&lt;&gt;"",Data!$M612,"")</f>
        <v/>
      </c>
      <c r="K61" t="e">
        <f>IF(Dashboard!$R$4="All",Data!G612,IF(Data!K612=Dashboard!$R$4,Data!G612,NA()))</f>
        <v>#N/A</v>
      </c>
      <c r="L61" t="str">
        <f t="shared" si="3"/>
        <v/>
      </c>
      <c r="M61" t="str">
        <f t="shared" si="4"/>
        <v/>
      </c>
      <c r="N61" t="str">
        <f t="shared" si="5"/>
        <v/>
      </c>
      <c r="O61" t="str">
        <f>IF(L61&lt;&gt;"",Data!$M612,"")</f>
        <v/>
      </c>
      <c r="P61" s="13" t="s">
        <v>1391</v>
      </c>
      <c r="T61">
        <f>IF(OR(Dashboard!$P$4="All",Dashboard!$R$4="All"),NA(),IF(OR(Data!K612&lt;&gt;Dashboard!$P$4,Data!K612&lt;&gt;Dashboard!$R$4),Data!G612,NA()))</f>
        <v>2849.2666699908109</v>
      </c>
      <c r="W61" s="13" t="s">
        <v>1771</v>
      </c>
      <c r="X61" s="13"/>
      <c r="Z61" s="13"/>
      <c r="AA61" s="13"/>
      <c r="AB61" s="10">
        <f t="shared" si="10"/>
        <v>58</v>
      </c>
      <c r="AC61" s="13" t="s">
        <v>1331</v>
      </c>
      <c r="AD61" s="8">
        <v>24000</v>
      </c>
      <c r="AI61" s="13" t="s">
        <v>2103</v>
      </c>
      <c r="AJ61" s="8"/>
      <c r="AK61" s="8"/>
      <c r="AL61" s="8">
        <v>91000</v>
      </c>
      <c r="AM61" s="8">
        <v>1</v>
      </c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Q61" s="13" t="s">
        <v>2103</v>
      </c>
      <c r="BR61" s="8">
        <v>91000</v>
      </c>
      <c r="BS61" s="8"/>
      <c r="BT61" s="8"/>
      <c r="BU61" s="8"/>
      <c r="BV61" s="8"/>
    </row>
    <row r="62" spans="2:74">
      <c r="B62" t="e">
        <f>IF(Dashboard!$P$4="All",Data!G613,IF(Data!K613=Dashboard!$P$4,Data!G613,NA()))</f>
        <v>#N/A</v>
      </c>
      <c r="C62" t="str">
        <f t="shared" si="0"/>
        <v/>
      </c>
      <c r="D62" t="str">
        <f t="shared" si="1"/>
        <v/>
      </c>
      <c r="E62" t="str">
        <f t="shared" si="2"/>
        <v/>
      </c>
      <c r="F62" t="str">
        <f>IF(C62&lt;&gt;"",Data!$M613,"")</f>
        <v/>
      </c>
      <c r="K62" t="e">
        <f>IF(Dashboard!$R$4="All",Data!G613,IF(Data!K613=Dashboard!$R$4,Data!G613,NA()))</f>
        <v>#N/A</v>
      </c>
      <c r="L62" t="str">
        <f t="shared" si="3"/>
        <v/>
      </c>
      <c r="M62" t="str">
        <f t="shared" si="4"/>
        <v/>
      </c>
      <c r="N62" t="str">
        <f t="shared" si="5"/>
        <v/>
      </c>
      <c r="O62" t="str">
        <f>IF(L62&lt;&gt;"",Data!$M613,"")</f>
        <v/>
      </c>
      <c r="P62" s="13" t="s">
        <v>392</v>
      </c>
      <c r="T62">
        <f>IF(OR(Dashboard!$P$4="All",Dashboard!$R$4="All"),NA(),IF(OR(Data!K613&lt;&gt;Dashboard!$P$4,Data!K613&lt;&gt;Dashboard!$R$4),Data!G613,NA()))</f>
        <v>8400</v>
      </c>
      <c r="W62" s="13" t="s">
        <v>166</v>
      </c>
      <c r="X62" s="13"/>
      <c r="Z62" s="13"/>
      <c r="AA62" s="13"/>
      <c r="AB62" s="10">
        <f t="shared" si="10"/>
        <v>59</v>
      </c>
      <c r="AC62" s="13" t="s">
        <v>1131</v>
      </c>
      <c r="AD62" s="8">
        <v>23371.616569936894</v>
      </c>
      <c r="AI62" s="13" t="s">
        <v>2104</v>
      </c>
      <c r="AJ62" s="8">
        <v>40000</v>
      </c>
      <c r="AK62" s="8">
        <v>1</v>
      </c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Q62" s="13" t="s">
        <v>2104</v>
      </c>
      <c r="BR62" s="8"/>
      <c r="BS62" s="8"/>
      <c r="BT62" s="8">
        <v>40000</v>
      </c>
      <c r="BU62" s="8"/>
      <c r="BV62" s="8"/>
    </row>
    <row r="63" spans="2:74">
      <c r="B63" t="e">
        <f>IF(Dashboard!$P$4="All",Data!G614,IF(Data!K614=Dashboard!$P$4,Data!G614,NA()))</f>
        <v>#N/A</v>
      </c>
      <c r="C63" t="str">
        <f t="shared" si="0"/>
        <v/>
      </c>
      <c r="D63" t="str">
        <f t="shared" si="1"/>
        <v/>
      </c>
      <c r="E63" t="str">
        <f t="shared" si="2"/>
        <v/>
      </c>
      <c r="F63" t="str">
        <f>IF(C63&lt;&gt;"",Data!$M614,"")</f>
        <v/>
      </c>
      <c r="K63" t="e">
        <f>IF(Dashboard!$R$4="All",Data!G614,IF(Data!K614=Dashboard!$R$4,Data!G614,NA()))</f>
        <v>#N/A</v>
      </c>
      <c r="L63" t="str">
        <f t="shared" si="3"/>
        <v/>
      </c>
      <c r="M63" t="str">
        <f t="shared" si="4"/>
        <v/>
      </c>
      <c r="N63" t="str">
        <f t="shared" si="5"/>
        <v/>
      </c>
      <c r="O63" t="str">
        <f>IF(L63&lt;&gt;"",Data!$M614,"")</f>
        <v/>
      </c>
      <c r="P63" s="13" t="s">
        <v>1354</v>
      </c>
      <c r="T63">
        <f>IF(OR(Dashboard!$P$4="All",Dashboard!$R$4="All"),NA(),IF(OR(Data!K614&lt;&gt;Dashboard!$P$4,Data!K614&lt;&gt;Dashboard!$R$4),Data!G614,NA()))</f>
        <v>86692.320794224041</v>
      </c>
      <c r="W63" s="13" t="s">
        <v>1411</v>
      </c>
      <c r="X63" s="13"/>
      <c r="Z63" s="13"/>
      <c r="AA63" s="13"/>
      <c r="AB63" s="10">
        <f t="shared" si="10"/>
        <v>60</v>
      </c>
      <c r="AC63" s="13" t="s">
        <v>716</v>
      </c>
      <c r="AD63" s="8">
        <v>22921.154792448855</v>
      </c>
      <c r="AI63" s="13" t="s">
        <v>2105</v>
      </c>
      <c r="AJ63" s="8"/>
      <c r="AK63" s="8"/>
      <c r="AL63" s="8">
        <v>57000</v>
      </c>
      <c r="AM63" s="8">
        <v>1</v>
      </c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Q63" s="13" t="s">
        <v>2105</v>
      </c>
      <c r="BR63" s="8"/>
      <c r="BS63" s="8"/>
      <c r="BT63" s="8">
        <v>57000</v>
      </c>
      <c r="BU63" s="8"/>
      <c r="BV63" s="8"/>
    </row>
    <row r="64" spans="2:74">
      <c r="B64" t="e">
        <f>IF(Dashboard!$P$4="All",Data!G615,IF(Data!K615=Dashboard!$P$4,Data!G615,NA()))</f>
        <v>#N/A</v>
      </c>
      <c r="C64" t="str">
        <f t="shared" si="0"/>
        <v/>
      </c>
      <c r="D64" t="str">
        <f t="shared" si="1"/>
        <v/>
      </c>
      <c r="E64" t="str">
        <f t="shared" si="2"/>
        <v/>
      </c>
      <c r="F64" t="str">
        <f>IF(C64&lt;&gt;"",Data!$M615,"")</f>
        <v/>
      </c>
      <c r="K64" t="e">
        <f>IF(Dashboard!$R$4="All",Data!G615,IF(Data!K615=Dashboard!$R$4,Data!G615,NA()))</f>
        <v>#N/A</v>
      </c>
      <c r="L64" t="str">
        <f t="shared" si="3"/>
        <v/>
      </c>
      <c r="M64" t="str">
        <f t="shared" si="4"/>
        <v/>
      </c>
      <c r="N64" t="str">
        <f t="shared" si="5"/>
        <v/>
      </c>
      <c r="O64" t="str">
        <f>IF(L64&lt;&gt;"",Data!$M615,"")</f>
        <v/>
      </c>
      <c r="P64" s="13" t="s">
        <v>446</v>
      </c>
      <c r="T64">
        <f>IF(OR(Dashboard!$P$4="All",Dashboard!$R$4="All"),NA(),IF(OR(Data!K615&lt;&gt;Dashboard!$P$4,Data!K615&lt;&gt;Dashboard!$R$4),Data!G615,NA()))</f>
        <v>50000</v>
      </c>
      <c r="W64" s="13" t="s">
        <v>1291</v>
      </c>
      <c r="X64" s="13"/>
      <c r="Z64" s="13"/>
      <c r="AA64" s="13"/>
      <c r="AB64" s="10">
        <f t="shared" si="10"/>
        <v>61</v>
      </c>
      <c r="AC64" s="13" t="s">
        <v>4008</v>
      </c>
      <c r="AD64" s="8">
        <v>21000</v>
      </c>
      <c r="AI64" s="13" t="s">
        <v>2106</v>
      </c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>
        <v>74000</v>
      </c>
      <c r="AW64" s="8">
        <v>1</v>
      </c>
      <c r="AX64" s="8"/>
      <c r="AY64" s="8"/>
      <c r="AZ64" s="8"/>
      <c r="BA64" s="8"/>
      <c r="BB64" s="8"/>
      <c r="BC64" s="8"/>
      <c r="BQ64" s="13" t="s">
        <v>2106</v>
      </c>
      <c r="BR64" s="8"/>
      <c r="BS64" s="8"/>
      <c r="BT64" s="8">
        <v>74000</v>
      </c>
      <c r="BU64" s="8"/>
      <c r="BV64" s="8"/>
    </row>
    <row r="65" spans="2:74">
      <c r="B65" t="e">
        <f>IF(Dashboard!$P$4="All",Data!G616,IF(Data!K616=Dashboard!$P$4,Data!G616,NA()))</f>
        <v>#N/A</v>
      </c>
      <c r="C65" t="str">
        <f t="shared" si="0"/>
        <v/>
      </c>
      <c r="D65" t="str">
        <f t="shared" si="1"/>
        <v/>
      </c>
      <c r="E65" t="str">
        <f t="shared" si="2"/>
        <v/>
      </c>
      <c r="F65" t="str">
        <f>IF(C65&lt;&gt;"",Data!$M616,"")</f>
        <v/>
      </c>
      <c r="K65" t="e">
        <f>IF(Dashboard!$R$4="All",Data!G616,IF(Data!K616=Dashboard!$R$4,Data!G616,NA()))</f>
        <v>#N/A</v>
      </c>
      <c r="L65" t="str">
        <f t="shared" si="3"/>
        <v/>
      </c>
      <c r="M65" t="str">
        <f t="shared" si="4"/>
        <v/>
      </c>
      <c r="N65" t="str">
        <f t="shared" si="5"/>
        <v/>
      </c>
      <c r="O65" t="str">
        <f>IF(L65&lt;&gt;"",Data!$M616,"")</f>
        <v/>
      </c>
      <c r="P65" s="13" t="s">
        <v>507</v>
      </c>
      <c r="T65">
        <f>IF(OR(Dashboard!$P$4="All",Dashboard!$R$4="All"),NA(),IF(OR(Data!K616&lt;&gt;Dashboard!$P$4,Data!K616&lt;&gt;Dashboard!$R$4),Data!G616,NA()))</f>
        <v>4000</v>
      </c>
      <c r="W65" s="13" t="s">
        <v>1731</v>
      </c>
      <c r="X65" s="13"/>
      <c r="Z65" s="13"/>
      <c r="AA65" s="13"/>
      <c r="AB65" s="10">
        <f t="shared" si="10"/>
        <v>62</v>
      </c>
      <c r="AC65" s="13" t="s">
        <v>1074</v>
      </c>
      <c r="AD65" s="8">
        <v>20571</v>
      </c>
      <c r="AI65" s="13" t="s">
        <v>2107</v>
      </c>
      <c r="AJ65" s="8">
        <v>80000</v>
      </c>
      <c r="AK65" s="8">
        <v>1</v>
      </c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Q65" s="13" t="s">
        <v>2107</v>
      </c>
      <c r="BR65" s="8"/>
      <c r="BS65" s="8"/>
      <c r="BT65" s="8">
        <v>80000</v>
      </c>
      <c r="BU65" s="8"/>
      <c r="BV65" s="8"/>
    </row>
    <row r="66" spans="2:74">
      <c r="B66" t="e">
        <f>IF(Dashboard!$P$4="All",Data!G617,IF(Data!K617=Dashboard!$P$4,Data!G617,NA()))</f>
        <v>#N/A</v>
      </c>
      <c r="C66" t="str">
        <f t="shared" si="0"/>
        <v/>
      </c>
      <c r="D66" t="str">
        <f t="shared" si="1"/>
        <v/>
      </c>
      <c r="E66" t="str">
        <f t="shared" si="2"/>
        <v/>
      </c>
      <c r="F66" t="str">
        <f>IF(C66&lt;&gt;"",Data!$M617,"")</f>
        <v/>
      </c>
      <c r="K66" t="e">
        <f>IF(Dashboard!$R$4="All",Data!G617,IF(Data!K617=Dashboard!$R$4,Data!G617,NA()))</f>
        <v>#N/A</v>
      </c>
      <c r="L66" t="str">
        <f t="shared" si="3"/>
        <v/>
      </c>
      <c r="M66" t="str">
        <f t="shared" si="4"/>
        <v/>
      </c>
      <c r="N66" t="str">
        <f t="shared" si="5"/>
        <v/>
      </c>
      <c r="O66" t="str">
        <f>IF(L66&lt;&gt;"",Data!$M617,"")</f>
        <v/>
      </c>
      <c r="P66" s="13" t="s">
        <v>615</v>
      </c>
      <c r="T66">
        <f>IF(OR(Dashboard!$P$4="All",Dashboard!$R$4="All"),NA(),IF(OR(Data!K617&lt;&gt;Dashboard!$P$4,Data!K617&lt;&gt;Dashboard!$R$4),Data!G617,NA()))</f>
        <v>101990.96564026357</v>
      </c>
      <c r="W66" s="13" t="s">
        <v>4009</v>
      </c>
      <c r="X66" s="13"/>
      <c r="Z66" s="13"/>
      <c r="AA66" s="13"/>
      <c r="AB66" s="10">
        <f t="shared" si="10"/>
        <v>63</v>
      </c>
      <c r="AC66" s="13" t="s">
        <v>1156</v>
      </c>
      <c r="AD66" s="8">
        <v>20000</v>
      </c>
      <c r="AI66" s="13" t="s">
        <v>2108</v>
      </c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>
        <v>90000</v>
      </c>
      <c r="AU66" s="8">
        <v>1</v>
      </c>
      <c r="AV66" s="8"/>
      <c r="AW66" s="8"/>
      <c r="AX66" s="8"/>
      <c r="AY66" s="8"/>
      <c r="AZ66" s="8"/>
      <c r="BA66" s="8"/>
      <c r="BB66" s="8"/>
      <c r="BC66" s="8"/>
      <c r="BQ66" s="13" t="s">
        <v>2108</v>
      </c>
      <c r="BR66" s="8"/>
      <c r="BS66" s="8"/>
      <c r="BT66" s="8">
        <v>90000</v>
      </c>
      <c r="BU66" s="8"/>
      <c r="BV66" s="8"/>
    </row>
    <row r="67" spans="2:74">
      <c r="B67" t="e">
        <f>IF(Dashboard!$P$4="All",Data!G618,IF(Data!K618=Dashboard!$P$4,Data!G618,NA()))</f>
        <v>#N/A</v>
      </c>
      <c r="C67" t="str">
        <f t="shared" si="0"/>
        <v/>
      </c>
      <c r="D67" t="str">
        <f t="shared" si="1"/>
        <v/>
      </c>
      <c r="E67" t="str">
        <f t="shared" si="2"/>
        <v/>
      </c>
      <c r="F67" t="str">
        <f>IF(C67&lt;&gt;"",Data!$M618,"")</f>
        <v/>
      </c>
      <c r="K67" t="e">
        <f>IF(Dashboard!$R$4="All",Data!G618,IF(Data!K618=Dashboard!$R$4,Data!G618,NA()))</f>
        <v>#N/A</v>
      </c>
      <c r="L67" t="str">
        <f t="shared" si="3"/>
        <v/>
      </c>
      <c r="M67" t="str">
        <f t="shared" si="4"/>
        <v/>
      </c>
      <c r="N67" t="str">
        <f t="shared" si="5"/>
        <v/>
      </c>
      <c r="O67" t="str">
        <f>IF(L67&lt;&gt;"",Data!$M618,"")</f>
        <v/>
      </c>
      <c r="P67" s="13" t="s">
        <v>599</v>
      </c>
      <c r="T67">
        <f>IF(OR(Dashboard!$P$4="All",Dashboard!$R$4="All"),NA(),IF(OR(Data!K618&lt;&gt;Dashboard!$P$4,Data!K618&lt;&gt;Dashboard!$R$4),Data!G618,NA()))</f>
        <v>95000</v>
      </c>
      <c r="W67" s="13" t="s">
        <v>1444</v>
      </c>
      <c r="X67" s="13"/>
      <c r="Z67" s="13"/>
      <c r="AA67" s="13"/>
      <c r="AB67" s="10">
        <f t="shared" si="10"/>
        <v>64</v>
      </c>
      <c r="AC67" s="13" t="s">
        <v>1933</v>
      </c>
      <c r="AD67" s="8">
        <v>20000</v>
      </c>
      <c r="AI67" s="13" t="s">
        <v>2110</v>
      </c>
      <c r="AJ67" s="8"/>
      <c r="AK67" s="8"/>
      <c r="AL67" s="8">
        <v>52000</v>
      </c>
      <c r="AM67" s="8">
        <v>1</v>
      </c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Q67" s="13" t="s">
        <v>2110</v>
      </c>
      <c r="BR67" s="8"/>
      <c r="BS67" s="8"/>
      <c r="BT67" s="8">
        <v>52000</v>
      </c>
      <c r="BU67" s="8"/>
      <c r="BV67" s="8"/>
    </row>
    <row r="68" spans="2:74">
      <c r="B68" t="e">
        <f>IF(Dashboard!$P$4="All",Data!G619,IF(Data!K619=Dashboard!$P$4,Data!G619,NA()))</f>
        <v>#N/A</v>
      </c>
      <c r="C68" t="str">
        <f t="shared" ref="C68:C131" si="54">IF(ISNA(B68),"",B68)</f>
        <v/>
      </c>
      <c r="D68" t="str">
        <f t="shared" ref="D68:D131" si="55">IF(C68&gt;=PERCENTILE($C$3:$C$1337,0.9),C68,"")</f>
        <v/>
      </c>
      <c r="E68" t="str">
        <f t="shared" ref="E68:E131" si="56">IF(C68&lt;=PERCENTILE($C$3:$C$1337,0.1),C68,"")</f>
        <v/>
      </c>
      <c r="F68" t="str">
        <f>IF(C68&lt;&gt;"",Data!$M619,"")</f>
        <v/>
      </c>
      <c r="K68" t="e">
        <f>IF(Dashboard!$R$4="All",Data!G619,IF(Data!K619=Dashboard!$R$4,Data!G619,NA()))</f>
        <v>#N/A</v>
      </c>
      <c r="L68" t="str">
        <f t="shared" ref="L68:L131" si="57">IF(ISNA(K68),"",K68)</f>
        <v/>
      </c>
      <c r="M68" t="str">
        <f t="shared" ref="M68:M131" si="58">IF(L68&gt;=PERCENTILE($L$3:$L$1337,0.9),L68,"")</f>
        <v/>
      </c>
      <c r="N68" t="str">
        <f t="shared" ref="N68:N131" si="59">IF(L68&lt;=PERCENTILE($L$3:$L$1337,0.1),L68,"")</f>
        <v/>
      </c>
      <c r="O68" t="str">
        <f>IF(L68&lt;&gt;"",Data!$M619,"")</f>
        <v/>
      </c>
      <c r="P68" s="13" t="s">
        <v>361</v>
      </c>
      <c r="T68">
        <f>IF(OR(Dashboard!$P$4="All",Dashboard!$R$4="All"),NA(),IF(OR(Data!K619&lt;&gt;Dashboard!$P$4,Data!K619&lt;&gt;Dashboard!$R$4),Data!G619,NA()))</f>
        <v>10000</v>
      </c>
      <c r="W68" s="13" t="s">
        <v>628</v>
      </c>
      <c r="X68" s="13"/>
      <c r="Z68" s="13"/>
      <c r="AA68" s="13"/>
      <c r="AB68" s="10">
        <f t="shared" si="10"/>
        <v>65</v>
      </c>
      <c r="AC68" s="13" t="s">
        <v>847</v>
      </c>
      <c r="AD68" s="8">
        <v>19831.432821021317</v>
      </c>
      <c r="AI68" s="13" t="s">
        <v>2112</v>
      </c>
      <c r="AJ68" s="8">
        <v>36000</v>
      </c>
      <c r="AK68" s="8">
        <v>1</v>
      </c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Q68" s="13" t="s">
        <v>2112</v>
      </c>
      <c r="BR68" s="8"/>
      <c r="BS68" s="8"/>
      <c r="BT68" s="8">
        <v>36000</v>
      </c>
      <c r="BU68" s="8"/>
      <c r="BV68" s="8"/>
    </row>
    <row r="69" spans="2:74">
      <c r="B69" t="e">
        <f>IF(Dashboard!$P$4="All",Data!G620,IF(Data!K620=Dashboard!$P$4,Data!G620,NA()))</f>
        <v>#N/A</v>
      </c>
      <c r="C69" t="str">
        <f t="shared" si="54"/>
        <v/>
      </c>
      <c r="D69" t="str">
        <f t="shared" si="55"/>
        <v/>
      </c>
      <c r="E69" t="str">
        <f t="shared" si="56"/>
        <v/>
      </c>
      <c r="F69" t="str">
        <f>IF(C69&lt;&gt;"",Data!$M620,"")</f>
        <v/>
      </c>
      <c r="K69" t="e">
        <f>IF(Dashboard!$R$4="All",Data!G620,IF(Data!K620=Dashboard!$R$4,Data!G620,NA()))</f>
        <v>#N/A</v>
      </c>
      <c r="L69" t="str">
        <f t="shared" si="57"/>
        <v/>
      </c>
      <c r="M69" t="str">
        <f t="shared" si="58"/>
        <v/>
      </c>
      <c r="N69" t="str">
        <f t="shared" si="59"/>
        <v/>
      </c>
      <c r="O69" t="str">
        <f>IF(L69&lt;&gt;"",Data!$M620,"")</f>
        <v/>
      </c>
      <c r="P69" s="13" t="s">
        <v>539</v>
      </c>
      <c r="T69">
        <f>IF(OR(Dashboard!$P$4="All",Dashboard!$R$4="All"),NA(),IF(OR(Data!K620&lt;&gt;Dashboard!$P$4,Data!K620&lt;&gt;Dashboard!$R$4),Data!G620,NA()))</f>
        <v>4200</v>
      </c>
      <c r="W69" s="13" t="s">
        <v>672</v>
      </c>
      <c r="X69" s="13"/>
      <c r="Z69" s="13"/>
      <c r="AA69" s="13"/>
      <c r="AB69" s="10">
        <f t="shared" si="10"/>
        <v>66</v>
      </c>
      <c r="AC69" s="13" t="s">
        <v>1066</v>
      </c>
      <c r="AD69" s="8">
        <v>19055.991584874118</v>
      </c>
      <c r="AI69" s="13" t="s">
        <v>2113</v>
      </c>
      <c r="AJ69" s="8">
        <v>57400</v>
      </c>
      <c r="AK69" s="8">
        <v>1</v>
      </c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Q69" s="13" t="s">
        <v>2113</v>
      </c>
      <c r="BR69" s="8"/>
      <c r="BS69" s="8"/>
      <c r="BT69" s="8">
        <v>57400</v>
      </c>
      <c r="BU69" s="8"/>
      <c r="BV69" s="8"/>
    </row>
    <row r="70" spans="2:74">
      <c r="B70" t="e">
        <f>IF(Dashboard!$P$4="All",Data!G621,IF(Data!K621=Dashboard!$P$4,Data!G621,NA()))</f>
        <v>#N/A</v>
      </c>
      <c r="C70" t="str">
        <f t="shared" si="54"/>
        <v/>
      </c>
      <c r="D70" t="str">
        <f t="shared" si="55"/>
        <v/>
      </c>
      <c r="E70" t="str">
        <f t="shared" si="56"/>
        <v/>
      </c>
      <c r="F70" t="str">
        <f>IF(C70&lt;&gt;"",Data!$M621,"")</f>
        <v/>
      </c>
      <c r="K70" t="e">
        <f>IF(Dashboard!$R$4="All",Data!G621,IF(Data!K621=Dashboard!$R$4,Data!G621,NA()))</f>
        <v>#N/A</v>
      </c>
      <c r="L70" t="str">
        <f t="shared" si="57"/>
        <v/>
      </c>
      <c r="M70" t="str">
        <f t="shared" si="58"/>
        <v/>
      </c>
      <c r="N70" t="str">
        <f t="shared" si="59"/>
        <v/>
      </c>
      <c r="O70" t="str">
        <f>IF(L70&lt;&gt;"",Data!$M621,"")</f>
        <v/>
      </c>
      <c r="P70" s="13" t="s">
        <v>70</v>
      </c>
      <c r="T70">
        <f>IF(OR(Dashboard!$P$4="All",Dashboard!$R$4="All"),NA(),IF(OR(Data!K621&lt;&gt;Dashboard!$P$4,Data!K621&lt;&gt;Dashboard!$R$4),Data!G621,NA()))</f>
        <v>12821.700014958649</v>
      </c>
      <c r="W70" s="13" t="s">
        <v>870</v>
      </c>
      <c r="X70" s="13"/>
      <c r="Z70" s="13"/>
      <c r="AA70" s="13"/>
      <c r="AB70" s="10">
        <f t="shared" ref="AB70:AB113" si="60">AB69+1</f>
        <v>67</v>
      </c>
      <c r="AC70" s="13" t="s">
        <v>1503</v>
      </c>
      <c r="AD70" s="8">
        <v>18000</v>
      </c>
      <c r="AI70" s="13" t="s">
        <v>2114</v>
      </c>
      <c r="AJ70" s="8">
        <v>66000</v>
      </c>
      <c r="AK70" s="8">
        <v>1</v>
      </c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Q70" s="13" t="s">
        <v>2114</v>
      </c>
      <c r="BR70" s="8"/>
      <c r="BS70" s="8">
        <v>66000</v>
      </c>
      <c r="BT70" s="8"/>
      <c r="BU70" s="8"/>
      <c r="BV70" s="8"/>
    </row>
    <row r="71" spans="2:74">
      <c r="B71" t="e">
        <f>IF(Dashboard!$P$4="All",Data!G622,IF(Data!K622=Dashboard!$P$4,Data!G622,NA()))</f>
        <v>#N/A</v>
      </c>
      <c r="C71" t="str">
        <f t="shared" si="54"/>
        <v/>
      </c>
      <c r="D71" t="str">
        <f t="shared" si="55"/>
        <v/>
      </c>
      <c r="E71" t="str">
        <f t="shared" si="56"/>
        <v/>
      </c>
      <c r="F71" t="str">
        <f>IF(C71&lt;&gt;"",Data!$M622,"")</f>
        <v/>
      </c>
      <c r="K71" t="e">
        <f>IF(Dashboard!$R$4="All",Data!G622,IF(Data!K622=Dashboard!$R$4,Data!G622,NA()))</f>
        <v>#N/A</v>
      </c>
      <c r="L71" t="str">
        <f t="shared" si="57"/>
        <v/>
      </c>
      <c r="M71" t="str">
        <f t="shared" si="58"/>
        <v/>
      </c>
      <c r="N71" t="str">
        <f t="shared" si="59"/>
        <v/>
      </c>
      <c r="O71" t="str">
        <f>IF(L71&lt;&gt;"",Data!$M622,"")</f>
        <v/>
      </c>
      <c r="P71" s="13" t="s">
        <v>52</v>
      </c>
      <c r="T71">
        <f>IF(OR(Dashboard!$P$4="All",Dashboard!$R$4="All"),NA(),IF(OR(Data!K622&lt;&gt;Dashboard!$P$4,Data!K622&lt;&gt;Dashboard!$R$4),Data!G622,NA()))</f>
        <v>39000</v>
      </c>
      <c r="W71" s="13" t="s">
        <v>583</v>
      </c>
      <c r="X71" s="13"/>
      <c r="Z71" s="13"/>
      <c r="AA71" s="13"/>
      <c r="AB71" s="10">
        <f t="shared" si="60"/>
        <v>68</v>
      </c>
      <c r="AC71" s="13" t="s">
        <v>1078</v>
      </c>
      <c r="AD71" s="8">
        <v>18000</v>
      </c>
      <c r="AI71" s="13" t="s">
        <v>2116</v>
      </c>
      <c r="AJ71" s="8">
        <v>85000</v>
      </c>
      <c r="AK71" s="8">
        <v>1</v>
      </c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Q71" s="13" t="s">
        <v>2116</v>
      </c>
      <c r="BR71" s="8"/>
      <c r="BS71" s="8"/>
      <c r="BT71" s="8">
        <v>85000</v>
      </c>
      <c r="BU71" s="8"/>
      <c r="BV71" s="8"/>
    </row>
    <row r="72" spans="2:74">
      <c r="B72" t="e">
        <f>IF(Dashboard!$P$4="All",Data!G623,IF(Data!K623=Dashboard!$P$4,Data!G623,NA()))</f>
        <v>#N/A</v>
      </c>
      <c r="C72" t="str">
        <f t="shared" si="54"/>
        <v/>
      </c>
      <c r="D72" t="str">
        <f t="shared" si="55"/>
        <v/>
      </c>
      <c r="E72" t="str">
        <f t="shared" si="56"/>
        <v/>
      </c>
      <c r="F72" t="str">
        <f>IF(C72&lt;&gt;"",Data!$M623,"")</f>
        <v/>
      </c>
      <c r="K72" t="e">
        <f>IF(Dashboard!$R$4="All",Data!G623,IF(Data!K623=Dashboard!$R$4,Data!G623,NA()))</f>
        <v>#N/A</v>
      </c>
      <c r="L72" t="str">
        <f t="shared" si="57"/>
        <v/>
      </c>
      <c r="M72" t="str">
        <f t="shared" si="58"/>
        <v/>
      </c>
      <c r="N72" t="str">
        <f t="shared" si="59"/>
        <v/>
      </c>
      <c r="O72" t="str">
        <f>IF(L72&lt;&gt;"",Data!$M623,"")</f>
        <v/>
      </c>
      <c r="P72" s="13" t="s">
        <v>461</v>
      </c>
      <c r="T72">
        <f>IF(OR(Dashboard!$P$4="All",Dashboard!$R$4="All"),NA(),IF(OR(Data!K623&lt;&gt;Dashboard!$P$4,Data!K623&lt;&gt;Dashboard!$R$4),Data!G623,NA()))</f>
        <v>60000</v>
      </c>
      <c r="W72" s="13" t="s">
        <v>2004</v>
      </c>
      <c r="X72" s="13"/>
      <c r="Z72" s="13"/>
      <c r="AA72" s="13"/>
      <c r="AB72" s="10">
        <f t="shared" si="60"/>
        <v>69</v>
      </c>
      <c r="AC72" s="13" t="s">
        <v>1444</v>
      </c>
      <c r="AD72" s="8">
        <v>17700</v>
      </c>
      <c r="AI72" s="13" t="s">
        <v>2117</v>
      </c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>
        <v>50000</v>
      </c>
      <c r="AU72" s="8">
        <v>1</v>
      </c>
      <c r="AV72" s="8"/>
      <c r="AW72" s="8"/>
      <c r="AX72" s="8"/>
      <c r="AY72" s="8"/>
      <c r="AZ72" s="8"/>
      <c r="BA72" s="8"/>
      <c r="BB72" s="8"/>
      <c r="BC72" s="8"/>
      <c r="BQ72" s="13" t="s">
        <v>2117</v>
      </c>
      <c r="BR72" s="8"/>
      <c r="BS72" s="8"/>
      <c r="BT72" s="8">
        <v>50000</v>
      </c>
      <c r="BU72" s="8"/>
      <c r="BV72" s="8"/>
    </row>
    <row r="73" spans="2:74">
      <c r="B73" t="e">
        <f>IF(Dashboard!$P$4="All",Data!G624,IF(Data!K624=Dashboard!$P$4,Data!G624,NA()))</f>
        <v>#N/A</v>
      </c>
      <c r="C73" t="str">
        <f t="shared" si="54"/>
        <v/>
      </c>
      <c r="D73" t="str">
        <f t="shared" si="55"/>
        <v/>
      </c>
      <c r="E73" t="str">
        <f t="shared" si="56"/>
        <v/>
      </c>
      <c r="F73" t="str">
        <f>IF(C73&lt;&gt;"",Data!$M624,"")</f>
        <v/>
      </c>
      <c r="K73" t="e">
        <f>IF(Dashboard!$R$4="All",Data!G624,IF(Data!K624=Dashboard!$R$4,Data!G624,NA()))</f>
        <v>#N/A</v>
      </c>
      <c r="L73" t="str">
        <f t="shared" si="57"/>
        <v/>
      </c>
      <c r="M73" t="str">
        <f t="shared" si="58"/>
        <v/>
      </c>
      <c r="N73" t="str">
        <f t="shared" si="59"/>
        <v/>
      </c>
      <c r="O73" t="str">
        <f>IF(L73&lt;&gt;"",Data!$M624,"")</f>
        <v/>
      </c>
      <c r="P73" s="13" t="s">
        <v>593</v>
      </c>
      <c r="T73">
        <f>IF(OR(Dashboard!$P$4="All",Dashboard!$R$4="All"),NA(),IF(OR(Data!K624&lt;&gt;Dashboard!$P$4,Data!K624&lt;&gt;Dashboard!$R$4),Data!G624,NA()))</f>
        <v>173384.64158844808</v>
      </c>
      <c r="W73" s="13" t="s">
        <v>17</v>
      </c>
      <c r="X73" s="13"/>
      <c r="Z73" s="13"/>
      <c r="AA73" s="13"/>
      <c r="AB73" s="10">
        <f t="shared" si="60"/>
        <v>70</v>
      </c>
      <c r="AC73" s="13" t="s">
        <v>347</v>
      </c>
      <c r="AD73" s="8">
        <v>17479.292364753517</v>
      </c>
      <c r="AI73" s="13" t="s">
        <v>2118</v>
      </c>
      <c r="AJ73" s="8"/>
      <c r="AK73" s="8"/>
      <c r="AL73" s="8">
        <v>58000</v>
      </c>
      <c r="AM73" s="8">
        <v>1</v>
      </c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Q73" s="13" t="s">
        <v>2118</v>
      </c>
      <c r="BR73" s="8"/>
      <c r="BS73" s="8"/>
      <c r="BT73" s="8">
        <v>58000</v>
      </c>
      <c r="BU73" s="8"/>
      <c r="BV73" s="8"/>
    </row>
    <row r="74" spans="2:74">
      <c r="B74" t="e">
        <f>IF(Dashboard!$P$4="All",Data!G625,IF(Data!K625=Dashboard!$P$4,Data!G625,NA()))</f>
        <v>#N/A</v>
      </c>
      <c r="C74" t="str">
        <f t="shared" si="54"/>
        <v/>
      </c>
      <c r="D74" t="str">
        <f t="shared" si="55"/>
        <v/>
      </c>
      <c r="E74" t="str">
        <f t="shared" si="56"/>
        <v/>
      </c>
      <c r="F74" t="str">
        <f>IF(C74&lt;&gt;"",Data!$M625,"")</f>
        <v/>
      </c>
      <c r="K74" t="e">
        <f>IF(Dashboard!$R$4="All",Data!G625,IF(Data!K625=Dashboard!$R$4,Data!G625,NA()))</f>
        <v>#N/A</v>
      </c>
      <c r="L74" t="str">
        <f t="shared" si="57"/>
        <v/>
      </c>
      <c r="M74" t="str">
        <f t="shared" si="58"/>
        <v/>
      </c>
      <c r="N74" t="str">
        <f t="shared" si="59"/>
        <v/>
      </c>
      <c r="O74" t="str">
        <f>IF(L74&lt;&gt;"",Data!$M625,"")</f>
        <v/>
      </c>
      <c r="P74" s="13" t="s">
        <v>1220</v>
      </c>
      <c r="T74">
        <f>IF(OR(Dashboard!$P$4="All",Dashboard!$R$4="All"),NA(),IF(OR(Data!K625&lt;&gt;Dashboard!$P$4,Data!K625&lt;&gt;Dashboard!$R$4),Data!G625,NA()))</f>
        <v>125000</v>
      </c>
      <c r="W74" s="13" t="s">
        <v>136</v>
      </c>
      <c r="X74" s="13"/>
      <c r="Z74" s="13"/>
      <c r="AA74" s="13"/>
      <c r="AB74" s="10">
        <f t="shared" si="60"/>
        <v>71</v>
      </c>
      <c r="AC74" s="13" t="s">
        <v>1123</v>
      </c>
      <c r="AD74" s="8">
        <v>17046.090103460039</v>
      </c>
      <c r="AI74" s="13" t="s">
        <v>2119</v>
      </c>
      <c r="AJ74" s="8"/>
      <c r="AK74" s="8"/>
      <c r="AL74" s="8"/>
      <c r="AM74" s="8"/>
      <c r="AN74" s="8">
        <v>37900</v>
      </c>
      <c r="AO74" s="8">
        <v>1</v>
      </c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Q74" s="13" t="s">
        <v>2119</v>
      </c>
      <c r="BR74" s="8"/>
      <c r="BS74" s="8"/>
      <c r="BT74" s="8"/>
      <c r="BU74" s="8">
        <v>37900</v>
      </c>
      <c r="BV74" s="8"/>
    </row>
    <row r="75" spans="2:74">
      <c r="B75" t="e">
        <f>IF(Dashboard!$P$4="All",Data!G626,IF(Data!K626=Dashboard!$P$4,Data!G626,NA()))</f>
        <v>#N/A</v>
      </c>
      <c r="C75" t="str">
        <f t="shared" si="54"/>
        <v/>
      </c>
      <c r="D75" t="str">
        <f t="shared" si="55"/>
        <v/>
      </c>
      <c r="E75" t="str">
        <f t="shared" si="56"/>
        <v/>
      </c>
      <c r="F75" t="str">
        <f>IF(C75&lt;&gt;"",Data!$M626,"")</f>
        <v/>
      </c>
      <c r="K75" t="e">
        <f>IF(Dashboard!$R$4="All",Data!G626,IF(Data!K626=Dashboard!$R$4,Data!G626,NA()))</f>
        <v>#N/A</v>
      </c>
      <c r="L75" t="str">
        <f t="shared" si="57"/>
        <v/>
      </c>
      <c r="M75" t="str">
        <f t="shared" si="58"/>
        <v/>
      </c>
      <c r="N75" t="str">
        <f t="shared" si="59"/>
        <v/>
      </c>
      <c r="O75" t="str">
        <f>IF(L75&lt;&gt;"",Data!$M626,"")</f>
        <v/>
      </c>
      <c r="P75" s="13" t="s">
        <v>185</v>
      </c>
      <c r="T75">
        <f>IF(OR(Dashboard!$P$4="All",Dashboard!$R$4="All"),NA(),IF(OR(Data!K626&lt;&gt;Dashboard!$P$4,Data!K626&lt;&gt;Dashboard!$R$4),Data!G626,NA()))</f>
        <v>79552.953199405587</v>
      </c>
      <c r="W75" s="13" t="s">
        <v>1156</v>
      </c>
      <c r="X75" s="13"/>
      <c r="Z75" s="13"/>
      <c r="AA75" s="13"/>
      <c r="AB75" s="10">
        <f t="shared" si="60"/>
        <v>72</v>
      </c>
      <c r="AC75" s="13" t="s">
        <v>73</v>
      </c>
      <c r="AD75" s="8">
        <v>16449.976756585475</v>
      </c>
      <c r="AI75" s="13" t="s">
        <v>2121</v>
      </c>
      <c r="AJ75" s="8">
        <v>67000</v>
      </c>
      <c r="AK75" s="8">
        <v>1</v>
      </c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Q75" s="13" t="s">
        <v>2121</v>
      </c>
      <c r="BR75" s="8"/>
      <c r="BS75" s="8"/>
      <c r="BT75" s="8">
        <v>67000</v>
      </c>
      <c r="BU75" s="8"/>
      <c r="BV75" s="8"/>
    </row>
    <row r="76" spans="2:74">
      <c r="B76" t="e">
        <f>IF(Dashboard!$P$4="All",Data!G627,IF(Data!K627=Dashboard!$P$4,Data!G627,NA()))</f>
        <v>#N/A</v>
      </c>
      <c r="C76" t="str">
        <f t="shared" si="54"/>
        <v/>
      </c>
      <c r="D76" t="str">
        <f t="shared" si="55"/>
        <v/>
      </c>
      <c r="E76" t="str">
        <f t="shared" si="56"/>
        <v/>
      </c>
      <c r="F76" t="str">
        <f>IF(C76&lt;&gt;"",Data!$M627,"")</f>
        <v/>
      </c>
      <c r="K76" t="e">
        <f>IF(Dashboard!$R$4="All",Data!G627,IF(Data!K627=Dashboard!$R$4,Data!G627,NA()))</f>
        <v>#N/A</v>
      </c>
      <c r="L76" t="str">
        <f t="shared" si="57"/>
        <v/>
      </c>
      <c r="M76" t="str">
        <f t="shared" si="58"/>
        <v/>
      </c>
      <c r="N76" t="str">
        <f t="shared" si="59"/>
        <v/>
      </c>
      <c r="O76" t="str">
        <f>IF(L76&lt;&gt;"",Data!$M627,"")</f>
        <v/>
      </c>
      <c r="P76" s="13" t="s">
        <v>1234</v>
      </c>
      <c r="T76">
        <f>IF(OR(Dashboard!$P$4="All",Dashboard!$R$4="All"),NA(),IF(OR(Data!K627&lt;&gt;Dashboard!$P$4,Data!K627&lt;&gt;Dashboard!$R$4),Data!G627,NA()))</f>
        <v>3561.5833374885137</v>
      </c>
      <c r="W76" s="13" t="s">
        <v>1722</v>
      </c>
      <c r="X76" s="13"/>
      <c r="Z76" s="13"/>
      <c r="AA76" s="13"/>
      <c r="AB76" s="10">
        <f t="shared" si="60"/>
        <v>73</v>
      </c>
      <c r="AC76" s="13" t="s">
        <v>1722</v>
      </c>
      <c r="AD76" s="8">
        <v>15840</v>
      </c>
      <c r="AI76" s="13" t="s">
        <v>2123</v>
      </c>
      <c r="AJ76" s="8">
        <v>56160</v>
      </c>
      <c r="AK76" s="8">
        <v>1</v>
      </c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Q76" s="13" t="s">
        <v>2123</v>
      </c>
      <c r="BR76" s="8"/>
      <c r="BS76" s="8"/>
      <c r="BT76" s="8">
        <v>56160</v>
      </c>
      <c r="BU76" s="8"/>
      <c r="BV76" s="8"/>
    </row>
    <row r="77" spans="2:74">
      <c r="B77" t="e">
        <f>IF(Dashboard!$P$4="All",Data!G628,IF(Data!K628=Dashboard!$P$4,Data!G628,NA()))</f>
        <v>#N/A</v>
      </c>
      <c r="C77" t="str">
        <f t="shared" si="54"/>
        <v/>
      </c>
      <c r="D77" t="str">
        <f t="shared" si="55"/>
        <v/>
      </c>
      <c r="E77" t="str">
        <f t="shared" si="56"/>
        <v/>
      </c>
      <c r="F77" t="str">
        <f>IF(C77&lt;&gt;"",Data!$M628,"")</f>
        <v/>
      </c>
      <c r="K77" t="e">
        <f>IF(Dashboard!$R$4="All",Data!G628,IF(Data!K628=Dashboard!$R$4,Data!G628,NA()))</f>
        <v>#N/A</v>
      </c>
      <c r="L77" t="str">
        <f t="shared" si="57"/>
        <v/>
      </c>
      <c r="M77" t="str">
        <f t="shared" si="58"/>
        <v/>
      </c>
      <c r="N77" t="str">
        <f t="shared" si="59"/>
        <v/>
      </c>
      <c r="O77" t="str">
        <f>IF(L77&lt;&gt;"",Data!$M628,"")</f>
        <v/>
      </c>
      <c r="P77" s="13" t="s">
        <v>493</v>
      </c>
      <c r="T77">
        <f>IF(OR(Dashboard!$P$4="All",Dashboard!$R$4="All"),NA(),IF(OR(Data!K628&lt;&gt;Dashboard!$P$4,Data!K628&lt;&gt;Dashboard!$R$4),Data!G628,NA()))</f>
        <v>80000</v>
      </c>
      <c r="W77" s="13" t="s">
        <v>347</v>
      </c>
      <c r="X77" s="13"/>
      <c r="Z77" s="13"/>
      <c r="AA77" s="13"/>
      <c r="AB77" s="10">
        <f t="shared" si="60"/>
        <v>74</v>
      </c>
      <c r="AC77" s="13" t="s">
        <v>1043</v>
      </c>
      <c r="AD77" s="8">
        <v>15600</v>
      </c>
      <c r="AI77" s="13" t="s">
        <v>2125</v>
      </c>
      <c r="AJ77" s="8">
        <v>52000</v>
      </c>
      <c r="AK77" s="8">
        <v>1</v>
      </c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Q77" s="13" t="s">
        <v>2125</v>
      </c>
      <c r="BR77" s="8"/>
      <c r="BS77" s="8"/>
      <c r="BT77" s="8"/>
      <c r="BU77" s="8"/>
      <c r="BV77" s="8">
        <v>52000</v>
      </c>
    </row>
    <row r="78" spans="2:74">
      <c r="B78" t="e">
        <f>IF(Dashboard!$P$4="All",Data!G629,IF(Data!K629=Dashboard!$P$4,Data!G629,NA()))</f>
        <v>#N/A</v>
      </c>
      <c r="C78" t="str">
        <f t="shared" si="54"/>
        <v/>
      </c>
      <c r="D78" t="str">
        <f t="shared" si="55"/>
        <v/>
      </c>
      <c r="E78" t="str">
        <f t="shared" si="56"/>
        <v/>
      </c>
      <c r="F78" t="str">
        <f>IF(C78&lt;&gt;"",Data!$M629,"")</f>
        <v/>
      </c>
      <c r="K78" t="e">
        <f>IF(Dashboard!$R$4="All",Data!G629,IF(Data!K629=Dashboard!$R$4,Data!G629,NA()))</f>
        <v>#N/A</v>
      </c>
      <c r="L78" t="str">
        <f t="shared" si="57"/>
        <v/>
      </c>
      <c r="M78" t="str">
        <f t="shared" si="58"/>
        <v/>
      </c>
      <c r="N78" t="str">
        <f t="shared" si="59"/>
        <v/>
      </c>
      <c r="O78" t="str">
        <f>IF(L78&lt;&gt;"",Data!$M629,"")</f>
        <v/>
      </c>
      <c r="P78" s="13" t="s">
        <v>1289</v>
      </c>
      <c r="T78">
        <f>IF(OR(Dashboard!$P$4="All",Dashboard!$R$4="All"),NA(),IF(OR(Data!K629&lt;&gt;Dashboard!$P$4,Data!K629&lt;&gt;Dashboard!$R$4),Data!G629,NA()))</f>
        <v>10684.750012465542</v>
      </c>
      <c r="W78" s="13" t="s">
        <v>75</v>
      </c>
      <c r="X78" s="13"/>
      <c r="Z78" s="13"/>
      <c r="AA78" s="13"/>
      <c r="AB78" s="10">
        <f t="shared" si="60"/>
        <v>75</v>
      </c>
      <c r="AC78" s="13" t="s">
        <v>818</v>
      </c>
      <c r="AD78" s="8">
        <v>15000</v>
      </c>
      <c r="AI78" s="13" t="s">
        <v>2127</v>
      </c>
      <c r="AJ78" s="8"/>
      <c r="AK78" s="8"/>
      <c r="AL78" s="8"/>
      <c r="AM78" s="8"/>
      <c r="AN78" s="8">
        <v>70000</v>
      </c>
      <c r="AO78" s="8">
        <v>1</v>
      </c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Q78" s="13" t="s">
        <v>2127</v>
      </c>
      <c r="BR78" s="8"/>
      <c r="BS78" s="8"/>
      <c r="BT78" s="8"/>
      <c r="BU78" s="8">
        <v>70000</v>
      </c>
      <c r="BV78" s="8"/>
    </row>
    <row r="79" spans="2:74">
      <c r="B79" t="e">
        <f>IF(Dashboard!$P$4="All",Data!G630,IF(Data!K630=Dashboard!$P$4,Data!G630,NA()))</f>
        <v>#N/A</v>
      </c>
      <c r="C79" t="str">
        <f t="shared" si="54"/>
        <v/>
      </c>
      <c r="D79" t="str">
        <f t="shared" si="55"/>
        <v/>
      </c>
      <c r="E79" t="str">
        <f t="shared" si="56"/>
        <v/>
      </c>
      <c r="F79" t="str">
        <f>IF(C79&lt;&gt;"",Data!$M630,"")</f>
        <v/>
      </c>
      <c r="K79" t="e">
        <f>IF(Dashboard!$R$4="All",Data!G630,IF(Data!K630=Dashboard!$R$4,Data!G630,NA()))</f>
        <v>#N/A</v>
      </c>
      <c r="L79" t="str">
        <f t="shared" si="57"/>
        <v/>
      </c>
      <c r="M79" t="str">
        <f t="shared" si="58"/>
        <v/>
      </c>
      <c r="N79" t="str">
        <f t="shared" si="59"/>
        <v/>
      </c>
      <c r="O79" t="str">
        <f>IF(L79&lt;&gt;"",Data!$M630,"")</f>
        <v/>
      </c>
      <c r="P79" s="13" t="s">
        <v>1261</v>
      </c>
      <c r="T79">
        <f>IF(OR(Dashboard!$P$4="All",Dashboard!$R$4="All"),NA(),IF(OR(Data!K630&lt;&gt;Dashboard!$P$4,Data!K630&lt;&gt;Dashboard!$R$4),Data!G630,NA()))</f>
        <v>5342.3750062327708</v>
      </c>
      <c r="W79" s="13" t="s">
        <v>30</v>
      </c>
      <c r="X79" s="13"/>
      <c r="Z79" s="13"/>
      <c r="AA79" s="13"/>
      <c r="AB79" s="10">
        <f t="shared" si="60"/>
        <v>76</v>
      </c>
      <c r="AC79" s="13" t="s">
        <v>1707</v>
      </c>
      <c r="AD79" s="8">
        <v>14400</v>
      </c>
      <c r="AI79" s="13" t="s">
        <v>2128</v>
      </c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>
        <v>50000</v>
      </c>
      <c r="AU79" s="8">
        <v>1</v>
      </c>
      <c r="AV79" s="8"/>
      <c r="AW79" s="8"/>
      <c r="AX79" s="8"/>
      <c r="AY79" s="8"/>
      <c r="AZ79" s="8"/>
      <c r="BA79" s="8"/>
      <c r="BB79" s="8"/>
      <c r="BC79" s="8"/>
      <c r="BQ79" s="13" t="s">
        <v>2128</v>
      </c>
      <c r="BR79" s="8"/>
      <c r="BS79" s="8"/>
      <c r="BT79" s="8">
        <v>50000</v>
      </c>
      <c r="BU79" s="8"/>
      <c r="BV79" s="8"/>
    </row>
    <row r="80" spans="2:74">
      <c r="B80" t="e">
        <f>IF(Dashboard!$P$4="All",Data!G631,IF(Data!K631=Dashboard!$P$4,Data!G631,NA()))</f>
        <v>#N/A</v>
      </c>
      <c r="C80" t="str">
        <f t="shared" si="54"/>
        <v/>
      </c>
      <c r="D80" t="str">
        <f t="shared" si="55"/>
        <v/>
      </c>
      <c r="E80" t="str">
        <f t="shared" si="56"/>
        <v/>
      </c>
      <c r="F80" t="str">
        <f>IF(C80&lt;&gt;"",Data!$M631,"")</f>
        <v/>
      </c>
      <c r="K80" t="e">
        <f>IF(Dashboard!$R$4="All",Data!G631,IF(Data!K631=Dashboard!$R$4,Data!G631,NA()))</f>
        <v>#N/A</v>
      </c>
      <c r="L80" t="str">
        <f t="shared" si="57"/>
        <v/>
      </c>
      <c r="M80" t="str">
        <f t="shared" si="58"/>
        <v/>
      </c>
      <c r="N80" t="str">
        <f t="shared" si="59"/>
        <v/>
      </c>
      <c r="O80" t="str">
        <f>IF(L80&lt;&gt;"",Data!$M631,"")</f>
        <v/>
      </c>
      <c r="P80" s="13" t="s">
        <v>833</v>
      </c>
      <c r="T80">
        <f>IF(OR(Dashboard!$P$4="All",Dashboard!$R$4="All"),NA(),IF(OR(Data!K631&lt;&gt;Dashboard!$P$4,Data!K631&lt;&gt;Dashboard!$R$4),Data!G631,NA()))</f>
        <v>71231.666749770273</v>
      </c>
      <c r="W80" s="13" t="s">
        <v>1011</v>
      </c>
      <c r="X80" s="13"/>
      <c r="Z80" s="13"/>
      <c r="AA80" s="13"/>
      <c r="AB80" s="10">
        <f t="shared" si="60"/>
        <v>77</v>
      </c>
      <c r="AC80" s="13" t="s">
        <v>1731</v>
      </c>
      <c r="AD80" s="8">
        <v>13745.704467353951</v>
      </c>
      <c r="AI80" s="13" t="s">
        <v>2130</v>
      </c>
      <c r="AJ80" s="8">
        <v>80000</v>
      </c>
      <c r="AK80" s="8">
        <v>1</v>
      </c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Q80" s="13" t="s">
        <v>2130</v>
      </c>
      <c r="BR80" s="8"/>
      <c r="BS80" s="8"/>
      <c r="BT80" s="8">
        <v>80000</v>
      </c>
      <c r="BU80" s="8"/>
      <c r="BV80" s="8"/>
    </row>
    <row r="81" spans="2:74">
      <c r="B81" t="e">
        <f>IF(Dashboard!$P$4="All",Data!G632,IF(Data!K632=Dashboard!$P$4,Data!G632,NA()))</f>
        <v>#N/A</v>
      </c>
      <c r="C81" t="str">
        <f t="shared" si="54"/>
        <v/>
      </c>
      <c r="D81" t="str">
        <f t="shared" si="55"/>
        <v/>
      </c>
      <c r="E81" t="str">
        <f t="shared" si="56"/>
        <v/>
      </c>
      <c r="F81" t="str">
        <f>IF(C81&lt;&gt;"",Data!$M632,"")</f>
        <v/>
      </c>
      <c r="K81" t="e">
        <f>IF(Dashboard!$R$4="All",Data!G632,IF(Data!K632=Dashboard!$R$4,Data!G632,NA()))</f>
        <v>#N/A</v>
      </c>
      <c r="L81" t="str">
        <f t="shared" si="57"/>
        <v/>
      </c>
      <c r="M81" t="str">
        <f t="shared" si="58"/>
        <v/>
      </c>
      <c r="N81" t="str">
        <f t="shared" si="59"/>
        <v/>
      </c>
      <c r="O81" t="str">
        <f>IF(L81&lt;&gt;"",Data!$M632,"")</f>
        <v/>
      </c>
      <c r="P81" s="13" t="s">
        <v>1322</v>
      </c>
      <c r="T81">
        <f>IF(OR(Dashboard!$P$4="All",Dashboard!$R$4="All"),NA(),IF(OR(Data!K632&lt;&gt;Dashboard!$P$4,Data!K632&lt;&gt;Dashboard!$R$4),Data!G632,NA()))</f>
        <v>80135.625093491559</v>
      </c>
      <c r="W81" s="13" t="s">
        <v>567</v>
      </c>
      <c r="X81" s="13"/>
      <c r="Z81" s="13"/>
      <c r="AA81" s="13"/>
      <c r="AB81" s="10">
        <f t="shared" si="60"/>
        <v>78</v>
      </c>
      <c r="AC81" s="13" t="s">
        <v>8</v>
      </c>
      <c r="AD81" s="8">
        <v>13529.430894182482</v>
      </c>
      <c r="AI81" s="13" t="s">
        <v>2131</v>
      </c>
      <c r="AJ81" s="8"/>
      <c r="AK81" s="8"/>
      <c r="AL81" s="8">
        <v>128000</v>
      </c>
      <c r="AM81" s="8">
        <v>1</v>
      </c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Q81" s="13" t="s">
        <v>2131</v>
      </c>
      <c r="BR81" s="8"/>
      <c r="BS81" s="8"/>
      <c r="BT81" s="8"/>
      <c r="BU81" s="8">
        <v>128000</v>
      </c>
      <c r="BV81" s="8"/>
    </row>
    <row r="82" spans="2:74">
      <c r="B82" t="e">
        <f>IF(Dashboard!$P$4="All",Data!G633,IF(Data!K633=Dashboard!$P$4,Data!G633,NA()))</f>
        <v>#N/A</v>
      </c>
      <c r="C82" t="str">
        <f t="shared" si="54"/>
        <v/>
      </c>
      <c r="D82" t="str">
        <f t="shared" si="55"/>
        <v/>
      </c>
      <c r="E82" t="str">
        <f t="shared" si="56"/>
        <v/>
      </c>
      <c r="F82" t="str">
        <f>IF(C82&lt;&gt;"",Data!$M633,"")</f>
        <v/>
      </c>
      <c r="K82" t="e">
        <f>IF(Dashboard!$R$4="All",Data!G633,IF(Data!K633=Dashboard!$R$4,Data!G633,NA()))</f>
        <v>#N/A</v>
      </c>
      <c r="L82" t="str">
        <f t="shared" si="57"/>
        <v/>
      </c>
      <c r="M82" t="str">
        <f t="shared" si="58"/>
        <v/>
      </c>
      <c r="N82" t="str">
        <f t="shared" si="59"/>
        <v/>
      </c>
      <c r="O82" t="str">
        <f>IF(L82&lt;&gt;"",Data!$M633,"")</f>
        <v/>
      </c>
      <c r="P82" s="13" t="s">
        <v>1856</v>
      </c>
      <c r="T82">
        <f>IF(OR(Dashboard!$P$4="All",Dashboard!$R$4="All"),NA(),IF(OR(Data!K633&lt;&gt;Dashboard!$P$4,Data!K633&lt;&gt;Dashboard!$R$4),Data!G633,NA()))</f>
        <v>54084.883766667976</v>
      </c>
      <c r="W82" s="13" t="s">
        <v>73</v>
      </c>
      <c r="X82" s="13"/>
      <c r="Z82" s="13"/>
      <c r="AA82" s="13"/>
      <c r="AB82" s="10">
        <f t="shared" si="60"/>
        <v>79</v>
      </c>
      <c r="AC82" s="13" t="s">
        <v>1291</v>
      </c>
      <c r="AD82" s="8">
        <v>13500</v>
      </c>
      <c r="AI82" s="13" t="s">
        <v>2132</v>
      </c>
      <c r="AJ82" s="8"/>
      <c r="AK82" s="8"/>
      <c r="AL82" s="8">
        <v>44000</v>
      </c>
      <c r="AM82" s="8">
        <v>1</v>
      </c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Q82" s="13" t="s">
        <v>2132</v>
      </c>
      <c r="BR82" s="8">
        <v>44000</v>
      </c>
      <c r="BS82" s="8"/>
      <c r="BT82" s="8"/>
      <c r="BU82" s="8"/>
      <c r="BV82" s="8"/>
    </row>
    <row r="83" spans="2:74">
      <c r="B83" t="e">
        <f>IF(Dashboard!$P$4="All",Data!G634,IF(Data!K634=Dashboard!$P$4,Data!G634,NA()))</f>
        <v>#N/A</v>
      </c>
      <c r="C83" t="str">
        <f t="shared" si="54"/>
        <v/>
      </c>
      <c r="D83" t="str">
        <f t="shared" si="55"/>
        <v/>
      </c>
      <c r="E83" t="str">
        <f t="shared" si="56"/>
        <v/>
      </c>
      <c r="F83" t="str">
        <f>IF(C83&lt;&gt;"",Data!$M634,"")</f>
        <v/>
      </c>
      <c r="K83" t="e">
        <f>IF(Dashboard!$R$4="All",Data!G634,IF(Data!K634=Dashboard!$R$4,Data!G634,NA()))</f>
        <v>#N/A</v>
      </c>
      <c r="L83" t="str">
        <f t="shared" si="57"/>
        <v/>
      </c>
      <c r="M83" t="str">
        <f t="shared" si="58"/>
        <v/>
      </c>
      <c r="N83" t="str">
        <f t="shared" si="59"/>
        <v/>
      </c>
      <c r="O83" t="str">
        <f>IF(L83&lt;&gt;"",Data!$M634,"")</f>
        <v/>
      </c>
      <c r="P83" s="13" t="s">
        <v>386</v>
      </c>
      <c r="T83">
        <f>IF(OR(Dashboard!$P$4="All",Dashboard!$R$4="All"),NA(),IF(OR(Data!K634&lt;&gt;Dashboard!$P$4,Data!K634&lt;&gt;Dashboard!$R$4),Data!G634,NA()))</f>
        <v>53000</v>
      </c>
      <c r="W83" s="13" t="s">
        <v>65</v>
      </c>
      <c r="X83" s="13"/>
      <c r="Z83" s="13"/>
      <c r="AA83" s="13"/>
      <c r="AB83" s="10">
        <f t="shared" si="60"/>
        <v>80</v>
      </c>
      <c r="AC83" s="13" t="s">
        <v>870</v>
      </c>
      <c r="AD83" s="8">
        <v>13494.896250642014</v>
      </c>
      <c r="AI83" s="13" t="s">
        <v>2133</v>
      </c>
      <c r="AJ83" s="8"/>
      <c r="AK83" s="8"/>
      <c r="AL83" s="8"/>
      <c r="AM83" s="8"/>
      <c r="AN83" s="8">
        <v>65000</v>
      </c>
      <c r="AO83" s="8">
        <v>1</v>
      </c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Q83" s="13" t="s">
        <v>2133</v>
      </c>
      <c r="BR83" s="8"/>
      <c r="BS83" s="8"/>
      <c r="BT83" s="8"/>
      <c r="BU83" s="8">
        <v>65000</v>
      </c>
      <c r="BV83" s="8"/>
    </row>
    <row r="84" spans="2:74">
      <c r="B84" t="e">
        <f>IF(Dashboard!$P$4="All",Data!G635,IF(Data!K635=Dashboard!$P$4,Data!G635,NA()))</f>
        <v>#N/A</v>
      </c>
      <c r="C84" t="str">
        <f t="shared" si="54"/>
        <v/>
      </c>
      <c r="D84" t="str">
        <f t="shared" si="55"/>
        <v/>
      </c>
      <c r="E84" t="str">
        <f t="shared" si="56"/>
        <v/>
      </c>
      <c r="F84" t="str">
        <f>IF(C84&lt;&gt;"",Data!$M635,"")</f>
        <v/>
      </c>
      <c r="K84" t="e">
        <f>IF(Dashboard!$R$4="All",Data!G635,IF(Data!K635=Dashboard!$R$4,Data!G635,NA()))</f>
        <v>#N/A</v>
      </c>
      <c r="L84" t="str">
        <f t="shared" si="57"/>
        <v/>
      </c>
      <c r="M84" t="str">
        <f t="shared" si="58"/>
        <v/>
      </c>
      <c r="N84" t="str">
        <f t="shared" si="59"/>
        <v/>
      </c>
      <c r="O84" t="str">
        <f>IF(L84&lt;&gt;"",Data!$M635,"")</f>
        <v/>
      </c>
      <c r="P84" s="13" t="s">
        <v>332</v>
      </c>
      <c r="T84">
        <f>IF(OR(Dashboard!$P$4="All",Dashboard!$R$4="All"),NA(),IF(OR(Data!K635&lt;&gt;Dashboard!$P$4,Data!K635&lt;&gt;Dashboard!$R$4),Data!G635,NA()))</f>
        <v>5342.3750062327708</v>
      </c>
      <c r="W84" s="13" t="s">
        <v>133</v>
      </c>
      <c r="X84" s="13"/>
      <c r="Z84" s="13"/>
      <c r="AA84" s="13"/>
      <c r="AB84" s="10">
        <f t="shared" si="60"/>
        <v>81</v>
      </c>
      <c r="AC84" s="13" t="s">
        <v>1804</v>
      </c>
      <c r="AD84" s="8">
        <v>13000</v>
      </c>
      <c r="AI84" s="13" t="s">
        <v>2137</v>
      </c>
      <c r="AJ84" s="8">
        <v>45000</v>
      </c>
      <c r="AK84" s="8">
        <v>1</v>
      </c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Q84" s="13" t="s">
        <v>2137</v>
      </c>
      <c r="BR84" s="8"/>
      <c r="BS84" s="8"/>
      <c r="BT84" s="8">
        <v>45000</v>
      </c>
      <c r="BU84" s="8"/>
      <c r="BV84" s="8"/>
    </row>
    <row r="85" spans="2:74">
      <c r="B85" t="e">
        <f>IF(Dashboard!$P$4="All",Data!G636,IF(Data!K636=Dashboard!$P$4,Data!G636,NA()))</f>
        <v>#N/A</v>
      </c>
      <c r="C85" t="str">
        <f t="shared" si="54"/>
        <v/>
      </c>
      <c r="D85" t="str">
        <f t="shared" si="55"/>
        <v/>
      </c>
      <c r="E85" t="str">
        <f t="shared" si="56"/>
        <v/>
      </c>
      <c r="F85" t="str">
        <f>IF(C85&lt;&gt;"",Data!$M636,"")</f>
        <v/>
      </c>
      <c r="K85" t="e">
        <f>IF(Dashboard!$R$4="All",Data!G636,IF(Data!K636=Dashboard!$R$4,Data!G636,NA()))</f>
        <v>#N/A</v>
      </c>
      <c r="L85" t="str">
        <f t="shared" si="57"/>
        <v/>
      </c>
      <c r="M85" t="str">
        <f t="shared" si="58"/>
        <v/>
      </c>
      <c r="N85" t="str">
        <f t="shared" si="59"/>
        <v/>
      </c>
      <c r="O85" t="str">
        <f>IF(L85&lt;&gt;"",Data!$M636,"")</f>
        <v/>
      </c>
      <c r="P85" s="13" t="s">
        <v>1748</v>
      </c>
      <c r="T85">
        <f>IF(OR(Dashboard!$P$4="All",Dashboard!$R$4="All"),NA(),IF(OR(Data!K636&lt;&gt;Dashboard!$P$4,Data!K636&lt;&gt;Dashboard!$R$4),Data!G636,NA()))</f>
        <v>7123.1666749770275</v>
      </c>
      <c r="W85" s="13" t="s">
        <v>644</v>
      </c>
      <c r="X85" s="13"/>
      <c r="Z85" s="13"/>
      <c r="AA85" s="13"/>
      <c r="AB85" s="10">
        <f t="shared" si="60"/>
        <v>82</v>
      </c>
      <c r="AC85" s="13" t="s">
        <v>1086</v>
      </c>
      <c r="AD85" s="8">
        <v>13000</v>
      </c>
      <c r="AI85" s="13" t="s">
        <v>2138</v>
      </c>
      <c r="AJ85" s="8">
        <v>54000</v>
      </c>
      <c r="AK85" s="8">
        <v>1</v>
      </c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Q85" s="13" t="s">
        <v>2138</v>
      </c>
      <c r="BR85" s="8"/>
      <c r="BS85" s="8">
        <v>54000</v>
      </c>
      <c r="BT85" s="8"/>
      <c r="BU85" s="8"/>
      <c r="BV85" s="8"/>
    </row>
    <row r="86" spans="2:74">
      <c r="B86" t="e">
        <f>IF(Dashboard!$P$4="All",Data!G637,IF(Data!K637=Dashboard!$P$4,Data!G637,NA()))</f>
        <v>#N/A</v>
      </c>
      <c r="C86" t="str">
        <f t="shared" si="54"/>
        <v/>
      </c>
      <c r="D86" t="str">
        <f t="shared" si="55"/>
        <v/>
      </c>
      <c r="E86" t="str">
        <f t="shared" si="56"/>
        <v/>
      </c>
      <c r="F86" t="str">
        <f>IF(C86&lt;&gt;"",Data!$M637,"")</f>
        <v/>
      </c>
      <c r="K86" t="e">
        <f>IF(Dashboard!$R$4="All",Data!G637,IF(Data!K637=Dashboard!$R$4,Data!G637,NA()))</f>
        <v>#N/A</v>
      </c>
      <c r="L86" t="str">
        <f t="shared" si="57"/>
        <v/>
      </c>
      <c r="M86" t="str">
        <f t="shared" si="58"/>
        <v/>
      </c>
      <c r="N86" t="str">
        <f t="shared" si="59"/>
        <v/>
      </c>
      <c r="O86" t="str">
        <f>IF(L86&lt;&gt;"",Data!$M637,"")</f>
        <v/>
      </c>
      <c r="P86" s="13" t="s">
        <v>1628</v>
      </c>
      <c r="T86">
        <f>IF(OR(Dashboard!$P$4="All",Dashboard!$R$4="All"),NA(),IF(OR(Data!K637&lt;&gt;Dashboard!$P$4,Data!K637&lt;&gt;Dashboard!$R$4),Data!G637,NA()))</f>
        <v>10684.750012465542</v>
      </c>
      <c r="W86" s="13" t="s">
        <v>171</v>
      </c>
      <c r="X86" s="13"/>
      <c r="Z86" s="13"/>
      <c r="AA86" s="13"/>
      <c r="AB86" s="10">
        <f t="shared" si="60"/>
        <v>83</v>
      </c>
      <c r="AC86" s="13" t="s">
        <v>184</v>
      </c>
      <c r="AD86" s="8">
        <v>12362</v>
      </c>
      <c r="AI86" s="13" t="s">
        <v>2140</v>
      </c>
      <c r="AJ86" s="8">
        <v>71000</v>
      </c>
      <c r="AK86" s="8">
        <v>1</v>
      </c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Q86" s="13" t="s">
        <v>2140</v>
      </c>
      <c r="BR86" s="8"/>
      <c r="BS86" s="8"/>
      <c r="BT86" s="8">
        <v>71000</v>
      </c>
      <c r="BU86" s="8"/>
      <c r="BV86" s="8"/>
    </row>
    <row r="87" spans="2:74">
      <c r="B87" t="e">
        <f>IF(Dashboard!$P$4="All",Data!G638,IF(Data!K638=Dashboard!$P$4,Data!G638,NA()))</f>
        <v>#N/A</v>
      </c>
      <c r="C87" t="str">
        <f t="shared" si="54"/>
        <v/>
      </c>
      <c r="D87" t="str">
        <f t="shared" si="55"/>
        <v/>
      </c>
      <c r="E87" t="str">
        <f t="shared" si="56"/>
        <v/>
      </c>
      <c r="F87" t="str">
        <f>IF(C87&lt;&gt;"",Data!$M638,"")</f>
        <v/>
      </c>
      <c r="K87" t="e">
        <f>IF(Dashboard!$R$4="All",Data!G638,IF(Data!K638=Dashboard!$R$4,Data!G638,NA()))</f>
        <v>#N/A</v>
      </c>
      <c r="L87" t="str">
        <f t="shared" si="57"/>
        <v/>
      </c>
      <c r="M87" t="str">
        <f t="shared" si="58"/>
        <v/>
      </c>
      <c r="N87" t="str">
        <f t="shared" si="59"/>
        <v/>
      </c>
      <c r="O87" t="str">
        <f>IF(L87&lt;&gt;"",Data!$M638,"")</f>
        <v/>
      </c>
      <c r="P87" s="13" t="s">
        <v>1227</v>
      </c>
      <c r="T87">
        <f>IF(OR(Dashboard!$P$4="All",Dashboard!$R$4="All"),NA(),IF(OR(Data!K638&lt;&gt;Dashboard!$P$4,Data!K638&lt;&gt;Dashboard!$R$4),Data!G638,NA()))</f>
        <v>4000</v>
      </c>
      <c r="W87" s="13" t="s">
        <v>1804</v>
      </c>
      <c r="X87" s="13"/>
      <c r="Z87" s="13"/>
      <c r="AA87" s="13"/>
      <c r="AB87" s="10">
        <f t="shared" si="60"/>
        <v>84</v>
      </c>
      <c r="AC87" s="13" t="s">
        <v>574</v>
      </c>
      <c r="AD87" s="8">
        <v>12000</v>
      </c>
      <c r="AI87" s="13" t="s">
        <v>2144</v>
      </c>
      <c r="AJ87" s="8">
        <v>40000</v>
      </c>
      <c r="AK87" s="8">
        <v>1</v>
      </c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Q87" s="13" t="s">
        <v>2144</v>
      </c>
      <c r="BR87" s="8"/>
      <c r="BS87" s="8"/>
      <c r="BT87" s="8">
        <v>40000</v>
      </c>
      <c r="BU87" s="8"/>
      <c r="BV87" s="8"/>
    </row>
    <row r="88" spans="2:74">
      <c r="B88" t="e">
        <f>IF(Dashboard!$P$4="All",Data!G639,IF(Data!K639=Dashboard!$P$4,Data!G639,NA()))</f>
        <v>#N/A</v>
      </c>
      <c r="C88" t="str">
        <f t="shared" si="54"/>
        <v/>
      </c>
      <c r="D88" t="str">
        <f t="shared" si="55"/>
        <v/>
      </c>
      <c r="E88" t="str">
        <f t="shared" si="56"/>
        <v/>
      </c>
      <c r="F88" t="str">
        <f>IF(C88&lt;&gt;"",Data!$M639,"")</f>
        <v/>
      </c>
      <c r="K88" t="e">
        <f>IF(Dashboard!$R$4="All",Data!G639,IF(Data!K639=Dashboard!$R$4,Data!G639,NA()))</f>
        <v>#N/A</v>
      </c>
      <c r="L88" t="str">
        <f t="shared" si="57"/>
        <v/>
      </c>
      <c r="M88" t="str">
        <f t="shared" si="58"/>
        <v/>
      </c>
      <c r="N88" t="str">
        <f t="shared" si="59"/>
        <v/>
      </c>
      <c r="O88" t="str">
        <f>IF(L88&lt;&gt;"",Data!$M639,"")</f>
        <v/>
      </c>
      <c r="P88" s="13" t="s">
        <v>1692</v>
      </c>
      <c r="T88">
        <f>IF(OR(Dashboard!$P$4="All",Dashboard!$R$4="All"),NA(),IF(OR(Data!K639&lt;&gt;Dashboard!$P$4,Data!K639&lt;&gt;Dashboard!$R$4),Data!G639,NA()))</f>
        <v>8000</v>
      </c>
      <c r="W88" s="13" t="s">
        <v>1066</v>
      </c>
      <c r="X88" s="13"/>
      <c r="Z88" s="13"/>
      <c r="AA88" s="13"/>
      <c r="AB88" s="10">
        <f t="shared" si="60"/>
        <v>85</v>
      </c>
      <c r="AC88" s="13" t="s">
        <v>1126</v>
      </c>
      <c r="AD88" s="8">
        <v>12000</v>
      </c>
      <c r="AI88" s="13" t="s">
        <v>2147</v>
      </c>
      <c r="AJ88" s="8">
        <v>53000</v>
      </c>
      <c r="AK88" s="8">
        <v>1</v>
      </c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Q88" s="13" t="s">
        <v>2147</v>
      </c>
      <c r="BR88" s="8"/>
      <c r="BS88" s="8"/>
      <c r="BT88" s="8">
        <v>53000</v>
      </c>
      <c r="BU88" s="8"/>
      <c r="BV88" s="8"/>
    </row>
    <row r="89" spans="2:74">
      <c r="B89" t="e">
        <f>IF(Dashboard!$P$4="All",Data!G640,IF(Data!K640=Dashboard!$P$4,Data!G640,NA()))</f>
        <v>#N/A</v>
      </c>
      <c r="C89" t="str">
        <f t="shared" si="54"/>
        <v/>
      </c>
      <c r="D89" t="str">
        <f t="shared" si="55"/>
        <v/>
      </c>
      <c r="E89" t="str">
        <f t="shared" si="56"/>
        <v/>
      </c>
      <c r="F89" t="str">
        <f>IF(C89&lt;&gt;"",Data!$M640,"")</f>
        <v/>
      </c>
      <c r="K89" t="e">
        <f>IF(Dashboard!$R$4="All",Data!G640,IF(Data!K640=Dashboard!$R$4,Data!G640,NA()))</f>
        <v>#N/A</v>
      </c>
      <c r="L89" t="str">
        <f t="shared" si="57"/>
        <v/>
      </c>
      <c r="M89" t="str">
        <f t="shared" si="58"/>
        <v/>
      </c>
      <c r="N89" t="str">
        <f t="shared" si="59"/>
        <v/>
      </c>
      <c r="O89" t="str">
        <f>IF(L89&lt;&gt;"",Data!$M640,"")</f>
        <v/>
      </c>
      <c r="P89" s="13" t="s">
        <v>1983</v>
      </c>
      <c r="T89">
        <f>IF(OR(Dashboard!$P$4="All",Dashboard!$R$4="All"),NA(),IF(OR(Data!K640&lt;&gt;Dashboard!$P$4,Data!K640&lt;&gt;Dashboard!$R$4),Data!G640,NA()))</f>
        <v>2671.1875031163854</v>
      </c>
      <c r="W89" s="13" t="s">
        <v>548</v>
      </c>
      <c r="X89" s="13"/>
      <c r="Z89" s="13"/>
      <c r="AA89" s="13"/>
      <c r="AB89" s="10">
        <f t="shared" si="60"/>
        <v>86</v>
      </c>
      <c r="AC89" s="13" t="s">
        <v>17</v>
      </c>
      <c r="AD89" s="8">
        <v>11873.552586779413</v>
      </c>
      <c r="AI89" s="13" t="s">
        <v>2148</v>
      </c>
      <c r="AJ89" s="8"/>
      <c r="AK89" s="8"/>
      <c r="AL89" s="8"/>
      <c r="AM89" s="8"/>
      <c r="AN89" s="8"/>
      <c r="AO89" s="8"/>
      <c r="AP89" s="8">
        <v>104000</v>
      </c>
      <c r="AQ89" s="8">
        <v>1</v>
      </c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Q89" s="13" t="s">
        <v>2148</v>
      </c>
      <c r="BR89" s="8"/>
      <c r="BS89" s="8">
        <v>104000</v>
      </c>
      <c r="BT89" s="8"/>
      <c r="BU89" s="8"/>
      <c r="BV89" s="8"/>
    </row>
    <row r="90" spans="2:74">
      <c r="B90" t="e">
        <f>IF(Dashboard!$P$4="All",Data!G641,IF(Data!K641=Dashboard!$P$4,Data!G641,NA()))</f>
        <v>#N/A</v>
      </c>
      <c r="C90" t="str">
        <f t="shared" si="54"/>
        <v/>
      </c>
      <c r="D90" t="str">
        <f t="shared" si="55"/>
        <v/>
      </c>
      <c r="E90" t="str">
        <f t="shared" si="56"/>
        <v/>
      </c>
      <c r="F90" t="str">
        <f>IF(C90&lt;&gt;"",Data!$M641,"")</f>
        <v/>
      </c>
      <c r="K90" t="e">
        <f>IF(Dashboard!$R$4="All",Data!G641,IF(Data!K641=Dashboard!$R$4,Data!G641,NA()))</f>
        <v>#N/A</v>
      </c>
      <c r="L90" t="str">
        <f t="shared" si="57"/>
        <v/>
      </c>
      <c r="M90" t="str">
        <f t="shared" si="58"/>
        <v/>
      </c>
      <c r="N90" t="str">
        <f t="shared" si="59"/>
        <v/>
      </c>
      <c r="O90" t="str">
        <f>IF(L90&lt;&gt;"",Data!$M641,"")</f>
        <v/>
      </c>
      <c r="P90" s="13" t="s">
        <v>308</v>
      </c>
      <c r="T90">
        <f>IF(OR(Dashboard!$P$4="All",Dashboard!$R$4="All"),NA(),IF(OR(Data!K641&lt;&gt;Dashboard!$P$4,Data!K641&lt;&gt;Dashboard!$R$4),Data!G641,NA()))</f>
        <v>14246.333349954055</v>
      </c>
      <c r="W90" s="13" t="s">
        <v>48</v>
      </c>
      <c r="X90" s="13"/>
      <c r="Z90" s="13"/>
      <c r="AA90" s="13"/>
      <c r="AB90" s="10">
        <f t="shared" si="60"/>
        <v>87</v>
      </c>
      <c r="AC90" s="13" t="s">
        <v>27</v>
      </c>
      <c r="AD90" s="8">
        <v>11650</v>
      </c>
      <c r="AI90" s="13" t="s">
        <v>2149</v>
      </c>
      <c r="AJ90" s="8"/>
      <c r="AK90" s="8"/>
      <c r="AL90" s="8"/>
      <c r="AM90" s="8"/>
      <c r="AN90" s="8"/>
      <c r="AO90" s="8"/>
      <c r="AP90" s="8"/>
      <c r="AQ90" s="8"/>
      <c r="AR90" s="8">
        <v>57000</v>
      </c>
      <c r="AS90" s="8">
        <v>1</v>
      </c>
      <c r="AT90" s="8"/>
      <c r="AU90" s="8"/>
      <c r="AV90" s="8"/>
      <c r="AW90" s="8"/>
      <c r="AX90" s="8"/>
      <c r="AY90" s="8"/>
      <c r="AZ90" s="8"/>
      <c r="BA90" s="8"/>
      <c r="BB90" s="8"/>
      <c r="BC90" s="8"/>
      <c r="BQ90" s="13" t="s">
        <v>2149</v>
      </c>
      <c r="BR90" s="8"/>
      <c r="BS90" s="8"/>
      <c r="BT90" s="8">
        <v>57000</v>
      </c>
      <c r="BU90" s="8"/>
      <c r="BV90" s="8"/>
    </row>
    <row r="91" spans="2:74">
      <c r="B91" t="e">
        <f>IF(Dashboard!$P$4="All",Data!G642,IF(Data!K642=Dashboard!$P$4,Data!G642,NA()))</f>
        <v>#N/A</v>
      </c>
      <c r="C91" t="str">
        <f t="shared" si="54"/>
        <v/>
      </c>
      <c r="D91" t="str">
        <f t="shared" si="55"/>
        <v/>
      </c>
      <c r="E91" t="str">
        <f t="shared" si="56"/>
        <v/>
      </c>
      <c r="F91" t="str">
        <f>IF(C91&lt;&gt;"",Data!$M642,"")</f>
        <v/>
      </c>
      <c r="K91" t="e">
        <f>IF(Dashboard!$R$4="All",Data!G642,IF(Data!K642=Dashboard!$R$4,Data!G642,NA()))</f>
        <v>#N/A</v>
      </c>
      <c r="L91" t="str">
        <f t="shared" si="57"/>
        <v/>
      </c>
      <c r="M91" t="str">
        <f t="shared" si="58"/>
        <v/>
      </c>
      <c r="N91" t="str">
        <f t="shared" si="59"/>
        <v/>
      </c>
      <c r="O91" t="str">
        <f>IF(L91&lt;&gt;"",Data!$M642,"")</f>
        <v/>
      </c>
      <c r="P91" s="13" t="s">
        <v>629</v>
      </c>
      <c r="T91">
        <f>IF(OR(Dashboard!$P$4="All",Dashboard!$R$4="All"),NA(),IF(OR(Data!K642&lt;&gt;Dashboard!$P$4,Data!K642&lt;&gt;Dashboard!$R$4),Data!G642,NA()))</f>
        <v>8547.8000099724322</v>
      </c>
      <c r="W91" s="13" t="s">
        <v>608</v>
      </c>
      <c r="X91" s="13"/>
      <c r="Z91" s="13"/>
      <c r="AA91" s="13"/>
      <c r="AB91" s="10">
        <f t="shared" si="60"/>
        <v>88</v>
      </c>
      <c r="AC91" s="13" t="s">
        <v>526</v>
      </c>
      <c r="AD91" s="8">
        <v>11016.682284980743</v>
      </c>
      <c r="AI91" s="13" t="s">
        <v>2150</v>
      </c>
      <c r="AJ91" s="8">
        <v>45000</v>
      </c>
      <c r="AK91" s="8">
        <v>1</v>
      </c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Q91" s="13" t="s">
        <v>2150</v>
      </c>
      <c r="BR91" s="8"/>
      <c r="BS91" s="8">
        <v>45000</v>
      </c>
      <c r="BT91" s="8"/>
      <c r="BU91" s="8"/>
      <c r="BV91" s="8"/>
    </row>
    <row r="92" spans="2:74">
      <c r="B92" t="e">
        <f>IF(Dashboard!$P$4="All",Data!G643,IF(Data!K643=Dashboard!$P$4,Data!G643,NA()))</f>
        <v>#N/A</v>
      </c>
      <c r="C92" t="str">
        <f t="shared" si="54"/>
        <v/>
      </c>
      <c r="D92" t="str">
        <f t="shared" si="55"/>
        <v/>
      </c>
      <c r="E92" t="str">
        <f t="shared" si="56"/>
        <v/>
      </c>
      <c r="F92" t="str">
        <f>IF(C92&lt;&gt;"",Data!$M643,"")</f>
        <v/>
      </c>
      <c r="K92" t="e">
        <f>IF(Dashboard!$R$4="All",Data!G643,IF(Data!K643=Dashboard!$R$4,Data!G643,NA()))</f>
        <v>#N/A</v>
      </c>
      <c r="L92" t="str">
        <f t="shared" si="57"/>
        <v/>
      </c>
      <c r="M92" t="str">
        <f t="shared" si="58"/>
        <v/>
      </c>
      <c r="N92" t="str">
        <f t="shared" si="59"/>
        <v/>
      </c>
      <c r="O92" t="str">
        <f>IF(L92&lt;&gt;"",Data!$M643,"")</f>
        <v/>
      </c>
      <c r="P92" s="13" t="s">
        <v>168</v>
      </c>
      <c r="T92">
        <f>IF(OR(Dashboard!$P$4="All",Dashboard!$R$4="All"),NA(),IF(OR(Data!K643&lt;&gt;Dashboard!$P$4,Data!K643&lt;&gt;Dashboard!$R$4),Data!G643,NA()))</f>
        <v>7693.0200089751897</v>
      </c>
      <c r="W92" s="13" t="s">
        <v>716</v>
      </c>
      <c r="X92" s="13"/>
      <c r="Z92" s="13"/>
      <c r="AA92" s="13"/>
      <c r="AB92" s="10">
        <f t="shared" si="60"/>
        <v>89</v>
      </c>
      <c r="AC92" s="13" t="s">
        <v>1809</v>
      </c>
      <c r="AD92" s="8">
        <v>11000</v>
      </c>
      <c r="AI92" s="13" t="s">
        <v>2151</v>
      </c>
      <c r="AJ92" s="8">
        <v>92000</v>
      </c>
      <c r="AK92" s="8">
        <v>1</v>
      </c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Q92" s="13" t="s">
        <v>2151</v>
      </c>
      <c r="BR92" s="8"/>
      <c r="BS92" s="8"/>
      <c r="BT92" s="8">
        <v>92000</v>
      </c>
      <c r="BU92" s="8"/>
      <c r="BV92" s="8"/>
    </row>
    <row r="93" spans="2:74">
      <c r="B93" t="e">
        <f>IF(Dashboard!$P$4="All",Data!G644,IF(Data!K644=Dashboard!$P$4,Data!G644,NA()))</f>
        <v>#N/A</v>
      </c>
      <c r="C93" t="str">
        <f t="shared" si="54"/>
        <v/>
      </c>
      <c r="D93" t="str">
        <f t="shared" si="55"/>
        <v/>
      </c>
      <c r="E93" t="str">
        <f t="shared" si="56"/>
        <v/>
      </c>
      <c r="F93" t="str">
        <f>IF(C93&lt;&gt;"",Data!$M644,"")</f>
        <v/>
      </c>
      <c r="K93" t="e">
        <f>IF(Dashboard!$R$4="All",Data!G644,IF(Data!K644=Dashboard!$R$4,Data!G644,NA()))</f>
        <v>#N/A</v>
      </c>
      <c r="L93" t="str">
        <f t="shared" si="57"/>
        <v/>
      </c>
      <c r="M93" t="str">
        <f t="shared" si="58"/>
        <v/>
      </c>
      <c r="N93" t="str">
        <f t="shared" si="59"/>
        <v/>
      </c>
      <c r="O93" t="str">
        <f>IF(L93&lt;&gt;"",Data!$M644,"")</f>
        <v/>
      </c>
      <c r="P93" s="13" t="s">
        <v>229</v>
      </c>
      <c r="T93">
        <f>IF(OR(Dashboard!$P$4="All",Dashboard!$R$4="All"),NA(),IF(OR(Data!K644&lt;&gt;Dashboard!$P$4,Data!K644&lt;&gt;Dashboard!$R$4),Data!G644,NA()))</f>
        <v>4000</v>
      </c>
      <c r="W93" s="13" t="s">
        <v>447</v>
      </c>
      <c r="X93" s="13"/>
      <c r="Z93" s="13"/>
      <c r="AA93" s="13"/>
      <c r="AB93" s="10">
        <f t="shared" si="60"/>
        <v>90</v>
      </c>
      <c r="AC93" s="13" t="s">
        <v>425</v>
      </c>
      <c r="AD93" s="8">
        <v>10299.008645025993</v>
      </c>
      <c r="AI93" s="13" t="s">
        <v>2152</v>
      </c>
      <c r="AJ93" s="8"/>
      <c r="AK93" s="8"/>
      <c r="AL93" s="8">
        <v>88000</v>
      </c>
      <c r="AM93" s="8">
        <v>1</v>
      </c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Q93" s="13" t="s">
        <v>2152</v>
      </c>
      <c r="BR93" s="8"/>
      <c r="BS93" s="8"/>
      <c r="BT93" s="8">
        <v>88000</v>
      </c>
      <c r="BU93" s="8"/>
      <c r="BV93" s="8"/>
    </row>
    <row r="94" spans="2:74">
      <c r="B94" t="e">
        <f>IF(Dashboard!$P$4="All",Data!G645,IF(Data!K645=Dashboard!$P$4,Data!G645,NA()))</f>
        <v>#N/A</v>
      </c>
      <c r="C94" t="str">
        <f t="shared" si="54"/>
        <v/>
      </c>
      <c r="D94" t="str">
        <f t="shared" si="55"/>
        <v/>
      </c>
      <c r="E94" t="str">
        <f t="shared" si="56"/>
        <v/>
      </c>
      <c r="F94" t="str">
        <f>IF(C94&lt;&gt;"",Data!$M645,"")</f>
        <v/>
      </c>
      <c r="K94" t="e">
        <f>IF(Dashboard!$R$4="All",Data!G645,IF(Data!K645=Dashboard!$R$4,Data!G645,NA()))</f>
        <v>#N/A</v>
      </c>
      <c r="L94" t="str">
        <f t="shared" si="57"/>
        <v/>
      </c>
      <c r="M94" t="str">
        <f t="shared" si="58"/>
        <v/>
      </c>
      <c r="N94" t="str">
        <f t="shared" si="59"/>
        <v/>
      </c>
      <c r="O94" t="str">
        <f>IF(L94&lt;&gt;"",Data!$M645,"")</f>
        <v/>
      </c>
      <c r="P94" s="13" t="s">
        <v>1284</v>
      </c>
      <c r="T94">
        <f>IF(OR(Dashboard!$P$4="All",Dashboard!$R$4="All"),NA(),IF(OR(Data!K645&lt;&gt;Dashboard!$P$4,Data!K645&lt;&gt;Dashboard!$R$4),Data!G645,NA()))</f>
        <v>5400</v>
      </c>
      <c r="W94" s="13" t="s">
        <v>46</v>
      </c>
      <c r="X94" s="13"/>
      <c r="Z94" s="13"/>
      <c r="AA94" s="13"/>
      <c r="AB94" s="10">
        <f t="shared" si="60"/>
        <v>91</v>
      </c>
      <c r="AC94" s="13" t="s">
        <v>1676</v>
      </c>
      <c r="AD94" s="8">
        <v>10000</v>
      </c>
      <c r="AI94" s="13" t="s">
        <v>2153</v>
      </c>
      <c r="AJ94" s="8">
        <v>80000</v>
      </c>
      <c r="AK94" s="8">
        <v>1</v>
      </c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Q94" s="13" t="s">
        <v>2153</v>
      </c>
      <c r="BR94" s="8"/>
      <c r="BS94" s="8">
        <v>80000</v>
      </c>
      <c r="BT94" s="8"/>
      <c r="BU94" s="8"/>
      <c r="BV94" s="8"/>
    </row>
    <row r="95" spans="2:74">
      <c r="B95" t="e">
        <f>IF(Dashboard!$P$4="All",Data!G646,IF(Data!K646=Dashboard!$P$4,Data!G646,NA()))</f>
        <v>#N/A</v>
      </c>
      <c r="C95" t="str">
        <f t="shared" si="54"/>
        <v/>
      </c>
      <c r="D95" t="str">
        <f t="shared" si="55"/>
        <v/>
      </c>
      <c r="E95" t="str">
        <f t="shared" si="56"/>
        <v/>
      </c>
      <c r="F95" t="str">
        <f>IF(C95&lt;&gt;"",Data!$M646,"")</f>
        <v/>
      </c>
      <c r="K95" t="e">
        <f>IF(Dashboard!$R$4="All",Data!G646,IF(Data!K646=Dashboard!$R$4,Data!G646,NA()))</f>
        <v>#N/A</v>
      </c>
      <c r="L95" t="str">
        <f t="shared" si="57"/>
        <v/>
      </c>
      <c r="M95" t="str">
        <f t="shared" si="58"/>
        <v/>
      </c>
      <c r="N95" t="str">
        <f t="shared" si="59"/>
        <v/>
      </c>
      <c r="O95" t="str">
        <f>IF(L95&lt;&gt;"",Data!$M646,"")</f>
        <v/>
      </c>
      <c r="P95" s="13" t="s">
        <v>923</v>
      </c>
      <c r="T95">
        <f>IF(OR(Dashboard!$P$4="All",Dashboard!$R$4="All"),NA(),IF(OR(Data!K646&lt;&gt;Dashboard!$P$4,Data!K646&lt;&gt;Dashboard!$R$4),Data!G646,NA()))</f>
        <v>186983.12521814698</v>
      </c>
      <c r="W95" s="13" t="s">
        <v>299</v>
      </c>
      <c r="X95" s="13"/>
      <c r="Z95" s="13"/>
      <c r="AA95" s="13"/>
      <c r="AB95" s="10">
        <f t="shared" si="60"/>
        <v>92</v>
      </c>
      <c r="AC95" s="13" t="s">
        <v>1671</v>
      </c>
      <c r="AD95" s="8">
        <v>9600</v>
      </c>
      <c r="AI95" s="13" t="s">
        <v>2154</v>
      </c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>
        <v>69000</v>
      </c>
      <c r="AW95" s="8">
        <v>1</v>
      </c>
      <c r="AX95" s="8"/>
      <c r="AY95" s="8"/>
      <c r="AZ95" s="8"/>
      <c r="BA95" s="8"/>
      <c r="BB95" s="8"/>
      <c r="BC95" s="8"/>
      <c r="BQ95" s="13" t="s">
        <v>2154</v>
      </c>
      <c r="BR95" s="8"/>
      <c r="BS95" s="8"/>
      <c r="BT95" s="8">
        <v>69000</v>
      </c>
      <c r="BU95" s="8"/>
      <c r="BV95" s="8"/>
    </row>
    <row r="96" spans="2:74">
      <c r="B96" t="e">
        <f>IF(Dashboard!$P$4="All",Data!G647,IF(Data!K647=Dashboard!$P$4,Data!G647,NA()))</f>
        <v>#N/A</v>
      </c>
      <c r="C96" t="str">
        <f t="shared" si="54"/>
        <v/>
      </c>
      <c r="D96" t="str">
        <f t="shared" si="55"/>
        <v/>
      </c>
      <c r="E96" t="str">
        <f t="shared" si="56"/>
        <v/>
      </c>
      <c r="F96" t="str">
        <f>IF(C96&lt;&gt;"",Data!$M647,"")</f>
        <v/>
      </c>
      <c r="K96" t="e">
        <f>IF(Dashboard!$R$4="All",Data!G647,IF(Data!K647=Dashboard!$R$4,Data!G647,NA()))</f>
        <v>#N/A</v>
      </c>
      <c r="L96" t="str">
        <f t="shared" si="57"/>
        <v/>
      </c>
      <c r="M96" t="str">
        <f t="shared" si="58"/>
        <v/>
      </c>
      <c r="N96" t="str">
        <f t="shared" si="59"/>
        <v/>
      </c>
      <c r="O96" t="str">
        <f>IF(L96&lt;&gt;"",Data!$M647,"")</f>
        <v/>
      </c>
      <c r="P96" s="13" t="s">
        <v>1711</v>
      </c>
      <c r="T96">
        <f>IF(OR(Dashboard!$P$4="All",Dashboard!$R$4="All"),NA(),IF(OR(Data!K647&lt;&gt;Dashboard!$P$4,Data!K647&lt;&gt;Dashboard!$R$4),Data!G647,NA()))</f>
        <v>21500</v>
      </c>
      <c r="W96" s="13" t="s">
        <v>1809</v>
      </c>
      <c r="X96" s="13"/>
      <c r="Z96" s="13"/>
      <c r="AA96" s="13"/>
      <c r="AB96" s="10">
        <f t="shared" si="60"/>
        <v>93</v>
      </c>
      <c r="AC96" s="13" t="s">
        <v>1771</v>
      </c>
      <c r="AD96" s="8">
        <v>9376.2513877177607</v>
      </c>
      <c r="AI96" s="13" t="s">
        <v>2156</v>
      </c>
      <c r="AJ96" s="8"/>
      <c r="AK96" s="8"/>
      <c r="AL96" s="8">
        <v>35000</v>
      </c>
      <c r="AM96" s="8">
        <v>1</v>
      </c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Q96" s="13" t="s">
        <v>2156</v>
      </c>
      <c r="BR96" s="8"/>
      <c r="BS96" s="8">
        <v>35000</v>
      </c>
      <c r="BT96" s="8"/>
      <c r="BU96" s="8"/>
      <c r="BV96" s="8"/>
    </row>
    <row r="97" spans="2:74">
      <c r="B97" t="e">
        <f>IF(Dashboard!$P$4="All",Data!G648,IF(Data!K648=Dashboard!$P$4,Data!G648,NA()))</f>
        <v>#N/A</v>
      </c>
      <c r="C97" t="str">
        <f t="shared" si="54"/>
        <v/>
      </c>
      <c r="D97" t="str">
        <f t="shared" si="55"/>
        <v/>
      </c>
      <c r="E97" t="str">
        <f t="shared" si="56"/>
        <v/>
      </c>
      <c r="F97" t="str">
        <f>IF(C97&lt;&gt;"",Data!$M648,"")</f>
        <v/>
      </c>
      <c r="K97" t="e">
        <f>IF(Dashboard!$R$4="All",Data!G648,IF(Data!K648=Dashboard!$R$4,Data!G648,NA()))</f>
        <v>#N/A</v>
      </c>
      <c r="L97" t="str">
        <f t="shared" si="57"/>
        <v/>
      </c>
      <c r="M97" t="str">
        <f t="shared" si="58"/>
        <v/>
      </c>
      <c r="N97" t="str">
        <f t="shared" si="59"/>
        <v/>
      </c>
      <c r="O97" t="str">
        <f>IF(L97&lt;&gt;"",Data!$M648,"")</f>
        <v/>
      </c>
      <c r="P97" s="13" t="s">
        <v>200</v>
      </c>
      <c r="T97">
        <f>IF(OR(Dashboard!$P$4="All",Dashboard!$R$4="All"),NA(),IF(OR(Data!K648&lt;&gt;Dashboard!$P$4,Data!K648&lt;&gt;Dashboard!$R$4),Data!G648,NA()))</f>
        <v>15000</v>
      </c>
      <c r="W97" s="13" t="s">
        <v>197</v>
      </c>
      <c r="X97" s="13"/>
      <c r="Z97" s="13"/>
      <c r="AA97" s="13"/>
      <c r="AB97" s="10">
        <f t="shared" si="60"/>
        <v>94</v>
      </c>
      <c r="AC97" s="13" t="s">
        <v>1951</v>
      </c>
      <c r="AD97" s="8">
        <v>8400</v>
      </c>
      <c r="AI97" s="13" t="s">
        <v>2157</v>
      </c>
      <c r="AJ97" s="8">
        <v>96000</v>
      </c>
      <c r="AK97" s="8">
        <v>1</v>
      </c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Q97" s="13" t="s">
        <v>2157</v>
      </c>
      <c r="BR97" s="8"/>
      <c r="BS97" s="8"/>
      <c r="BT97" s="8">
        <v>96000</v>
      </c>
      <c r="BU97" s="8"/>
      <c r="BV97" s="8"/>
    </row>
    <row r="98" spans="2:74">
      <c r="B98" t="e">
        <f>IF(Dashboard!$P$4="All",Data!G649,IF(Data!K649=Dashboard!$P$4,Data!G649,NA()))</f>
        <v>#N/A</v>
      </c>
      <c r="C98" t="str">
        <f t="shared" si="54"/>
        <v/>
      </c>
      <c r="D98" t="str">
        <f t="shared" si="55"/>
        <v/>
      </c>
      <c r="E98" t="str">
        <f t="shared" si="56"/>
        <v/>
      </c>
      <c r="F98" t="str">
        <f>IF(C98&lt;&gt;"",Data!$M649,"")</f>
        <v/>
      </c>
      <c r="K98" t="e">
        <f>IF(Dashboard!$R$4="All",Data!G649,IF(Data!K649=Dashboard!$R$4,Data!G649,NA()))</f>
        <v>#N/A</v>
      </c>
      <c r="L98" t="str">
        <f t="shared" si="57"/>
        <v/>
      </c>
      <c r="M98" t="str">
        <f t="shared" si="58"/>
        <v/>
      </c>
      <c r="N98" t="str">
        <f t="shared" si="59"/>
        <v/>
      </c>
      <c r="O98" t="str">
        <f>IF(L98&lt;&gt;"",Data!$M649,"")</f>
        <v/>
      </c>
      <c r="P98" s="13" t="s">
        <v>441</v>
      </c>
      <c r="T98">
        <f>IF(OR(Dashboard!$P$4="All",Dashboard!$R$4="All"),NA(),IF(OR(Data!K649&lt;&gt;Dashboard!$P$4,Data!K649&lt;&gt;Dashboard!$R$4),Data!G649,NA()))</f>
        <v>2122.8177433598262</v>
      </c>
      <c r="W98" s="13" t="s">
        <v>179</v>
      </c>
      <c r="X98" s="13"/>
      <c r="Z98" s="13"/>
      <c r="AA98" s="13"/>
      <c r="AB98" s="10">
        <f t="shared" si="60"/>
        <v>95</v>
      </c>
      <c r="AC98" s="13" t="s">
        <v>1411</v>
      </c>
      <c r="AD98" s="8">
        <v>7261.724659606657</v>
      </c>
      <c r="AI98" s="13" t="s">
        <v>2158</v>
      </c>
      <c r="AJ98" s="8"/>
      <c r="AK98" s="8"/>
      <c r="AL98" s="8"/>
      <c r="AM98" s="8"/>
      <c r="AN98" s="8">
        <v>65000</v>
      </c>
      <c r="AO98" s="8">
        <v>1</v>
      </c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Q98" s="13" t="s">
        <v>2158</v>
      </c>
      <c r="BR98" s="8"/>
      <c r="BS98" s="8"/>
      <c r="BT98" s="8"/>
      <c r="BU98" s="8">
        <v>65000</v>
      </c>
      <c r="BV98" s="8"/>
    </row>
    <row r="99" spans="2:74">
      <c r="B99" t="e">
        <f>IF(Dashboard!$P$4="All",Data!G650,IF(Data!K650=Dashboard!$P$4,Data!G650,NA()))</f>
        <v>#N/A</v>
      </c>
      <c r="C99" t="str">
        <f t="shared" si="54"/>
        <v/>
      </c>
      <c r="D99" t="str">
        <f t="shared" si="55"/>
        <v/>
      </c>
      <c r="E99" t="str">
        <f t="shared" si="56"/>
        <v/>
      </c>
      <c r="F99" t="str">
        <f>IF(C99&lt;&gt;"",Data!$M650,"")</f>
        <v/>
      </c>
      <c r="K99" t="e">
        <f>IF(Dashboard!$R$4="All",Data!G650,IF(Data!K650=Dashboard!$R$4,Data!G650,NA()))</f>
        <v>#N/A</v>
      </c>
      <c r="L99" t="str">
        <f t="shared" si="57"/>
        <v/>
      </c>
      <c r="M99" t="str">
        <f t="shared" si="58"/>
        <v/>
      </c>
      <c r="N99" t="str">
        <f t="shared" si="59"/>
        <v/>
      </c>
      <c r="O99" t="str">
        <f>IF(L99&lt;&gt;"",Data!$M650,"")</f>
        <v/>
      </c>
      <c r="P99" s="13" t="s">
        <v>108</v>
      </c>
      <c r="T99">
        <f>IF(OR(Dashboard!$P$4="All",Dashboard!$R$4="All"),NA(),IF(OR(Data!K650&lt;&gt;Dashboard!$P$4,Data!K650&lt;&gt;Dashboard!$R$4),Data!G650,NA()))</f>
        <v>16917.52085307044</v>
      </c>
      <c r="W99" s="13" t="s">
        <v>1458</v>
      </c>
      <c r="X99" s="13"/>
      <c r="Z99" s="13"/>
      <c r="AA99" s="13"/>
      <c r="AB99" s="10">
        <f t="shared" si="60"/>
        <v>96</v>
      </c>
      <c r="AC99" s="13" t="s">
        <v>680</v>
      </c>
      <c r="AD99" s="8">
        <v>6000</v>
      </c>
      <c r="AI99" s="13" t="s">
        <v>2159</v>
      </c>
      <c r="AJ99" s="8">
        <v>37440</v>
      </c>
      <c r="AK99" s="8">
        <v>1</v>
      </c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Q99" s="13" t="s">
        <v>2159</v>
      </c>
      <c r="BR99" s="8"/>
      <c r="BS99" s="8"/>
      <c r="BT99" s="8"/>
      <c r="BU99" s="8">
        <v>37440</v>
      </c>
      <c r="BV99" s="8"/>
    </row>
    <row r="100" spans="2:74">
      <c r="B100" t="e">
        <f>IF(Dashboard!$P$4="All",Data!G651,IF(Data!K651=Dashboard!$P$4,Data!G651,NA()))</f>
        <v>#N/A</v>
      </c>
      <c r="C100" t="str">
        <f t="shared" si="54"/>
        <v/>
      </c>
      <c r="D100" t="str">
        <f t="shared" si="55"/>
        <v/>
      </c>
      <c r="E100" t="str">
        <f t="shared" si="56"/>
        <v/>
      </c>
      <c r="F100" t="str">
        <f>IF(C100&lt;&gt;"",Data!$M651,"")</f>
        <v/>
      </c>
      <c r="K100" t="e">
        <f>IF(Dashboard!$R$4="All",Data!G651,IF(Data!K651=Dashboard!$R$4,Data!G651,NA()))</f>
        <v>#N/A</v>
      </c>
      <c r="L100" t="str">
        <f t="shared" si="57"/>
        <v/>
      </c>
      <c r="M100" t="str">
        <f t="shared" si="58"/>
        <v/>
      </c>
      <c r="N100" t="str">
        <f t="shared" si="59"/>
        <v/>
      </c>
      <c r="O100" t="str">
        <f>IF(L100&lt;&gt;"",Data!$M651,"")</f>
        <v/>
      </c>
      <c r="P100" s="13" t="s">
        <v>89</v>
      </c>
      <c r="T100">
        <f>IF(OR(Dashboard!$P$4="All",Dashboard!$R$4="All"),NA(),IF(OR(Data!K651&lt;&gt;Dashboard!$P$4,Data!K651&lt;&gt;Dashboard!$R$4),Data!G651,NA()))</f>
        <v>2938.3062534280239</v>
      </c>
      <c r="W100" s="13" t="s">
        <v>71</v>
      </c>
      <c r="X100" s="13"/>
      <c r="Z100" s="13"/>
      <c r="AA100" s="13"/>
      <c r="AB100" s="10">
        <f t="shared" si="60"/>
        <v>97</v>
      </c>
      <c r="AC100" s="13" t="s">
        <v>1860</v>
      </c>
      <c r="AD100" s="8">
        <v>6000</v>
      </c>
      <c r="AI100" s="13" t="s">
        <v>2161</v>
      </c>
      <c r="AJ100" s="8">
        <v>90000</v>
      </c>
      <c r="AK100" s="8">
        <v>1</v>
      </c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Q100" s="13" t="s">
        <v>2161</v>
      </c>
      <c r="BR100" s="8"/>
      <c r="BS100" s="8">
        <v>90000</v>
      </c>
      <c r="BT100" s="8"/>
      <c r="BU100" s="8"/>
      <c r="BV100" s="8"/>
    </row>
    <row r="101" spans="2:74">
      <c r="B101" t="e">
        <f>IF(Dashboard!$P$4="All",Data!G652,IF(Data!K652=Dashboard!$P$4,Data!G652,NA()))</f>
        <v>#N/A</v>
      </c>
      <c r="C101" t="str">
        <f t="shared" si="54"/>
        <v/>
      </c>
      <c r="D101" t="str">
        <f t="shared" si="55"/>
        <v/>
      </c>
      <c r="E101" t="str">
        <f t="shared" si="56"/>
        <v/>
      </c>
      <c r="F101" t="str">
        <f>IF(C101&lt;&gt;"",Data!$M652,"")</f>
        <v/>
      </c>
      <c r="K101" t="e">
        <f>IF(Dashboard!$R$4="All",Data!G652,IF(Data!K652=Dashboard!$R$4,Data!G652,NA()))</f>
        <v>#N/A</v>
      </c>
      <c r="L101" t="str">
        <f t="shared" si="57"/>
        <v/>
      </c>
      <c r="M101" t="str">
        <f t="shared" si="58"/>
        <v/>
      </c>
      <c r="N101" t="str">
        <f t="shared" si="59"/>
        <v/>
      </c>
      <c r="O101" t="str">
        <f>IF(L101&lt;&gt;"",Data!$M652,"")</f>
        <v/>
      </c>
      <c r="P101" s="13" t="s">
        <v>1390</v>
      </c>
      <c r="T101">
        <f>IF(OR(Dashboard!$P$4="All",Dashboard!$R$4="All"),NA(),IF(OR(Data!K652&lt;&gt;Dashboard!$P$4,Data!K652&lt;&gt;Dashboard!$R$4),Data!G652,NA()))</f>
        <v>16800</v>
      </c>
      <c r="W101" s="13" t="s">
        <v>27</v>
      </c>
      <c r="X101" s="13"/>
      <c r="Z101" s="13"/>
      <c r="AA101" s="13"/>
      <c r="AB101" s="10">
        <f t="shared" si="60"/>
        <v>98</v>
      </c>
      <c r="AC101" s="13" t="s">
        <v>567</v>
      </c>
      <c r="AD101" s="8">
        <v>5250</v>
      </c>
      <c r="AI101" s="13" t="s">
        <v>2162</v>
      </c>
      <c r="AJ101" s="8">
        <v>66500</v>
      </c>
      <c r="AK101" s="8">
        <v>1</v>
      </c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Q101" s="13" t="s">
        <v>2162</v>
      </c>
      <c r="BR101" s="8"/>
      <c r="BS101" s="8"/>
      <c r="BT101" s="8"/>
      <c r="BU101" s="8">
        <v>66500</v>
      </c>
      <c r="BV101" s="8"/>
    </row>
    <row r="102" spans="2:74">
      <c r="B102" t="e">
        <f>IF(Dashboard!$P$4="All",Data!G653,IF(Data!K653=Dashboard!$P$4,Data!G653,NA()))</f>
        <v>#N/A</v>
      </c>
      <c r="C102" t="str">
        <f t="shared" si="54"/>
        <v/>
      </c>
      <c r="D102" t="str">
        <f t="shared" si="55"/>
        <v/>
      </c>
      <c r="E102" t="str">
        <f t="shared" si="56"/>
        <v/>
      </c>
      <c r="F102" t="str">
        <f>IF(C102&lt;&gt;"",Data!$M653,"")</f>
        <v/>
      </c>
      <c r="K102" t="e">
        <f>IF(Dashboard!$R$4="All",Data!G653,IF(Data!K653=Dashboard!$R$4,Data!G653,NA()))</f>
        <v>#N/A</v>
      </c>
      <c r="L102" t="str">
        <f t="shared" si="57"/>
        <v/>
      </c>
      <c r="M102" t="str">
        <f t="shared" si="58"/>
        <v/>
      </c>
      <c r="N102" t="str">
        <f t="shared" si="59"/>
        <v/>
      </c>
      <c r="O102" t="str">
        <f>IF(L102&lt;&gt;"",Data!$M653,"")</f>
        <v/>
      </c>
      <c r="P102" s="13" t="s">
        <v>76</v>
      </c>
      <c r="T102">
        <f>IF(OR(Dashboard!$P$4="All",Dashboard!$R$4="All"),NA(),IF(OR(Data!K653&lt;&gt;Dashboard!$P$4,Data!K653&lt;&gt;Dashboard!$R$4),Data!G653,NA()))</f>
        <v>37000</v>
      </c>
      <c r="W102" s="13" t="s">
        <v>989</v>
      </c>
      <c r="X102" s="13"/>
      <c r="Z102" s="13"/>
      <c r="AA102" s="13"/>
      <c r="AB102" s="10">
        <f t="shared" si="60"/>
        <v>99</v>
      </c>
      <c r="AC102" s="13" t="s">
        <v>992</v>
      </c>
      <c r="AD102" s="8">
        <v>5000</v>
      </c>
      <c r="AI102" s="13" t="s">
        <v>2163</v>
      </c>
      <c r="AJ102" s="8"/>
      <c r="AK102" s="8"/>
      <c r="AL102" s="8"/>
      <c r="AM102" s="8"/>
      <c r="AN102" s="8">
        <v>100000</v>
      </c>
      <c r="AO102" s="8">
        <v>1</v>
      </c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Q102" s="13" t="s">
        <v>2163</v>
      </c>
      <c r="BR102" s="8"/>
      <c r="BS102" s="8"/>
      <c r="BT102" s="8"/>
      <c r="BU102" s="8">
        <v>100000</v>
      </c>
      <c r="BV102" s="8"/>
    </row>
    <row r="103" spans="2:74">
      <c r="B103" t="e">
        <f>IF(Dashboard!$P$4="All",Data!G654,IF(Data!K654=Dashboard!$P$4,Data!G654,NA()))</f>
        <v>#N/A</v>
      </c>
      <c r="C103" t="str">
        <f t="shared" si="54"/>
        <v/>
      </c>
      <c r="D103" t="str">
        <f t="shared" si="55"/>
        <v/>
      </c>
      <c r="E103" t="str">
        <f t="shared" si="56"/>
        <v/>
      </c>
      <c r="F103" t="str">
        <f>IF(C103&lt;&gt;"",Data!$M654,"")</f>
        <v/>
      </c>
      <c r="K103" t="e">
        <f>IF(Dashboard!$R$4="All",Data!G654,IF(Data!K654=Dashboard!$R$4,Data!G654,NA()))</f>
        <v>#N/A</v>
      </c>
      <c r="L103" t="str">
        <f t="shared" si="57"/>
        <v/>
      </c>
      <c r="M103" t="str">
        <f t="shared" si="58"/>
        <v/>
      </c>
      <c r="N103" t="str">
        <f t="shared" si="59"/>
        <v/>
      </c>
      <c r="O103" t="str">
        <f>IF(L103&lt;&gt;"",Data!$M654,"")</f>
        <v/>
      </c>
      <c r="P103" s="13" t="s">
        <v>427</v>
      </c>
      <c r="T103">
        <f>IF(OR(Dashboard!$P$4="All",Dashboard!$R$4="All"),NA(),IF(OR(Data!K654&lt;&gt;Dashboard!$P$4,Data!K654&lt;&gt;Dashboard!$R$4),Data!G654,NA()))</f>
        <v>5342.3750062327708</v>
      </c>
      <c r="W103" s="13" t="s">
        <v>15</v>
      </c>
      <c r="X103" s="13"/>
      <c r="Z103" s="13"/>
      <c r="AA103" s="13"/>
      <c r="AB103" s="10">
        <f t="shared" si="60"/>
        <v>100</v>
      </c>
      <c r="AC103" s="13" t="s">
        <v>851</v>
      </c>
      <c r="AD103" s="8">
        <v>4800</v>
      </c>
      <c r="AI103" s="13" t="s">
        <v>2166</v>
      </c>
      <c r="AJ103" s="8">
        <v>75000</v>
      </c>
      <c r="AK103" s="8">
        <v>1</v>
      </c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Q103" s="13" t="s">
        <v>2166</v>
      </c>
      <c r="BR103" s="8">
        <v>75000</v>
      </c>
      <c r="BS103" s="8"/>
      <c r="BT103" s="8"/>
      <c r="BU103" s="8"/>
      <c r="BV103" s="8"/>
    </row>
    <row r="104" spans="2:74">
      <c r="B104" t="e">
        <f>IF(Dashboard!$P$4="All",Data!G655,IF(Data!K655=Dashboard!$P$4,Data!G655,NA()))</f>
        <v>#N/A</v>
      </c>
      <c r="C104" t="str">
        <f t="shared" si="54"/>
        <v/>
      </c>
      <c r="D104" t="str">
        <f t="shared" si="55"/>
        <v/>
      </c>
      <c r="E104" t="str">
        <f t="shared" si="56"/>
        <v/>
      </c>
      <c r="F104" t="str">
        <f>IF(C104&lt;&gt;"",Data!$M655,"")</f>
        <v/>
      </c>
      <c r="K104" t="e">
        <f>IF(Dashboard!$R$4="All",Data!G655,IF(Data!K655=Dashboard!$R$4,Data!G655,NA()))</f>
        <v>#N/A</v>
      </c>
      <c r="L104" t="str">
        <f t="shared" si="57"/>
        <v/>
      </c>
      <c r="M104" t="str">
        <f t="shared" si="58"/>
        <v/>
      </c>
      <c r="N104" t="str">
        <f t="shared" si="59"/>
        <v/>
      </c>
      <c r="O104" t="str">
        <f>IF(L104&lt;&gt;"",Data!$M655,"")</f>
        <v/>
      </c>
      <c r="P104" s="13" t="s">
        <v>92</v>
      </c>
      <c r="T104">
        <f>IF(OR(Dashboard!$P$4="All",Dashboard!$R$4="All"),NA(),IF(OR(Data!K655&lt;&gt;Dashboard!$P$4,Data!K655&lt;&gt;Dashboard!$R$4),Data!G655,NA()))</f>
        <v>3561.5833374885137</v>
      </c>
      <c r="W104" s="13" t="s">
        <v>1676</v>
      </c>
      <c r="X104" s="13"/>
      <c r="Z104" s="13"/>
      <c r="AA104" s="13"/>
      <c r="AB104" s="10">
        <f t="shared" si="60"/>
        <v>101</v>
      </c>
      <c r="AC104" s="13" t="s">
        <v>1371</v>
      </c>
      <c r="AD104" s="8">
        <v>4400</v>
      </c>
      <c r="AI104" s="13" t="s">
        <v>2168</v>
      </c>
      <c r="AJ104" s="8"/>
      <c r="AK104" s="8"/>
      <c r="AL104" s="8">
        <v>55000</v>
      </c>
      <c r="AM104" s="8">
        <v>1</v>
      </c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Q104" s="13" t="s">
        <v>2168</v>
      </c>
      <c r="BR104" s="8"/>
      <c r="BS104" s="8">
        <v>55000</v>
      </c>
      <c r="BT104" s="8"/>
      <c r="BU104" s="8"/>
      <c r="BV104" s="8"/>
    </row>
    <row r="105" spans="2:74">
      <c r="B105" t="e">
        <f>IF(Dashboard!$P$4="All",Data!G656,IF(Data!K656=Dashboard!$P$4,Data!G656,NA()))</f>
        <v>#N/A</v>
      </c>
      <c r="C105" t="str">
        <f t="shared" si="54"/>
        <v/>
      </c>
      <c r="D105" t="str">
        <f t="shared" si="55"/>
        <v/>
      </c>
      <c r="E105" t="str">
        <f t="shared" si="56"/>
        <v/>
      </c>
      <c r="F105" t="str">
        <f>IF(C105&lt;&gt;"",Data!$M656,"")</f>
        <v/>
      </c>
      <c r="K105" t="e">
        <f>IF(Dashboard!$R$4="All",Data!G656,IF(Data!K656=Dashboard!$R$4,Data!G656,NA()))</f>
        <v>#N/A</v>
      </c>
      <c r="L105" t="str">
        <f t="shared" si="57"/>
        <v/>
      </c>
      <c r="M105" t="str">
        <f t="shared" si="58"/>
        <v/>
      </c>
      <c r="N105" t="str">
        <f t="shared" si="59"/>
        <v/>
      </c>
      <c r="O105" t="str">
        <f>IF(L105&lt;&gt;"",Data!$M656,"")</f>
        <v/>
      </c>
      <c r="P105" s="13" t="s">
        <v>1949</v>
      </c>
      <c r="T105">
        <f>IF(OR(Dashboard!$P$4="All",Dashboard!$R$4="All"),NA(),IF(OR(Data!K656&lt;&gt;Dashboard!$P$4,Data!K656&lt;&gt;Dashboard!$R$4),Data!G656,NA()))</f>
        <v>8547.8000099724322</v>
      </c>
      <c r="W105" s="13" t="s">
        <v>1086</v>
      </c>
      <c r="X105" s="13"/>
      <c r="Z105" s="13"/>
      <c r="AA105" s="13"/>
      <c r="AB105" s="10">
        <f t="shared" si="60"/>
        <v>102</v>
      </c>
      <c r="AC105" s="13" t="s">
        <v>799</v>
      </c>
      <c r="AD105" s="8">
        <v>3000</v>
      </c>
      <c r="AI105" s="13" t="s">
        <v>2169</v>
      </c>
      <c r="AJ105" s="8">
        <v>60000</v>
      </c>
      <c r="AK105" s="8">
        <v>1</v>
      </c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Q105" s="13" t="s">
        <v>2169</v>
      </c>
      <c r="BR105" s="8"/>
      <c r="BS105" s="8"/>
      <c r="BT105" s="8">
        <v>60000</v>
      </c>
      <c r="BU105" s="8"/>
      <c r="BV105" s="8"/>
    </row>
    <row r="106" spans="2:74">
      <c r="B106" t="e">
        <f>IF(Dashboard!$P$4="All",Data!G657,IF(Data!K657=Dashboard!$P$4,Data!G657,NA()))</f>
        <v>#N/A</v>
      </c>
      <c r="C106" t="str">
        <f t="shared" si="54"/>
        <v/>
      </c>
      <c r="D106" t="str">
        <f t="shared" si="55"/>
        <v/>
      </c>
      <c r="E106" t="str">
        <f t="shared" si="56"/>
        <v/>
      </c>
      <c r="F106" t="str">
        <f>IF(C106&lt;&gt;"",Data!$M657,"")</f>
        <v/>
      </c>
      <c r="K106" t="e">
        <f>IF(Dashboard!$R$4="All",Data!G657,IF(Data!K657=Dashboard!$R$4,Data!G657,NA()))</f>
        <v>#N/A</v>
      </c>
      <c r="L106" t="str">
        <f t="shared" si="57"/>
        <v/>
      </c>
      <c r="M106" t="str">
        <f t="shared" si="58"/>
        <v/>
      </c>
      <c r="N106" t="str">
        <f t="shared" si="59"/>
        <v/>
      </c>
      <c r="O106" t="str">
        <f>IF(L106&lt;&gt;"",Data!$M657,"")</f>
        <v/>
      </c>
      <c r="P106" s="13" t="s">
        <v>1938</v>
      </c>
      <c r="T106">
        <f>IF(OR(Dashboard!$P$4="All",Dashboard!$R$4="All"),NA(),IF(OR(Data!K657&lt;&gt;Dashboard!$P$4,Data!K657&lt;&gt;Dashboard!$R$4),Data!G657,NA()))</f>
        <v>5800</v>
      </c>
      <c r="W106" s="13" t="s">
        <v>1055</v>
      </c>
      <c r="X106" s="13"/>
      <c r="Z106" s="13"/>
      <c r="AA106" s="13"/>
      <c r="AB106" s="10">
        <f t="shared" si="60"/>
        <v>103</v>
      </c>
      <c r="AC106" s="13" t="s">
        <v>1991</v>
      </c>
      <c r="AD106" s="8">
        <v>2953.8461538461538</v>
      </c>
      <c r="AI106" s="13" t="s">
        <v>2173</v>
      </c>
      <c r="AJ106" s="8"/>
      <c r="AK106" s="8"/>
      <c r="AL106" s="8"/>
      <c r="AM106" s="8"/>
      <c r="AN106" s="8">
        <v>22880</v>
      </c>
      <c r="AO106" s="8">
        <v>1</v>
      </c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Q106" s="13" t="s">
        <v>2173</v>
      </c>
      <c r="BR106" s="8"/>
      <c r="BS106" s="8"/>
      <c r="BT106" s="8">
        <v>22880</v>
      </c>
      <c r="BU106" s="8"/>
      <c r="BV106" s="8"/>
    </row>
    <row r="107" spans="2:74">
      <c r="B107" t="e">
        <f>IF(Dashboard!$P$4="All",Data!G658,IF(Data!K658=Dashboard!$P$4,Data!G658,NA()))</f>
        <v>#N/A</v>
      </c>
      <c r="C107" t="str">
        <f t="shared" si="54"/>
        <v/>
      </c>
      <c r="D107" t="str">
        <f t="shared" si="55"/>
        <v/>
      </c>
      <c r="E107" t="str">
        <f t="shared" si="56"/>
        <v/>
      </c>
      <c r="F107" t="str">
        <f>IF(C107&lt;&gt;"",Data!$M658,"")</f>
        <v/>
      </c>
      <c r="K107" t="e">
        <f>IF(Dashboard!$R$4="All",Data!G658,IF(Data!K658=Dashboard!$R$4,Data!G658,NA()))</f>
        <v>#N/A</v>
      </c>
      <c r="L107" t="str">
        <f t="shared" si="57"/>
        <v/>
      </c>
      <c r="M107" t="str">
        <f t="shared" si="58"/>
        <v/>
      </c>
      <c r="N107" t="str">
        <f t="shared" si="59"/>
        <v/>
      </c>
      <c r="O107" t="str">
        <f>IF(L107&lt;&gt;"",Data!$M658,"")</f>
        <v/>
      </c>
      <c r="P107" s="13" t="s">
        <v>1643</v>
      </c>
      <c r="T107">
        <f>IF(OR(Dashboard!$P$4="All",Dashboard!$R$4="All"),NA(),IF(OR(Data!K658&lt;&gt;Dashboard!$P$4,Data!K658&lt;&gt;Dashboard!$R$4),Data!G658,NA()))</f>
        <v>4095.8208381117906</v>
      </c>
      <c r="AB107" s="10">
        <f t="shared" si="60"/>
        <v>104</v>
      </c>
      <c r="AI107" s="13" t="s">
        <v>2174</v>
      </c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>
        <v>80000</v>
      </c>
      <c r="AW107" s="8">
        <v>1</v>
      </c>
      <c r="AX107" s="8"/>
      <c r="AY107" s="8"/>
      <c r="AZ107" s="8"/>
      <c r="BA107" s="8"/>
      <c r="BB107" s="8"/>
      <c r="BC107" s="8"/>
      <c r="BQ107" s="13" t="s">
        <v>2174</v>
      </c>
      <c r="BR107" s="8"/>
      <c r="BS107" s="8"/>
      <c r="BT107" s="8">
        <v>80000</v>
      </c>
      <c r="BU107" s="8"/>
      <c r="BV107" s="8"/>
    </row>
    <row r="108" spans="2:74">
      <c r="B108" t="e">
        <f>IF(Dashboard!$P$4="All",Data!G659,IF(Data!K659=Dashboard!$P$4,Data!G659,NA()))</f>
        <v>#N/A</v>
      </c>
      <c r="C108" t="str">
        <f t="shared" si="54"/>
        <v/>
      </c>
      <c r="D108" t="str">
        <f t="shared" si="55"/>
        <v/>
      </c>
      <c r="E108" t="str">
        <f t="shared" si="56"/>
        <v/>
      </c>
      <c r="F108" t="str">
        <f>IF(C108&lt;&gt;"",Data!$M659,"")</f>
        <v/>
      </c>
      <c r="K108" t="e">
        <f>IF(Dashboard!$R$4="All",Data!G659,IF(Data!K659=Dashboard!$R$4,Data!G659,NA()))</f>
        <v>#N/A</v>
      </c>
      <c r="L108" t="str">
        <f t="shared" si="57"/>
        <v/>
      </c>
      <c r="M108" t="str">
        <f t="shared" si="58"/>
        <v/>
      </c>
      <c r="N108" t="str">
        <f t="shared" si="59"/>
        <v/>
      </c>
      <c r="O108" t="str">
        <f>IF(L108&lt;&gt;"",Data!$M659,"")</f>
        <v/>
      </c>
      <c r="P108" s="13" t="s">
        <v>1315</v>
      </c>
      <c r="T108">
        <f>IF(OR(Dashboard!$P$4="All",Dashboard!$R$4="All"),NA(),IF(OR(Data!K659&lt;&gt;Dashboard!$P$4,Data!K659&lt;&gt;Dashboard!$R$4),Data!G659,NA()))</f>
        <v>4914.9850057341491</v>
      </c>
      <c r="AB108" s="10">
        <f t="shared" si="60"/>
        <v>105</v>
      </c>
      <c r="AI108" s="13" t="s">
        <v>2178</v>
      </c>
      <c r="AJ108" s="8">
        <v>46584</v>
      </c>
      <c r="AK108" s="8">
        <v>1</v>
      </c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Q108" s="13" t="s">
        <v>2178</v>
      </c>
      <c r="BR108" s="8"/>
      <c r="BS108" s="8"/>
      <c r="BT108" s="8">
        <v>46584</v>
      </c>
      <c r="BU108" s="8"/>
      <c r="BV108" s="8"/>
    </row>
    <row r="109" spans="2:74">
      <c r="B109" t="e">
        <f>IF(Dashboard!$P$4="All",Data!G660,IF(Data!K660=Dashboard!$P$4,Data!G660,NA()))</f>
        <v>#N/A</v>
      </c>
      <c r="C109" t="str">
        <f t="shared" si="54"/>
        <v/>
      </c>
      <c r="D109" t="str">
        <f t="shared" si="55"/>
        <v/>
      </c>
      <c r="E109" t="str">
        <f t="shared" si="56"/>
        <v/>
      </c>
      <c r="F109" t="str">
        <f>IF(C109&lt;&gt;"",Data!$M660,"")</f>
        <v/>
      </c>
      <c r="K109" t="e">
        <f>IF(Dashboard!$R$4="All",Data!G660,IF(Data!K660=Dashboard!$R$4,Data!G660,NA()))</f>
        <v>#N/A</v>
      </c>
      <c r="L109" t="str">
        <f t="shared" si="57"/>
        <v/>
      </c>
      <c r="M109" t="str">
        <f t="shared" si="58"/>
        <v/>
      </c>
      <c r="N109" t="str">
        <f t="shared" si="59"/>
        <v/>
      </c>
      <c r="O109" t="str">
        <f>IF(L109&lt;&gt;"",Data!$M660,"")</f>
        <v/>
      </c>
      <c r="P109" s="13" t="s">
        <v>302</v>
      </c>
      <c r="T109">
        <f>IF(OR(Dashboard!$P$4="All",Dashboard!$R$4="All"),NA(),IF(OR(Data!K660&lt;&gt;Dashboard!$P$4,Data!K660&lt;&gt;Dashboard!$R$4),Data!G660,NA()))</f>
        <v>24000</v>
      </c>
      <c r="AB109" s="10">
        <f t="shared" si="60"/>
        <v>106</v>
      </c>
      <c r="AI109" s="13" t="s">
        <v>2179</v>
      </c>
      <c r="AJ109" s="8">
        <v>67000</v>
      </c>
      <c r="AK109" s="8">
        <v>1</v>
      </c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Q109" s="13" t="s">
        <v>2179</v>
      </c>
      <c r="BR109" s="8"/>
      <c r="BS109" s="8"/>
      <c r="BT109" s="8">
        <v>67000</v>
      </c>
      <c r="BU109" s="8"/>
      <c r="BV109" s="8"/>
    </row>
    <row r="110" spans="2:74">
      <c r="B110" t="e">
        <f>IF(Dashboard!$P$4="All",Data!G661,IF(Data!K661=Dashboard!$P$4,Data!G661,NA()))</f>
        <v>#N/A</v>
      </c>
      <c r="C110" t="str">
        <f t="shared" si="54"/>
        <v/>
      </c>
      <c r="D110" t="str">
        <f t="shared" si="55"/>
        <v/>
      </c>
      <c r="E110" t="str">
        <f t="shared" si="56"/>
        <v/>
      </c>
      <c r="F110" t="str">
        <f>IF(C110&lt;&gt;"",Data!$M661,"")</f>
        <v/>
      </c>
      <c r="K110" t="e">
        <f>IF(Dashboard!$R$4="All",Data!G661,IF(Data!K661=Dashboard!$R$4,Data!G661,NA()))</f>
        <v>#N/A</v>
      </c>
      <c r="L110" t="str">
        <f t="shared" si="57"/>
        <v/>
      </c>
      <c r="M110" t="str">
        <f t="shared" si="58"/>
        <v/>
      </c>
      <c r="N110" t="str">
        <f t="shared" si="59"/>
        <v/>
      </c>
      <c r="O110" t="str">
        <f>IF(L110&lt;&gt;"",Data!$M661,"")</f>
        <v/>
      </c>
      <c r="P110" s="13" t="s">
        <v>146</v>
      </c>
      <c r="T110">
        <f>IF(OR(Dashboard!$P$4="All",Dashboard!$R$4="All"),NA(),IF(OR(Data!K661&lt;&gt;Dashboard!$P$4,Data!K661&lt;&gt;Dashboard!$R$4),Data!G661,NA()))</f>
        <v>24000</v>
      </c>
      <c r="AB110" s="10">
        <f t="shared" si="60"/>
        <v>107</v>
      </c>
      <c r="AI110" s="13" t="s">
        <v>2181</v>
      </c>
      <c r="AJ110" s="8"/>
      <c r="AK110" s="8"/>
      <c r="AL110" s="8"/>
      <c r="AM110" s="8"/>
      <c r="AN110" s="8"/>
      <c r="AO110" s="8"/>
      <c r="AP110" s="8"/>
      <c r="AQ110" s="8"/>
      <c r="AR110" s="8">
        <v>92000</v>
      </c>
      <c r="AS110" s="8">
        <v>1</v>
      </c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Q110" s="13" t="s">
        <v>2181</v>
      </c>
      <c r="BR110" s="8"/>
      <c r="BS110" s="8"/>
      <c r="BT110" s="8">
        <v>92000</v>
      </c>
      <c r="BU110" s="8"/>
      <c r="BV110" s="8"/>
    </row>
    <row r="111" spans="2:74">
      <c r="B111" t="e">
        <f>IF(Dashboard!$P$4="All",Data!G662,IF(Data!K662=Dashboard!$P$4,Data!G662,NA()))</f>
        <v>#N/A</v>
      </c>
      <c r="C111" t="str">
        <f t="shared" si="54"/>
        <v/>
      </c>
      <c r="D111" t="str">
        <f t="shared" si="55"/>
        <v/>
      </c>
      <c r="E111" t="str">
        <f t="shared" si="56"/>
        <v/>
      </c>
      <c r="F111" t="str">
        <f>IF(C111&lt;&gt;"",Data!$M662,"")</f>
        <v/>
      </c>
      <c r="K111" t="e">
        <f>IF(Dashboard!$R$4="All",Data!G662,IF(Data!K662=Dashboard!$R$4,Data!G662,NA()))</f>
        <v>#N/A</v>
      </c>
      <c r="L111" t="str">
        <f t="shared" si="57"/>
        <v/>
      </c>
      <c r="M111" t="str">
        <f t="shared" si="58"/>
        <v/>
      </c>
      <c r="N111" t="str">
        <f t="shared" si="59"/>
        <v/>
      </c>
      <c r="O111" t="str">
        <f>IF(L111&lt;&gt;"",Data!$M662,"")</f>
        <v/>
      </c>
      <c r="P111" s="13" t="s">
        <v>1800</v>
      </c>
      <c r="T111">
        <f>IF(OR(Dashboard!$P$4="All",Dashboard!$R$4="All"),NA(),IF(OR(Data!K662&lt;&gt;Dashboard!$P$4,Data!K662&lt;&gt;Dashboard!$R$4),Data!G662,NA()))</f>
        <v>8738</v>
      </c>
      <c r="AB111" s="10">
        <f t="shared" si="60"/>
        <v>108</v>
      </c>
      <c r="AI111" s="13" t="s">
        <v>2182</v>
      </c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>
        <v>75000</v>
      </c>
      <c r="AU111" s="8">
        <v>1</v>
      </c>
      <c r="AV111" s="8"/>
      <c r="AW111" s="8"/>
      <c r="AX111" s="8"/>
      <c r="AY111" s="8"/>
      <c r="AZ111" s="8"/>
      <c r="BA111" s="8"/>
      <c r="BB111" s="8"/>
      <c r="BC111" s="8"/>
      <c r="BQ111" s="13" t="s">
        <v>2182</v>
      </c>
      <c r="BR111" s="8"/>
      <c r="BS111" s="8"/>
      <c r="BT111" s="8"/>
      <c r="BU111" s="8">
        <v>75000</v>
      </c>
      <c r="BV111" s="8"/>
    </row>
    <row r="112" spans="2:74">
      <c r="B112" t="e">
        <f>IF(Dashboard!$P$4="All",Data!G663,IF(Data!K663=Dashboard!$P$4,Data!G663,NA()))</f>
        <v>#N/A</v>
      </c>
      <c r="C112" t="str">
        <f t="shared" si="54"/>
        <v/>
      </c>
      <c r="D112" t="str">
        <f t="shared" si="55"/>
        <v/>
      </c>
      <c r="E112" t="str">
        <f t="shared" si="56"/>
        <v/>
      </c>
      <c r="F112" t="str">
        <f>IF(C112&lt;&gt;"",Data!$M663,"")</f>
        <v/>
      </c>
      <c r="K112" t="e">
        <f>IF(Dashboard!$R$4="All",Data!G663,IF(Data!K663=Dashboard!$R$4,Data!G663,NA()))</f>
        <v>#N/A</v>
      </c>
      <c r="L112" t="str">
        <f t="shared" si="57"/>
        <v/>
      </c>
      <c r="M112" t="str">
        <f t="shared" si="58"/>
        <v/>
      </c>
      <c r="N112" t="str">
        <f t="shared" si="59"/>
        <v/>
      </c>
      <c r="O112" t="str">
        <f>IF(L112&lt;&gt;"",Data!$M663,"")</f>
        <v/>
      </c>
      <c r="P112" s="13" t="s">
        <v>1241</v>
      </c>
      <c r="T112">
        <f>IF(OR(Dashboard!$P$4="All",Dashboard!$R$4="All"),NA(),IF(OR(Data!K663&lt;&gt;Dashboard!$P$4,Data!K663&lt;&gt;Dashboard!$R$4),Data!G663,NA()))</f>
        <v>15000</v>
      </c>
      <c r="AB112" s="10">
        <f t="shared" si="60"/>
        <v>109</v>
      </c>
      <c r="AI112" s="13" t="s">
        <v>2185</v>
      </c>
      <c r="AJ112" s="8">
        <v>40000</v>
      </c>
      <c r="AK112" s="8">
        <v>1</v>
      </c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Q112" s="13" t="s">
        <v>2185</v>
      </c>
      <c r="BR112" s="8"/>
      <c r="BS112" s="8"/>
      <c r="BT112" s="8"/>
      <c r="BU112" s="8">
        <v>40000</v>
      </c>
      <c r="BV112" s="8"/>
    </row>
    <row r="113" spans="2:74">
      <c r="B113" t="e">
        <f>IF(Dashboard!$P$4="All",Data!G664,IF(Data!K664=Dashboard!$P$4,Data!G664,NA()))</f>
        <v>#N/A</v>
      </c>
      <c r="C113" t="str">
        <f t="shared" si="54"/>
        <v/>
      </c>
      <c r="D113" t="str">
        <f t="shared" si="55"/>
        <v/>
      </c>
      <c r="E113" t="str">
        <f t="shared" si="56"/>
        <v/>
      </c>
      <c r="F113" t="str">
        <f>IF(C113&lt;&gt;"",Data!$M664,"")</f>
        <v/>
      </c>
      <c r="K113" t="e">
        <f>IF(Dashboard!$R$4="All",Data!G664,IF(Data!K664=Dashboard!$R$4,Data!G664,NA()))</f>
        <v>#N/A</v>
      </c>
      <c r="L113" t="str">
        <f t="shared" si="57"/>
        <v/>
      </c>
      <c r="M113" t="str">
        <f t="shared" si="58"/>
        <v/>
      </c>
      <c r="N113" t="str">
        <f t="shared" si="59"/>
        <v/>
      </c>
      <c r="O113" t="str">
        <f>IF(L113&lt;&gt;"",Data!$M664,"")</f>
        <v/>
      </c>
      <c r="P113" s="13" t="s">
        <v>1820</v>
      </c>
      <c r="T113">
        <f>IF(OR(Dashboard!$P$4="All",Dashboard!$R$4="All"),NA(),IF(OR(Data!K664&lt;&gt;Dashboard!$P$4,Data!K664&lt;&gt;Dashboard!$R$4),Data!G664,NA()))</f>
        <v>56400</v>
      </c>
      <c r="AB113" s="10">
        <f t="shared" si="60"/>
        <v>110</v>
      </c>
      <c r="AI113" s="13" t="s">
        <v>2186</v>
      </c>
      <c r="AJ113" s="8">
        <v>111680</v>
      </c>
      <c r="AK113" s="8">
        <v>1</v>
      </c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Q113" s="13" t="s">
        <v>2186</v>
      </c>
      <c r="BR113" s="8"/>
      <c r="BS113" s="8">
        <v>111680</v>
      </c>
      <c r="BT113" s="8"/>
      <c r="BU113" s="8"/>
      <c r="BV113" s="8"/>
    </row>
    <row r="114" spans="2:74">
      <c r="B114" t="e">
        <f>IF(Dashboard!$P$4="All",Data!G665,IF(Data!K665=Dashboard!$P$4,Data!G665,NA()))</f>
        <v>#N/A</v>
      </c>
      <c r="C114" t="str">
        <f t="shared" si="54"/>
        <v/>
      </c>
      <c r="D114" t="str">
        <f t="shared" si="55"/>
        <v/>
      </c>
      <c r="E114" t="str">
        <f t="shared" si="56"/>
        <v/>
      </c>
      <c r="F114" t="str">
        <f>IF(C114&lt;&gt;"",Data!$M665,"")</f>
        <v/>
      </c>
      <c r="K114" t="e">
        <f>IF(Dashboard!$R$4="All",Data!G665,IF(Data!K665=Dashboard!$R$4,Data!G665,NA()))</f>
        <v>#N/A</v>
      </c>
      <c r="L114" t="str">
        <f t="shared" si="57"/>
        <v/>
      </c>
      <c r="M114" t="str">
        <f t="shared" si="58"/>
        <v/>
      </c>
      <c r="N114" t="str">
        <f t="shared" si="59"/>
        <v/>
      </c>
      <c r="O114" t="str">
        <f>IF(L114&lt;&gt;"",Data!$M665,"")</f>
        <v/>
      </c>
      <c r="P114" s="13" t="s">
        <v>1766</v>
      </c>
      <c r="T114">
        <f>IF(OR(Dashboard!$P$4="All",Dashboard!$R$4="All"),NA(),IF(OR(Data!K665&lt;&gt;Dashboard!$P$4,Data!K665&lt;&gt;Dashboard!$R$4),Data!G665,NA()))</f>
        <v>10200</v>
      </c>
      <c r="AI114" s="13" t="s">
        <v>2188</v>
      </c>
      <c r="AJ114" s="8"/>
      <c r="AK114" s="8"/>
      <c r="AL114" s="8">
        <v>70000</v>
      </c>
      <c r="AM114" s="8">
        <v>1</v>
      </c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Q114" s="13" t="s">
        <v>2188</v>
      </c>
      <c r="BR114" s="8"/>
      <c r="BS114" s="8"/>
      <c r="BT114" s="8">
        <v>70000</v>
      </c>
      <c r="BU114" s="8"/>
      <c r="BV114" s="8"/>
    </row>
    <row r="115" spans="2:74">
      <c r="B115" t="e">
        <f>IF(Dashboard!$P$4="All",Data!G666,IF(Data!K666=Dashboard!$P$4,Data!G666,NA()))</f>
        <v>#N/A</v>
      </c>
      <c r="C115" t="str">
        <f t="shared" si="54"/>
        <v/>
      </c>
      <c r="D115" t="str">
        <f t="shared" si="55"/>
        <v/>
      </c>
      <c r="E115" t="str">
        <f t="shared" si="56"/>
        <v/>
      </c>
      <c r="F115" t="str">
        <f>IF(C115&lt;&gt;"",Data!$M666,"")</f>
        <v/>
      </c>
      <c r="K115" t="e">
        <f>IF(Dashboard!$R$4="All",Data!G666,IF(Data!K666=Dashboard!$R$4,Data!G666,NA()))</f>
        <v>#N/A</v>
      </c>
      <c r="L115" t="str">
        <f t="shared" si="57"/>
        <v/>
      </c>
      <c r="M115" t="str">
        <f t="shared" si="58"/>
        <v/>
      </c>
      <c r="N115" t="str">
        <f t="shared" si="59"/>
        <v/>
      </c>
      <c r="O115" t="str">
        <f>IF(L115&lt;&gt;"",Data!$M666,"")</f>
        <v/>
      </c>
      <c r="P115" s="13" t="s">
        <v>363</v>
      </c>
      <c r="T115">
        <f>IF(OR(Dashboard!$P$4="All",Dashboard!$R$4="All"),NA(),IF(OR(Data!K666&lt;&gt;Dashboard!$P$4,Data!K666&lt;&gt;Dashboard!$R$4),Data!G666,NA()))</f>
        <v>5787.5729234188348</v>
      </c>
      <c r="AI115" s="13" t="s">
        <v>2189</v>
      </c>
      <c r="AJ115" s="8">
        <v>40700</v>
      </c>
      <c r="AK115" s="8">
        <v>1</v>
      </c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Q115" s="13" t="s">
        <v>2189</v>
      </c>
      <c r="BR115" s="8">
        <v>40700</v>
      </c>
      <c r="BS115" s="8"/>
      <c r="BT115" s="8"/>
      <c r="BU115" s="8"/>
      <c r="BV115" s="8"/>
    </row>
    <row r="116" spans="2:74">
      <c r="B116" t="e">
        <f>IF(Dashboard!$P$4="All",Data!G667,IF(Data!K667=Dashboard!$P$4,Data!G667,NA()))</f>
        <v>#N/A</v>
      </c>
      <c r="C116" t="str">
        <f t="shared" si="54"/>
        <v/>
      </c>
      <c r="D116" t="str">
        <f t="shared" si="55"/>
        <v/>
      </c>
      <c r="E116" t="str">
        <f t="shared" si="56"/>
        <v/>
      </c>
      <c r="F116" t="str">
        <f>IF(C116&lt;&gt;"",Data!$M667,"")</f>
        <v/>
      </c>
      <c r="K116" t="e">
        <f>IF(Dashboard!$R$4="All",Data!G667,IF(Data!K667=Dashboard!$R$4,Data!G667,NA()))</f>
        <v>#N/A</v>
      </c>
      <c r="L116" t="str">
        <f t="shared" si="57"/>
        <v/>
      </c>
      <c r="M116" t="str">
        <f t="shared" si="58"/>
        <v/>
      </c>
      <c r="N116" t="str">
        <f t="shared" si="59"/>
        <v/>
      </c>
      <c r="O116" t="str">
        <f>IF(L116&lt;&gt;"",Data!$M667,"")</f>
        <v/>
      </c>
      <c r="P116" s="13" t="s">
        <v>250</v>
      </c>
      <c r="T116">
        <f>IF(OR(Dashboard!$P$4="All",Dashboard!$R$4="All"),NA(),IF(OR(Data!K667&lt;&gt;Dashboard!$P$4,Data!K667&lt;&gt;Dashboard!$R$4),Data!G667,NA()))</f>
        <v>105000</v>
      </c>
      <c r="AI116" s="13" t="s">
        <v>2190</v>
      </c>
      <c r="AJ116" s="8">
        <v>40000</v>
      </c>
      <c r="AK116" s="8">
        <v>1</v>
      </c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Q116" s="13" t="s">
        <v>2190</v>
      </c>
      <c r="BR116" s="8"/>
      <c r="BS116" s="8"/>
      <c r="BT116" s="8">
        <v>40000</v>
      </c>
      <c r="BU116" s="8"/>
      <c r="BV116" s="8"/>
    </row>
    <row r="117" spans="2:74">
      <c r="B117" t="e">
        <f>IF(Dashboard!$P$4="All",Data!G668,IF(Data!K668=Dashboard!$P$4,Data!G668,NA()))</f>
        <v>#N/A</v>
      </c>
      <c r="C117" t="str">
        <f t="shared" si="54"/>
        <v/>
      </c>
      <c r="D117" t="str">
        <f t="shared" si="55"/>
        <v/>
      </c>
      <c r="E117" t="str">
        <f t="shared" si="56"/>
        <v/>
      </c>
      <c r="F117" t="str">
        <f>IF(C117&lt;&gt;"",Data!$M668,"")</f>
        <v/>
      </c>
      <c r="K117" t="e">
        <f>IF(Dashboard!$R$4="All",Data!G668,IF(Data!K668=Dashboard!$R$4,Data!G668,NA()))</f>
        <v>#N/A</v>
      </c>
      <c r="L117" t="str">
        <f t="shared" si="57"/>
        <v/>
      </c>
      <c r="M117" t="str">
        <f t="shared" si="58"/>
        <v/>
      </c>
      <c r="N117" t="str">
        <f t="shared" si="59"/>
        <v/>
      </c>
      <c r="O117" t="str">
        <f>IF(L117&lt;&gt;"",Data!$M668,"")</f>
        <v/>
      </c>
      <c r="P117" s="13" t="s">
        <v>632</v>
      </c>
      <c r="T117">
        <f>IF(OR(Dashboard!$P$4="All",Dashboard!$R$4="All"),NA(),IF(OR(Data!K668&lt;&gt;Dashboard!$P$4,Data!K668&lt;&gt;Dashboard!$R$4),Data!G668,NA()))</f>
        <v>4451.9791718606421</v>
      </c>
      <c r="AI117" s="13" t="s">
        <v>2191</v>
      </c>
      <c r="AJ117" s="8"/>
      <c r="AK117" s="8"/>
      <c r="AL117" s="8"/>
      <c r="AM117" s="8"/>
      <c r="AN117" s="8">
        <v>60000</v>
      </c>
      <c r="AO117" s="8">
        <v>1</v>
      </c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Q117" s="13" t="s">
        <v>2191</v>
      </c>
      <c r="BR117" s="8"/>
      <c r="BS117" s="8"/>
      <c r="BT117" s="8">
        <v>60000</v>
      </c>
      <c r="BU117" s="8"/>
      <c r="BV117" s="8"/>
    </row>
    <row r="118" spans="2:74">
      <c r="B118" t="e">
        <f>IF(Dashboard!$P$4="All",Data!G669,IF(Data!K669=Dashboard!$P$4,Data!G669,NA()))</f>
        <v>#N/A</v>
      </c>
      <c r="C118" t="str">
        <f t="shared" si="54"/>
        <v/>
      </c>
      <c r="D118" t="str">
        <f t="shared" si="55"/>
        <v/>
      </c>
      <c r="E118" t="str">
        <f t="shared" si="56"/>
        <v/>
      </c>
      <c r="F118" t="str">
        <f>IF(C118&lt;&gt;"",Data!$M669,"")</f>
        <v/>
      </c>
      <c r="K118" t="e">
        <f>IF(Dashboard!$R$4="All",Data!G669,IF(Data!K669=Dashboard!$R$4,Data!G669,NA()))</f>
        <v>#N/A</v>
      </c>
      <c r="L118" t="str">
        <f t="shared" si="57"/>
        <v/>
      </c>
      <c r="M118" t="str">
        <f t="shared" si="58"/>
        <v/>
      </c>
      <c r="N118" t="str">
        <f t="shared" si="59"/>
        <v/>
      </c>
      <c r="O118" t="str">
        <f>IF(L118&lt;&gt;"",Data!$M669,"")</f>
        <v/>
      </c>
      <c r="P118" s="13" t="s">
        <v>1618</v>
      </c>
      <c r="T118">
        <f>IF(OR(Dashboard!$P$4="All",Dashboard!$R$4="All"),NA(),IF(OR(Data!K669&lt;&gt;Dashboard!$P$4,Data!K669&lt;&gt;Dashboard!$R$4),Data!G669,NA()))</f>
        <v>8369.7208430980063</v>
      </c>
      <c r="AI118" s="13" t="s">
        <v>2194</v>
      </c>
      <c r="AJ118" s="8"/>
      <c r="AK118" s="8"/>
      <c r="AL118" s="8">
        <v>80000</v>
      </c>
      <c r="AM118" s="8">
        <v>1</v>
      </c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Q118" s="13" t="s">
        <v>2194</v>
      </c>
      <c r="BR118" s="8"/>
      <c r="BS118" s="8">
        <v>80000</v>
      </c>
      <c r="BT118" s="8"/>
      <c r="BU118" s="8"/>
      <c r="BV118" s="8"/>
    </row>
    <row r="119" spans="2:74">
      <c r="B119" t="e">
        <f>IF(Dashboard!$P$4="All",Data!G670,IF(Data!K670=Dashboard!$P$4,Data!G670,NA()))</f>
        <v>#N/A</v>
      </c>
      <c r="C119" t="str">
        <f t="shared" si="54"/>
        <v/>
      </c>
      <c r="D119" t="str">
        <f t="shared" si="55"/>
        <v/>
      </c>
      <c r="E119" t="str">
        <f t="shared" si="56"/>
        <v/>
      </c>
      <c r="F119" t="str">
        <f>IF(C119&lt;&gt;"",Data!$M670,"")</f>
        <v/>
      </c>
      <c r="K119" t="e">
        <f>IF(Dashboard!$R$4="All",Data!G670,IF(Data!K670=Dashboard!$R$4,Data!G670,NA()))</f>
        <v>#N/A</v>
      </c>
      <c r="L119" t="str">
        <f t="shared" si="57"/>
        <v/>
      </c>
      <c r="M119" t="str">
        <f t="shared" si="58"/>
        <v/>
      </c>
      <c r="N119" t="str">
        <f t="shared" si="59"/>
        <v/>
      </c>
      <c r="O119" t="str">
        <f>IF(L119&lt;&gt;"",Data!$M670,"")</f>
        <v/>
      </c>
      <c r="P119" s="13" t="s">
        <v>537</v>
      </c>
      <c r="T119">
        <f>IF(OR(Dashboard!$P$4="All",Dashboard!$R$4="All"),NA(),IF(OR(Data!K670&lt;&gt;Dashboard!$P$4,Data!K670&lt;&gt;Dashboard!$R$4),Data!G670,NA()))</f>
        <v>17067.637625607145</v>
      </c>
      <c r="AI119" s="13" t="s">
        <v>2196</v>
      </c>
      <c r="AJ119" s="8">
        <v>28000</v>
      </c>
      <c r="AK119" s="8">
        <v>1</v>
      </c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Q119" s="13" t="s">
        <v>2196</v>
      </c>
      <c r="BR119" s="8"/>
      <c r="BS119" s="8"/>
      <c r="BT119" s="8">
        <v>28000</v>
      </c>
      <c r="BU119" s="8"/>
      <c r="BV119" s="8"/>
    </row>
    <row r="120" spans="2:74">
      <c r="B120" t="e">
        <f>IF(Dashboard!$P$4="All",Data!G671,IF(Data!K671=Dashboard!$P$4,Data!G671,NA()))</f>
        <v>#N/A</v>
      </c>
      <c r="C120" t="str">
        <f t="shared" si="54"/>
        <v/>
      </c>
      <c r="D120" t="str">
        <f t="shared" si="55"/>
        <v/>
      </c>
      <c r="E120" t="str">
        <f t="shared" si="56"/>
        <v/>
      </c>
      <c r="F120" t="str">
        <f>IF(C120&lt;&gt;"",Data!$M671,"")</f>
        <v/>
      </c>
      <c r="K120" t="e">
        <f>IF(Dashboard!$R$4="All",Data!G671,IF(Data!K671=Dashboard!$R$4,Data!G671,NA()))</f>
        <v>#N/A</v>
      </c>
      <c r="L120" t="str">
        <f t="shared" si="57"/>
        <v/>
      </c>
      <c r="M120" t="str">
        <f t="shared" si="58"/>
        <v/>
      </c>
      <c r="N120" t="str">
        <f t="shared" si="59"/>
        <v/>
      </c>
      <c r="O120" t="str">
        <f>IF(L120&lt;&gt;"",Data!$M671,"")</f>
        <v/>
      </c>
      <c r="T120">
        <f>IF(OR(Dashboard!$P$4="All",Dashboard!$R$4="All"),NA(),IF(OR(Data!K671&lt;&gt;Dashboard!$P$4,Data!K671&lt;&gt;Dashboard!$R$4),Data!G671,NA()))</f>
        <v>101990.96564026357</v>
      </c>
      <c r="AI120" s="13" t="s">
        <v>2197</v>
      </c>
      <c r="AJ120" s="8">
        <v>60000</v>
      </c>
      <c r="AK120" s="8">
        <v>1</v>
      </c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Q120" s="13" t="s">
        <v>2197</v>
      </c>
      <c r="BR120" s="8"/>
      <c r="BS120" s="8"/>
      <c r="BT120" s="8">
        <v>60000</v>
      </c>
      <c r="BU120" s="8"/>
      <c r="BV120" s="8"/>
    </row>
    <row r="121" spans="2:74">
      <c r="B121" t="e">
        <f>IF(Dashboard!$P$4="All",Data!G672,IF(Data!K672=Dashboard!$P$4,Data!G672,NA()))</f>
        <v>#N/A</v>
      </c>
      <c r="C121" t="str">
        <f t="shared" si="54"/>
        <v/>
      </c>
      <c r="D121" t="str">
        <f t="shared" si="55"/>
        <v/>
      </c>
      <c r="E121" t="str">
        <f t="shared" si="56"/>
        <v/>
      </c>
      <c r="F121" t="str">
        <f>IF(C121&lt;&gt;"",Data!$M672,"")</f>
        <v/>
      </c>
      <c r="K121" t="e">
        <f>IF(Dashboard!$R$4="All",Data!G672,IF(Data!K672=Dashboard!$R$4,Data!G672,NA()))</f>
        <v>#N/A</v>
      </c>
      <c r="L121" t="str">
        <f t="shared" si="57"/>
        <v/>
      </c>
      <c r="M121" t="str">
        <f t="shared" si="58"/>
        <v/>
      </c>
      <c r="N121" t="str">
        <f t="shared" si="59"/>
        <v/>
      </c>
      <c r="O121" t="str">
        <f>IF(L121&lt;&gt;"",Data!$M672,"")</f>
        <v/>
      </c>
      <c r="T121">
        <f>IF(OR(Dashboard!$P$4="All",Dashboard!$R$4="All"),NA(),IF(OR(Data!K672&lt;&gt;Dashboard!$P$4,Data!K672&lt;&gt;Dashboard!$R$4),Data!G672,NA()))</f>
        <v>3917.7416712373652</v>
      </c>
      <c r="AI121" s="13" t="s">
        <v>2198</v>
      </c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>
        <v>96000</v>
      </c>
      <c r="AU121" s="8">
        <v>1</v>
      </c>
      <c r="AV121" s="8"/>
      <c r="AW121" s="8"/>
      <c r="AX121" s="8"/>
      <c r="AY121" s="8"/>
      <c r="AZ121" s="8"/>
      <c r="BA121" s="8"/>
      <c r="BB121" s="8"/>
      <c r="BC121" s="8"/>
      <c r="BQ121" s="13" t="s">
        <v>2198</v>
      </c>
      <c r="BR121" s="8"/>
      <c r="BS121" s="8">
        <v>96000</v>
      </c>
      <c r="BT121" s="8"/>
      <c r="BU121" s="8"/>
      <c r="BV121" s="8"/>
    </row>
    <row r="122" spans="2:74">
      <c r="B122" t="e">
        <f>IF(Dashboard!$P$4="All",Data!G673,IF(Data!K673=Dashboard!$P$4,Data!G673,NA()))</f>
        <v>#N/A</v>
      </c>
      <c r="C122" t="str">
        <f t="shared" si="54"/>
        <v/>
      </c>
      <c r="D122" t="str">
        <f t="shared" si="55"/>
        <v/>
      </c>
      <c r="E122" t="str">
        <f t="shared" si="56"/>
        <v/>
      </c>
      <c r="F122" t="str">
        <f>IF(C122&lt;&gt;"",Data!$M673,"")</f>
        <v/>
      </c>
      <c r="K122" t="e">
        <f>IF(Dashboard!$R$4="All",Data!G673,IF(Data!K673=Dashboard!$R$4,Data!G673,NA()))</f>
        <v>#N/A</v>
      </c>
      <c r="L122" t="str">
        <f t="shared" si="57"/>
        <v/>
      </c>
      <c r="M122" t="str">
        <f t="shared" si="58"/>
        <v/>
      </c>
      <c r="N122" t="str">
        <f t="shared" si="59"/>
        <v/>
      </c>
      <c r="O122" t="str">
        <f>IF(L122&lt;&gt;"",Data!$M673,"")</f>
        <v/>
      </c>
      <c r="T122">
        <f>IF(OR(Dashboard!$P$4="All",Dashboard!$R$4="All"),NA(),IF(OR(Data!K673&lt;&gt;Dashboard!$P$4,Data!K673&lt;&gt;Dashboard!$R$4),Data!G673,NA()))</f>
        <v>52000</v>
      </c>
      <c r="AI122" s="13" t="s">
        <v>2199</v>
      </c>
      <c r="AJ122" s="8">
        <v>67000</v>
      </c>
      <c r="AK122" s="8">
        <v>1</v>
      </c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Q122" s="13" t="s">
        <v>2199</v>
      </c>
      <c r="BR122" s="8"/>
      <c r="BS122" s="8"/>
      <c r="BT122" s="8">
        <v>67000</v>
      </c>
      <c r="BU122" s="8"/>
      <c r="BV122" s="8"/>
    </row>
    <row r="123" spans="2:74">
      <c r="B123" t="e">
        <f>IF(Dashboard!$P$4="All",Data!G674,IF(Data!K674=Dashboard!$P$4,Data!G674,NA()))</f>
        <v>#N/A</v>
      </c>
      <c r="C123" t="str">
        <f t="shared" si="54"/>
        <v/>
      </c>
      <c r="D123" t="str">
        <f t="shared" si="55"/>
        <v/>
      </c>
      <c r="E123" t="str">
        <f t="shared" si="56"/>
        <v/>
      </c>
      <c r="F123" t="str">
        <f>IF(C123&lt;&gt;"",Data!$M674,"")</f>
        <v/>
      </c>
      <c r="K123" t="e">
        <f>IF(Dashboard!$R$4="All",Data!G674,IF(Data!K674=Dashboard!$R$4,Data!G674,NA()))</f>
        <v>#N/A</v>
      </c>
      <c r="L123" t="str">
        <f t="shared" si="57"/>
        <v/>
      </c>
      <c r="M123" t="str">
        <f t="shared" si="58"/>
        <v/>
      </c>
      <c r="N123" t="str">
        <f t="shared" si="59"/>
        <v/>
      </c>
      <c r="O123" t="str">
        <f>IF(L123&lt;&gt;"",Data!$M674,"")</f>
        <v/>
      </c>
      <c r="T123">
        <f>IF(OR(Dashboard!$P$4="All",Dashboard!$R$4="All"),NA(),IF(OR(Data!K674&lt;&gt;Dashboard!$P$4,Data!K674&lt;&gt;Dashboard!$R$4),Data!G674,NA()))</f>
        <v>4630.058338735068</v>
      </c>
      <c r="AI123" s="13" t="s">
        <v>2200</v>
      </c>
      <c r="AJ123" s="8">
        <v>70000</v>
      </c>
      <c r="AK123" s="8">
        <v>1</v>
      </c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Q123" s="13" t="s">
        <v>2200</v>
      </c>
      <c r="BR123" s="8"/>
      <c r="BS123" s="8"/>
      <c r="BT123" s="8">
        <v>70000</v>
      </c>
      <c r="BU123" s="8"/>
      <c r="BV123" s="8"/>
    </row>
    <row r="124" spans="2:74">
      <c r="B124" t="e">
        <f>IF(Dashboard!$P$4="All",Data!G675,IF(Data!K675=Dashboard!$P$4,Data!G675,NA()))</f>
        <v>#N/A</v>
      </c>
      <c r="C124" t="str">
        <f t="shared" si="54"/>
        <v/>
      </c>
      <c r="D124" t="str">
        <f t="shared" si="55"/>
        <v/>
      </c>
      <c r="E124" t="str">
        <f t="shared" si="56"/>
        <v/>
      </c>
      <c r="F124" t="str">
        <f>IF(C124&lt;&gt;"",Data!$M675,"")</f>
        <v/>
      </c>
      <c r="K124" t="e">
        <f>IF(Dashboard!$R$4="All",Data!G675,IF(Data!K675=Dashboard!$R$4,Data!G675,NA()))</f>
        <v>#N/A</v>
      </c>
      <c r="L124" t="str">
        <f t="shared" si="57"/>
        <v/>
      </c>
      <c r="M124" t="str">
        <f t="shared" si="58"/>
        <v/>
      </c>
      <c r="N124" t="str">
        <f t="shared" si="59"/>
        <v/>
      </c>
      <c r="O124" t="str">
        <f>IF(L124&lt;&gt;"",Data!$M675,"")</f>
        <v/>
      </c>
      <c r="T124">
        <f>IF(OR(Dashboard!$P$4="All",Dashboard!$R$4="All"),NA(),IF(OR(Data!K675&lt;&gt;Dashboard!$P$4,Data!K675&lt;&gt;Dashboard!$R$4),Data!G675,NA()))</f>
        <v>2136.9500024931081</v>
      </c>
      <c r="AI124" s="13" t="s">
        <v>2202</v>
      </c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>
        <v>99000</v>
      </c>
      <c r="AY124" s="8">
        <v>1</v>
      </c>
      <c r="AZ124" s="8"/>
      <c r="BA124" s="8"/>
      <c r="BB124" s="8"/>
      <c r="BC124" s="8"/>
      <c r="BQ124" s="13" t="s">
        <v>2202</v>
      </c>
      <c r="BR124" s="8"/>
      <c r="BS124" s="8"/>
      <c r="BT124" s="8">
        <v>99000</v>
      </c>
      <c r="BU124" s="8"/>
      <c r="BV124" s="8"/>
    </row>
    <row r="125" spans="2:74">
      <c r="B125" t="e">
        <f>IF(Dashboard!$P$4="All",Data!G676,IF(Data!K676=Dashboard!$P$4,Data!G676,NA()))</f>
        <v>#N/A</v>
      </c>
      <c r="C125" t="str">
        <f t="shared" si="54"/>
        <v/>
      </c>
      <c r="D125" t="str">
        <f t="shared" si="55"/>
        <v/>
      </c>
      <c r="E125" t="str">
        <f t="shared" si="56"/>
        <v/>
      </c>
      <c r="F125" t="str">
        <f>IF(C125&lt;&gt;"",Data!$M676,"")</f>
        <v/>
      </c>
      <c r="K125" t="e">
        <f>IF(Dashboard!$R$4="All",Data!G676,IF(Data!K676=Dashboard!$R$4,Data!G676,NA()))</f>
        <v>#N/A</v>
      </c>
      <c r="L125" t="str">
        <f t="shared" si="57"/>
        <v/>
      </c>
      <c r="M125" t="str">
        <f t="shared" si="58"/>
        <v/>
      </c>
      <c r="N125" t="str">
        <f t="shared" si="59"/>
        <v/>
      </c>
      <c r="O125" t="str">
        <f>IF(L125&lt;&gt;"",Data!$M676,"")</f>
        <v/>
      </c>
      <c r="T125">
        <f>IF(OR(Dashboard!$P$4="All",Dashboard!$R$4="All"),NA(),IF(OR(Data!K676&lt;&gt;Dashboard!$P$4,Data!K676&lt;&gt;Dashboard!$R$4),Data!G676,NA()))</f>
        <v>13000</v>
      </c>
      <c r="AI125" s="13" t="s">
        <v>2203</v>
      </c>
      <c r="AJ125" s="8"/>
      <c r="AK125" s="8"/>
      <c r="AL125" s="8">
        <v>90000</v>
      </c>
      <c r="AM125" s="8">
        <v>1</v>
      </c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Q125" s="13" t="s">
        <v>2203</v>
      </c>
      <c r="BR125" s="8"/>
      <c r="BS125" s="8">
        <v>90000</v>
      </c>
      <c r="BT125" s="8"/>
      <c r="BU125" s="8"/>
      <c r="BV125" s="8"/>
    </row>
    <row r="126" spans="2:74">
      <c r="B126" t="e">
        <f>IF(Dashboard!$P$4="All",Data!G677,IF(Data!K677=Dashboard!$P$4,Data!G677,NA()))</f>
        <v>#N/A</v>
      </c>
      <c r="C126" t="str">
        <f t="shared" si="54"/>
        <v/>
      </c>
      <c r="D126" t="str">
        <f t="shared" si="55"/>
        <v/>
      </c>
      <c r="E126" t="str">
        <f t="shared" si="56"/>
        <v/>
      </c>
      <c r="F126" t="str">
        <f>IF(C126&lt;&gt;"",Data!$M677,"")</f>
        <v/>
      </c>
      <c r="K126" t="e">
        <f>IF(Dashboard!$R$4="All",Data!G677,IF(Data!K677=Dashboard!$R$4,Data!G677,NA()))</f>
        <v>#N/A</v>
      </c>
      <c r="L126" t="str">
        <f t="shared" si="57"/>
        <v/>
      </c>
      <c r="M126" t="str">
        <f t="shared" si="58"/>
        <v/>
      </c>
      <c r="N126" t="str">
        <f t="shared" si="59"/>
        <v/>
      </c>
      <c r="O126" t="str">
        <f>IF(L126&lt;&gt;"",Data!$M677,"")</f>
        <v/>
      </c>
      <c r="T126">
        <f>IF(OR(Dashboard!$P$4="All",Dashboard!$R$4="All"),NA(),IF(OR(Data!K677&lt;&gt;Dashboard!$P$4,Data!K677&lt;&gt;Dashboard!$R$4),Data!G677,NA()))</f>
        <v>2564.3400029917298</v>
      </c>
      <c r="AI126" s="13" t="s">
        <v>2206</v>
      </c>
      <c r="AJ126" s="8"/>
      <c r="AK126" s="8"/>
      <c r="AL126" s="8">
        <v>51000</v>
      </c>
      <c r="AM126" s="8">
        <v>1</v>
      </c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Q126" s="13" t="s">
        <v>2206</v>
      </c>
      <c r="BR126" s="8"/>
      <c r="BS126" s="8"/>
      <c r="BT126" s="8">
        <v>51000</v>
      </c>
      <c r="BU126" s="8"/>
      <c r="BV126" s="8"/>
    </row>
    <row r="127" spans="2:74">
      <c r="B127" t="e">
        <f>IF(Dashboard!$P$4="All",Data!G678,IF(Data!K678=Dashboard!$P$4,Data!G678,NA()))</f>
        <v>#N/A</v>
      </c>
      <c r="C127" t="str">
        <f t="shared" si="54"/>
        <v/>
      </c>
      <c r="D127" t="str">
        <f t="shared" si="55"/>
        <v/>
      </c>
      <c r="E127" t="str">
        <f t="shared" si="56"/>
        <v/>
      </c>
      <c r="F127" t="str">
        <f>IF(C127&lt;&gt;"",Data!$M678,"")</f>
        <v/>
      </c>
      <c r="K127" t="e">
        <f>IF(Dashboard!$R$4="All",Data!G678,IF(Data!K678=Dashboard!$R$4,Data!G678,NA()))</f>
        <v>#N/A</v>
      </c>
      <c r="L127" t="str">
        <f t="shared" si="57"/>
        <v/>
      </c>
      <c r="M127" t="str">
        <f t="shared" si="58"/>
        <v/>
      </c>
      <c r="N127" t="str">
        <f t="shared" si="59"/>
        <v/>
      </c>
      <c r="O127" t="str">
        <f>IF(L127&lt;&gt;"",Data!$M678,"")</f>
        <v/>
      </c>
      <c r="T127">
        <f>IF(OR(Dashboard!$P$4="All",Dashboard!$R$4="All"),NA(),IF(OR(Data!K678&lt;&gt;Dashboard!$P$4,Data!K678&lt;&gt;Dashboard!$R$4),Data!G678,NA()))</f>
        <v>20479.104190558952</v>
      </c>
      <c r="AI127" s="13" t="s">
        <v>2207</v>
      </c>
      <c r="AJ127" s="8"/>
      <c r="AK127" s="8"/>
      <c r="AL127" s="8">
        <v>100000</v>
      </c>
      <c r="AM127" s="8">
        <v>1</v>
      </c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Q127" s="13" t="s">
        <v>2207</v>
      </c>
      <c r="BR127" s="8"/>
      <c r="BS127" s="8"/>
      <c r="BT127" s="8"/>
      <c r="BU127" s="8">
        <v>100000</v>
      </c>
      <c r="BV127" s="8"/>
    </row>
    <row r="128" spans="2:74">
      <c r="B128" t="e">
        <f>IF(Dashboard!$P$4="All",Data!G679,IF(Data!K679=Dashboard!$P$4,Data!G679,NA()))</f>
        <v>#N/A</v>
      </c>
      <c r="C128" t="str">
        <f t="shared" si="54"/>
        <v/>
      </c>
      <c r="D128" t="str">
        <f t="shared" si="55"/>
        <v/>
      </c>
      <c r="E128" t="str">
        <f t="shared" si="56"/>
        <v/>
      </c>
      <c r="F128" t="str">
        <f>IF(C128&lt;&gt;"",Data!$M679,"")</f>
        <v/>
      </c>
      <c r="K128" t="e">
        <f>IF(Dashboard!$R$4="All",Data!G679,IF(Data!K679=Dashboard!$R$4,Data!G679,NA()))</f>
        <v>#N/A</v>
      </c>
      <c r="L128" t="str">
        <f t="shared" si="57"/>
        <v/>
      </c>
      <c r="M128" t="str">
        <f t="shared" si="58"/>
        <v/>
      </c>
      <c r="N128" t="str">
        <f t="shared" si="59"/>
        <v/>
      </c>
      <c r="O128" t="str">
        <f>IF(L128&lt;&gt;"",Data!$M679,"")</f>
        <v/>
      </c>
      <c r="T128">
        <f>IF(OR(Dashboard!$P$4="All",Dashboard!$R$4="All"),NA(),IF(OR(Data!K679&lt;&gt;Dashboard!$P$4,Data!K679&lt;&gt;Dashboard!$R$4),Data!G679,NA()))</f>
        <v>33500</v>
      </c>
      <c r="AI128" s="13" t="s">
        <v>2211</v>
      </c>
      <c r="AJ128" s="8">
        <v>108160</v>
      </c>
      <c r="AK128" s="8">
        <v>1</v>
      </c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Q128" s="13" t="s">
        <v>2211</v>
      </c>
      <c r="BR128" s="8"/>
      <c r="BS128" s="8"/>
      <c r="BT128" s="8">
        <v>108160</v>
      </c>
      <c r="BU128" s="8"/>
      <c r="BV128" s="8"/>
    </row>
    <row r="129" spans="2:74">
      <c r="B129" t="e">
        <f>IF(Dashboard!$P$4="All",Data!G680,IF(Data!K680=Dashboard!$P$4,Data!G680,NA()))</f>
        <v>#N/A</v>
      </c>
      <c r="C129" t="str">
        <f t="shared" si="54"/>
        <v/>
      </c>
      <c r="D129" t="str">
        <f t="shared" si="55"/>
        <v/>
      </c>
      <c r="E129" t="str">
        <f t="shared" si="56"/>
        <v/>
      </c>
      <c r="F129" t="str">
        <f>IF(C129&lt;&gt;"",Data!$M680,"")</f>
        <v/>
      </c>
      <c r="K129" t="e">
        <f>IF(Dashboard!$R$4="All",Data!G680,IF(Data!K680=Dashboard!$R$4,Data!G680,NA()))</f>
        <v>#N/A</v>
      </c>
      <c r="L129" t="str">
        <f t="shared" si="57"/>
        <v/>
      </c>
      <c r="M129" t="str">
        <f t="shared" si="58"/>
        <v/>
      </c>
      <c r="N129" t="str">
        <f t="shared" si="59"/>
        <v/>
      </c>
      <c r="O129" t="str">
        <f>IF(L129&lt;&gt;"",Data!$M680,"")</f>
        <v/>
      </c>
      <c r="T129">
        <f>IF(OR(Dashboard!$P$4="All",Dashboard!$R$4="All"),NA(),IF(OR(Data!K680&lt;&gt;Dashboard!$P$4,Data!K680&lt;&gt;Dashboard!$R$4),Data!G680,NA()))</f>
        <v>50000</v>
      </c>
      <c r="U129"/>
      <c r="AI129" s="13" t="s">
        <v>2212</v>
      </c>
      <c r="AJ129" s="8"/>
      <c r="AK129" s="8"/>
      <c r="AL129" s="8">
        <v>50000</v>
      </c>
      <c r="AM129" s="8">
        <v>1</v>
      </c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Q129" s="13" t="s">
        <v>2212</v>
      </c>
      <c r="BR129" s="8"/>
      <c r="BS129" s="8"/>
      <c r="BT129" s="8">
        <v>50000</v>
      </c>
      <c r="BU129" s="8"/>
      <c r="BV129" s="8"/>
    </row>
    <row r="130" spans="2:74">
      <c r="B130" t="e">
        <f>IF(Dashboard!$P$4="All",Data!G681,IF(Data!K681=Dashboard!$P$4,Data!G681,NA()))</f>
        <v>#N/A</v>
      </c>
      <c r="C130" t="str">
        <f t="shared" si="54"/>
        <v/>
      </c>
      <c r="D130" t="str">
        <f t="shared" si="55"/>
        <v/>
      </c>
      <c r="E130" t="str">
        <f t="shared" si="56"/>
        <v/>
      </c>
      <c r="F130" t="str">
        <f>IF(C130&lt;&gt;"",Data!$M681,"")</f>
        <v/>
      </c>
      <c r="K130" t="e">
        <f>IF(Dashboard!$R$4="All",Data!G681,IF(Data!K681=Dashboard!$R$4,Data!G681,NA()))</f>
        <v>#N/A</v>
      </c>
      <c r="L130" t="str">
        <f t="shared" si="57"/>
        <v/>
      </c>
      <c r="M130" t="str">
        <f t="shared" si="58"/>
        <v/>
      </c>
      <c r="N130" t="str">
        <f t="shared" si="59"/>
        <v/>
      </c>
      <c r="O130" t="str">
        <f>IF(L130&lt;&gt;"",Data!$M681,"")</f>
        <v/>
      </c>
      <c r="T130">
        <f>IF(OR(Dashboard!$P$4="All",Dashboard!$R$4="All"),NA(),IF(OR(Data!K681&lt;&gt;Dashboard!$P$4,Data!K681&lt;&gt;Dashboard!$R$4),Data!G681,NA()))</f>
        <v>5342.3750062327708</v>
      </c>
      <c r="U130"/>
      <c r="AI130" s="13" t="s">
        <v>2213</v>
      </c>
      <c r="AJ130" s="8"/>
      <c r="AK130" s="8"/>
      <c r="AL130" s="8">
        <v>400000</v>
      </c>
      <c r="AM130" s="8">
        <v>1</v>
      </c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Q130" s="13" t="s">
        <v>2213</v>
      </c>
      <c r="BR130" s="8">
        <v>400000</v>
      </c>
      <c r="BS130" s="8"/>
      <c r="BT130" s="8"/>
      <c r="BU130" s="8"/>
      <c r="BV130" s="8"/>
    </row>
    <row r="131" spans="2:74">
      <c r="B131" t="e">
        <f>IF(Dashboard!$P$4="All",Data!G682,IF(Data!K682=Dashboard!$P$4,Data!G682,NA()))</f>
        <v>#N/A</v>
      </c>
      <c r="C131" t="str">
        <f t="shared" si="54"/>
        <v/>
      </c>
      <c r="D131" t="str">
        <f t="shared" si="55"/>
        <v/>
      </c>
      <c r="E131" t="str">
        <f t="shared" si="56"/>
        <v/>
      </c>
      <c r="F131" t="str">
        <f>IF(C131&lt;&gt;"",Data!$M682,"")</f>
        <v/>
      </c>
      <c r="K131" t="e">
        <f>IF(Dashboard!$R$4="All",Data!G682,IF(Data!K682=Dashboard!$R$4,Data!G682,NA()))</f>
        <v>#N/A</v>
      </c>
      <c r="L131" t="str">
        <f t="shared" si="57"/>
        <v/>
      </c>
      <c r="M131" t="str">
        <f t="shared" si="58"/>
        <v/>
      </c>
      <c r="N131" t="str">
        <f t="shared" si="59"/>
        <v/>
      </c>
      <c r="O131" t="str">
        <f>IF(L131&lt;&gt;"",Data!$M682,"")</f>
        <v/>
      </c>
      <c r="T131">
        <f>IF(OR(Dashboard!$P$4="All",Dashboard!$R$4="All"),NA(),IF(OR(Data!K682&lt;&gt;Dashboard!$P$4,Data!K682&lt;&gt;Dashboard!$R$4),Data!G682,NA()))</f>
        <v>11539.530013462785</v>
      </c>
      <c r="U131"/>
      <c r="AI131" s="13" t="s">
        <v>2214</v>
      </c>
      <c r="AJ131" s="8">
        <v>43000</v>
      </c>
      <c r="AK131" s="8">
        <v>1</v>
      </c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Q131" s="13" t="s">
        <v>2214</v>
      </c>
      <c r="BR131" s="8"/>
      <c r="BS131" s="8"/>
      <c r="BT131" s="8"/>
      <c r="BU131" s="8">
        <v>43000</v>
      </c>
      <c r="BV131" s="8"/>
    </row>
    <row r="132" spans="2:74">
      <c r="B132" t="e">
        <f>IF(Dashboard!$P$4="All",Data!G683,IF(Data!K683=Dashboard!$P$4,Data!G683,NA()))</f>
        <v>#N/A</v>
      </c>
      <c r="C132" t="str">
        <f t="shared" ref="C132:C195" si="61">IF(ISNA(B132),"",B132)</f>
        <v/>
      </c>
      <c r="D132" t="str">
        <f t="shared" ref="D132:D195" si="62">IF(C132&gt;=PERCENTILE($C$3:$C$1337,0.9),C132,"")</f>
        <v/>
      </c>
      <c r="E132" t="str">
        <f t="shared" ref="E132:E195" si="63">IF(C132&lt;=PERCENTILE($C$3:$C$1337,0.1),C132,"")</f>
        <v/>
      </c>
      <c r="F132" t="str">
        <f>IF(C132&lt;&gt;"",Data!$M683,"")</f>
        <v/>
      </c>
      <c r="K132" t="e">
        <f>IF(Dashboard!$R$4="All",Data!G683,IF(Data!K683=Dashboard!$R$4,Data!G683,NA()))</f>
        <v>#N/A</v>
      </c>
      <c r="L132" t="str">
        <f t="shared" ref="L132:L195" si="64">IF(ISNA(K132),"",K132)</f>
        <v/>
      </c>
      <c r="M132" t="str">
        <f t="shared" ref="M132:M195" si="65">IF(L132&gt;=PERCENTILE($L$3:$L$1337,0.9),L132,"")</f>
        <v/>
      </c>
      <c r="N132" t="str">
        <f t="shared" ref="N132:N195" si="66">IF(L132&lt;=PERCENTILE($L$3:$L$1337,0.1),L132,"")</f>
        <v/>
      </c>
      <c r="O132" t="str">
        <f>IF(L132&lt;&gt;"",Data!$M683,"")</f>
        <v/>
      </c>
      <c r="T132">
        <f>IF(OR(Dashboard!$P$4="All",Dashboard!$R$4="All"),NA(),IF(OR(Data!K683&lt;&gt;Dashboard!$P$4,Data!K683&lt;&gt;Dashboard!$R$4),Data!G683,NA()))</f>
        <v>7000</v>
      </c>
      <c r="U132"/>
      <c r="AI132" s="13" t="s">
        <v>2216</v>
      </c>
      <c r="AJ132" s="8"/>
      <c r="AK132" s="8"/>
      <c r="AL132" s="8">
        <v>41000</v>
      </c>
      <c r="AM132" s="8">
        <v>1</v>
      </c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Q132" s="13" t="s">
        <v>2216</v>
      </c>
      <c r="BR132" s="8"/>
      <c r="BS132" s="8"/>
      <c r="BT132" s="8"/>
      <c r="BU132" s="8">
        <v>41000</v>
      </c>
      <c r="BV132" s="8"/>
    </row>
    <row r="133" spans="2:74">
      <c r="B133" t="e">
        <f>IF(Dashboard!$P$4="All",Data!G684,IF(Data!K684=Dashboard!$P$4,Data!G684,NA()))</f>
        <v>#N/A</v>
      </c>
      <c r="C133" t="str">
        <f t="shared" si="61"/>
        <v/>
      </c>
      <c r="D133" t="str">
        <f t="shared" si="62"/>
        <v/>
      </c>
      <c r="E133" t="str">
        <f t="shared" si="63"/>
        <v/>
      </c>
      <c r="F133" t="str">
        <f>IF(C133&lt;&gt;"",Data!$M684,"")</f>
        <v/>
      </c>
      <c r="K133" t="e">
        <f>IF(Dashboard!$R$4="All",Data!G684,IF(Data!K684=Dashboard!$R$4,Data!G684,NA()))</f>
        <v>#N/A</v>
      </c>
      <c r="L133" t="str">
        <f t="shared" si="64"/>
        <v/>
      </c>
      <c r="M133" t="str">
        <f t="shared" si="65"/>
        <v/>
      </c>
      <c r="N133" t="str">
        <f t="shared" si="66"/>
        <v/>
      </c>
      <c r="O133" t="str">
        <f>IF(L133&lt;&gt;"",Data!$M684,"")</f>
        <v/>
      </c>
      <c r="T133">
        <f>IF(OR(Dashboard!$P$4="All",Dashboard!$R$4="All"),NA(),IF(OR(Data!K684&lt;&gt;Dashboard!$P$4,Data!K684&lt;&gt;Dashboard!$R$4),Data!G684,NA()))</f>
        <v>6767.0083412281756</v>
      </c>
      <c r="U133"/>
      <c r="AI133" s="13" t="s">
        <v>2217</v>
      </c>
      <c r="AJ133" s="8"/>
      <c r="AK133" s="8"/>
      <c r="AL133" s="8"/>
      <c r="AM133" s="8"/>
      <c r="AN133" s="8"/>
      <c r="AO133" s="8"/>
      <c r="AP133" s="8">
        <v>100000</v>
      </c>
      <c r="AQ133" s="8">
        <v>1</v>
      </c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Q133" s="13" t="s">
        <v>2217</v>
      </c>
      <c r="BR133" s="8"/>
      <c r="BS133" s="8"/>
      <c r="BT133" s="8">
        <v>100000</v>
      </c>
      <c r="BU133" s="8"/>
      <c r="BV133" s="8"/>
    </row>
    <row r="134" spans="2:74">
      <c r="B134" t="e">
        <f>IF(Dashboard!$P$4="All",Data!G685,IF(Data!K685=Dashboard!$P$4,Data!G685,NA()))</f>
        <v>#N/A</v>
      </c>
      <c r="C134" t="str">
        <f t="shared" si="61"/>
        <v/>
      </c>
      <c r="D134" t="str">
        <f t="shared" si="62"/>
        <v/>
      </c>
      <c r="E134" t="str">
        <f t="shared" si="63"/>
        <v/>
      </c>
      <c r="F134" t="str">
        <f>IF(C134&lt;&gt;"",Data!$M685,"")</f>
        <v/>
      </c>
      <c r="K134" t="e">
        <f>IF(Dashboard!$R$4="All",Data!G685,IF(Data!K685=Dashboard!$R$4,Data!G685,NA()))</f>
        <v>#N/A</v>
      </c>
      <c r="L134" t="str">
        <f t="shared" si="64"/>
        <v/>
      </c>
      <c r="M134" t="str">
        <f t="shared" si="65"/>
        <v/>
      </c>
      <c r="N134" t="str">
        <f t="shared" si="66"/>
        <v/>
      </c>
      <c r="O134" t="str">
        <f>IF(L134&lt;&gt;"",Data!$M685,"")</f>
        <v/>
      </c>
      <c r="T134">
        <f>IF(OR(Dashboard!$P$4="All",Dashboard!$R$4="All"),NA(),IF(OR(Data!K685&lt;&gt;Dashboard!$P$4,Data!K685&lt;&gt;Dashboard!$R$4),Data!G685,NA()))</f>
        <v>3000</v>
      </c>
      <c r="U134"/>
      <c r="AI134" s="13" t="s">
        <v>2218</v>
      </c>
      <c r="AJ134" s="8">
        <v>42140</v>
      </c>
      <c r="AK134" s="8">
        <v>1</v>
      </c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Q134" s="13" t="s">
        <v>2218</v>
      </c>
      <c r="BR134" s="8"/>
      <c r="BS134" s="8"/>
      <c r="BT134" s="8">
        <v>42140</v>
      </c>
      <c r="BU134" s="8"/>
      <c r="BV134" s="8"/>
    </row>
    <row r="135" spans="2:74">
      <c r="B135" t="e">
        <f>IF(Dashboard!$P$4="All",Data!G686,IF(Data!K686=Dashboard!$P$4,Data!G686,NA()))</f>
        <v>#N/A</v>
      </c>
      <c r="C135" t="str">
        <f t="shared" si="61"/>
        <v/>
      </c>
      <c r="D135" t="str">
        <f t="shared" si="62"/>
        <v/>
      </c>
      <c r="E135" t="str">
        <f t="shared" si="63"/>
        <v/>
      </c>
      <c r="F135" t="str">
        <f>IF(C135&lt;&gt;"",Data!$M686,"")</f>
        <v/>
      </c>
      <c r="K135" t="e">
        <f>IF(Dashboard!$R$4="All",Data!G686,IF(Data!K686=Dashboard!$R$4,Data!G686,NA()))</f>
        <v>#N/A</v>
      </c>
      <c r="L135" t="str">
        <f t="shared" si="64"/>
        <v/>
      </c>
      <c r="M135" t="str">
        <f t="shared" si="65"/>
        <v/>
      </c>
      <c r="N135" t="str">
        <f t="shared" si="66"/>
        <v/>
      </c>
      <c r="O135" t="str">
        <f>IF(L135&lt;&gt;"",Data!$M686,"")</f>
        <v/>
      </c>
      <c r="T135">
        <f>IF(OR(Dashboard!$P$4="All",Dashboard!$R$4="All"),NA(),IF(OR(Data!K686&lt;&gt;Dashboard!$P$4,Data!K686&lt;&gt;Dashboard!$R$4),Data!G686,NA()))</f>
        <v>4451.9791718606421</v>
      </c>
      <c r="U135"/>
      <c r="AI135" s="13" t="s">
        <v>2219</v>
      </c>
      <c r="AJ135" s="8">
        <v>80000</v>
      </c>
      <c r="AK135" s="8">
        <v>1</v>
      </c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Q135" s="13" t="s">
        <v>2219</v>
      </c>
      <c r="BR135" s="8"/>
      <c r="BS135" s="8"/>
      <c r="BT135" s="8">
        <v>80000</v>
      </c>
      <c r="BU135" s="8"/>
      <c r="BV135" s="8"/>
    </row>
    <row r="136" spans="2:74">
      <c r="B136" t="e">
        <f>IF(Dashboard!$P$4="All",Data!G687,IF(Data!K687=Dashboard!$P$4,Data!G687,NA()))</f>
        <v>#N/A</v>
      </c>
      <c r="C136" t="str">
        <f t="shared" si="61"/>
        <v/>
      </c>
      <c r="D136" t="str">
        <f t="shared" si="62"/>
        <v/>
      </c>
      <c r="E136" t="str">
        <f t="shared" si="63"/>
        <v/>
      </c>
      <c r="F136" t="str">
        <f>IF(C136&lt;&gt;"",Data!$M687,"")</f>
        <v/>
      </c>
      <c r="K136" t="e">
        <f>IF(Dashboard!$R$4="All",Data!G687,IF(Data!K687=Dashboard!$R$4,Data!G687,NA()))</f>
        <v>#N/A</v>
      </c>
      <c r="L136" t="str">
        <f t="shared" si="64"/>
        <v/>
      </c>
      <c r="M136" t="str">
        <f t="shared" si="65"/>
        <v/>
      </c>
      <c r="N136" t="str">
        <f t="shared" si="66"/>
        <v/>
      </c>
      <c r="O136" t="str">
        <f>IF(L136&lt;&gt;"",Data!$M687,"")</f>
        <v/>
      </c>
      <c r="T136">
        <f>IF(OR(Dashboard!$P$4="All",Dashboard!$R$4="All"),NA(),IF(OR(Data!K687&lt;&gt;Dashboard!$P$4,Data!K687&lt;&gt;Dashboard!$R$4),Data!G687,NA()))</f>
        <v>2671.1875031163854</v>
      </c>
      <c r="U136"/>
      <c r="AI136" s="13" t="s">
        <v>2220</v>
      </c>
      <c r="AJ136" s="8"/>
      <c r="AK136" s="8"/>
      <c r="AL136" s="8">
        <v>41600</v>
      </c>
      <c r="AM136" s="8">
        <v>1</v>
      </c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Q136" s="13" t="s">
        <v>2220</v>
      </c>
      <c r="BR136" s="8"/>
      <c r="BS136" s="8"/>
      <c r="BT136" s="8">
        <v>41600</v>
      </c>
      <c r="BU136" s="8"/>
      <c r="BV136" s="8"/>
    </row>
    <row r="137" spans="2:74">
      <c r="B137" t="e">
        <f>IF(Dashboard!$P$4="All",Data!G688,IF(Data!K688=Dashboard!$P$4,Data!G688,NA()))</f>
        <v>#N/A</v>
      </c>
      <c r="C137" t="str">
        <f t="shared" si="61"/>
        <v/>
      </c>
      <c r="D137" t="str">
        <f t="shared" si="62"/>
        <v/>
      </c>
      <c r="E137" t="str">
        <f t="shared" si="63"/>
        <v/>
      </c>
      <c r="F137" t="str">
        <f>IF(C137&lt;&gt;"",Data!$M688,"")</f>
        <v/>
      </c>
      <c r="K137" t="e">
        <f>IF(Dashboard!$R$4="All",Data!G688,IF(Data!K688=Dashboard!$R$4,Data!G688,NA()))</f>
        <v>#N/A</v>
      </c>
      <c r="L137" t="str">
        <f t="shared" si="64"/>
        <v/>
      </c>
      <c r="M137" t="str">
        <f t="shared" si="65"/>
        <v/>
      </c>
      <c r="N137" t="str">
        <f t="shared" si="66"/>
        <v/>
      </c>
      <c r="O137" t="str">
        <f>IF(L137&lt;&gt;"",Data!$M688,"")</f>
        <v/>
      </c>
      <c r="T137">
        <f>IF(OR(Dashboard!$P$4="All",Dashboard!$R$4="All"),NA(),IF(OR(Data!K688&lt;&gt;Dashboard!$P$4,Data!K688&lt;&gt;Dashboard!$R$4),Data!G688,NA()))</f>
        <v>4957.7240057840108</v>
      </c>
      <c r="U137"/>
      <c r="AI137" s="13" t="s">
        <v>2221</v>
      </c>
      <c r="AJ137" s="8"/>
      <c r="AK137" s="8"/>
      <c r="AL137" s="8"/>
      <c r="AM137" s="8"/>
      <c r="AN137" s="8">
        <v>45000</v>
      </c>
      <c r="AO137" s="8">
        <v>1</v>
      </c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Q137" s="13" t="s">
        <v>2221</v>
      </c>
      <c r="BR137" s="8"/>
      <c r="BS137" s="8">
        <v>45000</v>
      </c>
      <c r="BT137" s="8"/>
      <c r="BU137" s="8"/>
      <c r="BV137" s="8"/>
    </row>
    <row r="138" spans="2:74">
      <c r="B138" t="e">
        <f>IF(Dashboard!$P$4="All",Data!G689,IF(Data!K689=Dashboard!$P$4,Data!G689,NA()))</f>
        <v>#N/A</v>
      </c>
      <c r="C138" t="str">
        <f t="shared" si="61"/>
        <v/>
      </c>
      <c r="D138" t="str">
        <f t="shared" si="62"/>
        <v/>
      </c>
      <c r="E138" t="str">
        <f t="shared" si="63"/>
        <v/>
      </c>
      <c r="F138" t="str">
        <f>IF(C138&lt;&gt;"",Data!$M689,"")</f>
        <v/>
      </c>
      <c r="K138" t="e">
        <f>IF(Dashboard!$R$4="All",Data!G689,IF(Data!K689=Dashboard!$R$4,Data!G689,NA()))</f>
        <v>#N/A</v>
      </c>
      <c r="L138" t="str">
        <f t="shared" si="64"/>
        <v/>
      </c>
      <c r="M138" t="str">
        <f t="shared" si="65"/>
        <v/>
      </c>
      <c r="N138" t="str">
        <f t="shared" si="66"/>
        <v/>
      </c>
      <c r="O138" t="str">
        <f>IF(L138&lt;&gt;"",Data!$M689,"")</f>
        <v/>
      </c>
      <c r="T138">
        <f>IF(OR(Dashboard!$P$4="All",Dashboard!$R$4="All"),NA(),IF(OR(Data!K689&lt;&gt;Dashboard!$P$4,Data!K689&lt;&gt;Dashboard!$R$4),Data!G689,NA()))</f>
        <v>3205.4250037396623</v>
      </c>
      <c r="U138"/>
      <c r="AI138" s="13" t="s">
        <v>2225</v>
      </c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>
        <v>72500</v>
      </c>
      <c r="AY138" s="8">
        <v>1</v>
      </c>
      <c r="AZ138" s="8"/>
      <c r="BA138" s="8"/>
      <c r="BB138" s="8"/>
      <c r="BC138" s="8"/>
      <c r="BQ138" s="13" t="s">
        <v>2225</v>
      </c>
      <c r="BR138" s="8"/>
      <c r="BS138" s="8"/>
      <c r="BT138" s="8">
        <v>72500</v>
      </c>
      <c r="BU138" s="8"/>
      <c r="BV138" s="8"/>
    </row>
    <row r="139" spans="2:74">
      <c r="B139" t="e">
        <f>IF(Dashboard!$P$4="All",Data!G690,IF(Data!K690=Dashboard!$P$4,Data!G690,NA()))</f>
        <v>#N/A</v>
      </c>
      <c r="C139" t="str">
        <f t="shared" si="61"/>
        <v/>
      </c>
      <c r="D139" t="str">
        <f t="shared" si="62"/>
        <v/>
      </c>
      <c r="E139" t="str">
        <f t="shared" si="63"/>
        <v/>
      </c>
      <c r="F139" t="str">
        <f>IF(C139&lt;&gt;"",Data!$M690,"")</f>
        <v/>
      </c>
      <c r="K139" t="e">
        <f>IF(Dashboard!$R$4="All",Data!G690,IF(Data!K690=Dashboard!$R$4,Data!G690,NA()))</f>
        <v>#N/A</v>
      </c>
      <c r="L139" t="str">
        <f t="shared" si="64"/>
        <v/>
      </c>
      <c r="M139" t="str">
        <f t="shared" si="65"/>
        <v/>
      </c>
      <c r="N139" t="str">
        <f t="shared" si="66"/>
        <v/>
      </c>
      <c r="O139" t="str">
        <f>IF(L139&lt;&gt;"",Data!$M690,"")</f>
        <v/>
      </c>
      <c r="T139">
        <f>IF(OR(Dashboard!$P$4="All",Dashboard!$R$4="All"),NA(),IF(OR(Data!K690&lt;&gt;Dashboard!$P$4,Data!K690&lt;&gt;Dashboard!$R$4),Data!G690,NA()))</f>
        <v>14246.333349954055</v>
      </c>
      <c r="U139"/>
      <c r="AI139" s="13" t="s">
        <v>2228</v>
      </c>
      <c r="AJ139" s="8">
        <v>80000</v>
      </c>
      <c r="AK139" s="8">
        <v>1</v>
      </c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Q139" s="13" t="s">
        <v>2228</v>
      </c>
      <c r="BR139" s="8"/>
      <c r="BS139" s="8"/>
      <c r="BT139" s="8">
        <v>80000</v>
      </c>
      <c r="BU139" s="8"/>
      <c r="BV139" s="8"/>
    </row>
    <row r="140" spans="2:74">
      <c r="B140" t="e">
        <f>IF(Dashboard!$P$4="All",Data!G691,IF(Data!K691=Dashboard!$P$4,Data!G691,NA()))</f>
        <v>#N/A</v>
      </c>
      <c r="C140" t="str">
        <f t="shared" si="61"/>
        <v/>
      </c>
      <c r="D140" t="str">
        <f t="shared" si="62"/>
        <v/>
      </c>
      <c r="E140" t="str">
        <f t="shared" si="63"/>
        <v/>
      </c>
      <c r="F140" t="str">
        <f>IF(C140&lt;&gt;"",Data!$M691,"")</f>
        <v/>
      </c>
      <c r="K140" t="e">
        <f>IF(Dashboard!$R$4="All",Data!G691,IF(Data!K691=Dashboard!$R$4,Data!G691,NA()))</f>
        <v>#N/A</v>
      </c>
      <c r="L140" t="str">
        <f t="shared" si="64"/>
        <v/>
      </c>
      <c r="M140" t="str">
        <f t="shared" si="65"/>
        <v/>
      </c>
      <c r="N140" t="str">
        <f t="shared" si="66"/>
        <v/>
      </c>
      <c r="O140" t="str">
        <f>IF(L140&lt;&gt;"",Data!$M691,"")</f>
        <v/>
      </c>
      <c r="T140">
        <f>IF(OR(Dashboard!$P$4="All",Dashboard!$R$4="All"),NA(),IF(OR(Data!K691&lt;&gt;Dashboard!$P$4,Data!K691&lt;&gt;Dashboard!$R$4),Data!G691,NA()))</f>
        <v>5342.3750062327708</v>
      </c>
      <c r="U140"/>
      <c r="AI140" s="13" t="s">
        <v>2229</v>
      </c>
      <c r="AJ140" s="8"/>
      <c r="AK140" s="8"/>
      <c r="AL140" s="8">
        <v>50000</v>
      </c>
      <c r="AM140" s="8">
        <v>1</v>
      </c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Q140" s="13" t="s">
        <v>2229</v>
      </c>
      <c r="BR140" s="8"/>
      <c r="BS140" s="8"/>
      <c r="BT140" s="8">
        <v>50000</v>
      </c>
      <c r="BU140" s="8"/>
      <c r="BV140" s="8"/>
    </row>
    <row r="141" spans="2:74">
      <c r="B141" t="e">
        <f>IF(Dashboard!$P$4="All",Data!G692,IF(Data!K692=Dashboard!$P$4,Data!G692,NA()))</f>
        <v>#N/A</v>
      </c>
      <c r="C141" t="str">
        <f t="shared" si="61"/>
        <v/>
      </c>
      <c r="D141" t="str">
        <f t="shared" si="62"/>
        <v/>
      </c>
      <c r="E141" t="str">
        <f t="shared" si="63"/>
        <v/>
      </c>
      <c r="F141" t="str">
        <f>IF(C141&lt;&gt;"",Data!$M692,"")</f>
        <v/>
      </c>
      <c r="K141" t="e">
        <f>IF(Dashboard!$R$4="All",Data!G692,IF(Data!K692=Dashboard!$R$4,Data!G692,NA()))</f>
        <v>#N/A</v>
      </c>
      <c r="L141" t="str">
        <f t="shared" si="64"/>
        <v/>
      </c>
      <c r="M141" t="str">
        <f t="shared" si="65"/>
        <v/>
      </c>
      <c r="N141" t="str">
        <f t="shared" si="66"/>
        <v/>
      </c>
      <c r="O141" t="str">
        <f>IF(L141&lt;&gt;"",Data!$M692,"")</f>
        <v/>
      </c>
      <c r="T141">
        <f>IF(OR(Dashboard!$P$4="All",Dashboard!$R$4="All"),NA(),IF(OR(Data!K692&lt;&gt;Dashboard!$P$4,Data!K692&lt;&gt;Dashboard!$R$4),Data!G692,NA()))</f>
        <v>6588.9291743537506</v>
      </c>
      <c r="U141"/>
      <c r="AI141" s="13" t="s">
        <v>2233</v>
      </c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>
        <v>65000</v>
      </c>
      <c r="AU141" s="8">
        <v>1</v>
      </c>
      <c r="AV141" s="8"/>
      <c r="AW141" s="8"/>
      <c r="AX141" s="8"/>
      <c r="AY141" s="8"/>
      <c r="AZ141" s="8"/>
      <c r="BA141" s="8"/>
      <c r="BB141" s="8"/>
      <c r="BC141" s="8"/>
      <c r="BQ141" s="13" t="s">
        <v>2233</v>
      </c>
      <c r="BR141" s="8"/>
      <c r="BS141" s="8">
        <v>65000</v>
      </c>
      <c r="BT141" s="8"/>
      <c r="BU141" s="8"/>
      <c r="BV141" s="8"/>
    </row>
    <row r="142" spans="2:74">
      <c r="B142" t="e">
        <f>IF(Dashboard!$P$4="All",Data!G693,IF(Data!K693=Dashboard!$P$4,Data!G693,NA()))</f>
        <v>#N/A</v>
      </c>
      <c r="C142" t="str">
        <f t="shared" si="61"/>
        <v/>
      </c>
      <c r="D142" t="str">
        <f t="shared" si="62"/>
        <v/>
      </c>
      <c r="E142" t="str">
        <f t="shared" si="63"/>
        <v/>
      </c>
      <c r="F142" t="str">
        <f>IF(C142&lt;&gt;"",Data!$M693,"")</f>
        <v/>
      </c>
      <c r="K142" t="e">
        <f>IF(Dashboard!$R$4="All",Data!G693,IF(Data!K693=Dashboard!$R$4,Data!G693,NA()))</f>
        <v>#N/A</v>
      </c>
      <c r="L142" t="str">
        <f t="shared" si="64"/>
        <v/>
      </c>
      <c r="M142" t="str">
        <f t="shared" si="65"/>
        <v/>
      </c>
      <c r="N142" t="str">
        <f t="shared" si="66"/>
        <v/>
      </c>
      <c r="O142" t="str">
        <f>IF(L142&lt;&gt;"",Data!$M693,"")</f>
        <v/>
      </c>
      <c r="T142">
        <f>IF(OR(Dashboard!$P$4="All",Dashboard!$R$4="All"),NA(),IF(OR(Data!K693&lt;&gt;Dashboard!$P$4,Data!K693&lt;&gt;Dashboard!$R$4),Data!G693,NA()))</f>
        <v>6588.9291743537506</v>
      </c>
      <c r="U142"/>
      <c r="AI142" s="13" t="s">
        <v>2234</v>
      </c>
      <c r="AJ142" s="8"/>
      <c r="AK142" s="8"/>
      <c r="AL142" s="8"/>
      <c r="AM142" s="8"/>
      <c r="AN142" s="8"/>
      <c r="AO142" s="8"/>
      <c r="AP142" s="8">
        <v>114000</v>
      </c>
      <c r="AQ142" s="8">
        <v>1</v>
      </c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Q142" s="13" t="s">
        <v>2234</v>
      </c>
      <c r="BR142" s="8"/>
      <c r="BS142" s="8">
        <v>114000</v>
      </c>
      <c r="BT142" s="8"/>
      <c r="BU142" s="8"/>
      <c r="BV142" s="8"/>
    </row>
    <row r="143" spans="2:74">
      <c r="B143" t="e">
        <f>IF(Dashboard!$P$4="All",Data!G694,IF(Data!K694=Dashboard!$P$4,Data!G694,NA()))</f>
        <v>#N/A</v>
      </c>
      <c r="C143" t="str">
        <f t="shared" si="61"/>
        <v/>
      </c>
      <c r="D143" t="str">
        <f t="shared" si="62"/>
        <v/>
      </c>
      <c r="E143" t="str">
        <f t="shared" si="63"/>
        <v/>
      </c>
      <c r="F143" t="str">
        <f>IF(C143&lt;&gt;"",Data!$M694,"")</f>
        <v/>
      </c>
      <c r="K143" t="e">
        <f>IF(Dashboard!$R$4="All",Data!G694,IF(Data!K694=Dashboard!$R$4,Data!G694,NA()))</f>
        <v>#N/A</v>
      </c>
      <c r="L143" t="str">
        <f t="shared" si="64"/>
        <v/>
      </c>
      <c r="M143" t="str">
        <f t="shared" si="65"/>
        <v/>
      </c>
      <c r="N143" t="str">
        <f t="shared" si="66"/>
        <v/>
      </c>
      <c r="O143" t="str">
        <f>IF(L143&lt;&gt;"",Data!$M694,"")</f>
        <v/>
      </c>
      <c r="T143">
        <f>IF(OR(Dashboard!$P$4="All",Dashboard!$R$4="All"),NA(),IF(OR(Data!K694&lt;&gt;Dashboard!$P$4,Data!K694&lt;&gt;Dashboard!$R$4),Data!G694,NA()))</f>
        <v>35000</v>
      </c>
      <c r="U143"/>
      <c r="AI143" s="13" t="s">
        <v>2235</v>
      </c>
      <c r="AJ143" s="8"/>
      <c r="AK143" s="8"/>
      <c r="AL143" s="8"/>
      <c r="AM143" s="8"/>
      <c r="AN143" s="8"/>
      <c r="AO143" s="8"/>
      <c r="AP143" s="8">
        <v>95000</v>
      </c>
      <c r="AQ143" s="8">
        <v>1</v>
      </c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Q143" s="13" t="s">
        <v>2235</v>
      </c>
      <c r="BR143" s="8"/>
      <c r="BS143" s="8"/>
      <c r="BT143" s="8">
        <v>95000</v>
      </c>
      <c r="BU143" s="8"/>
      <c r="BV143" s="8"/>
    </row>
    <row r="144" spans="2:74">
      <c r="B144" t="e">
        <f>IF(Dashboard!$P$4="All",Data!G695,IF(Data!K695=Dashboard!$P$4,Data!G695,NA()))</f>
        <v>#N/A</v>
      </c>
      <c r="C144" t="str">
        <f t="shared" si="61"/>
        <v/>
      </c>
      <c r="D144" t="str">
        <f t="shared" si="62"/>
        <v/>
      </c>
      <c r="E144" t="str">
        <f t="shared" si="63"/>
        <v/>
      </c>
      <c r="F144" t="str">
        <f>IF(C144&lt;&gt;"",Data!$M695,"")</f>
        <v/>
      </c>
      <c r="K144" t="e">
        <f>IF(Dashboard!$R$4="All",Data!G695,IF(Data!K695=Dashboard!$R$4,Data!G695,NA()))</f>
        <v>#N/A</v>
      </c>
      <c r="L144" t="str">
        <f t="shared" si="64"/>
        <v/>
      </c>
      <c r="M144" t="str">
        <f t="shared" si="65"/>
        <v/>
      </c>
      <c r="N144" t="str">
        <f t="shared" si="66"/>
        <v/>
      </c>
      <c r="O144" t="str">
        <f>IF(L144&lt;&gt;"",Data!$M695,"")</f>
        <v/>
      </c>
      <c r="T144">
        <f>IF(OR(Dashboard!$P$4="All",Dashboard!$R$4="All"),NA(),IF(OR(Data!K695&lt;&gt;Dashboard!$P$4,Data!K695&lt;&gt;Dashboard!$R$4),Data!G695,NA()))</f>
        <v>12821.700014958649</v>
      </c>
      <c r="U144"/>
      <c r="AI144" s="13" t="s">
        <v>2236</v>
      </c>
      <c r="AJ144" s="8">
        <v>52500</v>
      </c>
      <c r="AK144" s="8">
        <v>1</v>
      </c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Q144" s="13" t="s">
        <v>2236</v>
      </c>
      <c r="BR144" s="8"/>
      <c r="BS144" s="8"/>
      <c r="BT144" s="8">
        <v>52500</v>
      </c>
      <c r="BU144" s="8"/>
      <c r="BV144" s="8"/>
    </row>
    <row r="145" spans="2:74">
      <c r="B145" t="e">
        <f>IF(Dashboard!$P$4="All",Data!G696,IF(Data!K696=Dashboard!$P$4,Data!G696,NA()))</f>
        <v>#N/A</v>
      </c>
      <c r="C145" t="str">
        <f t="shared" si="61"/>
        <v/>
      </c>
      <c r="D145" t="str">
        <f t="shared" si="62"/>
        <v/>
      </c>
      <c r="E145" t="str">
        <f t="shared" si="63"/>
        <v/>
      </c>
      <c r="F145" t="str">
        <f>IF(C145&lt;&gt;"",Data!$M696,"")</f>
        <v/>
      </c>
      <c r="K145" t="e">
        <f>IF(Dashboard!$R$4="All",Data!G696,IF(Data!K696=Dashboard!$R$4,Data!G696,NA()))</f>
        <v>#N/A</v>
      </c>
      <c r="L145" t="str">
        <f t="shared" si="64"/>
        <v/>
      </c>
      <c r="M145" t="str">
        <f t="shared" si="65"/>
        <v/>
      </c>
      <c r="N145" t="str">
        <f t="shared" si="66"/>
        <v/>
      </c>
      <c r="O145" t="str">
        <f>IF(L145&lt;&gt;"",Data!$M696,"")</f>
        <v/>
      </c>
      <c r="T145">
        <f>IF(OR(Dashboard!$P$4="All",Dashboard!$R$4="All"),NA(),IF(OR(Data!K696&lt;&gt;Dashboard!$P$4,Data!K696&lt;&gt;Dashboard!$R$4),Data!G696,NA()))</f>
        <v>10684.750012465542</v>
      </c>
      <c r="U145"/>
      <c r="AI145" s="13" t="s">
        <v>2238</v>
      </c>
      <c r="AJ145" s="8">
        <v>60000</v>
      </c>
      <c r="AK145" s="8">
        <v>1</v>
      </c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Q145" s="13" t="s">
        <v>2238</v>
      </c>
      <c r="BR145" s="8"/>
      <c r="BS145" s="8"/>
      <c r="BT145" s="8">
        <v>60000</v>
      </c>
      <c r="BU145" s="8"/>
      <c r="BV145" s="8"/>
    </row>
    <row r="146" spans="2:74">
      <c r="B146" t="e">
        <f>IF(Dashboard!$P$4="All",Data!G697,IF(Data!K697=Dashboard!$P$4,Data!G697,NA()))</f>
        <v>#N/A</v>
      </c>
      <c r="C146" t="str">
        <f t="shared" si="61"/>
        <v/>
      </c>
      <c r="D146" t="str">
        <f t="shared" si="62"/>
        <v/>
      </c>
      <c r="E146" t="str">
        <f t="shared" si="63"/>
        <v/>
      </c>
      <c r="F146" t="str">
        <f>IF(C146&lt;&gt;"",Data!$M697,"")</f>
        <v/>
      </c>
      <c r="K146" t="e">
        <f>IF(Dashboard!$R$4="All",Data!G697,IF(Data!K697=Dashboard!$R$4,Data!G697,NA()))</f>
        <v>#N/A</v>
      </c>
      <c r="L146" t="str">
        <f t="shared" si="64"/>
        <v/>
      </c>
      <c r="M146" t="str">
        <f t="shared" si="65"/>
        <v/>
      </c>
      <c r="N146" t="str">
        <f t="shared" si="66"/>
        <v/>
      </c>
      <c r="O146" t="str">
        <f>IF(L146&lt;&gt;"",Data!$M697,"")</f>
        <v/>
      </c>
      <c r="T146">
        <f>IF(OR(Dashboard!$P$4="All",Dashboard!$R$4="All"),NA(),IF(OR(Data!K697&lt;&gt;Dashboard!$P$4,Data!K697&lt;&gt;Dashboard!$R$4),Data!G697,NA()))</f>
        <v>10000</v>
      </c>
      <c r="U146"/>
      <c r="AI146" s="13" t="s">
        <v>2239</v>
      </c>
      <c r="AJ146" s="8"/>
      <c r="AK146" s="8"/>
      <c r="AL146" s="8"/>
      <c r="AM146" s="8"/>
      <c r="AN146" s="8">
        <v>65250</v>
      </c>
      <c r="AO146" s="8">
        <v>1</v>
      </c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Q146" s="13" t="s">
        <v>2239</v>
      </c>
      <c r="BR146" s="8"/>
      <c r="BS146" s="8"/>
      <c r="BT146" s="8">
        <v>65250</v>
      </c>
      <c r="BU146" s="8"/>
      <c r="BV146" s="8"/>
    </row>
    <row r="147" spans="2:74">
      <c r="B147" t="e">
        <f>IF(Dashboard!$P$4="All",Data!G698,IF(Data!K698=Dashboard!$P$4,Data!G698,NA()))</f>
        <v>#N/A</v>
      </c>
      <c r="C147" t="str">
        <f t="shared" si="61"/>
        <v/>
      </c>
      <c r="D147" t="str">
        <f t="shared" si="62"/>
        <v/>
      </c>
      <c r="E147" t="str">
        <f t="shared" si="63"/>
        <v/>
      </c>
      <c r="F147" t="str">
        <f>IF(C147&lt;&gt;"",Data!$M698,"")</f>
        <v/>
      </c>
      <c r="K147" t="e">
        <f>IF(Dashboard!$R$4="All",Data!G698,IF(Data!K698=Dashboard!$R$4,Data!G698,NA()))</f>
        <v>#N/A</v>
      </c>
      <c r="L147" t="str">
        <f t="shared" si="64"/>
        <v/>
      </c>
      <c r="M147" t="str">
        <f t="shared" si="65"/>
        <v/>
      </c>
      <c r="N147" t="str">
        <f t="shared" si="66"/>
        <v/>
      </c>
      <c r="O147" t="str">
        <f>IF(L147&lt;&gt;"",Data!$M698,"")</f>
        <v/>
      </c>
      <c r="T147">
        <f>IF(OR(Dashboard!$P$4="All",Dashboard!$R$4="All"),NA(),IF(OR(Data!K698&lt;&gt;Dashboard!$P$4,Data!K698&lt;&gt;Dashboard!$R$4),Data!G698,NA()))</f>
        <v>2136.9500024931081</v>
      </c>
      <c r="U147"/>
      <c r="AI147" s="13" t="s">
        <v>2243</v>
      </c>
      <c r="AJ147" s="8">
        <v>73000</v>
      </c>
      <c r="AK147" s="8">
        <v>1</v>
      </c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Q147" s="13" t="s">
        <v>2243</v>
      </c>
      <c r="BR147" s="8"/>
      <c r="BS147" s="8"/>
      <c r="BT147" s="8">
        <v>73000</v>
      </c>
      <c r="BU147" s="8"/>
      <c r="BV147" s="8"/>
    </row>
    <row r="148" spans="2:74">
      <c r="B148" t="e">
        <f>IF(Dashboard!$P$4="All",Data!G699,IF(Data!K699=Dashboard!$P$4,Data!G699,NA()))</f>
        <v>#N/A</v>
      </c>
      <c r="C148" t="str">
        <f t="shared" si="61"/>
        <v/>
      </c>
      <c r="D148" t="str">
        <f t="shared" si="62"/>
        <v/>
      </c>
      <c r="E148" t="str">
        <f t="shared" si="63"/>
        <v/>
      </c>
      <c r="F148" t="str">
        <f>IF(C148&lt;&gt;"",Data!$M699,"")</f>
        <v/>
      </c>
      <c r="K148" t="e">
        <f>IF(Dashboard!$R$4="All",Data!G699,IF(Data!K699=Dashboard!$R$4,Data!G699,NA()))</f>
        <v>#N/A</v>
      </c>
      <c r="L148" t="str">
        <f t="shared" si="64"/>
        <v/>
      </c>
      <c r="M148" t="str">
        <f t="shared" si="65"/>
        <v/>
      </c>
      <c r="N148" t="str">
        <f t="shared" si="66"/>
        <v/>
      </c>
      <c r="O148" t="str">
        <f>IF(L148&lt;&gt;"",Data!$M699,"")</f>
        <v/>
      </c>
      <c r="T148">
        <f>IF(OR(Dashboard!$P$4="All",Dashboard!$R$4="All"),NA(),IF(OR(Data!K699&lt;&gt;Dashboard!$P$4,Data!K699&lt;&gt;Dashboard!$R$4),Data!G699,NA()))</f>
        <v>8547.8000099724322</v>
      </c>
      <c r="U148"/>
      <c r="AI148" s="13" t="s">
        <v>2244</v>
      </c>
      <c r="AJ148" s="8">
        <v>50000</v>
      </c>
      <c r="AK148" s="8">
        <v>1</v>
      </c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Q148" s="13" t="s">
        <v>2244</v>
      </c>
      <c r="BR148" s="8"/>
      <c r="BS148" s="8"/>
      <c r="BT148" s="8"/>
      <c r="BU148" s="8">
        <v>50000</v>
      </c>
      <c r="BV148" s="8"/>
    </row>
    <row r="149" spans="2:74">
      <c r="B149" t="e">
        <f>IF(Dashboard!$P$4="All",Data!G700,IF(Data!K700=Dashboard!$P$4,Data!G700,NA()))</f>
        <v>#N/A</v>
      </c>
      <c r="C149" t="str">
        <f t="shared" si="61"/>
        <v/>
      </c>
      <c r="D149" t="str">
        <f t="shared" si="62"/>
        <v/>
      </c>
      <c r="E149" t="str">
        <f t="shared" si="63"/>
        <v/>
      </c>
      <c r="F149" t="str">
        <f>IF(C149&lt;&gt;"",Data!$M700,"")</f>
        <v/>
      </c>
      <c r="K149" t="e">
        <f>IF(Dashboard!$R$4="All",Data!G700,IF(Data!K700=Dashboard!$R$4,Data!G700,NA()))</f>
        <v>#N/A</v>
      </c>
      <c r="L149" t="str">
        <f t="shared" si="64"/>
        <v/>
      </c>
      <c r="M149" t="str">
        <f t="shared" si="65"/>
        <v/>
      </c>
      <c r="N149" t="str">
        <f t="shared" si="66"/>
        <v/>
      </c>
      <c r="O149" t="str">
        <f>IF(L149&lt;&gt;"",Data!$M700,"")</f>
        <v/>
      </c>
      <c r="T149">
        <f>IF(OR(Dashboard!$P$4="All",Dashboard!$R$4="All"),NA(),IF(OR(Data!K700&lt;&gt;Dashboard!$P$4,Data!K700&lt;&gt;Dashboard!$R$4),Data!G700,NA()))</f>
        <v>8013.5625093491553</v>
      </c>
      <c r="U149"/>
      <c r="AI149" s="13" t="s">
        <v>2245</v>
      </c>
      <c r="AJ149" s="8"/>
      <c r="AK149" s="8"/>
      <c r="AL149" s="8"/>
      <c r="AM149" s="8"/>
      <c r="AN149" s="8">
        <v>79000</v>
      </c>
      <c r="AO149" s="8">
        <v>1</v>
      </c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Q149" s="13" t="s">
        <v>2245</v>
      </c>
      <c r="BR149" s="8"/>
      <c r="BS149" s="8">
        <v>79000</v>
      </c>
      <c r="BT149" s="8"/>
      <c r="BU149" s="8"/>
      <c r="BV149" s="8"/>
    </row>
    <row r="150" spans="2:74">
      <c r="B150" t="e">
        <f>IF(Dashboard!$P$4="All",Data!G701,IF(Data!K701=Dashboard!$P$4,Data!G701,NA()))</f>
        <v>#N/A</v>
      </c>
      <c r="C150" t="str">
        <f t="shared" si="61"/>
        <v/>
      </c>
      <c r="D150" t="str">
        <f t="shared" si="62"/>
        <v/>
      </c>
      <c r="E150" t="str">
        <f t="shared" si="63"/>
        <v/>
      </c>
      <c r="F150" t="str">
        <f>IF(C150&lt;&gt;"",Data!$M701,"")</f>
        <v/>
      </c>
      <c r="K150" t="e">
        <f>IF(Dashboard!$R$4="All",Data!G701,IF(Data!K701=Dashboard!$R$4,Data!G701,NA()))</f>
        <v>#N/A</v>
      </c>
      <c r="L150" t="str">
        <f t="shared" si="64"/>
        <v/>
      </c>
      <c r="M150" t="str">
        <f t="shared" si="65"/>
        <v/>
      </c>
      <c r="N150" t="str">
        <f t="shared" si="66"/>
        <v/>
      </c>
      <c r="O150" t="str">
        <f>IF(L150&lt;&gt;"",Data!$M701,"")</f>
        <v/>
      </c>
      <c r="T150">
        <f>IF(OR(Dashboard!$P$4="All",Dashboard!$R$4="All"),NA(),IF(OR(Data!K701&lt;&gt;Dashboard!$P$4,Data!K701&lt;&gt;Dashboard!$R$4),Data!G701,NA()))</f>
        <v>7123.1666749770275</v>
      </c>
      <c r="U150"/>
      <c r="AI150" s="13" t="s">
        <v>2246</v>
      </c>
      <c r="AJ150" s="8"/>
      <c r="AK150" s="8"/>
      <c r="AL150" s="8">
        <v>90000</v>
      </c>
      <c r="AM150" s="8">
        <v>1</v>
      </c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Q150" s="13" t="s">
        <v>2246</v>
      </c>
      <c r="BR150" s="8"/>
      <c r="BS150" s="8"/>
      <c r="BT150" s="8">
        <v>90000</v>
      </c>
      <c r="BU150" s="8"/>
      <c r="BV150" s="8"/>
    </row>
    <row r="151" spans="2:74">
      <c r="B151" t="e">
        <f>IF(Dashboard!$P$4="All",Data!G702,IF(Data!K702=Dashboard!$P$4,Data!G702,NA()))</f>
        <v>#N/A</v>
      </c>
      <c r="C151" t="str">
        <f t="shared" si="61"/>
        <v/>
      </c>
      <c r="D151" t="str">
        <f t="shared" si="62"/>
        <v/>
      </c>
      <c r="E151" t="str">
        <f t="shared" si="63"/>
        <v/>
      </c>
      <c r="F151" t="str">
        <f>IF(C151&lt;&gt;"",Data!$M702,"")</f>
        <v/>
      </c>
      <c r="K151" t="e">
        <f>IF(Dashboard!$R$4="All",Data!G702,IF(Data!K702=Dashboard!$R$4,Data!G702,NA()))</f>
        <v>#N/A</v>
      </c>
      <c r="L151" t="str">
        <f t="shared" si="64"/>
        <v/>
      </c>
      <c r="M151" t="str">
        <f t="shared" si="65"/>
        <v/>
      </c>
      <c r="N151" t="str">
        <f t="shared" si="66"/>
        <v/>
      </c>
      <c r="O151" t="str">
        <f>IF(L151&lt;&gt;"",Data!$M702,"")</f>
        <v/>
      </c>
      <c r="T151">
        <f>IF(OR(Dashboard!$P$4="All",Dashboard!$R$4="All"),NA(),IF(OR(Data!K702&lt;&gt;Dashboard!$P$4,Data!K702&lt;&gt;Dashboard!$R$4),Data!G702,NA()))</f>
        <v>40958.208381117904</v>
      </c>
      <c r="U151"/>
      <c r="AI151" s="13" t="s">
        <v>2247</v>
      </c>
      <c r="AJ151" s="8"/>
      <c r="AK151" s="8"/>
      <c r="AL151" s="8">
        <v>70000</v>
      </c>
      <c r="AM151" s="8">
        <v>1</v>
      </c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Q151" s="13" t="s">
        <v>2247</v>
      </c>
      <c r="BR151" s="8"/>
      <c r="BS151" s="8">
        <v>70000</v>
      </c>
      <c r="BT151" s="8"/>
      <c r="BU151" s="8"/>
      <c r="BV151" s="8"/>
    </row>
    <row r="152" spans="2:74">
      <c r="B152" t="e">
        <f>IF(Dashboard!$P$4="All",Data!G703,IF(Data!K703=Dashboard!$P$4,Data!G703,NA()))</f>
        <v>#N/A</v>
      </c>
      <c r="C152" t="str">
        <f t="shared" si="61"/>
        <v/>
      </c>
      <c r="D152" t="str">
        <f t="shared" si="62"/>
        <v/>
      </c>
      <c r="E152" t="str">
        <f t="shared" si="63"/>
        <v/>
      </c>
      <c r="F152" t="str">
        <f>IF(C152&lt;&gt;"",Data!$M703,"")</f>
        <v/>
      </c>
      <c r="K152" t="e">
        <f>IF(Dashboard!$R$4="All",Data!G703,IF(Data!K703=Dashboard!$R$4,Data!G703,NA()))</f>
        <v>#N/A</v>
      </c>
      <c r="L152" t="str">
        <f t="shared" si="64"/>
        <v/>
      </c>
      <c r="M152" t="str">
        <f t="shared" si="65"/>
        <v/>
      </c>
      <c r="N152" t="str">
        <f t="shared" si="66"/>
        <v/>
      </c>
      <c r="O152" t="str">
        <f>IF(L152&lt;&gt;"",Data!$M703,"")</f>
        <v/>
      </c>
      <c r="T152">
        <f>IF(OR(Dashboard!$P$4="All",Dashboard!$R$4="All"),NA(),IF(OR(Data!K703&lt;&gt;Dashboard!$P$4,Data!K703&lt;&gt;Dashboard!$R$4),Data!G703,NA()))</f>
        <v>11325.835013213473</v>
      </c>
      <c r="U152"/>
      <c r="AI152" s="13" t="s">
        <v>2249</v>
      </c>
      <c r="AJ152" s="8">
        <v>80000</v>
      </c>
      <c r="AK152" s="8">
        <v>1</v>
      </c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Q152" s="13" t="s">
        <v>2249</v>
      </c>
      <c r="BR152" s="8"/>
      <c r="BS152" s="8"/>
      <c r="BT152" s="8">
        <v>80000</v>
      </c>
      <c r="BU152" s="8"/>
      <c r="BV152" s="8"/>
    </row>
    <row r="153" spans="2:74">
      <c r="B153" t="e">
        <f>IF(Dashboard!$P$4="All",Data!G704,IF(Data!K704=Dashboard!$P$4,Data!G704,NA()))</f>
        <v>#N/A</v>
      </c>
      <c r="C153" t="str">
        <f t="shared" si="61"/>
        <v/>
      </c>
      <c r="D153" t="str">
        <f t="shared" si="62"/>
        <v/>
      </c>
      <c r="E153" t="str">
        <f t="shared" si="63"/>
        <v/>
      </c>
      <c r="F153" t="str">
        <f>IF(C153&lt;&gt;"",Data!$M704,"")</f>
        <v/>
      </c>
      <c r="K153" t="e">
        <f>IF(Dashboard!$R$4="All",Data!G704,IF(Data!K704=Dashboard!$R$4,Data!G704,NA()))</f>
        <v>#N/A</v>
      </c>
      <c r="L153" t="str">
        <f t="shared" si="64"/>
        <v/>
      </c>
      <c r="M153" t="str">
        <f t="shared" si="65"/>
        <v/>
      </c>
      <c r="N153" t="str">
        <f t="shared" si="66"/>
        <v/>
      </c>
      <c r="O153" t="str">
        <f>IF(L153&lt;&gt;"",Data!$M704,"")</f>
        <v/>
      </c>
      <c r="T153">
        <f>IF(OR(Dashboard!$P$4="All",Dashboard!$R$4="All"),NA(),IF(OR(Data!K704&lt;&gt;Dashboard!$P$4,Data!K704&lt;&gt;Dashboard!$R$4),Data!G704,NA()))</f>
        <v>15000</v>
      </c>
      <c r="U153"/>
      <c r="AI153" s="13" t="s">
        <v>2250</v>
      </c>
      <c r="AJ153" s="8"/>
      <c r="AK153" s="8"/>
      <c r="AL153" s="8">
        <v>140000</v>
      </c>
      <c r="AM153" s="8">
        <v>1</v>
      </c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Q153" s="13" t="s">
        <v>2250</v>
      </c>
      <c r="BR153" s="8"/>
      <c r="BS153" s="8"/>
      <c r="BT153" s="8">
        <v>140000</v>
      </c>
      <c r="BU153" s="8"/>
      <c r="BV153" s="8"/>
    </row>
    <row r="154" spans="2:74">
      <c r="B154" t="e">
        <f>IF(Dashboard!$P$4="All",Data!G705,IF(Data!K705=Dashboard!$P$4,Data!G705,NA()))</f>
        <v>#N/A</v>
      </c>
      <c r="C154" t="str">
        <f t="shared" si="61"/>
        <v/>
      </c>
      <c r="D154" t="str">
        <f t="shared" si="62"/>
        <v/>
      </c>
      <c r="E154" t="str">
        <f t="shared" si="63"/>
        <v/>
      </c>
      <c r="F154" t="str">
        <f>IF(C154&lt;&gt;"",Data!$M705,"")</f>
        <v/>
      </c>
      <c r="K154" t="e">
        <f>IF(Dashboard!$R$4="All",Data!G705,IF(Data!K705=Dashboard!$R$4,Data!G705,NA()))</f>
        <v>#N/A</v>
      </c>
      <c r="L154" t="str">
        <f t="shared" si="64"/>
        <v/>
      </c>
      <c r="M154" t="str">
        <f t="shared" si="65"/>
        <v/>
      </c>
      <c r="N154" t="str">
        <f t="shared" si="66"/>
        <v/>
      </c>
      <c r="O154" t="str">
        <f>IF(L154&lt;&gt;"",Data!$M705,"")</f>
        <v/>
      </c>
      <c r="T154">
        <f>IF(OR(Dashboard!$P$4="All",Dashboard!$R$4="All"),NA(),IF(OR(Data!K705&lt;&gt;Dashboard!$P$4,Data!K705&lt;&gt;Dashboard!$R$4),Data!G705,NA()))</f>
        <v>12000</v>
      </c>
      <c r="U154"/>
      <c r="AI154" s="13" t="s">
        <v>2253</v>
      </c>
      <c r="AJ154" s="8">
        <v>47700</v>
      </c>
      <c r="AK154" s="8">
        <v>1</v>
      </c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Q154" s="13" t="s">
        <v>2253</v>
      </c>
      <c r="BR154" s="8"/>
      <c r="BS154" s="8"/>
      <c r="BT154" s="8">
        <v>47700</v>
      </c>
      <c r="BU154" s="8"/>
      <c r="BV154" s="8"/>
    </row>
    <row r="155" spans="2:74">
      <c r="B155" t="e">
        <f>IF(Dashboard!$P$4="All",Data!G706,IF(Data!K706=Dashboard!$P$4,Data!G706,NA()))</f>
        <v>#N/A</v>
      </c>
      <c r="C155" t="str">
        <f t="shared" si="61"/>
        <v/>
      </c>
      <c r="D155" t="str">
        <f t="shared" si="62"/>
        <v/>
      </c>
      <c r="E155" t="str">
        <f t="shared" si="63"/>
        <v/>
      </c>
      <c r="F155" t="str">
        <f>IF(C155&lt;&gt;"",Data!$M706,"")</f>
        <v/>
      </c>
      <c r="K155" t="e">
        <f>IF(Dashboard!$R$4="All",Data!G706,IF(Data!K706=Dashboard!$R$4,Data!G706,NA()))</f>
        <v>#N/A</v>
      </c>
      <c r="L155" t="str">
        <f t="shared" si="64"/>
        <v/>
      </c>
      <c r="M155" t="str">
        <f t="shared" si="65"/>
        <v/>
      </c>
      <c r="N155" t="str">
        <f t="shared" si="66"/>
        <v/>
      </c>
      <c r="O155" t="str">
        <f>IF(L155&lt;&gt;"",Data!$M706,"")</f>
        <v/>
      </c>
      <c r="T155">
        <f>IF(OR(Dashboard!$P$4="All",Dashboard!$R$4="All"),NA(),IF(OR(Data!K706&lt;&gt;Dashboard!$P$4,Data!K706&lt;&gt;Dashboard!$R$4),Data!G706,NA()))</f>
        <v>8903.9583437212841</v>
      </c>
      <c r="U155"/>
      <c r="AI155" s="13" t="s">
        <v>2255</v>
      </c>
      <c r="AJ155" s="8">
        <v>52500</v>
      </c>
      <c r="AK155" s="8">
        <v>1</v>
      </c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Q155" s="13" t="s">
        <v>2255</v>
      </c>
      <c r="BR155" s="8"/>
      <c r="BS155" s="8"/>
      <c r="BT155" s="8">
        <v>52500</v>
      </c>
      <c r="BU155" s="8"/>
      <c r="BV155" s="8"/>
    </row>
    <row r="156" spans="2:74">
      <c r="B156" t="e">
        <f>IF(Dashboard!$P$4="All",Data!G707,IF(Data!K707=Dashboard!$P$4,Data!G707,NA()))</f>
        <v>#N/A</v>
      </c>
      <c r="C156" t="str">
        <f t="shared" si="61"/>
        <v/>
      </c>
      <c r="D156" t="str">
        <f t="shared" si="62"/>
        <v/>
      </c>
      <c r="E156" t="str">
        <f t="shared" si="63"/>
        <v/>
      </c>
      <c r="F156" t="str">
        <f>IF(C156&lt;&gt;"",Data!$M707,"")</f>
        <v/>
      </c>
      <c r="K156" t="e">
        <f>IF(Dashboard!$R$4="All",Data!G707,IF(Data!K707=Dashboard!$R$4,Data!G707,NA()))</f>
        <v>#N/A</v>
      </c>
      <c r="L156" t="str">
        <f t="shared" si="64"/>
        <v/>
      </c>
      <c r="M156" t="str">
        <f t="shared" si="65"/>
        <v/>
      </c>
      <c r="N156" t="str">
        <f t="shared" si="66"/>
        <v/>
      </c>
      <c r="O156" t="str">
        <f>IF(L156&lt;&gt;"",Data!$M707,"")</f>
        <v/>
      </c>
      <c r="T156">
        <f>IF(OR(Dashboard!$P$4="All",Dashboard!$R$4="All"),NA(),IF(OR(Data!K707&lt;&gt;Dashboard!$P$4,Data!K707&lt;&gt;Dashboard!$R$4),Data!G707,NA()))</f>
        <v>8903.9583437212841</v>
      </c>
      <c r="U156"/>
      <c r="AI156" s="13" t="s">
        <v>2256</v>
      </c>
      <c r="AJ156" s="8">
        <v>40000</v>
      </c>
      <c r="AK156" s="8">
        <v>1</v>
      </c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Q156" s="13" t="s">
        <v>2256</v>
      </c>
      <c r="BR156" s="8"/>
      <c r="BS156" s="8"/>
      <c r="BT156" s="8"/>
      <c r="BU156" s="8">
        <v>40000</v>
      </c>
      <c r="BV156" s="8"/>
    </row>
    <row r="157" spans="2:74">
      <c r="B157" t="e">
        <f>IF(Dashboard!$P$4="All",Data!G708,IF(Data!K708=Dashboard!$P$4,Data!G708,NA()))</f>
        <v>#N/A</v>
      </c>
      <c r="C157" t="str">
        <f t="shared" si="61"/>
        <v/>
      </c>
      <c r="D157" t="str">
        <f t="shared" si="62"/>
        <v/>
      </c>
      <c r="E157" t="str">
        <f t="shared" si="63"/>
        <v/>
      </c>
      <c r="F157" t="str">
        <f>IF(C157&lt;&gt;"",Data!$M708,"")</f>
        <v/>
      </c>
      <c r="K157" t="e">
        <f>IF(Dashboard!$R$4="All",Data!G708,IF(Data!K708=Dashboard!$R$4,Data!G708,NA()))</f>
        <v>#N/A</v>
      </c>
      <c r="L157" t="str">
        <f t="shared" si="64"/>
        <v/>
      </c>
      <c r="M157" t="str">
        <f t="shared" si="65"/>
        <v/>
      </c>
      <c r="N157" t="str">
        <f t="shared" si="66"/>
        <v/>
      </c>
      <c r="O157" t="str">
        <f>IF(L157&lt;&gt;"",Data!$M708,"")</f>
        <v/>
      </c>
      <c r="T157">
        <f>IF(OR(Dashboard!$P$4="All",Dashboard!$R$4="All"),NA(),IF(OR(Data!K708&lt;&gt;Dashboard!$P$4,Data!K708&lt;&gt;Dashboard!$R$4),Data!G708,NA()))</f>
        <v>12821.700014958649</v>
      </c>
      <c r="U157"/>
      <c r="AI157" s="13" t="s">
        <v>2257</v>
      </c>
      <c r="AJ157" s="8">
        <v>31000</v>
      </c>
      <c r="AK157" s="8">
        <v>1</v>
      </c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Q157" s="13" t="s">
        <v>2257</v>
      </c>
      <c r="BR157" s="8"/>
      <c r="BS157" s="8"/>
      <c r="BT157" s="8">
        <v>31000</v>
      </c>
      <c r="BU157" s="8"/>
      <c r="BV157" s="8"/>
    </row>
    <row r="158" spans="2:74">
      <c r="B158" t="e">
        <f>IF(Dashboard!$P$4="All",Data!G709,IF(Data!K709=Dashboard!$P$4,Data!G709,NA()))</f>
        <v>#N/A</v>
      </c>
      <c r="C158" t="str">
        <f t="shared" si="61"/>
        <v/>
      </c>
      <c r="D158" t="str">
        <f t="shared" si="62"/>
        <v/>
      </c>
      <c r="E158" t="str">
        <f t="shared" si="63"/>
        <v/>
      </c>
      <c r="F158" t="str">
        <f>IF(C158&lt;&gt;"",Data!$M709,"")</f>
        <v/>
      </c>
      <c r="K158" t="e">
        <f>IF(Dashboard!$R$4="All",Data!G709,IF(Data!K709=Dashboard!$R$4,Data!G709,NA()))</f>
        <v>#N/A</v>
      </c>
      <c r="L158" t="str">
        <f t="shared" si="64"/>
        <v/>
      </c>
      <c r="M158" t="str">
        <f t="shared" si="65"/>
        <v/>
      </c>
      <c r="N158" t="str">
        <f t="shared" si="66"/>
        <v/>
      </c>
      <c r="O158" t="str">
        <f>IF(L158&lt;&gt;"",Data!$M709,"")</f>
        <v/>
      </c>
      <c r="T158">
        <f>IF(OR(Dashboard!$P$4="All",Dashboard!$R$4="All"),NA(),IF(OR(Data!K709&lt;&gt;Dashboard!$P$4,Data!K709&lt;&gt;Dashboard!$R$4),Data!G709,NA()))</f>
        <v>3205.4250037396623</v>
      </c>
      <c r="U158"/>
      <c r="AI158" s="13" t="s">
        <v>2259</v>
      </c>
      <c r="AJ158" s="8"/>
      <c r="AK158" s="8"/>
      <c r="AL158" s="8">
        <v>130000</v>
      </c>
      <c r="AM158" s="8">
        <v>1</v>
      </c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Q158" s="13" t="s">
        <v>2259</v>
      </c>
      <c r="BR158" s="8"/>
      <c r="BS158" s="8"/>
      <c r="BT158" s="8">
        <v>130000</v>
      </c>
      <c r="BU158" s="8"/>
      <c r="BV158" s="8"/>
    </row>
    <row r="159" spans="2:74">
      <c r="B159" t="e">
        <f>IF(Dashboard!$P$4="All",Data!G710,IF(Data!K710=Dashboard!$P$4,Data!G710,NA()))</f>
        <v>#N/A</v>
      </c>
      <c r="C159" t="str">
        <f t="shared" si="61"/>
        <v/>
      </c>
      <c r="D159" t="str">
        <f t="shared" si="62"/>
        <v/>
      </c>
      <c r="E159" t="str">
        <f t="shared" si="63"/>
        <v/>
      </c>
      <c r="F159" t="str">
        <f>IF(C159&lt;&gt;"",Data!$M710,"")</f>
        <v/>
      </c>
      <c r="K159" t="e">
        <f>IF(Dashboard!$R$4="All",Data!G710,IF(Data!K710=Dashboard!$R$4,Data!G710,NA()))</f>
        <v>#N/A</v>
      </c>
      <c r="L159" t="str">
        <f t="shared" si="64"/>
        <v/>
      </c>
      <c r="M159" t="str">
        <f t="shared" si="65"/>
        <v/>
      </c>
      <c r="N159" t="str">
        <f t="shared" si="66"/>
        <v/>
      </c>
      <c r="O159" t="str">
        <f>IF(L159&lt;&gt;"",Data!$M710,"")</f>
        <v/>
      </c>
      <c r="T159">
        <f>IF(OR(Dashboard!$P$4="All",Dashboard!$R$4="All"),NA(),IF(OR(Data!K710&lt;&gt;Dashboard!$P$4,Data!K710&lt;&gt;Dashboard!$R$4),Data!G710,NA()))</f>
        <v>6677.9687577909626</v>
      </c>
      <c r="U159"/>
      <c r="AI159" s="13" t="s">
        <v>2261</v>
      </c>
      <c r="AJ159" s="8">
        <v>51000</v>
      </c>
      <c r="AK159" s="8">
        <v>1</v>
      </c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Q159" s="13" t="s">
        <v>2261</v>
      </c>
      <c r="BR159" s="8"/>
      <c r="BS159" s="8">
        <v>51000</v>
      </c>
      <c r="BT159" s="8"/>
      <c r="BU159" s="8"/>
      <c r="BV159" s="8"/>
    </row>
    <row r="160" spans="2:74">
      <c r="B160" t="e">
        <f>IF(Dashboard!$P$4="All",Data!G711,IF(Data!K711=Dashboard!$P$4,Data!G711,NA()))</f>
        <v>#N/A</v>
      </c>
      <c r="C160" t="str">
        <f t="shared" si="61"/>
        <v/>
      </c>
      <c r="D160" t="str">
        <f t="shared" si="62"/>
        <v/>
      </c>
      <c r="E160" t="str">
        <f t="shared" si="63"/>
        <v/>
      </c>
      <c r="F160" t="str">
        <f>IF(C160&lt;&gt;"",Data!$M711,"")</f>
        <v/>
      </c>
      <c r="K160" t="e">
        <f>IF(Dashboard!$R$4="All",Data!G711,IF(Data!K711=Dashboard!$R$4,Data!G711,NA()))</f>
        <v>#N/A</v>
      </c>
      <c r="L160" t="str">
        <f t="shared" si="64"/>
        <v/>
      </c>
      <c r="M160" t="str">
        <f t="shared" si="65"/>
        <v/>
      </c>
      <c r="N160" t="str">
        <f t="shared" si="66"/>
        <v/>
      </c>
      <c r="O160" t="str">
        <f>IF(L160&lt;&gt;"",Data!$M711,"")</f>
        <v/>
      </c>
      <c r="T160">
        <f>IF(OR(Dashboard!$P$4="All",Dashboard!$R$4="All"),NA(),IF(OR(Data!K711&lt;&gt;Dashboard!$P$4,Data!K711&lt;&gt;Dashboard!$R$4),Data!G711,NA()))</f>
        <v>67794.987956419791</v>
      </c>
      <c r="U160"/>
      <c r="AI160" s="13" t="s">
        <v>2265</v>
      </c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>
        <v>73000</v>
      </c>
      <c r="AU160" s="8">
        <v>1</v>
      </c>
      <c r="AV160" s="8"/>
      <c r="AW160" s="8"/>
      <c r="AX160" s="8"/>
      <c r="AY160" s="8"/>
      <c r="AZ160" s="8"/>
      <c r="BA160" s="8"/>
      <c r="BB160" s="8"/>
      <c r="BC160" s="8"/>
      <c r="BQ160" s="13" t="s">
        <v>2265</v>
      </c>
      <c r="BR160" s="8"/>
      <c r="BS160" s="8"/>
      <c r="BT160" s="8">
        <v>73000</v>
      </c>
      <c r="BU160" s="8"/>
      <c r="BV160" s="8"/>
    </row>
    <row r="161" spans="2:74">
      <c r="B161" t="e">
        <f>IF(Dashboard!$P$4="All",Data!G712,IF(Data!K712=Dashboard!$P$4,Data!G712,NA()))</f>
        <v>#N/A</v>
      </c>
      <c r="C161" t="str">
        <f t="shared" si="61"/>
        <v/>
      </c>
      <c r="D161" t="str">
        <f t="shared" si="62"/>
        <v/>
      </c>
      <c r="E161" t="str">
        <f t="shared" si="63"/>
        <v/>
      </c>
      <c r="F161" t="str">
        <f>IF(C161&lt;&gt;"",Data!$M712,"")</f>
        <v/>
      </c>
      <c r="K161" t="e">
        <f>IF(Dashboard!$R$4="All",Data!G712,IF(Data!K712=Dashboard!$R$4,Data!G712,NA()))</f>
        <v>#N/A</v>
      </c>
      <c r="L161" t="str">
        <f t="shared" si="64"/>
        <v/>
      </c>
      <c r="M161" t="str">
        <f t="shared" si="65"/>
        <v/>
      </c>
      <c r="N161" t="str">
        <f t="shared" si="66"/>
        <v/>
      </c>
      <c r="O161" t="str">
        <f>IF(L161&lt;&gt;"",Data!$M712,"")</f>
        <v/>
      </c>
      <c r="T161">
        <f>IF(OR(Dashboard!$P$4="All",Dashboard!$R$4="All"),NA(),IF(OR(Data!K712&lt;&gt;Dashboard!$P$4,Data!K712&lt;&gt;Dashboard!$R$4),Data!G712,NA()))</f>
        <v>31250</v>
      </c>
      <c r="U161"/>
      <c r="AI161" s="13" t="s">
        <v>2266</v>
      </c>
      <c r="AJ161" s="8"/>
      <c r="AK161" s="8"/>
      <c r="AL161" s="8"/>
      <c r="AM161" s="8"/>
      <c r="AN161" s="8">
        <v>62400</v>
      </c>
      <c r="AO161" s="8">
        <v>1</v>
      </c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Q161" s="13" t="s">
        <v>2266</v>
      </c>
      <c r="BR161" s="8"/>
      <c r="BS161" s="8"/>
      <c r="BT161" s="8"/>
      <c r="BU161" s="8">
        <v>62400</v>
      </c>
      <c r="BV161" s="8"/>
    </row>
    <row r="162" spans="2:74">
      <c r="B162" t="e">
        <f>IF(Dashboard!$P$4="All",Data!G713,IF(Data!K713=Dashboard!$P$4,Data!G713,NA()))</f>
        <v>#N/A</v>
      </c>
      <c r="C162" t="str">
        <f t="shared" si="61"/>
        <v/>
      </c>
      <c r="D162" t="str">
        <f t="shared" si="62"/>
        <v/>
      </c>
      <c r="E162" t="str">
        <f t="shared" si="63"/>
        <v/>
      </c>
      <c r="F162" t="str">
        <f>IF(C162&lt;&gt;"",Data!$M713,"")</f>
        <v/>
      </c>
      <c r="K162" t="e">
        <f>IF(Dashboard!$R$4="All",Data!G713,IF(Data!K713=Dashboard!$R$4,Data!G713,NA()))</f>
        <v>#N/A</v>
      </c>
      <c r="L162" t="str">
        <f t="shared" si="64"/>
        <v/>
      </c>
      <c r="M162" t="str">
        <f t="shared" si="65"/>
        <v/>
      </c>
      <c r="N162" t="str">
        <f t="shared" si="66"/>
        <v/>
      </c>
      <c r="O162" t="str">
        <f>IF(L162&lt;&gt;"",Data!$M713,"")</f>
        <v/>
      </c>
      <c r="T162">
        <f>IF(OR(Dashboard!$P$4="All",Dashboard!$R$4="All"),NA(),IF(OR(Data!K713&lt;&gt;Dashboard!$P$4,Data!K713&lt;&gt;Dashboard!$R$4),Data!G713,NA()))</f>
        <v>2165.2740982270229</v>
      </c>
      <c r="U162"/>
      <c r="AI162" s="13" t="s">
        <v>2268</v>
      </c>
      <c r="AJ162" s="8"/>
      <c r="AK162" s="8"/>
      <c r="AL162" s="8">
        <v>54000</v>
      </c>
      <c r="AM162" s="8">
        <v>1</v>
      </c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Q162" s="13" t="s">
        <v>2268</v>
      </c>
      <c r="BR162" s="8"/>
      <c r="BS162" s="8"/>
      <c r="BT162" s="8"/>
      <c r="BU162" s="8">
        <v>54000</v>
      </c>
      <c r="BV162" s="8"/>
    </row>
    <row r="163" spans="2:74">
      <c r="B163" t="e">
        <f>IF(Dashboard!$P$4="All",Data!G714,IF(Data!K714=Dashboard!$P$4,Data!G714,NA()))</f>
        <v>#N/A</v>
      </c>
      <c r="C163" t="str">
        <f t="shared" si="61"/>
        <v/>
      </c>
      <c r="D163" t="str">
        <f t="shared" si="62"/>
        <v/>
      </c>
      <c r="E163" t="str">
        <f t="shared" si="63"/>
        <v/>
      </c>
      <c r="F163" t="str">
        <f>IF(C163&lt;&gt;"",Data!$M714,"")</f>
        <v/>
      </c>
      <c r="K163" t="e">
        <f>IF(Dashboard!$R$4="All",Data!G714,IF(Data!K714=Dashboard!$R$4,Data!G714,NA()))</f>
        <v>#N/A</v>
      </c>
      <c r="L163" t="str">
        <f t="shared" si="64"/>
        <v/>
      </c>
      <c r="M163" t="str">
        <f t="shared" si="65"/>
        <v/>
      </c>
      <c r="N163" t="str">
        <f t="shared" si="66"/>
        <v/>
      </c>
      <c r="O163" t="str">
        <f>IF(L163&lt;&gt;"",Data!$M714,"")</f>
        <v/>
      </c>
      <c r="T163">
        <f>IF(OR(Dashboard!$P$4="All",Dashboard!$R$4="All"),NA(),IF(OR(Data!K714&lt;&gt;Dashboard!$P$4,Data!K714&lt;&gt;Dashboard!$R$4),Data!G714,NA()))</f>
        <v>7123.1666749770275</v>
      </c>
      <c r="U163"/>
      <c r="AI163" s="13" t="s">
        <v>2270</v>
      </c>
      <c r="AJ163" s="8"/>
      <c r="AK163" s="8"/>
      <c r="AL163" s="8"/>
      <c r="AM163" s="8"/>
      <c r="AN163" s="8">
        <v>77000</v>
      </c>
      <c r="AO163" s="8">
        <v>1</v>
      </c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Q163" s="13" t="s">
        <v>2270</v>
      </c>
      <c r="BR163" s="8"/>
      <c r="BS163" s="8"/>
      <c r="BT163" s="8">
        <v>77000</v>
      </c>
      <c r="BU163" s="8"/>
      <c r="BV163" s="8"/>
    </row>
    <row r="164" spans="2:74">
      <c r="B164" t="e">
        <f>IF(Dashboard!$P$4="All",Data!G715,IF(Data!K715=Dashboard!$P$4,Data!G715,NA()))</f>
        <v>#N/A</v>
      </c>
      <c r="C164" t="str">
        <f t="shared" si="61"/>
        <v/>
      </c>
      <c r="D164" t="str">
        <f t="shared" si="62"/>
        <v/>
      </c>
      <c r="E164" t="str">
        <f t="shared" si="63"/>
        <v/>
      </c>
      <c r="F164" t="str">
        <f>IF(C164&lt;&gt;"",Data!$M715,"")</f>
        <v/>
      </c>
      <c r="K164" t="e">
        <f>IF(Dashboard!$R$4="All",Data!G715,IF(Data!K715=Dashboard!$R$4,Data!G715,NA()))</f>
        <v>#N/A</v>
      </c>
      <c r="L164" t="str">
        <f t="shared" si="64"/>
        <v/>
      </c>
      <c r="M164" t="str">
        <f t="shared" si="65"/>
        <v/>
      </c>
      <c r="N164" t="str">
        <f t="shared" si="66"/>
        <v/>
      </c>
      <c r="O164" t="str">
        <f>IF(L164&lt;&gt;"",Data!$M715,"")</f>
        <v/>
      </c>
      <c r="T164">
        <f>IF(OR(Dashboard!$P$4="All",Dashboard!$R$4="All"),NA(),IF(OR(Data!K715&lt;&gt;Dashboard!$P$4,Data!K715&lt;&gt;Dashboard!$R$4),Data!G715,NA()))</f>
        <v>130000</v>
      </c>
      <c r="U164"/>
      <c r="AI164" s="13" t="s">
        <v>2271</v>
      </c>
      <c r="AJ164" s="8"/>
      <c r="AK164" s="8"/>
      <c r="AL164" s="8">
        <v>76000</v>
      </c>
      <c r="AM164" s="8">
        <v>1</v>
      </c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Q164" s="13" t="s">
        <v>2271</v>
      </c>
      <c r="BR164" s="8"/>
      <c r="BS164" s="8"/>
      <c r="BT164" s="8"/>
      <c r="BU164" s="8">
        <v>76000</v>
      </c>
      <c r="BV164" s="8"/>
    </row>
    <row r="165" spans="2:74">
      <c r="B165" t="e">
        <f>IF(Dashboard!$P$4="All",Data!G716,IF(Data!K716=Dashboard!$P$4,Data!G716,NA()))</f>
        <v>#N/A</v>
      </c>
      <c r="C165" t="str">
        <f t="shared" si="61"/>
        <v/>
      </c>
      <c r="D165" t="str">
        <f t="shared" si="62"/>
        <v/>
      </c>
      <c r="E165" t="str">
        <f t="shared" si="63"/>
        <v/>
      </c>
      <c r="F165" t="str">
        <f>IF(C165&lt;&gt;"",Data!$M716,"")</f>
        <v/>
      </c>
      <c r="K165" t="e">
        <f>IF(Dashboard!$R$4="All",Data!G716,IF(Data!K716=Dashboard!$R$4,Data!G716,NA()))</f>
        <v>#N/A</v>
      </c>
      <c r="L165" t="str">
        <f t="shared" si="64"/>
        <v/>
      </c>
      <c r="M165" t="str">
        <f t="shared" si="65"/>
        <v/>
      </c>
      <c r="N165" t="str">
        <f t="shared" si="66"/>
        <v/>
      </c>
      <c r="O165" t="str">
        <f>IF(L165&lt;&gt;"",Data!$M716,"")</f>
        <v/>
      </c>
      <c r="T165">
        <f>IF(OR(Dashboard!$P$4="All",Dashboard!$R$4="All"),NA(),IF(OR(Data!K716&lt;&gt;Dashboard!$P$4,Data!K716&lt;&gt;Dashboard!$R$4),Data!G716,NA()))</f>
        <v>4451.9791718606421</v>
      </c>
      <c r="U165"/>
      <c r="AI165" s="13" t="s">
        <v>2272</v>
      </c>
      <c r="AJ165" s="8"/>
      <c r="AK165" s="8"/>
      <c r="AL165" s="8"/>
      <c r="AM165" s="8"/>
      <c r="AN165" s="8"/>
      <c r="AO165" s="8"/>
      <c r="AP165" s="8">
        <v>103000</v>
      </c>
      <c r="AQ165" s="8">
        <v>1</v>
      </c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Q165" s="13" t="s">
        <v>2272</v>
      </c>
      <c r="BR165" s="8"/>
      <c r="BS165" s="8">
        <v>103000</v>
      </c>
      <c r="BT165" s="8"/>
      <c r="BU165" s="8"/>
      <c r="BV165" s="8"/>
    </row>
    <row r="166" spans="2:74">
      <c r="B166" t="e">
        <f>IF(Dashboard!$P$4="All",Data!G717,IF(Data!K717=Dashboard!$P$4,Data!G717,NA()))</f>
        <v>#N/A</v>
      </c>
      <c r="C166" t="str">
        <f t="shared" si="61"/>
        <v/>
      </c>
      <c r="D166" t="str">
        <f t="shared" si="62"/>
        <v/>
      </c>
      <c r="E166" t="str">
        <f t="shared" si="63"/>
        <v/>
      </c>
      <c r="F166" t="str">
        <f>IF(C166&lt;&gt;"",Data!$M717,"")</f>
        <v/>
      </c>
      <c r="K166" t="e">
        <f>IF(Dashboard!$R$4="All",Data!G717,IF(Data!K717=Dashboard!$R$4,Data!G717,NA()))</f>
        <v>#N/A</v>
      </c>
      <c r="L166" t="str">
        <f t="shared" si="64"/>
        <v/>
      </c>
      <c r="M166" t="str">
        <f t="shared" si="65"/>
        <v/>
      </c>
      <c r="N166" t="str">
        <f t="shared" si="66"/>
        <v/>
      </c>
      <c r="O166" t="str">
        <f>IF(L166&lt;&gt;"",Data!$M717,"")</f>
        <v/>
      </c>
      <c r="T166">
        <f>IF(OR(Dashboard!$P$4="All",Dashboard!$R$4="All"),NA(),IF(OR(Data!K717&lt;&gt;Dashboard!$P$4,Data!K717&lt;&gt;Dashboard!$R$4),Data!G717,NA()))</f>
        <v>9600</v>
      </c>
      <c r="U166"/>
      <c r="AI166" s="13" t="s">
        <v>2274</v>
      </c>
      <c r="AJ166" s="8">
        <v>40000</v>
      </c>
      <c r="AK166" s="8">
        <v>1</v>
      </c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Q166" s="13" t="s">
        <v>2274</v>
      </c>
      <c r="BR166" s="8"/>
      <c r="BS166" s="8"/>
      <c r="BT166" s="8">
        <v>40000</v>
      </c>
      <c r="BU166" s="8"/>
      <c r="BV166" s="8"/>
    </row>
    <row r="167" spans="2:74">
      <c r="B167" t="e">
        <f>IF(Dashboard!$P$4="All",Data!G718,IF(Data!K718=Dashboard!$P$4,Data!G718,NA()))</f>
        <v>#N/A</v>
      </c>
      <c r="C167" t="str">
        <f t="shared" si="61"/>
        <v/>
      </c>
      <c r="D167" t="str">
        <f t="shared" si="62"/>
        <v/>
      </c>
      <c r="E167" t="str">
        <f t="shared" si="63"/>
        <v/>
      </c>
      <c r="F167" t="str">
        <f>IF(C167&lt;&gt;"",Data!$M718,"")</f>
        <v/>
      </c>
      <c r="K167" t="e">
        <f>IF(Dashboard!$R$4="All",Data!G718,IF(Data!K718=Dashboard!$R$4,Data!G718,NA()))</f>
        <v>#N/A</v>
      </c>
      <c r="L167" t="str">
        <f t="shared" si="64"/>
        <v/>
      </c>
      <c r="M167" t="str">
        <f t="shared" si="65"/>
        <v/>
      </c>
      <c r="N167" t="str">
        <f t="shared" si="66"/>
        <v/>
      </c>
      <c r="O167" t="str">
        <f>IF(L167&lt;&gt;"",Data!$M718,"")</f>
        <v/>
      </c>
      <c r="T167">
        <f>IF(OR(Dashboard!$P$4="All",Dashboard!$R$4="All"),NA(),IF(OR(Data!K718&lt;&gt;Dashboard!$P$4,Data!K718&lt;&gt;Dashboard!$R$4),Data!G718,NA()))</f>
        <v>6945.0875081026015</v>
      </c>
      <c r="U167"/>
      <c r="AI167" s="13" t="s">
        <v>2275</v>
      </c>
      <c r="AJ167" s="8"/>
      <c r="AK167" s="8"/>
      <c r="AL167" s="8"/>
      <c r="AM167" s="8"/>
      <c r="AN167" s="8"/>
      <c r="AO167" s="8"/>
      <c r="AP167" s="8">
        <v>80000</v>
      </c>
      <c r="AQ167" s="8">
        <v>1</v>
      </c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Q167" s="13" t="s">
        <v>2275</v>
      </c>
      <c r="BR167" s="8"/>
      <c r="BS167" s="8">
        <v>80000</v>
      </c>
      <c r="BT167" s="8"/>
      <c r="BU167" s="8"/>
      <c r="BV167" s="8"/>
    </row>
    <row r="168" spans="2:74">
      <c r="B168" t="e">
        <f>IF(Dashboard!$P$4="All",Data!G719,IF(Data!K719=Dashboard!$P$4,Data!G719,NA()))</f>
        <v>#N/A</v>
      </c>
      <c r="C168" t="str">
        <f t="shared" si="61"/>
        <v/>
      </c>
      <c r="D168" t="str">
        <f t="shared" si="62"/>
        <v/>
      </c>
      <c r="E168" t="str">
        <f t="shared" si="63"/>
        <v/>
      </c>
      <c r="F168" t="str">
        <f>IF(C168&lt;&gt;"",Data!$M719,"")</f>
        <v/>
      </c>
      <c r="K168" t="e">
        <f>IF(Dashboard!$R$4="All",Data!G719,IF(Data!K719=Dashboard!$R$4,Data!G719,NA()))</f>
        <v>#N/A</v>
      </c>
      <c r="L168" t="str">
        <f t="shared" si="64"/>
        <v/>
      </c>
      <c r="M168" t="str">
        <f t="shared" si="65"/>
        <v/>
      </c>
      <c r="N168" t="str">
        <f t="shared" si="66"/>
        <v/>
      </c>
      <c r="O168" t="str">
        <f>IF(L168&lt;&gt;"",Data!$M719,"")</f>
        <v/>
      </c>
      <c r="T168">
        <f>IF(OR(Dashboard!$P$4="All",Dashboard!$R$4="All"),NA(),IF(OR(Data!K719&lt;&gt;Dashboard!$P$4,Data!K719&lt;&gt;Dashboard!$R$4),Data!G719,NA()))</f>
        <v>10684.750012465542</v>
      </c>
      <c r="U168"/>
      <c r="AI168" s="13" t="s">
        <v>2276</v>
      </c>
      <c r="AJ168" s="8">
        <v>55000</v>
      </c>
      <c r="AK168" s="8">
        <v>1</v>
      </c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Q168" s="13" t="s">
        <v>2276</v>
      </c>
      <c r="BR168" s="8"/>
      <c r="BS168" s="8"/>
      <c r="BT168" s="8"/>
      <c r="BU168" s="8">
        <v>55000</v>
      </c>
      <c r="BV168" s="8"/>
    </row>
    <row r="169" spans="2:74">
      <c r="B169" t="e">
        <f>IF(Dashboard!$P$4="All",Data!G720,IF(Data!K720=Dashboard!$P$4,Data!G720,NA()))</f>
        <v>#N/A</v>
      </c>
      <c r="C169" t="str">
        <f t="shared" si="61"/>
        <v/>
      </c>
      <c r="D169" t="str">
        <f t="shared" si="62"/>
        <v/>
      </c>
      <c r="E169" t="str">
        <f t="shared" si="63"/>
        <v/>
      </c>
      <c r="F169" t="str">
        <f>IF(C169&lt;&gt;"",Data!$M720,"")</f>
        <v/>
      </c>
      <c r="K169" t="e">
        <f>IF(Dashboard!$R$4="All",Data!G720,IF(Data!K720=Dashboard!$R$4,Data!G720,NA()))</f>
        <v>#N/A</v>
      </c>
      <c r="L169" t="str">
        <f t="shared" si="64"/>
        <v/>
      </c>
      <c r="M169" t="str">
        <f t="shared" si="65"/>
        <v/>
      </c>
      <c r="N169" t="str">
        <f t="shared" si="66"/>
        <v/>
      </c>
      <c r="O169" t="str">
        <f>IF(L169&lt;&gt;"",Data!$M720,"")</f>
        <v/>
      </c>
      <c r="T169">
        <f>IF(OR(Dashboard!$P$4="All",Dashboard!$R$4="All"),NA(),IF(OR(Data!K720&lt;&gt;Dashboard!$P$4,Data!K720&lt;&gt;Dashboard!$R$4),Data!G720,NA()))</f>
        <v>8547.8000099724322</v>
      </c>
      <c r="U169"/>
      <c r="AI169" s="13" t="s">
        <v>2277</v>
      </c>
      <c r="AJ169" s="8">
        <v>99000</v>
      </c>
      <c r="AK169" s="8">
        <v>1</v>
      </c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Q169" s="13" t="s">
        <v>2277</v>
      </c>
      <c r="BR169" s="8"/>
      <c r="BS169" s="8">
        <v>99000</v>
      </c>
      <c r="BT169" s="8"/>
      <c r="BU169" s="8"/>
      <c r="BV169" s="8"/>
    </row>
    <row r="170" spans="2:74">
      <c r="B170" t="e">
        <f>IF(Dashboard!$P$4="All",Data!G721,IF(Data!K721=Dashboard!$P$4,Data!G721,NA()))</f>
        <v>#N/A</v>
      </c>
      <c r="C170" t="str">
        <f t="shared" si="61"/>
        <v/>
      </c>
      <c r="D170" t="str">
        <f t="shared" si="62"/>
        <v/>
      </c>
      <c r="E170" t="str">
        <f t="shared" si="63"/>
        <v/>
      </c>
      <c r="F170" t="str">
        <f>IF(C170&lt;&gt;"",Data!$M721,"")</f>
        <v/>
      </c>
      <c r="K170" t="e">
        <f>IF(Dashboard!$R$4="All",Data!G721,IF(Data!K721=Dashboard!$R$4,Data!G721,NA()))</f>
        <v>#N/A</v>
      </c>
      <c r="L170" t="str">
        <f t="shared" si="64"/>
        <v/>
      </c>
      <c r="M170" t="str">
        <f t="shared" si="65"/>
        <v/>
      </c>
      <c r="N170" t="str">
        <f t="shared" si="66"/>
        <v/>
      </c>
      <c r="O170" t="str">
        <f>IF(L170&lt;&gt;"",Data!$M721,"")</f>
        <v/>
      </c>
      <c r="T170">
        <f>IF(OR(Dashboard!$P$4="All",Dashboard!$R$4="All"),NA(),IF(OR(Data!K721&lt;&gt;Dashboard!$P$4,Data!K721&lt;&gt;Dashboard!$R$4),Data!G721,NA()))</f>
        <v>35000</v>
      </c>
      <c r="U170"/>
      <c r="AI170" s="13" t="s">
        <v>2279</v>
      </c>
      <c r="AJ170" s="8">
        <v>75000</v>
      </c>
      <c r="AK170" s="8">
        <v>1</v>
      </c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Q170" s="13" t="s">
        <v>2279</v>
      </c>
      <c r="BR170" s="8"/>
      <c r="BS170" s="8"/>
      <c r="BT170" s="8">
        <v>75000</v>
      </c>
      <c r="BU170" s="8"/>
      <c r="BV170" s="8"/>
    </row>
    <row r="171" spans="2:74">
      <c r="B171" t="e">
        <f>IF(Dashboard!$P$4="All",Data!G722,IF(Data!K722=Dashboard!$P$4,Data!G722,NA()))</f>
        <v>#N/A</v>
      </c>
      <c r="C171" t="str">
        <f t="shared" si="61"/>
        <v/>
      </c>
      <c r="D171" t="str">
        <f t="shared" si="62"/>
        <v/>
      </c>
      <c r="E171" t="str">
        <f t="shared" si="63"/>
        <v/>
      </c>
      <c r="F171" t="str">
        <f>IF(C171&lt;&gt;"",Data!$M722,"")</f>
        <v/>
      </c>
      <c r="K171" t="e">
        <f>IF(Dashboard!$R$4="All",Data!G722,IF(Data!K722=Dashboard!$R$4,Data!G722,NA()))</f>
        <v>#N/A</v>
      </c>
      <c r="L171" t="str">
        <f t="shared" si="64"/>
        <v/>
      </c>
      <c r="M171" t="str">
        <f t="shared" si="65"/>
        <v/>
      </c>
      <c r="N171" t="str">
        <f t="shared" si="66"/>
        <v/>
      </c>
      <c r="O171" t="str">
        <f>IF(L171&lt;&gt;"",Data!$M722,"")</f>
        <v/>
      </c>
      <c r="T171">
        <f>IF(OR(Dashboard!$P$4="All",Dashboard!$R$4="All"),NA(),IF(OR(Data!K722&lt;&gt;Dashboard!$P$4,Data!K722&lt;&gt;Dashboard!$R$4),Data!G722,NA()))</f>
        <v>17807.916687442568</v>
      </c>
      <c r="U171"/>
      <c r="AI171" s="13" t="s">
        <v>2280</v>
      </c>
      <c r="AJ171" s="8"/>
      <c r="AK171" s="8"/>
      <c r="AL171" s="8">
        <v>80000</v>
      </c>
      <c r="AM171" s="8">
        <v>1</v>
      </c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Q171" s="13" t="s">
        <v>2280</v>
      </c>
      <c r="BR171" s="8"/>
      <c r="BS171" s="8">
        <v>80000</v>
      </c>
      <c r="BT171" s="8"/>
      <c r="BU171" s="8"/>
      <c r="BV171" s="8"/>
    </row>
    <row r="172" spans="2:74">
      <c r="B172" t="e">
        <f>IF(Dashboard!$P$4="All",Data!G723,IF(Data!K723=Dashboard!$P$4,Data!G723,NA()))</f>
        <v>#N/A</v>
      </c>
      <c r="C172" t="str">
        <f t="shared" si="61"/>
        <v/>
      </c>
      <c r="D172" t="str">
        <f t="shared" si="62"/>
        <v/>
      </c>
      <c r="E172" t="str">
        <f t="shared" si="63"/>
        <v/>
      </c>
      <c r="F172" t="str">
        <f>IF(C172&lt;&gt;"",Data!$M723,"")</f>
        <v/>
      </c>
      <c r="K172" t="e">
        <f>IF(Dashboard!$R$4="All",Data!G723,IF(Data!K723=Dashboard!$R$4,Data!G723,NA()))</f>
        <v>#N/A</v>
      </c>
      <c r="L172" t="str">
        <f t="shared" si="64"/>
        <v/>
      </c>
      <c r="M172" t="str">
        <f t="shared" si="65"/>
        <v/>
      </c>
      <c r="N172" t="str">
        <f t="shared" si="66"/>
        <v/>
      </c>
      <c r="O172" t="str">
        <f>IF(L172&lt;&gt;"",Data!$M723,"")</f>
        <v/>
      </c>
      <c r="T172">
        <f>IF(OR(Dashboard!$P$4="All",Dashboard!$R$4="All"),NA(),IF(OR(Data!K723&lt;&gt;Dashboard!$P$4,Data!K723&lt;&gt;Dashboard!$R$4),Data!G723,NA()))</f>
        <v>3205.4250037396623</v>
      </c>
      <c r="U172"/>
      <c r="AI172" s="13" t="s">
        <v>2282</v>
      </c>
      <c r="AJ172" s="8">
        <v>40000</v>
      </c>
      <c r="AK172" s="8">
        <v>1</v>
      </c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Q172" s="13" t="s">
        <v>2282</v>
      </c>
      <c r="BR172" s="8"/>
      <c r="BS172" s="8"/>
      <c r="BT172" s="8"/>
      <c r="BU172" s="8">
        <v>40000</v>
      </c>
      <c r="BV172" s="8"/>
    </row>
    <row r="173" spans="2:74">
      <c r="B173" t="e">
        <f>IF(Dashboard!$P$4="All",Data!G724,IF(Data!K724=Dashboard!$P$4,Data!G724,NA()))</f>
        <v>#N/A</v>
      </c>
      <c r="C173" t="str">
        <f t="shared" si="61"/>
        <v/>
      </c>
      <c r="D173" t="str">
        <f t="shared" si="62"/>
        <v/>
      </c>
      <c r="E173" t="str">
        <f t="shared" si="63"/>
        <v/>
      </c>
      <c r="F173" t="str">
        <f>IF(C173&lt;&gt;"",Data!$M724,"")</f>
        <v/>
      </c>
      <c r="K173" t="e">
        <f>IF(Dashboard!$R$4="All",Data!G724,IF(Data!K724=Dashboard!$R$4,Data!G724,NA()))</f>
        <v>#N/A</v>
      </c>
      <c r="L173" t="str">
        <f t="shared" si="64"/>
        <v/>
      </c>
      <c r="M173" t="str">
        <f t="shared" si="65"/>
        <v/>
      </c>
      <c r="N173" t="str">
        <f t="shared" si="66"/>
        <v/>
      </c>
      <c r="O173" t="str">
        <f>IF(L173&lt;&gt;"",Data!$M724,"")</f>
        <v/>
      </c>
      <c r="T173">
        <f>IF(OR(Dashboard!$P$4="All",Dashboard!$R$4="All"),NA(),IF(OR(Data!K724&lt;&gt;Dashboard!$P$4,Data!K724&lt;&gt;Dashboard!$R$4),Data!G724,NA()))</f>
        <v>60000</v>
      </c>
      <c r="U173"/>
      <c r="AI173" s="13" t="s">
        <v>2283</v>
      </c>
      <c r="AJ173" s="8">
        <v>46000</v>
      </c>
      <c r="AK173" s="8">
        <v>1</v>
      </c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Q173" s="13" t="s">
        <v>2283</v>
      </c>
      <c r="BR173" s="8"/>
      <c r="BS173" s="8"/>
      <c r="BT173" s="8"/>
      <c r="BU173" s="8">
        <v>46000</v>
      </c>
      <c r="BV173" s="8"/>
    </row>
    <row r="174" spans="2:74">
      <c r="B174" t="e">
        <f>IF(Dashboard!$P$4="All",Data!G725,IF(Data!K725=Dashboard!$P$4,Data!G725,NA()))</f>
        <v>#N/A</v>
      </c>
      <c r="C174" t="str">
        <f t="shared" si="61"/>
        <v/>
      </c>
      <c r="D174" t="str">
        <f t="shared" si="62"/>
        <v/>
      </c>
      <c r="E174" t="str">
        <f t="shared" si="63"/>
        <v/>
      </c>
      <c r="F174" t="str">
        <f>IF(C174&lt;&gt;"",Data!$M725,"")</f>
        <v/>
      </c>
      <c r="K174" t="e">
        <f>IF(Dashboard!$R$4="All",Data!G725,IF(Data!K725=Dashboard!$R$4,Data!G725,NA()))</f>
        <v>#N/A</v>
      </c>
      <c r="L174" t="str">
        <f t="shared" si="64"/>
        <v/>
      </c>
      <c r="M174" t="str">
        <f t="shared" si="65"/>
        <v/>
      </c>
      <c r="N174" t="str">
        <f t="shared" si="66"/>
        <v/>
      </c>
      <c r="O174" t="str">
        <f>IF(L174&lt;&gt;"",Data!$M725,"")</f>
        <v/>
      </c>
      <c r="T174">
        <f>IF(OR(Dashboard!$P$4="All",Dashboard!$R$4="All"),NA(),IF(OR(Data!K725&lt;&gt;Dashboard!$P$4,Data!K725&lt;&gt;Dashboard!$R$4),Data!G725,NA()))</f>
        <v>14246.333349954055</v>
      </c>
      <c r="U174"/>
      <c r="AI174" s="13" t="s">
        <v>2285</v>
      </c>
      <c r="AJ174" s="8"/>
      <c r="AK174" s="8"/>
      <c r="AL174" s="8"/>
      <c r="AM174" s="8"/>
      <c r="AN174" s="8"/>
      <c r="AO174" s="8"/>
      <c r="AP174" s="8"/>
      <c r="AQ174" s="8"/>
      <c r="AR174" s="8">
        <v>70000</v>
      </c>
      <c r="AS174" s="8">
        <v>1</v>
      </c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Q174" s="13" t="s">
        <v>2285</v>
      </c>
      <c r="BR174" s="8"/>
      <c r="BS174" s="8"/>
      <c r="BT174" s="8"/>
      <c r="BU174" s="8">
        <v>70000</v>
      </c>
      <c r="BV174" s="8"/>
    </row>
    <row r="175" spans="2:74">
      <c r="B175" t="e">
        <f>IF(Dashboard!$P$4="All",Data!G726,IF(Data!K726=Dashboard!$P$4,Data!G726,NA()))</f>
        <v>#N/A</v>
      </c>
      <c r="C175" t="str">
        <f t="shared" si="61"/>
        <v/>
      </c>
      <c r="D175" t="str">
        <f t="shared" si="62"/>
        <v/>
      </c>
      <c r="E175" t="str">
        <f t="shared" si="63"/>
        <v/>
      </c>
      <c r="F175" t="str">
        <f>IF(C175&lt;&gt;"",Data!$M726,"")</f>
        <v/>
      </c>
      <c r="K175" t="e">
        <f>IF(Dashboard!$R$4="All",Data!G726,IF(Data!K726=Dashboard!$R$4,Data!G726,NA()))</f>
        <v>#N/A</v>
      </c>
      <c r="L175" t="str">
        <f t="shared" si="64"/>
        <v/>
      </c>
      <c r="M175" t="str">
        <f t="shared" si="65"/>
        <v/>
      </c>
      <c r="N175" t="str">
        <f t="shared" si="66"/>
        <v/>
      </c>
      <c r="O175" t="str">
        <f>IF(L175&lt;&gt;"",Data!$M726,"")</f>
        <v/>
      </c>
      <c r="T175">
        <f>IF(OR(Dashboard!$P$4="All",Dashboard!$R$4="All"),NA(),IF(OR(Data!K726&lt;&gt;Dashboard!$P$4,Data!K726&lt;&gt;Dashboard!$R$4),Data!G726,NA()))</f>
        <v>10684.750012465542</v>
      </c>
      <c r="U175"/>
      <c r="AI175" s="13" t="s">
        <v>2287</v>
      </c>
      <c r="AJ175" s="8"/>
      <c r="AK175" s="8"/>
      <c r="AL175" s="8">
        <v>15000</v>
      </c>
      <c r="AM175" s="8">
        <v>1</v>
      </c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Q175" s="13" t="s">
        <v>2287</v>
      </c>
      <c r="BR175" s="8"/>
      <c r="BS175" s="8">
        <v>15000</v>
      </c>
      <c r="BT175" s="8"/>
      <c r="BU175" s="8"/>
      <c r="BV175" s="8"/>
    </row>
    <row r="176" spans="2:74">
      <c r="B176" t="e">
        <f>IF(Dashboard!$P$4="All",Data!G727,IF(Data!K727=Dashboard!$P$4,Data!G727,NA()))</f>
        <v>#N/A</v>
      </c>
      <c r="C176" t="str">
        <f t="shared" si="61"/>
        <v/>
      </c>
      <c r="D176" t="str">
        <f t="shared" si="62"/>
        <v/>
      </c>
      <c r="E176" t="str">
        <f t="shared" si="63"/>
        <v/>
      </c>
      <c r="F176" t="str">
        <f>IF(C176&lt;&gt;"",Data!$M727,"")</f>
        <v/>
      </c>
      <c r="K176" t="e">
        <f>IF(Dashboard!$R$4="All",Data!G727,IF(Data!K727=Dashboard!$R$4,Data!G727,NA()))</f>
        <v>#N/A</v>
      </c>
      <c r="L176" t="str">
        <f t="shared" si="64"/>
        <v/>
      </c>
      <c r="M176" t="str">
        <f t="shared" si="65"/>
        <v/>
      </c>
      <c r="N176" t="str">
        <f t="shared" si="66"/>
        <v/>
      </c>
      <c r="O176" t="str">
        <f>IF(L176&lt;&gt;"",Data!$M727,"")</f>
        <v/>
      </c>
      <c r="T176">
        <f>IF(OR(Dashboard!$P$4="All",Dashboard!$R$4="All"),NA(),IF(OR(Data!K727&lt;&gt;Dashboard!$P$4,Data!K727&lt;&gt;Dashboard!$R$4),Data!G727,NA()))</f>
        <v>40000</v>
      </c>
      <c r="U176"/>
      <c r="AI176" s="13" t="s">
        <v>2291</v>
      </c>
      <c r="AJ176" s="8"/>
      <c r="AK176" s="8"/>
      <c r="AL176" s="8">
        <v>68000</v>
      </c>
      <c r="AM176" s="8">
        <v>1</v>
      </c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Q176" s="13" t="s">
        <v>2291</v>
      </c>
      <c r="BR176" s="8"/>
      <c r="BS176" s="8"/>
      <c r="BT176" s="8"/>
      <c r="BU176" s="8">
        <v>68000</v>
      </c>
      <c r="BV176" s="8"/>
    </row>
    <row r="177" spans="2:74">
      <c r="B177" t="e">
        <f>IF(Dashboard!$P$4="All",Data!G728,IF(Data!K728=Dashboard!$P$4,Data!G728,NA()))</f>
        <v>#N/A</v>
      </c>
      <c r="C177" t="str">
        <f t="shared" si="61"/>
        <v/>
      </c>
      <c r="D177" t="str">
        <f t="shared" si="62"/>
        <v/>
      </c>
      <c r="E177" t="str">
        <f t="shared" si="63"/>
        <v/>
      </c>
      <c r="F177" t="str">
        <f>IF(C177&lt;&gt;"",Data!$M728,"")</f>
        <v/>
      </c>
      <c r="K177" t="e">
        <f>IF(Dashboard!$R$4="All",Data!G728,IF(Data!K728=Dashboard!$R$4,Data!G728,NA()))</f>
        <v>#N/A</v>
      </c>
      <c r="L177" t="str">
        <f t="shared" si="64"/>
        <v/>
      </c>
      <c r="M177" t="str">
        <f t="shared" si="65"/>
        <v/>
      </c>
      <c r="N177" t="str">
        <f t="shared" si="66"/>
        <v/>
      </c>
      <c r="O177" t="str">
        <f>IF(L177&lt;&gt;"",Data!$M728,"")</f>
        <v/>
      </c>
      <c r="T177">
        <f>IF(OR(Dashboard!$P$4="All",Dashboard!$R$4="All"),NA(),IF(OR(Data!K728&lt;&gt;Dashboard!$P$4,Data!K728&lt;&gt;Dashboard!$R$4),Data!G728,NA()))</f>
        <v>5022</v>
      </c>
      <c r="U177"/>
      <c r="AI177" s="13" t="s">
        <v>2292</v>
      </c>
      <c r="AJ177" s="8">
        <v>97000</v>
      </c>
      <c r="AK177" s="8">
        <v>1</v>
      </c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Q177" s="13" t="s">
        <v>2292</v>
      </c>
      <c r="BR177" s="8"/>
      <c r="BS177" s="8"/>
      <c r="BT177" s="8"/>
      <c r="BU177" s="8">
        <v>97000</v>
      </c>
      <c r="BV177" s="8"/>
    </row>
    <row r="178" spans="2:74">
      <c r="B178" t="e">
        <f>IF(Dashboard!$P$4="All",Data!G729,IF(Data!K729=Dashboard!$P$4,Data!G729,NA()))</f>
        <v>#N/A</v>
      </c>
      <c r="C178" t="str">
        <f t="shared" si="61"/>
        <v/>
      </c>
      <c r="D178" t="str">
        <f t="shared" si="62"/>
        <v/>
      </c>
      <c r="E178" t="str">
        <f t="shared" si="63"/>
        <v/>
      </c>
      <c r="F178" t="str">
        <f>IF(C178&lt;&gt;"",Data!$M729,"")</f>
        <v/>
      </c>
      <c r="K178" t="e">
        <f>IF(Dashboard!$R$4="All",Data!G729,IF(Data!K729=Dashboard!$R$4,Data!G729,NA()))</f>
        <v>#N/A</v>
      </c>
      <c r="L178" t="str">
        <f t="shared" si="64"/>
        <v/>
      </c>
      <c r="M178" t="str">
        <f t="shared" si="65"/>
        <v/>
      </c>
      <c r="N178" t="str">
        <f t="shared" si="66"/>
        <v/>
      </c>
      <c r="O178" t="str">
        <f>IF(L178&lt;&gt;"",Data!$M729,"")</f>
        <v/>
      </c>
      <c r="T178">
        <f>IF(OR(Dashboard!$P$4="All",Dashboard!$R$4="All"),NA(),IF(OR(Data!K729&lt;&gt;Dashboard!$P$4,Data!K729&lt;&gt;Dashboard!$R$4),Data!G729,NA()))</f>
        <v>7301.2458418514525</v>
      </c>
      <c r="U178"/>
      <c r="AI178" s="13" t="s">
        <v>2294</v>
      </c>
      <c r="AJ178" s="8">
        <v>65000</v>
      </c>
      <c r="AK178" s="8">
        <v>1</v>
      </c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Q178" s="13" t="s">
        <v>2294</v>
      </c>
      <c r="BR178" s="8"/>
      <c r="BS178" s="8"/>
      <c r="BT178" s="8">
        <v>65000</v>
      </c>
      <c r="BU178" s="8"/>
      <c r="BV178" s="8"/>
    </row>
    <row r="179" spans="2:74">
      <c r="B179" t="e">
        <f>IF(Dashboard!$P$4="All",Data!G730,IF(Data!K730=Dashboard!$P$4,Data!G730,NA()))</f>
        <v>#N/A</v>
      </c>
      <c r="C179" t="str">
        <f t="shared" si="61"/>
        <v/>
      </c>
      <c r="D179" t="str">
        <f t="shared" si="62"/>
        <v/>
      </c>
      <c r="E179" t="str">
        <f t="shared" si="63"/>
        <v/>
      </c>
      <c r="F179" t="str">
        <f>IF(C179&lt;&gt;"",Data!$M730,"")</f>
        <v/>
      </c>
      <c r="K179" t="e">
        <f>IF(Dashboard!$R$4="All",Data!G730,IF(Data!K730=Dashboard!$R$4,Data!G730,NA()))</f>
        <v>#N/A</v>
      </c>
      <c r="L179" t="str">
        <f t="shared" si="64"/>
        <v/>
      </c>
      <c r="M179" t="str">
        <f t="shared" si="65"/>
        <v/>
      </c>
      <c r="N179" t="str">
        <f t="shared" si="66"/>
        <v/>
      </c>
      <c r="O179" t="str">
        <f>IF(L179&lt;&gt;"",Data!$M730,"")</f>
        <v/>
      </c>
      <c r="T179">
        <f>IF(OR(Dashboard!$P$4="All",Dashboard!$R$4="All"),NA(),IF(OR(Data!K730&lt;&gt;Dashboard!$P$4,Data!K730&lt;&gt;Dashboard!$R$4),Data!G730,NA()))</f>
        <v>19831.432821021317</v>
      </c>
      <c r="U179"/>
      <c r="AI179" s="13" t="s">
        <v>2297</v>
      </c>
      <c r="AJ179" s="8">
        <v>50000</v>
      </c>
      <c r="AK179" s="8">
        <v>1</v>
      </c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Q179" s="13" t="s">
        <v>2297</v>
      </c>
      <c r="BR179" s="8"/>
      <c r="BS179" s="8"/>
      <c r="BT179" s="8"/>
      <c r="BU179" s="8">
        <v>50000</v>
      </c>
      <c r="BV179" s="8"/>
    </row>
    <row r="180" spans="2:74">
      <c r="B180" t="e">
        <f>IF(Dashboard!$P$4="All",Data!G731,IF(Data!K731=Dashboard!$P$4,Data!G731,NA()))</f>
        <v>#N/A</v>
      </c>
      <c r="C180" t="str">
        <f t="shared" si="61"/>
        <v/>
      </c>
      <c r="D180" t="str">
        <f t="shared" si="62"/>
        <v/>
      </c>
      <c r="E180" t="str">
        <f t="shared" si="63"/>
        <v/>
      </c>
      <c r="F180" t="str">
        <f>IF(C180&lt;&gt;"",Data!$M731,"")</f>
        <v/>
      </c>
      <c r="K180" t="e">
        <f>IF(Dashboard!$R$4="All",Data!G731,IF(Data!K731=Dashboard!$R$4,Data!G731,NA()))</f>
        <v>#N/A</v>
      </c>
      <c r="L180" t="str">
        <f t="shared" si="64"/>
        <v/>
      </c>
      <c r="M180" t="str">
        <f t="shared" si="65"/>
        <v/>
      </c>
      <c r="N180" t="str">
        <f t="shared" si="66"/>
        <v/>
      </c>
      <c r="O180" t="str">
        <f>IF(L180&lt;&gt;"",Data!$M731,"")</f>
        <v/>
      </c>
      <c r="T180">
        <f>IF(OR(Dashboard!$P$4="All",Dashboard!$R$4="All"),NA(),IF(OR(Data!K731&lt;&gt;Dashboard!$P$4,Data!K731&lt;&gt;Dashboard!$R$4),Data!G731,NA()))</f>
        <v>10684.750012465542</v>
      </c>
      <c r="U180"/>
      <c r="AI180" s="13" t="s">
        <v>2298</v>
      </c>
      <c r="AJ180" s="8">
        <v>45000</v>
      </c>
      <c r="AK180" s="8">
        <v>1</v>
      </c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Q180" s="13" t="s">
        <v>2298</v>
      </c>
      <c r="BR180" s="8"/>
      <c r="BS180" s="8"/>
      <c r="BT180" s="8">
        <v>45000</v>
      </c>
      <c r="BU180" s="8"/>
      <c r="BV180" s="8"/>
    </row>
    <row r="181" spans="2:74">
      <c r="B181" t="e">
        <f>IF(Dashboard!$P$4="All",Data!G732,IF(Data!K732=Dashboard!$P$4,Data!G732,NA()))</f>
        <v>#N/A</v>
      </c>
      <c r="C181" t="str">
        <f t="shared" si="61"/>
        <v/>
      </c>
      <c r="D181" t="str">
        <f t="shared" si="62"/>
        <v/>
      </c>
      <c r="E181" t="str">
        <f t="shared" si="63"/>
        <v/>
      </c>
      <c r="F181" t="str">
        <f>IF(C181&lt;&gt;"",Data!$M732,"")</f>
        <v/>
      </c>
      <c r="K181" t="e">
        <f>IF(Dashboard!$R$4="All",Data!G732,IF(Data!K732=Dashboard!$R$4,Data!G732,NA()))</f>
        <v>#N/A</v>
      </c>
      <c r="L181" t="str">
        <f t="shared" si="64"/>
        <v/>
      </c>
      <c r="M181" t="str">
        <f t="shared" si="65"/>
        <v/>
      </c>
      <c r="N181" t="str">
        <f t="shared" si="66"/>
        <v/>
      </c>
      <c r="O181" t="str">
        <f>IF(L181&lt;&gt;"",Data!$M732,"")</f>
        <v/>
      </c>
      <c r="T181">
        <f>IF(OR(Dashboard!$P$4="All",Dashboard!$R$4="All"),NA(),IF(OR(Data!K732&lt;&gt;Dashboard!$P$4,Data!K732&lt;&gt;Dashboard!$R$4),Data!G732,NA()))</f>
        <v>4800</v>
      </c>
      <c r="U181"/>
      <c r="AI181" s="13" t="s">
        <v>2300</v>
      </c>
      <c r="AJ181" s="8"/>
      <c r="AK181" s="8"/>
      <c r="AL181" s="8">
        <v>60000</v>
      </c>
      <c r="AM181" s="8">
        <v>1</v>
      </c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Q181" s="13" t="s">
        <v>2300</v>
      </c>
      <c r="BR181" s="8"/>
      <c r="BS181" s="8"/>
      <c r="BT181" s="8"/>
      <c r="BU181" s="8">
        <v>60000</v>
      </c>
      <c r="BV181" s="8"/>
    </row>
    <row r="182" spans="2:74">
      <c r="B182" t="e">
        <f>IF(Dashboard!$P$4="All",Data!G733,IF(Data!K733=Dashboard!$P$4,Data!G733,NA()))</f>
        <v>#N/A</v>
      </c>
      <c r="C182" t="str">
        <f t="shared" si="61"/>
        <v/>
      </c>
      <c r="D182" t="str">
        <f t="shared" si="62"/>
        <v/>
      </c>
      <c r="E182" t="str">
        <f t="shared" si="63"/>
        <v/>
      </c>
      <c r="F182" t="str">
        <f>IF(C182&lt;&gt;"",Data!$M733,"")</f>
        <v/>
      </c>
      <c r="K182" t="e">
        <f>IF(Dashboard!$R$4="All",Data!G733,IF(Data!K733=Dashboard!$R$4,Data!G733,NA()))</f>
        <v>#N/A</v>
      </c>
      <c r="L182" t="str">
        <f t="shared" si="64"/>
        <v/>
      </c>
      <c r="M182" t="str">
        <f t="shared" si="65"/>
        <v/>
      </c>
      <c r="N182" t="str">
        <f t="shared" si="66"/>
        <v/>
      </c>
      <c r="O182" t="str">
        <f>IF(L182&lt;&gt;"",Data!$M733,"")</f>
        <v/>
      </c>
      <c r="T182">
        <f>IF(OR(Dashboard!$P$4="All",Dashboard!$R$4="All"),NA(),IF(OR(Data!K733&lt;&gt;Dashboard!$P$4,Data!K733&lt;&gt;Dashboard!$R$4),Data!G733,NA()))</f>
        <v>83846.362973446114</v>
      </c>
      <c r="U182"/>
      <c r="AI182" s="13" t="s">
        <v>2301</v>
      </c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>
        <v>31000</v>
      </c>
      <c r="AU182" s="8">
        <v>1</v>
      </c>
      <c r="AV182" s="8"/>
      <c r="AW182" s="8"/>
      <c r="AX182" s="8"/>
      <c r="AY182" s="8"/>
      <c r="AZ182" s="8"/>
      <c r="BA182" s="8"/>
      <c r="BB182" s="8"/>
      <c r="BC182" s="8"/>
      <c r="BQ182" s="13" t="s">
        <v>2301</v>
      </c>
      <c r="BR182" s="8"/>
      <c r="BS182" s="8">
        <v>31000</v>
      </c>
      <c r="BT182" s="8"/>
      <c r="BU182" s="8"/>
      <c r="BV182" s="8"/>
    </row>
    <row r="183" spans="2:74">
      <c r="B183" t="e">
        <f>IF(Dashboard!$P$4="All",Data!G734,IF(Data!K734=Dashboard!$P$4,Data!G734,NA()))</f>
        <v>#N/A</v>
      </c>
      <c r="C183" t="str">
        <f t="shared" si="61"/>
        <v/>
      </c>
      <c r="D183" t="str">
        <f t="shared" si="62"/>
        <v/>
      </c>
      <c r="E183" t="str">
        <f t="shared" si="63"/>
        <v/>
      </c>
      <c r="F183" t="str">
        <f>IF(C183&lt;&gt;"",Data!$M734,"")</f>
        <v/>
      </c>
      <c r="K183" t="e">
        <f>IF(Dashboard!$R$4="All",Data!G734,IF(Data!K734=Dashboard!$R$4,Data!G734,NA()))</f>
        <v>#N/A</v>
      </c>
      <c r="L183" t="str">
        <f t="shared" si="64"/>
        <v/>
      </c>
      <c r="M183" t="str">
        <f t="shared" si="65"/>
        <v/>
      </c>
      <c r="N183" t="str">
        <f t="shared" si="66"/>
        <v/>
      </c>
      <c r="O183" t="str">
        <f>IF(L183&lt;&gt;"",Data!$M734,"")</f>
        <v/>
      </c>
      <c r="T183">
        <f>IF(OR(Dashboard!$P$4="All",Dashboard!$R$4="All"),NA(),IF(OR(Data!K734&lt;&gt;Dashboard!$P$4,Data!K734&lt;&gt;Dashboard!$R$4),Data!G734,NA()))</f>
        <v>15000</v>
      </c>
      <c r="U183"/>
      <c r="AI183" s="13" t="s">
        <v>2302</v>
      </c>
      <c r="AJ183" s="8">
        <v>75000</v>
      </c>
      <c r="AK183" s="8">
        <v>1</v>
      </c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Q183" s="13" t="s">
        <v>2302</v>
      </c>
      <c r="BR183" s="8"/>
      <c r="BS183" s="8"/>
      <c r="BT183" s="8">
        <v>75000</v>
      </c>
      <c r="BU183" s="8"/>
      <c r="BV183" s="8"/>
    </row>
    <row r="184" spans="2:74">
      <c r="B184" t="e">
        <f>IF(Dashboard!$P$4="All",Data!G735,IF(Data!K735=Dashboard!$P$4,Data!G735,NA()))</f>
        <v>#N/A</v>
      </c>
      <c r="C184" t="str">
        <f t="shared" si="61"/>
        <v/>
      </c>
      <c r="D184" t="str">
        <f t="shared" si="62"/>
        <v/>
      </c>
      <c r="E184" t="str">
        <f t="shared" si="63"/>
        <v/>
      </c>
      <c r="F184" t="str">
        <f>IF(C184&lt;&gt;"",Data!$M735,"")</f>
        <v/>
      </c>
      <c r="K184" t="e">
        <f>IF(Dashboard!$R$4="All",Data!G735,IF(Data!K735=Dashboard!$R$4,Data!G735,NA()))</f>
        <v>#N/A</v>
      </c>
      <c r="L184" t="str">
        <f t="shared" si="64"/>
        <v/>
      </c>
      <c r="M184" t="str">
        <f t="shared" si="65"/>
        <v/>
      </c>
      <c r="N184" t="str">
        <f t="shared" si="66"/>
        <v/>
      </c>
      <c r="O184" t="str">
        <f>IF(L184&lt;&gt;"",Data!$M735,"")</f>
        <v/>
      </c>
      <c r="T184">
        <f>IF(OR(Dashboard!$P$4="All",Dashboard!$R$4="All"),NA(),IF(OR(Data!K735&lt;&gt;Dashboard!$P$4,Data!K735&lt;&gt;Dashboard!$R$4),Data!G735,NA()))</f>
        <v>10000</v>
      </c>
      <c r="U184"/>
      <c r="AI184" s="13" t="s">
        <v>2303</v>
      </c>
      <c r="AJ184" s="8"/>
      <c r="AK184" s="8"/>
      <c r="AL184" s="8"/>
      <c r="AM184" s="8"/>
      <c r="AN184" s="8"/>
      <c r="AO184" s="8"/>
      <c r="AP184" s="8">
        <v>16000</v>
      </c>
      <c r="AQ184" s="8">
        <v>1</v>
      </c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Q184" s="13" t="s">
        <v>2303</v>
      </c>
      <c r="BR184" s="8">
        <v>16000</v>
      </c>
      <c r="BS184" s="8"/>
      <c r="BT184" s="8"/>
      <c r="BU184" s="8"/>
      <c r="BV184" s="8"/>
    </row>
    <row r="185" spans="2:74">
      <c r="B185" t="e">
        <f>IF(Dashboard!$P$4="All",Data!G736,IF(Data!K736=Dashboard!$P$4,Data!G736,NA()))</f>
        <v>#N/A</v>
      </c>
      <c r="C185" t="str">
        <f t="shared" si="61"/>
        <v/>
      </c>
      <c r="D185" t="str">
        <f t="shared" si="62"/>
        <v/>
      </c>
      <c r="E185" t="str">
        <f t="shared" si="63"/>
        <v/>
      </c>
      <c r="F185" t="str">
        <f>IF(C185&lt;&gt;"",Data!$M736,"")</f>
        <v/>
      </c>
      <c r="K185">
        <f>IF(Dashboard!$R$4="All",Data!G736,IF(Data!K736=Dashboard!$R$4,Data!G736,NA()))</f>
        <v>116637.19213297902</v>
      </c>
      <c r="L185">
        <f t="shared" si="64"/>
        <v>116637.19213297902</v>
      </c>
      <c r="M185">
        <f t="shared" si="65"/>
        <v>116637.19213297902</v>
      </c>
      <c r="N185" t="str">
        <f t="shared" si="66"/>
        <v/>
      </c>
      <c r="O185">
        <f>IF(L185&lt;&gt;"",Data!$M736,"")</f>
        <v>5</v>
      </c>
      <c r="T185">
        <f>IF(OR(Dashboard!$P$4="All",Dashboard!$R$4="All"),NA(),IF(OR(Data!K736&lt;&gt;Dashboard!$P$4,Data!K736&lt;&gt;Dashboard!$R$4),Data!G736,NA()))</f>
        <v>116637.19213297902</v>
      </c>
      <c r="U185"/>
      <c r="AI185" s="13" t="s">
        <v>2304</v>
      </c>
      <c r="AJ185" s="8">
        <v>36000</v>
      </c>
      <c r="AK185" s="8">
        <v>1</v>
      </c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Q185" s="13" t="s">
        <v>2304</v>
      </c>
      <c r="BR185" s="8"/>
      <c r="BS185" s="8"/>
      <c r="BT185" s="8"/>
      <c r="BU185" s="8">
        <v>36000</v>
      </c>
      <c r="BV185" s="8"/>
    </row>
    <row r="186" spans="2:74">
      <c r="B186" t="e">
        <f>IF(Dashboard!$P$4="All",Data!G737,IF(Data!K737=Dashboard!$P$4,Data!G737,NA()))</f>
        <v>#N/A</v>
      </c>
      <c r="C186" t="str">
        <f t="shared" si="61"/>
        <v/>
      </c>
      <c r="D186" t="str">
        <f t="shared" si="62"/>
        <v/>
      </c>
      <c r="E186" t="str">
        <f t="shared" si="63"/>
        <v/>
      </c>
      <c r="F186" t="str">
        <f>IF(C186&lt;&gt;"",Data!$M737,"")</f>
        <v/>
      </c>
      <c r="K186">
        <f>IF(Dashboard!$R$4="All",Data!G737,IF(Data!K737=Dashboard!$R$4,Data!G737,NA()))</f>
        <v>34357.533974522659</v>
      </c>
      <c r="L186">
        <f t="shared" si="64"/>
        <v>34357.533974522659</v>
      </c>
      <c r="M186" t="str">
        <f t="shared" si="65"/>
        <v/>
      </c>
      <c r="N186" t="str">
        <f t="shared" si="66"/>
        <v/>
      </c>
      <c r="O186">
        <f>IF(L186&lt;&gt;"",Data!$M737,"")</f>
        <v>1.5</v>
      </c>
      <c r="T186">
        <f>IF(OR(Dashboard!$P$4="All",Dashboard!$R$4="All"),NA(),IF(OR(Data!K737&lt;&gt;Dashboard!$P$4,Data!K737&lt;&gt;Dashboard!$R$4),Data!G737,NA()))</f>
        <v>34357.533974522659</v>
      </c>
      <c r="U186"/>
      <c r="AI186" s="13" t="s">
        <v>2306</v>
      </c>
      <c r="AJ186" s="8">
        <v>53000</v>
      </c>
      <c r="AK186" s="8">
        <v>1</v>
      </c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Q186" s="13" t="s">
        <v>2306</v>
      </c>
      <c r="BR186" s="8"/>
      <c r="BS186" s="8"/>
      <c r="BT186" s="8">
        <v>53000</v>
      </c>
      <c r="BU186" s="8"/>
      <c r="BV186" s="8"/>
    </row>
    <row r="187" spans="2:74">
      <c r="B187" t="e">
        <f>IF(Dashboard!$P$4="All",Data!G738,IF(Data!K738=Dashboard!$P$4,Data!G738,NA()))</f>
        <v>#N/A</v>
      </c>
      <c r="C187" t="str">
        <f t="shared" si="61"/>
        <v/>
      </c>
      <c r="D187" t="str">
        <f t="shared" si="62"/>
        <v/>
      </c>
      <c r="E187" t="str">
        <f t="shared" si="63"/>
        <v/>
      </c>
      <c r="F187" t="str">
        <f>IF(C187&lt;&gt;"",Data!$M738,"")</f>
        <v/>
      </c>
      <c r="K187">
        <f>IF(Dashboard!$R$4="All",Data!G738,IF(Data!K738=Dashboard!$R$4,Data!G738,NA()))</f>
        <v>102451.58768437347</v>
      </c>
      <c r="L187">
        <f t="shared" si="64"/>
        <v>102451.58768437347</v>
      </c>
      <c r="M187" t="str">
        <f t="shared" si="65"/>
        <v/>
      </c>
      <c r="N187" t="str">
        <f t="shared" si="66"/>
        <v/>
      </c>
      <c r="O187">
        <f>IF(L187&lt;&gt;"",Data!$M738,"")</f>
        <v>15</v>
      </c>
      <c r="T187">
        <f>IF(OR(Dashboard!$P$4="All",Dashboard!$R$4="All"),NA(),IF(OR(Data!K738&lt;&gt;Dashboard!$P$4,Data!K738&lt;&gt;Dashboard!$R$4),Data!G738,NA()))</f>
        <v>102451.58768437347</v>
      </c>
      <c r="U187"/>
      <c r="AI187" s="13" t="s">
        <v>2308</v>
      </c>
      <c r="AJ187" s="8">
        <v>67000</v>
      </c>
      <c r="AK187" s="8">
        <v>1</v>
      </c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Q187" s="13" t="s">
        <v>2308</v>
      </c>
      <c r="BR187" s="8"/>
      <c r="BS187" s="8"/>
      <c r="BT187" s="8">
        <v>67000</v>
      </c>
      <c r="BU187" s="8"/>
      <c r="BV187" s="8"/>
    </row>
    <row r="188" spans="2:74">
      <c r="B188" t="e">
        <f>IF(Dashboard!$P$4="All",Data!G739,IF(Data!K739=Dashboard!$P$4,Data!G739,NA()))</f>
        <v>#N/A</v>
      </c>
      <c r="C188" t="str">
        <f t="shared" si="61"/>
        <v/>
      </c>
      <c r="D188" t="str">
        <f t="shared" si="62"/>
        <v/>
      </c>
      <c r="E188" t="str">
        <f t="shared" si="63"/>
        <v/>
      </c>
      <c r="F188" t="str">
        <f>IF(C188&lt;&gt;"",Data!$M739,"")</f>
        <v/>
      </c>
      <c r="K188" t="e">
        <f>IF(Dashboard!$R$4="All",Data!G739,IF(Data!K739=Dashboard!$R$4,Data!G739,NA()))</f>
        <v>#N/A</v>
      </c>
      <c r="L188" t="str">
        <f t="shared" si="64"/>
        <v/>
      </c>
      <c r="M188" t="str">
        <f t="shared" si="65"/>
        <v/>
      </c>
      <c r="N188" t="str">
        <f t="shared" si="66"/>
        <v/>
      </c>
      <c r="O188" t="str">
        <f>IF(L188&lt;&gt;"",Data!$M739,"")</f>
        <v/>
      </c>
      <c r="T188">
        <f>IF(OR(Dashboard!$P$4="All",Dashboard!$R$4="All"),NA(),IF(OR(Data!K739&lt;&gt;Dashboard!$P$4,Data!K739&lt;&gt;Dashboard!$R$4),Data!G739,NA()))</f>
        <v>16000</v>
      </c>
      <c r="U188"/>
      <c r="AI188" s="13" t="s">
        <v>2310</v>
      </c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>
        <v>85000</v>
      </c>
      <c r="AY188" s="8">
        <v>1</v>
      </c>
      <c r="AZ188" s="8"/>
      <c r="BA188" s="8"/>
      <c r="BB188" s="8"/>
      <c r="BC188" s="8"/>
      <c r="BQ188" s="13" t="s">
        <v>2310</v>
      </c>
      <c r="BR188" s="8"/>
      <c r="BS188" s="8"/>
      <c r="BT188" s="8"/>
      <c r="BU188" s="8">
        <v>85000</v>
      </c>
      <c r="BV188" s="8"/>
    </row>
    <row r="189" spans="2:74">
      <c r="B189" t="e">
        <f>IF(Dashboard!$P$4="All",Data!G740,IF(Data!K740=Dashboard!$P$4,Data!G740,NA()))</f>
        <v>#N/A</v>
      </c>
      <c r="C189" t="str">
        <f t="shared" si="61"/>
        <v/>
      </c>
      <c r="D189" t="str">
        <f t="shared" si="62"/>
        <v/>
      </c>
      <c r="E189" t="str">
        <f t="shared" si="63"/>
        <v/>
      </c>
      <c r="F189" t="str">
        <f>IF(C189&lt;&gt;"",Data!$M740,"")</f>
        <v/>
      </c>
      <c r="K189" t="e">
        <f>IF(Dashboard!$R$4="All",Data!G740,IF(Data!K740=Dashboard!$R$4,Data!G740,NA()))</f>
        <v>#N/A</v>
      </c>
      <c r="L189" t="str">
        <f t="shared" si="64"/>
        <v/>
      </c>
      <c r="M189" t="str">
        <f t="shared" si="65"/>
        <v/>
      </c>
      <c r="N189" t="str">
        <f t="shared" si="66"/>
        <v/>
      </c>
      <c r="O189" t="str">
        <f>IF(L189&lt;&gt;"",Data!$M740,"")</f>
        <v/>
      </c>
      <c r="T189">
        <f>IF(OR(Dashboard!$P$4="All",Dashboard!$R$4="All"),NA(),IF(OR(Data!K740&lt;&gt;Dashboard!$P$4,Data!K740&lt;&gt;Dashboard!$R$4),Data!G740,NA()))</f>
        <v>6000</v>
      </c>
      <c r="U189"/>
      <c r="AI189" s="13" t="s">
        <v>2312</v>
      </c>
      <c r="AJ189" s="8"/>
      <c r="AK189" s="8"/>
      <c r="AL189" s="8">
        <v>40000</v>
      </c>
      <c r="AM189" s="8">
        <v>1</v>
      </c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Q189" s="13" t="s">
        <v>2312</v>
      </c>
      <c r="BR189" s="8"/>
      <c r="BS189" s="8"/>
      <c r="BT189" s="8">
        <v>40000</v>
      </c>
      <c r="BU189" s="8"/>
      <c r="BV189" s="8"/>
    </row>
    <row r="190" spans="2:74">
      <c r="B190" t="e">
        <f>IF(Dashboard!$P$4="All",Data!G741,IF(Data!K741=Dashboard!$P$4,Data!G741,NA()))</f>
        <v>#N/A</v>
      </c>
      <c r="C190" t="str">
        <f t="shared" si="61"/>
        <v/>
      </c>
      <c r="D190" t="str">
        <f t="shared" si="62"/>
        <v/>
      </c>
      <c r="E190" t="str">
        <f t="shared" si="63"/>
        <v/>
      </c>
      <c r="F190" t="str">
        <f>IF(C190&lt;&gt;"",Data!$M741,"")</f>
        <v/>
      </c>
      <c r="K190" t="e">
        <f>IF(Dashboard!$R$4="All",Data!G741,IF(Data!K741=Dashboard!$R$4,Data!G741,NA()))</f>
        <v>#N/A</v>
      </c>
      <c r="L190" t="str">
        <f t="shared" si="64"/>
        <v/>
      </c>
      <c r="M190" t="str">
        <f t="shared" si="65"/>
        <v/>
      </c>
      <c r="N190" t="str">
        <f t="shared" si="66"/>
        <v/>
      </c>
      <c r="O190" t="str">
        <f>IF(L190&lt;&gt;"",Data!$M741,"")</f>
        <v/>
      </c>
      <c r="T190">
        <f>IF(OR(Dashboard!$P$4="All",Dashboard!$R$4="All"),NA(),IF(OR(Data!K741&lt;&gt;Dashboard!$P$4,Data!K741&lt;&gt;Dashboard!$R$4),Data!G741,NA()))</f>
        <v>6410.8500074793246</v>
      </c>
      <c r="U190"/>
      <c r="AI190" s="13" t="s">
        <v>2314</v>
      </c>
      <c r="AJ190" s="8">
        <v>41000</v>
      </c>
      <c r="AK190" s="8">
        <v>1</v>
      </c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Q190" s="13" t="s">
        <v>2314</v>
      </c>
      <c r="BR190" s="8"/>
      <c r="BS190" s="8"/>
      <c r="BT190" s="8">
        <v>41000</v>
      </c>
      <c r="BU190" s="8"/>
      <c r="BV190" s="8"/>
    </row>
    <row r="191" spans="2:74">
      <c r="B191" t="e">
        <f>IF(Dashboard!$P$4="All",Data!G742,IF(Data!K742=Dashboard!$P$4,Data!G742,NA()))</f>
        <v>#N/A</v>
      </c>
      <c r="C191" t="str">
        <f t="shared" si="61"/>
        <v/>
      </c>
      <c r="D191" t="str">
        <f t="shared" si="62"/>
        <v/>
      </c>
      <c r="E191" t="str">
        <f t="shared" si="63"/>
        <v/>
      </c>
      <c r="F191" t="str">
        <f>IF(C191&lt;&gt;"",Data!$M742,"")</f>
        <v/>
      </c>
      <c r="K191" t="e">
        <f>IF(Dashboard!$R$4="All",Data!G742,IF(Data!K742=Dashboard!$R$4,Data!G742,NA()))</f>
        <v>#N/A</v>
      </c>
      <c r="L191" t="str">
        <f t="shared" si="64"/>
        <v/>
      </c>
      <c r="M191" t="str">
        <f t="shared" si="65"/>
        <v/>
      </c>
      <c r="N191" t="str">
        <f t="shared" si="66"/>
        <v/>
      </c>
      <c r="O191" t="str">
        <f>IF(L191&lt;&gt;"",Data!$M742,"")</f>
        <v/>
      </c>
      <c r="T191">
        <f>IF(OR(Dashboard!$P$4="All",Dashboard!$R$4="All"),NA(),IF(OR(Data!K742&lt;&gt;Dashboard!$P$4,Data!K742&lt;&gt;Dashboard!$R$4),Data!G742,NA()))</f>
        <v>36000</v>
      </c>
      <c r="U191"/>
      <c r="AI191" s="13" t="s">
        <v>2316</v>
      </c>
      <c r="AJ191" s="8"/>
      <c r="AK191" s="8"/>
      <c r="AL191" s="8">
        <v>125000</v>
      </c>
      <c r="AM191" s="8">
        <v>1</v>
      </c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Q191" s="13" t="s">
        <v>2316</v>
      </c>
      <c r="BR191" s="8"/>
      <c r="BS191" s="8"/>
      <c r="BT191" s="8">
        <v>125000</v>
      </c>
      <c r="BU191" s="8"/>
      <c r="BV191" s="8"/>
    </row>
    <row r="192" spans="2:74">
      <c r="B192" t="e">
        <f>IF(Dashboard!$P$4="All",Data!G743,IF(Data!K743=Dashboard!$P$4,Data!G743,NA()))</f>
        <v>#N/A</v>
      </c>
      <c r="C192" t="str">
        <f t="shared" si="61"/>
        <v/>
      </c>
      <c r="D192" t="str">
        <f t="shared" si="62"/>
        <v/>
      </c>
      <c r="E192" t="str">
        <f t="shared" si="63"/>
        <v/>
      </c>
      <c r="F192" t="str">
        <f>IF(C192&lt;&gt;"",Data!$M743,"")</f>
        <v/>
      </c>
      <c r="K192" t="e">
        <f>IF(Dashboard!$R$4="All",Data!G743,IF(Data!K743=Dashboard!$R$4,Data!G743,NA()))</f>
        <v>#N/A</v>
      </c>
      <c r="L192" t="str">
        <f t="shared" si="64"/>
        <v/>
      </c>
      <c r="M192" t="str">
        <f t="shared" si="65"/>
        <v/>
      </c>
      <c r="N192" t="str">
        <f t="shared" si="66"/>
        <v/>
      </c>
      <c r="O192" t="str">
        <f>IF(L192&lt;&gt;"",Data!$M743,"")</f>
        <v/>
      </c>
      <c r="T192">
        <f>IF(OR(Dashboard!$P$4="All",Dashboard!$R$4="All"),NA(),IF(OR(Data!K743&lt;&gt;Dashboard!$P$4,Data!K743&lt;&gt;Dashboard!$R$4),Data!G743,NA()))</f>
        <v>20000</v>
      </c>
      <c r="U192"/>
      <c r="AI192" s="13" t="s">
        <v>2319</v>
      </c>
      <c r="AJ192" s="8">
        <v>70000</v>
      </c>
      <c r="AK192" s="8">
        <v>1</v>
      </c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Q192" s="13" t="s">
        <v>2319</v>
      </c>
      <c r="BR192" s="8"/>
      <c r="BS192" s="8">
        <v>70000</v>
      </c>
      <c r="BT192" s="8"/>
      <c r="BU192" s="8"/>
      <c r="BV192" s="8"/>
    </row>
    <row r="193" spans="2:74">
      <c r="B193" t="e">
        <f>IF(Dashboard!$P$4="All",Data!G744,IF(Data!K744=Dashboard!$P$4,Data!G744,NA()))</f>
        <v>#N/A</v>
      </c>
      <c r="C193" t="str">
        <f t="shared" si="61"/>
        <v/>
      </c>
      <c r="D193" t="str">
        <f t="shared" si="62"/>
        <v/>
      </c>
      <c r="E193" t="str">
        <f t="shared" si="63"/>
        <v/>
      </c>
      <c r="F193" t="str">
        <f>IF(C193&lt;&gt;"",Data!$M744,"")</f>
        <v/>
      </c>
      <c r="K193" t="e">
        <f>IF(Dashboard!$R$4="All",Data!G744,IF(Data!K744=Dashboard!$R$4,Data!G744,NA()))</f>
        <v>#N/A</v>
      </c>
      <c r="L193" t="str">
        <f t="shared" si="64"/>
        <v/>
      </c>
      <c r="M193" t="str">
        <f t="shared" si="65"/>
        <v/>
      </c>
      <c r="N193" t="str">
        <f t="shared" si="66"/>
        <v/>
      </c>
      <c r="O193" t="str">
        <f>IF(L193&lt;&gt;"",Data!$M744,"")</f>
        <v/>
      </c>
      <c r="T193">
        <f>IF(OR(Dashboard!$P$4="All",Dashboard!$R$4="All"),NA(),IF(OR(Data!K744&lt;&gt;Dashboard!$P$4,Data!K744&lt;&gt;Dashboard!$R$4),Data!G744,NA()))</f>
        <v>4273.9000049862161</v>
      </c>
      <c r="U193"/>
      <c r="AI193" s="13" t="s">
        <v>2320</v>
      </c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>
        <v>400000</v>
      </c>
      <c r="AU193" s="8">
        <v>1</v>
      </c>
      <c r="AV193" s="8"/>
      <c r="AW193" s="8"/>
      <c r="AX193" s="8"/>
      <c r="AY193" s="8"/>
      <c r="AZ193" s="8"/>
      <c r="BA193" s="8"/>
      <c r="BB193" s="8"/>
      <c r="BC193" s="8"/>
      <c r="BQ193" s="13" t="s">
        <v>2320</v>
      </c>
      <c r="BR193" s="8"/>
      <c r="BS193" s="8"/>
      <c r="BT193" s="8"/>
      <c r="BU193" s="8">
        <v>400000</v>
      </c>
      <c r="BV193" s="8"/>
    </row>
    <row r="194" spans="2:74">
      <c r="B194" t="e">
        <f>IF(Dashboard!$P$4="All",Data!G745,IF(Data!K745=Dashboard!$P$4,Data!G745,NA()))</f>
        <v>#N/A</v>
      </c>
      <c r="C194" t="str">
        <f t="shared" si="61"/>
        <v/>
      </c>
      <c r="D194" t="str">
        <f t="shared" si="62"/>
        <v/>
      </c>
      <c r="E194" t="str">
        <f t="shared" si="63"/>
        <v/>
      </c>
      <c r="F194" t="str">
        <f>IF(C194&lt;&gt;"",Data!$M745,"")</f>
        <v/>
      </c>
      <c r="K194">
        <f>IF(Dashboard!$R$4="All",Data!G745,IF(Data!K745=Dashboard!$R$4,Data!G745,NA()))</f>
        <v>37828.278529614821</v>
      </c>
      <c r="L194">
        <f t="shared" si="64"/>
        <v>37828.278529614821</v>
      </c>
      <c r="M194" t="str">
        <f t="shared" si="65"/>
        <v/>
      </c>
      <c r="N194" t="str">
        <f t="shared" si="66"/>
        <v/>
      </c>
      <c r="O194">
        <f>IF(L194&lt;&gt;"",Data!$M745,"")</f>
        <v>8</v>
      </c>
      <c r="T194">
        <f>IF(OR(Dashboard!$P$4="All",Dashboard!$R$4="All"),NA(),IF(OR(Data!K745&lt;&gt;Dashboard!$P$4,Data!K745&lt;&gt;Dashboard!$R$4),Data!G745,NA()))</f>
        <v>37828.278529614821</v>
      </c>
      <c r="U194"/>
      <c r="AI194" s="13" t="s">
        <v>2321</v>
      </c>
      <c r="AJ194" s="8">
        <v>55000</v>
      </c>
      <c r="AK194" s="8">
        <v>1</v>
      </c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Q194" s="13" t="s">
        <v>2321</v>
      </c>
      <c r="BR194" s="8"/>
      <c r="BS194" s="8"/>
      <c r="BT194" s="8">
        <v>55000</v>
      </c>
      <c r="BU194" s="8"/>
      <c r="BV194" s="8"/>
    </row>
    <row r="195" spans="2:74">
      <c r="B195" t="e">
        <f>IF(Dashboard!$P$4="All",Data!G746,IF(Data!K746=Dashboard!$P$4,Data!G746,NA()))</f>
        <v>#N/A</v>
      </c>
      <c r="C195" t="str">
        <f t="shared" si="61"/>
        <v/>
      </c>
      <c r="D195" t="str">
        <f t="shared" si="62"/>
        <v/>
      </c>
      <c r="E195" t="str">
        <f t="shared" si="63"/>
        <v/>
      </c>
      <c r="F195" t="str">
        <f>IF(C195&lt;&gt;"",Data!$M746,"")</f>
        <v/>
      </c>
      <c r="K195" t="e">
        <f>IF(Dashboard!$R$4="All",Data!G746,IF(Data!K746=Dashboard!$R$4,Data!G746,NA()))</f>
        <v>#N/A</v>
      </c>
      <c r="L195" t="str">
        <f t="shared" si="64"/>
        <v/>
      </c>
      <c r="M195" t="str">
        <f t="shared" si="65"/>
        <v/>
      </c>
      <c r="N195" t="str">
        <f t="shared" si="66"/>
        <v/>
      </c>
      <c r="O195" t="str">
        <f>IF(L195&lt;&gt;"",Data!$M746,"")</f>
        <v/>
      </c>
      <c r="T195">
        <f>IF(OR(Dashboard!$P$4="All",Dashboard!$R$4="All"),NA(),IF(OR(Data!K746&lt;&gt;Dashboard!$P$4,Data!K746&lt;&gt;Dashboard!$R$4),Data!G746,NA()))</f>
        <v>11000</v>
      </c>
      <c r="U195"/>
      <c r="AI195" s="13" t="s">
        <v>2322</v>
      </c>
      <c r="AJ195" s="8">
        <v>60000</v>
      </c>
      <c r="AK195" s="8">
        <v>1</v>
      </c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Q195" s="13" t="s">
        <v>2322</v>
      </c>
      <c r="BR195" s="8"/>
      <c r="BS195" s="8"/>
      <c r="BT195" s="8">
        <v>60000</v>
      </c>
      <c r="BU195" s="8"/>
      <c r="BV195" s="8"/>
    </row>
    <row r="196" spans="2:74">
      <c r="B196" t="e">
        <f>IF(Dashboard!$P$4="All",Data!G747,IF(Data!K747=Dashboard!$P$4,Data!G747,NA()))</f>
        <v>#N/A</v>
      </c>
      <c r="C196" t="str">
        <f t="shared" ref="C196:C259" si="67">IF(ISNA(B196),"",B196)</f>
        <v/>
      </c>
      <c r="D196" t="str">
        <f t="shared" ref="D196:D259" si="68">IF(C196&gt;=PERCENTILE($C$3:$C$1337,0.9),C196,"")</f>
        <v/>
      </c>
      <c r="E196" t="str">
        <f t="shared" ref="E196:E259" si="69">IF(C196&lt;=PERCENTILE($C$3:$C$1337,0.1),C196,"")</f>
        <v/>
      </c>
      <c r="F196" t="str">
        <f>IF(C196&lt;&gt;"",Data!$M747,"")</f>
        <v/>
      </c>
      <c r="K196" t="e">
        <f>IF(Dashboard!$R$4="All",Data!G747,IF(Data!K747=Dashboard!$R$4,Data!G747,NA()))</f>
        <v>#N/A</v>
      </c>
      <c r="L196" t="str">
        <f t="shared" ref="L196:L259" si="70">IF(ISNA(K196),"",K196)</f>
        <v/>
      </c>
      <c r="M196" t="str">
        <f t="shared" ref="M196:M259" si="71">IF(L196&gt;=PERCENTILE($L$3:$L$1337,0.9),L196,"")</f>
        <v/>
      </c>
      <c r="N196" t="str">
        <f t="shared" ref="N196:N259" si="72">IF(L196&lt;=PERCENTILE($L$3:$L$1337,0.1),L196,"")</f>
        <v/>
      </c>
      <c r="O196" t="str">
        <f>IF(L196&lt;&gt;"",Data!$M747,"")</f>
        <v/>
      </c>
      <c r="T196">
        <f>IF(OR(Dashboard!$P$4="All",Dashboard!$R$4="All"),NA(),IF(OR(Data!K747&lt;&gt;Dashboard!$P$4,Data!K747&lt;&gt;Dashboard!$R$4),Data!G747,NA()))</f>
        <v>8000</v>
      </c>
      <c r="U196"/>
      <c r="AI196" s="13" t="s">
        <v>2325</v>
      </c>
      <c r="AJ196" s="8">
        <v>137500</v>
      </c>
      <c r="AK196" s="8">
        <v>1</v>
      </c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Q196" s="13" t="s">
        <v>2325</v>
      </c>
      <c r="BR196" s="8"/>
      <c r="BS196" s="8"/>
      <c r="BT196" s="8">
        <v>137500</v>
      </c>
      <c r="BU196" s="8"/>
      <c r="BV196" s="8"/>
    </row>
    <row r="197" spans="2:74">
      <c r="B197" t="e">
        <f>IF(Dashboard!$P$4="All",Data!G748,IF(Data!K748=Dashboard!$P$4,Data!G748,NA()))</f>
        <v>#N/A</v>
      </c>
      <c r="C197" t="str">
        <f t="shared" si="67"/>
        <v/>
      </c>
      <c r="D197" t="str">
        <f t="shared" si="68"/>
        <v/>
      </c>
      <c r="E197" t="str">
        <f t="shared" si="69"/>
        <v/>
      </c>
      <c r="F197" t="str">
        <f>IF(C197&lt;&gt;"",Data!$M748,"")</f>
        <v/>
      </c>
      <c r="K197" t="e">
        <f>IF(Dashboard!$R$4="All",Data!G748,IF(Data!K748=Dashboard!$R$4,Data!G748,NA()))</f>
        <v>#N/A</v>
      </c>
      <c r="L197" t="str">
        <f t="shared" si="70"/>
        <v/>
      </c>
      <c r="M197" t="str">
        <f t="shared" si="71"/>
        <v/>
      </c>
      <c r="N197" t="str">
        <f t="shared" si="72"/>
        <v/>
      </c>
      <c r="O197" t="str">
        <f>IF(L197&lt;&gt;"",Data!$M748,"")</f>
        <v/>
      </c>
      <c r="T197">
        <f>IF(OR(Dashboard!$P$4="All",Dashboard!$R$4="All"),NA(),IF(OR(Data!K748&lt;&gt;Dashboard!$P$4,Data!K748&lt;&gt;Dashboard!$R$4),Data!G748,NA()))</f>
        <v>4006.7812546745777</v>
      </c>
      <c r="U197"/>
      <c r="AI197" s="13" t="s">
        <v>2328</v>
      </c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>
        <v>47000</v>
      </c>
      <c r="AU197" s="8">
        <v>1</v>
      </c>
      <c r="AV197" s="8"/>
      <c r="AW197" s="8"/>
      <c r="AX197" s="8"/>
      <c r="AY197" s="8"/>
      <c r="AZ197" s="8"/>
      <c r="BA197" s="8"/>
      <c r="BB197" s="8"/>
      <c r="BC197" s="8"/>
      <c r="BQ197" s="13" t="s">
        <v>2328</v>
      </c>
      <c r="BR197" s="8"/>
      <c r="BS197" s="8"/>
      <c r="BT197" s="8">
        <v>47000</v>
      </c>
      <c r="BU197" s="8"/>
      <c r="BV197" s="8"/>
    </row>
    <row r="198" spans="2:74">
      <c r="B198" t="e">
        <f>IF(Dashboard!$P$4="All",Data!G749,IF(Data!K749=Dashboard!$P$4,Data!G749,NA()))</f>
        <v>#N/A</v>
      </c>
      <c r="C198" t="str">
        <f t="shared" si="67"/>
        <v/>
      </c>
      <c r="D198" t="str">
        <f t="shared" si="68"/>
        <v/>
      </c>
      <c r="E198" t="str">
        <f t="shared" si="69"/>
        <v/>
      </c>
      <c r="F198" t="str">
        <f>IF(C198&lt;&gt;"",Data!$M749,"")</f>
        <v/>
      </c>
      <c r="K198" t="e">
        <f>IF(Dashboard!$R$4="All",Data!G749,IF(Data!K749=Dashboard!$R$4,Data!G749,NA()))</f>
        <v>#N/A</v>
      </c>
      <c r="L198" t="str">
        <f t="shared" si="70"/>
        <v/>
      </c>
      <c r="M198" t="str">
        <f t="shared" si="71"/>
        <v/>
      </c>
      <c r="N198" t="str">
        <f t="shared" si="72"/>
        <v/>
      </c>
      <c r="O198" t="str">
        <f>IF(L198&lt;&gt;"",Data!$M749,"")</f>
        <v/>
      </c>
      <c r="T198">
        <f>IF(OR(Dashboard!$P$4="All",Dashboard!$R$4="All"),NA(),IF(OR(Data!K749&lt;&gt;Dashboard!$P$4,Data!K749&lt;&gt;Dashboard!$R$4),Data!G749,NA()))</f>
        <v>9171.0323574730355</v>
      </c>
      <c r="U198"/>
      <c r="AI198" s="13" t="s">
        <v>2329</v>
      </c>
      <c r="AJ198" s="8">
        <v>65000</v>
      </c>
      <c r="AK198" s="8">
        <v>1</v>
      </c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Q198" s="13" t="s">
        <v>2329</v>
      </c>
      <c r="BR198" s="8"/>
      <c r="BS198" s="8"/>
      <c r="BT198" s="8"/>
      <c r="BU198" s="8">
        <v>65000</v>
      </c>
      <c r="BV198" s="8"/>
    </row>
    <row r="199" spans="2:74">
      <c r="B199" t="e">
        <f>IF(Dashboard!$P$4="All",Data!G750,IF(Data!K750=Dashboard!$P$4,Data!G750,NA()))</f>
        <v>#N/A</v>
      </c>
      <c r="C199" t="str">
        <f t="shared" si="67"/>
        <v/>
      </c>
      <c r="D199" t="str">
        <f t="shared" si="68"/>
        <v/>
      </c>
      <c r="E199" t="str">
        <f t="shared" si="69"/>
        <v/>
      </c>
      <c r="F199" t="str">
        <f>IF(C199&lt;&gt;"",Data!$M750,"")</f>
        <v/>
      </c>
      <c r="K199" t="e">
        <f>IF(Dashboard!$R$4="All",Data!G750,IF(Data!K750=Dashboard!$R$4,Data!G750,NA()))</f>
        <v>#N/A</v>
      </c>
      <c r="L199" t="str">
        <f t="shared" si="70"/>
        <v/>
      </c>
      <c r="M199" t="str">
        <f t="shared" si="71"/>
        <v/>
      </c>
      <c r="N199" t="str">
        <f t="shared" si="72"/>
        <v/>
      </c>
      <c r="O199" t="str">
        <f>IF(L199&lt;&gt;"",Data!$M750,"")</f>
        <v/>
      </c>
      <c r="T199">
        <f>IF(OR(Dashboard!$P$4="All",Dashboard!$R$4="All"),NA(),IF(OR(Data!K750&lt;&gt;Dashboard!$P$4,Data!K750&lt;&gt;Dashboard!$R$4),Data!G750,NA()))</f>
        <v>4273.9000049862161</v>
      </c>
      <c r="U199"/>
      <c r="AI199" s="13" t="s">
        <v>2331</v>
      </c>
      <c r="AJ199" s="8"/>
      <c r="AK199" s="8"/>
      <c r="AL199" s="8">
        <v>92000</v>
      </c>
      <c r="AM199" s="8">
        <v>1</v>
      </c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Q199" s="13" t="s">
        <v>2331</v>
      </c>
      <c r="BR199" s="8"/>
      <c r="BS199" s="8"/>
      <c r="BT199" s="8">
        <v>92000</v>
      </c>
      <c r="BU199" s="8"/>
      <c r="BV199" s="8"/>
    </row>
    <row r="200" spans="2:74">
      <c r="B200" t="e">
        <f>IF(Dashboard!$P$4="All",Data!G751,IF(Data!K751=Dashboard!$P$4,Data!G751,NA()))</f>
        <v>#N/A</v>
      </c>
      <c r="C200" t="str">
        <f t="shared" si="67"/>
        <v/>
      </c>
      <c r="D200" t="str">
        <f t="shared" si="68"/>
        <v/>
      </c>
      <c r="E200" t="str">
        <f t="shared" si="69"/>
        <v/>
      </c>
      <c r="F200" t="str">
        <f>IF(C200&lt;&gt;"",Data!$M751,"")</f>
        <v/>
      </c>
      <c r="K200" t="e">
        <f>IF(Dashboard!$R$4="All",Data!G751,IF(Data!K751=Dashboard!$R$4,Data!G751,NA()))</f>
        <v>#N/A</v>
      </c>
      <c r="L200" t="str">
        <f t="shared" si="70"/>
        <v/>
      </c>
      <c r="M200" t="str">
        <f t="shared" si="71"/>
        <v/>
      </c>
      <c r="N200" t="str">
        <f t="shared" si="72"/>
        <v/>
      </c>
      <c r="O200" t="str">
        <f>IF(L200&lt;&gt;"",Data!$M751,"")</f>
        <v/>
      </c>
      <c r="T200">
        <f>IF(OR(Dashboard!$P$4="All",Dashboard!$R$4="All"),NA(),IF(OR(Data!K751&lt;&gt;Dashboard!$P$4,Data!K751&lt;&gt;Dashboard!$R$4),Data!G751,NA()))</f>
        <v>12465.541681209797</v>
      </c>
      <c r="U200"/>
      <c r="AI200" s="13" t="s">
        <v>2333</v>
      </c>
      <c r="AJ200" s="8"/>
      <c r="AK200" s="8"/>
      <c r="AL200" s="8">
        <v>108000</v>
      </c>
      <c r="AM200" s="8">
        <v>1</v>
      </c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Q200" s="13" t="s">
        <v>2333</v>
      </c>
      <c r="BR200" s="8"/>
      <c r="BS200" s="8">
        <v>108000</v>
      </c>
      <c r="BT200" s="8"/>
      <c r="BU200" s="8"/>
      <c r="BV200" s="8"/>
    </row>
    <row r="201" spans="2:74">
      <c r="B201" t="e">
        <f>IF(Dashboard!$P$4="All",Data!G752,IF(Data!K752=Dashboard!$P$4,Data!G752,NA()))</f>
        <v>#N/A</v>
      </c>
      <c r="C201" t="str">
        <f t="shared" si="67"/>
        <v/>
      </c>
      <c r="D201" t="str">
        <f t="shared" si="68"/>
        <v/>
      </c>
      <c r="E201" t="str">
        <f t="shared" si="69"/>
        <v/>
      </c>
      <c r="F201" t="str">
        <f>IF(C201&lt;&gt;"",Data!$M752,"")</f>
        <v/>
      </c>
      <c r="K201" t="e">
        <f>IF(Dashboard!$R$4="All",Data!G752,IF(Data!K752=Dashboard!$R$4,Data!G752,NA()))</f>
        <v>#N/A</v>
      </c>
      <c r="L201" t="str">
        <f t="shared" si="70"/>
        <v/>
      </c>
      <c r="M201" t="str">
        <f t="shared" si="71"/>
        <v/>
      </c>
      <c r="N201" t="str">
        <f t="shared" si="72"/>
        <v/>
      </c>
      <c r="O201" t="str">
        <f>IF(L201&lt;&gt;"",Data!$M752,"")</f>
        <v/>
      </c>
      <c r="T201">
        <f>IF(OR(Dashboard!$P$4="All",Dashboard!$R$4="All"),NA(),IF(OR(Data!K752&lt;&gt;Dashboard!$P$4,Data!K752&lt;&gt;Dashboard!$R$4),Data!G752,NA()))</f>
        <v>24000</v>
      </c>
      <c r="U201"/>
      <c r="AI201" s="13" t="s">
        <v>2334</v>
      </c>
      <c r="AJ201" s="8">
        <v>61000</v>
      </c>
      <c r="AK201" s="8">
        <v>1</v>
      </c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Q201" s="13" t="s">
        <v>2334</v>
      </c>
      <c r="BR201" s="8">
        <v>61000</v>
      </c>
      <c r="BS201" s="8"/>
      <c r="BT201" s="8"/>
      <c r="BU201" s="8"/>
      <c r="BV201" s="8"/>
    </row>
    <row r="202" spans="2:74">
      <c r="B202" t="e">
        <f>IF(Dashboard!$P$4="All",Data!G753,IF(Data!K753=Dashboard!$P$4,Data!G753,NA()))</f>
        <v>#N/A</v>
      </c>
      <c r="C202" t="str">
        <f t="shared" si="67"/>
        <v/>
      </c>
      <c r="D202" t="str">
        <f t="shared" si="68"/>
        <v/>
      </c>
      <c r="E202" t="str">
        <f t="shared" si="69"/>
        <v/>
      </c>
      <c r="F202" t="str">
        <f>IF(C202&lt;&gt;"",Data!$M753,"")</f>
        <v/>
      </c>
      <c r="K202" t="e">
        <f>IF(Dashboard!$R$4="All",Data!G753,IF(Data!K753=Dashboard!$R$4,Data!G753,NA()))</f>
        <v>#N/A</v>
      </c>
      <c r="L202" t="str">
        <f t="shared" si="70"/>
        <v/>
      </c>
      <c r="M202" t="str">
        <f t="shared" si="71"/>
        <v/>
      </c>
      <c r="N202" t="str">
        <f t="shared" si="72"/>
        <v/>
      </c>
      <c r="O202" t="str">
        <f>IF(L202&lt;&gt;"",Data!$M753,"")</f>
        <v/>
      </c>
      <c r="T202">
        <f>IF(OR(Dashboard!$P$4="All",Dashboard!$R$4="All"),NA(),IF(OR(Data!K753&lt;&gt;Dashboard!$P$4,Data!K753&lt;&gt;Dashboard!$R$4),Data!G753,NA()))</f>
        <v>20000</v>
      </c>
      <c r="U202"/>
      <c r="AI202" s="13" t="s">
        <v>2336</v>
      </c>
      <c r="AJ202" s="8">
        <v>50000</v>
      </c>
      <c r="AK202" s="8">
        <v>1</v>
      </c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Q202" s="13" t="s">
        <v>2336</v>
      </c>
      <c r="BR202" s="8"/>
      <c r="BS202" s="8"/>
      <c r="BT202" s="8"/>
      <c r="BU202" s="8">
        <v>50000</v>
      </c>
      <c r="BV202" s="8"/>
    </row>
    <row r="203" spans="2:74">
      <c r="B203" t="e">
        <f>IF(Dashboard!$P$4="All",Data!G754,IF(Data!K754=Dashboard!$P$4,Data!G754,NA()))</f>
        <v>#N/A</v>
      </c>
      <c r="C203" t="str">
        <f t="shared" si="67"/>
        <v/>
      </c>
      <c r="D203" t="str">
        <f t="shared" si="68"/>
        <v/>
      </c>
      <c r="E203" t="str">
        <f t="shared" si="69"/>
        <v/>
      </c>
      <c r="F203" t="str">
        <f>IF(C203&lt;&gt;"",Data!$M754,"")</f>
        <v/>
      </c>
      <c r="K203" t="e">
        <f>IF(Dashboard!$R$4="All",Data!G754,IF(Data!K754=Dashboard!$R$4,Data!G754,NA()))</f>
        <v>#N/A</v>
      </c>
      <c r="L203" t="str">
        <f t="shared" si="70"/>
        <v/>
      </c>
      <c r="M203" t="str">
        <f t="shared" si="71"/>
        <v/>
      </c>
      <c r="N203" t="str">
        <f t="shared" si="72"/>
        <v/>
      </c>
      <c r="O203" t="str">
        <f>IF(L203&lt;&gt;"",Data!$M754,"")</f>
        <v/>
      </c>
      <c r="T203">
        <f>IF(OR(Dashboard!$P$4="All",Dashboard!$R$4="All"),NA(),IF(OR(Data!K754&lt;&gt;Dashboard!$P$4,Data!K754&lt;&gt;Dashboard!$R$4),Data!G754,NA()))</f>
        <v>62000</v>
      </c>
      <c r="U203"/>
      <c r="AI203" s="13" t="s">
        <v>2337</v>
      </c>
      <c r="AJ203" s="8"/>
      <c r="AK203" s="8"/>
      <c r="AL203" s="8"/>
      <c r="AM203" s="8"/>
      <c r="AN203" s="8">
        <v>150000</v>
      </c>
      <c r="AO203" s="8">
        <v>1</v>
      </c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Q203" s="13" t="s">
        <v>2337</v>
      </c>
      <c r="BR203" s="8"/>
      <c r="BS203" s="8"/>
      <c r="BT203" s="8"/>
      <c r="BU203" s="8">
        <v>150000</v>
      </c>
      <c r="BV203" s="8"/>
    </row>
    <row r="204" spans="2:74">
      <c r="B204" t="e">
        <f>IF(Dashboard!$P$4="All",Data!G755,IF(Data!K755=Dashboard!$P$4,Data!G755,NA()))</f>
        <v>#N/A</v>
      </c>
      <c r="C204" t="str">
        <f t="shared" si="67"/>
        <v/>
      </c>
      <c r="D204" t="str">
        <f t="shared" si="68"/>
        <v/>
      </c>
      <c r="E204" t="str">
        <f t="shared" si="69"/>
        <v/>
      </c>
      <c r="F204" t="str">
        <f>IF(C204&lt;&gt;"",Data!$M755,"")</f>
        <v/>
      </c>
      <c r="K204" t="e">
        <f>IF(Dashboard!$R$4="All",Data!G755,IF(Data!K755=Dashboard!$R$4,Data!G755,NA()))</f>
        <v>#N/A</v>
      </c>
      <c r="L204" t="str">
        <f t="shared" si="70"/>
        <v/>
      </c>
      <c r="M204" t="str">
        <f t="shared" si="71"/>
        <v/>
      </c>
      <c r="N204" t="str">
        <f t="shared" si="72"/>
        <v/>
      </c>
      <c r="O204" t="str">
        <f>IF(L204&lt;&gt;"",Data!$M755,"")</f>
        <v/>
      </c>
      <c r="T204">
        <f>IF(OR(Dashboard!$P$4="All",Dashboard!$R$4="All"),NA(),IF(OR(Data!K755&lt;&gt;Dashboard!$P$4,Data!K755&lt;&gt;Dashboard!$R$4),Data!G755,NA()))</f>
        <v>14960</v>
      </c>
      <c r="U204"/>
      <c r="AI204" s="13" t="s">
        <v>2340</v>
      </c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>
        <v>45000</v>
      </c>
      <c r="AU204" s="8">
        <v>1</v>
      </c>
      <c r="AV204" s="8"/>
      <c r="AW204" s="8"/>
      <c r="AX204" s="8"/>
      <c r="AY204" s="8"/>
      <c r="AZ204" s="8"/>
      <c r="BA204" s="8"/>
      <c r="BB204" s="8"/>
      <c r="BC204" s="8"/>
      <c r="BQ204" s="13" t="s">
        <v>2340</v>
      </c>
      <c r="BR204" s="8"/>
      <c r="BS204" s="8"/>
      <c r="BT204" s="8">
        <v>45000</v>
      </c>
      <c r="BU204" s="8"/>
      <c r="BV204" s="8"/>
    </row>
    <row r="205" spans="2:74">
      <c r="B205" t="e">
        <f>IF(Dashboard!$P$4="All",Data!G756,IF(Data!K756=Dashboard!$P$4,Data!G756,NA()))</f>
        <v>#N/A</v>
      </c>
      <c r="C205" t="str">
        <f t="shared" si="67"/>
        <v/>
      </c>
      <c r="D205" t="str">
        <f t="shared" si="68"/>
        <v/>
      </c>
      <c r="E205" t="str">
        <f t="shared" si="69"/>
        <v/>
      </c>
      <c r="F205" t="str">
        <f>IF(C205&lt;&gt;"",Data!$M756,"")</f>
        <v/>
      </c>
      <c r="K205" t="e">
        <f>IF(Dashboard!$R$4="All",Data!G756,IF(Data!K756=Dashboard!$R$4,Data!G756,NA()))</f>
        <v>#N/A</v>
      </c>
      <c r="L205" t="str">
        <f t="shared" si="70"/>
        <v/>
      </c>
      <c r="M205" t="str">
        <f t="shared" si="71"/>
        <v/>
      </c>
      <c r="N205" t="str">
        <f t="shared" si="72"/>
        <v/>
      </c>
      <c r="O205" t="str">
        <f>IF(L205&lt;&gt;"",Data!$M756,"")</f>
        <v/>
      </c>
      <c r="T205">
        <f>IF(OR(Dashboard!$P$4="All",Dashboard!$R$4="All"),NA(),IF(OR(Data!K756&lt;&gt;Dashboard!$P$4,Data!K756&lt;&gt;Dashboard!$R$4),Data!G756,NA()))</f>
        <v>2136.9500024931081</v>
      </c>
      <c r="U205"/>
      <c r="AI205" s="13" t="s">
        <v>2341</v>
      </c>
      <c r="AJ205" s="8"/>
      <c r="AK205" s="8"/>
      <c r="AL205" s="8">
        <v>135000</v>
      </c>
      <c r="AM205" s="8">
        <v>1</v>
      </c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Q205" s="13" t="s">
        <v>2341</v>
      </c>
      <c r="BR205" s="8"/>
      <c r="BS205" s="8"/>
      <c r="BT205" s="8"/>
      <c r="BU205" s="8">
        <v>135000</v>
      </c>
      <c r="BV205" s="8"/>
    </row>
    <row r="206" spans="2:74">
      <c r="B206" t="e">
        <f>IF(Dashboard!$P$4="All",Data!G757,IF(Data!K757=Dashboard!$P$4,Data!G757,NA()))</f>
        <v>#N/A</v>
      </c>
      <c r="C206" t="str">
        <f t="shared" si="67"/>
        <v/>
      </c>
      <c r="D206" t="str">
        <f t="shared" si="68"/>
        <v/>
      </c>
      <c r="E206" t="str">
        <f t="shared" si="69"/>
        <v/>
      </c>
      <c r="F206" t="str">
        <f>IF(C206&lt;&gt;"",Data!$M757,"")</f>
        <v/>
      </c>
      <c r="K206" t="e">
        <f>IF(Dashboard!$R$4="All",Data!G757,IF(Data!K757=Dashboard!$R$4,Data!G757,NA()))</f>
        <v>#N/A</v>
      </c>
      <c r="L206" t="str">
        <f t="shared" si="70"/>
        <v/>
      </c>
      <c r="M206" t="str">
        <f t="shared" si="71"/>
        <v/>
      </c>
      <c r="N206" t="str">
        <f t="shared" si="72"/>
        <v/>
      </c>
      <c r="O206" t="str">
        <f>IF(L206&lt;&gt;"",Data!$M757,"")</f>
        <v/>
      </c>
      <c r="T206">
        <f>IF(OR(Dashboard!$P$4="All",Dashboard!$R$4="All"),NA(),IF(OR(Data!K757&lt;&gt;Dashboard!$P$4,Data!K757&lt;&gt;Dashboard!$R$4),Data!G757,NA()))</f>
        <v>30232</v>
      </c>
      <c r="U206"/>
      <c r="AI206" s="13" t="s">
        <v>2343</v>
      </c>
      <c r="AJ206" s="8"/>
      <c r="AK206" s="8"/>
      <c r="AL206" s="8">
        <v>29000</v>
      </c>
      <c r="AM206" s="8">
        <v>1</v>
      </c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Q206" s="13" t="s">
        <v>2343</v>
      </c>
      <c r="BR206" s="8"/>
      <c r="BS206" s="8"/>
      <c r="BT206" s="8">
        <v>29000</v>
      </c>
      <c r="BU206" s="8"/>
      <c r="BV206" s="8"/>
    </row>
    <row r="207" spans="2:74">
      <c r="B207" t="e">
        <f>IF(Dashboard!$P$4="All",Data!G758,IF(Data!K758=Dashboard!$P$4,Data!G758,NA()))</f>
        <v>#N/A</v>
      </c>
      <c r="C207" t="str">
        <f t="shared" si="67"/>
        <v/>
      </c>
      <c r="D207" t="str">
        <f t="shared" si="68"/>
        <v/>
      </c>
      <c r="E207" t="str">
        <f t="shared" si="69"/>
        <v/>
      </c>
      <c r="F207" t="str">
        <f>IF(C207&lt;&gt;"",Data!$M758,"")</f>
        <v/>
      </c>
      <c r="K207" t="e">
        <f>IF(Dashboard!$R$4="All",Data!G758,IF(Data!K758=Dashboard!$R$4,Data!G758,NA()))</f>
        <v>#N/A</v>
      </c>
      <c r="L207" t="str">
        <f t="shared" si="70"/>
        <v/>
      </c>
      <c r="M207" t="str">
        <f t="shared" si="71"/>
        <v/>
      </c>
      <c r="N207" t="str">
        <f t="shared" si="72"/>
        <v/>
      </c>
      <c r="O207" t="str">
        <f>IF(L207&lt;&gt;"",Data!$M758,"")</f>
        <v/>
      </c>
      <c r="T207">
        <f>IF(OR(Dashboard!$P$4="All",Dashboard!$R$4="All"),NA(),IF(OR(Data!K758&lt;&gt;Dashboard!$P$4,Data!K758&lt;&gt;Dashboard!$R$4),Data!G758,NA()))</f>
        <v>41000</v>
      </c>
      <c r="U207"/>
      <c r="AI207" s="13" t="s">
        <v>2345</v>
      </c>
      <c r="AJ207" s="8">
        <v>63000</v>
      </c>
      <c r="AK207" s="8">
        <v>1</v>
      </c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Q207" s="13" t="s">
        <v>2345</v>
      </c>
      <c r="BR207" s="8"/>
      <c r="BS207" s="8"/>
      <c r="BT207" s="8"/>
      <c r="BU207" s="8">
        <v>63000</v>
      </c>
      <c r="BV207" s="8"/>
    </row>
    <row r="208" spans="2:74">
      <c r="B208" t="e">
        <f>IF(Dashboard!$P$4="All",Data!G759,IF(Data!K759=Dashboard!$P$4,Data!G759,NA()))</f>
        <v>#N/A</v>
      </c>
      <c r="C208" t="str">
        <f t="shared" si="67"/>
        <v/>
      </c>
      <c r="D208" t="str">
        <f t="shared" si="68"/>
        <v/>
      </c>
      <c r="E208" t="str">
        <f t="shared" si="69"/>
        <v/>
      </c>
      <c r="F208" t="str">
        <f>IF(C208&lt;&gt;"",Data!$M759,"")</f>
        <v/>
      </c>
      <c r="K208" t="e">
        <f>IF(Dashboard!$R$4="All",Data!G759,IF(Data!K759=Dashboard!$R$4,Data!G759,NA()))</f>
        <v>#N/A</v>
      </c>
      <c r="L208" t="str">
        <f t="shared" si="70"/>
        <v/>
      </c>
      <c r="M208" t="str">
        <f t="shared" si="71"/>
        <v/>
      </c>
      <c r="N208" t="str">
        <f t="shared" si="72"/>
        <v/>
      </c>
      <c r="O208" t="str">
        <f>IF(L208&lt;&gt;"",Data!$M759,"")</f>
        <v/>
      </c>
      <c r="T208">
        <f>IF(OR(Dashboard!$P$4="All",Dashboard!$R$4="All"),NA(),IF(OR(Data!K759&lt;&gt;Dashboard!$P$4,Data!K759&lt;&gt;Dashboard!$R$4),Data!G759,NA()))</f>
        <v>96891.417358250401</v>
      </c>
      <c r="U208"/>
      <c r="AI208" s="13" t="s">
        <v>2346</v>
      </c>
      <c r="AJ208" s="8">
        <v>95000</v>
      </c>
      <c r="AK208" s="8">
        <v>1</v>
      </c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Q208" s="13" t="s">
        <v>2346</v>
      </c>
      <c r="BR208" s="8"/>
      <c r="BS208" s="8"/>
      <c r="BT208" s="8">
        <v>95000</v>
      </c>
      <c r="BU208" s="8"/>
      <c r="BV208" s="8"/>
    </row>
    <row r="209" spans="2:74">
      <c r="B209" t="e">
        <f>IF(Dashboard!$P$4="All",Data!G760,IF(Data!K760=Dashboard!$P$4,Data!G760,NA()))</f>
        <v>#N/A</v>
      </c>
      <c r="C209" t="str">
        <f t="shared" si="67"/>
        <v/>
      </c>
      <c r="D209" t="str">
        <f t="shared" si="68"/>
        <v/>
      </c>
      <c r="E209" t="str">
        <f t="shared" si="69"/>
        <v/>
      </c>
      <c r="F209" t="str">
        <f>IF(C209&lt;&gt;"",Data!$M760,"")</f>
        <v/>
      </c>
      <c r="K209" t="e">
        <f>IF(Dashboard!$R$4="All",Data!G760,IF(Data!K760=Dashboard!$R$4,Data!G760,NA()))</f>
        <v>#N/A</v>
      </c>
      <c r="L209" t="str">
        <f t="shared" si="70"/>
        <v/>
      </c>
      <c r="M209" t="str">
        <f t="shared" si="71"/>
        <v/>
      </c>
      <c r="N209" t="str">
        <f t="shared" si="72"/>
        <v/>
      </c>
      <c r="O209" t="str">
        <f>IF(L209&lt;&gt;"",Data!$M760,"")</f>
        <v/>
      </c>
      <c r="T209">
        <f>IF(OR(Dashboard!$P$4="All",Dashboard!$R$4="All"),NA(),IF(OR(Data!K760&lt;&gt;Dashboard!$P$4,Data!K760&lt;&gt;Dashboard!$R$4),Data!G760,NA()))</f>
        <v>21369.500024931083</v>
      </c>
      <c r="U209"/>
      <c r="AI209" s="13" t="s">
        <v>2351</v>
      </c>
      <c r="AJ209" s="8"/>
      <c r="AK209" s="8"/>
      <c r="AL209" s="8">
        <v>53000</v>
      </c>
      <c r="AM209" s="8">
        <v>1</v>
      </c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Q209" s="13" t="s">
        <v>2351</v>
      </c>
      <c r="BR209" s="8"/>
      <c r="BS209" s="8">
        <v>53000</v>
      </c>
      <c r="BT209" s="8"/>
      <c r="BU209" s="8"/>
      <c r="BV209" s="8"/>
    </row>
    <row r="210" spans="2:74">
      <c r="B210" t="e">
        <f>IF(Dashboard!$P$4="All",Data!G761,IF(Data!K761=Dashboard!$P$4,Data!G761,NA()))</f>
        <v>#N/A</v>
      </c>
      <c r="C210" t="str">
        <f t="shared" si="67"/>
        <v/>
      </c>
      <c r="D210" t="str">
        <f t="shared" si="68"/>
        <v/>
      </c>
      <c r="E210" t="str">
        <f t="shared" si="69"/>
        <v/>
      </c>
      <c r="F210" t="str">
        <f>IF(C210&lt;&gt;"",Data!$M761,"")</f>
        <v/>
      </c>
      <c r="K210" t="e">
        <f>IF(Dashboard!$R$4="All",Data!G761,IF(Data!K761=Dashboard!$R$4,Data!G761,NA()))</f>
        <v>#N/A</v>
      </c>
      <c r="L210" t="str">
        <f t="shared" si="70"/>
        <v/>
      </c>
      <c r="M210" t="str">
        <f t="shared" si="71"/>
        <v/>
      </c>
      <c r="N210" t="str">
        <f t="shared" si="72"/>
        <v/>
      </c>
      <c r="O210" t="str">
        <f>IF(L210&lt;&gt;"",Data!$M761,"")</f>
        <v/>
      </c>
      <c r="T210">
        <f>IF(OR(Dashboard!$P$4="All",Dashboard!$R$4="All"),NA(),IF(OR(Data!K761&lt;&gt;Dashboard!$P$4,Data!K761&lt;&gt;Dashboard!$R$4),Data!G761,NA()))</f>
        <v>3650.6229209257262</v>
      </c>
      <c r="U210"/>
      <c r="AI210" s="13" t="s">
        <v>2352</v>
      </c>
      <c r="AJ210" s="8"/>
      <c r="AK210" s="8"/>
      <c r="AL210" s="8"/>
      <c r="AM210" s="8"/>
      <c r="AN210" s="8"/>
      <c r="AO210" s="8"/>
      <c r="AP210" s="8"/>
      <c r="AQ210" s="8"/>
      <c r="AR210" s="8">
        <v>130000</v>
      </c>
      <c r="AS210" s="8">
        <v>1</v>
      </c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Q210" s="13" t="s">
        <v>2352</v>
      </c>
      <c r="BR210" s="8"/>
      <c r="BS210" s="8"/>
      <c r="BT210" s="8">
        <v>130000</v>
      </c>
      <c r="BU210" s="8"/>
      <c r="BV210" s="8"/>
    </row>
    <row r="211" spans="2:74">
      <c r="B211" t="e">
        <f>IF(Dashboard!$P$4="All",Data!G762,IF(Data!K762=Dashboard!$P$4,Data!G762,NA()))</f>
        <v>#N/A</v>
      </c>
      <c r="C211" t="str">
        <f t="shared" si="67"/>
        <v/>
      </c>
      <c r="D211" t="str">
        <f t="shared" si="68"/>
        <v/>
      </c>
      <c r="E211" t="str">
        <f t="shared" si="69"/>
        <v/>
      </c>
      <c r="F211" t="str">
        <f>IF(C211&lt;&gt;"",Data!$M762,"")</f>
        <v/>
      </c>
      <c r="K211" t="e">
        <f>IF(Dashboard!$R$4="All",Data!G762,IF(Data!K762=Dashboard!$R$4,Data!G762,NA()))</f>
        <v>#N/A</v>
      </c>
      <c r="L211" t="str">
        <f t="shared" si="70"/>
        <v/>
      </c>
      <c r="M211" t="str">
        <f t="shared" si="71"/>
        <v/>
      </c>
      <c r="N211" t="str">
        <f t="shared" si="72"/>
        <v/>
      </c>
      <c r="O211" t="str">
        <f>IF(L211&lt;&gt;"",Data!$M762,"")</f>
        <v/>
      </c>
      <c r="T211">
        <f>IF(OR(Dashboard!$P$4="All",Dashboard!$R$4="All"),NA(),IF(OR(Data!K762&lt;&gt;Dashboard!$P$4,Data!K762&lt;&gt;Dashboard!$R$4),Data!G762,NA()))</f>
        <v>19068</v>
      </c>
      <c r="U211"/>
      <c r="AI211" s="13" t="s">
        <v>2355</v>
      </c>
      <c r="AJ211" s="8">
        <v>44200</v>
      </c>
      <c r="AK211" s="8">
        <v>1</v>
      </c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Q211" s="13" t="s">
        <v>2355</v>
      </c>
      <c r="BR211" s="8"/>
      <c r="BS211" s="8"/>
      <c r="BT211" s="8"/>
      <c r="BU211" s="8">
        <v>44200</v>
      </c>
      <c r="BV211" s="8"/>
    </row>
    <row r="212" spans="2:74">
      <c r="B212" t="e">
        <f>IF(Dashboard!$P$4="All",Data!G763,IF(Data!K763=Dashboard!$P$4,Data!G763,NA()))</f>
        <v>#N/A</v>
      </c>
      <c r="C212" t="str">
        <f t="shared" si="67"/>
        <v/>
      </c>
      <c r="D212" t="str">
        <f t="shared" si="68"/>
        <v/>
      </c>
      <c r="E212" t="str">
        <f t="shared" si="69"/>
        <v/>
      </c>
      <c r="F212" t="str">
        <f>IF(C212&lt;&gt;"",Data!$M763,"")</f>
        <v/>
      </c>
      <c r="K212" t="e">
        <f>IF(Dashboard!$R$4="All",Data!G763,IF(Data!K763=Dashboard!$R$4,Data!G763,NA()))</f>
        <v>#N/A</v>
      </c>
      <c r="L212" t="str">
        <f t="shared" si="70"/>
        <v/>
      </c>
      <c r="M212" t="str">
        <f t="shared" si="71"/>
        <v/>
      </c>
      <c r="N212" t="str">
        <f t="shared" si="72"/>
        <v/>
      </c>
      <c r="O212" t="str">
        <f>IF(L212&lt;&gt;"",Data!$M763,"")</f>
        <v/>
      </c>
      <c r="T212">
        <f>IF(OR(Dashboard!$P$4="All",Dashboard!$R$4="All"),NA(),IF(OR(Data!K763&lt;&gt;Dashboard!$P$4,Data!K763&lt;&gt;Dashboard!$R$4),Data!G763,NA()))</f>
        <v>5342.3750062327708</v>
      </c>
      <c r="U212"/>
      <c r="AI212" s="13" t="s">
        <v>2356</v>
      </c>
      <c r="AJ212" s="8"/>
      <c r="AK212" s="8"/>
      <c r="AL212" s="8">
        <v>56000</v>
      </c>
      <c r="AM212" s="8">
        <v>1</v>
      </c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Q212" s="13" t="s">
        <v>2356</v>
      </c>
      <c r="BR212" s="8"/>
      <c r="BS212" s="8">
        <v>56000</v>
      </c>
      <c r="BT212" s="8"/>
      <c r="BU212" s="8"/>
      <c r="BV212" s="8"/>
    </row>
    <row r="213" spans="2:74">
      <c r="B213" t="e">
        <f>IF(Dashboard!$P$4="All",Data!G764,IF(Data!K764=Dashboard!$P$4,Data!G764,NA()))</f>
        <v>#N/A</v>
      </c>
      <c r="C213" t="str">
        <f t="shared" si="67"/>
        <v/>
      </c>
      <c r="D213" t="str">
        <f t="shared" si="68"/>
        <v/>
      </c>
      <c r="E213" t="str">
        <f t="shared" si="69"/>
        <v/>
      </c>
      <c r="F213" t="str">
        <f>IF(C213&lt;&gt;"",Data!$M764,"")</f>
        <v/>
      </c>
      <c r="K213" t="e">
        <f>IF(Dashboard!$R$4="All",Data!G764,IF(Data!K764=Dashboard!$R$4,Data!G764,NA()))</f>
        <v>#N/A</v>
      </c>
      <c r="L213" t="str">
        <f t="shared" si="70"/>
        <v/>
      </c>
      <c r="M213" t="str">
        <f t="shared" si="71"/>
        <v/>
      </c>
      <c r="N213" t="str">
        <f t="shared" si="72"/>
        <v/>
      </c>
      <c r="O213" t="str">
        <f>IF(L213&lt;&gt;"",Data!$M764,"")</f>
        <v/>
      </c>
      <c r="T213">
        <f>IF(OR(Dashboard!$P$4="All",Dashboard!$R$4="All"),NA(),IF(OR(Data!K764&lt;&gt;Dashboard!$P$4,Data!K764&lt;&gt;Dashboard!$R$4),Data!G764,NA()))</f>
        <v>48000</v>
      </c>
      <c r="U213"/>
      <c r="AI213" s="13" t="s">
        <v>2357</v>
      </c>
      <c r="AJ213" s="8"/>
      <c r="AK213" s="8"/>
      <c r="AL213" s="8"/>
      <c r="AM213" s="8"/>
      <c r="AN213" s="8"/>
      <c r="AO213" s="8"/>
      <c r="AP213" s="8"/>
      <c r="AQ213" s="8"/>
      <c r="AR213" s="8">
        <v>72500</v>
      </c>
      <c r="AS213" s="8">
        <v>1</v>
      </c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Q213" s="13" t="s">
        <v>2357</v>
      </c>
      <c r="BR213" s="8"/>
      <c r="BS213" s="8">
        <v>72500</v>
      </c>
      <c r="BT213" s="8"/>
      <c r="BU213" s="8"/>
      <c r="BV213" s="8"/>
    </row>
    <row r="214" spans="2:74">
      <c r="B214" t="e">
        <f>IF(Dashboard!$P$4="All",Data!G765,IF(Data!K765=Dashboard!$P$4,Data!G765,NA()))</f>
        <v>#N/A</v>
      </c>
      <c r="C214" t="str">
        <f t="shared" si="67"/>
        <v/>
      </c>
      <c r="D214" t="str">
        <f t="shared" si="68"/>
        <v/>
      </c>
      <c r="E214" t="str">
        <f t="shared" si="69"/>
        <v/>
      </c>
      <c r="F214" t="str">
        <f>IF(C214&lt;&gt;"",Data!$M765,"")</f>
        <v/>
      </c>
      <c r="K214" t="e">
        <f>IF(Dashboard!$R$4="All",Data!G765,IF(Data!K765=Dashboard!$R$4,Data!G765,NA()))</f>
        <v>#N/A</v>
      </c>
      <c r="L214" t="str">
        <f t="shared" si="70"/>
        <v/>
      </c>
      <c r="M214" t="str">
        <f t="shared" si="71"/>
        <v/>
      </c>
      <c r="N214" t="str">
        <f t="shared" si="72"/>
        <v/>
      </c>
      <c r="O214" t="str">
        <f>IF(L214&lt;&gt;"",Data!$M765,"")</f>
        <v/>
      </c>
      <c r="T214">
        <f>IF(OR(Dashboard!$P$4="All",Dashboard!$R$4="All"),NA(),IF(OR(Data!K765&lt;&gt;Dashboard!$P$4,Data!K765&lt;&gt;Dashboard!$R$4),Data!G765,NA()))</f>
        <v>3917.7416712373652</v>
      </c>
      <c r="U214"/>
      <c r="AI214" s="13" t="s">
        <v>2360</v>
      </c>
      <c r="AJ214" s="8"/>
      <c r="AK214" s="8"/>
      <c r="AL214" s="8">
        <v>68000</v>
      </c>
      <c r="AM214" s="8">
        <v>1</v>
      </c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Q214" s="13" t="s">
        <v>2360</v>
      </c>
      <c r="BR214" s="8"/>
      <c r="BS214" s="8">
        <v>68000</v>
      </c>
      <c r="BT214" s="8"/>
      <c r="BU214" s="8"/>
      <c r="BV214" s="8"/>
    </row>
    <row r="215" spans="2:74">
      <c r="B215" t="e">
        <f>IF(Dashboard!$P$4="All",Data!G766,IF(Data!K766=Dashboard!$P$4,Data!G766,NA()))</f>
        <v>#N/A</v>
      </c>
      <c r="C215" t="str">
        <f t="shared" si="67"/>
        <v/>
      </c>
      <c r="D215" t="str">
        <f t="shared" si="68"/>
        <v/>
      </c>
      <c r="E215" t="str">
        <f t="shared" si="69"/>
        <v/>
      </c>
      <c r="F215" t="str">
        <f>IF(C215&lt;&gt;"",Data!$M766,"")</f>
        <v/>
      </c>
      <c r="K215" t="e">
        <f>IF(Dashboard!$R$4="All",Data!G766,IF(Data!K766=Dashboard!$R$4,Data!G766,NA()))</f>
        <v>#N/A</v>
      </c>
      <c r="L215" t="str">
        <f t="shared" si="70"/>
        <v/>
      </c>
      <c r="M215" t="str">
        <f t="shared" si="71"/>
        <v/>
      </c>
      <c r="N215" t="str">
        <f t="shared" si="72"/>
        <v/>
      </c>
      <c r="O215" t="str">
        <f>IF(L215&lt;&gt;"",Data!$M766,"")</f>
        <v/>
      </c>
      <c r="T215">
        <f>IF(OR(Dashboard!$P$4="All",Dashboard!$R$4="All"),NA(),IF(OR(Data!K766&lt;&gt;Dashboard!$P$4,Data!K766&lt;&gt;Dashboard!$R$4),Data!G766,NA()))</f>
        <v>13500</v>
      </c>
      <c r="U215"/>
      <c r="AI215" s="13" t="s">
        <v>2361</v>
      </c>
      <c r="AJ215" s="8">
        <v>75000</v>
      </c>
      <c r="AK215" s="8">
        <v>1</v>
      </c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Q215" s="13" t="s">
        <v>2361</v>
      </c>
      <c r="BR215" s="8"/>
      <c r="BS215" s="8"/>
      <c r="BT215" s="8"/>
      <c r="BU215" s="8">
        <v>75000</v>
      </c>
      <c r="BV215" s="8"/>
    </row>
    <row r="216" spans="2:74">
      <c r="B216" t="e">
        <f>IF(Dashboard!$P$4="All",Data!G767,IF(Data!K767=Dashboard!$P$4,Data!G767,NA()))</f>
        <v>#N/A</v>
      </c>
      <c r="C216" t="str">
        <f t="shared" si="67"/>
        <v/>
      </c>
      <c r="D216" t="str">
        <f t="shared" si="68"/>
        <v/>
      </c>
      <c r="E216" t="str">
        <f t="shared" si="69"/>
        <v/>
      </c>
      <c r="F216" t="str">
        <f>IF(C216&lt;&gt;"",Data!$M767,"")</f>
        <v/>
      </c>
      <c r="K216" t="e">
        <f>IF(Dashboard!$R$4="All",Data!G767,IF(Data!K767=Dashboard!$R$4,Data!G767,NA()))</f>
        <v>#N/A</v>
      </c>
      <c r="L216" t="str">
        <f t="shared" si="70"/>
        <v/>
      </c>
      <c r="M216" t="str">
        <f t="shared" si="71"/>
        <v/>
      </c>
      <c r="N216" t="str">
        <f t="shared" si="72"/>
        <v/>
      </c>
      <c r="O216" t="str">
        <f>IF(L216&lt;&gt;"",Data!$M767,"")</f>
        <v/>
      </c>
      <c r="T216">
        <f>IF(OR(Dashboard!$P$4="All",Dashboard!$R$4="All"),NA(),IF(OR(Data!K767&lt;&gt;Dashboard!$P$4,Data!K767&lt;&gt;Dashboard!$R$4),Data!G767,NA()))</f>
        <v>45000</v>
      </c>
      <c r="U216"/>
      <c r="AI216" s="13" t="s">
        <v>2362</v>
      </c>
      <c r="AJ216" s="8"/>
      <c r="AK216" s="8"/>
      <c r="AL216" s="8"/>
      <c r="AM216" s="8"/>
      <c r="AN216" s="8"/>
      <c r="AO216" s="8"/>
      <c r="AP216" s="8">
        <v>62500</v>
      </c>
      <c r="AQ216" s="8">
        <v>1</v>
      </c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Q216" s="13" t="s">
        <v>2362</v>
      </c>
      <c r="BR216" s="8"/>
      <c r="BS216" s="8"/>
      <c r="BT216" s="8"/>
      <c r="BU216" s="8">
        <v>62500</v>
      </c>
      <c r="BV216" s="8"/>
    </row>
    <row r="217" spans="2:74">
      <c r="B217" t="e">
        <f>IF(Dashboard!$P$4="All",Data!G768,IF(Data!K768=Dashboard!$P$4,Data!G768,NA()))</f>
        <v>#N/A</v>
      </c>
      <c r="C217" t="str">
        <f t="shared" si="67"/>
        <v/>
      </c>
      <c r="D217" t="str">
        <f t="shared" si="68"/>
        <v/>
      </c>
      <c r="E217" t="str">
        <f t="shared" si="69"/>
        <v/>
      </c>
      <c r="F217" t="str">
        <f>IF(C217&lt;&gt;"",Data!$M768,"")</f>
        <v/>
      </c>
      <c r="K217" t="e">
        <f>IF(Dashboard!$R$4="All",Data!G768,IF(Data!K768=Dashboard!$R$4,Data!G768,NA()))</f>
        <v>#N/A</v>
      </c>
      <c r="L217" t="str">
        <f t="shared" si="70"/>
        <v/>
      </c>
      <c r="M217" t="str">
        <f t="shared" si="71"/>
        <v/>
      </c>
      <c r="N217" t="str">
        <f t="shared" si="72"/>
        <v/>
      </c>
      <c r="O217" t="str">
        <f>IF(L217&lt;&gt;"",Data!$M768,"")</f>
        <v/>
      </c>
      <c r="T217">
        <f>IF(OR(Dashboard!$P$4="All",Dashboard!$R$4="All"),NA(),IF(OR(Data!K768&lt;&gt;Dashboard!$P$4,Data!K768&lt;&gt;Dashboard!$R$4),Data!G768,NA()))</f>
        <v>69871.969144538423</v>
      </c>
      <c r="U217"/>
      <c r="AI217" s="13" t="s">
        <v>2365</v>
      </c>
      <c r="AJ217" s="8">
        <v>85000</v>
      </c>
      <c r="AK217" s="8">
        <v>1</v>
      </c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Q217" s="13" t="s">
        <v>2365</v>
      </c>
      <c r="BR217" s="8"/>
      <c r="BS217" s="8"/>
      <c r="BT217" s="8">
        <v>85000</v>
      </c>
      <c r="BU217" s="8"/>
      <c r="BV217" s="8"/>
    </row>
    <row r="218" spans="2:74">
      <c r="B218" t="e">
        <f>IF(Dashboard!$P$4="All",Data!G769,IF(Data!K769=Dashboard!$P$4,Data!G769,NA()))</f>
        <v>#N/A</v>
      </c>
      <c r="C218" t="str">
        <f t="shared" si="67"/>
        <v/>
      </c>
      <c r="D218" t="str">
        <f t="shared" si="68"/>
        <v/>
      </c>
      <c r="E218" t="str">
        <f t="shared" si="69"/>
        <v/>
      </c>
      <c r="F218" t="str">
        <f>IF(C218&lt;&gt;"",Data!$M769,"")</f>
        <v/>
      </c>
      <c r="K218" t="e">
        <f>IF(Dashboard!$R$4="All",Data!G769,IF(Data!K769=Dashboard!$R$4,Data!G769,NA()))</f>
        <v>#N/A</v>
      </c>
      <c r="L218" t="str">
        <f t="shared" si="70"/>
        <v/>
      </c>
      <c r="M218" t="str">
        <f t="shared" si="71"/>
        <v/>
      </c>
      <c r="N218" t="str">
        <f t="shared" si="72"/>
        <v/>
      </c>
      <c r="O218" t="str">
        <f>IF(L218&lt;&gt;"",Data!$M769,"")</f>
        <v/>
      </c>
      <c r="T218">
        <f>IF(OR(Dashboard!$P$4="All",Dashboard!$R$4="All"),NA(),IF(OR(Data!K769&lt;&gt;Dashboard!$P$4,Data!K769&lt;&gt;Dashboard!$R$4),Data!G769,NA()))</f>
        <v>8547.8000099724322</v>
      </c>
      <c r="U218"/>
      <c r="AI218" s="13" t="s">
        <v>2367</v>
      </c>
      <c r="AJ218" s="8"/>
      <c r="AK218" s="8"/>
      <c r="AL218" s="8">
        <v>89000</v>
      </c>
      <c r="AM218" s="8">
        <v>1</v>
      </c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Q218" s="13" t="s">
        <v>2367</v>
      </c>
      <c r="BR218" s="8"/>
      <c r="BS218" s="8"/>
      <c r="BT218" s="8">
        <v>89000</v>
      </c>
      <c r="BU218" s="8"/>
      <c r="BV218" s="8"/>
    </row>
    <row r="219" spans="2:74">
      <c r="B219" t="e">
        <f>IF(Dashboard!$P$4="All",Data!G770,IF(Data!K770=Dashboard!$P$4,Data!G770,NA()))</f>
        <v>#N/A</v>
      </c>
      <c r="C219" t="str">
        <f t="shared" si="67"/>
        <v/>
      </c>
      <c r="D219" t="str">
        <f t="shared" si="68"/>
        <v/>
      </c>
      <c r="E219" t="str">
        <f t="shared" si="69"/>
        <v/>
      </c>
      <c r="F219" t="str">
        <f>IF(C219&lt;&gt;"",Data!$M770,"")</f>
        <v/>
      </c>
      <c r="K219" t="e">
        <f>IF(Dashboard!$R$4="All",Data!G770,IF(Data!K770=Dashboard!$R$4,Data!G770,NA()))</f>
        <v>#N/A</v>
      </c>
      <c r="L219" t="str">
        <f t="shared" si="70"/>
        <v/>
      </c>
      <c r="M219" t="str">
        <f t="shared" si="71"/>
        <v/>
      </c>
      <c r="N219" t="str">
        <f t="shared" si="72"/>
        <v/>
      </c>
      <c r="O219" t="str">
        <f>IF(L219&lt;&gt;"",Data!$M770,"")</f>
        <v/>
      </c>
      <c r="T219">
        <f>IF(OR(Dashboard!$P$4="All",Dashboard!$R$4="All"),NA(),IF(OR(Data!K770&lt;&gt;Dashboard!$P$4,Data!K770&lt;&gt;Dashboard!$R$4),Data!G770,NA()))</f>
        <v>9146.5655463031271</v>
      </c>
      <c r="U219"/>
      <c r="AI219" s="13" t="s">
        <v>2369</v>
      </c>
      <c r="AJ219" s="8"/>
      <c r="AK219" s="8"/>
      <c r="AL219" s="8">
        <v>47500</v>
      </c>
      <c r="AM219" s="8">
        <v>1</v>
      </c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Q219" s="13" t="s">
        <v>2369</v>
      </c>
      <c r="BR219" s="8"/>
      <c r="BS219" s="8"/>
      <c r="BT219" s="8"/>
      <c r="BU219" s="8">
        <v>47500</v>
      </c>
      <c r="BV219" s="8"/>
    </row>
    <row r="220" spans="2:74">
      <c r="B220" t="e">
        <f>IF(Dashboard!$P$4="All",Data!G771,IF(Data!K771=Dashboard!$P$4,Data!G771,NA()))</f>
        <v>#N/A</v>
      </c>
      <c r="C220" t="str">
        <f t="shared" si="67"/>
        <v/>
      </c>
      <c r="D220" t="str">
        <f t="shared" si="68"/>
        <v/>
      </c>
      <c r="E220" t="str">
        <f t="shared" si="69"/>
        <v/>
      </c>
      <c r="F220" t="str">
        <f>IF(C220&lt;&gt;"",Data!$M771,"")</f>
        <v/>
      </c>
      <c r="K220" t="e">
        <f>IF(Dashboard!$R$4="All",Data!G771,IF(Data!K771=Dashboard!$R$4,Data!G771,NA()))</f>
        <v>#N/A</v>
      </c>
      <c r="L220" t="str">
        <f t="shared" si="70"/>
        <v/>
      </c>
      <c r="M220" t="str">
        <f t="shared" si="71"/>
        <v/>
      </c>
      <c r="N220" t="str">
        <f t="shared" si="72"/>
        <v/>
      </c>
      <c r="O220" t="str">
        <f>IF(L220&lt;&gt;"",Data!$M771,"")</f>
        <v/>
      </c>
      <c r="T220">
        <f>IF(OR(Dashboard!$P$4="All",Dashboard!$R$4="All"),NA(),IF(OR(Data!K771&lt;&gt;Dashboard!$P$4,Data!K771&lt;&gt;Dashboard!$R$4),Data!G771,NA()))</f>
        <v>10150.512511842264</v>
      </c>
      <c r="U220"/>
      <c r="AI220" s="13" t="s">
        <v>2370</v>
      </c>
      <c r="AJ220" s="8"/>
      <c r="AK220" s="8"/>
      <c r="AL220" s="8">
        <v>130000</v>
      </c>
      <c r="AM220" s="8">
        <v>1</v>
      </c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Q220" s="13" t="s">
        <v>2370</v>
      </c>
      <c r="BR220" s="8"/>
      <c r="BS220" s="8">
        <v>130000</v>
      </c>
      <c r="BT220" s="8"/>
      <c r="BU220" s="8"/>
      <c r="BV220" s="8"/>
    </row>
    <row r="221" spans="2:74">
      <c r="B221" t="e">
        <f>IF(Dashboard!$P$4="All",Data!G772,IF(Data!K772=Dashboard!$P$4,Data!G772,NA()))</f>
        <v>#N/A</v>
      </c>
      <c r="C221" t="str">
        <f t="shared" si="67"/>
        <v/>
      </c>
      <c r="D221" t="str">
        <f t="shared" si="68"/>
        <v/>
      </c>
      <c r="E221" t="str">
        <f t="shared" si="69"/>
        <v/>
      </c>
      <c r="F221" t="str">
        <f>IF(C221&lt;&gt;"",Data!$M772,"")</f>
        <v/>
      </c>
      <c r="K221" t="e">
        <f>IF(Dashboard!$R$4="All",Data!G772,IF(Data!K772=Dashboard!$R$4,Data!G772,NA()))</f>
        <v>#N/A</v>
      </c>
      <c r="L221" t="str">
        <f t="shared" si="70"/>
        <v/>
      </c>
      <c r="M221" t="str">
        <f t="shared" si="71"/>
        <v/>
      </c>
      <c r="N221" t="str">
        <f t="shared" si="72"/>
        <v/>
      </c>
      <c r="O221" t="str">
        <f>IF(L221&lt;&gt;"",Data!$M772,"")</f>
        <v/>
      </c>
      <c r="T221">
        <f>IF(OR(Dashboard!$P$4="All",Dashboard!$R$4="All"),NA(),IF(OR(Data!K772&lt;&gt;Dashboard!$P$4,Data!K772&lt;&gt;Dashboard!$R$4),Data!G772,NA()))</f>
        <v>11325.835013213473</v>
      </c>
      <c r="U221"/>
      <c r="AI221" s="13" t="s">
        <v>2373</v>
      </c>
      <c r="AJ221" s="8"/>
      <c r="AK221" s="8"/>
      <c r="AL221" s="8">
        <v>41932</v>
      </c>
      <c r="AM221" s="8">
        <v>1</v>
      </c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Q221" s="13" t="s">
        <v>2373</v>
      </c>
      <c r="BR221" s="8"/>
      <c r="BS221" s="8">
        <v>41932</v>
      </c>
      <c r="BT221" s="8"/>
      <c r="BU221" s="8"/>
      <c r="BV221" s="8"/>
    </row>
    <row r="222" spans="2:74">
      <c r="B222" t="e">
        <f>IF(Dashboard!$P$4="All",Data!G773,IF(Data!K773=Dashboard!$P$4,Data!G773,NA()))</f>
        <v>#N/A</v>
      </c>
      <c r="C222" t="str">
        <f t="shared" si="67"/>
        <v/>
      </c>
      <c r="D222" t="str">
        <f t="shared" si="68"/>
        <v/>
      </c>
      <c r="E222" t="str">
        <f t="shared" si="69"/>
        <v/>
      </c>
      <c r="F222" t="str">
        <f>IF(C222&lt;&gt;"",Data!$M773,"")</f>
        <v/>
      </c>
      <c r="K222" t="e">
        <f>IF(Dashboard!$R$4="All",Data!G773,IF(Data!K773=Dashboard!$R$4,Data!G773,NA()))</f>
        <v>#N/A</v>
      </c>
      <c r="L222" t="str">
        <f t="shared" si="70"/>
        <v/>
      </c>
      <c r="M222" t="str">
        <f t="shared" si="71"/>
        <v/>
      </c>
      <c r="N222" t="str">
        <f t="shared" si="72"/>
        <v/>
      </c>
      <c r="O222" t="str">
        <f>IF(L222&lt;&gt;"",Data!$M773,"")</f>
        <v/>
      </c>
      <c r="T222">
        <f>IF(OR(Dashboard!$P$4="All",Dashboard!$R$4="All"),NA(),IF(OR(Data!K773&lt;&gt;Dashboard!$P$4,Data!K773&lt;&gt;Dashboard!$R$4),Data!G773,NA()))</f>
        <v>1910.5359690238436</v>
      </c>
      <c r="U222"/>
      <c r="AI222" s="13" t="s">
        <v>2375</v>
      </c>
      <c r="AJ222" s="8"/>
      <c r="AK222" s="8"/>
      <c r="AL222" s="8"/>
      <c r="AM222" s="8"/>
      <c r="AN222" s="8"/>
      <c r="AO222" s="8"/>
      <c r="AP222" s="8">
        <v>194000</v>
      </c>
      <c r="AQ222" s="8">
        <v>1</v>
      </c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Q222" s="13" t="s">
        <v>2375</v>
      </c>
      <c r="BR222" s="8"/>
      <c r="BS222" s="8">
        <v>194000</v>
      </c>
      <c r="BT222" s="8"/>
      <c r="BU222" s="8"/>
      <c r="BV222" s="8"/>
    </row>
    <row r="223" spans="2:74">
      <c r="B223" t="e">
        <f>IF(Dashboard!$P$4="All",Data!G774,IF(Data!K774=Dashboard!$P$4,Data!G774,NA()))</f>
        <v>#N/A</v>
      </c>
      <c r="C223" t="str">
        <f t="shared" si="67"/>
        <v/>
      </c>
      <c r="D223" t="str">
        <f t="shared" si="68"/>
        <v/>
      </c>
      <c r="E223" t="str">
        <f t="shared" si="69"/>
        <v/>
      </c>
      <c r="F223" t="str">
        <f>IF(C223&lt;&gt;"",Data!$M774,"")</f>
        <v/>
      </c>
      <c r="K223" t="e">
        <f>IF(Dashboard!$R$4="All",Data!G774,IF(Data!K774=Dashboard!$R$4,Data!G774,NA()))</f>
        <v>#N/A</v>
      </c>
      <c r="L223" t="str">
        <f t="shared" si="70"/>
        <v/>
      </c>
      <c r="M223" t="str">
        <f t="shared" si="71"/>
        <v/>
      </c>
      <c r="N223" t="str">
        <f t="shared" si="72"/>
        <v/>
      </c>
      <c r="O223" t="str">
        <f>IF(L223&lt;&gt;"",Data!$M774,"")</f>
        <v/>
      </c>
      <c r="T223">
        <f>IF(OR(Dashboard!$P$4="All",Dashboard!$R$4="All"),NA(),IF(OR(Data!K774&lt;&gt;Dashboard!$P$4,Data!K774&lt;&gt;Dashboard!$R$4),Data!G774,NA()))</f>
        <v>36000</v>
      </c>
      <c r="U223"/>
      <c r="AI223" s="13" t="s">
        <v>2381</v>
      </c>
      <c r="AJ223" s="8">
        <v>95000</v>
      </c>
      <c r="AK223" s="8">
        <v>1</v>
      </c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Q223" s="13" t="s">
        <v>2381</v>
      </c>
      <c r="BR223" s="8"/>
      <c r="BS223" s="8"/>
      <c r="BT223" s="8"/>
      <c r="BU223" s="8">
        <v>95000</v>
      </c>
      <c r="BV223" s="8"/>
    </row>
    <row r="224" spans="2:74">
      <c r="B224" t="e">
        <f>IF(Dashboard!$P$4="All",Data!G775,IF(Data!K775=Dashboard!$P$4,Data!G775,NA()))</f>
        <v>#N/A</v>
      </c>
      <c r="C224" t="str">
        <f t="shared" si="67"/>
        <v/>
      </c>
      <c r="D224" t="str">
        <f t="shared" si="68"/>
        <v/>
      </c>
      <c r="E224" t="str">
        <f t="shared" si="69"/>
        <v/>
      </c>
      <c r="F224" t="str">
        <f>IF(C224&lt;&gt;"",Data!$M775,"")</f>
        <v/>
      </c>
      <c r="K224" t="e">
        <f>IF(Dashboard!$R$4="All",Data!G775,IF(Data!K775=Dashboard!$R$4,Data!G775,NA()))</f>
        <v>#N/A</v>
      </c>
      <c r="L224" t="str">
        <f t="shared" si="70"/>
        <v/>
      </c>
      <c r="M224" t="str">
        <f t="shared" si="71"/>
        <v/>
      </c>
      <c r="N224" t="str">
        <f t="shared" si="72"/>
        <v/>
      </c>
      <c r="O224" t="str">
        <f>IF(L224&lt;&gt;"",Data!$M775,"")</f>
        <v/>
      </c>
      <c r="T224">
        <f>IF(OR(Dashboard!$P$4="All",Dashboard!$R$4="All"),NA(),IF(OR(Data!K775&lt;&gt;Dashboard!$P$4,Data!K775&lt;&gt;Dashboard!$R$4),Data!G775,NA()))</f>
        <v>40067.812546745779</v>
      </c>
      <c r="U224"/>
      <c r="AI224" s="13" t="s">
        <v>2383</v>
      </c>
      <c r="AJ224" s="8">
        <v>48000</v>
      </c>
      <c r="AK224" s="8">
        <v>1</v>
      </c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Q224" s="13" t="s">
        <v>2383</v>
      </c>
      <c r="BR224" s="8">
        <v>48000</v>
      </c>
      <c r="BS224" s="8"/>
      <c r="BT224" s="8"/>
      <c r="BU224" s="8"/>
      <c r="BV224" s="8"/>
    </row>
    <row r="225" spans="2:74">
      <c r="B225" t="e">
        <f>IF(Dashboard!$P$4="All",Data!G776,IF(Data!K776=Dashboard!$P$4,Data!G776,NA()))</f>
        <v>#N/A</v>
      </c>
      <c r="C225" t="str">
        <f t="shared" si="67"/>
        <v/>
      </c>
      <c r="D225" t="str">
        <f t="shared" si="68"/>
        <v/>
      </c>
      <c r="E225" t="str">
        <f t="shared" si="69"/>
        <v/>
      </c>
      <c r="F225" t="str">
        <f>IF(C225&lt;&gt;"",Data!$M776,"")</f>
        <v/>
      </c>
      <c r="K225" t="e">
        <f>IF(Dashboard!$R$4="All",Data!G776,IF(Data!K776=Dashboard!$R$4,Data!G776,NA()))</f>
        <v>#N/A</v>
      </c>
      <c r="L225" t="str">
        <f t="shared" si="70"/>
        <v/>
      </c>
      <c r="M225" t="str">
        <f t="shared" si="71"/>
        <v/>
      </c>
      <c r="N225" t="str">
        <f t="shared" si="72"/>
        <v/>
      </c>
      <c r="O225" t="str">
        <f>IF(L225&lt;&gt;"",Data!$M776,"")</f>
        <v/>
      </c>
      <c r="T225">
        <f>IF(OR(Dashboard!$P$4="All",Dashboard!$R$4="All"),NA(),IF(OR(Data!K776&lt;&gt;Dashboard!$P$4,Data!K776&lt;&gt;Dashboard!$R$4),Data!G776,NA()))</f>
        <v>16000</v>
      </c>
      <c r="U225"/>
      <c r="AI225" s="13" t="s">
        <v>2384</v>
      </c>
      <c r="AJ225" s="8">
        <v>46000</v>
      </c>
      <c r="AK225" s="8">
        <v>1</v>
      </c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Q225" s="13" t="s">
        <v>2384</v>
      </c>
      <c r="BR225" s="8"/>
      <c r="BS225" s="8"/>
      <c r="BT225" s="8">
        <v>46000</v>
      </c>
      <c r="BU225" s="8"/>
      <c r="BV225" s="8"/>
    </row>
    <row r="226" spans="2:74">
      <c r="B226" t="e">
        <f>IF(Dashboard!$P$4="All",Data!G777,IF(Data!K777=Dashboard!$P$4,Data!G777,NA()))</f>
        <v>#N/A</v>
      </c>
      <c r="C226" t="str">
        <f t="shared" si="67"/>
        <v/>
      </c>
      <c r="D226" t="str">
        <f t="shared" si="68"/>
        <v/>
      </c>
      <c r="E226" t="str">
        <f t="shared" si="69"/>
        <v/>
      </c>
      <c r="F226" t="str">
        <f>IF(C226&lt;&gt;"",Data!$M777,"")</f>
        <v/>
      </c>
      <c r="K226" t="e">
        <f>IF(Dashboard!$R$4="All",Data!G777,IF(Data!K777=Dashboard!$R$4,Data!G777,NA()))</f>
        <v>#N/A</v>
      </c>
      <c r="L226" t="str">
        <f t="shared" si="70"/>
        <v/>
      </c>
      <c r="M226" t="str">
        <f t="shared" si="71"/>
        <v/>
      </c>
      <c r="N226" t="str">
        <f t="shared" si="72"/>
        <v/>
      </c>
      <c r="O226" t="str">
        <f>IF(L226&lt;&gt;"",Data!$M777,"")</f>
        <v/>
      </c>
      <c r="T226">
        <f>IF(OR(Dashboard!$P$4="All",Dashboard!$R$4="All"),NA(),IF(OR(Data!K777&lt;&gt;Dashboard!$P$4,Data!K777&lt;&gt;Dashboard!$R$4),Data!G777,NA()))</f>
        <v>4273.9000049862161</v>
      </c>
      <c r="U226"/>
      <c r="AI226" s="13" t="s">
        <v>2388</v>
      </c>
      <c r="AJ226" s="8"/>
      <c r="AK226" s="8"/>
      <c r="AL226" s="8">
        <v>47000</v>
      </c>
      <c r="AM226" s="8">
        <v>1</v>
      </c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Q226" s="13" t="s">
        <v>2388</v>
      </c>
      <c r="BR226" s="8"/>
      <c r="BS226" s="8">
        <v>47000</v>
      </c>
      <c r="BT226" s="8"/>
      <c r="BU226" s="8"/>
      <c r="BV226" s="8"/>
    </row>
    <row r="227" spans="2:74">
      <c r="B227" t="e">
        <f>IF(Dashboard!$P$4="All",Data!G778,IF(Data!K778=Dashboard!$P$4,Data!G778,NA()))</f>
        <v>#N/A</v>
      </c>
      <c r="C227" t="str">
        <f t="shared" si="67"/>
        <v/>
      </c>
      <c r="D227" t="str">
        <f t="shared" si="68"/>
        <v/>
      </c>
      <c r="E227" t="str">
        <f t="shared" si="69"/>
        <v/>
      </c>
      <c r="F227" t="str">
        <f>IF(C227&lt;&gt;"",Data!$M778,"")</f>
        <v/>
      </c>
      <c r="K227" t="e">
        <f>IF(Dashboard!$R$4="All",Data!G778,IF(Data!K778=Dashboard!$R$4,Data!G778,NA()))</f>
        <v>#N/A</v>
      </c>
      <c r="L227" t="str">
        <f t="shared" si="70"/>
        <v/>
      </c>
      <c r="M227" t="str">
        <f t="shared" si="71"/>
        <v/>
      </c>
      <c r="N227" t="str">
        <f t="shared" si="72"/>
        <v/>
      </c>
      <c r="O227" t="str">
        <f>IF(L227&lt;&gt;"",Data!$M778,"")</f>
        <v/>
      </c>
      <c r="T227">
        <f>IF(OR(Dashboard!$P$4="All",Dashboard!$R$4="All"),NA(),IF(OR(Data!K778&lt;&gt;Dashboard!$P$4,Data!K778&lt;&gt;Dashboard!$R$4),Data!G778,NA()))</f>
        <v>7123.1666749770275</v>
      </c>
      <c r="U227"/>
      <c r="AI227" s="13" t="s">
        <v>2389</v>
      </c>
      <c r="AJ227" s="8">
        <v>44000</v>
      </c>
      <c r="AK227" s="8">
        <v>1</v>
      </c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Q227" s="13" t="s">
        <v>2389</v>
      </c>
      <c r="BR227" s="8"/>
      <c r="BS227" s="8">
        <v>44000</v>
      </c>
      <c r="BT227" s="8"/>
      <c r="BU227" s="8"/>
      <c r="BV227" s="8"/>
    </row>
    <row r="228" spans="2:74">
      <c r="B228" t="e">
        <f>IF(Dashboard!$P$4="All",Data!G779,IF(Data!K779=Dashboard!$P$4,Data!G779,NA()))</f>
        <v>#N/A</v>
      </c>
      <c r="C228" t="str">
        <f t="shared" si="67"/>
        <v/>
      </c>
      <c r="D228" t="str">
        <f t="shared" si="68"/>
        <v/>
      </c>
      <c r="E228" t="str">
        <f t="shared" si="69"/>
        <v/>
      </c>
      <c r="F228" t="str">
        <f>IF(C228&lt;&gt;"",Data!$M779,"")</f>
        <v/>
      </c>
      <c r="K228" t="e">
        <f>IF(Dashboard!$R$4="All",Data!G779,IF(Data!K779=Dashboard!$R$4,Data!G779,NA()))</f>
        <v>#N/A</v>
      </c>
      <c r="L228" t="str">
        <f t="shared" si="70"/>
        <v/>
      </c>
      <c r="M228" t="str">
        <f t="shared" si="71"/>
        <v/>
      </c>
      <c r="N228" t="str">
        <f t="shared" si="72"/>
        <v/>
      </c>
      <c r="O228" t="str">
        <f>IF(L228&lt;&gt;"",Data!$M779,"")</f>
        <v/>
      </c>
      <c r="T228">
        <f>IF(OR(Dashboard!$P$4="All",Dashboard!$R$4="All"),NA(),IF(OR(Data!K779&lt;&gt;Dashboard!$P$4,Data!K779&lt;&gt;Dashboard!$R$4),Data!G779,NA()))</f>
        <v>10000</v>
      </c>
      <c r="U228"/>
      <c r="AI228" s="13" t="s">
        <v>2390</v>
      </c>
      <c r="AJ228" s="8"/>
      <c r="AK228" s="8"/>
      <c r="AL228" s="8"/>
      <c r="AM228" s="8"/>
      <c r="AN228" s="8">
        <v>55000</v>
      </c>
      <c r="AO228" s="8">
        <v>1</v>
      </c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Q228" s="13" t="s">
        <v>2390</v>
      </c>
      <c r="BR228" s="8"/>
      <c r="BS228" s="8"/>
      <c r="BT228" s="8">
        <v>55000</v>
      </c>
      <c r="BU228" s="8"/>
      <c r="BV228" s="8"/>
    </row>
    <row r="229" spans="2:74">
      <c r="B229" t="e">
        <f>IF(Dashboard!$P$4="All",Data!G780,IF(Data!K780=Dashboard!$P$4,Data!G780,NA()))</f>
        <v>#N/A</v>
      </c>
      <c r="C229" t="str">
        <f t="shared" si="67"/>
        <v/>
      </c>
      <c r="D229" t="str">
        <f t="shared" si="68"/>
        <v/>
      </c>
      <c r="E229" t="str">
        <f t="shared" si="69"/>
        <v/>
      </c>
      <c r="F229" t="str">
        <f>IF(C229&lt;&gt;"",Data!$M780,"")</f>
        <v/>
      </c>
      <c r="K229" t="e">
        <f>IF(Dashboard!$R$4="All",Data!G780,IF(Data!K780=Dashboard!$R$4,Data!G780,NA()))</f>
        <v>#N/A</v>
      </c>
      <c r="L229" t="str">
        <f t="shared" si="70"/>
        <v/>
      </c>
      <c r="M229" t="str">
        <f t="shared" si="71"/>
        <v/>
      </c>
      <c r="N229" t="str">
        <f t="shared" si="72"/>
        <v/>
      </c>
      <c r="O229" t="str">
        <f>IF(L229&lt;&gt;"",Data!$M780,"")</f>
        <v/>
      </c>
      <c r="T229">
        <f>IF(OR(Dashboard!$P$4="All",Dashboard!$R$4="All"),NA(),IF(OR(Data!K780&lt;&gt;Dashboard!$P$4,Data!K780&lt;&gt;Dashboard!$R$4),Data!G780,NA()))</f>
        <v>64901.860520001574</v>
      </c>
      <c r="U229"/>
      <c r="AI229" s="13" t="s">
        <v>2392</v>
      </c>
      <c r="AJ229" s="8"/>
      <c r="AK229" s="8"/>
      <c r="AL229" s="8">
        <v>50000</v>
      </c>
      <c r="AM229" s="8">
        <v>1</v>
      </c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Q229" s="13" t="s">
        <v>2392</v>
      </c>
      <c r="BR229" s="8"/>
      <c r="BS229" s="8">
        <v>50000</v>
      </c>
      <c r="BT229" s="8"/>
      <c r="BU229" s="8"/>
      <c r="BV229" s="8"/>
    </row>
    <row r="230" spans="2:74">
      <c r="B230" t="e">
        <f>IF(Dashboard!$P$4="All",Data!G781,IF(Data!K781=Dashboard!$P$4,Data!G781,NA()))</f>
        <v>#N/A</v>
      </c>
      <c r="C230" t="str">
        <f t="shared" si="67"/>
        <v/>
      </c>
      <c r="D230" t="str">
        <f t="shared" si="68"/>
        <v/>
      </c>
      <c r="E230" t="str">
        <f t="shared" si="69"/>
        <v/>
      </c>
      <c r="F230" t="str">
        <f>IF(C230&lt;&gt;"",Data!$M781,"")</f>
        <v/>
      </c>
      <c r="K230" t="e">
        <f>IF(Dashboard!$R$4="All",Data!G781,IF(Data!K781=Dashboard!$R$4,Data!G781,NA()))</f>
        <v>#N/A</v>
      </c>
      <c r="L230" t="str">
        <f t="shared" si="70"/>
        <v/>
      </c>
      <c r="M230" t="str">
        <f t="shared" si="71"/>
        <v/>
      </c>
      <c r="N230" t="str">
        <f t="shared" si="72"/>
        <v/>
      </c>
      <c r="O230" t="str">
        <f>IF(L230&lt;&gt;"",Data!$M781,"")</f>
        <v/>
      </c>
      <c r="T230">
        <f>IF(OR(Dashboard!$P$4="All",Dashboard!$R$4="All"),NA(),IF(OR(Data!K781&lt;&gt;Dashboard!$P$4,Data!K781&lt;&gt;Dashboard!$R$4),Data!G781,NA()))</f>
        <v>65000</v>
      </c>
      <c r="U230"/>
      <c r="AI230" s="13" t="s">
        <v>2395</v>
      </c>
      <c r="AJ230" s="8"/>
      <c r="AK230" s="8"/>
      <c r="AL230" s="8">
        <v>45880</v>
      </c>
      <c r="AM230" s="8">
        <v>1</v>
      </c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Q230" s="13" t="s">
        <v>2395</v>
      </c>
      <c r="BR230" s="8"/>
      <c r="BS230" s="8"/>
      <c r="BT230" s="8"/>
      <c r="BU230" s="8">
        <v>45880</v>
      </c>
      <c r="BV230" s="8"/>
    </row>
    <row r="231" spans="2:74">
      <c r="B231" t="e">
        <f>IF(Dashboard!$P$4="All",Data!G782,IF(Data!K782=Dashboard!$P$4,Data!G782,NA()))</f>
        <v>#N/A</v>
      </c>
      <c r="C231" t="str">
        <f t="shared" si="67"/>
        <v/>
      </c>
      <c r="D231" t="str">
        <f t="shared" si="68"/>
        <v/>
      </c>
      <c r="E231" t="str">
        <f t="shared" si="69"/>
        <v/>
      </c>
      <c r="F231" t="str">
        <f>IF(C231&lt;&gt;"",Data!$M782,"")</f>
        <v/>
      </c>
      <c r="K231" t="e">
        <f>IF(Dashboard!$R$4="All",Data!G782,IF(Data!K782=Dashboard!$R$4,Data!G782,NA()))</f>
        <v>#N/A</v>
      </c>
      <c r="L231" t="str">
        <f t="shared" si="70"/>
        <v/>
      </c>
      <c r="M231" t="str">
        <f t="shared" si="71"/>
        <v/>
      </c>
      <c r="N231" t="str">
        <f t="shared" si="72"/>
        <v/>
      </c>
      <c r="O231" t="str">
        <f>IF(L231&lt;&gt;"",Data!$M782,"")</f>
        <v/>
      </c>
      <c r="T231">
        <f>IF(OR(Dashboard!$P$4="All",Dashboard!$R$4="All"),NA(),IF(OR(Data!K782&lt;&gt;Dashboard!$P$4,Data!K782&lt;&gt;Dashboard!$R$4),Data!G782,NA()))</f>
        <v>8013.5625093491553</v>
      </c>
      <c r="U231"/>
      <c r="AI231" s="13" t="s">
        <v>2396</v>
      </c>
      <c r="AJ231" s="8"/>
      <c r="AK231" s="8"/>
      <c r="AL231" s="8">
        <v>70000</v>
      </c>
      <c r="AM231" s="8">
        <v>1</v>
      </c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Q231" s="13" t="s">
        <v>2396</v>
      </c>
      <c r="BR231" s="8"/>
      <c r="BS231" s="8"/>
      <c r="BT231" s="8">
        <v>70000</v>
      </c>
      <c r="BU231" s="8"/>
      <c r="BV231" s="8"/>
    </row>
    <row r="232" spans="2:74">
      <c r="B232" t="e">
        <f>IF(Dashboard!$P$4="All",Data!G783,IF(Data!K783=Dashboard!$P$4,Data!G783,NA()))</f>
        <v>#N/A</v>
      </c>
      <c r="C232" t="str">
        <f t="shared" si="67"/>
        <v/>
      </c>
      <c r="D232" t="str">
        <f t="shared" si="68"/>
        <v/>
      </c>
      <c r="E232" t="str">
        <f t="shared" si="69"/>
        <v/>
      </c>
      <c r="F232" t="str">
        <f>IF(C232&lt;&gt;"",Data!$M783,"")</f>
        <v/>
      </c>
      <c r="K232" t="e">
        <f>IF(Dashboard!$R$4="All",Data!G783,IF(Data!K783=Dashboard!$R$4,Data!G783,NA()))</f>
        <v>#N/A</v>
      </c>
      <c r="L232" t="str">
        <f t="shared" si="70"/>
        <v/>
      </c>
      <c r="M232" t="str">
        <f t="shared" si="71"/>
        <v/>
      </c>
      <c r="N232" t="str">
        <f t="shared" si="72"/>
        <v/>
      </c>
      <c r="O232" t="str">
        <f>IF(L232&lt;&gt;"",Data!$M783,"")</f>
        <v/>
      </c>
      <c r="T232">
        <f>IF(OR(Dashboard!$P$4="All",Dashboard!$R$4="All"),NA(),IF(OR(Data!K783&lt;&gt;Dashboard!$P$4,Data!K783&lt;&gt;Dashboard!$R$4),Data!G783,NA()))</f>
        <v>98336.152303032693</v>
      </c>
      <c r="U232"/>
      <c r="AI232" s="13" t="s">
        <v>2397</v>
      </c>
      <c r="AJ232" s="8">
        <v>100000</v>
      </c>
      <c r="AK232" s="8">
        <v>1</v>
      </c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Q232" s="13" t="s">
        <v>2397</v>
      </c>
      <c r="BR232" s="8"/>
      <c r="BS232" s="8"/>
      <c r="BT232" s="8"/>
      <c r="BU232" s="8">
        <v>100000</v>
      </c>
      <c r="BV232" s="8"/>
    </row>
    <row r="233" spans="2:74">
      <c r="B233" t="e">
        <f>IF(Dashboard!$P$4="All",Data!G784,IF(Data!K784=Dashboard!$P$4,Data!G784,NA()))</f>
        <v>#N/A</v>
      </c>
      <c r="C233" t="str">
        <f t="shared" si="67"/>
        <v/>
      </c>
      <c r="D233" t="str">
        <f t="shared" si="68"/>
        <v/>
      </c>
      <c r="E233" t="str">
        <f t="shared" si="69"/>
        <v/>
      </c>
      <c r="F233" t="str">
        <f>IF(C233&lt;&gt;"",Data!$M784,"")</f>
        <v/>
      </c>
      <c r="K233" t="e">
        <f>IF(Dashboard!$R$4="All",Data!G784,IF(Data!K784=Dashboard!$R$4,Data!G784,NA()))</f>
        <v>#N/A</v>
      </c>
      <c r="L233" t="str">
        <f t="shared" si="70"/>
        <v/>
      </c>
      <c r="M233" t="str">
        <f t="shared" si="71"/>
        <v/>
      </c>
      <c r="N233" t="str">
        <f t="shared" si="72"/>
        <v/>
      </c>
      <c r="O233" t="str">
        <f>IF(L233&lt;&gt;"",Data!$M784,"")</f>
        <v/>
      </c>
      <c r="T233">
        <f>IF(OR(Dashboard!$P$4="All",Dashboard!$R$4="All"),NA(),IF(OR(Data!K784&lt;&gt;Dashboard!$P$4,Data!K784&lt;&gt;Dashboard!$R$4),Data!G784,NA()))</f>
        <v>2671.1875031163854</v>
      </c>
      <c r="U233"/>
      <c r="AI233" s="13" t="s">
        <v>2399</v>
      </c>
      <c r="AJ233" s="8"/>
      <c r="AK233" s="8"/>
      <c r="AL233" s="8"/>
      <c r="AM233" s="8"/>
      <c r="AN233" s="8"/>
      <c r="AO233" s="8"/>
      <c r="AP233" s="8"/>
      <c r="AQ233" s="8"/>
      <c r="AR233" s="8">
        <v>85000</v>
      </c>
      <c r="AS233" s="8">
        <v>1</v>
      </c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Q233" s="13" t="s">
        <v>2399</v>
      </c>
      <c r="BR233" s="8"/>
      <c r="BS233" s="8">
        <v>85000</v>
      </c>
      <c r="BT233" s="8"/>
      <c r="BU233" s="8"/>
      <c r="BV233" s="8"/>
    </row>
    <row r="234" spans="2:74">
      <c r="B234" t="e">
        <f>IF(Dashboard!$P$4="All",Data!G785,IF(Data!K785=Dashboard!$P$4,Data!G785,NA()))</f>
        <v>#N/A</v>
      </c>
      <c r="C234" t="str">
        <f t="shared" si="67"/>
        <v/>
      </c>
      <c r="D234" t="str">
        <f t="shared" si="68"/>
        <v/>
      </c>
      <c r="E234" t="str">
        <f t="shared" si="69"/>
        <v/>
      </c>
      <c r="F234" t="str">
        <f>IF(C234&lt;&gt;"",Data!$M785,"")</f>
        <v/>
      </c>
      <c r="K234" t="e">
        <f>IF(Dashboard!$R$4="All",Data!G785,IF(Data!K785=Dashboard!$R$4,Data!G785,NA()))</f>
        <v>#N/A</v>
      </c>
      <c r="L234" t="str">
        <f t="shared" si="70"/>
        <v/>
      </c>
      <c r="M234" t="str">
        <f t="shared" si="71"/>
        <v/>
      </c>
      <c r="N234" t="str">
        <f t="shared" si="72"/>
        <v/>
      </c>
      <c r="O234" t="str">
        <f>IF(L234&lt;&gt;"",Data!$M785,"")</f>
        <v/>
      </c>
      <c r="T234">
        <f>IF(OR(Dashboard!$P$4="All",Dashboard!$R$4="All"),NA(),IF(OR(Data!K785&lt;&gt;Dashboard!$P$4,Data!K785&lt;&gt;Dashboard!$R$4),Data!G785,NA()))</f>
        <v>96000</v>
      </c>
      <c r="U234"/>
      <c r="AI234" s="13" t="s">
        <v>2400</v>
      </c>
      <c r="AJ234" s="8"/>
      <c r="AK234" s="8"/>
      <c r="AL234" s="8">
        <v>47000</v>
      </c>
      <c r="AM234" s="8">
        <v>1</v>
      </c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Q234" s="13" t="s">
        <v>2400</v>
      </c>
      <c r="BR234" s="8"/>
      <c r="BS234" s="8"/>
      <c r="BT234" s="8">
        <v>47000</v>
      </c>
      <c r="BU234" s="8"/>
      <c r="BV234" s="8"/>
    </row>
    <row r="235" spans="2:74">
      <c r="B235" t="e">
        <f>IF(Dashboard!$P$4="All",Data!G786,IF(Data!K786=Dashboard!$P$4,Data!G786,NA()))</f>
        <v>#N/A</v>
      </c>
      <c r="C235" t="str">
        <f t="shared" si="67"/>
        <v/>
      </c>
      <c r="D235" t="str">
        <f t="shared" si="68"/>
        <v/>
      </c>
      <c r="E235" t="str">
        <f t="shared" si="69"/>
        <v/>
      </c>
      <c r="F235" t="str">
        <f>IF(C235&lt;&gt;"",Data!$M786,"")</f>
        <v/>
      </c>
      <c r="K235" t="e">
        <f>IF(Dashboard!$R$4="All",Data!G786,IF(Data!K786=Dashboard!$R$4,Data!G786,NA()))</f>
        <v>#N/A</v>
      </c>
      <c r="L235" t="str">
        <f t="shared" si="70"/>
        <v/>
      </c>
      <c r="M235" t="str">
        <f t="shared" si="71"/>
        <v/>
      </c>
      <c r="N235" t="str">
        <f t="shared" si="72"/>
        <v/>
      </c>
      <c r="O235" t="str">
        <f>IF(L235&lt;&gt;"",Data!$M786,"")</f>
        <v/>
      </c>
      <c r="T235">
        <f>IF(OR(Dashboard!$P$4="All",Dashboard!$R$4="All"),NA(),IF(OR(Data!K786&lt;&gt;Dashboard!$P$4,Data!K786&lt;&gt;Dashboard!$R$4),Data!G786,NA()))</f>
        <v>20514.720023933838</v>
      </c>
      <c r="U235"/>
      <c r="AI235" s="13" t="s">
        <v>2401</v>
      </c>
      <c r="AJ235" s="8"/>
      <c r="AK235" s="8"/>
      <c r="AL235" s="8">
        <v>40000</v>
      </c>
      <c r="AM235" s="8">
        <v>1</v>
      </c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Q235" s="13" t="s">
        <v>2401</v>
      </c>
      <c r="BR235" s="8"/>
      <c r="BS235" s="8">
        <v>40000</v>
      </c>
      <c r="BT235" s="8"/>
      <c r="BU235" s="8"/>
      <c r="BV235" s="8"/>
    </row>
    <row r="236" spans="2:74">
      <c r="B236" t="e">
        <f>IF(Dashboard!$P$4="All",Data!G787,IF(Data!K787=Dashboard!$P$4,Data!G787,NA()))</f>
        <v>#N/A</v>
      </c>
      <c r="C236" t="str">
        <f t="shared" si="67"/>
        <v/>
      </c>
      <c r="D236" t="str">
        <f t="shared" si="68"/>
        <v/>
      </c>
      <c r="E236" t="str">
        <f t="shared" si="69"/>
        <v/>
      </c>
      <c r="F236" t="str">
        <f>IF(C236&lt;&gt;"",Data!$M787,"")</f>
        <v/>
      </c>
      <c r="K236" t="e">
        <f>IF(Dashboard!$R$4="All",Data!G787,IF(Data!K787=Dashboard!$R$4,Data!G787,NA()))</f>
        <v>#N/A</v>
      </c>
      <c r="L236" t="str">
        <f t="shared" si="70"/>
        <v/>
      </c>
      <c r="M236" t="str">
        <f t="shared" si="71"/>
        <v/>
      </c>
      <c r="N236" t="str">
        <f t="shared" si="72"/>
        <v/>
      </c>
      <c r="O236" t="str">
        <f>IF(L236&lt;&gt;"",Data!$M787,"")</f>
        <v/>
      </c>
      <c r="T236">
        <f>IF(OR(Dashboard!$P$4="All",Dashboard!$R$4="All"),NA(),IF(OR(Data!K787&lt;&gt;Dashboard!$P$4,Data!K787&lt;&gt;Dashboard!$R$4),Data!G787,NA()))</f>
        <v>19055.991584874118</v>
      </c>
      <c r="U236"/>
      <c r="AI236" s="13" t="s">
        <v>2404</v>
      </c>
      <c r="AJ236" s="8">
        <v>34000</v>
      </c>
      <c r="AK236" s="8">
        <v>1</v>
      </c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Q236" s="13" t="s">
        <v>2404</v>
      </c>
      <c r="BR236" s="8"/>
      <c r="BS236" s="8"/>
      <c r="BT236" s="8">
        <v>34000</v>
      </c>
      <c r="BU236" s="8"/>
      <c r="BV236" s="8"/>
    </row>
    <row r="237" spans="2:74">
      <c r="B237" t="e">
        <f>IF(Dashboard!$P$4="All",Data!G788,IF(Data!K788=Dashboard!$P$4,Data!G788,NA()))</f>
        <v>#N/A</v>
      </c>
      <c r="C237" t="str">
        <f t="shared" si="67"/>
        <v/>
      </c>
      <c r="D237" t="str">
        <f t="shared" si="68"/>
        <v/>
      </c>
      <c r="E237" t="str">
        <f t="shared" si="69"/>
        <v/>
      </c>
      <c r="F237" t="str">
        <f>IF(C237&lt;&gt;"",Data!$M788,"")</f>
        <v/>
      </c>
      <c r="K237" t="e">
        <f>IF(Dashboard!$R$4="All",Data!G788,IF(Data!K788=Dashboard!$R$4,Data!G788,NA()))</f>
        <v>#N/A</v>
      </c>
      <c r="L237" t="str">
        <f t="shared" si="70"/>
        <v/>
      </c>
      <c r="M237" t="str">
        <f t="shared" si="71"/>
        <v/>
      </c>
      <c r="N237" t="str">
        <f t="shared" si="72"/>
        <v/>
      </c>
      <c r="O237" t="str">
        <f>IF(L237&lt;&gt;"",Data!$M788,"")</f>
        <v/>
      </c>
      <c r="T237">
        <f>IF(OR(Dashboard!$P$4="All",Dashboard!$R$4="All"),NA(),IF(OR(Data!K788&lt;&gt;Dashboard!$P$4,Data!K788&lt;&gt;Dashboard!$R$4),Data!G788,NA()))</f>
        <v>66294.12766617132</v>
      </c>
      <c r="U237"/>
      <c r="AI237" s="13" t="s">
        <v>2405</v>
      </c>
      <c r="AJ237" s="8">
        <v>52000</v>
      </c>
      <c r="AK237" s="8">
        <v>1</v>
      </c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Q237" s="13" t="s">
        <v>2405</v>
      </c>
      <c r="BR237" s="8"/>
      <c r="BS237" s="8"/>
      <c r="BT237" s="8">
        <v>52000</v>
      </c>
      <c r="BU237" s="8"/>
      <c r="BV237" s="8"/>
    </row>
    <row r="238" spans="2:74">
      <c r="B238" t="e">
        <f>IF(Dashboard!$P$4="All",Data!G789,IF(Data!K789=Dashboard!$P$4,Data!G789,NA()))</f>
        <v>#N/A</v>
      </c>
      <c r="C238" t="str">
        <f t="shared" si="67"/>
        <v/>
      </c>
      <c r="D238" t="str">
        <f t="shared" si="68"/>
        <v/>
      </c>
      <c r="E238" t="str">
        <f t="shared" si="69"/>
        <v/>
      </c>
      <c r="F238" t="str">
        <f>IF(C238&lt;&gt;"",Data!$M789,"")</f>
        <v/>
      </c>
      <c r="K238" t="e">
        <f>IF(Dashboard!$R$4="All",Data!G789,IF(Data!K789=Dashboard!$R$4,Data!G789,NA()))</f>
        <v>#N/A</v>
      </c>
      <c r="L238" t="str">
        <f t="shared" si="70"/>
        <v/>
      </c>
      <c r="M238" t="str">
        <f t="shared" si="71"/>
        <v/>
      </c>
      <c r="N238" t="str">
        <f t="shared" si="72"/>
        <v/>
      </c>
      <c r="O238" t="str">
        <f>IF(L238&lt;&gt;"",Data!$M789,"")</f>
        <v/>
      </c>
      <c r="T238">
        <f>IF(OR(Dashboard!$P$4="All",Dashboard!$R$4="All"),NA(),IF(OR(Data!K789&lt;&gt;Dashboard!$P$4,Data!K789&lt;&gt;Dashboard!$R$4),Data!G789,NA()))</f>
        <v>6713.584591165848</v>
      </c>
      <c r="U238"/>
      <c r="AI238" s="13" t="s">
        <v>2410</v>
      </c>
      <c r="AJ238" s="8">
        <v>60000</v>
      </c>
      <c r="AK238" s="8">
        <v>1</v>
      </c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Q238" s="13" t="s">
        <v>2410</v>
      </c>
      <c r="BR238" s="8"/>
      <c r="BS238" s="8"/>
      <c r="BT238" s="8">
        <v>60000</v>
      </c>
      <c r="BU238" s="8"/>
      <c r="BV238" s="8"/>
    </row>
    <row r="239" spans="2:74">
      <c r="B239" t="e">
        <f>IF(Dashboard!$P$4="All",Data!G790,IF(Data!K790=Dashboard!$P$4,Data!G790,NA()))</f>
        <v>#N/A</v>
      </c>
      <c r="C239" t="str">
        <f t="shared" si="67"/>
        <v/>
      </c>
      <c r="D239" t="str">
        <f t="shared" si="68"/>
        <v/>
      </c>
      <c r="E239" t="str">
        <f t="shared" si="69"/>
        <v/>
      </c>
      <c r="F239" t="str">
        <f>IF(C239&lt;&gt;"",Data!$M790,"")</f>
        <v/>
      </c>
      <c r="K239">
        <f>IF(Dashboard!$R$4="All",Data!G790,IF(Data!K790=Dashboard!$R$4,Data!G790,NA()))</f>
        <v>45709.169889951241</v>
      </c>
      <c r="L239">
        <f t="shared" si="70"/>
        <v>45709.169889951241</v>
      </c>
      <c r="M239" t="str">
        <f t="shared" si="71"/>
        <v/>
      </c>
      <c r="N239" t="str">
        <f t="shared" si="72"/>
        <v/>
      </c>
      <c r="O239">
        <f>IF(L239&lt;&gt;"",Data!$M790,"")</f>
        <v>15</v>
      </c>
      <c r="T239">
        <f>IF(OR(Dashboard!$P$4="All",Dashboard!$R$4="All"),NA(),IF(OR(Data!K790&lt;&gt;Dashboard!$P$4,Data!K790&lt;&gt;Dashboard!$R$4),Data!G790,NA()))</f>
        <v>45709.169889951241</v>
      </c>
      <c r="U239"/>
      <c r="AI239" s="13" t="s">
        <v>2413</v>
      </c>
      <c r="AJ239" s="8">
        <v>56000</v>
      </c>
      <c r="AK239" s="8">
        <v>1</v>
      </c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Q239" s="13" t="s">
        <v>2413</v>
      </c>
      <c r="BR239" s="8"/>
      <c r="BS239" s="8"/>
      <c r="BT239" s="8">
        <v>56000</v>
      </c>
      <c r="BU239" s="8"/>
      <c r="BV239" s="8"/>
    </row>
    <row r="240" spans="2:74">
      <c r="B240" t="e">
        <f>IF(Dashboard!$P$4="All",Data!G791,IF(Data!K791=Dashboard!$P$4,Data!G791,NA()))</f>
        <v>#N/A</v>
      </c>
      <c r="C240" t="str">
        <f t="shared" si="67"/>
        <v/>
      </c>
      <c r="D240" t="str">
        <f t="shared" si="68"/>
        <v/>
      </c>
      <c r="E240" t="str">
        <f t="shared" si="69"/>
        <v/>
      </c>
      <c r="F240" t="str">
        <f>IF(C240&lt;&gt;"",Data!$M791,"")</f>
        <v/>
      </c>
      <c r="K240" t="e">
        <f>IF(Dashboard!$R$4="All",Data!G791,IF(Data!K791=Dashboard!$R$4,Data!G791,NA()))</f>
        <v>#N/A</v>
      </c>
      <c r="L240" t="str">
        <f t="shared" si="70"/>
        <v/>
      </c>
      <c r="M240" t="str">
        <f t="shared" si="71"/>
        <v/>
      </c>
      <c r="N240" t="str">
        <f t="shared" si="72"/>
        <v/>
      </c>
      <c r="O240" t="str">
        <f>IF(L240&lt;&gt;"",Data!$M791,"")</f>
        <v/>
      </c>
      <c r="T240">
        <f>IF(OR(Dashboard!$P$4="All",Dashboard!$R$4="All"),NA(),IF(OR(Data!K791&lt;&gt;Dashboard!$P$4,Data!K791&lt;&gt;Dashboard!$R$4),Data!G791,NA()))</f>
        <v>48500</v>
      </c>
      <c r="U240"/>
      <c r="AI240" s="13" t="s">
        <v>2414</v>
      </c>
      <c r="AJ240" s="8"/>
      <c r="AK240" s="8"/>
      <c r="AL240" s="8"/>
      <c r="AM240" s="8"/>
      <c r="AN240" s="8">
        <v>52000</v>
      </c>
      <c r="AO240" s="8">
        <v>1</v>
      </c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Q240" s="13" t="s">
        <v>2414</v>
      </c>
      <c r="BR240" s="8"/>
      <c r="BS240" s="8"/>
      <c r="BT240" s="8">
        <v>52000</v>
      </c>
      <c r="BU240" s="8"/>
      <c r="BV240" s="8"/>
    </row>
    <row r="241" spans="2:74">
      <c r="B241" t="e">
        <f>IF(Dashboard!$P$4="All",Data!G792,IF(Data!K792=Dashboard!$P$4,Data!G792,NA()))</f>
        <v>#N/A</v>
      </c>
      <c r="C241" t="str">
        <f t="shared" si="67"/>
        <v/>
      </c>
      <c r="D241" t="str">
        <f t="shared" si="68"/>
        <v/>
      </c>
      <c r="E241" t="str">
        <f t="shared" si="69"/>
        <v/>
      </c>
      <c r="F241" t="str">
        <f>IF(C241&lt;&gt;"",Data!$M792,"")</f>
        <v/>
      </c>
      <c r="K241" t="e">
        <f>IF(Dashboard!$R$4="All",Data!G792,IF(Data!K792=Dashboard!$R$4,Data!G792,NA()))</f>
        <v>#N/A</v>
      </c>
      <c r="L241" t="str">
        <f t="shared" si="70"/>
        <v/>
      </c>
      <c r="M241" t="str">
        <f t="shared" si="71"/>
        <v/>
      </c>
      <c r="N241" t="str">
        <f t="shared" si="72"/>
        <v/>
      </c>
      <c r="O241" t="str">
        <f>IF(L241&lt;&gt;"",Data!$M792,"")</f>
        <v/>
      </c>
      <c r="T241">
        <f>IF(OR(Dashboard!$P$4="All",Dashboard!$R$4="All"),NA(),IF(OR(Data!K792&lt;&gt;Dashboard!$P$4,Data!K792&lt;&gt;Dashboard!$R$4),Data!G792,NA()))</f>
        <v>10684.750012465542</v>
      </c>
      <c r="U241"/>
      <c r="AI241" s="13" t="s">
        <v>2415</v>
      </c>
      <c r="AJ241" s="8">
        <v>51613</v>
      </c>
      <c r="AK241" s="8">
        <v>1</v>
      </c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Q241" s="13" t="s">
        <v>2415</v>
      </c>
      <c r="BR241" s="8"/>
      <c r="BS241" s="8"/>
      <c r="BT241" s="8"/>
      <c r="BU241" s="8">
        <v>51613</v>
      </c>
      <c r="BV241" s="8"/>
    </row>
    <row r="242" spans="2:74">
      <c r="B242" t="e">
        <f>IF(Dashboard!$P$4="All",Data!G793,IF(Data!K793=Dashboard!$P$4,Data!G793,NA()))</f>
        <v>#N/A</v>
      </c>
      <c r="C242" t="str">
        <f t="shared" si="67"/>
        <v/>
      </c>
      <c r="D242" t="str">
        <f t="shared" si="68"/>
        <v/>
      </c>
      <c r="E242" t="str">
        <f t="shared" si="69"/>
        <v/>
      </c>
      <c r="F242" t="str">
        <f>IF(C242&lt;&gt;"",Data!$M793,"")</f>
        <v/>
      </c>
      <c r="K242" t="e">
        <f>IF(Dashboard!$R$4="All",Data!G793,IF(Data!K793=Dashboard!$R$4,Data!G793,NA()))</f>
        <v>#N/A</v>
      </c>
      <c r="L242" t="str">
        <f t="shared" si="70"/>
        <v/>
      </c>
      <c r="M242" t="str">
        <f t="shared" si="71"/>
        <v/>
      </c>
      <c r="N242" t="str">
        <f t="shared" si="72"/>
        <v/>
      </c>
      <c r="O242" t="str">
        <f>IF(L242&lt;&gt;"",Data!$M793,"")</f>
        <v/>
      </c>
      <c r="T242">
        <f>IF(OR(Dashboard!$P$4="All",Dashboard!$R$4="All"),NA(),IF(OR(Data!K793&lt;&gt;Dashboard!$P$4,Data!K793&lt;&gt;Dashboard!$R$4),Data!G793,NA()))</f>
        <v>33900</v>
      </c>
      <c r="U242"/>
      <c r="AI242" s="13" t="s">
        <v>2417</v>
      </c>
      <c r="AJ242" s="8"/>
      <c r="AK242" s="8"/>
      <c r="AL242" s="8">
        <v>56000</v>
      </c>
      <c r="AM242" s="8">
        <v>1</v>
      </c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Q242" s="13" t="s">
        <v>2417</v>
      </c>
      <c r="BR242" s="8"/>
      <c r="BS242" s="8"/>
      <c r="BT242" s="8"/>
      <c r="BU242" s="8">
        <v>56000</v>
      </c>
      <c r="BV242" s="8"/>
    </row>
    <row r="243" spans="2:74">
      <c r="B243" t="e">
        <f>IF(Dashboard!$P$4="All",Data!G794,IF(Data!K794=Dashboard!$P$4,Data!G794,NA()))</f>
        <v>#N/A</v>
      </c>
      <c r="C243" t="str">
        <f t="shared" si="67"/>
        <v/>
      </c>
      <c r="D243" t="str">
        <f t="shared" si="68"/>
        <v/>
      </c>
      <c r="E243" t="str">
        <f t="shared" si="69"/>
        <v/>
      </c>
      <c r="F243" t="str">
        <f>IF(C243&lt;&gt;"",Data!$M794,"")</f>
        <v/>
      </c>
      <c r="K243" t="e">
        <f>IF(Dashboard!$R$4="All",Data!G794,IF(Data!K794=Dashboard!$R$4,Data!G794,NA()))</f>
        <v>#N/A</v>
      </c>
      <c r="L243" t="str">
        <f t="shared" si="70"/>
        <v/>
      </c>
      <c r="M243" t="str">
        <f t="shared" si="71"/>
        <v/>
      </c>
      <c r="N243" t="str">
        <f t="shared" si="72"/>
        <v/>
      </c>
      <c r="O243" t="str">
        <f>IF(L243&lt;&gt;"",Data!$M794,"")</f>
        <v/>
      </c>
      <c r="T243">
        <f>IF(OR(Dashboard!$P$4="All",Dashboard!$R$4="All"),NA(),IF(OR(Data!K794&lt;&gt;Dashboard!$P$4,Data!K794&lt;&gt;Dashboard!$R$4),Data!G794,NA()))</f>
        <v>109729.60187662003</v>
      </c>
      <c r="U243"/>
      <c r="AI243" s="13" t="s">
        <v>2418</v>
      </c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>
        <v>115000</v>
      </c>
      <c r="AW243" s="8">
        <v>1</v>
      </c>
      <c r="AX243" s="8"/>
      <c r="AY243" s="8"/>
      <c r="AZ243" s="8"/>
      <c r="BA243" s="8"/>
      <c r="BB243" s="8"/>
      <c r="BC243" s="8"/>
      <c r="BQ243" s="13" t="s">
        <v>2418</v>
      </c>
      <c r="BR243" s="8"/>
      <c r="BS243" s="8">
        <v>115000</v>
      </c>
      <c r="BT243" s="8"/>
      <c r="BU243" s="8"/>
      <c r="BV243" s="8"/>
    </row>
    <row r="244" spans="2:74">
      <c r="B244" t="e">
        <f>IF(Dashboard!$P$4="All",Data!G795,IF(Data!K795=Dashboard!$P$4,Data!G795,NA()))</f>
        <v>#N/A</v>
      </c>
      <c r="C244" t="str">
        <f t="shared" si="67"/>
        <v/>
      </c>
      <c r="D244" t="str">
        <f t="shared" si="68"/>
        <v/>
      </c>
      <c r="E244" t="str">
        <f t="shared" si="69"/>
        <v/>
      </c>
      <c r="F244" t="str">
        <f>IF(C244&lt;&gt;"",Data!$M795,"")</f>
        <v/>
      </c>
      <c r="K244" t="e">
        <f>IF(Dashboard!$R$4="All",Data!G795,IF(Data!K795=Dashboard!$R$4,Data!G795,NA()))</f>
        <v>#N/A</v>
      </c>
      <c r="L244" t="str">
        <f t="shared" si="70"/>
        <v/>
      </c>
      <c r="M244" t="str">
        <f t="shared" si="71"/>
        <v/>
      </c>
      <c r="N244" t="str">
        <f t="shared" si="72"/>
        <v/>
      </c>
      <c r="O244" t="str">
        <f>IF(L244&lt;&gt;"",Data!$M795,"")</f>
        <v/>
      </c>
      <c r="T244">
        <f>IF(OR(Dashboard!$P$4="All",Dashboard!$R$4="All"),NA(),IF(OR(Data!K795&lt;&gt;Dashboard!$P$4,Data!K795&lt;&gt;Dashboard!$R$4),Data!G795,NA()))</f>
        <v>15136.729184326183</v>
      </c>
      <c r="U244"/>
      <c r="AI244" s="13" t="s">
        <v>2421</v>
      </c>
      <c r="AJ244" s="8"/>
      <c r="AK244" s="8"/>
      <c r="AL244" s="8"/>
      <c r="AM244" s="8"/>
      <c r="AN244" s="8"/>
      <c r="AO244" s="8"/>
      <c r="AP244" s="8">
        <v>72000</v>
      </c>
      <c r="AQ244" s="8">
        <v>1</v>
      </c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Q244" s="13" t="s">
        <v>2421</v>
      </c>
      <c r="BR244" s="8"/>
      <c r="BS244" s="8"/>
      <c r="BT244" s="8">
        <v>72000</v>
      </c>
      <c r="BU244" s="8"/>
      <c r="BV244" s="8"/>
    </row>
    <row r="245" spans="2:74">
      <c r="B245" t="e">
        <f>IF(Dashboard!$P$4="All",Data!G796,IF(Data!K796=Dashboard!$P$4,Data!G796,NA()))</f>
        <v>#N/A</v>
      </c>
      <c r="C245" t="str">
        <f t="shared" si="67"/>
        <v/>
      </c>
      <c r="D245" t="str">
        <f t="shared" si="68"/>
        <v/>
      </c>
      <c r="E245" t="str">
        <f t="shared" si="69"/>
        <v/>
      </c>
      <c r="F245" t="str">
        <f>IF(C245&lt;&gt;"",Data!$M796,"")</f>
        <v/>
      </c>
      <c r="K245" t="e">
        <f>IF(Dashboard!$R$4="All",Data!G796,IF(Data!K796=Dashboard!$R$4,Data!G796,NA()))</f>
        <v>#N/A</v>
      </c>
      <c r="L245" t="str">
        <f t="shared" si="70"/>
        <v/>
      </c>
      <c r="M245" t="str">
        <f t="shared" si="71"/>
        <v/>
      </c>
      <c r="N245" t="str">
        <f t="shared" si="72"/>
        <v/>
      </c>
      <c r="O245" t="str">
        <f>IF(L245&lt;&gt;"",Data!$M796,"")</f>
        <v/>
      </c>
      <c r="T245">
        <f>IF(OR(Dashboard!$P$4="All",Dashboard!$R$4="All"),NA(),IF(OR(Data!K796&lt;&gt;Dashboard!$P$4,Data!K796&lt;&gt;Dashboard!$R$4),Data!G796,NA()))</f>
        <v>85000</v>
      </c>
      <c r="U245"/>
      <c r="AI245" s="13" t="s">
        <v>2422</v>
      </c>
      <c r="AJ245" s="8">
        <v>90000</v>
      </c>
      <c r="AK245" s="8">
        <v>1</v>
      </c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Q245" s="13" t="s">
        <v>2422</v>
      </c>
      <c r="BR245" s="8"/>
      <c r="BS245" s="8"/>
      <c r="BT245" s="8"/>
      <c r="BU245" s="8">
        <v>90000</v>
      </c>
      <c r="BV245" s="8"/>
    </row>
    <row r="246" spans="2:74">
      <c r="B246" t="e">
        <f>IF(Dashboard!$P$4="All",Data!G797,IF(Data!K797=Dashboard!$P$4,Data!G797,NA()))</f>
        <v>#N/A</v>
      </c>
      <c r="C246" t="str">
        <f t="shared" si="67"/>
        <v/>
      </c>
      <c r="D246" t="str">
        <f t="shared" si="68"/>
        <v/>
      </c>
      <c r="E246" t="str">
        <f t="shared" si="69"/>
        <v/>
      </c>
      <c r="F246" t="str">
        <f>IF(C246&lt;&gt;"",Data!$M797,"")</f>
        <v/>
      </c>
      <c r="K246" t="e">
        <f>IF(Dashboard!$R$4="All",Data!G797,IF(Data!K797=Dashboard!$R$4,Data!G797,NA()))</f>
        <v>#N/A</v>
      </c>
      <c r="L246" t="str">
        <f t="shared" si="70"/>
        <v/>
      </c>
      <c r="M246" t="str">
        <f t="shared" si="71"/>
        <v/>
      </c>
      <c r="N246" t="str">
        <f t="shared" si="72"/>
        <v/>
      </c>
      <c r="O246" t="str">
        <f>IF(L246&lt;&gt;"",Data!$M797,"")</f>
        <v/>
      </c>
      <c r="T246">
        <f>IF(OR(Dashboard!$P$4="All",Dashboard!$R$4="All"),NA(),IF(OR(Data!K797&lt;&gt;Dashboard!$P$4,Data!K797&lt;&gt;Dashboard!$R$4),Data!G797,NA()))</f>
        <v>8013.5625093491553</v>
      </c>
      <c r="U246"/>
      <c r="AI246" s="13" t="s">
        <v>2425</v>
      </c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>
        <v>250000</v>
      </c>
      <c r="AW246" s="8">
        <v>1</v>
      </c>
      <c r="AX246" s="8"/>
      <c r="AY246" s="8"/>
      <c r="AZ246" s="8"/>
      <c r="BA246" s="8"/>
      <c r="BB246" s="8"/>
      <c r="BC246" s="8"/>
      <c r="BQ246" s="13" t="s">
        <v>2425</v>
      </c>
      <c r="BR246" s="8"/>
      <c r="BS246" s="8"/>
      <c r="BT246" s="8"/>
      <c r="BU246" s="8">
        <v>250000</v>
      </c>
      <c r="BV246" s="8"/>
    </row>
    <row r="247" spans="2:74">
      <c r="B247" t="e">
        <f>IF(Dashboard!$P$4="All",Data!G798,IF(Data!K798=Dashboard!$P$4,Data!G798,NA()))</f>
        <v>#N/A</v>
      </c>
      <c r="C247" t="str">
        <f t="shared" si="67"/>
        <v/>
      </c>
      <c r="D247" t="str">
        <f t="shared" si="68"/>
        <v/>
      </c>
      <c r="E247" t="str">
        <f t="shared" si="69"/>
        <v/>
      </c>
      <c r="F247" t="str">
        <f>IF(C247&lt;&gt;"",Data!$M798,"")</f>
        <v/>
      </c>
      <c r="K247" t="e">
        <f>IF(Dashboard!$R$4="All",Data!G798,IF(Data!K798=Dashboard!$R$4,Data!G798,NA()))</f>
        <v>#N/A</v>
      </c>
      <c r="L247" t="str">
        <f t="shared" si="70"/>
        <v/>
      </c>
      <c r="M247" t="str">
        <f t="shared" si="71"/>
        <v/>
      </c>
      <c r="N247" t="str">
        <f t="shared" si="72"/>
        <v/>
      </c>
      <c r="O247" t="str">
        <f>IF(L247&lt;&gt;"",Data!$M798,"")</f>
        <v/>
      </c>
      <c r="T247">
        <f>IF(OR(Dashboard!$P$4="All",Dashboard!$R$4="All"),NA(),IF(OR(Data!K798&lt;&gt;Dashboard!$P$4,Data!K798&lt;&gt;Dashboard!$R$4),Data!G798,NA()))</f>
        <v>48000</v>
      </c>
      <c r="U247"/>
      <c r="AI247" s="13" t="s">
        <v>2428</v>
      </c>
      <c r="AJ247" s="8"/>
      <c r="AK247" s="8"/>
      <c r="AL247" s="8">
        <v>30000</v>
      </c>
      <c r="AM247" s="8">
        <v>1</v>
      </c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Q247" s="13" t="s">
        <v>2428</v>
      </c>
      <c r="BR247" s="8"/>
      <c r="BS247" s="8">
        <v>30000</v>
      </c>
      <c r="BT247" s="8"/>
      <c r="BU247" s="8"/>
      <c r="BV247" s="8"/>
    </row>
    <row r="248" spans="2:74">
      <c r="B248" t="e">
        <f>IF(Dashboard!$P$4="All",Data!G799,IF(Data!K799=Dashboard!$P$4,Data!G799,NA()))</f>
        <v>#N/A</v>
      </c>
      <c r="C248" t="str">
        <f t="shared" si="67"/>
        <v/>
      </c>
      <c r="D248" t="str">
        <f t="shared" si="68"/>
        <v/>
      </c>
      <c r="E248" t="str">
        <f t="shared" si="69"/>
        <v/>
      </c>
      <c r="F248" t="str">
        <f>IF(C248&lt;&gt;"",Data!$M799,"")</f>
        <v/>
      </c>
      <c r="K248" t="e">
        <f>IF(Dashboard!$R$4="All",Data!G799,IF(Data!K799=Dashboard!$R$4,Data!G799,NA()))</f>
        <v>#N/A</v>
      </c>
      <c r="L248" t="str">
        <f t="shared" si="70"/>
        <v/>
      </c>
      <c r="M248" t="str">
        <f t="shared" si="71"/>
        <v/>
      </c>
      <c r="N248" t="str">
        <f t="shared" si="72"/>
        <v/>
      </c>
      <c r="O248" t="str">
        <f>IF(L248&lt;&gt;"",Data!$M799,"")</f>
        <v/>
      </c>
      <c r="T248">
        <f>IF(OR(Dashboard!$P$4="All",Dashboard!$R$4="All"),NA(),IF(OR(Data!K799&lt;&gt;Dashboard!$P$4,Data!K799&lt;&gt;Dashboard!$R$4),Data!G799,NA()))</f>
        <v>3027.3458368652364</v>
      </c>
      <c r="U248"/>
      <c r="AI248" s="13" t="s">
        <v>2430</v>
      </c>
      <c r="AJ248" s="8"/>
      <c r="AK248" s="8"/>
      <c r="AL248" s="8"/>
      <c r="AM248" s="8"/>
      <c r="AN248" s="8"/>
      <c r="AO248" s="8"/>
      <c r="AP248" s="8"/>
      <c r="AQ248" s="8"/>
      <c r="AR248" s="8">
        <v>24000</v>
      </c>
      <c r="AS248" s="8">
        <v>1</v>
      </c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Q248" s="13" t="s">
        <v>2430</v>
      </c>
      <c r="BR248" s="8">
        <v>24000</v>
      </c>
      <c r="BS248" s="8"/>
      <c r="BT248" s="8"/>
      <c r="BU248" s="8"/>
      <c r="BV248" s="8"/>
    </row>
    <row r="249" spans="2:74">
      <c r="B249" t="e">
        <f>IF(Dashboard!$P$4="All",Data!G800,IF(Data!K800=Dashboard!$P$4,Data!G800,NA()))</f>
        <v>#N/A</v>
      </c>
      <c r="C249" t="str">
        <f t="shared" si="67"/>
        <v/>
      </c>
      <c r="D249" t="str">
        <f t="shared" si="68"/>
        <v/>
      </c>
      <c r="E249" t="str">
        <f t="shared" si="69"/>
        <v/>
      </c>
      <c r="F249" t="str">
        <f>IF(C249&lt;&gt;"",Data!$M800,"")</f>
        <v/>
      </c>
      <c r="K249" t="e">
        <f>IF(Dashboard!$R$4="All",Data!G800,IF(Data!K800=Dashboard!$R$4,Data!G800,NA()))</f>
        <v>#N/A</v>
      </c>
      <c r="L249" t="str">
        <f t="shared" si="70"/>
        <v/>
      </c>
      <c r="M249" t="str">
        <f t="shared" si="71"/>
        <v/>
      </c>
      <c r="N249" t="str">
        <f t="shared" si="72"/>
        <v/>
      </c>
      <c r="O249" t="str">
        <f>IF(L249&lt;&gt;"",Data!$M800,"")</f>
        <v/>
      </c>
      <c r="T249">
        <f>IF(OR(Dashboard!$P$4="All",Dashboard!$R$4="All"),NA(),IF(OR(Data!K800&lt;&gt;Dashboard!$P$4,Data!K800&lt;&gt;Dashboard!$R$4),Data!G800,NA()))</f>
        <v>13100</v>
      </c>
      <c r="U249"/>
      <c r="AI249" s="13" t="s">
        <v>2431</v>
      </c>
      <c r="AJ249" s="8"/>
      <c r="AK249" s="8"/>
      <c r="AL249" s="8">
        <v>60000</v>
      </c>
      <c r="AM249" s="8">
        <v>1</v>
      </c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Q249" s="13" t="s">
        <v>2431</v>
      </c>
      <c r="BR249" s="8"/>
      <c r="BS249" s="8"/>
      <c r="BT249" s="8">
        <v>60000</v>
      </c>
      <c r="BU249" s="8"/>
      <c r="BV249" s="8"/>
    </row>
    <row r="250" spans="2:74">
      <c r="B250" t="e">
        <f>IF(Dashboard!$P$4="All",Data!G801,IF(Data!K801=Dashboard!$P$4,Data!G801,NA()))</f>
        <v>#N/A</v>
      </c>
      <c r="C250" t="str">
        <f t="shared" si="67"/>
        <v/>
      </c>
      <c r="D250" t="str">
        <f t="shared" si="68"/>
        <v/>
      </c>
      <c r="E250" t="str">
        <f t="shared" si="69"/>
        <v/>
      </c>
      <c r="F250" t="str">
        <f>IF(C250&lt;&gt;"",Data!$M801,"")</f>
        <v/>
      </c>
      <c r="K250" t="e">
        <f>IF(Dashboard!$R$4="All",Data!G801,IF(Data!K801=Dashboard!$R$4,Data!G801,NA()))</f>
        <v>#N/A</v>
      </c>
      <c r="L250" t="str">
        <f t="shared" si="70"/>
        <v/>
      </c>
      <c r="M250" t="str">
        <f t="shared" si="71"/>
        <v/>
      </c>
      <c r="N250" t="str">
        <f t="shared" si="72"/>
        <v/>
      </c>
      <c r="O250" t="str">
        <f>IF(L250&lt;&gt;"",Data!$M801,"")</f>
        <v/>
      </c>
      <c r="T250">
        <f>IF(OR(Dashboard!$P$4="All",Dashboard!$R$4="All"),NA(),IF(OR(Data!K801&lt;&gt;Dashboard!$P$4,Data!K801&lt;&gt;Dashboard!$R$4),Data!G801,NA()))</f>
        <v>60000</v>
      </c>
      <c r="U250"/>
      <c r="AI250" s="13" t="s">
        <v>2432</v>
      </c>
      <c r="AJ250" s="8">
        <v>76600</v>
      </c>
      <c r="AK250" s="8">
        <v>1</v>
      </c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Q250" s="13" t="s">
        <v>2432</v>
      </c>
      <c r="BR250" s="8"/>
      <c r="BS250" s="8">
        <v>76600</v>
      </c>
      <c r="BT250" s="8"/>
      <c r="BU250" s="8"/>
      <c r="BV250" s="8"/>
    </row>
    <row r="251" spans="2:74">
      <c r="B251" t="e">
        <f>IF(Dashboard!$P$4="All",Data!G802,IF(Data!K802=Dashboard!$P$4,Data!G802,NA()))</f>
        <v>#N/A</v>
      </c>
      <c r="C251" t="str">
        <f t="shared" si="67"/>
        <v/>
      </c>
      <c r="D251" t="str">
        <f t="shared" si="68"/>
        <v/>
      </c>
      <c r="E251" t="str">
        <f t="shared" si="69"/>
        <v/>
      </c>
      <c r="F251" t="str">
        <f>IF(C251&lt;&gt;"",Data!$M802,"")</f>
        <v/>
      </c>
      <c r="K251" t="e">
        <f>IF(Dashboard!$R$4="All",Data!G802,IF(Data!K802=Dashboard!$R$4,Data!G802,NA()))</f>
        <v>#N/A</v>
      </c>
      <c r="L251" t="str">
        <f t="shared" si="70"/>
        <v/>
      </c>
      <c r="M251" t="str">
        <f t="shared" si="71"/>
        <v/>
      </c>
      <c r="N251" t="str">
        <f t="shared" si="72"/>
        <v/>
      </c>
      <c r="O251" t="str">
        <f>IF(L251&lt;&gt;"",Data!$M802,"")</f>
        <v/>
      </c>
      <c r="T251">
        <f>IF(OR(Dashboard!$P$4="All",Dashboard!$R$4="All"),NA(),IF(OR(Data!K802&lt;&gt;Dashboard!$P$4,Data!K802&lt;&gt;Dashboard!$R$4),Data!G802,NA()))</f>
        <v>24000</v>
      </c>
      <c r="U251"/>
      <c r="AI251" s="13" t="s">
        <v>2435</v>
      </c>
      <c r="AJ251" s="8">
        <v>90000</v>
      </c>
      <c r="AK251" s="8">
        <v>1</v>
      </c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Q251" s="13" t="s">
        <v>2435</v>
      </c>
      <c r="BR251" s="8">
        <v>90000</v>
      </c>
      <c r="BS251" s="8"/>
      <c r="BT251" s="8"/>
      <c r="BU251" s="8"/>
      <c r="BV251" s="8"/>
    </row>
    <row r="252" spans="2:74">
      <c r="B252" t="e">
        <f>IF(Dashboard!$P$4="All",Data!G803,IF(Data!K803=Dashboard!$P$4,Data!G803,NA()))</f>
        <v>#N/A</v>
      </c>
      <c r="C252" t="str">
        <f t="shared" si="67"/>
        <v/>
      </c>
      <c r="D252" t="str">
        <f t="shared" si="68"/>
        <v/>
      </c>
      <c r="E252" t="str">
        <f t="shared" si="69"/>
        <v/>
      </c>
      <c r="F252" t="str">
        <f>IF(C252&lt;&gt;"",Data!$M803,"")</f>
        <v/>
      </c>
      <c r="K252" t="e">
        <f>IF(Dashboard!$R$4="All",Data!G803,IF(Data!K803=Dashboard!$R$4,Data!G803,NA()))</f>
        <v>#N/A</v>
      </c>
      <c r="L252" t="str">
        <f t="shared" si="70"/>
        <v/>
      </c>
      <c r="M252" t="str">
        <f t="shared" si="71"/>
        <v/>
      </c>
      <c r="N252" t="str">
        <f t="shared" si="72"/>
        <v/>
      </c>
      <c r="O252" t="str">
        <f>IF(L252&lt;&gt;"",Data!$M803,"")</f>
        <v/>
      </c>
      <c r="T252">
        <f>IF(OR(Dashboard!$P$4="All",Dashboard!$R$4="All"),NA(),IF(OR(Data!K803&lt;&gt;Dashboard!$P$4,Data!K803&lt;&gt;Dashboard!$R$4),Data!G803,NA()))</f>
        <v>4273.9000049862161</v>
      </c>
      <c r="U252"/>
      <c r="AI252" s="13" t="s">
        <v>2437</v>
      </c>
      <c r="AJ252" s="8">
        <v>75000</v>
      </c>
      <c r="AK252" s="8">
        <v>1</v>
      </c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Q252" s="13" t="s">
        <v>2437</v>
      </c>
      <c r="BR252" s="8"/>
      <c r="BS252" s="8"/>
      <c r="BT252" s="8">
        <v>75000</v>
      </c>
      <c r="BU252" s="8"/>
      <c r="BV252" s="8"/>
    </row>
    <row r="253" spans="2:74">
      <c r="B253" t="e">
        <f>IF(Dashboard!$P$4="All",Data!G804,IF(Data!K804=Dashboard!$P$4,Data!G804,NA()))</f>
        <v>#N/A</v>
      </c>
      <c r="C253" t="str">
        <f t="shared" si="67"/>
        <v/>
      </c>
      <c r="D253" t="str">
        <f t="shared" si="68"/>
        <v/>
      </c>
      <c r="E253" t="str">
        <f t="shared" si="69"/>
        <v/>
      </c>
      <c r="F253" t="str">
        <f>IF(C253&lt;&gt;"",Data!$M804,"")</f>
        <v/>
      </c>
      <c r="K253" t="e">
        <f>IF(Dashboard!$R$4="All",Data!G804,IF(Data!K804=Dashboard!$R$4,Data!G804,NA()))</f>
        <v>#N/A</v>
      </c>
      <c r="L253" t="str">
        <f t="shared" si="70"/>
        <v/>
      </c>
      <c r="M253" t="str">
        <f t="shared" si="71"/>
        <v/>
      </c>
      <c r="N253" t="str">
        <f t="shared" si="72"/>
        <v/>
      </c>
      <c r="O253" t="str">
        <f>IF(L253&lt;&gt;"",Data!$M804,"")</f>
        <v/>
      </c>
      <c r="T253">
        <f>IF(OR(Dashboard!$P$4="All",Dashboard!$R$4="All"),NA(),IF(OR(Data!K804&lt;&gt;Dashboard!$P$4,Data!K804&lt;&gt;Dashboard!$R$4),Data!G804,NA()))</f>
        <v>11575.14584683767</v>
      </c>
      <c r="U253"/>
      <c r="AI253" s="13" t="s">
        <v>2438</v>
      </c>
      <c r="AJ253" s="8">
        <v>72000</v>
      </c>
      <c r="AK253" s="8">
        <v>1</v>
      </c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Q253" s="13" t="s">
        <v>2438</v>
      </c>
      <c r="BR253" s="8"/>
      <c r="BS253" s="8">
        <v>72000</v>
      </c>
      <c r="BT253" s="8"/>
      <c r="BU253" s="8"/>
      <c r="BV253" s="8"/>
    </row>
    <row r="254" spans="2:74">
      <c r="B254" t="e">
        <f>IF(Dashboard!$P$4="All",Data!G805,IF(Data!K805=Dashboard!$P$4,Data!G805,NA()))</f>
        <v>#N/A</v>
      </c>
      <c r="C254" t="str">
        <f t="shared" si="67"/>
        <v/>
      </c>
      <c r="D254" t="str">
        <f t="shared" si="68"/>
        <v/>
      </c>
      <c r="E254" t="str">
        <f t="shared" si="69"/>
        <v/>
      </c>
      <c r="F254" t="str">
        <f>IF(C254&lt;&gt;"",Data!$M805,"")</f>
        <v/>
      </c>
      <c r="K254" t="e">
        <f>IF(Dashboard!$R$4="All",Data!G805,IF(Data!K805=Dashboard!$R$4,Data!G805,NA()))</f>
        <v>#N/A</v>
      </c>
      <c r="L254" t="str">
        <f t="shared" si="70"/>
        <v/>
      </c>
      <c r="M254" t="str">
        <f t="shared" si="71"/>
        <v/>
      </c>
      <c r="N254" t="str">
        <f t="shared" si="72"/>
        <v/>
      </c>
      <c r="O254" t="str">
        <f>IF(L254&lt;&gt;"",Data!$M805,"")</f>
        <v/>
      </c>
      <c r="T254">
        <f>IF(OR(Dashboard!$P$4="All",Dashboard!$R$4="All"),NA(),IF(OR(Data!K805&lt;&gt;Dashboard!$P$4,Data!K805&lt;&gt;Dashboard!$R$4),Data!G805,NA()))</f>
        <v>95000</v>
      </c>
      <c r="U254"/>
      <c r="AI254" s="13" t="s">
        <v>2439</v>
      </c>
      <c r="AJ254" s="8">
        <v>65000</v>
      </c>
      <c r="AK254" s="8">
        <v>1</v>
      </c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Q254" s="13" t="s">
        <v>2439</v>
      </c>
      <c r="BR254" s="8"/>
      <c r="BS254" s="8"/>
      <c r="BT254" s="8">
        <v>65000</v>
      </c>
      <c r="BU254" s="8"/>
      <c r="BV254" s="8"/>
    </row>
    <row r="255" spans="2:74">
      <c r="B255" t="e">
        <f>IF(Dashboard!$P$4="All",Data!G806,IF(Data!K806=Dashboard!$P$4,Data!G806,NA()))</f>
        <v>#N/A</v>
      </c>
      <c r="C255" t="str">
        <f t="shared" si="67"/>
        <v/>
      </c>
      <c r="D255" t="str">
        <f t="shared" si="68"/>
        <v/>
      </c>
      <c r="E255" t="str">
        <f t="shared" si="69"/>
        <v/>
      </c>
      <c r="F255" t="str">
        <f>IF(C255&lt;&gt;"",Data!$M806,"")</f>
        <v/>
      </c>
      <c r="K255" t="e">
        <f>IF(Dashboard!$R$4="All",Data!G806,IF(Data!K806=Dashboard!$R$4,Data!G806,NA()))</f>
        <v>#N/A</v>
      </c>
      <c r="L255" t="str">
        <f t="shared" si="70"/>
        <v/>
      </c>
      <c r="M255" t="str">
        <f t="shared" si="71"/>
        <v/>
      </c>
      <c r="N255" t="str">
        <f t="shared" si="72"/>
        <v/>
      </c>
      <c r="O255" t="str">
        <f>IF(L255&lt;&gt;"",Data!$M806,"")</f>
        <v/>
      </c>
      <c r="T255">
        <f>IF(OR(Dashboard!$P$4="All",Dashboard!$R$4="All"),NA(),IF(OR(Data!K806&lt;&gt;Dashboard!$P$4,Data!K806&lt;&gt;Dashboard!$R$4),Data!G806,NA()))</f>
        <v>9188.8850107203652</v>
      </c>
      <c r="U255"/>
      <c r="AI255" s="13" t="s">
        <v>2440</v>
      </c>
      <c r="AJ255" s="8"/>
      <c r="AK255" s="8"/>
      <c r="AL255" s="8"/>
      <c r="AM255" s="8"/>
      <c r="AN255" s="8"/>
      <c r="AO255" s="8"/>
      <c r="AP255" s="8">
        <v>120000</v>
      </c>
      <c r="AQ255" s="8">
        <v>1</v>
      </c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Q255" s="13" t="s">
        <v>2440</v>
      </c>
      <c r="BR255" s="8">
        <v>120000</v>
      </c>
      <c r="BS255" s="8"/>
      <c r="BT255" s="8"/>
      <c r="BU255" s="8"/>
      <c r="BV255" s="8"/>
    </row>
    <row r="256" spans="2:74">
      <c r="B256" t="e">
        <f>IF(Dashboard!$P$4="All",Data!G807,IF(Data!K807=Dashboard!$P$4,Data!G807,NA()))</f>
        <v>#N/A</v>
      </c>
      <c r="C256" t="str">
        <f t="shared" si="67"/>
        <v/>
      </c>
      <c r="D256" t="str">
        <f t="shared" si="68"/>
        <v/>
      </c>
      <c r="E256" t="str">
        <f t="shared" si="69"/>
        <v/>
      </c>
      <c r="F256" t="str">
        <f>IF(C256&lt;&gt;"",Data!$M807,"")</f>
        <v/>
      </c>
      <c r="K256" t="e">
        <f>IF(Dashboard!$R$4="All",Data!G807,IF(Data!K807=Dashboard!$R$4,Data!G807,NA()))</f>
        <v>#N/A</v>
      </c>
      <c r="L256" t="str">
        <f t="shared" si="70"/>
        <v/>
      </c>
      <c r="M256" t="str">
        <f t="shared" si="71"/>
        <v/>
      </c>
      <c r="N256" t="str">
        <f t="shared" si="72"/>
        <v/>
      </c>
      <c r="O256" t="str">
        <f>IF(L256&lt;&gt;"",Data!$M807,"")</f>
        <v/>
      </c>
      <c r="T256">
        <f>IF(OR(Dashboard!$P$4="All",Dashboard!$R$4="All"),NA(),IF(OR(Data!K807&lt;&gt;Dashboard!$P$4,Data!K807&lt;&gt;Dashboard!$R$4),Data!G807,NA()))</f>
        <v>8975.1900104710548</v>
      </c>
      <c r="U256"/>
      <c r="AI256" s="13" t="s">
        <v>2444</v>
      </c>
      <c r="AJ256" s="8">
        <v>80000</v>
      </c>
      <c r="AK256" s="8">
        <v>1</v>
      </c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Q256" s="13" t="s">
        <v>2444</v>
      </c>
      <c r="BR256" s="8"/>
      <c r="BS256" s="8"/>
      <c r="BT256" s="8">
        <v>80000</v>
      </c>
      <c r="BU256" s="8"/>
      <c r="BV256" s="8"/>
    </row>
    <row r="257" spans="2:74">
      <c r="B257" t="e">
        <f>IF(Dashboard!$P$4="All",Data!G808,IF(Data!K808=Dashboard!$P$4,Data!G808,NA()))</f>
        <v>#N/A</v>
      </c>
      <c r="C257" t="str">
        <f t="shared" si="67"/>
        <v/>
      </c>
      <c r="D257" t="str">
        <f t="shared" si="68"/>
        <v/>
      </c>
      <c r="E257" t="str">
        <f t="shared" si="69"/>
        <v/>
      </c>
      <c r="F257" t="str">
        <f>IF(C257&lt;&gt;"",Data!$M808,"")</f>
        <v/>
      </c>
      <c r="K257" t="e">
        <f>IF(Dashboard!$R$4="All",Data!G808,IF(Data!K808=Dashboard!$R$4,Data!G808,NA()))</f>
        <v>#N/A</v>
      </c>
      <c r="L257" t="str">
        <f t="shared" si="70"/>
        <v/>
      </c>
      <c r="M257" t="str">
        <f t="shared" si="71"/>
        <v/>
      </c>
      <c r="N257" t="str">
        <f t="shared" si="72"/>
        <v/>
      </c>
      <c r="O257" t="str">
        <f>IF(L257&lt;&gt;"",Data!$M808,"")</f>
        <v/>
      </c>
      <c r="T257">
        <f>IF(OR(Dashboard!$P$4="All",Dashboard!$R$4="All"),NA(),IF(OR(Data!K808&lt;&gt;Dashboard!$P$4,Data!K808&lt;&gt;Dashboard!$R$4),Data!G808,NA()))</f>
        <v>2564.3400029917298</v>
      </c>
      <c r="U257"/>
      <c r="AI257" s="13" t="s">
        <v>2447</v>
      </c>
      <c r="AJ257" s="8"/>
      <c r="AK257" s="8"/>
      <c r="AL257" s="8">
        <v>51000</v>
      </c>
      <c r="AM257" s="8">
        <v>1</v>
      </c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Q257" s="13" t="s">
        <v>2447</v>
      </c>
      <c r="BR257" s="8"/>
      <c r="BS257" s="8">
        <v>51000</v>
      </c>
      <c r="BT257" s="8"/>
      <c r="BU257" s="8"/>
      <c r="BV257" s="8"/>
    </row>
    <row r="258" spans="2:74">
      <c r="B258" t="e">
        <f>IF(Dashboard!$P$4="All",Data!G809,IF(Data!K809=Dashboard!$P$4,Data!G809,NA()))</f>
        <v>#N/A</v>
      </c>
      <c r="C258" t="str">
        <f t="shared" si="67"/>
        <v/>
      </c>
      <c r="D258" t="str">
        <f t="shared" si="68"/>
        <v/>
      </c>
      <c r="E258" t="str">
        <f t="shared" si="69"/>
        <v/>
      </c>
      <c r="F258" t="str">
        <f>IF(C258&lt;&gt;"",Data!$M809,"")</f>
        <v/>
      </c>
      <c r="K258">
        <f>IF(Dashboard!$R$4="All",Data!G809,IF(Data!K809=Dashboard!$R$4,Data!G809,NA()))</f>
        <v>86689.804963700633</v>
      </c>
      <c r="L258">
        <f t="shared" si="70"/>
        <v>86689.804963700633</v>
      </c>
      <c r="M258" t="str">
        <f t="shared" si="71"/>
        <v/>
      </c>
      <c r="N258" t="str">
        <f t="shared" si="72"/>
        <v/>
      </c>
      <c r="O258">
        <f>IF(L258&lt;&gt;"",Data!$M809,"")</f>
        <v>12</v>
      </c>
      <c r="T258">
        <f>IF(OR(Dashboard!$P$4="All",Dashboard!$R$4="All"),NA(),IF(OR(Data!K809&lt;&gt;Dashboard!$P$4,Data!K809&lt;&gt;Dashboard!$R$4),Data!G809,NA()))</f>
        <v>86689.804963700633</v>
      </c>
      <c r="U258"/>
      <c r="AI258" s="13" t="s">
        <v>2449</v>
      </c>
      <c r="AJ258" s="8"/>
      <c r="AK258" s="8"/>
      <c r="AL258" s="8"/>
      <c r="AM258" s="8"/>
      <c r="AN258" s="8"/>
      <c r="AO258" s="8"/>
      <c r="AP258" s="8"/>
      <c r="AQ258" s="8"/>
      <c r="AR258" s="8">
        <v>74000</v>
      </c>
      <c r="AS258" s="8">
        <v>1</v>
      </c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Q258" s="13" t="s">
        <v>2449</v>
      </c>
      <c r="BR258" s="8"/>
      <c r="BS258" s="8"/>
      <c r="BT258" s="8">
        <v>74000</v>
      </c>
      <c r="BU258" s="8"/>
      <c r="BV258" s="8"/>
    </row>
    <row r="259" spans="2:74">
      <c r="B259" t="e">
        <f>IF(Dashboard!$P$4="All",Data!G810,IF(Data!K810=Dashboard!$P$4,Data!G810,NA()))</f>
        <v>#N/A</v>
      </c>
      <c r="C259" t="str">
        <f t="shared" si="67"/>
        <v/>
      </c>
      <c r="D259" t="str">
        <f t="shared" si="68"/>
        <v/>
      </c>
      <c r="E259" t="str">
        <f t="shared" si="69"/>
        <v/>
      </c>
      <c r="F259" t="str">
        <f>IF(C259&lt;&gt;"",Data!$M810,"")</f>
        <v/>
      </c>
      <c r="K259" t="e">
        <f>IF(Dashboard!$R$4="All",Data!G810,IF(Data!K810=Dashboard!$R$4,Data!G810,NA()))</f>
        <v>#N/A</v>
      </c>
      <c r="L259" t="str">
        <f t="shared" si="70"/>
        <v/>
      </c>
      <c r="M259" t="str">
        <f t="shared" si="71"/>
        <v/>
      </c>
      <c r="N259" t="str">
        <f t="shared" si="72"/>
        <v/>
      </c>
      <c r="O259" t="str">
        <f>IF(L259&lt;&gt;"",Data!$M810,"")</f>
        <v/>
      </c>
      <c r="T259">
        <f>IF(OR(Dashboard!$P$4="All",Dashboard!$R$4="All"),NA(),IF(OR(Data!K810&lt;&gt;Dashboard!$P$4,Data!K810&lt;&gt;Dashboard!$R$4),Data!G810,NA()))</f>
        <v>15500</v>
      </c>
      <c r="U259"/>
      <c r="AI259" s="13" t="s">
        <v>2451</v>
      </c>
      <c r="AJ259" s="8">
        <v>50000</v>
      </c>
      <c r="AK259" s="8">
        <v>1</v>
      </c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Q259" s="13" t="s">
        <v>2451</v>
      </c>
      <c r="BR259" s="8"/>
      <c r="BS259" s="8"/>
      <c r="BT259" s="8">
        <v>50000</v>
      </c>
      <c r="BU259" s="8"/>
      <c r="BV259" s="8"/>
    </row>
    <row r="260" spans="2:74">
      <c r="B260" t="e">
        <f>IF(Dashboard!$P$4="All",Data!G811,IF(Data!K811=Dashboard!$P$4,Data!G811,NA()))</f>
        <v>#N/A</v>
      </c>
      <c r="C260" t="str">
        <f t="shared" ref="C260:C323" si="73">IF(ISNA(B260),"",B260)</f>
        <v/>
      </c>
      <c r="D260" t="str">
        <f t="shared" ref="D260:D323" si="74">IF(C260&gt;=PERCENTILE($C$3:$C$1337,0.9),C260,"")</f>
        <v/>
      </c>
      <c r="E260" t="str">
        <f t="shared" ref="E260:E323" si="75">IF(C260&lt;=PERCENTILE($C$3:$C$1337,0.1),C260,"")</f>
        <v/>
      </c>
      <c r="F260" t="str">
        <f>IF(C260&lt;&gt;"",Data!$M811,"")</f>
        <v/>
      </c>
      <c r="K260" t="e">
        <f>IF(Dashboard!$R$4="All",Data!G811,IF(Data!K811=Dashboard!$R$4,Data!G811,NA()))</f>
        <v>#N/A</v>
      </c>
      <c r="L260" t="str">
        <f t="shared" ref="L260:L323" si="76">IF(ISNA(K260),"",K260)</f>
        <v/>
      </c>
      <c r="M260" t="str">
        <f t="shared" ref="M260:M323" si="77">IF(L260&gt;=PERCENTILE($L$3:$L$1337,0.9),L260,"")</f>
        <v/>
      </c>
      <c r="N260" t="str">
        <f t="shared" ref="N260:N323" si="78">IF(L260&lt;=PERCENTILE($L$3:$L$1337,0.1),L260,"")</f>
        <v/>
      </c>
      <c r="O260" t="str">
        <f>IF(L260&lt;&gt;"",Data!$M811,"")</f>
        <v/>
      </c>
      <c r="T260">
        <f>IF(OR(Dashboard!$P$4="All",Dashboard!$R$4="All"),NA(),IF(OR(Data!K811&lt;&gt;Dashboard!$P$4,Data!K811&lt;&gt;Dashboard!$R$4),Data!G811,NA()))</f>
        <v>148284.35006969364</v>
      </c>
      <c r="U260"/>
      <c r="AI260" s="13" t="s">
        <v>2456</v>
      </c>
      <c r="AJ260" s="8">
        <v>60000</v>
      </c>
      <c r="AK260" s="8">
        <v>1</v>
      </c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Q260" s="13" t="s">
        <v>2456</v>
      </c>
      <c r="BR260" s="8"/>
      <c r="BS260" s="8"/>
      <c r="BT260" s="8"/>
      <c r="BU260" s="8">
        <v>60000</v>
      </c>
      <c r="BV260" s="8"/>
    </row>
    <row r="261" spans="2:74">
      <c r="B261" t="e">
        <f>IF(Dashboard!$P$4="All",Data!G812,IF(Data!K812=Dashboard!$P$4,Data!G812,NA()))</f>
        <v>#N/A</v>
      </c>
      <c r="C261" t="str">
        <f t="shared" si="73"/>
        <v/>
      </c>
      <c r="D261" t="str">
        <f t="shared" si="74"/>
        <v/>
      </c>
      <c r="E261" t="str">
        <f t="shared" si="75"/>
        <v/>
      </c>
      <c r="F261" t="str">
        <f>IF(C261&lt;&gt;"",Data!$M812,"")</f>
        <v/>
      </c>
      <c r="K261" t="e">
        <f>IF(Dashboard!$R$4="All",Data!G812,IF(Data!K812=Dashboard!$R$4,Data!G812,NA()))</f>
        <v>#N/A</v>
      </c>
      <c r="L261" t="str">
        <f t="shared" si="76"/>
        <v/>
      </c>
      <c r="M261" t="str">
        <f t="shared" si="77"/>
        <v/>
      </c>
      <c r="N261" t="str">
        <f t="shared" si="78"/>
        <v/>
      </c>
      <c r="O261" t="str">
        <f>IF(L261&lt;&gt;"",Data!$M812,"")</f>
        <v/>
      </c>
      <c r="T261">
        <f>IF(OR(Dashboard!$P$4="All",Dashboard!$R$4="All"),NA(),IF(OR(Data!K812&lt;&gt;Dashboard!$P$4,Data!K812&lt;&gt;Dashboard!$R$4),Data!G812,NA()))</f>
        <v>10684.750012465542</v>
      </c>
      <c r="U261"/>
      <c r="AI261" s="13" t="s">
        <v>2458</v>
      </c>
      <c r="AJ261" s="8"/>
      <c r="AK261" s="8"/>
      <c r="AL261" s="8">
        <v>80000</v>
      </c>
      <c r="AM261" s="8">
        <v>1</v>
      </c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Q261" s="13" t="s">
        <v>2458</v>
      </c>
      <c r="BR261" s="8">
        <v>80000</v>
      </c>
      <c r="BS261" s="8"/>
      <c r="BT261" s="8"/>
      <c r="BU261" s="8"/>
      <c r="BV261" s="8"/>
    </row>
    <row r="262" spans="2:74">
      <c r="B262" t="e">
        <f>IF(Dashboard!$P$4="All",Data!G813,IF(Data!K813=Dashboard!$P$4,Data!G813,NA()))</f>
        <v>#N/A</v>
      </c>
      <c r="C262" t="str">
        <f t="shared" si="73"/>
        <v/>
      </c>
      <c r="D262" t="str">
        <f t="shared" si="74"/>
        <v/>
      </c>
      <c r="E262" t="str">
        <f t="shared" si="75"/>
        <v/>
      </c>
      <c r="F262" t="str">
        <f>IF(C262&lt;&gt;"",Data!$M813,"")</f>
        <v/>
      </c>
      <c r="K262" t="e">
        <f>IF(Dashboard!$R$4="All",Data!G813,IF(Data!K813=Dashboard!$R$4,Data!G813,NA()))</f>
        <v>#N/A</v>
      </c>
      <c r="L262" t="str">
        <f t="shared" si="76"/>
        <v/>
      </c>
      <c r="M262" t="str">
        <f t="shared" si="77"/>
        <v/>
      </c>
      <c r="N262" t="str">
        <f t="shared" si="78"/>
        <v/>
      </c>
      <c r="O262" t="str">
        <f>IF(L262&lt;&gt;"",Data!$M813,"")</f>
        <v/>
      </c>
      <c r="T262">
        <f>IF(OR(Dashboard!$P$4="All",Dashboard!$R$4="All"),NA(),IF(OR(Data!K813&lt;&gt;Dashboard!$P$4,Data!K813&lt;&gt;Dashboard!$R$4),Data!G813,NA()))</f>
        <v>75000</v>
      </c>
      <c r="U262"/>
      <c r="AI262" s="13" t="s">
        <v>2461</v>
      </c>
      <c r="AJ262" s="8"/>
      <c r="AK262" s="8"/>
      <c r="AL262" s="8">
        <v>125000</v>
      </c>
      <c r="AM262" s="8">
        <v>1</v>
      </c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Q262" s="13" t="s">
        <v>2461</v>
      </c>
      <c r="BR262" s="8"/>
      <c r="BS262" s="8">
        <v>125000</v>
      </c>
      <c r="BT262" s="8"/>
      <c r="BU262" s="8"/>
      <c r="BV262" s="8"/>
    </row>
    <row r="263" spans="2:74">
      <c r="B263" t="e">
        <f>IF(Dashboard!$P$4="All",Data!G814,IF(Data!K814=Dashboard!$P$4,Data!G814,NA()))</f>
        <v>#N/A</v>
      </c>
      <c r="C263" t="str">
        <f t="shared" si="73"/>
        <v/>
      </c>
      <c r="D263" t="str">
        <f t="shared" si="74"/>
        <v/>
      </c>
      <c r="E263" t="str">
        <f t="shared" si="75"/>
        <v/>
      </c>
      <c r="F263" t="str">
        <f>IF(C263&lt;&gt;"",Data!$M814,"")</f>
        <v/>
      </c>
      <c r="K263" t="e">
        <f>IF(Dashboard!$R$4="All",Data!G814,IF(Data!K814=Dashboard!$R$4,Data!G814,NA()))</f>
        <v>#N/A</v>
      </c>
      <c r="L263" t="str">
        <f t="shared" si="76"/>
        <v/>
      </c>
      <c r="M263" t="str">
        <f t="shared" si="77"/>
        <v/>
      </c>
      <c r="N263" t="str">
        <f t="shared" si="78"/>
        <v/>
      </c>
      <c r="O263" t="str">
        <f>IF(L263&lt;&gt;"",Data!$M814,"")</f>
        <v/>
      </c>
      <c r="T263">
        <f>IF(OR(Dashboard!$P$4="All",Dashboard!$R$4="All"),NA(),IF(OR(Data!K814&lt;&gt;Dashboard!$P$4,Data!K814&lt;&gt;Dashboard!$R$4),Data!G814,NA()))</f>
        <v>12000</v>
      </c>
      <c r="U263"/>
      <c r="AI263" s="13" t="s">
        <v>2462</v>
      </c>
      <c r="AJ263" s="8">
        <v>52000</v>
      </c>
      <c r="AK263" s="8">
        <v>1</v>
      </c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Q263" s="13" t="s">
        <v>2462</v>
      </c>
      <c r="BR263" s="8"/>
      <c r="BS263" s="8">
        <v>52000</v>
      </c>
      <c r="BT263" s="8"/>
      <c r="BU263" s="8"/>
      <c r="BV263" s="8"/>
    </row>
    <row r="264" spans="2:74">
      <c r="B264" t="e">
        <f>IF(Dashboard!$P$4="All",Data!G815,IF(Data!K815=Dashboard!$P$4,Data!G815,NA()))</f>
        <v>#N/A</v>
      </c>
      <c r="C264" t="str">
        <f t="shared" si="73"/>
        <v/>
      </c>
      <c r="D264" t="str">
        <f t="shared" si="74"/>
        <v/>
      </c>
      <c r="E264" t="str">
        <f t="shared" si="75"/>
        <v/>
      </c>
      <c r="F264" t="str">
        <f>IF(C264&lt;&gt;"",Data!$M815,"")</f>
        <v/>
      </c>
      <c r="K264" t="e">
        <f>IF(Dashboard!$R$4="All",Data!G815,IF(Data!K815=Dashboard!$R$4,Data!G815,NA()))</f>
        <v>#N/A</v>
      </c>
      <c r="L264" t="str">
        <f t="shared" si="76"/>
        <v/>
      </c>
      <c r="M264" t="str">
        <f t="shared" si="77"/>
        <v/>
      </c>
      <c r="N264" t="str">
        <f t="shared" si="78"/>
        <v/>
      </c>
      <c r="O264" t="str">
        <f>IF(L264&lt;&gt;"",Data!$M815,"")</f>
        <v/>
      </c>
      <c r="T264">
        <f>IF(OR(Dashboard!$P$4="All",Dashboard!$R$4="All"),NA(),IF(OR(Data!K815&lt;&gt;Dashboard!$P$4,Data!K815&lt;&gt;Dashboard!$R$4),Data!G815,NA()))</f>
        <v>30273.458368652366</v>
      </c>
      <c r="U264"/>
      <c r="AI264" s="13" t="s">
        <v>2463</v>
      </c>
      <c r="AJ264" s="8">
        <v>45000</v>
      </c>
      <c r="AK264" s="8">
        <v>1</v>
      </c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Q264" s="13" t="s">
        <v>2463</v>
      </c>
      <c r="BR264" s="8"/>
      <c r="BS264" s="8"/>
      <c r="BT264" s="8">
        <v>45000</v>
      </c>
      <c r="BU264" s="8"/>
      <c r="BV264" s="8"/>
    </row>
    <row r="265" spans="2:74">
      <c r="B265" t="e">
        <f>IF(Dashboard!$P$4="All",Data!G816,IF(Data!K816=Dashboard!$P$4,Data!G816,NA()))</f>
        <v>#N/A</v>
      </c>
      <c r="C265" t="str">
        <f t="shared" si="73"/>
        <v/>
      </c>
      <c r="D265" t="str">
        <f t="shared" si="74"/>
        <v/>
      </c>
      <c r="E265" t="str">
        <f t="shared" si="75"/>
        <v/>
      </c>
      <c r="F265" t="str">
        <f>IF(C265&lt;&gt;"",Data!$M816,"")</f>
        <v/>
      </c>
      <c r="K265" t="e">
        <f>IF(Dashboard!$R$4="All",Data!G816,IF(Data!K816=Dashboard!$R$4,Data!G816,NA()))</f>
        <v>#N/A</v>
      </c>
      <c r="L265" t="str">
        <f t="shared" si="76"/>
        <v/>
      </c>
      <c r="M265" t="str">
        <f t="shared" si="77"/>
        <v/>
      </c>
      <c r="N265" t="str">
        <f t="shared" si="78"/>
        <v/>
      </c>
      <c r="O265" t="str">
        <f>IF(L265&lt;&gt;"",Data!$M816,"")</f>
        <v/>
      </c>
      <c r="T265">
        <f>IF(OR(Dashboard!$P$4="All",Dashboard!$R$4="All"),NA(),IF(OR(Data!K816&lt;&gt;Dashboard!$P$4,Data!K816&lt;&gt;Dashboard!$R$4),Data!G816,NA()))</f>
        <v>30000</v>
      </c>
      <c r="U265"/>
      <c r="AI265" s="13" t="s">
        <v>2465</v>
      </c>
      <c r="AJ265" s="8"/>
      <c r="AK265" s="8"/>
      <c r="AL265" s="8">
        <v>60000</v>
      </c>
      <c r="AM265" s="8">
        <v>1</v>
      </c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Q265" s="13" t="s">
        <v>2465</v>
      </c>
      <c r="BR265" s="8"/>
      <c r="BS265" s="8"/>
      <c r="BT265" s="8"/>
      <c r="BU265" s="8">
        <v>60000</v>
      </c>
      <c r="BV265" s="8"/>
    </row>
    <row r="266" spans="2:74">
      <c r="B266" t="e">
        <f>IF(Dashboard!$P$4="All",Data!G817,IF(Data!K817=Dashboard!$P$4,Data!G817,NA()))</f>
        <v>#N/A</v>
      </c>
      <c r="C266" t="str">
        <f t="shared" si="73"/>
        <v/>
      </c>
      <c r="D266" t="str">
        <f t="shared" si="74"/>
        <v/>
      </c>
      <c r="E266" t="str">
        <f t="shared" si="75"/>
        <v/>
      </c>
      <c r="F266" t="str">
        <f>IF(C266&lt;&gt;"",Data!$M817,"")</f>
        <v/>
      </c>
      <c r="K266" t="e">
        <f>IF(Dashboard!$R$4="All",Data!G817,IF(Data!K817=Dashboard!$R$4,Data!G817,NA()))</f>
        <v>#N/A</v>
      </c>
      <c r="L266" t="str">
        <f t="shared" si="76"/>
        <v/>
      </c>
      <c r="M266" t="str">
        <f t="shared" si="77"/>
        <v/>
      </c>
      <c r="N266" t="str">
        <f t="shared" si="78"/>
        <v/>
      </c>
      <c r="O266" t="str">
        <f>IF(L266&lt;&gt;"",Data!$M817,"")</f>
        <v/>
      </c>
      <c r="T266">
        <f>IF(OR(Dashboard!$P$4="All",Dashboard!$R$4="All"),NA(),IF(OR(Data!K817&lt;&gt;Dashboard!$P$4,Data!K817&lt;&gt;Dashboard!$R$4),Data!G817,NA()))</f>
        <v>6410.8500074793246</v>
      </c>
      <c r="U266"/>
      <c r="AI266" s="13" t="s">
        <v>2470</v>
      </c>
      <c r="AJ266" s="8"/>
      <c r="AK266" s="8"/>
      <c r="AL266" s="8"/>
      <c r="AM266" s="8"/>
      <c r="AN266" s="8"/>
      <c r="AO266" s="8"/>
      <c r="AP266" s="8">
        <v>150000</v>
      </c>
      <c r="AQ266" s="8">
        <v>1</v>
      </c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Q266" s="13" t="s">
        <v>2470</v>
      </c>
      <c r="BR266" s="8"/>
      <c r="BS266" s="8">
        <v>150000</v>
      </c>
      <c r="BT266" s="8"/>
      <c r="BU266" s="8"/>
      <c r="BV266" s="8"/>
    </row>
    <row r="267" spans="2:74">
      <c r="B267" t="e">
        <f>IF(Dashboard!$P$4="All",Data!G818,IF(Data!K818=Dashboard!$P$4,Data!G818,NA()))</f>
        <v>#N/A</v>
      </c>
      <c r="C267" t="str">
        <f t="shared" si="73"/>
        <v/>
      </c>
      <c r="D267" t="str">
        <f t="shared" si="74"/>
        <v/>
      </c>
      <c r="E267" t="str">
        <f t="shared" si="75"/>
        <v/>
      </c>
      <c r="F267" t="str">
        <f>IF(C267&lt;&gt;"",Data!$M818,"")</f>
        <v/>
      </c>
      <c r="K267" t="e">
        <f>IF(Dashboard!$R$4="All",Data!G818,IF(Data!K818=Dashboard!$R$4,Data!G818,NA()))</f>
        <v>#N/A</v>
      </c>
      <c r="L267" t="str">
        <f t="shared" si="76"/>
        <v/>
      </c>
      <c r="M267" t="str">
        <f t="shared" si="77"/>
        <v/>
      </c>
      <c r="N267" t="str">
        <f t="shared" si="78"/>
        <v/>
      </c>
      <c r="O267" t="str">
        <f>IF(L267&lt;&gt;"",Data!$M818,"")</f>
        <v/>
      </c>
      <c r="T267">
        <f>IF(OR(Dashboard!$P$4="All",Dashboard!$R$4="All"),NA(),IF(OR(Data!K818&lt;&gt;Dashboard!$P$4,Data!K818&lt;&gt;Dashboard!$R$4),Data!G818,NA()))</f>
        <v>100000</v>
      </c>
      <c r="U267"/>
      <c r="AI267" s="13" t="s">
        <v>2471</v>
      </c>
      <c r="AJ267" s="8">
        <v>50000</v>
      </c>
      <c r="AK267" s="8">
        <v>1</v>
      </c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Q267" s="13" t="s">
        <v>2471</v>
      </c>
      <c r="BR267" s="8"/>
      <c r="BS267" s="8"/>
      <c r="BT267" s="8">
        <v>50000</v>
      </c>
      <c r="BU267" s="8"/>
      <c r="BV267" s="8"/>
    </row>
    <row r="268" spans="2:74">
      <c r="B268">
        <f>IF(Dashboard!$P$4="All",Data!G819,IF(Data!K819=Dashboard!$P$4,Data!G819,NA()))</f>
        <v>53356.776437647524</v>
      </c>
      <c r="C268">
        <f t="shared" si="73"/>
        <v>53356.776437647524</v>
      </c>
      <c r="D268" t="str">
        <f t="shared" si="74"/>
        <v/>
      </c>
      <c r="E268" t="str">
        <f t="shared" si="75"/>
        <v/>
      </c>
      <c r="F268">
        <f>IF(C268&lt;&gt;"",Data!$M819,"")</f>
        <v>2</v>
      </c>
      <c r="K268" t="e">
        <f>IF(Dashboard!$R$4="All",Data!G819,IF(Data!K819=Dashboard!$R$4,Data!G819,NA()))</f>
        <v>#N/A</v>
      </c>
      <c r="L268" t="str">
        <f t="shared" si="76"/>
        <v/>
      </c>
      <c r="M268" t="str">
        <f t="shared" si="77"/>
        <v/>
      </c>
      <c r="N268" t="str">
        <f t="shared" si="78"/>
        <v/>
      </c>
      <c r="O268" t="str">
        <f>IF(L268&lt;&gt;"",Data!$M819,"")</f>
        <v/>
      </c>
      <c r="T268">
        <f>IF(OR(Dashboard!$P$4="All",Dashboard!$R$4="All"),NA(),IF(OR(Data!K819&lt;&gt;Dashboard!$P$4,Data!K819&lt;&gt;Dashboard!$R$4),Data!G819,NA()))</f>
        <v>53356.776437647524</v>
      </c>
      <c r="U268"/>
      <c r="AI268" s="13" t="s">
        <v>2472</v>
      </c>
      <c r="AJ268" s="8">
        <v>70000</v>
      </c>
      <c r="AK268" s="8">
        <v>1</v>
      </c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Q268" s="13" t="s">
        <v>2472</v>
      </c>
      <c r="BR268" s="8"/>
      <c r="BS268" s="8"/>
      <c r="BT268" s="8">
        <v>70000</v>
      </c>
      <c r="BU268" s="8"/>
      <c r="BV268" s="8"/>
    </row>
    <row r="269" spans="2:74">
      <c r="B269" t="e">
        <f>IF(Dashboard!$P$4="All",Data!G820,IF(Data!K820=Dashboard!$P$4,Data!G820,NA()))</f>
        <v>#N/A</v>
      </c>
      <c r="C269" t="str">
        <f t="shared" si="73"/>
        <v/>
      </c>
      <c r="D269" t="str">
        <f t="shared" si="74"/>
        <v/>
      </c>
      <c r="E269" t="str">
        <f t="shared" si="75"/>
        <v/>
      </c>
      <c r="F269" t="str">
        <f>IF(C269&lt;&gt;"",Data!$M820,"")</f>
        <v/>
      </c>
      <c r="K269" t="e">
        <f>IF(Dashboard!$R$4="All",Data!G820,IF(Data!K820=Dashboard!$R$4,Data!G820,NA()))</f>
        <v>#N/A</v>
      </c>
      <c r="L269" t="str">
        <f t="shared" si="76"/>
        <v/>
      </c>
      <c r="M269" t="str">
        <f t="shared" si="77"/>
        <v/>
      </c>
      <c r="N269" t="str">
        <f t="shared" si="78"/>
        <v/>
      </c>
      <c r="O269" t="str">
        <f>IF(L269&lt;&gt;"",Data!$M820,"")</f>
        <v/>
      </c>
      <c r="T269">
        <f>IF(OR(Dashboard!$P$4="All",Dashboard!$R$4="All"),NA(),IF(OR(Data!K820&lt;&gt;Dashboard!$P$4,Data!K820&lt;&gt;Dashboard!$R$4),Data!G820,NA()))</f>
        <v>40000</v>
      </c>
      <c r="U269"/>
      <c r="AI269" s="13" t="s">
        <v>2477</v>
      </c>
      <c r="AJ269" s="8">
        <v>30000</v>
      </c>
      <c r="AK269" s="8">
        <v>1</v>
      </c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Q269" s="13" t="s">
        <v>2477</v>
      </c>
      <c r="BR269" s="8"/>
      <c r="BS269" s="8"/>
      <c r="BT269" s="8"/>
      <c r="BU269" s="8"/>
      <c r="BV269" s="8">
        <v>30000</v>
      </c>
    </row>
    <row r="270" spans="2:74">
      <c r="B270" t="e">
        <f>IF(Dashboard!$P$4="All",Data!G821,IF(Data!K821=Dashboard!$P$4,Data!G821,NA()))</f>
        <v>#N/A</v>
      </c>
      <c r="C270" t="str">
        <f t="shared" si="73"/>
        <v/>
      </c>
      <c r="D270" t="str">
        <f t="shared" si="74"/>
        <v/>
      </c>
      <c r="E270" t="str">
        <f t="shared" si="75"/>
        <v/>
      </c>
      <c r="F270" t="str">
        <f>IF(C270&lt;&gt;"",Data!$M821,"")</f>
        <v/>
      </c>
      <c r="K270" t="e">
        <f>IF(Dashboard!$R$4="All",Data!G821,IF(Data!K821=Dashboard!$R$4,Data!G821,NA()))</f>
        <v>#N/A</v>
      </c>
      <c r="L270" t="str">
        <f t="shared" si="76"/>
        <v/>
      </c>
      <c r="M270" t="str">
        <f t="shared" si="77"/>
        <v/>
      </c>
      <c r="N270" t="str">
        <f t="shared" si="78"/>
        <v/>
      </c>
      <c r="O270" t="str">
        <f>IF(L270&lt;&gt;"",Data!$M821,"")</f>
        <v/>
      </c>
      <c r="T270">
        <f>IF(OR(Dashboard!$P$4="All",Dashboard!$R$4="All"),NA(),IF(OR(Data!K821&lt;&gt;Dashboard!$P$4,Data!K821&lt;&gt;Dashboard!$R$4),Data!G821,NA()))</f>
        <v>9794.354178093412</v>
      </c>
      <c r="U270"/>
      <c r="AI270" s="13" t="s">
        <v>2479</v>
      </c>
      <c r="AJ270" s="8"/>
      <c r="AK270" s="8"/>
      <c r="AL270" s="8"/>
      <c r="AM270" s="8"/>
      <c r="AN270" s="8"/>
      <c r="AO270" s="8"/>
      <c r="AP270" s="8"/>
      <c r="AQ270" s="8"/>
      <c r="AR270" s="8">
        <v>92000</v>
      </c>
      <c r="AS270" s="8">
        <v>1</v>
      </c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Q270" s="13" t="s">
        <v>2479</v>
      </c>
      <c r="BR270" s="8">
        <v>92000</v>
      </c>
      <c r="BS270" s="8"/>
      <c r="BT270" s="8"/>
      <c r="BU270" s="8"/>
      <c r="BV270" s="8"/>
    </row>
    <row r="271" spans="2:74">
      <c r="B271" t="e">
        <f>IF(Dashboard!$P$4="All",Data!G822,IF(Data!K822=Dashboard!$P$4,Data!G822,NA()))</f>
        <v>#N/A</v>
      </c>
      <c r="C271" t="str">
        <f t="shared" si="73"/>
        <v/>
      </c>
      <c r="D271" t="str">
        <f t="shared" si="74"/>
        <v/>
      </c>
      <c r="E271" t="str">
        <f t="shared" si="75"/>
        <v/>
      </c>
      <c r="F271" t="str">
        <f>IF(C271&lt;&gt;"",Data!$M822,"")</f>
        <v/>
      </c>
      <c r="K271" t="e">
        <f>IF(Dashboard!$R$4="All",Data!G822,IF(Data!K822=Dashboard!$R$4,Data!G822,NA()))</f>
        <v>#N/A</v>
      </c>
      <c r="L271" t="str">
        <f t="shared" si="76"/>
        <v/>
      </c>
      <c r="M271" t="str">
        <f t="shared" si="77"/>
        <v/>
      </c>
      <c r="N271" t="str">
        <f t="shared" si="78"/>
        <v/>
      </c>
      <c r="O271" t="str">
        <f>IF(L271&lt;&gt;"",Data!$M822,"")</f>
        <v/>
      </c>
      <c r="T271">
        <f>IF(OR(Dashboard!$P$4="All",Dashboard!$R$4="All"),NA(),IF(OR(Data!K822&lt;&gt;Dashboard!$P$4,Data!K822&lt;&gt;Dashboard!$R$4),Data!G822,NA()))</f>
        <v>18499.860539512854</v>
      </c>
      <c r="U271"/>
      <c r="AI271" s="13" t="s">
        <v>2480</v>
      </c>
      <c r="AJ271" s="8">
        <v>52000</v>
      </c>
      <c r="AK271" s="8">
        <v>1</v>
      </c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Q271" s="13" t="s">
        <v>2480</v>
      </c>
      <c r="BR271" s="8"/>
      <c r="BS271" s="8"/>
      <c r="BT271" s="8">
        <v>52000</v>
      </c>
      <c r="BU271" s="8"/>
      <c r="BV271" s="8"/>
    </row>
    <row r="272" spans="2:74">
      <c r="B272" t="e">
        <f>IF(Dashboard!$P$4="All",Data!G823,IF(Data!K823=Dashboard!$P$4,Data!G823,NA()))</f>
        <v>#N/A</v>
      </c>
      <c r="C272" t="str">
        <f t="shared" si="73"/>
        <v/>
      </c>
      <c r="D272" t="str">
        <f t="shared" si="74"/>
        <v/>
      </c>
      <c r="E272" t="str">
        <f t="shared" si="75"/>
        <v/>
      </c>
      <c r="F272" t="str">
        <f>IF(C272&lt;&gt;"",Data!$M823,"")</f>
        <v/>
      </c>
      <c r="K272" t="e">
        <f>IF(Dashboard!$R$4="All",Data!G823,IF(Data!K823=Dashboard!$R$4,Data!G823,NA()))</f>
        <v>#N/A</v>
      </c>
      <c r="L272" t="str">
        <f t="shared" si="76"/>
        <v/>
      </c>
      <c r="M272" t="str">
        <f t="shared" si="77"/>
        <v/>
      </c>
      <c r="N272" t="str">
        <f t="shared" si="78"/>
        <v/>
      </c>
      <c r="O272" t="str">
        <f>IF(L272&lt;&gt;"",Data!$M823,"")</f>
        <v/>
      </c>
      <c r="T272">
        <f>IF(OR(Dashboard!$P$4="All",Dashboard!$R$4="All"),NA(),IF(OR(Data!K823&lt;&gt;Dashboard!$P$4,Data!K823&lt;&gt;Dashboard!$R$4),Data!G823,NA()))</f>
        <v>19818.231248269083</v>
      </c>
      <c r="U272"/>
      <c r="AI272" s="13" t="s">
        <v>2481</v>
      </c>
      <c r="AJ272" s="8"/>
      <c r="AK272" s="8"/>
      <c r="AL272" s="8"/>
      <c r="AM272" s="8"/>
      <c r="AN272" s="8"/>
      <c r="AO272" s="8"/>
      <c r="AP272" s="8">
        <v>169000</v>
      </c>
      <c r="AQ272" s="8">
        <v>1</v>
      </c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Q272" s="13" t="s">
        <v>2481</v>
      </c>
      <c r="BR272" s="8"/>
      <c r="BS272" s="8">
        <v>169000</v>
      </c>
      <c r="BT272" s="8"/>
      <c r="BU272" s="8"/>
      <c r="BV272" s="8"/>
    </row>
    <row r="273" spans="2:74">
      <c r="B273" t="e">
        <f>IF(Dashboard!$P$4="All",Data!G824,IF(Data!K824=Dashboard!$P$4,Data!G824,NA()))</f>
        <v>#N/A</v>
      </c>
      <c r="C273" t="str">
        <f t="shared" si="73"/>
        <v/>
      </c>
      <c r="D273" t="str">
        <f t="shared" si="74"/>
        <v/>
      </c>
      <c r="E273" t="str">
        <f t="shared" si="75"/>
        <v/>
      </c>
      <c r="F273" t="str">
        <f>IF(C273&lt;&gt;"",Data!$M824,"")</f>
        <v/>
      </c>
      <c r="K273" t="e">
        <f>IF(Dashboard!$R$4="All",Data!G824,IF(Data!K824=Dashboard!$R$4,Data!G824,NA()))</f>
        <v>#N/A</v>
      </c>
      <c r="L273" t="str">
        <f t="shared" si="76"/>
        <v/>
      </c>
      <c r="M273" t="str">
        <f t="shared" si="77"/>
        <v/>
      </c>
      <c r="N273" t="str">
        <f t="shared" si="78"/>
        <v/>
      </c>
      <c r="O273" t="str">
        <f>IF(L273&lt;&gt;"",Data!$M824,"")</f>
        <v/>
      </c>
      <c r="T273">
        <f>IF(OR(Dashboard!$P$4="All",Dashboard!$R$4="All"),NA(),IF(OR(Data!K824&lt;&gt;Dashboard!$P$4,Data!K824&lt;&gt;Dashboard!$R$4),Data!G824,NA()))</f>
        <v>10684.750012465542</v>
      </c>
      <c r="U273"/>
      <c r="AI273" s="13" t="s">
        <v>2485</v>
      </c>
      <c r="AJ273" s="8">
        <v>50000</v>
      </c>
      <c r="AK273" s="8">
        <v>1</v>
      </c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Q273" s="13" t="s">
        <v>2485</v>
      </c>
      <c r="BR273" s="8"/>
      <c r="BS273" s="8"/>
      <c r="BT273" s="8">
        <v>50000</v>
      </c>
      <c r="BU273" s="8"/>
      <c r="BV273" s="8"/>
    </row>
    <row r="274" spans="2:74">
      <c r="B274" t="e">
        <f>IF(Dashboard!$P$4="All",Data!G825,IF(Data!K825=Dashboard!$P$4,Data!G825,NA()))</f>
        <v>#N/A</v>
      </c>
      <c r="C274" t="str">
        <f t="shared" si="73"/>
        <v/>
      </c>
      <c r="D274" t="str">
        <f t="shared" si="74"/>
        <v/>
      </c>
      <c r="E274" t="str">
        <f t="shared" si="75"/>
        <v/>
      </c>
      <c r="F274" t="str">
        <f>IF(C274&lt;&gt;"",Data!$M825,"")</f>
        <v/>
      </c>
      <c r="K274" t="e">
        <f>IF(Dashboard!$R$4="All",Data!G825,IF(Data!K825=Dashboard!$R$4,Data!G825,NA()))</f>
        <v>#N/A</v>
      </c>
      <c r="L274" t="str">
        <f t="shared" si="76"/>
        <v/>
      </c>
      <c r="M274" t="str">
        <f t="shared" si="77"/>
        <v/>
      </c>
      <c r="N274" t="str">
        <f t="shared" si="78"/>
        <v/>
      </c>
      <c r="O274" t="str">
        <f>IF(L274&lt;&gt;"",Data!$M825,"")</f>
        <v/>
      </c>
      <c r="T274">
        <f>IF(OR(Dashboard!$P$4="All",Dashboard!$R$4="All"),NA(),IF(OR(Data!K825&lt;&gt;Dashboard!$P$4,Data!K825&lt;&gt;Dashboard!$R$4),Data!G825,NA()))</f>
        <v>10684.750012465542</v>
      </c>
      <c r="U274"/>
      <c r="AI274" s="13" t="s">
        <v>2486</v>
      </c>
      <c r="AJ274" s="8">
        <v>65000</v>
      </c>
      <c r="AK274" s="8">
        <v>1</v>
      </c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Q274" s="13" t="s">
        <v>2486</v>
      </c>
      <c r="BR274" s="8"/>
      <c r="BS274" s="8">
        <v>65000</v>
      </c>
      <c r="BT274" s="8"/>
      <c r="BU274" s="8"/>
      <c r="BV274" s="8"/>
    </row>
    <row r="275" spans="2:74">
      <c r="B275" t="e">
        <f>IF(Dashboard!$P$4="All",Data!G826,IF(Data!K826=Dashboard!$P$4,Data!G826,NA()))</f>
        <v>#N/A</v>
      </c>
      <c r="C275" t="str">
        <f t="shared" si="73"/>
        <v/>
      </c>
      <c r="D275" t="str">
        <f t="shared" si="74"/>
        <v/>
      </c>
      <c r="E275" t="str">
        <f t="shared" si="75"/>
        <v/>
      </c>
      <c r="F275" t="str">
        <f>IF(C275&lt;&gt;"",Data!$M826,"")</f>
        <v/>
      </c>
      <c r="K275" t="e">
        <f>IF(Dashboard!$R$4="All",Data!G826,IF(Data!K826=Dashboard!$R$4,Data!G826,NA()))</f>
        <v>#N/A</v>
      </c>
      <c r="L275" t="str">
        <f t="shared" si="76"/>
        <v/>
      </c>
      <c r="M275" t="str">
        <f t="shared" si="77"/>
        <v/>
      </c>
      <c r="N275" t="str">
        <f t="shared" si="78"/>
        <v/>
      </c>
      <c r="O275" t="str">
        <f>IF(L275&lt;&gt;"",Data!$M826,"")</f>
        <v/>
      </c>
      <c r="T275">
        <f>IF(OR(Dashboard!$P$4="All",Dashboard!$R$4="All"),NA(),IF(OR(Data!K826&lt;&gt;Dashboard!$P$4,Data!K826&lt;&gt;Dashboard!$R$4),Data!G826,NA()))</f>
        <v>17807.916687442568</v>
      </c>
      <c r="U275"/>
      <c r="AI275" s="13" t="s">
        <v>2488</v>
      </c>
      <c r="AJ275" s="8">
        <v>55000</v>
      </c>
      <c r="AK275" s="8">
        <v>1</v>
      </c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Q275" s="13" t="s">
        <v>2488</v>
      </c>
      <c r="BR275" s="8"/>
      <c r="BS275" s="8">
        <v>55000</v>
      </c>
      <c r="BT275" s="8"/>
      <c r="BU275" s="8"/>
      <c r="BV275" s="8"/>
    </row>
    <row r="276" spans="2:74">
      <c r="B276" t="e">
        <f>IF(Dashboard!$P$4="All",Data!G827,IF(Data!K827=Dashboard!$P$4,Data!G827,NA()))</f>
        <v>#N/A</v>
      </c>
      <c r="C276" t="str">
        <f t="shared" si="73"/>
        <v/>
      </c>
      <c r="D276" t="str">
        <f t="shared" si="74"/>
        <v/>
      </c>
      <c r="E276" t="str">
        <f t="shared" si="75"/>
        <v/>
      </c>
      <c r="F276" t="str">
        <f>IF(C276&lt;&gt;"",Data!$M827,"")</f>
        <v/>
      </c>
      <c r="K276" t="e">
        <f>IF(Dashboard!$R$4="All",Data!G827,IF(Data!K827=Dashboard!$R$4,Data!G827,NA()))</f>
        <v>#N/A</v>
      </c>
      <c r="L276" t="str">
        <f t="shared" si="76"/>
        <v/>
      </c>
      <c r="M276" t="str">
        <f t="shared" si="77"/>
        <v/>
      </c>
      <c r="N276" t="str">
        <f t="shared" si="78"/>
        <v/>
      </c>
      <c r="O276" t="str">
        <f>IF(L276&lt;&gt;"",Data!$M827,"")</f>
        <v/>
      </c>
      <c r="T276">
        <f>IF(OR(Dashboard!$P$4="All",Dashboard!$R$4="All"),NA(),IF(OR(Data!K827&lt;&gt;Dashboard!$P$4,Data!K827&lt;&gt;Dashboard!$R$4),Data!G827,NA()))</f>
        <v>13000</v>
      </c>
      <c r="U276"/>
      <c r="AI276" s="13" t="s">
        <v>2493</v>
      </c>
      <c r="AJ276" s="8">
        <v>40000</v>
      </c>
      <c r="AK276" s="8">
        <v>1</v>
      </c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Q276" s="13" t="s">
        <v>2493</v>
      </c>
      <c r="BR276" s="8"/>
      <c r="BS276" s="8">
        <v>40000</v>
      </c>
      <c r="BT276" s="8"/>
      <c r="BU276" s="8"/>
      <c r="BV276" s="8"/>
    </row>
    <row r="277" spans="2:74">
      <c r="B277" t="e">
        <f>IF(Dashboard!$P$4="All",Data!G828,IF(Data!K828=Dashboard!$P$4,Data!G828,NA()))</f>
        <v>#N/A</v>
      </c>
      <c r="C277" t="str">
        <f t="shared" si="73"/>
        <v/>
      </c>
      <c r="D277" t="str">
        <f t="shared" si="74"/>
        <v/>
      </c>
      <c r="E277" t="str">
        <f t="shared" si="75"/>
        <v/>
      </c>
      <c r="F277" t="str">
        <f>IF(C277&lt;&gt;"",Data!$M828,"")</f>
        <v/>
      </c>
      <c r="K277" t="e">
        <f>IF(Dashboard!$R$4="All",Data!G828,IF(Data!K828=Dashboard!$R$4,Data!G828,NA()))</f>
        <v>#N/A</v>
      </c>
      <c r="L277" t="str">
        <f t="shared" si="76"/>
        <v/>
      </c>
      <c r="M277" t="str">
        <f t="shared" si="77"/>
        <v/>
      </c>
      <c r="N277" t="str">
        <f t="shared" si="78"/>
        <v/>
      </c>
      <c r="O277" t="str">
        <f>IF(L277&lt;&gt;"",Data!$M828,"")</f>
        <v/>
      </c>
      <c r="T277">
        <f>IF(OR(Dashboard!$P$4="All",Dashboard!$R$4="All"),NA(),IF(OR(Data!K828&lt;&gt;Dashboard!$P$4,Data!K828&lt;&gt;Dashboard!$R$4),Data!G828,NA()))</f>
        <v>16027.125018698311</v>
      </c>
      <c r="U277"/>
      <c r="AI277" s="13" t="s">
        <v>2496</v>
      </c>
      <c r="AJ277" s="8">
        <v>84000</v>
      </c>
      <c r="AK277" s="8">
        <v>1</v>
      </c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Q277" s="13" t="s">
        <v>2496</v>
      </c>
      <c r="BR277" s="8"/>
      <c r="BS277" s="8"/>
      <c r="BT277" s="8"/>
      <c r="BU277" s="8">
        <v>84000</v>
      </c>
      <c r="BV277" s="8"/>
    </row>
    <row r="278" spans="2:74">
      <c r="B278" t="e">
        <f>IF(Dashboard!$P$4="All",Data!G829,IF(Data!K829=Dashboard!$P$4,Data!G829,NA()))</f>
        <v>#N/A</v>
      </c>
      <c r="C278" t="str">
        <f t="shared" si="73"/>
        <v/>
      </c>
      <c r="D278" t="str">
        <f t="shared" si="74"/>
        <v/>
      </c>
      <c r="E278" t="str">
        <f t="shared" si="75"/>
        <v/>
      </c>
      <c r="F278" t="str">
        <f>IF(C278&lt;&gt;"",Data!$M829,"")</f>
        <v/>
      </c>
      <c r="K278" t="e">
        <f>IF(Dashboard!$R$4="All",Data!G829,IF(Data!K829=Dashboard!$R$4,Data!G829,NA()))</f>
        <v>#N/A</v>
      </c>
      <c r="L278" t="str">
        <f t="shared" si="76"/>
        <v/>
      </c>
      <c r="M278" t="str">
        <f t="shared" si="77"/>
        <v/>
      </c>
      <c r="N278" t="str">
        <f t="shared" si="78"/>
        <v/>
      </c>
      <c r="O278" t="str">
        <f>IF(L278&lt;&gt;"",Data!$M829,"")</f>
        <v/>
      </c>
      <c r="T278">
        <f>IF(OR(Dashboard!$P$4="All",Dashboard!$R$4="All"),NA(),IF(OR(Data!K829&lt;&gt;Dashboard!$P$4,Data!K829&lt;&gt;Dashboard!$R$4),Data!G829,NA()))</f>
        <v>85000</v>
      </c>
      <c r="U278"/>
      <c r="AI278" s="13" t="s">
        <v>2502</v>
      </c>
      <c r="AJ278" s="8">
        <v>77000</v>
      </c>
      <c r="AK278" s="8">
        <v>1</v>
      </c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Q278" s="13" t="s">
        <v>2502</v>
      </c>
      <c r="BR278" s="8"/>
      <c r="BS278" s="8"/>
      <c r="BT278" s="8"/>
      <c r="BU278" s="8">
        <v>77000</v>
      </c>
      <c r="BV278" s="8"/>
    </row>
    <row r="279" spans="2:74">
      <c r="B279" t="e">
        <f>IF(Dashboard!$P$4="All",Data!G830,IF(Data!K830=Dashboard!$P$4,Data!G830,NA()))</f>
        <v>#N/A</v>
      </c>
      <c r="C279" t="str">
        <f t="shared" si="73"/>
        <v/>
      </c>
      <c r="D279" t="str">
        <f t="shared" si="74"/>
        <v/>
      </c>
      <c r="E279" t="str">
        <f t="shared" si="75"/>
        <v/>
      </c>
      <c r="F279" t="str">
        <f>IF(C279&lt;&gt;"",Data!$M830,"")</f>
        <v/>
      </c>
      <c r="K279" t="e">
        <f>IF(Dashboard!$R$4="All",Data!G830,IF(Data!K830=Dashboard!$R$4,Data!G830,NA()))</f>
        <v>#N/A</v>
      </c>
      <c r="L279" t="str">
        <f t="shared" si="76"/>
        <v/>
      </c>
      <c r="M279" t="str">
        <f t="shared" si="77"/>
        <v/>
      </c>
      <c r="N279" t="str">
        <f t="shared" si="78"/>
        <v/>
      </c>
      <c r="O279" t="str">
        <f>IF(L279&lt;&gt;"",Data!$M830,"")</f>
        <v/>
      </c>
      <c r="T279">
        <f>IF(OR(Dashboard!$P$4="All",Dashboard!$R$4="All"),NA(),IF(OR(Data!K830&lt;&gt;Dashboard!$P$4,Data!K830&lt;&gt;Dashboard!$R$4),Data!G830,NA()))</f>
        <v>6000</v>
      </c>
      <c r="U279"/>
      <c r="AI279" s="13" t="s">
        <v>2503</v>
      </c>
      <c r="AJ279" s="8">
        <v>100000</v>
      </c>
      <c r="AK279" s="8">
        <v>1</v>
      </c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Q279" s="13" t="s">
        <v>2503</v>
      </c>
      <c r="BR279" s="8"/>
      <c r="BS279" s="8"/>
      <c r="BT279" s="8">
        <v>100000</v>
      </c>
      <c r="BU279" s="8"/>
      <c r="BV279" s="8"/>
    </row>
    <row r="280" spans="2:74">
      <c r="B280" t="e">
        <f>IF(Dashboard!$P$4="All",Data!G831,IF(Data!K831=Dashboard!$P$4,Data!G831,NA()))</f>
        <v>#N/A</v>
      </c>
      <c r="C280" t="str">
        <f t="shared" si="73"/>
        <v/>
      </c>
      <c r="D280" t="str">
        <f t="shared" si="74"/>
        <v/>
      </c>
      <c r="E280" t="str">
        <f t="shared" si="75"/>
        <v/>
      </c>
      <c r="F280" t="str">
        <f>IF(C280&lt;&gt;"",Data!$M831,"")</f>
        <v/>
      </c>
      <c r="K280" t="e">
        <f>IF(Dashboard!$R$4="All",Data!G831,IF(Data!K831=Dashboard!$R$4,Data!G831,NA()))</f>
        <v>#N/A</v>
      </c>
      <c r="L280" t="str">
        <f t="shared" si="76"/>
        <v/>
      </c>
      <c r="M280" t="str">
        <f t="shared" si="77"/>
        <v/>
      </c>
      <c r="N280" t="str">
        <f t="shared" si="78"/>
        <v/>
      </c>
      <c r="O280" t="str">
        <f>IF(L280&lt;&gt;"",Data!$M831,"")</f>
        <v/>
      </c>
      <c r="T280">
        <f>IF(OR(Dashboard!$P$4="All",Dashboard!$R$4="All"),NA(),IF(OR(Data!K831&lt;&gt;Dashboard!$P$4,Data!K831&lt;&gt;Dashboard!$R$4),Data!G831,NA()))</f>
        <v>30000</v>
      </c>
      <c r="U280"/>
      <c r="AI280" s="13" t="s">
        <v>2510</v>
      </c>
      <c r="AJ280" s="8"/>
      <c r="AK280" s="8"/>
      <c r="AL280" s="8">
        <v>65000</v>
      </c>
      <c r="AM280" s="8">
        <v>1</v>
      </c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Q280" s="13" t="s">
        <v>2510</v>
      </c>
      <c r="BR280" s="8"/>
      <c r="BS280" s="8"/>
      <c r="BT280" s="8"/>
      <c r="BU280" s="8">
        <v>65000</v>
      </c>
      <c r="BV280" s="8"/>
    </row>
    <row r="281" spans="2:74">
      <c r="B281" t="e">
        <f>IF(Dashboard!$P$4="All",Data!G832,IF(Data!K832=Dashboard!$P$4,Data!G832,NA()))</f>
        <v>#N/A</v>
      </c>
      <c r="C281" t="str">
        <f t="shared" si="73"/>
        <v/>
      </c>
      <c r="D281" t="str">
        <f t="shared" si="74"/>
        <v/>
      </c>
      <c r="E281" t="str">
        <f t="shared" si="75"/>
        <v/>
      </c>
      <c r="F281" t="str">
        <f>IF(C281&lt;&gt;"",Data!$M832,"")</f>
        <v/>
      </c>
      <c r="K281">
        <f>IF(Dashboard!$R$4="All",Data!G832,IF(Data!K832=Dashboard!$R$4,Data!G832,NA()))</f>
        <v>157617.8272067284</v>
      </c>
      <c r="L281">
        <f t="shared" si="76"/>
        <v>157617.8272067284</v>
      </c>
      <c r="M281">
        <f t="shared" si="77"/>
        <v>157617.8272067284</v>
      </c>
      <c r="N281" t="str">
        <f t="shared" si="78"/>
        <v/>
      </c>
      <c r="O281">
        <f>IF(L281&lt;&gt;"",Data!$M832,"")</f>
        <v>20</v>
      </c>
      <c r="T281">
        <f>IF(OR(Dashboard!$P$4="All",Dashboard!$R$4="All"),NA(),IF(OR(Data!K832&lt;&gt;Dashboard!$P$4,Data!K832&lt;&gt;Dashboard!$R$4),Data!G832,NA()))</f>
        <v>157617.8272067284</v>
      </c>
      <c r="U281"/>
      <c r="AI281" s="13" t="s">
        <v>2513</v>
      </c>
      <c r="AJ281" s="8"/>
      <c r="AK281" s="8"/>
      <c r="AL281" s="8">
        <v>76000</v>
      </c>
      <c r="AM281" s="8">
        <v>1</v>
      </c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Q281" s="13" t="s">
        <v>2513</v>
      </c>
      <c r="BR281" s="8"/>
      <c r="BS281" s="8">
        <v>76000</v>
      </c>
      <c r="BT281" s="8"/>
      <c r="BU281" s="8"/>
      <c r="BV281" s="8"/>
    </row>
    <row r="282" spans="2:74">
      <c r="B282" t="e">
        <f>IF(Dashboard!$P$4="All",Data!G833,IF(Data!K833=Dashboard!$P$4,Data!G833,NA()))</f>
        <v>#N/A</v>
      </c>
      <c r="C282" t="str">
        <f t="shared" si="73"/>
        <v/>
      </c>
      <c r="D282" t="str">
        <f t="shared" si="74"/>
        <v/>
      </c>
      <c r="E282" t="str">
        <f t="shared" si="75"/>
        <v/>
      </c>
      <c r="F282" t="str">
        <f>IF(C282&lt;&gt;"",Data!$M833,"")</f>
        <v/>
      </c>
      <c r="K282" t="e">
        <f>IF(Dashboard!$R$4="All",Data!G833,IF(Data!K833=Dashboard!$R$4,Data!G833,NA()))</f>
        <v>#N/A</v>
      </c>
      <c r="L282" t="str">
        <f t="shared" si="76"/>
        <v/>
      </c>
      <c r="M282" t="str">
        <f t="shared" si="77"/>
        <v/>
      </c>
      <c r="N282" t="str">
        <f t="shared" si="78"/>
        <v/>
      </c>
      <c r="O282" t="str">
        <f>IF(L282&lt;&gt;"",Data!$M833,"")</f>
        <v/>
      </c>
      <c r="T282">
        <f>IF(OR(Dashboard!$P$4="All",Dashboard!$R$4="All"),NA(),IF(OR(Data!K833&lt;&gt;Dashboard!$P$4,Data!K833&lt;&gt;Dashboard!$R$4),Data!G833,NA()))</f>
        <v>21369.500024931083</v>
      </c>
      <c r="U282"/>
      <c r="AI282" s="13" t="s">
        <v>2514</v>
      </c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>
        <v>150000</v>
      </c>
      <c r="AW282" s="8">
        <v>1</v>
      </c>
      <c r="AX282" s="8"/>
      <c r="AY282" s="8"/>
      <c r="AZ282" s="8"/>
      <c r="BA282" s="8"/>
      <c r="BB282" s="8"/>
      <c r="BC282" s="8"/>
      <c r="BQ282" s="13" t="s">
        <v>2514</v>
      </c>
      <c r="BR282" s="8"/>
      <c r="BS282" s="8"/>
      <c r="BT282" s="8"/>
      <c r="BU282" s="8">
        <v>150000</v>
      </c>
      <c r="BV282" s="8"/>
    </row>
    <row r="283" spans="2:74">
      <c r="B283" t="e">
        <f>IF(Dashboard!$P$4="All",Data!G834,IF(Data!K834=Dashboard!$P$4,Data!G834,NA()))</f>
        <v>#N/A</v>
      </c>
      <c r="C283" t="str">
        <f t="shared" si="73"/>
        <v/>
      </c>
      <c r="D283" t="str">
        <f t="shared" si="74"/>
        <v/>
      </c>
      <c r="E283" t="str">
        <f t="shared" si="75"/>
        <v/>
      </c>
      <c r="F283" t="str">
        <f>IF(C283&lt;&gt;"",Data!$M834,"")</f>
        <v/>
      </c>
      <c r="K283" t="e">
        <f>IF(Dashboard!$R$4="All",Data!G834,IF(Data!K834=Dashboard!$R$4,Data!G834,NA()))</f>
        <v>#N/A</v>
      </c>
      <c r="L283" t="str">
        <f t="shared" si="76"/>
        <v/>
      </c>
      <c r="M283" t="str">
        <f t="shared" si="77"/>
        <v/>
      </c>
      <c r="N283" t="str">
        <f t="shared" si="78"/>
        <v/>
      </c>
      <c r="O283" t="str">
        <f>IF(L283&lt;&gt;"",Data!$M834,"")</f>
        <v/>
      </c>
      <c r="T283">
        <f>IF(OR(Dashboard!$P$4="All",Dashboard!$R$4="All"),NA(),IF(OR(Data!K834&lt;&gt;Dashboard!$P$4,Data!K834&lt;&gt;Dashboard!$R$4),Data!G834,NA()))</f>
        <v>3561.5833374885137</v>
      </c>
      <c r="U283"/>
      <c r="AI283" s="13" t="s">
        <v>2515</v>
      </c>
      <c r="AJ283" s="8">
        <v>54000</v>
      </c>
      <c r="AK283" s="8">
        <v>1</v>
      </c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Q283" s="13" t="s">
        <v>2515</v>
      </c>
      <c r="BR283" s="8"/>
      <c r="BS283" s="8"/>
      <c r="BT283" s="8">
        <v>54000</v>
      </c>
      <c r="BU283" s="8"/>
      <c r="BV283" s="8"/>
    </row>
    <row r="284" spans="2:74">
      <c r="B284" t="e">
        <f>IF(Dashboard!$P$4="All",Data!G835,IF(Data!K835=Dashboard!$P$4,Data!G835,NA()))</f>
        <v>#N/A</v>
      </c>
      <c r="C284" t="str">
        <f t="shared" si="73"/>
        <v/>
      </c>
      <c r="D284" t="str">
        <f t="shared" si="74"/>
        <v/>
      </c>
      <c r="E284" t="str">
        <f t="shared" si="75"/>
        <v/>
      </c>
      <c r="F284" t="str">
        <f>IF(C284&lt;&gt;"",Data!$M835,"")</f>
        <v/>
      </c>
      <c r="K284" t="e">
        <f>IF(Dashboard!$R$4="All",Data!G835,IF(Data!K835=Dashboard!$R$4,Data!G835,NA()))</f>
        <v>#N/A</v>
      </c>
      <c r="L284" t="str">
        <f t="shared" si="76"/>
        <v/>
      </c>
      <c r="M284" t="str">
        <f t="shared" si="77"/>
        <v/>
      </c>
      <c r="N284" t="str">
        <f t="shared" si="78"/>
        <v/>
      </c>
      <c r="O284" t="str">
        <f>IF(L284&lt;&gt;"",Data!$M835,"")</f>
        <v/>
      </c>
      <c r="T284">
        <f>IF(OR(Dashboard!$P$4="All",Dashboard!$R$4="All"),NA(),IF(OR(Data!K835&lt;&gt;Dashboard!$P$4,Data!K835&lt;&gt;Dashboard!$R$4),Data!G835,NA()))</f>
        <v>5000</v>
      </c>
      <c r="U284"/>
      <c r="AI284" s="13" t="s">
        <v>2517</v>
      </c>
      <c r="AJ284" s="8"/>
      <c r="AK284" s="8"/>
      <c r="AL284" s="8"/>
      <c r="AM284" s="8"/>
      <c r="AN284" s="8">
        <v>61000</v>
      </c>
      <c r="AO284" s="8">
        <v>1</v>
      </c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Q284" s="13" t="s">
        <v>2517</v>
      </c>
      <c r="BR284" s="8"/>
      <c r="BS284" s="8"/>
      <c r="BT284" s="8">
        <v>61000</v>
      </c>
      <c r="BU284" s="8"/>
      <c r="BV284" s="8"/>
    </row>
    <row r="285" spans="2:74">
      <c r="B285" t="e">
        <f>IF(Dashboard!$P$4="All",Data!G836,IF(Data!K836=Dashboard!$P$4,Data!G836,NA()))</f>
        <v>#N/A</v>
      </c>
      <c r="C285" t="str">
        <f t="shared" si="73"/>
        <v/>
      </c>
      <c r="D285" t="str">
        <f t="shared" si="74"/>
        <v/>
      </c>
      <c r="E285" t="str">
        <f t="shared" si="75"/>
        <v/>
      </c>
      <c r="F285" t="str">
        <f>IF(C285&lt;&gt;"",Data!$M836,"")</f>
        <v/>
      </c>
      <c r="K285" t="e">
        <f>IF(Dashboard!$R$4="All",Data!G836,IF(Data!K836=Dashboard!$R$4,Data!G836,NA()))</f>
        <v>#N/A</v>
      </c>
      <c r="L285" t="str">
        <f t="shared" si="76"/>
        <v/>
      </c>
      <c r="M285" t="str">
        <f t="shared" si="77"/>
        <v/>
      </c>
      <c r="N285" t="str">
        <f t="shared" si="78"/>
        <v/>
      </c>
      <c r="O285" t="str">
        <f>IF(L285&lt;&gt;"",Data!$M836,"")</f>
        <v/>
      </c>
      <c r="T285">
        <f>IF(OR(Dashboard!$P$4="All",Dashboard!$R$4="All"),NA(),IF(OR(Data!K836&lt;&gt;Dashboard!$P$4,Data!K836&lt;&gt;Dashboard!$R$4),Data!G836,NA()))</f>
        <v>3561.5833374885137</v>
      </c>
      <c r="U285"/>
      <c r="AI285" s="13" t="s">
        <v>2518</v>
      </c>
      <c r="AJ285" s="8">
        <v>70000</v>
      </c>
      <c r="AK285" s="8">
        <v>1</v>
      </c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Q285" s="13" t="s">
        <v>2518</v>
      </c>
      <c r="BR285" s="8"/>
      <c r="BS285" s="8"/>
      <c r="BT285" s="8"/>
      <c r="BU285" s="8">
        <v>70000</v>
      </c>
      <c r="BV285" s="8"/>
    </row>
    <row r="286" spans="2:74">
      <c r="B286" t="e">
        <f>IF(Dashboard!$P$4="All",Data!G837,IF(Data!K837=Dashboard!$P$4,Data!G837,NA()))</f>
        <v>#N/A</v>
      </c>
      <c r="C286" t="str">
        <f t="shared" si="73"/>
        <v/>
      </c>
      <c r="D286" t="str">
        <f t="shared" si="74"/>
        <v/>
      </c>
      <c r="E286" t="str">
        <f t="shared" si="75"/>
        <v/>
      </c>
      <c r="F286" t="str">
        <f>IF(C286&lt;&gt;"",Data!$M837,"")</f>
        <v/>
      </c>
      <c r="K286" t="e">
        <f>IF(Dashboard!$R$4="All",Data!G837,IF(Data!K837=Dashboard!$R$4,Data!G837,NA()))</f>
        <v>#N/A</v>
      </c>
      <c r="L286" t="str">
        <f t="shared" si="76"/>
        <v/>
      </c>
      <c r="M286" t="str">
        <f t="shared" si="77"/>
        <v/>
      </c>
      <c r="N286" t="str">
        <f t="shared" si="78"/>
        <v/>
      </c>
      <c r="O286" t="str">
        <f>IF(L286&lt;&gt;"",Data!$M837,"")</f>
        <v/>
      </c>
      <c r="T286">
        <f>IF(OR(Dashboard!$P$4="All",Dashboard!$R$4="All"),NA(),IF(OR(Data!K837&lt;&gt;Dashboard!$P$4,Data!K837&lt;&gt;Dashboard!$R$4),Data!G837,NA()))</f>
        <v>38111.983169748237</v>
      </c>
      <c r="U286"/>
      <c r="AI286" s="13" t="s">
        <v>2521</v>
      </c>
      <c r="AJ286" s="8"/>
      <c r="AK286" s="8"/>
      <c r="AL286" s="8">
        <v>72600</v>
      </c>
      <c r="AM286" s="8">
        <v>1</v>
      </c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Q286" s="13" t="s">
        <v>2521</v>
      </c>
      <c r="BR286" s="8"/>
      <c r="BS286" s="8">
        <v>72600</v>
      </c>
      <c r="BT286" s="8"/>
      <c r="BU286" s="8"/>
      <c r="BV286" s="8"/>
    </row>
    <row r="287" spans="2:74">
      <c r="B287" t="e">
        <f>IF(Dashboard!$P$4="All",Data!G838,IF(Data!K838=Dashboard!$P$4,Data!G838,NA()))</f>
        <v>#N/A</v>
      </c>
      <c r="C287" t="str">
        <f t="shared" si="73"/>
        <v/>
      </c>
      <c r="D287" t="str">
        <f t="shared" si="74"/>
        <v/>
      </c>
      <c r="E287" t="str">
        <f t="shared" si="75"/>
        <v/>
      </c>
      <c r="F287" t="str">
        <f>IF(C287&lt;&gt;"",Data!$M838,"")</f>
        <v/>
      </c>
      <c r="K287" t="e">
        <f>IF(Dashboard!$R$4="All",Data!G838,IF(Data!K838=Dashboard!$R$4,Data!G838,NA()))</f>
        <v>#N/A</v>
      </c>
      <c r="L287" t="str">
        <f t="shared" si="76"/>
        <v/>
      </c>
      <c r="M287" t="str">
        <f t="shared" si="77"/>
        <v/>
      </c>
      <c r="N287" t="str">
        <f t="shared" si="78"/>
        <v/>
      </c>
      <c r="O287" t="str">
        <f>IF(L287&lt;&gt;"",Data!$M838,"")</f>
        <v/>
      </c>
      <c r="T287">
        <f>IF(OR(Dashboard!$P$4="All",Dashboard!$R$4="All"),NA(),IF(OR(Data!K838&lt;&gt;Dashboard!$P$4,Data!K838&lt;&gt;Dashboard!$R$4),Data!G838,NA()))</f>
        <v>17807.916687442568</v>
      </c>
      <c r="U287"/>
      <c r="AI287" s="13" t="s">
        <v>2522</v>
      </c>
      <c r="AJ287" s="8"/>
      <c r="AK287" s="8"/>
      <c r="AL287" s="8"/>
      <c r="AM287" s="8"/>
      <c r="AN287" s="8"/>
      <c r="AO287" s="8"/>
      <c r="AP287" s="8">
        <v>100000</v>
      </c>
      <c r="AQ287" s="8">
        <v>1</v>
      </c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Q287" s="13" t="s">
        <v>2522</v>
      </c>
      <c r="BR287" s="8"/>
      <c r="BS287" s="8">
        <v>100000</v>
      </c>
      <c r="BT287" s="8"/>
      <c r="BU287" s="8"/>
      <c r="BV287" s="8"/>
    </row>
    <row r="288" spans="2:74">
      <c r="B288" t="e">
        <f>IF(Dashboard!$P$4="All",Data!G839,IF(Data!K839=Dashboard!$P$4,Data!G839,NA()))</f>
        <v>#N/A</v>
      </c>
      <c r="C288" t="str">
        <f t="shared" si="73"/>
        <v/>
      </c>
      <c r="D288" t="str">
        <f t="shared" si="74"/>
        <v/>
      </c>
      <c r="E288" t="str">
        <f t="shared" si="75"/>
        <v/>
      </c>
      <c r="F288" t="str">
        <f>IF(C288&lt;&gt;"",Data!$M839,"")</f>
        <v/>
      </c>
      <c r="K288" t="e">
        <f>IF(Dashboard!$R$4="All",Data!G839,IF(Data!K839=Dashboard!$R$4,Data!G839,NA()))</f>
        <v>#N/A</v>
      </c>
      <c r="L288" t="str">
        <f t="shared" si="76"/>
        <v/>
      </c>
      <c r="M288" t="str">
        <f t="shared" si="77"/>
        <v/>
      </c>
      <c r="N288" t="str">
        <f t="shared" si="78"/>
        <v/>
      </c>
      <c r="O288" t="str">
        <f>IF(L288&lt;&gt;"",Data!$M839,"")</f>
        <v/>
      </c>
      <c r="T288">
        <f>IF(OR(Dashboard!$P$4="All",Dashboard!$R$4="All"),NA(),IF(OR(Data!K839&lt;&gt;Dashboard!$P$4,Data!K839&lt;&gt;Dashboard!$R$4),Data!G839,NA()))</f>
        <v>11575.14584683767</v>
      </c>
      <c r="U288"/>
      <c r="AI288" s="13" t="s">
        <v>2523</v>
      </c>
      <c r="AJ288" s="8">
        <v>104000</v>
      </c>
      <c r="AK288" s="8">
        <v>1</v>
      </c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Q288" s="13" t="s">
        <v>2523</v>
      </c>
      <c r="BR288" s="8"/>
      <c r="BS288" s="8"/>
      <c r="BT288" s="8">
        <v>104000</v>
      </c>
      <c r="BU288" s="8"/>
      <c r="BV288" s="8"/>
    </row>
    <row r="289" spans="2:74">
      <c r="B289" t="e">
        <f>IF(Dashboard!$P$4="All",Data!G840,IF(Data!K840=Dashboard!$P$4,Data!G840,NA()))</f>
        <v>#N/A</v>
      </c>
      <c r="C289" t="str">
        <f t="shared" si="73"/>
        <v/>
      </c>
      <c r="D289" t="str">
        <f t="shared" si="74"/>
        <v/>
      </c>
      <c r="E289" t="str">
        <f t="shared" si="75"/>
        <v/>
      </c>
      <c r="F289" t="str">
        <f>IF(C289&lt;&gt;"",Data!$M840,"")</f>
        <v/>
      </c>
      <c r="K289" t="e">
        <f>IF(Dashboard!$R$4="All",Data!G840,IF(Data!K840=Dashboard!$R$4,Data!G840,NA()))</f>
        <v>#N/A</v>
      </c>
      <c r="L289" t="str">
        <f t="shared" si="76"/>
        <v/>
      </c>
      <c r="M289" t="str">
        <f t="shared" si="77"/>
        <v/>
      </c>
      <c r="N289" t="str">
        <f t="shared" si="78"/>
        <v/>
      </c>
      <c r="O289" t="str">
        <f>IF(L289&lt;&gt;"",Data!$M840,"")</f>
        <v/>
      </c>
      <c r="T289">
        <f>IF(OR(Dashboard!$P$4="All",Dashboard!$R$4="All"),NA(),IF(OR(Data!K840&lt;&gt;Dashboard!$P$4,Data!K840&lt;&gt;Dashboard!$R$4),Data!G840,NA()))</f>
        <v>98336.152303032693</v>
      </c>
      <c r="U289"/>
      <c r="AI289" s="13" t="s">
        <v>2525</v>
      </c>
      <c r="AJ289" s="8"/>
      <c r="AK289" s="8"/>
      <c r="AL289" s="8"/>
      <c r="AM289" s="8"/>
      <c r="AN289" s="8"/>
      <c r="AO289" s="8"/>
      <c r="AP289" s="8">
        <v>200000</v>
      </c>
      <c r="AQ289" s="8">
        <v>1</v>
      </c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Q289" s="13" t="s">
        <v>2525</v>
      </c>
      <c r="BR289" s="8"/>
      <c r="BS289" s="8">
        <v>200000</v>
      </c>
      <c r="BT289" s="8"/>
      <c r="BU289" s="8"/>
      <c r="BV289" s="8"/>
    </row>
    <row r="290" spans="2:74">
      <c r="B290" t="e">
        <f>IF(Dashboard!$P$4="All",Data!G841,IF(Data!K841=Dashboard!$P$4,Data!G841,NA()))</f>
        <v>#N/A</v>
      </c>
      <c r="C290" t="str">
        <f t="shared" si="73"/>
        <v/>
      </c>
      <c r="D290" t="str">
        <f t="shared" si="74"/>
        <v/>
      </c>
      <c r="E290" t="str">
        <f t="shared" si="75"/>
        <v/>
      </c>
      <c r="F290" t="str">
        <f>IF(C290&lt;&gt;"",Data!$M841,"")</f>
        <v/>
      </c>
      <c r="K290" t="e">
        <f>IF(Dashboard!$R$4="All",Data!G841,IF(Data!K841=Dashboard!$R$4,Data!G841,NA()))</f>
        <v>#N/A</v>
      </c>
      <c r="L290" t="str">
        <f t="shared" si="76"/>
        <v/>
      </c>
      <c r="M290" t="str">
        <f t="shared" si="77"/>
        <v/>
      </c>
      <c r="N290" t="str">
        <f t="shared" si="78"/>
        <v/>
      </c>
      <c r="O290" t="str">
        <f>IF(L290&lt;&gt;"",Data!$M841,"")</f>
        <v/>
      </c>
      <c r="T290">
        <f>IF(OR(Dashboard!$P$4="All",Dashboard!$R$4="All"),NA(),IF(OR(Data!K841&lt;&gt;Dashboard!$P$4,Data!K841&lt;&gt;Dashboard!$R$4),Data!G841,NA()))</f>
        <v>92500</v>
      </c>
      <c r="U290"/>
      <c r="AI290" s="13" t="s">
        <v>2528</v>
      </c>
      <c r="AJ290" s="8"/>
      <c r="AK290" s="8"/>
      <c r="AL290" s="8">
        <v>82300</v>
      </c>
      <c r="AM290" s="8">
        <v>1</v>
      </c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Q290" s="13" t="s">
        <v>2528</v>
      </c>
      <c r="BR290" s="8"/>
      <c r="BS290" s="8">
        <v>82300</v>
      </c>
      <c r="BT290" s="8"/>
      <c r="BU290" s="8"/>
      <c r="BV290" s="8"/>
    </row>
    <row r="291" spans="2:74">
      <c r="B291" t="e">
        <f>IF(Dashboard!$P$4="All",Data!G842,IF(Data!K842=Dashboard!$P$4,Data!G842,NA()))</f>
        <v>#N/A</v>
      </c>
      <c r="C291" t="str">
        <f t="shared" si="73"/>
        <v/>
      </c>
      <c r="D291" t="str">
        <f t="shared" si="74"/>
        <v/>
      </c>
      <c r="E291" t="str">
        <f t="shared" si="75"/>
        <v/>
      </c>
      <c r="F291" t="str">
        <f>IF(C291&lt;&gt;"",Data!$M842,"")</f>
        <v/>
      </c>
      <c r="K291" t="e">
        <f>IF(Dashboard!$R$4="All",Data!G842,IF(Data!K842=Dashboard!$R$4,Data!G842,NA()))</f>
        <v>#N/A</v>
      </c>
      <c r="L291" t="str">
        <f t="shared" si="76"/>
        <v/>
      </c>
      <c r="M291" t="str">
        <f t="shared" si="77"/>
        <v/>
      </c>
      <c r="N291" t="str">
        <f t="shared" si="78"/>
        <v/>
      </c>
      <c r="O291" t="str">
        <f>IF(L291&lt;&gt;"",Data!$M842,"")</f>
        <v/>
      </c>
      <c r="T291">
        <f>IF(OR(Dashboard!$P$4="All",Dashboard!$R$4="All"),NA(),IF(OR(Data!K842&lt;&gt;Dashboard!$P$4,Data!K842&lt;&gt;Dashboard!$R$4),Data!G842,NA()))</f>
        <v>9794.354178093412</v>
      </c>
      <c r="U291"/>
      <c r="AI291" s="13" t="s">
        <v>2529</v>
      </c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>
        <v>95000</v>
      </c>
      <c r="AW291" s="8">
        <v>1</v>
      </c>
      <c r="AX291" s="8"/>
      <c r="AY291" s="8"/>
      <c r="AZ291" s="8"/>
      <c r="BA291" s="8"/>
      <c r="BB291" s="8"/>
      <c r="BC291" s="8"/>
      <c r="BQ291" s="13" t="s">
        <v>2529</v>
      </c>
      <c r="BR291" s="8"/>
      <c r="BS291" s="8"/>
      <c r="BT291" s="8">
        <v>95000</v>
      </c>
      <c r="BU291" s="8"/>
      <c r="BV291" s="8"/>
    </row>
    <row r="292" spans="2:74">
      <c r="B292" t="e">
        <f>IF(Dashboard!$P$4="All",Data!G843,IF(Data!K843=Dashboard!$P$4,Data!G843,NA()))</f>
        <v>#N/A</v>
      </c>
      <c r="C292" t="str">
        <f t="shared" si="73"/>
        <v/>
      </c>
      <c r="D292" t="str">
        <f t="shared" si="74"/>
        <v/>
      </c>
      <c r="E292" t="str">
        <f t="shared" si="75"/>
        <v/>
      </c>
      <c r="F292" t="str">
        <f>IF(C292&lt;&gt;"",Data!$M843,"")</f>
        <v/>
      </c>
      <c r="K292" t="e">
        <f>IF(Dashboard!$R$4="All",Data!G843,IF(Data!K843=Dashboard!$R$4,Data!G843,NA()))</f>
        <v>#N/A</v>
      </c>
      <c r="L292" t="str">
        <f t="shared" si="76"/>
        <v/>
      </c>
      <c r="M292" t="str">
        <f t="shared" si="77"/>
        <v/>
      </c>
      <c r="N292" t="str">
        <f t="shared" si="78"/>
        <v/>
      </c>
      <c r="O292" t="str">
        <f>IF(L292&lt;&gt;"",Data!$M843,"")</f>
        <v/>
      </c>
      <c r="T292">
        <f>IF(OR(Dashboard!$P$4="All",Dashboard!$R$4="All"),NA(),IF(OR(Data!K843&lt;&gt;Dashboard!$P$4,Data!K843&lt;&gt;Dashboard!$R$4),Data!G843,NA()))</f>
        <v>32000</v>
      </c>
      <c r="U292"/>
      <c r="AI292" s="13" t="s">
        <v>2535</v>
      </c>
      <c r="AJ292" s="8">
        <v>50000</v>
      </c>
      <c r="AK292" s="8">
        <v>1</v>
      </c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Q292" s="13" t="s">
        <v>2535</v>
      </c>
      <c r="BR292" s="8"/>
      <c r="BS292" s="8">
        <v>50000</v>
      </c>
      <c r="BT292" s="8"/>
      <c r="BU292" s="8"/>
      <c r="BV292" s="8"/>
    </row>
    <row r="293" spans="2:74">
      <c r="B293" t="e">
        <f>IF(Dashboard!$P$4="All",Data!G844,IF(Data!K844=Dashboard!$P$4,Data!G844,NA()))</f>
        <v>#N/A</v>
      </c>
      <c r="C293" t="str">
        <f t="shared" si="73"/>
        <v/>
      </c>
      <c r="D293" t="str">
        <f t="shared" si="74"/>
        <v/>
      </c>
      <c r="E293" t="str">
        <f t="shared" si="75"/>
        <v/>
      </c>
      <c r="F293" t="str">
        <f>IF(C293&lt;&gt;"",Data!$M844,"")</f>
        <v/>
      </c>
      <c r="K293" t="e">
        <f>IF(Dashboard!$R$4="All",Data!G844,IF(Data!K844=Dashboard!$R$4,Data!G844,NA()))</f>
        <v>#N/A</v>
      </c>
      <c r="L293" t="str">
        <f t="shared" si="76"/>
        <v/>
      </c>
      <c r="M293" t="str">
        <f t="shared" si="77"/>
        <v/>
      </c>
      <c r="N293" t="str">
        <f t="shared" si="78"/>
        <v/>
      </c>
      <c r="O293" t="str">
        <f>IF(L293&lt;&gt;"",Data!$M844,"")</f>
        <v/>
      </c>
      <c r="T293">
        <f>IF(OR(Dashboard!$P$4="All",Dashboard!$R$4="All"),NA(),IF(OR(Data!K844&lt;&gt;Dashboard!$P$4,Data!K844&lt;&gt;Dashboard!$R$4),Data!G844,NA()))</f>
        <v>55000</v>
      </c>
      <c r="U293"/>
      <c r="AI293" s="13" t="s">
        <v>2538</v>
      </c>
      <c r="AJ293" s="8">
        <v>46000</v>
      </c>
      <c r="AK293" s="8">
        <v>1</v>
      </c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Q293" s="13" t="s">
        <v>2538</v>
      </c>
      <c r="BR293" s="8"/>
      <c r="BS293" s="8">
        <v>46000</v>
      </c>
      <c r="BT293" s="8"/>
      <c r="BU293" s="8"/>
      <c r="BV293" s="8"/>
    </row>
    <row r="294" spans="2:74">
      <c r="B294" t="e">
        <f>IF(Dashboard!$P$4="All",Data!G845,IF(Data!K845=Dashboard!$P$4,Data!G845,NA()))</f>
        <v>#N/A</v>
      </c>
      <c r="C294" t="str">
        <f t="shared" si="73"/>
        <v/>
      </c>
      <c r="D294" t="str">
        <f t="shared" si="74"/>
        <v/>
      </c>
      <c r="E294" t="str">
        <f t="shared" si="75"/>
        <v/>
      </c>
      <c r="F294" t="str">
        <f>IF(C294&lt;&gt;"",Data!$M845,"")</f>
        <v/>
      </c>
      <c r="K294" t="e">
        <f>IF(Dashboard!$R$4="All",Data!G845,IF(Data!K845=Dashboard!$R$4,Data!G845,NA()))</f>
        <v>#N/A</v>
      </c>
      <c r="L294" t="str">
        <f t="shared" si="76"/>
        <v/>
      </c>
      <c r="M294" t="str">
        <f t="shared" si="77"/>
        <v/>
      </c>
      <c r="N294" t="str">
        <f t="shared" si="78"/>
        <v/>
      </c>
      <c r="O294" t="str">
        <f>IF(L294&lt;&gt;"",Data!$M845,"")</f>
        <v/>
      </c>
      <c r="T294">
        <f>IF(OR(Dashboard!$P$4="All",Dashboard!$R$4="All"),NA(),IF(OR(Data!K845&lt;&gt;Dashboard!$P$4,Data!K845&lt;&gt;Dashboard!$R$4),Data!G845,NA()))</f>
        <v>40000</v>
      </c>
      <c r="U294"/>
      <c r="AI294" s="13" t="s">
        <v>2542</v>
      </c>
      <c r="AJ294" s="8"/>
      <c r="AK294" s="8"/>
      <c r="AL294" s="8"/>
      <c r="AM294" s="8"/>
      <c r="AN294" s="8">
        <v>43000</v>
      </c>
      <c r="AO294" s="8">
        <v>1</v>
      </c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Q294" s="13" t="s">
        <v>2542</v>
      </c>
      <c r="BR294" s="8"/>
      <c r="BS294" s="8"/>
      <c r="BT294" s="8"/>
      <c r="BU294" s="8">
        <v>43000</v>
      </c>
      <c r="BV294" s="8"/>
    </row>
    <row r="295" spans="2:74">
      <c r="B295" t="e">
        <f>IF(Dashboard!$P$4="All",Data!G846,IF(Data!K846=Dashboard!$P$4,Data!G846,NA()))</f>
        <v>#N/A</v>
      </c>
      <c r="C295" t="str">
        <f t="shared" si="73"/>
        <v/>
      </c>
      <c r="D295" t="str">
        <f t="shared" si="74"/>
        <v/>
      </c>
      <c r="E295" t="str">
        <f t="shared" si="75"/>
        <v/>
      </c>
      <c r="F295" t="str">
        <f>IF(C295&lt;&gt;"",Data!$M846,"")</f>
        <v/>
      </c>
      <c r="K295" t="e">
        <f>IF(Dashboard!$R$4="All",Data!G846,IF(Data!K846=Dashboard!$R$4,Data!G846,NA()))</f>
        <v>#N/A</v>
      </c>
      <c r="L295" t="str">
        <f t="shared" si="76"/>
        <v/>
      </c>
      <c r="M295" t="str">
        <f t="shared" si="77"/>
        <v/>
      </c>
      <c r="N295" t="str">
        <f t="shared" si="78"/>
        <v/>
      </c>
      <c r="O295" t="str">
        <f>IF(L295&lt;&gt;"",Data!$M846,"")</f>
        <v/>
      </c>
      <c r="T295">
        <f>IF(OR(Dashboard!$P$4="All",Dashboard!$R$4="All"),NA(),IF(OR(Data!K846&lt;&gt;Dashboard!$P$4,Data!K846&lt;&gt;Dashboard!$R$4),Data!G846,NA()))</f>
        <v>3000</v>
      </c>
      <c r="U295"/>
      <c r="AI295" s="13" t="s">
        <v>2544</v>
      </c>
      <c r="AJ295" s="8">
        <v>55000</v>
      </c>
      <c r="AK295" s="8">
        <v>1</v>
      </c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Q295" s="13" t="s">
        <v>2544</v>
      </c>
      <c r="BR295" s="8"/>
      <c r="BS295" s="8">
        <v>55000</v>
      </c>
      <c r="BT295" s="8"/>
      <c r="BU295" s="8"/>
      <c r="BV295" s="8"/>
    </row>
    <row r="296" spans="2:74">
      <c r="B296" t="e">
        <f>IF(Dashboard!$P$4="All",Data!G847,IF(Data!K847=Dashboard!$P$4,Data!G847,NA()))</f>
        <v>#N/A</v>
      </c>
      <c r="C296" t="str">
        <f t="shared" si="73"/>
        <v/>
      </c>
      <c r="D296" t="str">
        <f t="shared" si="74"/>
        <v/>
      </c>
      <c r="E296" t="str">
        <f t="shared" si="75"/>
        <v/>
      </c>
      <c r="F296" t="str">
        <f>IF(C296&lt;&gt;"",Data!$M847,"")</f>
        <v/>
      </c>
      <c r="K296" t="e">
        <f>IF(Dashboard!$R$4="All",Data!G847,IF(Data!K847=Dashboard!$R$4,Data!G847,NA()))</f>
        <v>#N/A</v>
      </c>
      <c r="L296" t="str">
        <f t="shared" si="76"/>
        <v/>
      </c>
      <c r="M296" t="str">
        <f t="shared" si="77"/>
        <v/>
      </c>
      <c r="N296" t="str">
        <f t="shared" si="78"/>
        <v/>
      </c>
      <c r="O296" t="str">
        <f>IF(L296&lt;&gt;"",Data!$M847,"")</f>
        <v/>
      </c>
      <c r="T296">
        <f>IF(OR(Dashboard!$P$4="All",Dashboard!$R$4="All"),NA(),IF(OR(Data!K847&lt;&gt;Dashboard!$P$4,Data!K847&lt;&gt;Dashboard!$R$4),Data!G847,NA()))</f>
        <v>43600</v>
      </c>
      <c r="U296"/>
      <c r="AI296" s="13" t="s">
        <v>2546</v>
      </c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>
        <v>45000</v>
      </c>
      <c r="BA296" s="8">
        <v>1</v>
      </c>
      <c r="BB296" s="8"/>
      <c r="BC296" s="8"/>
      <c r="BQ296" s="13" t="s">
        <v>2546</v>
      </c>
      <c r="BR296" s="8"/>
      <c r="BS296" s="8"/>
      <c r="BT296" s="8"/>
      <c r="BU296" s="8">
        <v>45000</v>
      </c>
      <c r="BV296" s="8"/>
    </row>
    <row r="297" spans="2:74">
      <c r="B297" t="e">
        <f>IF(Dashboard!$P$4="All",Data!G848,IF(Data!K848=Dashboard!$P$4,Data!G848,NA()))</f>
        <v>#N/A</v>
      </c>
      <c r="C297" t="str">
        <f t="shared" si="73"/>
        <v/>
      </c>
      <c r="D297" t="str">
        <f t="shared" si="74"/>
        <v/>
      </c>
      <c r="E297" t="str">
        <f t="shared" si="75"/>
        <v/>
      </c>
      <c r="F297" t="str">
        <f>IF(C297&lt;&gt;"",Data!$M848,"")</f>
        <v/>
      </c>
      <c r="K297" t="e">
        <f>IF(Dashboard!$R$4="All",Data!G848,IF(Data!K848=Dashboard!$R$4,Data!G848,NA()))</f>
        <v>#N/A</v>
      </c>
      <c r="L297" t="str">
        <f t="shared" si="76"/>
        <v/>
      </c>
      <c r="M297" t="str">
        <f t="shared" si="77"/>
        <v/>
      </c>
      <c r="N297" t="str">
        <f t="shared" si="78"/>
        <v/>
      </c>
      <c r="O297" t="str">
        <f>IF(L297&lt;&gt;"",Data!$M848,"")</f>
        <v/>
      </c>
      <c r="T297">
        <f>IF(OR(Dashboard!$P$4="All",Dashboard!$R$4="All"),NA(),IF(OR(Data!K848&lt;&gt;Dashboard!$P$4,Data!K848&lt;&gt;Dashboard!$R$4),Data!G848,NA()))</f>
        <v>9616.275011218986</v>
      </c>
      <c r="U297"/>
      <c r="AI297" s="13" t="s">
        <v>2547</v>
      </c>
      <c r="AJ297" s="8"/>
      <c r="AK297" s="8"/>
      <c r="AL297" s="8">
        <v>50000</v>
      </c>
      <c r="AM297" s="8">
        <v>1</v>
      </c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Q297" s="13" t="s">
        <v>2547</v>
      </c>
      <c r="BR297" s="8"/>
      <c r="BS297" s="8"/>
      <c r="BT297" s="8">
        <v>50000</v>
      </c>
      <c r="BU297" s="8"/>
      <c r="BV297" s="8"/>
    </row>
    <row r="298" spans="2:74">
      <c r="B298" t="e">
        <f>IF(Dashboard!$P$4="All",Data!G849,IF(Data!K849=Dashboard!$P$4,Data!G849,NA()))</f>
        <v>#N/A</v>
      </c>
      <c r="C298" t="str">
        <f t="shared" si="73"/>
        <v/>
      </c>
      <c r="D298" t="str">
        <f t="shared" si="74"/>
        <v/>
      </c>
      <c r="E298" t="str">
        <f t="shared" si="75"/>
        <v/>
      </c>
      <c r="F298" t="str">
        <f>IF(C298&lt;&gt;"",Data!$M849,"")</f>
        <v/>
      </c>
      <c r="K298" t="e">
        <f>IF(Dashboard!$R$4="All",Data!G849,IF(Data!K849=Dashboard!$R$4,Data!G849,NA()))</f>
        <v>#N/A</v>
      </c>
      <c r="L298" t="str">
        <f t="shared" si="76"/>
        <v/>
      </c>
      <c r="M298" t="str">
        <f t="shared" si="77"/>
        <v/>
      </c>
      <c r="N298" t="str">
        <f t="shared" si="78"/>
        <v/>
      </c>
      <c r="O298" t="str">
        <f>IF(L298&lt;&gt;"",Data!$M849,"")</f>
        <v/>
      </c>
      <c r="T298">
        <f>IF(OR(Dashboard!$P$4="All",Dashboard!$R$4="All"),NA(),IF(OR(Data!K849&lt;&gt;Dashboard!$P$4,Data!K849&lt;&gt;Dashboard!$R$4),Data!G849,NA()))</f>
        <v>35000</v>
      </c>
      <c r="U298"/>
      <c r="AI298" s="13" t="s">
        <v>2548</v>
      </c>
      <c r="AJ298" s="8">
        <v>80000</v>
      </c>
      <c r="AK298" s="8">
        <v>1</v>
      </c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Q298" s="13" t="s">
        <v>2548</v>
      </c>
      <c r="BR298" s="8"/>
      <c r="BS298" s="8"/>
      <c r="BT298" s="8"/>
      <c r="BU298" s="8">
        <v>80000</v>
      </c>
      <c r="BV298" s="8"/>
    </row>
    <row r="299" spans="2:74">
      <c r="B299" t="e">
        <f>IF(Dashboard!$P$4="All",Data!G850,IF(Data!K850=Dashboard!$P$4,Data!G850,NA()))</f>
        <v>#N/A</v>
      </c>
      <c r="C299" t="str">
        <f t="shared" si="73"/>
        <v/>
      </c>
      <c r="D299" t="str">
        <f t="shared" si="74"/>
        <v/>
      </c>
      <c r="E299" t="str">
        <f t="shared" si="75"/>
        <v/>
      </c>
      <c r="F299" t="str">
        <f>IF(C299&lt;&gt;"",Data!$M850,"")</f>
        <v/>
      </c>
      <c r="K299" t="e">
        <f>IF(Dashboard!$R$4="All",Data!G850,IF(Data!K850=Dashboard!$R$4,Data!G850,NA()))</f>
        <v>#N/A</v>
      </c>
      <c r="L299" t="str">
        <f t="shared" si="76"/>
        <v/>
      </c>
      <c r="M299" t="str">
        <f t="shared" si="77"/>
        <v/>
      </c>
      <c r="N299" t="str">
        <f t="shared" si="78"/>
        <v/>
      </c>
      <c r="O299" t="str">
        <f>IF(L299&lt;&gt;"",Data!$M850,"")</f>
        <v/>
      </c>
      <c r="T299">
        <f>IF(OR(Dashboard!$P$4="All",Dashboard!$R$4="All"),NA(),IF(OR(Data!K850&lt;&gt;Dashboard!$P$4,Data!K850&lt;&gt;Dashboard!$R$4),Data!G850,NA()))</f>
        <v>12000</v>
      </c>
      <c r="U299"/>
      <c r="AI299" s="13" t="s">
        <v>2549</v>
      </c>
      <c r="AJ299" s="8">
        <v>67000</v>
      </c>
      <c r="AK299" s="8">
        <v>1</v>
      </c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Q299" s="13" t="s">
        <v>2549</v>
      </c>
      <c r="BR299" s="8"/>
      <c r="BS299" s="8"/>
      <c r="BT299" s="8">
        <v>67000</v>
      </c>
      <c r="BU299" s="8"/>
      <c r="BV299" s="8"/>
    </row>
    <row r="300" spans="2:74">
      <c r="B300" t="e">
        <f>IF(Dashboard!$P$4="All",Data!G851,IF(Data!K851=Dashboard!$P$4,Data!G851,NA()))</f>
        <v>#N/A</v>
      </c>
      <c r="C300" t="str">
        <f t="shared" si="73"/>
        <v/>
      </c>
      <c r="D300" t="str">
        <f t="shared" si="74"/>
        <v/>
      </c>
      <c r="E300" t="str">
        <f t="shared" si="75"/>
        <v/>
      </c>
      <c r="F300" t="str">
        <f>IF(C300&lt;&gt;"",Data!$M851,"")</f>
        <v/>
      </c>
      <c r="K300" t="e">
        <f>IF(Dashboard!$R$4="All",Data!G851,IF(Data!K851=Dashboard!$R$4,Data!G851,NA()))</f>
        <v>#N/A</v>
      </c>
      <c r="L300" t="str">
        <f t="shared" si="76"/>
        <v/>
      </c>
      <c r="M300" t="str">
        <f t="shared" si="77"/>
        <v/>
      </c>
      <c r="N300" t="str">
        <f t="shared" si="78"/>
        <v/>
      </c>
      <c r="O300" t="str">
        <f>IF(L300&lt;&gt;"",Data!$M851,"")</f>
        <v/>
      </c>
      <c r="T300">
        <f>IF(OR(Dashboard!$P$4="All",Dashboard!$R$4="All"),NA(),IF(OR(Data!K851&lt;&gt;Dashboard!$P$4,Data!K851&lt;&gt;Dashboard!$R$4),Data!G851,NA()))</f>
        <v>5000</v>
      </c>
      <c r="U300"/>
      <c r="AI300" s="13" t="s">
        <v>2551</v>
      </c>
      <c r="AJ300" s="8"/>
      <c r="AK300" s="8"/>
      <c r="AL300" s="8"/>
      <c r="AM300" s="8"/>
      <c r="AN300" s="8"/>
      <c r="AO300" s="8"/>
      <c r="AP300" s="8">
        <v>120000</v>
      </c>
      <c r="AQ300" s="8">
        <v>1</v>
      </c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Q300" s="13" t="s">
        <v>2551</v>
      </c>
      <c r="BR300" s="8"/>
      <c r="BS300" s="8"/>
      <c r="BT300" s="8">
        <v>120000</v>
      </c>
      <c r="BU300" s="8"/>
      <c r="BV300" s="8"/>
    </row>
    <row r="301" spans="2:74">
      <c r="B301" t="e">
        <f>IF(Dashboard!$P$4="All",Data!G852,IF(Data!K852=Dashboard!$P$4,Data!G852,NA()))</f>
        <v>#N/A</v>
      </c>
      <c r="C301" t="str">
        <f t="shared" si="73"/>
        <v/>
      </c>
      <c r="D301" t="str">
        <f t="shared" si="74"/>
        <v/>
      </c>
      <c r="E301" t="str">
        <f t="shared" si="75"/>
        <v/>
      </c>
      <c r="F301" t="str">
        <f>IF(C301&lt;&gt;"",Data!$M852,"")</f>
        <v/>
      </c>
      <c r="K301" t="e">
        <f>IF(Dashboard!$R$4="All",Data!G852,IF(Data!K852=Dashboard!$R$4,Data!G852,NA()))</f>
        <v>#N/A</v>
      </c>
      <c r="L301" t="str">
        <f t="shared" si="76"/>
        <v/>
      </c>
      <c r="M301" t="str">
        <f t="shared" si="77"/>
        <v/>
      </c>
      <c r="N301" t="str">
        <f t="shared" si="78"/>
        <v/>
      </c>
      <c r="O301" t="str">
        <f>IF(L301&lt;&gt;"",Data!$M852,"")</f>
        <v/>
      </c>
      <c r="T301">
        <f>IF(OR(Dashboard!$P$4="All",Dashboard!$R$4="All"),NA(),IF(OR(Data!K852&lt;&gt;Dashboard!$P$4,Data!K852&lt;&gt;Dashboard!$R$4),Data!G852,NA()))</f>
        <v>16337.518501630093</v>
      </c>
      <c r="U301"/>
      <c r="AI301" s="13" t="s">
        <v>2554</v>
      </c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>
        <v>60000</v>
      </c>
      <c r="AU301" s="8">
        <v>1</v>
      </c>
      <c r="AV301" s="8"/>
      <c r="AW301" s="8"/>
      <c r="AX301" s="8"/>
      <c r="AY301" s="8"/>
      <c r="AZ301" s="8"/>
      <c r="BA301" s="8"/>
      <c r="BB301" s="8"/>
      <c r="BC301" s="8"/>
      <c r="BQ301" s="13" t="s">
        <v>2554</v>
      </c>
      <c r="BR301" s="8">
        <v>60000</v>
      </c>
      <c r="BS301" s="8"/>
      <c r="BT301" s="8"/>
      <c r="BU301" s="8"/>
      <c r="BV301" s="8"/>
    </row>
    <row r="302" spans="2:74">
      <c r="B302" t="e">
        <f>IF(Dashboard!$P$4="All",Data!G853,IF(Data!K853=Dashboard!$P$4,Data!G853,NA()))</f>
        <v>#N/A</v>
      </c>
      <c r="C302" t="str">
        <f t="shared" si="73"/>
        <v/>
      </c>
      <c r="D302" t="str">
        <f t="shared" si="74"/>
        <v/>
      </c>
      <c r="E302" t="str">
        <f t="shared" si="75"/>
        <v/>
      </c>
      <c r="F302" t="str">
        <f>IF(C302&lt;&gt;"",Data!$M853,"")</f>
        <v/>
      </c>
      <c r="K302" t="e">
        <f>IF(Dashboard!$R$4="All",Data!G853,IF(Data!K853=Dashboard!$R$4,Data!G853,NA()))</f>
        <v>#N/A</v>
      </c>
      <c r="L302" t="str">
        <f t="shared" si="76"/>
        <v/>
      </c>
      <c r="M302" t="str">
        <f t="shared" si="77"/>
        <v/>
      </c>
      <c r="N302" t="str">
        <f t="shared" si="78"/>
        <v/>
      </c>
      <c r="O302" t="str">
        <f>IF(L302&lt;&gt;"",Data!$M853,"")</f>
        <v/>
      </c>
      <c r="T302">
        <f>IF(OR(Dashboard!$P$4="All",Dashboard!$R$4="All"),NA(),IF(OR(Data!K853&lt;&gt;Dashboard!$P$4,Data!K853&lt;&gt;Dashboard!$R$4),Data!G853,NA()))</f>
        <v>65000</v>
      </c>
      <c r="U302"/>
      <c r="AI302" s="13" t="s">
        <v>2555</v>
      </c>
      <c r="AJ302" s="8">
        <v>35000</v>
      </c>
      <c r="AK302" s="8">
        <v>1</v>
      </c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Q302" s="13" t="s">
        <v>2555</v>
      </c>
      <c r="BR302" s="8"/>
      <c r="BS302" s="8">
        <v>35000</v>
      </c>
      <c r="BT302" s="8"/>
      <c r="BU302" s="8"/>
      <c r="BV302" s="8"/>
    </row>
    <row r="303" spans="2:74">
      <c r="B303" t="e">
        <f>IF(Dashboard!$P$4="All",Data!G854,IF(Data!K854=Dashboard!$P$4,Data!G854,NA()))</f>
        <v>#N/A</v>
      </c>
      <c r="C303" t="str">
        <f t="shared" si="73"/>
        <v/>
      </c>
      <c r="D303" t="str">
        <f t="shared" si="74"/>
        <v/>
      </c>
      <c r="E303" t="str">
        <f t="shared" si="75"/>
        <v/>
      </c>
      <c r="F303" t="str">
        <f>IF(C303&lt;&gt;"",Data!$M854,"")</f>
        <v/>
      </c>
      <c r="K303" t="e">
        <f>IF(Dashboard!$R$4="All",Data!G854,IF(Data!K854=Dashboard!$R$4,Data!G854,NA()))</f>
        <v>#N/A</v>
      </c>
      <c r="L303" t="str">
        <f t="shared" si="76"/>
        <v/>
      </c>
      <c r="M303" t="str">
        <f t="shared" si="77"/>
        <v/>
      </c>
      <c r="N303" t="str">
        <f t="shared" si="78"/>
        <v/>
      </c>
      <c r="O303" t="str">
        <f>IF(L303&lt;&gt;"",Data!$M854,"")</f>
        <v/>
      </c>
      <c r="T303">
        <f>IF(OR(Dashboard!$P$4="All",Dashboard!$R$4="All"),NA(),IF(OR(Data!K854&lt;&gt;Dashboard!$P$4,Data!K854&lt;&gt;Dashboard!$R$4),Data!G854,NA()))</f>
        <v>40000</v>
      </c>
      <c r="U303"/>
      <c r="AI303" s="13" t="s">
        <v>2557</v>
      </c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>
        <v>54000</v>
      </c>
      <c r="AU303" s="8">
        <v>1</v>
      </c>
      <c r="AV303" s="8"/>
      <c r="AW303" s="8"/>
      <c r="AX303" s="8"/>
      <c r="AY303" s="8"/>
      <c r="AZ303" s="8"/>
      <c r="BA303" s="8"/>
      <c r="BB303" s="8"/>
      <c r="BC303" s="8"/>
      <c r="BQ303" s="13" t="s">
        <v>2557</v>
      </c>
      <c r="BR303" s="8"/>
      <c r="BS303" s="8"/>
      <c r="BT303" s="8"/>
      <c r="BU303" s="8">
        <v>54000</v>
      </c>
      <c r="BV303" s="8"/>
    </row>
    <row r="304" spans="2:74">
      <c r="B304" t="e">
        <f>IF(Dashboard!$P$4="All",Data!G855,IF(Data!K855=Dashboard!$P$4,Data!G855,NA()))</f>
        <v>#N/A</v>
      </c>
      <c r="C304" t="str">
        <f t="shared" si="73"/>
        <v/>
      </c>
      <c r="D304" t="str">
        <f t="shared" si="74"/>
        <v/>
      </c>
      <c r="E304" t="str">
        <f t="shared" si="75"/>
        <v/>
      </c>
      <c r="F304" t="str">
        <f>IF(C304&lt;&gt;"",Data!$M855,"")</f>
        <v/>
      </c>
      <c r="K304" t="e">
        <f>IF(Dashboard!$R$4="All",Data!G855,IF(Data!K855=Dashboard!$R$4,Data!G855,NA()))</f>
        <v>#N/A</v>
      </c>
      <c r="L304" t="str">
        <f t="shared" si="76"/>
        <v/>
      </c>
      <c r="M304" t="str">
        <f t="shared" si="77"/>
        <v/>
      </c>
      <c r="N304" t="str">
        <f t="shared" si="78"/>
        <v/>
      </c>
      <c r="O304" t="str">
        <f>IF(L304&lt;&gt;"",Data!$M855,"")</f>
        <v/>
      </c>
      <c r="T304">
        <f>IF(OR(Dashboard!$P$4="All",Dashboard!$R$4="All"),NA(),IF(OR(Data!K855&lt;&gt;Dashboard!$P$4,Data!K855&lt;&gt;Dashboard!$R$4),Data!G855,NA()))</f>
        <v>98000</v>
      </c>
      <c r="U304"/>
      <c r="AI304" s="13" t="s">
        <v>2559</v>
      </c>
      <c r="AJ304" s="8">
        <v>35000</v>
      </c>
      <c r="AK304" s="8">
        <v>1</v>
      </c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Q304" s="13" t="s">
        <v>2559</v>
      </c>
      <c r="BR304" s="8">
        <v>35000</v>
      </c>
      <c r="BS304" s="8"/>
      <c r="BT304" s="8"/>
      <c r="BU304" s="8"/>
      <c r="BV304" s="8"/>
    </row>
    <row r="305" spans="2:74">
      <c r="B305" t="e">
        <f>IF(Dashboard!$P$4="All",Data!G856,IF(Data!K856=Dashboard!$P$4,Data!G856,NA()))</f>
        <v>#N/A</v>
      </c>
      <c r="C305" t="str">
        <f t="shared" si="73"/>
        <v/>
      </c>
      <c r="D305" t="str">
        <f t="shared" si="74"/>
        <v/>
      </c>
      <c r="E305" t="str">
        <f t="shared" si="75"/>
        <v/>
      </c>
      <c r="F305" t="str">
        <f>IF(C305&lt;&gt;"",Data!$M856,"")</f>
        <v/>
      </c>
      <c r="K305" t="e">
        <f>IF(Dashboard!$R$4="All",Data!G856,IF(Data!K856=Dashboard!$R$4,Data!G856,NA()))</f>
        <v>#N/A</v>
      </c>
      <c r="L305" t="str">
        <f t="shared" si="76"/>
        <v/>
      </c>
      <c r="M305" t="str">
        <f t="shared" si="77"/>
        <v/>
      </c>
      <c r="N305" t="str">
        <f t="shared" si="78"/>
        <v/>
      </c>
      <c r="O305" t="str">
        <f>IF(L305&lt;&gt;"",Data!$M856,"")</f>
        <v/>
      </c>
      <c r="T305">
        <f>IF(OR(Dashboard!$P$4="All",Dashboard!$R$4="All"),NA(),IF(OR(Data!K856&lt;&gt;Dashboard!$P$4,Data!K856&lt;&gt;Dashboard!$R$4),Data!G856,NA()))</f>
        <v>50000</v>
      </c>
      <c r="U305"/>
      <c r="AI305" s="13" t="s">
        <v>2560</v>
      </c>
      <c r="AJ305" s="8"/>
      <c r="AK305" s="8"/>
      <c r="AL305" s="8"/>
      <c r="AM305" s="8"/>
      <c r="AN305" s="8"/>
      <c r="AO305" s="8"/>
      <c r="AP305" s="8">
        <v>188000</v>
      </c>
      <c r="AQ305" s="8">
        <v>1</v>
      </c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Q305" s="13" t="s">
        <v>2560</v>
      </c>
      <c r="BR305" s="8">
        <v>188000</v>
      </c>
      <c r="BS305" s="8"/>
      <c r="BT305" s="8"/>
      <c r="BU305" s="8"/>
      <c r="BV305" s="8"/>
    </row>
    <row r="306" spans="2:74">
      <c r="B306" t="e">
        <f>IF(Dashboard!$P$4="All",Data!G857,IF(Data!K857=Dashboard!$P$4,Data!G857,NA()))</f>
        <v>#N/A</v>
      </c>
      <c r="C306" t="str">
        <f t="shared" si="73"/>
        <v/>
      </c>
      <c r="D306" t="str">
        <f t="shared" si="74"/>
        <v/>
      </c>
      <c r="E306" t="str">
        <f t="shared" si="75"/>
        <v/>
      </c>
      <c r="F306" t="str">
        <f>IF(C306&lt;&gt;"",Data!$M857,"")</f>
        <v/>
      </c>
      <c r="K306" t="e">
        <f>IF(Dashboard!$R$4="All",Data!G857,IF(Data!K857=Dashboard!$R$4,Data!G857,NA()))</f>
        <v>#N/A</v>
      </c>
      <c r="L306" t="str">
        <f t="shared" si="76"/>
        <v/>
      </c>
      <c r="M306" t="str">
        <f t="shared" si="77"/>
        <v/>
      </c>
      <c r="N306" t="str">
        <f t="shared" si="78"/>
        <v/>
      </c>
      <c r="O306" t="str">
        <f>IF(L306&lt;&gt;"",Data!$M857,"")</f>
        <v/>
      </c>
      <c r="T306">
        <f>IF(OR(Dashboard!$P$4="All",Dashboard!$R$4="All"),NA(),IF(OR(Data!K857&lt;&gt;Dashboard!$P$4,Data!K857&lt;&gt;Dashboard!$R$4),Data!G857,NA()))</f>
        <v>135000</v>
      </c>
      <c r="U306"/>
      <c r="AI306" s="13" t="s">
        <v>2561</v>
      </c>
      <c r="AJ306" s="8">
        <v>27500</v>
      </c>
      <c r="AK306" s="8">
        <v>1</v>
      </c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Q306" s="13" t="s">
        <v>2561</v>
      </c>
      <c r="BR306" s="8"/>
      <c r="BS306" s="8"/>
      <c r="BT306" s="8"/>
      <c r="BU306" s="8">
        <v>27500</v>
      </c>
      <c r="BV306" s="8"/>
    </row>
    <row r="307" spans="2:74">
      <c r="B307" t="e">
        <f>IF(Dashboard!$P$4="All",Data!G858,IF(Data!K858=Dashboard!$P$4,Data!G858,NA()))</f>
        <v>#N/A</v>
      </c>
      <c r="C307" t="str">
        <f t="shared" si="73"/>
        <v/>
      </c>
      <c r="D307" t="str">
        <f t="shared" si="74"/>
        <v/>
      </c>
      <c r="E307" t="str">
        <f t="shared" si="75"/>
        <v/>
      </c>
      <c r="F307" t="str">
        <f>IF(C307&lt;&gt;"",Data!$M858,"")</f>
        <v/>
      </c>
      <c r="K307" t="e">
        <f>IF(Dashboard!$R$4="All",Data!G858,IF(Data!K858=Dashboard!$R$4,Data!G858,NA()))</f>
        <v>#N/A</v>
      </c>
      <c r="L307" t="str">
        <f t="shared" si="76"/>
        <v/>
      </c>
      <c r="M307" t="str">
        <f t="shared" si="77"/>
        <v/>
      </c>
      <c r="N307" t="str">
        <f t="shared" si="78"/>
        <v/>
      </c>
      <c r="O307" t="str">
        <f>IF(L307&lt;&gt;"",Data!$M858,"")</f>
        <v/>
      </c>
      <c r="T307">
        <f>IF(OR(Dashboard!$P$4="All",Dashboard!$R$4="All"),NA(),IF(OR(Data!K858&lt;&gt;Dashboard!$P$4,Data!K858&lt;&gt;Dashboard!$R$4),Data!G858,NA()))</f>
        <v>125000</v>
      </c>
      <c r="U307"/>
      <c r="AI307" s="13" t="s">
        <v>2562</v>
      </c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>
        <v>140000</v>
      </c>
      <c r="AY307" s="8">
        <v>1</v>
      </c>
      <c r="AZ307" s="8"/>
      <c r="BA307" s="8"/>
      <c r="BB307" s="8"/>
      <c r="BC307" s="8"/>
      <c r="BQ307" s="13" t="s">
        <v>2562</v>
      </c>
      <c r="BR307" s="8"/>
      <c r="BS307" s="8">
        <v>140000</v>
      </c>
      <c r="BT307" s="8"/>
      <c r="BU307" s="8"/>
      <c r="BV307" s="8"/>
    </row>
    <row r="308" spans="2:74">
      <c r="B308" t="e">
        <f>IF(Dashboard!$P$4="All",Data!G859,IF(Data!K859=Dashboard!$P$4,Data!G859,NA()))</f>
        <v>#N/A</v>
      </c>
      <c r="C308" t="str">
        <f t="shared" si="73"/>
        <v/>
      </c>
      <c r="D308" t="str">
        <f t="shared" si="74"/>
        <v/>
      </c>
      <c r="E308" t="str">
        <f t="shared" si="75"/>
        <v/>
      </c>
      <c r="F308" t="str">
        <f>IF(C308&lt;&gt;"",Data!$M859,"")</f>
        <v/>
      </c>
      <c r="K308" t="e">
        <f>IF(Dashboard!$R$4="All",Data!G859,IF(Data!K859=Dashboard!$R$4,Data!G859,NA()))</f>
        <v>#N/A</v>
      </c>
      <c r="L308" t="str">
        <f t="shared" si="76"/>
        <v/>
      </c>
      <c r="M308" t="str">
        <f t="shared" si="77"/>
        <v/>
      </c>
      <c r="N308" t="str">
        <f t="shared" si="78"/>
        <v/>
      </c>
      <c r="O308" t="str">
        <f>IF(L308&lt;&gt;"",Data!$M859,"")</f>
        <v/>
      </c>
      <c r="T308">
        <f>IF(OR(Dashboard!$P$4="All",Dashboard!$R$4="All"),NA(),IF(OR(Data!K859&lt;&gt;Dashboard!$P$4,Data!K859&lt;&gt;Dashboard!$R$4),Data!G859,NA()))</f>
        <v>4500</v>
      </c>
      <c r="U308"/>
      <c r="AI308" s="13" t="s">
        <v>2564</v>
      </c>
      <c r="AJ308" s="8">
        <v>45000</v>
      </c>
      <c r="AK308" s="8">
        <v>1</v>
      </c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Q308" s="13" t="s">
        <v>2564</v>
      </c>
      <c r="BR308" s="8"/>
      <c r="BS308" s="8"/>
      <c r="BT308" s="8">
        <v>45000</v>
      </c>
      <c r="BU308" s="8"/>
      <c r="BV308" s="8"/>
    </row>
    <row r="309" spans="2:74">
      <c r="B309" t="e">
        <f>IF(Dashboard!$P$4="All",Data!G860,IF(Data!K860=Dashboard!$P$4,Data!G860,NA()))</f>
        <v>#N/A</v>
      </c>
      <c r="C309" t="str">
        <f t="shared" si="73"/>
        <v/>
      </c>
      <c r="D309" t="str">
        <f t="shared" si="74"/>
        <v/>
      </c>
      <c r="E309" t="str">
        <f t="shared" si="75"/>
        <v/>
      </c>
      <c r="F309" t="str">
        <f>IF(C309&lt;&gt;"",Data!$M860,"")</f>
        <v/>
      </c>
      <c r="K309" t="e">
        <f>IF(Dashboard!$R$4="All",Data!G860,IF(Data!K860=Dashboard!$R$4,Data!G860,NA()))</f>
        <v>#N/A</v>
      </c>
      <c r="L309" t="str">
        <f t="shared" si="76"/>
        <v/>
      </c>
      <c r="M309" t="str">
        <f t="shared" si="77"/>
        <v/>
      </c>
      <c r="N309" t="str">
        <f t="shared" si="78"/>
        <v/>
      </c>
      <c r="O309" t="str">
        <f>IF(L309&lt;&gt;"",Data!$M860,"")</f>
        <v/>
      </c>
      <c r="T309">
        <f>IF(OR(Dashboard!$P$4="All",Dashboard!$R$4="All"),NA(),IF(OR(Data!K860&lt;&gt;Dashboard!$P$4,Data!K860&lt;&gt;Dashboard!$R$4),Data!G860,NA()))</f>
        <v>115000</v>
      </c>
      <c r="U309"/>
      <c r="AI309" s="13" t="s">
        <v>2568</v>
      </c>
      <c r="AJ309" s="8">
        <v>38000</v>
      </c>
      <c r="AK309" s="8">
        <v>1</v>
      </c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Q309" s="13" t="s">
        <v>2568</v>
      </c>
      <c r="BR309" s="8"/>
      <c r="BS309" s="8"/>
      <c r="BT309" s="8"/>
      <c r="BU309" s="8">
        <v>38000</v>
      </c>
      <c r="BV309" s="8"/>
    </row>
    <row r="310" spans="2:74">
      <c r="B310" t="e">
        <f>IF(Dashboard!$P$4="All",Data!G861,IF(Data!K861=Dashboard!$P$4,Data!G861,NA()))</f>
        <v>#N/A</v>
      </c>
      <c r="C310" t="str">
        <f t="shared" si="73"/>
        <v/>
      </c>
      <c r="D310" t="str">
        <f t="shared" si="74"/>
        <v/>
      </c>
      <c r="E310" t="str">
        <f t="shared" si="75"/>
        <v/>
      </c>
      <c r="F310" t="str">
        <f>IF(C310&lt;&gt;"",Data!$M861,"")</f>
        <v/>
      </c>
      <c r="K310" t="e">
        <f>IF(Dashboard!$R$4="All",Data!G861,IF(Data!K861=Dashboard!$R$4,Data!G861,NA()))</f>
        <v>#N/A</v>
      </c>
      <c r="L310" t="str">
        <f t="shared" si="76"/>
        <v/>
      </c>
      <c r="M310" t="str">
        <f t="shared" si="77"/>
        <v/>
      </c>
      <c r="N310" t="str">
        <f t="shared" si="78"/>
        <v/>
      </c>
      <c r="O310" t="str">
        <f>IF(L310&lt;&gt;"",Data!$M861,"")</f>
        <v/>
      </c>
      <c r="T310">
        <f>IF(OR(Dashboard!$P$4="All",Dashboard!$R$4="All"),NA(),IF(OR(Data!K861&lt;&gt;Dashboard!$P$4,Data!K861&lt;&gt;Dashboard!$R$4),Data!G861,NA()))</f>
        <v>70000</v>
      </c>
      <c r="U310"/>
      <c r="AI310" s="13" t="s">
        <v>2569</v>
      </c>
      <c r="AJ310" s="8"/>
      <c r="AK310" s="8"/>
      <c r="AL310" s="8">
        <v>90000</v>
      </c>
      <c r="AM310" s="8">
        <v>1</v>
      </c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Q310" s="13" t="s">
        <v>2569</v>
      </c>
      <c r="BR310" s="8"/>
      <c r="BS310" s="8"/>
      <c r="BT310" s="8">
        <v>90000</v>
      </c>
      <c r="BU310" s="8"/>
      <c r="BV310" s="8"/>
    </row>
    <row r="311" spans="2:74">
      <c r="B311" t="e">
        <f>IF(Dashboard!$P$4="All",Data!G862,IF(Data!K862=Dashboard!$P$4,Data!G862,NA()))</f>
        <v>#N/A</v>
      </c>
      <c r="C311" t="str">
        <f t="shared" si="73"/>
        <v/>
      </c>
      <c r="D311" t="str">
        <f t="shared" si="74"/>
        <v/>
      </c>
      <c r="E311" t="str">
        <f t="shared" si="75"/>
        <v/>
      </c>
      <c r="F311" t="str">
        <f>IF(C311&lt;&gt;"",Data!$M862,"")</f>
        <v/>
      </c>
      <c r="K311" t="e">
        <f>IF(Dashboard!$R$4="All",Data!G862,IF(Data!K862=Dashboard!$R$4,Data!G862,NA()))</f>
        <v>#N/A</v>
      </c>
      <c r="L311" t="str">
        <f t="shared" si="76"/>
        <v/>
      </c>
      <c r="M311" t="str">
        <f t="shared" si="77"/>
        <v/>
      </c>
      <c r="N311" t="str">
        <f t="shared" si="78"/>
        <v/>
      </c>
      <c r="O311" t="str">
        <f>IF(L311&lt;&gt;"",Data!$M862,"")</f>
        <v/>
      </c>
      <c r="T311">
        <f>IF(OR(Dashboard!$P$4="All",Dashboard!$R$4="All"),NA(),IF(OR(Data!K862&lt;&gt;Dashboard!$P$4,Data!K862&lt;&gt;Dashboard!$R$4),Data!G862,NA()))</f>
        <v>60000</v>
      </c>
      <c r="U311"/>
      <c r="AI311" s="13" t="s">
        <v>2575</v>
      </c>
      <c r="AJ311" s="8"/>
      <c r="AK311" s="8"/>
      <c r="AL311" s="8">
        <v>90000</v>
      </c>
      <c r="AM311" s="8">
        <v>1</v>
      </c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Q311" s="13" t="s">
        <v>2575</v>
      </c>
      <c r="BR311" s="8"/>
      <c r="BS311" s="8">
        <v>90000</v>
      </c>
      <c r="BT311" s="8"/>
      <c r="BU311" s="8"/>
      <c r="BV311" s="8"/>
    </row>
    <row r="312" spans="2:74">
      <c r="B312" t="e">
        <f>IF(Dashboard!$P$4="All",Data!G863,IF(Data!K863=Dashboard!$P$4,Data!G863,NA()))</f>
        <v>#N/A</v>
      </c>
      <c r="C312" t="str">
        <f t="shared" si="73"/>
        <v/>
      </c>
      <c r="D312" t="str">
        <f t="shared" si="74"/>
        <v/>
      </c>
      <c r="E312" t="str">
        <f t="shared" si="75"/>
        <v/>
      </c>
      <c r="F312" t="str">
        <f>IF(C312&lt;&gt;"",Data!$M863,"")</f>
        <v/>
      </c>
      <c r="K312" t="e">
        <f>IF(Dashboard!$R$4="All",Data!G863,IF(Data!K863=Dashboard!$R$4,Data!G863,NA()))</f>
        <v>#N/A</v>
      </c>
      <c r="L312" t="str">
        <f t="shared" si="76"/>
        <v/>
      </c>
      <c r="M312" t="str">
        <f t="shared" si="77"/>
        <v/>
      </c>
      <c r="N312" t="str">
        <f t="shared" si="78"/>
        <v/>
      </c>
      <c r="O312" t="str">
        <f>IF(L312&lt;&gt;"",Data!$M863,"")</f>
        <v/>
      </c>
      <c r="T312">
        <f>IF(OR(Dashboard!$P$4="All",Dashboard!$R$4="All"),NA(),IF(OR(Data!K863&lt;&gt;Dashboard!$P$4,Data!K863&lt;&gt;Dashboard!$R$4),Data!G863,NA()))</f>
        <v>87456</v>
      </c>
      <c r="U312"/>
      <c r="AI312" s="13" t="s">
        <v>2576</v>
      </c>
      <c r="AJ312" s="8"/>
      <c r="AK312" s="8"/>
      <c r="AL312" s="8"/>
      <c r="AM312" s="8"/>
      <c r="AN312" s="8"/>
      <c r="AO312" s="8"/>
      <c r="AP312" s="8">
        <v>150000</v>
      </c>
      <c r="AQ312" s="8">
        <v>1</v>
      </c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Q312" s="13" t="s">
        <v>2576</v>
      </c>
      <c r="BR312" s="8"/>
      <c r="BS312" s="8"/>
      <c r="BT312" s="8">
        <v>150000</v>
      </c>
      <c r="BU312" s="8"/>
      <c r="BV312" s="8"/>
    </row>
    <row r="313" spans="2:74">
      <c r="B313" t="e">
        <f>IF(Dashboard!$P$4="All",Data!G864,IF(Data!K864=Dashboard!$P$4,Data!G864,NA()))</f>
        <v>#N/A</v>
      </c>
      <c r="C313" t="str">
        <f t="shared" si="73"/>
        <v/>
      </c>
      <c r="D313" t="str">
        <f t="shared" si="74"/>
        <v/>
      </c>
      <c r="E313" t="str">
        <f t="shared" si="75"/>
        <v/>
      </c>
      <c r="F313" t="str">
        <f>IF(C313&lt;&gt;"",Data!$M864,"")</f>
        <v/>
      </c>
      <c r="K313" t="e">
        <f>IF(Dashboard!$R$4="All",Data!G864,IF(Data!K864=Dashboard!$R$4,Data!G864,NA()))</f>
        <v>#N/A</v>
      </c>
      <c r="L313" t="str">
        <f t="shared" si="76"/>
        <v/>
      </c>
      <c r="M313" t="str">
        <f t="shared" si="77"/>
        <v/>
      </c>
      <c r="N313" t="str">
        <f t="shared" si="78"/>
        <v/>
      </c>
      <c r="O313" t="str">
        <f>IF(L313&lt;&gt;"",Data!$M864,"")</f>
        <v/>
      </c>
      <c r="T313">
        <f>IF(OR(Dashboard!$P$4="All",Dashboard!$R$4="All"),NA(),IF(OR(Data!K864&lt;&gt;Dashboard!$P$4,Data!K864&lt;&gt;Dashboard!$R$4),Data!G864,NA()))</f>
        <v>26400</v>
      </c>
      <c r="U313"/>
      <c r="AI313" s="13" t="s">
        <v>2578</v>
      </c>
      <c r="AJ313" s="8">
        <v>45000</v>
      </c>
      <c r="AK313" s="8">
        <v>1</v>
      </c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Q313" s="13" t="s">
        <v>2578</v>
      </c>
      <c r="BR313" s="8"/>
      <c r="BS313" s="8"/>
      <c r="BT313" s="8">
        <v>45000</v>
      </c>
      <c r="BU313" s="8"/>
      <c r="BV313" s="8"/>
    </row>
    <row r="314" spans="2:74">
      <c r="B314" t="e">
        <f>IF(Dashboard!$P$4="All",Data!G865,IF(Data!K865=Dashboard!$P$4,Data!G865,NA()))</f>
        <v>#N/A</v>
      </c>
      <c r="C314" t="str">
        <f t="shared" si="73"/>
        <v/>
      </c>
      <c r="D314" t="str">
        <f t="shared" si="74"/>
        <v/>
      </c>
      <c r="E314" t="str">
        <f t="shared" si="75"/>
        <v/>
      </c>
      <c r="F314" t="str">
        <f>IF(C314&lt;&gt;"",Data!$M865,"")</f>
        <v/>
      </c>
      <c r="K314" t="e">
        <f>IF(Dashboard!$R$4="All",Data!G865,IF(Data!K865=Dashboard!$R$4,Data!G865,NA()))</f>
        <v>#N/A</v>
      </c>
      <c r="L314" t="str">
        <f t="shared" si="76"/>
        <v/>
      </c>
      <c r="M314" t="str">
        <f t="shared" si="77"/>
        <v/>
      </c>
      <c r="N314" t="str">
        <f t="shared" si="78"/>
        <v/>
      </c>
      <c r="O314" t="str">
        <f>IF(L314&lt;&gt;"",Data!$M865,"")</f>
        <v/>
      </c>
      <c r="T314">
        <f>IF(OR(Dashboard!$P$4="All",Dashboard!$R$4="All"),NA(),IF(OR(Data!K865&lt;&gt;Dashboard!$P$4,Data!K865&lt;&gt;Dashboard!$R$4),Data!G865,NA()))</f>
        <v>12000</v>
      </c>
      <c r="U314"/>
      <c r="AI314" s="13" t="s">
        <v>2579</v>
      </c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>
        <v>50000</v>
      </c>
      <c r="AU314" s="8">
        <v>1</v>
      </c>
      <c r="AV314" s="8"/>
      <c r="AW314" s="8"/>
      <c r="AX314" s="8"/>
      <c r="AY314" s="8"/>
      <c r="AZ314" s="8"/>
      <c r="BA314" s="8"/>
      <c r="BB314" s="8"/>
      <c r="BC314" s="8"/>
      <c r="BQ314" s="13" t="s">
        <v>2579</v>
      </c>
      <c r="BR314" s="8"/>
      <c r="BS314" s="8">
        <v>50000</v>
      </c>
      <c r="BT314" s="8"/>
      <c r="BU314" s="8"/>
      <c r="BV314" s="8"/>
    </row>
    <row r="315" spans="2:74">
      <c r="B315" t="e">
        <f>IF(Dashboard!$P$4="All",Data!G866,IF(Data!K866=Dashboard!$P$4,Data!G866,NA()))</f>
        <v>#N/A</v>
      </c>
      <c r="C315" t="str">
        <f t="shared" si="73"/>
        <v/>
      </c>
      <c r="D315" t="str">
        <f t="shared" si="74"/>
        <v/>
      </c>
      <c r="E315" t="str">
        <f t="shared" si="75"/>
        <v/>
      </c>
      <c r="F315" t="str">
        <f>IF(C315&lt;&gt;"",Data!$M866,"")</f>
        <v/>
      </c>
      <c r="K315" t="e">
        <f>IF(Dashboard!$R$4="All",Data!G866,IF(Data!K866=Dashboard!$R$4,Data!G866,NA()))</f>
        <v>#N/A</v>
      </c>
      <c r="L315" t="str">
        <f t="shared" si="76"/>
        <v/>
      </c>
      <c r="M315" t="str">
        <f t="shared" si="77"/>
        <v/>
      </c>
      <c r="N315" t="str">
        <f t="shared" si="78"/>
        <v/>
      </c>
      <c r="O315" t="str">
        <f>IF(L315&lt;&gt;"",Data!$M866,"")</f>
        <v/>
      </c>
      <c r="T315">
        <f>IF(OR(Dashboard!$P$4="All",Dashboard!$R$4="All"),NA(),IF(OR(Data!K866&lt;&gt;Dashboard!$P$4,Data!K866&lt;&gt;Dashboard!$R$4),Data!G866,NA()))</f>
        <v>2564.3400029917298</v>
      </c>
      <c r="U315"/>
      <c r="AI315" s="13" t="s">
        <v>2580</v>
      </c>
      <c r="AJ315" s="8"/>
      <c r="AK315" s="8"/>
      <c r="AL315" s="8"/>
      <c r="AM315" s="8"/>
      <c r="AN315" s="8"/>
      <c r="AO315" s="8"/>
      <c r="AP315" s="8">
        <v>300000</v>
      </c>
      <c r="AQ315" s="8">
        <v>1</v>
      </c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Q315" s="13" t="s">
        <v>2580</v>
      </c>
      <c r="BR315" s="8"/>
      <c r="BS315" s="8">
        <v>300000</v>
      </c>
      <c r="BT315" s="8"/>
      <c r="BU315" s="8"/>
      <c r="BV315" s="8"/>
    </row>
    <row r="316" spans="2:74">
      <c r="B316" t="e">
        <f>IF(Dashboard!$P$4="All",Data!G867,IF(Data!K867=Dashboard!$P$4,Data!G867,NA()))</f>
        <v>#N/A</v>
      </c>
      <c r="C316" t="str">
        <f t="shared" si="73"/>
        <v/>
      </c>
      <c r="D316" t="str">
        <f t="shared" si="74"/>
        <v/>
      </c>
      <c r="E316" t="str">
        <f t="shared" si="75"/>
        <v/>
      </c>
      <c r="F316" t="str">
        <f>IF(C316&lt;&gt;"",Data!$M867,"")</f>
        <v/>
      </c>
      <c r="K316" t="e">
        <f>IF(Dashboard!$R$4="All",Data!G867,IF(Data!K867=Dashboard!$R$4,Data!G867,NA()))</f>
        <v>#N/A</v>
      </c>
      <c r="L316" t="str">
        <f t="shared" si="76"/>
        <v/>
      </c>
      <c r="M316" t="str">
        <f t="shared" si="77"/>
        <v/>
      </c>
      <c r="N316" t="str">
        <f t="shared" si="78"/>
        <v/>
      </c>
      <c r="O316" t="str">
        <f>IF(L316&lt;&gt;"",Data!$M867,"")</f>
        <v/>
      </c>
      <c r="T316">
        <f>IF(OR(Dashboard!$P$4="All",Dashboard!$R$4="All"),NA(),IF(OR(Data!K867&lt;&gt;Dashboard!$P$4,Data!K867&lt;&gt;Dashboard!$R$4),Data!G867,NA()))</f>
        <v>62000</v>
      </c>
      <c r="U316"/>
      <c r="AI316" s="13" t="s">
        <v>2582</v>
      </c>
      <c r="AJ316" s="8"/>
      <c r="AK316" s="8"/>
      <c r="AL316" s="8">
        <v>115000</v>
      </c>
      <c r="AM316" s="8">
        <v>1</v>
      </c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Q316" s="13" t="s">
        <v>2582</v>
      </c>
      <c r="BR316" s="8"/>
      <c r="BS316" s="8"/>
      <c r="BT316" s="8">
        <v>115000</v>
      </c>
      <c r="BU316" s="8"/>
      <c r="BV316" s="8"/>
    </row>
    <row r="317" spans="2:74">
      <c r="B317" t="e">
        <f>IF(Dashboard!$P$4="All",Data!G868,IF(Data!K868=Dashboard!$P$4,Data!G868,NA()))</f>
        <v>#N/A</v>
      </c>
      <c r="C317" t="str">
        <f t="shared" si="73"/>
        <v/>
      </c>
      <c r="D317" t="str">
        <f t="shared" si="74"/>
        <v/>
      </c>
      <c r="E317" t="str">
        <f t="shared" si="75"/>
        <v/>
      </c>
      <c r="F317" t="str">
        <f>IF(C317&lt;&gt;"",Data!$M868,"")</f>
        <v/>
      </c>
      <c r="K317" t="e">
        <f>IF(Dashboard!$R$4="All",Data!G868,IF(Data!K868=Dashboard!$R$4,Data!G868,NA()))</f>
        <v>#N/A</v>
      </c>
      <c r="L317" t="str">
        <f t="shared" si="76"/>
        <v/>
      </c>
      <c r="M317" t="str">
        <f t="shared" si="77"/>
        <v/>
      </c>
      <c r="N317" t="str">
        <f t="shared" si="78"/>
        <v/>
      </c>
      <c r="O317" t="str">
        <f>IF(L317&lt;&gt;"",Data!$M868,"")</f>
        <v/>
      </c>
      <c r="T317">
        <f>IF(OR(Dashboard!$P$4="All",Dashboard!$R$4="All"),NA(),IF(OR(Data!K868&lt;&gt;Dashboard!$P$4,Data!K868&lt;&gt;Dashboard!$R$4),Data!G868,NA()))</f>
        <v>5342.3750062327708</v>
      </c>
      <c r="U317"/>
      <c r="AI317" s="13" t="s">
        <v>2583</v>
      </c>
      <c r="AJ317" s="8">
        <v>70000</v>
      </c>
      <c r="AK317" s="8">
        <v>1</v>
      </c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Q317" s="13" t="s">
        <v>2583</v>
      </c>
      <c r="BR317" s="8"/>
      <c r="BS317" s="8"/>
      <c r="BT317" s="8">
        <v>70000</v>
      </c>
      <c r="BU317" s="8"/>
      <c r="BV317" s="8"/>
    </row>
    <row r="318" spans="2:74">
      <c r="B318">
        <f>IF(Dashboard!$P$4="All",Data!G869,IF(Data!K869=Dashboard!$P$4,Data!G869,NA()))</f>
        <v>50815.977559664309</v>
      </c>
      <c r="C318">
        <f t="shared" si="73"/>
        <v>50815.977559664309</v>
      </c>
      <c r="D318" t="str">
        <f t="shared" si="74"/>
        <v/>
      </c>
      <c r="E318" t="str">
        <f t="shared" si="75"/>
        <v/>
      </c>
      <c r="F318">
        <f>IF(C318&lt;&gt;"",Data!$M869,"")</f>
        <v>4</v>
      </c>
      <c r="K318" t="e">
        <f>IF(Dashboard!$R$4="All",Data!G869,IF(Data!K869=Dashboard!$R$4,Data!G869,NA()))</f>
        <v>#N/A</v>
      </c>
      <c r="L318" t="str">
        <f t="shared" si="76"/>
        <v/>
      </c>
      <c r="M318" t="str">
        <f t="shared" si="77"/>
        <v/>
      </c>
      <c r="N318" t="str">
        <f t="shared" si="78"/>
        <v/>
      </c>
      <c r="O318" t="str">
        <f>IF(L318&lt;&gt;"",Data!$M869,"")</f>
        <v/>
      </c>
      <c r="T318">
        <f>IF(OR(Dashboard!$P$4="All",Dashboard!$R$4="All"),NA(),IF(OR(Data!K869&lt;&gt;Dashboard!$P$4,Data!K869&lt;&gt;Dashboard!$R$4),Data!G869,NA()))</f>
        <v>50815.977559664309</v>
      </c>
      <c r="U318"/>
      <c r="AI318" s="13" t="s">
        <v>2585</v>
      </c>
      <c r="AJ318" s="8">
        <v>75000</v>
      </c>
      <c r="AK318" s="8">
        <v>1</v>
      </c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Q318" s="13" t="s">
        <v>2585</v>
      </c>
      <c r="BR318" s="8"/>
      <c r="BS318" s="8">
        <v>75000</v>
      </c>
      <c r="BT318" s="8"/>
      <c r="BU318" s="8"/>
      <c r="BV318" s="8"/>
    </row>
    <row r="319" spans="2:74">
      <c r="B319" t="e">
        <f>IF(Dashboard!$P$4="All",Data!G870,IF(Data!K870=Dashboard!$P$4,Data!G870,NA()))</f>
        <v>#N/A</v>
      </c>
      <c r="C319" t="str">
        <f t="shared" si="73"/>
        <v/>
      </c>
      <c r="D319" t="str">
        <f t="shared" si="74"/>
        <v/>
      </c>
      <c r="E319" t="str">
        <f t="shared" si="75"/>
        <v/>
      </c>
      <c r="F319" t="str">
        <f>IF(C319&lt;&gt;"",Data!$M870,"")</f>
        <v/>
      </c>
      <c r="K319" t="e">
        <f>IF(Dashboard!$R$4="All",Data!G870,IF(Data!K870=Dashboard!$R$4,Data!G870,NA()))</f>
        <v>#N/A</v>
      </c>
      <c r="L319" t="str">
        <f t="shared" si="76"/>
        <v/>
      </c>
      <c r="M319" t="str">
        <f t="shared" si="77"/>
        <v/>
      </c>
      <c r="N319" t="str">
        <f t="shared" si="78"/>
        <v/>
      </c>
      <c r="O319" t="str">
        <f>IF(L319&lt;&gt;"",Data!$M870,"")</f>
        <v/>
      </c>
      <c r="T319">
        <f>IF(OR(Dashboard!$P$4="All",Dashboard!$R$4="All"),NA(),IF(OR(Data!K870&lt;&gt;Dashboard!$P$4,Data!K870&lt;&gt;Dashboard!$R$4),Data!G870,NA()))</f>
        <v>25560</v>
      </c>
      <c r="U319"/>
      <c r="AI319" s="13" t="s">
        <v>2586</v>
      </c>
      <c r="AJ319" s="8">
        <v>40414</v>
      </c>
      <c r="AK319" s="8">
        <v>1</v>
      </c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Q319" s="13" t="s">
        <v>2586</v>
      </c>
      <c r="BR319" s="8"/>
      <c r="BS319" s="8"/>
      <c r="BT319" s="8">
        <v>40414</v>
      </c>
      <c r="BU319" s="8"/>
      <c r="BV319" s="8"/>
    </row>
    <row r="320" spans="2:74">
      <c r="B320" t="e">
        <f>IF(Dashboard!$P$4="All",Data!G871,IF(Data!K871=Dashboard!$P$4,Data!G871,NA()))</f>
        <v>#N/A</v>
      </c>
      <c r="C320" t="str">
        <f t="shared" si="73"/>
        <v/>
      </c>
      <c r="D320" t="str">
        <f t="shared" si="74"/>
        <v/>
      </c>
      <c r="E320" t="str">
        <f t="shared" si="75"/>
        <v/>
      </c>
      <c r="F320" t="str">
        <f>IF(C320&lt;&gt;"",Data!$M871,"")</f>
        <v/>
      </c>
      <c r="K320" t="e">
        <f>IF(Dashboard!$R$4="All",Data!G871,IF(Data!K871=Dashboard!$R$4,Data!G871,NA()))</f>
        <v>#N/A</v>
      </c>
      <c r="L320" t="str">
        <f t="shared" si="76"/>
        <v/>
      </c>
      <c r="M320" t="str">
        <f t="shared" si="77"/>
        <v/>
      </c>
      <c r="N320" t="str">
        <f t="shared" si="78"/>
        <v/>
      </c>
      <c r="O320" t="str">
        <f>IF(L320&lt;&gt;"",Data!$M871,"")</f>
        <v/>
      </c>
      <c r="T320">
        <f>IF(OR(Dashboard!$P$4="All",Dashboard!$R$4="All"),NA(),IF(OR(Data!K871&lt;&gt;Dashboard!$P$4,Data!K871&lt;&gt;Dashboard!$R$4),Data!G871,NA()))</f>
        <v>12821.700014958649</v>
      </c>
      <c r="U320"/>
      <c r="AI320" s="13" t="s">
        <v>2587</v>
      </c>
      <c r="AJ320" s="8">
        <v>65000</v>
      </c>
      <c r="AK320" s="8">
        <v>1</v>
      </c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Q320" s="13" t="s">
        <v>2587</v>
      </c>
      <c r="BR320" s="8"/>
      <c r="BS320" s="8"/>
      <c r="BT320" s="8">
        <v>65000</v>
      </c>
      <c r="BU320" s="8"/>
      <c r="BV320" s="8"/>
    </row>
    <row r="321" spans="2:74">
      <c r="B321" t="e">
        <f>IF(Dashboard!$P$4="All",Data!G872,IF(Data!K872=Dashboard!$P$4,Data!G872,NA()))</f>
        <v>#N/A</v>
      </c>
      <c r="C321" t="str">
        <f t="shared" si="73"/>
        <v/>
      </c>
      <c r="D321" t="str">
        <f t="shared" si="74"/>
        <v/>
      </c>
      <c r="E321" t="str">
        <f t="shared" si="75"/>
        <v/>
      </c>
      <c r="F321" t="str">
        <f>IF(C321&lt;&gt;"",Data!$M872,"")</f>
        <v/>
      </c>
      <c r="K321" t="e">
        <f>IF(Dashboard!$R$4="All",Data!G872,IF(Data!K872=Dashboard!$R$4,Data!G872,NA()))</f>
        <v>#N/A</v>
      </c>
      <c r="L321" t="str">
        <f t="shared" si="76"/>
        <v/>
      </c>
      <c r="M321" t="str">
        <f t="shared" si="77"/>
        <v/>
      </c>
      <c r="N321" t="str">
        <f t="shared" si="78"/>
        <v/>
      </c>
      <c r="O321" t="str">
        <f>IF(L321&lt;&gt;"",Data!$M872,"")</f>
        <v/>
      </c>
      <c r="T321">
        <f>IF(OR(Dashboard!$P$4="All",Dashboard!$R$4="All"),NA(),IF(OR(Data!K872&lt;&gt;Dashboard!$P$4,Data!K872&lt;&gt;Dashboard!$R$4),Data!G872,NA()))</f>
        <v>10684.750012465542</v>
      </c>
      <c r="U321"/>
      <c r="AI321" s="13" t="s">
        <v>2588</v>
      </c>
      <c r="AJ321" s="8">
        <v>120000</v>
      </c>
      <c r="AK321" s="8">
        <v>1</v>
      </c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Q321" s="13" t="s">
        <v>2588</v>
      </c>
      <c r="BR321" s="8"/>
      <c r="BS321" s="8"/>
      <c r="BT321" s="8"/>
      <c r="BU321" s="8">
        <v>120000</v>
      </c>
      <c r="BV321" s="8"/>
    </row>
    <row r="322" spans="2:74">
      <c r="B322" t="e">
        <f>IF(Dashboard!$P$4="All",Data!G873,IF(Data!K873=Dashboard!$P$4,Data!G873,NA()))</f>
        <v>#N/A</v>
      </c>
      <c r="C322" t="str">
        <f t="shared" si="73"/>
        <v/>
      </c>
      <c r="D322" t="str">
        <f t="shared" si="74"/>
        <v/>
      </c>
      <c r="E322" t="str">
        <f t="shared" si="75"/>
        <v/>
      </c>
      <c r="F322" t="str">
        <f>IF(C322&lt;&gt;"",Data!$M873,"")</f>
        <v/>
      </c>
      <c r="K322" t="e">
        <f>IF(Dashboard!$R$4="All",Data!G873,IF(Data!K873=Dashboard!$R$4,Data!G873,NA()))</f>
        <v>#N/A</v>
      </c>
      <c r="L322" t="str">
        <f t="shared" si="76"/>
        <v/>
      </c>
      <c r="M322" t="str">
        <f t="shared" si="77"/>
        <v/>
      </c>
      <c r="N322" t="str">
        <f t="shared" si="78"/>
        <v/>
      </c>
      <c r="O322" t="str">
        <f>IF(L322&lt;&gt;"",Data!$M873,"")</f>
        <v/>
      </c>
      <c r="T322">
        <f>IF(OR(Dashboard!$P$4="All",Dashboard!$R$4="All"),NA(),IF(OR(Data!K873&lt;&gt;Dashboard!$P$4,Data!K873&lt;&gt;Dashboard!$R$4),Data!G873,NA()))</f>
        <v>4457.9172610556352</v>
      </c>
      <c r="U322"/>
      <c r="AI322" s="13" t="s">
        <v>2592</v>
      </c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>
        <v>108000</v>
      </c>
      <c r="AW322" s="8">
        <v>1</v>
      </c>
      <c r="AX322" s="8"/>
      <c r="AY322" s="8"/>
      <c r="AZ322" s="8"/>
      <c r="BA322" s="8"/>
      <c r="BB322" s="8"/>
      <c r="BC322" s="8"/>
      <c r="BQ322" s="13" t="s">
        <v>2592</v>
      </c>
      <c r="BR322" s="8"/>
      <c r="BS322" s="8">
        <v>108000</v>
      </c>
      <c r="BT322" s="8"/>
      <c r="BU322" s="8"/>
      <c r="BV322" s="8"/>
    </row>
    <row r="323" spans="2:74">
      <c r="B323" t="e">
        <f>IF(Dashboard!$P$4="All",Data!G874,IF(Data!K874=Dashboard!$P$4,Data!G874,NA()))</f>
        <v>#N/A</v>
      </c>
      <c r="C323" t="str">
        <f t="shared" si="73"/>
        <v/>
      </c>
      <c r="D323" t="str">
        <f t="shared" si="74"/>
        <v/>
      </c>
      <c r="E323" t="str">
        <f t="shared" si="75"/>
        <v/>
      </c>
      <c r="F323" t="str">
        <f>IF(C323&lt;&gt;"",Data!$M874,"")</f>
        <v/>
      </c>
      <c r="K323" t="e">
        <f>IF(Dashboard!$R$4="All",Data!G874,IF(Data!K874=Dashboard!$R$4,Data!G874,NA()))</f>
        <v>#N/A</v>
      </c>
      <c r="L323" t="str">
        <f t="shared" si="76"/>
        <v/>
      </c>
      <c r="M323" t="str">
        <f t="shared" si="77"/>
        <v/>
      </c>
      <c r="N323" t="str">
        <f t="shared" si="78"/>
        <v/>
      </c>
      <c r="O323" t="str">
        <f>IF(L323&lt;&gt;"",Data!$M874,"")</f>
        <v/>
      </c>
      <c r="T323">
        <f>IF(OR(Dashboard!$P$4="All",Dashboard!$R$4="All"),NA(),IF(OR(Data!K874&lt;&gt;Dashboard!$P$4,Data!K874&lt;&gt;Dashboard!$R$4),Data!G874,NA()))</f>
        <v>125000</v>
      </c>
      <c r="U323"/>
      <c r="AI323" s="13" t="s">
        <v>2593</v>
      </c>
      <c r="AJ323" s="8">
        <v>75000</v>
      </c>
      <c r="AK323" s="8">
        <v>1</v>
      </c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Q323" s="13" t="s">
        <v>2593</v>
      </c>
      <c r="BR323" s="8"/>
      <c r="BS323" s="8"/>
      <c r="BT323" s="8">
        <v>75000</v>
      </c>
      <c r="BU323" s="8"/>
      <c r="BV323" s="8"/>
    </row>
    <row r="324" spans="2:74">
      <c r="B324" t="e">
        <f>IF(Dashboard!$P$4="All",Data!G875,IF(Data!K875=Dashboard!$P$4,Data!G875,NA()))</f>
        <v>#N/A</v>
      </c>
      <c r="C324" t="str">
        <f t="shared" ref="C324:C387" si="79">IF(ISNA(B324),"",B324)</f>
        <v/>
      </c>
      <c r="D324" t="str">
        <f t="shared" ref="D324:D387" si="80">IF(C324&gt;=PERCENTILE($C$3:$C$1337,0.9),C324,"")</f>
        <v/>
      </c>
      <c r="E324" t="str">
        <f t="shared" ref="E324:E387" si="81">IF(C324&lt;=PERCENTILE($C$3:$C$1337,0.1),C324,"")</f>
        <v/>
      </c>
      <c r="F324" t="str">
        <f>IF(C324&lt;&gt;"",Data!$M875,"")</f>
        <v/>
      </c>
      <c r="K324" t="e">
        <f>IF(Dashboard!$R$4="All",Data!G875,IF(Data!K875=Dashboard!$R$4,Data!G875,NA()))</f>
        <v>#N/A</v>
      </c>
      <c r="L324" t="str">
        <f t="shared" ref="L324:L387" si="82">IF(ISNA(K324),"",K324)</f>
        <v/>
      </c>
      <c r="M324" t="str">
        <f t="shared" ref="M324:M387" si="83">IF(L324&gt;=PERCENTILE($L$3:$L$1337,0.9),L324,"")</f>
        <v/>
      </c>
      <c r="N324" t="str">
        <f t="shared" ref="N324:N387" si="84">IF(L324&lt;=PERCENTILE($L$3:$L$1337,0.1),L324,"")</f>
        <v/>
      </c>
      <c r="O324" t="str">
        <f>IF(L324&lt;&gt;"",Data!$M875,"")</f>
        <v/>
      </c>
      <c r="T324">
        <f>IF(OR(Dashboard!$P$4="All",Dashboard!$R$4="All"),NA(),IF(OR(Data!K875&lt;&gt;Dashboard!$P$4,Data!K875&lt;&gt;Dashboard!$R$4),Data!G875,NA()))</f>
        <v>43000</v>
      </c>
      <c r="U324"/>
      <c r="AI324" s="13" t="s">
        <v>2596</v>
      </c>
      <c r="AJ324" s="8">
        <v>45000</v>
      </c>
      <c r="AK324" s="8">
        <v>1</v>
      </c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Q324" s="13" t="s">
        <v>2596</v>
      </c>
      <c r="BR324" s="8"/>
      <c r="BS324" s="8"/>
      <c r="BT324" s="8">
        <v>45000</v>
      </c>
      <c r="BU324" s="8"/>
      <c r="BV324" s="8"/>
    </row>
    <row r="325" spans="2:74">
      <c r="B325" t="e">
        <f>IF(Dashboard!$P$4="All",Data!G876,IF(Data!K876=Dashboard!$P$4,Data!G876,NA()))</f>
        <v>#N/A</v>
      </c>
      <c r="C325" t="str">
        <f t="shared" si="79"/>
        <v/>
      </c>
      <c r="D325" t="str">
        <f t="shared" si="80"/>
        <v/>
      </c>
      <c r="E325" t="str">
        <f t="shared" si="81"/>
        <v/>
      </c>
      <c r="F325" t="str">
        <f>IF(C325&lt;&gt;"",Data!$M876,"")</f>
        <v/>
      </c>
      <c r="K325" t="e">
        <f>IF(Dashboard!$R$4="All",Data!G876,IF(Data!K876=Dashboard!$R$4,Data!G876,NA()))</f>
        <v>#N/A</v>
      </c>
      <c r="L325" t="str">
        <f t="shared" si="82"/>
        <v/>
      </c>
      <c r="M325" t="str">
        <f t="shared" si="83"/>
        <v/>
      </c>
      <c r="N325" t="str">
        <f t="shared" si="84"/>
        <v/>
      </c>
      <c r="O325" t="str">
        <f>IF(L325&lt;&gt;"",Data!$M876,"")</f>
        <v/>
      </c>
      <c r="T325">
        <f>IF(OR(Dashboard!$P$4="All",Dashboard!$R$4="All"),NA(),IF(OR(Data!K876&lt;&gt;Dashboard!$P$4,Data!K876&lt;&gt;Dashboard!$R$4),Data!G876,NA()))</f>
        <v>7123.1666749770275</v>
      </c>
      <c r="U325"/>
      <c r="AI325" s="13" t="s">
        <v>2597</v>
      </c>
      <c r="AJ325" s="8"/>
      <c r="AK325" s="8"/>
      <c r="AL325" s="8"/>
      <c r="AM325" s="8"/>
      <c r="AN325" s="8">
        <v>45000</v>
      </c>
      <c r="AO325" s="8">
        <v>1</v>
      </c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Q325" s="13" t="s">
        <v>2597</v>
      </c>
      <c r="BR325" s="8"/>
      <c r="BS325" s="8"/>
      <c r="BT325" s="8">
        <v>45000</v>
      </c>
      <c r="BU325" s="8"/>
      <c r="BV325" s="8"/>
    </row>
    <row r="326" spans="2:74">
      <c r="B326" t="e">
        <f>IF(Dashboard!$P$4="All",Data!G877,IF(Data!K877=Dashboard!$P$4,Data!G877,NA()))</f>
        <v>#N/A</v>
      </c>
      <c r="C326" t="str">
        <f t="shared" si="79"/>
        <v/>
      </c>
      <c r="D326" t="str">
        <f t="shared" si="80"/>
        <v/>
      </c>
      <c r="E326" t="str">
        <f t="shared" si="81"/>
        <v/>
      </c>
      <c r="F326" t="str">
        <f>IF(C326&lt;&gt;"",Data!$M877,"")</f>
        <v/>
      </c>
      <c r="K326" t="e">
        <f>IF(Dashboard!$R$4="All",Data!G877,IF(Data!K877=Dashboard!$R$4,Data!G877,NA()))</f>
        <v>#N/A</v>
      </c>
      <c r="L326" t="str">
        <f t="shared" si="82"/>
        <v/>
      </c>
      <c r="M326" t="str">
        <f t="shared" si="83"/>
        <v/>
      </c>
      <c r="N326" t="str">
        <f t="shared" si="84"/>
        <v/>
      </c>
      <c r="O326" t="str">
        <f>IF(L326&lt;&gt;"",Data!$M877,"")</f>
        <v/>
      </c>
      <c r="T326">
        <f>IF(OR(Dashboard!$P$4="All",Dashboard!$R$4="All"),NA(),IF(OR(Data!K877&lt;&gt;Dashboard!$P$4,Data!K877&lt;&gt;Dashboard!$R$4),Data!G877,NA()))</f>
        <v>10000</v>
      </c>
      <c r="U326"/>
      <c r="AI326" s="13" t="s">
        <v>2598</v>
      </c>
      <c r="AJ326" s="8"/>
      <c r="AK326" s="8"/>
      <c r="AL326" s="8">
        <v>90000</v>
      </c>
      <c r="AM326" s="8">
        <v>1</v>
      </c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Q326" s="13" t="s">
        <v>2598</v>
      </c>
      <c r="BR326" s="8"/>
      <c r="BS326" s="8">
        <v>90000</v>
      </c>
      <c r="BT326" s="8"/>
      <c r="BU326" s="8"/>
      <c r="BV326" s="8"/>
    </row>
    <row r="327" spans="2:74">
      <c r="B327" t="e">
        <f>IF(Dashboard!$P$4="All",Data!G878,IF(Data!K878=Dashboard!$P$4,Data!G878,NA()))</f>
        <v>#N/A</v>
      </c>
      <c r="C327" t="str">
        <f t="shared" si="79"/>
        <v/>
      </c>
      <c r="D327" t="str">
        <f t="shared" si="80"/>
        <v/>
      </c>
      <c r="E327" t="str">
        <f t="shared" si="81"/>
        <v/>
      </c>
      <c r="F327" t="str">
        <f>IF(C327&lt;&gt;"",Data!$M878,"")</f>
        <v/>
      </c>
      <c r="K327" t="e">
        <f>IF(Dashboard!$R$4="All",Data!G878,IF(Data!K878=Dashboard!$R$4,Data!G878,NA()))</f>
        <v>#N/A</v>
      </c>
      <c r="L327" t="str">
        <f t="shared" si="82"/>
        <v/>
      </c>
      <c r="M327" t="str">
        <f t="shared" si="83"/>
        <v/>
      </c>
      <c r="N327" t="str">
        <f t="shared" si="84"/>
        <v/>
      </c>
      <c r="O327" t="str">
        <f>IF(L327&lt;&gt;"",Data!$M878,"")</f>
        <v/>
      </c>
      <c r="T327">
        <f>IF(OR(Dashboard!$P$4="All",Dashboard!$R$4="All"),NA(),IF(OR(Data!K878&lt;&gt;Dashboard!$P$4,Data!K878&lt;&gt;Dashboard!$R$4),Data!G878,NA()))</f>
        <v>8903.9583437212841</v>
      </c>
      <c r="U327"/>
      <c r="AI327" s="13" t="s">
        <v>2601</v>
      </c>
      <c r="AJ327" s="8">
        <v>65000</v>
      </c>
      <c r="AK327" s="8">
        <v>1</v>
      </c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Q327" s="13" t="s">
        <v>2601</v>
      </c>
      <c r="BR327" s="8"/>
      <c r="BS327" s="8">
        <v>65000</v>
      </c>
      <c r="BT327" s="8"/>
      <c r="BU327" s="8"/>
      <c r="BV327" s="8"/>
    </row>
    <row r="328" spans="2:74">
      <c r="B328" t="e">
        <f>IF(Dashboard!$P$4="All",Data!G879,IF(Data!K879=Dashboard!$P$4,Data!G879,NA()))</f>
        <v>#N/A</v>
      </c>
      <c r="C328" t="str">
        <f t="shared" si="79"/>
        <v/>
      </c>
      <c r="D328" t="str">
        <f t="shared" si="80"/>
        <v/>
      </c>
      <c r="E328" t="str">
        <f t="shared" si="81"/>
        <v/>
      </c>
      <c r="F328" t="str">
        <f>IF(C328&lt;&gt;"",Data!$M879,"")</f>
        <v/>
      </c>
      <c r="K328" t="e">
        <f>IF(Dashboard!$R$4="All",Data!G879,IF(Data!K879=Dashboard!$R$4,Data!G879,NA()))</f>
        <v>#N/A</v>
      </c>
      <c r="L328" t="str">
        <f t="shared" si="82"/>
        <v/>
      </c>
      <c r="M328" t="str">
        <f t="shared" si="83"/>
        <v/>
      </c>
      <c r="N328" t="str">
        <f t="shared" si="84"/>
        <v/>
      </c>
      <c r="O328" t="str">
        <f>IF(L328&lt;&gt;"",Data!$M879,"")</f>
        <v/>
      </c>
      <c r="T328">
        <f>IF(OR(Dashboard!$P$4="All",Dashboard!$R$4="All"),NA(),IF(OR(Data!K879&lt;&gt;Dashboard!$P$4,Data!K879&lt;&gt;Dashboard!$R$4),Data!G879,NA()))</f>
        <v>36500</v>
      </c>
      <c r="U328"/>
      <c r="AI328" s="13" t="s">
        <v>2602</v>
      </c>
      <c r="AJ328" s="8">
        <v>70000</v>
      </c>
      <c r="AK328" s="8">
        <v>1</v>
      </c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Q328" s="13" t="s">
        <v>2602</v>
      </c>
      <c r="BR328" s="8"/>
      <c r="BS328" s="8">
        <v>70000</v>
      </c>
      <c r="BT328" s="8"/>
      <c r="BU328" s="8"/>
      <c r="BV328" s="8"/>
    </row>
    <row r="329" spans="2:74">
      <c r="B329" t="e">
        <f>IF(Dashboard!$P$4="All",Data!G880,IF(Data!K880=Dashboard!$P$4,Data!G880,NA()))</f>
        <v>#N/A</v>
      </c>
      <c r="C329" t="str">
        <f t="shared" si="79"/>
        <v/>
      </c>
      <c r="D329" t="str">
        <f t="shared" si="80"/>
        <v/>
      </c>
      <c r="E329" t="str">
        <f t="shared" si="81"/>
        <v/>
      </c>
      <c r="F329" t="str">
        <f>IF(C329&lt;&gt;"",Data!$M880,"")</f>
        <v/>
      </c>
      <c r="K329" t="e">
        <f>IF(Dashboard!$R$4="All",Data!G880,IF(Data!K880=Dashboard!$R$4,Data!G880,NA()))</f>
        <v>#N/A</v>
      </c>
      <c r="L329" t="str">
        <f t="shared" si="82"/>
        <v/>
      </c>
      <c r="M329" t="str">
        <f t="shared" si="83"/>
        <v/>
      </c>
      <c r="N329" t="str">
        <f t="shared" si="84"/>
        <v/>
      </c>
      <c r="O329" t="str">
        <f>IF(L329&lt;&gt;"",Data!$M880,"")</f>
        <v/>
      </c>
      <c r="T329">
        <f>IF(OR(Dashboard!$P$4="All",Dashboard!$R$4="All"),NA(),IF(OR(Data!K880&lt;&gt;Dashboard!$P$4,Data!K880&lt;&gt;Dashboard!$R$4),Data!G880,NA()))</f>
        <v>100000</v>
      </c>
      <c r="U329"/>
      <c r="AI329" s="13" t="s">
        <v>2603</v>
      </c>
      <c r="AJ329" s="8">
        <v>160000</v>
      </c>
      <c r="AK329" s="8">
        <v>1</v>
      </c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Q329" s="13" t="s">
        <v>2603</v>
      </c>
      <c r="BR329" s="8"/>
      <c r="BS329" s="8"/>
      <c r="BT329" s="8">
        <v>160000</v>
      </c>
      <c r="BU329" s="8"/>
      <c r="BV329" s="8"/>
    </row>
    <row r="330" spans="2:74">
      <c r="B330" t="e">
        <f>IF(Dashboard!$P$4="All",Data!G881,IF(Data!K881=Dashboard!$P$4,Data!G881,NA()))</f>
        <v>#N/A</v>
      </c>
      <c r="C330" t="str">
        <f t="shared" si="79"/>
        <v/>
      </c>
      <c r="D330" t="str">
        <f t="shared" si="80"/>
        <v/>
      </c>
      <c r="E330" t="str">
        <f t="shared" si="81"/>
        <v/>
      </c>
      <c r="F330" t="str">
        <f>IF(C330&lt;&gt;"",Data!$M881,"")</f>
        <v/>
      </c>
      <c r="K330" t="e">
        <f>IF(Dashboard!$R$4="All",Data!G881,IF(Data!K881=Dashboard!$R$4,Data!G881,NA()))</f>
        <v>#N/A</v>
      </c>
      <c r="L330" t="str">
        <f t="shared" si="82"/>
        <v/>
      </c>
      <c r="M330" t="str">
        <f t="shared" si="83"/>
        <v/>
      </c>
      <c r="N330" t="str">
        <f t="shared" si="84"/>
        <v/>
      </c>
      <c r="O330" t="str">
        <f>IF(L330&lt;&gt;"",Data!$M881,"")</f>
        <v/>
      </c>
      <c r="T330">
        <f>IF(OR(Dashboard!$P$4="All",Dashboard!$R$4="All"),NA(),IF(OR(Data!K881&lt;&gt;Dashboard!$P$4,Data!K881&lt;&gt;Dashboard!$R$4),Data!G881,NA()))</f>
        <v>7123.1666749770275</v>
      </c>
      <c r="U330"/>
      <c r="AI330" s="13" t="s">
        <v>2606</v>
      </c>
      <c r="AJ330" s="8">
        <v>30000</v>
      </c>
      <c r="AK330" s="8">
        <v>1</v>
      </c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Q330" s="13" t="s">
        <v>2606</v>
      </c>
      <c r="BR330" s="8"/>
      <c r="BS330" s="8">
        <v>30000</v>
      </c>
      <c r="BT330" s="8"/>
      <c r="BU330" s="8"/>
      <c r="BV330" s="8"/>
    </row>
    <row r="331" spans="2:74">
      <c r="B331" t="e">
        <f>IF(Dashboard!$P$4="All",Data!G882,IF(Data!K882=Dashboard!$P$4,Data!G882,NA()))</f>
        <v>#N/A</v>
      </c>
      <c r="C331" t="str">
        <f t="shared" si="79"/>
        <v/>
      </c>
      <c r="D331" t="str">
        <f t="shared" si="80"/>
        <v/>
      </c>
      <c r="E331" t="str">
        <f t="shared" si="81"/>
        <v/>
      </c>
      <c r="F331" t="str">
        <f>IF(C331&lt;&gt;"",Data!$M882,"")</f>
        <v/>
      </c>
      <c r="K331" t="e">
        <f>IF(Dashboard!$R$4="All",Data!G882,IF(Data!K882=Dashboard!$R$4,Data!G882,NA()))</f>
        <v>#N/A</v>
      </c>
      <c r="L331" t="str">
        <f t="shared" si="82"/>
        <v/>
      </c>
      <c r="M331" t="str">
        <f t="shared" si="83"/>
        <v/>
      </c>
      <c r="N331" t="str">
        <f t="shared" si="84"/>
        <v/>
      </c>
      <c r="O331" t="str">
        <f>IF(L331&lt;&gt;"",Data!$M882,"")</f>
        <v/>
      </c>
      <c r="T331">
        <f>IF(OR(Dashboard!$P$4="All",Dashboard!$R$4="All"),NA(),IF(OR(Data!K882&lt;&gt;Dashboard!$P$4,Data!K882&lt;&gt;Dashboard!$R$4),Data!G882,NA()))</f>
        <v>40958.208381117904</v>
      </c>
      <c r="U331"/>
      <c r="AI331" s="13" t="s">
        <v>2608</v>
      </c>
      <c r="AJ331" s="8"/>
      <c r="AK331" s="8"/>
      <c r="AL331" s="8">
        <v>61000</v>
      </c>
      <c r="AM331" s="8">
        <v>1</v>
      </c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Q331" s="13" t="s">
        <v>2608</v>
      </c>
      <c r="BR331" s="8"/>
      <c r="BS331" s="8"/>
      <c r="BT331" s="8">
        <v>61000</v>
      </c>
      <c r="BU331" s="8"/>
      <c r="BV331" s="8"/>
    </row>
    <row r="332" spans="2:74">
      <c r="B332" t="e">
        <f>IF(Dashboard!$P$4="All",Data!G883,IF(Data!K883=Dashboard!$P$4,Data!G883,NA()))</f>
        <v>#N/A</v>
      </c>
      <c r="C332" t="str">
        <f t="shared" si="79"/>
        <v/>
      </c>
      <c r="D332" t="str">
        <f t="shared" si="80"/>
        <v/>
      </c>
      <c r="E332" t="str">
        <f t="shared" si="81"/>
        <v/>
      </c>
      <c r="F332" t="str">
        <f>IF(C332&lt;&gt;"",Data!$M883,"")</f>
        <v/>
      </c>
      <c r="K332" t="e">
        <f>IF(Dashboard!$R$4="All",Data!G883,IF(Data!K883=Dashboard!$R$4,Data!G883,NA()))</f>
        <v>#N/A</v>
      </c>
      <c r="L332" t="str">
        <f t="shared" si="82"/>
        <v/>
      </c>
      <c r="M332" t="str">
        <f t="shared" si="83"/>
        <v/>
      </c>
      <c r="N332" t="str">
        <f t="shared" si="84"/>
        <v/>
      </c>
      <c r="O332" t="str">
        <f>IF(L332&lt;&gt;"",Data!$M883,"")</f>
        <v/>
      </c>
      <c r="T332">
        <f>IF(OR(Dashboard!$P$4="All",Dashboard!$R$4="All"),NA(),IF(OR(Data!K883&lt;&gt;Dashboard!$P$4,Data!K883&lt;&gt;Dashboard!$R$4),Data!G883,NA()))</f>
        <v>21369.500024931083</v>
      </c>
      <c r="U332"/>
      <c r="AI332" s="13" t="s">
        <v>2612</v>
      </c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>
        <v>80000</v>
      </c>
      <c r="AY332" s="8">
        <v>1</v>
      </c>
      <c r="AZ332" s="8"/>
      <c r="BA332" s="8"/>
      <c r="BB332" s="8"/>
      <c r="BC332" s="8"/>
      <c r="BQ332" s="13" t="s">
        <v>2612</v>
      </c>
      <c r="BR332" s="8"/>
      <c r="BS332" s="8"/>
      <c r="BT332" s="8">
        <v>80000</v>
      </c>
      <c r="BU332" s="8"/>
      <c r="BV332" s="8"/>
    </row>
    <row r="333" spans="2:74">
      <c r="B333" t="e">
        <f>IF(Dashboard!$P$4="All",Data!G884,IF(Data!K884=Dashboard!$P$4,Data!G884,NA()))</f>
        <v>#N/A</v>
      </c>
      <c r="C333" t="str">
        <f t="shared" si="79"/>
        <v/>
      </c>
      <c r="D333" t="str">
        <f t="shared" si="80"/>
        <v/>
      </c>
      <c r="E333" t="str">
        <f t="shared" si="81"/>
        <v/>
      </c>
      <c r="F333" t="str">
        <f>IF(C333&lt;&gt;"",Data!$M884,"")</f>
        <v/>
      </c>
      <c r="K333" t="e">
        <f>IF(Dashboard!$R$4="All",Data!G884,IF(Data!K884=Dashboard!$R$4,Data!G884,NA()))</f>
        <v>#N/A</v>
      </c>
      <c r="L333" t="str">
        <f t="shared" si="82"/>
        <v/>
      </c>
      <c r="M333" t="str">
        <f t="shared" si="83"/>
        <v/>
      </c>
      <c r="N333" t="str">
        <f t="shared" si="84"/>
        <v/>
      </c>
      <c r="O333" t="str">
        <f>IF(L333&lt;&gt;"",Data!$M884,"")</f>
        <v/>
      </c>
      <c r="T333">
        <f>IF(OR(Dashboard!$P$4="All",Dashboard!$R$4="All"),NA(),IF(OR(Data!K884&lt;&gt;Dashboard!$P$4,Data!K884&lt;&gt;Dashboard!$R$4),Data!G884,NA()))</f>
        <v>2136.9500024931081</v>
      </c>
      <c r="U333"/>
      <c r="AI333" s="13" t="s">
        <v>2618</v>
      </c>
      <c r="AJ333" s="8"/>
      <c r="AK333" s="8"/>
      <c r="AL333" s="8">
        <v>50000</v>
      </c>
      <c r="AM333" s="8">
        <v>1</v>
      </c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Q333" s="13" t="s">
        <v>2618</v>
      </c>
      <c r="BR333" s="8"/>
      <c r="BS333" s="8"/>
      <c r="BT333" s="8">
        <v>50000</v>
      </c>
      <c r="BU333" s="8"/>
      <c r="BV333" s="8"/>
    </row>
    <row r="334" spans="2:74">
      <c r="B334" t="e">
        <f>IF(Dashboard!$P$4="All",Data!G885,IF(Data!K885=Dashboard!$P$4,Data!G885,NA()))</f>
        <v>#N/A</v>
      </c>
      <c r="C334" t="str">
        <f t="shared" si="79"/>
        <v/>
      </c>
      <c r="D334" t="str">
        <f t="shared" si="80"/>
        <v/>
      </c>
      <c r="E334" t="str">
        <f t="shared" si="81"/>
        <v/>
      </c>
      <c r="F334" t="str">
        <f>IF(C334&lt;&gt;"",Data!$M885,"")</f>
        <v/>
      </c>
      <c r="K334" t="e">
        <f>IF(Dashboard!$R$4="All",Data!G885,IF(Data!K885=Dashboard!$R$4,Data!G885,NA()))</f>
        <v>#N/A</v>
      </c>
      <c r="L334" t="str">
        <f t="shared" si="82"/>
        <v/>
      </c>
      <c r="M334" t="str">
        <f t="shared" si="83"/>
        <v/>
      </c>
      <c r="N334" t="str">
        <f t="shared" si="84"/>
        <v/>
      </c>
      <c r="O334" t="str">
        <f>IF(L334&lt;&gt;"",Data!$M885,"")</f>
        <v/>
      </c>
      <c r="T334">
        <f>IF(OR(Dashboard!$P$4="All",Dashboard!$R$4="All"),NA(),IF(OR(Data!K885&lt;&gt;Dashboard!$P$4,Data!K885&lt;&gt;Dashboard!$R$4),Data!G885,NA()))</f>
        <v>8903.9583437212841</v>
      </c>
      <c r="U334"/>
      <c r="AI334" s="13" t="s">
        <v>2621</v>
      </c>
      <c r="AJ334" s="8"/>
      <c r="AK334" s="8"/>
      <c r="AL334" s="8">
        <v>95000</v>
      </c>
      <c r="AM334" s="8">
        <v>1</v>
      </c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Q334" s="13" t="s">
        <v>2621</v>
      </c>
      <c r="BR334" s="8">
        <v>95000</v>
      </c>
      <c r="BS334" s="8"/>
      <c r="BT334" s="8"/>
      <c r="BU334" s="8"/>
      <c r="BV334" s="8"/>
    </row>
    <row r="335" spans="2:74">
      <c r="B335" t="e">
        <f>IF(Dashboard!$P$4="All",Data!G886,IF(Data!K886=Dashboard!$P$4,Data!G886,NA()))</f>
        <v>#N/A</v>
      </c>
      <c r="C335" t="str">
        <f t="shared" si="79"/>
        <v/>
      </c>
      <c r="D335" t="str">
        <f t="shared" si="80"/>
        <v/>
      </c>
      <c r="E335" t="str">
        <f t="shared" si="81"/>
        <v/>
      </c>
      <c r="F335" t="str">
        <f>IF(C335&lt;&gt;"",Data!$M886,"")</f>
        <v/>
      </c>
      <c r="K335" t="e">
        <f>IF(Dashboard!$R$4="All",Data!G886,IF(Data!K886=Dashboard!$R$4,Data!G886,NA()))</f>
        <v>#N/A</v>
      </c>
      <c r="L335" t="str">
        <f t="shared" si="82"/>
        <v/>
      </c>
      <c r="M335" t="str">
        <f t="shared" si="83"/>
        <v/>
      </c>
      <c r="N335" t="str">
        <f t="shared" si="84"/>
        <v/>
      </c>
      <c r="O335" t="str">
        <f>IF(L335&lt;&gt;"",Data!$M886,"")</f>
        <v/>
      </c>
      <c r="T335">
        <f>IF(OR(Dashboard!$P$4="All",Dashboard!$R$4="All"),NA(),IF(OR(Data!K886&lt;&gt;Dashboard!$P$4,Data!K886&lt;&gt;Dashboard!$R$4),Data!G886,NA()))</f>
        <v>17807.916687442568</v>
      </c>
      <c r="U335"/>
      <c r="AI335" s="13" t="s">
        <v>2625</v>
      </c>
      <c r="AJ335" s="8">
        <v>39000</v>
      </c>
      <c r="AK335" s="8">
        <v>1</v>
      </c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Q335" s="13" t="s">
        <v>2625</v>
      </c>
      <c r="BR335" s="8"/>
      <c r="BS335" s="8"/>
      <c r="BT335" s="8"/>
      <c r="BU335" s="8">
        <v>39000</v>
      </c>
      <c r="BV335" s="8"/>
    </row>
    <row r="336" spans="2:74">
      <c r="B336" t="e">
        <f>IF(Dashboard!$P$4="All",Data!G887,IF(Data!K887=Dashboard!$P$4,Data!G887,NA()))</f>
        <v>#N/A</v>
      </c>
      <c r="C336" t="str">
        <f t="shared" si="79"/>
        <v/>
      </c>
      <c r="D336" t="str">
        <f t="shared" si="80"/>
        <v/>
      </c>
      <c r="E336" t="str">
        <f t="shared" si="81"/>
        <v/>
      </c>
      <c r="F336" t="str">
        <f>IF(C336&lt;&gt;"",Data!$M887,"")</f>
        <v/>
      </c>
      <c r="K336" t="e">
        <f>IF(Dashboard!$R$4="All",Data!G887,IF(Data!K887=Dashboard!$R$4,Data!G887,NA()))</f>
        <v>#N/A</v>
      </c>
      <c r="L336" t="str">
        <f t="shared" si="82"/>
        <v/>
      </c>
      <c r="M336" t="str">
        <f t="shared" si="83"/>
        <v/>
      </c>
      <c r="N336" t="str">
        <f t="shared" si="84"/>
        <v/>
      </c>
      <c r="O336" t="str">
        <f>IF(L336&lt;&gt;"",Data!$M887,"")</f>
        <v/>
      </c>
      <c r="T336">
        <f>IF(OR(Dashboard!$P$4="All",Dashboard!$R$4="All"),NA(),IF(OR(Data!K887&lt;&gt;Dashboard!$P$4,Data!K887&lt;&gt;Dashboard!$R$4),Data!G887,NA()))</f>
        <v>15136.729184326183</v>
      </c>
      <c r="U336"/>
      <c r="AI336" s="13" t="s">
        <v>2626</v>
      </c>
      <c r="AJ336" s="8">
        <v>60000</v>
      </c>
      <c r="AK336" s="8">
        <v>1</v>
      </c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Q336" s="13" t="s">
        <v>2626</v>
      </c>
      <c r="BR336" s="8"/>
      <c r="BS336" s="8"/>
      <c r="BT336" s="8">
        <v>60000</v>
      </c>
      <c r="BU336" s="8"/>
      <c r="BV336" s="8"/>
    </row>
    <row r="337" spans="2:74">
      <c r="B337" t="e">
        <f>IF(Dashboard!$P$4="All",Data!G888,IF(Data!K888=Dashboard!$P$4,Data!G888,NA()))</f>
        <v>#N/A</v>
      </c>
      <c r="C337" t="str">
        <f t="shared" si="79"/>
        <v/>
      </c>
      <c r="D337" t="str">
        <f t="shared" si="80"/>
        <v/>
      </c>
      <c r="E337" t="str">
        <f t="shared" si="81"/>
        <v/>
      </c>
      <c r="F337" t="str">
        <f>IF(C337&lt;&gt;"",Data!$M888,"")</f>
        <v/>
      </c>
      <c r="K337" t="e">
        <f>IF(Dashboard!$R$4="All",Data!G888,IF(Data!K888=Dashboard!$R$4,Data!G888,NA()))</f>
        <v>#N/A</v>
      </c>
      <c r="L337" t="str">
        <f t="shared" si="82"/>
        <v/>
      </c>
      <c r="M337" t="str">
        <f t="shared" si="83"/>
        <v/>
      </c>
      <c r="N337" t="str">
        <f t="shared" si="84"/>
        <v/>
      </c>
      <c r="O337" t="str">
        <f>IF(L337&lt;&gt;"",Data!$M888,"")</f>
        <v/>
      </c>
      <c r="T337">
        <f>IF(OR(Dashboard!$P$4="All",Dashboard!$R$4="All"),NA(),IF(OR(Data!K888&lt;&gt;Dashboard!$P$4,Data!K888&lt;&gt;Dashboard!$R$4),Data!G888,NA()))</f>
        <v>3982.448779308334</v>
      </c>
      <c r="U337"/>
      <c r="AI337" s="13" t="s">
        <v>2628</v>
      </c>
      <c r="AJ337" s="8">
        <v>125000</v>
      </c>
      <c r="AK337" s="8">
        <v>1</v>
      </c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Q337" s="13" t="s">
        <v>2628</v>
      </c>
      <c r="BR337" s="8"/>
      <c r="BS337" s="8">
        <v>125000</v>
      </c>
      <c r="BT337" s="8"/>
      <c r="BU337" s="8"/>
      <c r="BV337" s="8"/>
    </row>
    <row r="338" spans="2:74">
      <c r="B338" t="e">
        <f>IF(Dashboard!$P$4="All",Data!G889,IF(Data!K889=Dashboard!$P$4,Data!G889,NA()))</f>
        <v>#N/A</v>
      </c>
      <c r="C338" t="str">
        <f t="shared" si="79"/>
        <v/>
      </c>
      <c r="D338" t="str">
        <f t="shared" si="80"/>
        <v/>
      </c>
      <c r="E338" t="str">
        <f t="shared" si="81"/>
        <v/>
      </c>
      <c r="F338" t="str">
        <f>IF(C338&lt;&gt;"",Data!$M889,"")</f>
        <v/>
      </c>
      <c r="K338" t="e">
        <f>IF(Dashboard!$R$4="All",Data!G889,IF(Data!K889=Dashboard!$R$4,Data!G889,NA()))</f>
        <v>#N/A</v>
      </c>
      <c r="L338" t="str">
        <f t="shared" si="82"/>
        <v/>
      </c>
      <c r="M338" t="str">
        <f t="shared" si="83"/>
        <v/>
      </c>
      <c r="N338" t="str">
        <f t="shared" si="84"/>
        <v/>
      </c>
      <c r="O338" t="str">
        <f>IF(L338&lt;&gt;"",Data!$M889,"")</f>
        <v/>
      </c>
      <c r="T338">
        <f>IF(OR(Dashboard!$P$4="All",Dashboard!$R$4="All"),NA(),IF(OR(Data!K889&lt;&gt;Dashboard!$P$4,Data!K889&lt;&gt;Dashboard!$R$4),Data!G889,NA()))</f>
        <v>15600</v>
      </c>
      <c r="U338"/>
      <c r="AI338" s="13" t="s">
        <v>2631</v>
      </c>
      <c r="AJ338" s="8"/>
      <c r="AK338" s="8"/>
      <c r="AL338" s="8">
        <v>80000</v>
      </c>
      <c r="AM338" s="8">
        <v>1</v>
      </c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Q338" s="13" t="s">
        <v>2631</v>
      </c>
      <c r="BR338" s="8"/>
      <c r="BS338" s="8"/>
      <c r="BT338" s="8">
        <v>80000</v>
      </c>
      <c r="BU338" s="8"/>
      <c r="BV338" s="8"/>
    </row>
    <row r="339" spans="2:74">
      <c r="B339" t="e">
        <f>IF(Dashboard!$P$4="All",Data!G890,IF(Data!K890=Dashboard!$P$4,Data!G890,NA()))</f>
        <v>#N/A</v>
      </c>
      <c r="C339" t="str">
        <f t="shared" si="79"/>
        <v/>
      </c>
      <c r="D339" t="str">
        <f t="shared" si="80"/>
        <v/>
      </c>
      <c r="E339" t="str">
        <f t="shared" si="81"/>
        <v/>
      </c>
      <c r="F339" t="str">
        <f>IF(C339&lt;&gt;"",Data!$M890,"")</f>
        <v/>
      </c>
      <c r="K339" t="e">
        <f>IF(Dashboard!$R$4="All",Data!G890,IF(Data!K890=Dashboard!$R$4,Data!G890,NA()))</f>
        <v>#N/A</v>
      </c>
      <c r="L339" t="str">
        <f t="shared" si="82"/>
        <v/>
      </c>
      <c r="M339" t="str">
        <f t="shared" si="83"/>
        <v/>
      </c>
      <c r="N339" t="str">
        <f t="shared" si="84"/>
        <v/>
      </c>
      <c r="O339" t="str">
        <f>IF(L339&lt;&gt;"",Data!$M890,"")</f>
        <v/>
      </c>
      <c r="T339">
        <f>IF(OR(Dashboard!$P$4="All",Dashboard!$R$4="All"),NA(),IF(OR(Data!K890&lt;&gt;Dashboard!$P$4,Data!K890&lt;&gt;Dashboard!$R$4),Data!G890,NA()))</f>
        <v>3205.4250037396623</v>
      </c>
      <c r="U339"/>
      <c r="AI339" s="13" t="s">
        <v>2637</v>
      </c>
      <c r="AJ339" s="8">
        <v>53000</v>
      </c>
      <c r="AK339" s="8">
        <v>1</v>
      </c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Q339" s="13" t="s">
        <v>2637</v>
      </c>
      <c r="BR339" s="8"/>
      <c r="BS339" s="8"/>
      <c r="BT339" s="8">
        <v>53000</v>
      </c>
      <c r="BU339" s="8"/>
      <c r="BV339" s="8"/>
    </row>
    <row r="340" spans="2:74">
      <c r="B340" t="e">
        <f>IF(Dashboard!$P$4="All",Data!G891,IF(Data!K891=Dashboard!$P$4,Data!G891,NA()))</f>
        <v>#N/A</v>
      </c>
      <c r="C340" t="str">
        <f t="shared" si="79"/>
        <v/>
      </c>
      <c r="D340" t="str">
        <f t="shared" si="80"/>
        <v/>
      </c>
      <c r="E340" t="str">
        <f t="shared" si="81"/>
        <v/>
      </c>
      <c r="F340" t="str">
        <f>IF(C340&lt;&gt;"",Data!$M891,"")</f>
        <v/>
      </c>
      <c r="K340" t="e">
        <f>IF(Dashboard!$R$4="All",Data!G891,IF(Data!K891=Dashboard!$R$4,Data!G891,NA()))</f>
        <v>#N/A</v>
      </c>
      <c r="L340" t="str">
        <f t="shared" si="82"/>
        <v/>
      </c>
      <c r="M340" t="str">
        <f t="shared" si="83"/>
        <v/>
      </c>
      <c r="N340" t="str">
        <f t="shared" si="84"/>
        <v/>
      </c>
      <c r="O340" t="str">
        <f>IF(L340&lt;&gt;"",Data!$M891,"")</f>
        <v/>
      </c>
      <c r="T340">
        <f>IF(OR(Dashboard!$P$4="All",Dashboard!$R$4="All"),NA(),IF(OR(Data!K891&lt;&gt;Dashboard!$P$4,Data!K891&lt;&gt;Dashboard!$R$4),Data!G891,NA()))</f>
        <v>10000</v>
      </c>
      <c r="U340"/>
      <c r="AI340" s="13" t="s">
        <v>2670</v>
      </c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>
        <v>105000</v>
      </c>
      <c r="AW340" s="8">
        <v>1</v>
      </c>
      <c r="AX340" s="8"/>
      <c r="AY340" s="8"/>
      <c r="AZ340" s="8"/>
      <c r="BA340" s="8"/>
      <c r="BB340" s="8"/>
      <c r="BC340" s="8"/>
      <c r="BQ340" s="13" t="s">
        <v>2670</v>
      </c>
      <c r="BR340" s="8"/>
      <c r="BS340" s="8">
        <v>105000</v>
      </c>
      <c r="BT340" s="8"/>
      <c r="BU340" s="8"/>
      <c r="BV340" s="8"/>
    </row>
    <row r="341" spans="2:74">
      <c r="B341" t="e">
        <f>IF(Dashboard!$P$4="All",Data!G892,IF(Data!K892=Dashboard!$P$4,Data!G892,NA()))</f>
        <v>#N/A</v>
      </c>
      <c r="C341" t="str">
        <f t="shared" si="79"/>
        <v/>
      </c>
      <c r="D341" t="str">
        <f t="shared" si="80"/>
        <v/>
      </c>
      <c r="E341" t="str">
        <f t="shared" si="81"/>
        <v/>
      </c>
      <c r="F341" t="str">
        <f>IF(C341&lt;&gt;"",Data!$M892,"")</f>
        <v/>
      </c>
      <c r="K341" t="e">
        <f>IF(Dashboard!$R$4="All",Data!G892,IF(Data!K892=Dashboard!$R$4,Data!G892,NA()))</f>
        <v>#N/A</v>
      </c>
      <c r="L341" t="str">
        <f t="shared" si="82"/>
        <v/>
      </c>
      <c r="M341" t="str">
        <f t="shared" si="83"/>
        <v/>
      </c>
      <c r="N341" t="str">
        <f t="shared" si="84"/>
        <v/>
      </c>
      <c r="O341" t="str">
        <f>IF(L341&lt;&gt;"",Data!$M892,"")</f>
        <v/>
      </c>
      <c r="T341">
        <f>IF(OR(Dashboard!$P$4="All",Dashboard!$R$4="All"),NA(),IF(OR(Data!K892&lt;&gt;Dashboard!$P$4,Data!K892&lt;&gt;Dashboard!$R$4),Data!G892,NA()))</f>
        <v>75010</v>
      </c>
      <c r="U341"/>
      <c r="AI341" s="13" t="s">
        <v>2676</v>
      </c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>
        <v>52000</v>
      </c>
      <c r="AU341" s="8">
        <v>1</v>
      </c>
      <c r="AV341" s="8"/>
      <c r="AW341" s="8"/>
      <c r="AX341" s="8"/>
      <c r="AY341" s="8"/>
      <c r="AZ341" s="8"/>
      <c r="BA341" s="8"/>
      <c r="BB341" s="8"/>
      <c r="BC341" s="8"/>
      <c r="BQ341" s="13" t="s">
        <v>2676</v>
      </c>
      <c r="BR341" s="8"/>
      <c r="BS341" s="8"/>
      <c r="BT341" s="8">
        <v>52000</v>
      </c>
      <c r="BU341" s="8"/>
      <c r="BV341" s="8"/>
    </row>
    <row r="342" spans="2:74">
      <c r="B342" t="e">
        <f>IF(Dashboard!$P$4="All",Data!G893,IF(Data!K893=Dashboard!$P$4,Data!G893,NA()))</f>
        <v>#N/A</v>
      </c>
      <c r="C342" t="str">
        <f t="shared" si="79"/>
        <v/>
      </c>
      <c r="D342" t="str">
        <f t="shared" si="80"/>
        <v/>
      </c>
      <c r="E342" t="str">
        <f t="shared" si="81"/>
        <v/>
      </c>
      <c r="F342" t="str">
        <f>IF(C342&lt;&gt;"",Data!$M893,"")</f>
        <v/>
      </c>
      <c r="K342" t="e">
        <f>IF(Dashboard!$R$4="All",Data!G893,IF(Data!K893=Dashboard!$R$4,Data!G893,NA()))</f>
        <v>#N/A</v>
      </c>
      <c r="L342" t="str">
        <f t="shared" si="82"/>
        <v/>
      </c>
      <c r="M342" t="str">
        <f t="shared" si="83"/>
        <v/>
      </c>
      <c r="N342" t="str">
        <f t="shared" si="84"/>
        <v/>
      </c>
      <c r="O342" t="str">
        <f>IF(L342&lt;&gt;"",Data!$M893,"")</f>
        <v/>
      </c>
      <c r="T342">
        <f>IF(OR(Dashboard!$P$4="All",Dashboard!$R$4="All"),NA(),IF(OR(Data!K893&lt;&gt;Dashboard!$P$4,Data!K893&lt;&gt;Dashboard!$R$4),Data!G893,NA()))</f>
        <v>10684.750012465542</v>
      </c>
      <c r="U342"/>
      <c r="AI342" s="13" t="s">
        <v>2697</v>
      </c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>
        <v>35000</v>
      </c>
      <c r="AU342" s="8">
        <v>1</v>
      </c>
      <c r="AV342" s="8"/>
      <c r="AW342" s="8"/>
      <c r="AX342" s="8"/>
      <c r="AY342" s="8"/>
      <c r="AZ342" s="8"/>
      <c r="BA342" s="8"/>
      <c r="BB342" s="8"/>
      <c r="BC342" s="8"/>
      <c r="BQ342" s="13" t="s">
        <v>2697</v>
      </c>
      <c r="BR342" s="8"/>
      <c r="BS342" s="8"/>
      <c r="BT342" s="8">
        <v>35000</v>
      </c>
      <c r="BU342" s="8"/>
      <c r="BV342" s="8"/>
    </row>
    <row r="343" spans="2:74">
      <c r="B343" t="e">
        <f>IF(Dashboard!$P$4="All",Data!G894,IF(Data!K894=Dashboard!$P$4,Data!G894,NA()))</f>
        <v>#N/A</v>
      </c>
      <c r="C343" t="str">
        <f t="shared" si="79"/>
        <v/>
      </c>
      <c r="D343" t="str">
        <f t="shared" si="80"/>
        <v/>
      </c>
      <c r="E343" t="str">
        <f t="shared" si="81"/>
        <v/>
      </c>
      <c r="F343" t="str">
        <f>IF(C343&lt;&gt;"",Data!$M894,"")</f>
        <v/>
      </c>
      <c r="K343" t="e">
        <f>IF(Dashboard!$R$4="All",Data!G894,IF(Data!K894=Dashboard!$R$4,Data!G894,NA()))</f>
        <v>#N/A</v>
      </c>
      <c r="L343" t="str">
        <f t="shared" si="82"/>
        <v/>
      </c>
      <c r="M343" t="str">
        <f t="shared" si="83"/>
        <v/>
      </c>
      <c r="N343" t="str">
        <f t="shared" si="84"/>
        <v/>
      </c>
      <c r="O343" t="str">
        <f>IF(L343&lt;&gt;"",Data!$M894,"")</f>
        <v/>
      </c>
      <c r="T343">
        <f>IF(OR(Dashboard!$P$4="All",Dashboard!$R$4="All"),NA(),IF(OR(Data!K894&lt;&gt;Dashboard!$P$4,Data!K894&lt;&gt;Dashboard!$R$4),Data!G894,NA()))</f>
        <v>16350</v>
      </c>
      <c r="U343"/>
      <c r="AI343" s="13" t="s">
        <v>2757</v>
      </c>
      <c r="AJ343" s="8">
        <v>62000</v>
      </c>
      <c r="AK343" s="8">
        <v>1</v>
      </c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Q343" s="13" t="s">
        <v>2757</v>
      </c>
      <c r="BR343" s="8"/>
      <c r="BS343" s="8">
        <v>62000</v>
      </c>
      <c r="BT343" s="8"/>
      <c r="BU343" s="8"/>
      <c r="BV343" s="8"/>
    </row>
    <row r="344" spans="2:74">
      <c r="B344" t="e">
        <f>IF(Dashboard!$P$4="All",Data!G895,IF(Data!K895=Dashboard!$P$4,Data!G895,NA()))</f>
        <v>#N/A</v>
      </c>
      <c r="C344" t="str">
        <f t="shared" si="79"/>
        <v/>
      </c>
      <c r="D344" t="str">
        <f t="shared" si="80"/>
        <v/>
      </c>
      <c r="E344" t="str">
        <f t="shared" si="81"/>
        <v/>
      </c>
      <c r="F344" t="str">
        <f>IF(C344&lt;&gt;"",Data!$M895,"")</f>
        <v/>
      </c>
      <c r="K344">
        <f>IF(Dashboard!$R$4="All",Data!G895,IF(Data!K895=Dashboard!$R$4,Data!G895,NA()))</f>
        <v>126094.26176538273</v>
      </c>
      <c r="L344">
        <f t="shared" si="82"/>
        <v>126094.26176538273</v>
      </c>
      <c r="M344">
        <f t="shared" si="83"/>
        <v>126094.26176538273</v>
      </c>
      <c r="N344" t="str">
        <f t="shared" si="84"/>
        <v/>
      </c>
      <c r="O344">
        <f>IF(L344&lt;&gt;"",Data!$M895,"")</f>
        <v>10</v>
      </c>
      <c r="T344">
        <f>IF(OR(Dashboard!$P$4="All",Dashboard!$R$4="All"),NA(),IF(OR(Data!K895&lt;&gt;Dashboard!$P$4,Data!K895&lt;&gt;Dashboard!$R$4),Data!G895,NA()))</f>
        <v>126094.26176538273</v>
      </c>
      <c r="U344"/>
      <c r="AI344" s="13" t="s">
        <v>2760</v>
      </c>
      <c r="AJ344" s="8"/>
      <c r="AK344" s="8"/>
      <c r="AL344" s="8"/>
      <c r="AM344" s="8"/>
      <c r="AN344" s="8">
        <v>30232</v>
      </c>
      <c r="AO344" s="8">
        <v>1</v>
      </c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Q344" s="13" t="s">
        <v>2760</v>
      </c>
      <c r="BR344" s="8"/>
      <c r="BS344" s="8">
        <v>30232</v>
      </c>
      <c r="BT344" s="8"/>
      <c r="BU344" s="8"/>
      <c r="BV344" s="8"/>
    </row>
    <row r="345" spans="2:74">
      <c r="B345" t="e">
        <f>IF(Dashboard!$P$4="All",Data!G896,IF(Data!K896=Dashboard!$P$4,Data!G896,NA()))</f>
        <v>#N/A</v>
      </c>
      <c r="C345" t="str">
        <f t="shared" si="79"/>
        <v/>
      </c>
      <c r="D345" t="str">
        <f t="shared" si="80"/>
        <v/>
      </c>
      <c r="E345" t="str">
        <f t="shared" si="81"/>
        <v/>
      </c>
      <c r="F345" t="str">
        <f>IF(C345&lt;&gt;"",Data!$M896,"")</f>
        <v/>
      </c>
      <c r="K345" t="e">
        <f>IF(Dashboard!$R$4="All",Data!G896,IF(Data!K896=Dashboard!$R$4,Data!G896,NA()))</f>
        <v>#N/A</v>
      </c>
      <c r="L345" t="str">
        <f t="shared" si="82"/>
        <v/>
      </c>
      <c r="M345" t="str">
        <f t="shared" si="83"/>
        <v/>
      </c>
      <c r="N345" t="str">
        <f t="shared" si="84"/>
        <v/>
      </c>
      <c r="O345" t="str">
        <f>IF(L345&lt;&gt;"",Data!$M896,"")</f>
        <v/>
      </c>
      <c r="T345">
        <f>IF(OR(Dashboard!$P$4="All",Dashboard!$R$4="All"),NA(),IF(OR(Data!K896&lt;&gt;Dashboard!$P$4,Data!K896&lt;&gt;Dashboard!$R$4),Data!G896,NA()))</f>
        <v>60000</v>
      </c>
      <c r="U345"/>
      <c r="AI345" s="13" t="s">
        <v>2761</v>
      </c>
      <c r="AJ345" s="8">
        <v>41000</v>
      </c>
      <c r="AK345" s="8">
        <v>1</v>
      </c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Q345" s="13" t="s">
        <v>2761</v>
      </c>
      <c r="BR345" s="8"/>
      <c r="BS345" s="8"/>
      <c r="BT345" s="8"/>
      <c r="BU345" s="8">
        <v>41000</v>
      </c>
      <c r="BV345" s="8"/>
    </row>
    <row r="346" spans="2:74">
      <c r="B346" t="e">
        <f>IF(Dashboard!$P$4="All",Data!G897,IF(Data!K897=Dashboard!$P$4,Data!G897,NA()))</f>
        <v>#N/A</v>
      </c>
      <c r="C346" t="str">
        <f t="shared" si="79"/>
        <v/>
      </c>
      <c r="D346" t="str">
        <f t="shared" si="80"/>
        <v/>
      </c>
      <c r="E346" t="str">
        <f t="shared" si="81"/>
        <v/>
      </c>
      <c r="F346" t="str">
        <f>IF(C346&lt;&gt;"",Data!$M897,"")</f>
        <v/>
      </c>
      <c r="K346" t="e">
        <f>IF(Dashboard!$R$4="All",Data!G897,IF(Data!K897=Dashboard!$R$4,Data!G897,NA()))</f>
        <v>#N/A</v>
      </c>
      <c r="L346" t="str">
        <f t="shared" si="82"/>
        <v/>
      </c>
      <c r="M346" t="str">
        <f t="shared" si="83"/>
        <v/>
      </c>
      <c r="N346" t="str">
        <f t="shared" si="84"/>
        <v/>
      </c>
      <c r="O346" t="str">
        <f>IF(L346&lt;&gt;"",Data!$M897,"")</f>
        <v/>
      </c>
      <c r="T346">
        <f>IF(OR(Dashboard!$P$4="All",Dashboard!$R$4="All"),NA(),IF(OR(Data!K897&lt;&gt;Dashboard!$P$4,Data!K897&lt;&gt;Dashboard!$R$4),Data!G897,NA()))</f>
        <v>23150.291693675339</v>
      </c>
      <c r="U346"/>
      <c r="AI346" s="13" t="s">
        <v>2784</v>
      </c>
      <c r="AJ346" s="8">
        <v>65000</v>
      </c>
      <c r="AK346" s="8">
        <v>1</v>
      </c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Q346" s="13" t="s">
        <v>2784</v>
      </c>
      <c r="BR346" s="8"/>
      <c r="BS346" s="8">
        <v>65000</v>
      </c>
      <c r="BT346" s="8"/>
      <c r="BU346" s="8"/>
      <c r="BV346" s="8"/>
    </row>
    <row r="347" spans="2:74">
      <c r="B347" t="e">
        <f>IF(Dashboard!$P$4="All",Data!G898,IF(Data!K898=Dashboard!$P$4,Data!G898,NA()))</f>
        <v>#N/A</v>
      </c>
      <c r="C347" t="str">
        <f t="shared" si="79"/>
        <v/>
      </c>
      <c r="D347" t="str">
        <f t="shared" si="80"/>
        <v/>
      </c>
      <c r="E347" t="str">
        <f t="shared" si="81"/>
        <v/>
      </c>
      <c r="F347" t="str">
        <f>IF(C347&lt;&gt;"",Data!$M898,"")</f>
        <v/>
      </c>
      <c r="K347" t="e">
        <f>IF(Dashboard!$R$4="All",Data!G898,IF(Data!K898=Dashboard!$R$4,Data!G898,NA()))</f>
        <v>#N/A</v>
      </c>
      <c r="L347" t="str">
        <f t="shared" si="82"/>
        <v/>
      </c>
      <c r="M347" t="str">
        <f t="shared" si="83"/>
        <v/>
      </c>
      <c r="N347" t="str">
        <f t="shared" si="84"/>
        <v/>
      </c>
      <c r="O347" t="str">
        <f>IF(L347&lt;&gt;"",Data!$M898,"")</f>
        <v/>
      </c>
      <c r="T347">
        <f>IF(OR(Dashboard!$P$4="All",Dashboard!$R$4="All"),NA(),IF(OR(Data!K898&lt;&gt;Dashboard!$P$4,Data!K898&lt;&gt;Dashboard!$R$4),Data!G898,NA()))</f>
        <v>13801.135432767991</v>
      </c>
      <c r="U347"/>
      <c r="AI347" s="13" t="s">
        <v>2794</v>
      </c>
      <c r="AJ347" s="8"/>
      <c r="AK347" s="8"/>
      <c r="AL347" s="8">
        <v>48500</v>
      </c>
      <c r="AM347" s="8">
        <v>1</v>
      </c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Q347" s="13" t="s">
        <v>2794</v>
      </c>
      <c r="BR347" s="8"/>
      <c r="BS347" s="8">
        <v>48500</v>
      </c>
      <c r="BT347" s="8"/>
      <c r="BU347" s="8"/>
      <c r="BV347" s="8"/>
    </row>
    <row r="348" spans="2:74">
      <c r="B348" t="e">
        <f>IF(Dashboard!$P$4="All",Data!G899,IF(Data!K899=Dashboard!$P$4,Data!G899,NA()))</f>
        <v>#N/A</v>
      </c>
      <c r="C348" t="str">
        <f t="shared" si="79"/>
        <v/>
      </c>
      <c r="D348" t="str">
        <f t="shared" si="80"/>
        <v/>
      </c>
      <c r="E348" t="str">
        <f t="shared" si="81"/>
        <v/>
      </c>
      <c r="F348" t="str">
        <f>IF(C348&lt;&gt;"",Data!$M899,"")</f>
        <v/>
      </c>
      <c r="K348" t="e">
        <f>IF(Dashboard!$R$4="All",Data!G899,IF(Data!K899=Dashboard!$R$4,Data!G899,NA()))</f>
        <v>#N/A</v>
      </c>
      <c r="L348" t="str">
        <f t="shared" si="82"/>
        <v/>
      </c>
      <c r="M348" t="str">
        <f t="shared" si="83"/>
        <v/>
      </c>
      <c r="N348" t="str">
        <f t="shared" si="84"/>
        <v/>
      </c>
      <c r="O348" t="str">
        <f>IF(L348&lt;&gt;"",Data!$M899,"")</f>
        <v/>
      </c>
      <c r="T348">
        <f>IF(OR(Dashboard!$P$4="All",Dashboard!$R$4="All"),NA(),IF(OR(Data!K899&lt;&gt;Dashboard!$P$4,Data!K899&lt;&gt;Dashboard!$R$4),Data!G899,NA()))</f>
        <v>18698.312521814696</v>
      </c>
      <c r="U348"/>
      <c r="AI348" s="13" t="s">
        <v>2796</v>
      </c>
      <c r="AJ348" s="8">
        <v>33900</v>
      </c>
      <c r="AK348" s="8">
        <v>1</v>
      </c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Q348" s="13" t="s">
        <v>2796</v>
      </c>
      <c r="BR348" s="8"/>
      <c r="BS348" s="8">
        <v>33900</v>
      </c>
      <c r="BT348" s="8"/>
      <c r="BU348" s="8"/>
      <c r="BV348" s="8"/>
    </row>
    <row r="349" spans="2:74">
      <c r="B349" t="e">
        <f>IF(Dashboard!$P$4="All",Data!G900,IF(Data!K900=Dashboard!$P$4,Data!G900,NA()))</f>
        <v>#N/A</v>
      </c>
      <c r="C349" t="str">
        <f t="shared" si="79"/>
        <v/>
      </c>
      <c r="D349" t="str">
        <f t="shared" si="80"/>
        <v/>
      </c>
      <c r="E349" t="str">
        <f t="shared" si="81"/>
        <v/>
      </c>
      <c r="F349" t="str">
        <f>IF(C349&lt;&gt;"",Data!$M900,"")</f>
        <v/>
      </c>
      <c r="K349" t="e">
        <f>IF(Dashboard!$R$4="All",Data!G900,IF(Data!K900=Dashboard!$R$4,Data!G900,NA()))</f>
        <v>#N/A</v>
      </c>
      <c r="L349" t="str">
        <f t="shared" si="82"/>
        <v/>
      </c>
      <c r="M349" t="str">
        <f t="shared" si="83"/>
        <v/>
      </c>
      <c r="N349" t="str">
        <f t="shared" si="84"/>
        <v/>
      </c>
      <c r="O349" t="str">
        <f>IF(L349&lt;&gt;"",Data!$M900,"")</f>
        <v/>
      </c>
      <c r="T349">
        <f>IF(OR(Dashboard!$P$4="All",Dashboard!$R$4="All"),NA(),IF(OR(Data!K900&lt;&gt;Dashboard!$P$4,Data!K900&lt;&gt;Dashboard!$R$4),Data!G900,NA()))</f>
        <v>36000</v>
      </c>
      <c r="U349"/>
      <c r="AI349" s="13" t="s">
        <v>2799</v>
      </c>
      <c r="AJ349" s="8"/>
      <c r="AK349" s="8"/>
      <c r="AL349" s="8"/>
      <c r="AM349" s="8"/>
      <c r="AN349" s="8"/>
      <c r="AO349" s="8"/>
      <c r="AP349" s="8">
        <v>85000</v>
      </c>
      <c r="AQ349" s="8">
        <v>1</v>
      </c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Q349" s="13" t="s">
        <v>2799</v>
      </c>
      <c r="BR349" s="8"/>
      <c r="BS349" s="8"/>
      <c r="BT349" s="8">
        <v>85000</v>
      </c>
      <c r="BU349" s="8"/>
      <c r="BV349" s="8"/>
    </row>
    <row r="350" spans="2:74">
      <c r="B350" t="e">
        <f>IF(Dashboard!$P$4="All",Data!G901,IF(Data!K901=Dashboard!$P$4,Data!G901,NA()))</f>
        <v>#N/A</v>
      </c>
      <c r="C350" t="str">
        <f t="shared" si="79"/>
        <v/>
      </c>
      <c r="D350" t="str">
        <f t="shared" si="80"/>
        <v/>
      </c>
      <c r="E350" t="str">
        <f t="shared" si="81"/>
        <v/>
      </c>
      <c r="F350" t="str">
        <f>IF(C350&lt;&gt;"",Data!$M901,"")</f>
        <v/>
      </c>
      <c r="K350" t="e">
        <f>IF(Dashboard!$R$4="All",Data!G901,IF(Data!K901=Dashboard!$R$4,Data!G901,NA()))</f>
        <v>#N/A</v>
      </c>
      <c r="L350" t="str">
        <f t="shared" si="82"/>
        <v/>
      </c>
      <c r="M350" t="str">
        <f t="shared" si="83"/>
        <v/>
      </c>
      <c r="N350" t="str">
        <f t="shared" si="84"/>
        <v/>
      </c>
      <c r="O350" t="str">
        <f>IF(L350&lt;&gt;"",Data!$M901,"")</f>
        <v/>
      </c>
      <c r="T350">
        <f>IF(OR(Dashboard!$P$4="All",Dashboard!$R$4="All"),NA(),IF(OR(Data!K901&lt;&gt;Dashboard!$P$4,Data!K901&lt;&gt;Dashboard!$R$4),Data!G901,NA()))</f>
        <v>8654.6475100970874</v>
      </c>
      <c r="U350"/>
      <c r="AI350" s="13" t="s">
        <v>2801</v>
      </c>
      <c r="AJ350" s="8"/>
      <c r="AK350" s="8"/>
      <c r="AL350" s="8">
        <v>48000</v>
      </c>
      <c r="AM350" s="8">
        <v>1</v>
      </c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Q350" s="13" t="s">
        <v>2801</v>
      </c>
      <c r="BR350" s="8"/>
      <c r="BS350" s="8">
        <v>48000</v>
      </c>
      <c r="BT350" s="8"/>
      <c r="BU350" s="8"/>
      <c r="BV350" s="8"/>
    </row>
    <row r="351" spans="2:74">
      <c r="B351" t="e">
        <f>IF(Dashboard!$P$4="All",Data!G902,IF(Data!K902=Dashboard!$P$4,Data!G902,NA()))</f>
        <v>#N/A</v>
      </c>
      <c r="C351" t="str">
        <f t="shared" si="79"/>
        <v/>
      </c>
      <c r="D351" t="str">
        <f t="shared" si="80"/>
        <v/>
      </c>
      <c r="E351" t="str">
        <f t="shared" si="81"/>
        <v/>
      </c>
      <c r="F351" t="str">
        <f>IF(C351&lt;&gt;"",Data!$M902,"")</f>
        <v/>
      </c>
      <c r="K351">
        <f>IF(Dashboard!$R$4="All",Data!G902,IF(Data!K902=Dashboard!$R$4,Data!G902,NA()))</f>
        <v>102451.58768437347</v>
      </c>
      <c r="L351">
        <f t="shared" si="82"/>
        <v>102451.58768437347</v>
      </c>
      <c r="M351" t="str">
        <f t="shared" si="83"/>
        <v/>
      </c>
      <c r="N351" t="str">
        <f t="shared" si="84"/>
        <v/>
      </c>
      <c r="O351">
        <f>IF(L351&lt;&gt;"",Data!$M902,"")</f>
        <v>15</v>
      </c>
      <c r="T351">
        <f>IF(OR(Dashboard!$P$4="All",Dashboard!$R$4="All"),NA(),IF(OR(Data!K902&lt;&gt;Dashboard!$P$4,Data!K902&lt;&gt;Dashboard!$R$4),Data!G902,NA()))</f>
        <v>102451.58768437347</v>
      </c>
      <c r="U351"/>
      <c r="AI351" s="13" t="s">
        <v>2808</v>
      </c>
      <c r="AJ351" s="8">
        <v>95000</v>
      </c>
      <c r="AK351" s="8">
        <v>1</v>
      </c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Q351" s="13" t="s">
        <v>2808</v>
      </c>
      <c r="BR351" s="8"/>
      <c r="BS351" s="8">
        <v>95000</v>
      </c>
      <c r="BT351" s="8"/>
      <c r="BU351" s="8"/>
      <c r="BV351" s="8"/>
    </row>
    <row r="352" spans="2:74">
      <c r="B352" t="e">
        <f>IF(Dashboard!$P$4="All",Data!G903,IF(Data!K903=Dashboard!$P$4,Data!G903,NA()))</f>
        <v>#N/A</v>
      </c>
      <c r="C352" t="str">
        <f t="shared" si="79"/>
        <v/>
      </c>
      <c r="D352" t="str">
        <f t="shared" si="80"/>
        <v/>
      </c>
      <c r="E352" t="str">
        <f t="shared" si="81"/>
        <v/>
      </c>
      <c r="F352" t="str">
        <f>IF(C352&lt;&gt;"",Data!$M903,"")</f>
        <v/>
      </c>
      <c r="K352" t="e">
        <f>IF(Dashboard!$R$4="All",Data!G903,IF(Data!K903=Dashboard!$R$4,Data!G903,NA()))</f>
        <v>#N/A</v>
      </c>
      <c r="L352" t="str">
        <f t="shared" si="82"/>
        <v/>
      </c>
      <c r="M352" t="str">
        <f t="shared" si="83"/>
        <v/>
      </c>
      <c r="N352" t="str">
        <f t="shared" si="84"/>
        <v/>
      </c>
      <c r="O352" t="str">
        <f>IF(L352&lt;&gt;"",Data!$M903,"")</f>
        <v/>
      </c>
      <c r="T352">
        <f>IF(OR(Dashboard!$P$4="All",Dashboard!$R$4="All"),NA(),IF(OR(Data!K903&lt;&gt;Dashboard!$P$4,Data!K903&lt;&gt;Dashboard!$R$4),Data!G903,NA()))</f>
        <v>36400</v>
      </c>
      <c r="U352"/>
      <c r="AI352" s="13" t="s">
        <v>2816</v>
      </c>
      <c r="AJ352" s="8">
        <v>75000</v>
      </c>
      <c r="AK352" s="8">
        <v>1</v>
      </c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Q352" s="13" t="s">
        <v>2816</v>
      </c>
      <c r="BR352" s="8"/>
      <c r="BS352" s="8">
        <v>75000</v>
      </c>
      <c r="BT352" s="8"/>
      <c r="BU352" s="8"/>
      <c r="BV352" s="8"/>
    </row>
    <row r="353" spans="2:74">
      <c r="B353" t="e">
        <f>IF(Dashboard!$P$4="All",Data!G904,IF(Data!K904=Dashboard!$P$4,Data!G904,NA()))</f>
        <v>#N/A</v>
      </c>
      <c r="C353" t="str">
        <f t="shared" si="79"/>
        <v/>
      </c>
      <c r="D353" t="str">
        <f t="shared" si="80"/>
        <v/>
      </c>
      <c r="E353" t="str">
        <f t="shared" si="81"/>
        <v/>
      </c>
      <c r="F353" t="str">
        <f>IF(C353&lt;&gt;"",Data!$M904,"")</f>
        <v/>
      </c>
      <c r="K353">
        <f>IF(Dashboard!$R$4="All",Data!G904,IF(Data!K904=Dashboard!$R$4,Data!G904,NA()))</f>
        <v>101206.40684944032</v>
      </c>
      <c r="L353">
        <f t="shared" si="82"/>
        <v>101206.40684944032</v>
      </c>
      <c r="M353" t="str">
        <f t="shared" si="83"/>
        <v/>
      </c>
      <c r="N353" t="str">
        <f t="shared" si="84"/>
        <v/>
      </c>
      <c r="O353">
        <f>IF(L353&lt;&gt;"",Data!$M904,"")</f>
        <v>16</v>
      </c>
      <c r="T353">
        <f>IF(OR(Dashboard!$P$4="All",Dashboard!$R$4="All"),NA(),IF(OR(Data!K904&lt;&gt;Dashboard!$P$4,Data!K904&lt;&gt;Dashboard!$R$4),Data!G904,NA()))</f>
        <v>101206.40684944032</v>
      </c>
      <c r="U353"/>
      <c r="AI353" s="13" t="s">
        <v>2821</v>
      </c>
      <c r="AJ353" s="8"/>
      <c r="AK353" s="8"/>
      <c r="AL353" s="8"/>
      <c r="AM353" s="8"/>
      <c r="AN353" s="8"/>
      <c r="AO353" s="8"/>
      <c r="AP353" s="8">
        <v>100000</v>
      </c>
      <c r="AQ353" s="8">
        <v>1</v>
      </c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Q353" s="13" t="s">
        <v>2821</v>
      </c>
      <c r="BR353" s="8"/>
      <c r="BS353" s="8"/>
      <c r="BT353" s="8">
        <v>100000</v>
      </c>
      <c r="BU353" s="8"/>
      <c r="BV353" s="8"/>
    </row>
    <row r="354" spans="2:74">
      <c r="B354" t="e">
        <f>IF(Dashboard!$P$4="All",Data!G905,IF(Data!K905=Dashboard!$P$4,Data!G905,NA()))</f>
        <v>#N/A</v>
      </c>
      <c r="C354" t="str">
        <f t="shared" si="79"/>
        <v/>
      </c>
      <c r="D354" t="str">
        <f t="shared" si="80"/>
        <v/>
      </c>
      <c r="E354" t="str">
        <f t="shared" si="81"/>
        <v/>
      </c>
      <c r="F354" t="str">
        <f>IF(C354&lt;&gt;"",Data!$M905,"")</f>
        <v/>
      </c>
      <c r="K354" t="e">
        <f>IF(Dashboard!$R$4="All",Data!G905,IF(Data!K905=Dashboard!$R$4,Data!G905,NA()))</f>
        <v>#N/A</v>
      </c>
      <c r="L354" t="str">
        <f t="shared" si="82"/>
        <v/>
      </c>
      <c r="M354" t="str">
        <f t="shared" si="83"/>
        <v/>
      </c>
      <c r="N354" t="str">
        <f t="shared" si="84"/>
        <v/>
      </c>
      <c r="O354" t="str">
        <f>IF(L354&lt;&gt;"",Data!$M905,"")</f>
        <v/>
      </c>
      <c r="T354">
        <f>IF(OR(Dashboard!$P$4="All",Dashboard!$R$4="All"),NA(),IF(OR(Data!K905&lt;&gt;Dashboard!$P$4,Data!K905&lt;&gt;Dashboard!$R$4),Data!G905,NA()))</f>
        <v>5342.3750062327708</v>
      </c>
      <c r="U354"/>
      <c r="AI354" s="13" t="s">
        <v>2823</v>
      </c>
      <c r="AJ354" s="8"/>
      <c r="AK354" s="8"/>
      <c r="AL354" s="8">
        <v>40000</v>
      </c>
      <c r="AM354" s="8">
        <v>1</v>
      </c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Q354" s="13" t="s">
        <v>2823</v>
      </c>
      <c r="BR354" s="8"/>
      <c r="BS354" s="8">
        <v>40000</v>
      </c>
      <c r="BT354" s="8"/>
      <c r="BU354" s="8"/>
      <c r="BV354" s="8"/>
    </row>
    <row r="355" spans="2:74">
      <c r="B355" t="e">
        <f>IF(Dashboard!$P$4="All",Data!G906,IF(Data!K906=Dashboard!$P$4,Data!G906,NA()))</f>
        <v>#N/A</v>
      </c>
      <c r="C355" t="str">
        <f t="shared" si="79"/>
        <v/>
      </c>
      <c r="D355" t="str">
        <f t="shared" si="80"/>
        <v/>
      </c>
      <c r="E355" t="str">
        <f t="shared" si="81"/>
        <v/>
      </c>
      <c r="F355" t="str">
        <f>IF(C355&lt;&gt;"",Data!$M906,"")</f>
        <v/>
      </c>
      <c r="K355" t="e">
        <f>IF(Dashboard!$R$4="All",Data!G906,IF(Data!K906=Dashboard!$R$4,Data!G906,NA()))</f>
        <v>#N/A</v>
      </c>
      <c r="L355" t="str">
        <f t="shared" si="82"/>
        <v/>
      </c>
      <c r="M355" t="str">
        <f t="shared" si="83"/>
        <v/>
      </c>
      <c r="N355" t="str">
        <f t="shared" si="84"/>
        <v/>
      </c>
      <c r="O355" t="str">
        <f>IF(L355&lt;&gt;"",Data!$M906,"")</f>
        <v/>
      </c>
      <c r="T355">
        <f>IF(OR(Dashboard!$P$4="All",Dashboard!$R$4="All"),NA(),IF(OR(Data!K906&lt;&gt;Dashboard!$P$4,Data!K906&lt;&gt;Dashboard!$R$4),Data!G906,NA()))</f>
        <v>28310.79811950968</v>
      </c>
      <c r="U355"/>
      <c r="AI355" s="13" t="s">
        <v>2832</v>
      </c>
      <c r="AJ355" s="8"/>
      <c r="AK355" s="8"/>
      <c r="AL355" s="8"/>
      <c r="AM355" s="8"/>
      <c r="AN355" s="8">
        <v>85000</v>
      </c>
      <c r="AO355" s="8">
        <v>1</v>
      </c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Q355" s="13" t="s">
        <v>2832</v>
      </c>
      <c r="BR355" s="8"/>
      <c r="BS355" s="8"/>
      <c r="BT355" s="8"/>
      <c r="BU355" s="8">
        <v>85000</v>
      </c>
      <c r="BV355" s="8"/>
    </row>
    <row r="356" spans="2:74">
      <c r="B356" t="e">
        <f>IF(Dashboard!$P$4="All",Data!G907,IF(Data!K907=Dashboard!$P$4,Data!G907,NA()))</f>
        <v>#N/A</v>
      </c>
      <c r="C356" t="str">
        <f t="shared" si="79"/>
        <v/>
      </c>
      <c r="D356" t="str">
        <f t="shared" si="80"/>
        <v/>
      </c>
      <c r="E356" t="str">
        <f t="shared" si="81"/>
        <v/>
      </c>
      <c r="F356" t="str">
        <f>IF(C356&lt;&gt;"",Data!$M907,"")</f>
        <v/>
      </c>
      <c r="K356" t="e">
        <f>IF(Dashboard!$R$4="All",Data!G907,IF(Data!K907=Dashboard!$R$4,Data!G907,NA()))</f>
        <v>#N/A</v>
      </c>
      <c r="L356" t="str">
        <f t="shared" si="82"/>
        <v/>
      </c>
      <c r="M356" t="str">
        <f t="shared" si="83"/>
        <v/>
      </c>
      <c r="N356" t="str">
        <f t="shared" si="84"/>
        <v/>
      </c>
      <c r="O356" t="str">
        <f>IF(L356&lt;&gt;"",Data!$M907,"")</f>
        <v/>
      </c>
      <c r="T356">
        <f>IF(OR(Dashboard!$P$4="All",Dashboard!$R$4="All"),NA(),IF(OR(Data!K907&lt;&gt;Dashboard!$P$4,Data!K907&lt;&gt;Dashboard!$R$4),Data!G907,NA()))</f>
        <v>26043.18849932796</v>
      </c>
      <c r="U356"/>
      <c r="AI356" s="13" t="s">
        <v>2844</v>
      </c>
      <c r="AJ356" s="8">
        <v>92500</v>
      </c>
      <c r="AK356" s="8">
        <v>1</v>
      </c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Q356" s="13" t="s">
        <v>2844</v>
      </c>
      <c r="BR356" s="8"/>
      <c r="BS356" s="8">
        <v>92500</v>
      </c>
      <c r="BT356" s="8"/>
      <c r="BU356" s="8"/>
      <c r="BV356" s="8"/>
    </row>
    <row r="357" spans="2:74">
      <c r="B357" t="e">
        <f>IF(Dashboard!$P$4="All",Data!G908,IF(Data!K908=Dashboard!$P$4,Data!G908,NA()))</f>
        <v>#N/A</v>
      </c>
      <c r="C357" t="str">
        <f t="shared" si="79"/>
        <v/>
      </c>
      <c r="D357" t="str">
        <f t="shared" si="80"/>
        <v/>
      </c>
      <c r="E357" t="str">
        <f t="shared" si="81"/>
        <v/>
      </c>
      <c r="F357" t="str">
        <f>IF(C357&lt;&gt;"",Data!$M908,"")</f>
        <v/>
      </c>
      <c r="K357" t="e">
        <f>IF(Dashboard!$R$4="All",Data!G908,IF(Data!K908=Dashboard!$R$4,Data!G908,NA()))</f>
        <v>#N/A</v>
      </c>
      <c r="L357" t="str">
        <f t="shared" si="82"/>
        <v/>
      </c>
      <c r="M357" t="str">
        <f t="shared" si="83"/>
        <v/>
      </c>
      <c r="N357" t="str">
        <f t="shared" si="84"/>
        <v/>
      </c>
      <c r="O357" t="str">
        <f>IF(L357&lt;&gt;"",Data!$M908,"")</f>
        <v/>
      </c>
      <c r="T357">
        <f>IF(OR(Dashboard!$P$4="All",Dashboard!$R$4="All"),NA(),IF(OR(Data!K908&lt;&gt;Dashboard!$P$4,Data!K908&lt;&gt;Dashboard!$R$4),Data!G908,NA()))</f>
        <v>96891.417358250401</v>
      </c>
      <c r="U357"/>
      <c r="AI357" s="13" t="s">
        <v>2846</v>
      </c>
      <c r="AJ357" s="8"/>
      <c r="AK357" s="8"/>
      <c r="AL357" s="8">
        <v>32000</v>
      </c>
      <c r="AM357" s="8">
        <v>1</v>
      </c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Q357" s="13" t="s">
        <v>2846</v>
      </c>
      <c r="BR357" s="8"/>
      <c r="BS357" s="8"/>
      <c r="BT357" s="8">
        <v>32000</v>
      </c>
      <c r="BU357" s="8"/>
      <c r="BV357" s="8"/>
    </row>
    <row r="358" spans="2:74">
      <c r="B358" t="e">
        <f>IF(Dashboard!$P$4="All",Data!G909,IF(Data!K909=Dashboard!$P$4,Data!G909,NA()))</f>
        <v>#N/A</v>
      </c>
      <c r="C358" t="str">
        <f t="shared" si="79"/>
        <v/>
      </c>
      <c r="D358" t="str">
        <f t="shared" si="80"/>
        <v/>
      </c>
      <c r="E358" t="str">
        <f t="shared" si="81"/>
        <v/>
      </c>
      <c r="F358" t="str">
        <f>IF(C358&lt;&gt;"",Data!$M909,"")</f>
        <v/>
      </c>
      <c r="K358" t="e">
        <f>IF(Dashboard!$R$4="All",Data!G909,IF(Data!K909=Dashboard!$R$4,Data!G909,NA()))</f>
        <v>#N/A</v>
      </c>
      <c r="L358" t="str">
        <f t="shared" si="82"/>
        <v/>
      </c>
      <c r="M358" t="str">
        <f t="shared" si="83"/>
        <v/>
      </c>
      <c r="N358" t="str">
        <f t="shared" si="84"/>
        <v/>
      </c>
      <c r="O358" t="str">
        <f>IF(L358&lt;&gt;"",Data!$M909,"")</f>
        <v/>
      </c>
      <c r="T358">
        <f>IF(OR(Dashboard!$P$4="All",Dashboard!$R$4="All"),NA(),IF(OR(Data!K909&lt;&gt;Dashboard!$P$4,Data!K909&lt;&gt;Dashboard!$R$4),Data!G909,NA()))</f>
        <v>2564.3400029917298</v>
      </c>
      <c r="U358"/>
      <c r="AI358" s="13" t="s">
        <v>2847</v>
      </c>
      <c r="AJ358" s="8">
        <v>55000</v>
      </c>
      <c r="AK358" s="8">
        <v>1</v>
      </c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Q358" s="13" t="s">
        <v>2847</v>
      </c>
      <c r="BR358" s="8"/>
      <c r="BS358" s="8"/>
      <c r="BT358" s="8">
        <v>55000</v>
      </c>
      <c r="BU358" s="8"/>
      <c r="BV358" s="8"/>
    </row>
    <row r="359" spans="2:74">
      <c r="B359" t="e">
        <f>IF(Dashboard!$P$4="All",Data!G910,IF(Data!K910=Dashboard!$P$4,Data!G910,NA()))</f>
        <v>#N/A</v>
      </c>
      <c r="C359" t="str">
        <f t="shared" si="79"/>
        <v/>
      </c>
      <c r="D359" t="str">
        <f t="shared" si="80"/>
        <v/>
      </c>
      <c r="E359" t="str">
        <f t="shared" si="81"/>
        <v/>
      </c>
      <c r="F359" t="str">
        <f>IF(C359&lt;&gt;"",Data!$M910,"")</f>
        <v/>
      </c>
      <c r="K359" t="e">
        <f>IF(Dashboard!$R$4="All",Data!G910,IF(Data!K910=Dashboard!$R$4,Data!G910,NA()))</f>
        <v>#N/A</v>
      </c>
      <c r="L359" t="str">
        <f t="shared" si="82"/>
        <v/>
      </c>
      <c r="M359" t="str">
        <f t="shared" si="83"/>
        <v/>
      </c>
      <c r="N359" t="str">
        <f t="shared" si="84"/>
        <v/>
      </c>
      <c r="O359" t="str">
        <f>IF(L359&lt;&gt;"",Data!$M910,"")</f>
        <v/>
      </c>
      <c r="T359">
        <f>IF(OR(Dashboard!$P$4="All",Dashboard!$R$4="All"),NA(),IF(OR(Data!K910&lt;&gt;Dashboard!$P$4,Data!K910&lt;&gt;Dashboard!$R$4),Data!G910,NA()))</f>
        <v>3205.4250037396623</v>
      </c>
      <c r="U359"/>
      <c r="AI359" s="13" t="s">
        <v>2848</v>
      </c>
      <c r="AJ359" s="8">
        <v>40000</v>
      </c>
      <c r="AK359" s="8">
        <v>1</v>
      </c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Q359" s="13" t="s">
        <v>2848</v>
      </c>
      <c r="BR359" s="8"/>
      <c r="BS359" s="8"/>
      <c r="BT359" s="8"/>
      <c r="BU359" s="8">
        <v>40000</v>
      </c>
      <c r="BV359" s="8"/>
    </row>
    <row r="360" spans="2:74">
      <c r="B360" t="e">
        <f>IF(Dashboard!$P$4="All",Data!G911,IF(Data!K911=Dashboard!$P$4,Data!G911,NA()))</f>
        <v>#N/A</v>
      </c>
      <c r="C360" t="str">
        <f t="shared" si="79"/>
        <v/>
      </c>
      <c r="D360" t="str">
        <f t="shared" si="80"/>
        <v/>
      </c>
      <c r="E360" t="str">
        <f t="shared" si="81"/>
        <v/>
      </c>
      <c r="F360" t="str">
        <f>IF(C360&lt;&gt;"",Data!$M911,"")</f>
        <v/>
      </c>
      <c r="K360" t="e">
        <f>IF(Dashboard!$R$4="All",Data!G911,IF(Data!K911=Dashboard!$R$4,Data!G911,NA()))</f>
        <v>#N/A</v>
      </c>
      <c r="L360" t="str">
        <f t="shared" si="82"/>
        <v/>
      </c>
      <c r="M360" t="str">
        <f t="shared" si="83"/>
        <v/>
      </c>
      <c r="N360" t="str">
        <f t="shared" si="84"/>
        <v/>
      </c>
      <c r="O360" t="str">
        <f>IF(L360&lt;&gt;"",Data!$M911,"")</f>
        <v/>
      </c>
      <c r="T360">
        <f>IF(OR(Dashboard!$P$4="All",Dashboard!$R$4="All"),NA(),IF(OR(Data!K911&lt;&gt;Dashboard!$P$4,Data!K911&lt;&gt;Dashboard!$R$4),Data!G911,NA()))</f>
        <v>10684.750012465542</v>
      </c>
      <c r="U360"/>
      <c r="AI360" s="13" t="s">
        <v>2850</v>
      </c>
      <c r="AJ360" s="8">
        <v>43600</v>
      </c>
      <c r="AK360" s="8">
        <v>1</v>
      </c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Q360" s="13" t="s">
        <v>2850</v>
      </c>
      <c r="BR360" s="8"/>
      <c r="BS360" s="8"/>
      <c r="BT360" s="8">
        <v>43600</v>
      </c>
      <c r="BU360" s="8"/>
      <c r="BV360" s="8"/>
    </row>
    <row r="361" spans="2:74">
      <c r="B361" t="e">
        <f>IF(Dashboard!$P$4="All",Data!G912,IF(Data!K912=Dashboard!$P$4,Data!G912,NA()))</f>
        <v>#N/A</v>
      </c>
      <c r="C361" t="str">
        <f t="shared" si="79"/>
        <v/>
      </c>
      <c r="D361" t="str">
        <f t="shared" si="80"/>
        <v/>
      </c>
      <c r="E361" t="str">
        <f t="shared" si="81"/>
        <v/>
      </c>
      <c r="F361" t="str">
        <f>IF(C361&lt;&gt;"",Data!$M912,"")</f>
        <v/>
      </c>
      <c r="K361" t="e">
        <f>IF(Dashboard!$R$4="All",Data!G912,IF(Data!K912=Dashboard!$R$4,Data!G912,NA()))</f>
        <v>#N/A</v>
      </c>
      <c r="L361" t="str">
        <f t="shared" si="82"/>
        <v/>
      </c>
      <c r="M361" t="str">
        <f t="shared" si="83"/>
        <v/>
      </c>
      <c r="N361" t="str">
        <f t="shared" si="84"/>
        <v/>
      </c>
      <c r="O361" t="str">
        <f>IF(L361&lt;&gt;"",Data!$M912,"")</f>
        <v/>
      </c>
      <c r="T361">
        <f>IF(OR(Dashboard!$P$4="All",Dashboard!$R$4="All"),NA(),IF(OR(Data!K912&lt;&gt;Dashboard!$P$4,Data!K912&lt;&gt;Dashboard!$R$4),Data!G912,NA()))</f>
        <v>150000</v>
      </c>
      <c r="U361"/>
      <c r="AI361" s="13" t="s">
        <v>2856</v>
      </c>
      <c r="AJ361" s="8">
        <v>65000</v>
      </c>
      <c r="AK361" s="8">
        <v>1</v>
      </c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Q361" s="13" t="s">
        <v>2856</v>
      </c>
      <c r="BR361" s="8">
        <v>65000</v>
      </c>
      <c r="BS361" s="8"/>
      <c r="BT361" s="8"/>
      <c r="BU361" s="8"/>
      <c r="BV361" s="8"/>
    </row>
    <row r="362" spans="2:74">
      <c r="B362" t="e">
        <f>IF(Dashboard!$P$4="All",Data!G913,IF(Data!K913=Dashboard!$P$4,Data!G913,NA()))</f>
        <v>#N/A</v>
      </c>
      <c r="C362" t="str">
        <f t="shared" si="79"/>
        <v/>
      </c>
      <c r="D362" t="str">
        <f t="shared" si="80"/>
        <v/>
      </c>
      <c r="E362" t="str">
        <f t="shared" si="81"/>
        <v/>
      </c>
      <c r="F362" t="str">
        <f>IF(C362&lt;&gt;"",Data!$M913,"")</f>
        <v/>
      </c>
      <c r="K362" t="e">
        <f>IF(Dashboard!$R$4="All",Data!G913,IF(Data!K913=Dashboard!$R$4,Data!G913,NA()))</f>
        <v>#N/A</v>
      </c>
      <c r="L362" t="str">
        <f t="shared" si="82"/>
        <v/>
      </c>
      <c r="M362" t="str">
        <f t="shared" si="83"/>
        <v/>
      </c>
      <c r="N362" t="str">
        <f t="shared" si="84"/>
        <v/>
      </c>
      <c r="O362" t="str">
        <f>IF(L362&lt;&gt;"",Data!$M913,"")</f>
        <v/>
      </c>
      <c r="T362">
        <f>IF(OR(Dashboard!$P$4="All",Dashboard!$R$4="All"),NA(),IF(OR(Data!K913&lt;&gt;Dashboard!$P$4,Data!K913&lt;&gt;Dashboard!$R$4),Data!G913,NA()))</f>
        <v>12465.541681209797</v>
      </c>
      <c r="U362"/>
      <c r="AI362" s="13" t="s">
        <v>2857</v>
      </c>
      <c r="AJ362" s="8">
        <v>40000</v>
      </c>
      <c r="AK362" s="8">
        <v>1</v>
      </c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Q362" s="13" t="s">
        <v>2857</v>
      </c>
      <c r="BR362" s="8"/>
      <c r="BS362" s="8"/>
      <c r="BT362" s="8"/>
      <c r="BU362" s="8">
        <v>40000</v>
      </c>
      <c r="BV362" s="8"/>
    </row>
    <row r="363" spans="2:74">
      <c r="B363" t="e">
        <f>IF(Dashboard!$P$4="All",Data!G914,IF(Data!K914=Dashboard!$P$4,Data!G914,NA()))</f>
        <v>#N/A</v>
      </c>
      <c r="C363" t="str">
        <f t="shared" si="79"/>
        <v/>
      </c>
      <c r="D363" t="str">
        <f t="shared" si="80"/>
        <v/>
      </c>
      <c r="E363" t="str">
        <f t="shared" si="81"/>
        <v/>
      </c>
      <c r="F363" t="str">
        <f>IF(C363&lt;&gt;"",Data!$M914,"")</f>
        <v/>
      </c>
      <c r="K363" t="e">
        <f>IF(Dashboard!$R$4="All",Data!G914,IF(Data!K914=Dashboard!$R$4,Data!G914,NA()))</f>
        <v>#N/A</v>
      </c>
      <c r="L363" t="str">
        <f t="shared" si="82"/>
        <v/>
      </c>
      <c r="M363" t="str">
        <f t="shared" si="83"/>
        <v/>
      </c>
      <c r="N363" t="str">
        <f t="shared" si="84"/>
        <v/>
      </c>
      <c r="O363" t="str">
        <f>IF(L363&lt;&gt;"",Data!$M914,"")</f>
        <v/>
      </c>
      <c r="T363">
        <f>IF(OR(Dashboard!$P$4="All",Dashboard!$R$4="All"),NA(),IF(OR(Data!K914&lt;&gt;Dashboard!$P$4,Data!K914&lt;&gt;Dashboard!$R$4),Data!G914,NA()))</f>
        <v>19055.991584874118</v>
      </c>
      <c r="U363"/>
      <c r="AI363" s="13" t="s">
        <v>2859</v>
      </c>
      <c r="AJ363" s="8"/>
      <c r="AK363" s="8"/>
      <c r="AL363" s="8"/>
      <c r="AM363" s="8"/>
      <c r="AN363" s="8"/>
      <c r="AO363" s="8"/>
      <c r="AP363" s="8">
        <v>50000</v>
      </c>
      <c r="AQ363" s="8">
        <v>1</v>
      </c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Q363" s="13" t="s">
        <v>2859</v>
      </c>
      <c r="BR363" s="8"/>
      <c r="BS363" s="8"/>
      <c r="BT363" s="8"/>
      <c r="BU363" s="8">
        <v>50000</v>
      </c>
      <c r="BV363" s="8"/>
    </row>
    <row r="364" spans="2:74">
      <c r="B364" t="e">
        <f>IF(Dashboard!$P$4="All",Data!G915,IF(Data!K915=Dashboard!$P$4,Data!G915,NA()))</f>
        <v>#N/A</v>
      </c>
      <c r="C364" t="str">
        <f t="shared" si="79"/>
        <v/>
      </c>
      <c r="D364" t="str">
        <f t="shared" si="80"/>
        <v/>
      </c>
      <c r="E364" t="str">
        <f t="shared" si="81"/>
        <v/>
      </c>
      <c r="F364" t="str">
        <f>IF(C364&lt;&gt;"",Data!$M915,"")</f>
        <v/>
      </c>
      <c r="K364" t="e">
        <f>IF(Dashboard!$R$4="All",Data!G915,IF(Data!K915=Dashboard!$R$4,Data!G915,NA()))</f>
        <v>#N/A</v>
      </c>
      <c r="L364" t="str">
        <f t="shared" si="82"/>
        <v/>
      </c>
      <c r="M364" t="str">
        <f t="shared" si="83"/>
        <v/>
      </c>
      <c r="N364" t="str">
        <f t="shared" si="84"/>
        <v/>
      </c>
      <c r="O364" t="str">
        <f>IF(L364&lt;&gt;"",Data!$M915,"")</f>
        <v/>
      </c>
      <c r="T364">
        <f>IF(OR(Dashboard!$P$4="All",Dashboard!$R$4="All"),NA(),IF(OR(Data!K915&lt;&gt;Dashboard!$P$4,Data!K915&lt;&gt;Dashboard!$R$4),Data!G915,NA()))</f>
        <v>105000</v>
      </c>
      <c r="U364"/>
      <c r="AI364" s="13" t="s">
        <v>2860</v>
      </c>
      <c r="AJ364" s="8"/>
      <c r="AK364" s="8"/>
      <c r="AL364" s="8"/>
      <c r="AM364" s="8"/>
      <c r="AN364" s="8"/>
      <c r="AO364" s="8"/>
      <c r="AP364" s="8">
        <v>135000</v>
      </c>
      <c r="AQ364" s="8">
        <v>1</v>
      </c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Q364" s="13" t="s">
        <v>2860</v>
      </c>
      <c r="BR364" s="8"/>
      <c r="BS364" s="8"/>
      <c r="BT364" s="8">
        <v>135000</v>
      </c>
      <c r="BU364" s="8"/>
      <c r="BV364" s="8"/>
    </row>
    <row r="365" spans="2:74">
      <c r="B365" t="e">
        <f>IF(Dashboard!$P$4="All",Data!G916,IF(Data!K916=Dashboard!$P$4,Data!G916,NA()))</f>
        <v>#N/A</v>
      </c>
      <c r="C365" t="str">
        <f t="shared" si="79"/>
        <v/>
      </c>
      <c r="D365" t="str">
        <f t="shared" si="80"/>
        <v/>
      </c>
      <c r="E365" t="str">
        <f t="shared" si="81"/>
        <v/>
      </c>
      <c r="F365" t="str">
        <f>IF(C365&lt;&gt;"",Data!$M916,"")</f>
        <v/>
      </c>
      <c r="K365" t="e">
        <f>IF(Dashboard!$R$4="All",Data!G916,IF(Data!K916=Dashboard!$R$4,Data!G916,NA()))</f>
        <v>#N/A</v>
      </c>
      <c r="L365" t="str">
        <f t="shared" si="82"/>
        <v/>
      </c>
      <c r="M365" t="str">
        <f t="shared" si="83"/>
        <v/>
      </c>
      <c r="N365" t="str">
        <f t="shared" si="84"/>
        <v/>
      </c>
      <c r="O365" t="str">
        <f>IF(L365&lt;&gt;"",Data!$M916,"")</f>
        <v/>
      </c>
      <c r="T365">
        <f>IF(OR(Dashboard!$P$4="All",Dashboard!$R$4="All"),NA(),IF(OR(Data!K916&lt;&gt;Dashboard!$P$4,Data!K916&lt;&gt;Dashboard!$R$4),Data!G916,NA()))</f>
        <v>24000</v>
      </c>
      <c r="U365"/>
      <c r="AI365" s="13" t="s">
        <v>2863</v>
      </c>
      <c r="AJ365" s="8">
        <v>115000</v>
      </c>
      <c r="AK365" s="8">
        <v>1</v>
      </c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Q365" s="13" t="s">
        <v>2863</v>
      </c>
      <c r="BR365" s="8"/>
      <c r="BS365" s="8"/>
      <c r="BT365" s="8">
        <v>115000</v>
      </c>
      <c r="BU365" s="8"/>
      <c r="BV365" s="8"/>
    </row>
    <row r="366" spans="2:74">
      <c r="B366" t="e">
        <f>IF(Dashboard!$P$4="All",Data!G917,IF(Data!K917=Dashboard!$P$4,Data!G917,NA()))</f>
        <v>#N/A</v>
      </c>
      <c r="C366" t="str">
        <f t="shared" si="79"/>
        <v/>
      </c>
      <c r="D366" t="str">
        <f t="shared" si="80"/>
        <v/>
      </c>
      <c r="E366" t="str">
        <f t="shared" si="81"/>
        <v/>
      </c>
      <c r="F366" t="str">
        <f>IF(C366&lt;&gt;"",Data!$M917,"")</f>
        <v/>
      </c>
      <c r="K366">
        <f>IF(Dashboard!$R$4="All",Data!G917,IF(Data!K917=Dashboard!$R$4,Data!G917,NA()))</f>
        <v>78808.913603364199</v>
      </c>
      <c r="L366">
        <f t="shared" si="82"/>
        <v>78808.913603364199</v>
      </c>
      <c r="M366" t="str">
        <f t="shared" si="83"/>
        <v/>
      </c>
      <c r="N366" t="str">
        <f t="shared" si="84"/>
        <v/>
      </c>
      <c r="O366">
        <f>IF(L366&lt;&gt;"",Data!$M917,"")</f>
        <v>10</v>
      </c>
      <c r="T366">
        <f>IF(OR(Dashboard!$P$4="All",Dashboard!$R$4="All"),NA(),IF(OR(Data!K917&lt;&gt;Dashboard!$P$4,Data!K917&lt;&gt;Dashboard!$R$4),Data!G917,NA()))</f>
        <v>78808.913603364199</v>
      </c>
      <c r="U366"/>
      <c r="AI366" s="13" t="s">
        <v>2864</v>
      </c>
      <c r="AJ366" s="8">
        <v>70000</v>
      </c>
      <c r="AK366" s="8">
        <v>1</v>
      </c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Q366" s="13" t="s">
        <v>2864</v>
      </c>
      <c r="BR366" s="8"/>
      <c r="BS366" s="8"/>
      <c r="BT366" s="8"/>
      <c r="BU366" s="8">
        <v>70000</v>
      </c>
      <c r="BV366" s="8"/>
    </row>
    <row r="367" spans="2:74">
      <c r="B367" t="e">
        <f>IF(Dashboard!$P$4="All",Data!G918,IF(Data!K918=Dashboard!$P$4,Data!G918,NA()))</f>
        <v>#N/A</v>
      </c>
      <c r="C367" t="str">
        <f t="shared" si="79"/>
        <v/>
      </c>
      <c r="D367" t="str">
        <f t="shared" si="80"/>
        <v/>
      </c>
      <c r="E367" t="str">
        <f t="shared" si="81"/>
        <v/>
      </c>
      <c r="F367" t="str">
        <f>IF(C367&lt;&gt;"",Data!$M918,"")</f>
        <v/>
      </c>
      <c r="K367" t="e">
        <f>IF(Dashboard!$R$4="All",Data!G918,IF(Data!K918=Dashboard!$R$4,Data!G918,NA()))</f>
        <v>#N/A</v>
      </c>
      <c r="L367" t="str">
        <f t="shared" si="82"/>
        <v/>
      </c>
      <c r="M367" t="str">
        <f t="shared" si="83"/>
        <v/>
      </c>
      <c r="N367" t="str">
        <f t="shared" si="84"/>
        <v/>
      </c>
      <c r="O367" t="str">
        <f>IF(L367&lt;&gt;"",Data!$M918,"")</f>
        <v/>
      </c>
      <c r="T367">
        <f>IF(OR(Dashboard!$P$4="All",Dashboard!$R$4="All"),NA(),IF(OR(Data!K918&lt;&gt;Dashboard!$P$4,Data!K918&lt;&gt;Dashboard!$R$4),Data!G918,NA()))</f>
        <v>42000</v>
      </c>
      <c r="U367"/>
      <c r="AI367" s="13" t="s">
        <v>2865</v>
      </c>
      <c r="AJ367" s="8">
        <v>60000</v>
      </c>
      <c r="AK367" s="8">
        <v>1</v>
      </c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Q367" s="13" t="s">
        <v>2865</v>
      </c>
      <c r="BR367" s="8"/>
      <c r="BS367" s="8">
        <v>60000</v>
      </c>
      <c r="BT367" s="8"/>
      <c r="BU367" s="8"/>
      <c r="BV367" s="8"/>
    </row>
    <row r="368" spans="2:74">
      <c r="B368" t="e">
        <f>IF(Dashboard!$P$4="All",Data!G919,IF(Data!K919=Dashboard!$P$4,Data!G919,NA()))</f>
        <v>#N/A</v>
      </c>
      <c r="C368" t="str">
        <f t="shared" si="79"/>
        <v/>
      </c>
      <c r="D368" t="str">
        <f t="shared" si="80"/>
        <v/>
      </c>
      <c r="E368" t="str">
        <f t="shared" si="81"/>
        <v/>
      </c>
      <c r="F368" t="str">
        <f>IF(C368&lt;&gt;"",Data!$M919,"")</f>
        <v/>
      </c>
      <c r="K368" t="e">
        <f>IF(Dashboard!$R$4="All",Data!G919,IF(Data!K919=Dashboard!$R$4,Data!G919,NA()))</f>
        <v>#N/A</v>
      </c>
      <c r="L368" t="str">
        <f t="shared" si="82"/>
        <v/>
      </c>
      <c r="M368" t="str">
        <f t="shared" si="83"/>
        <v/>
      </c>
      <c r="N368" t="str">
        <f t="shared" si="84"/>
        <v/>
      </c>
      <c r="O368" t="str">
        <f>IF(L368&lt;&gt;"",Data!$M919,"")</f>
        <v/>
      </c>
      <c r="T368">
        <f>IF(OR(Dashboard!$P$4="All",Dashboard!$R$4="All"),NA(),IF(OR(Data!K919&lt;&gt;Dashboard!$P$4,Data!K919&lt;&gt;Dashboard!$R$4),Data!G919,NA()))</f>
        <v>9490.1984044603923</v>
      </c>
      <c r="U368"/>
      <c r="AI368" s="13" t="s">
        <v>2866</v>
      </c>
      <c r="AJ368" s="8"/>
      <c r="AK368" s="8"/>
      <c r="AL368" s="8">
        <v>87456</v>
      </c>
      <c r="AM368" s="8">
        <v>1</v>
      </c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Q368" s="13" t="s">
        <v>2866</v>
      </c>
      <c r="BR368" s="8"/>
      <c r="BS368" s="8">
        <v>87456</v>
      </c>
      <c r="BT368" s="8"/>
      <c r="BU368" s="8"/>
      <c r="BV368" s="8"/>
    </row>
    <row r="369" spans="2:74">
      <c r="B369" t="e">
        <f>IF(Dashboard!$P$4="All",Data!G920,IF(Data!K920=Dashboard!$P$4,Data!G920,NA()))</f>
        <v>#N/A</v>
      </c>
      <c r="C369" t="str">
        <f t="shared" si="79"/>
        <v/>
      </c>
      <c r="D369" t="str">
        <f t="shared" si="80"/>
        <v/>
      </c>
      <c r="E369" t="str">
        <f t="shared" si="81"/>
        <v/>
      </c>
      <c r="F369" t="str">
        <f>IF(C369&lt;&gt;"",Data!$M920,"")</f>
        <v/>
      </c>
      <c r="K369" t="e">
        <f>IF(Dashboard!$R$4="All",Data!G920,IF(Data!K920=Dashboard!$R$4,Data!G920,NA()))</f>
        <v>#N/A</v>
      </c>
      <c r="L369" t="str">
        <f t="shared" si="82"/>
        <v/>
      </c>
      <c r="M369" t="str">
        <f t="shared" si="83"/>
        <v/>
      </c>
      <c r="N369" t="str">
        <f t="shared" si="84"/>
        <v/>
      </c>
      <c r="O369" t="str">
        <f>IF(L369&lt;&gt;"",Data!$M920,"")</f>
        <v/>
      </c>
      <c r="T369">
        <f>IF(OR(Dashboard!$P$4="All",Dashboard!$R$4="All"),NA(),IF(OR(Data!K920&lt;&gt;Dashboard!$P$4,Data!K920&lt;&gt;Dashboard!$R$4),Data!G920,NA()))</f>
        <v>60000</v>
      </c>
      <c r="U369"/>
      <c r="AI369" s="13" t="s">
        <v>2878</v>
      </c>
      <c r="AJ369" s="8">
        <v>43000</v>
      </c>
      <c r="AK369" s="8">
        <v>1</v>
      </c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Q369" s="13" t="s">
        <v>2878</v>
      </c>
      <c r="BR369" s="8"/>
      <c r="BS369" s="8"/>
      <c r="BT369" s="8">
        <v>43000</v>
      </c>
      <c r="BU369" s="8"/>
      <c r="BV369" s="8"/>
    </row>
    <row r="370" spans="2:74">
      <c r="B370" t="e">
        <f>IF(Dashboard!$P$4="All",Data!G921,IF(Data!K921=Dashboard!$P$4,Data!G921,NA()))</f>
        <v>#N/A</v>
      </c>
      <c r="C370" t="str">
        <f t="shared" si="79"/>
        <v/>
      </c>
      <c r="D370" t="str">
        <f t="shared" si="80"/>
        <v/>
      </c>
      <c r="E370" t="str">
        <f t="shared" si="81"/>
        <v/>
      </c>
      <c r="F370" t="str">
        <f>IF(C370&lt;&gt;"",Data!$M921,"")</f>
        <v/>
      </c>
      <c r="K370" t="e">
        <f>IF(Dashboard!$R$4="All",Data!G921,IF(Data!K921=Dashboard!$R$4,Data!G921,NA()))</f>
        <v>#N/A</v>
      </c>
      <c r="L370" t="str">
        <f t="shared" si="82"/>
        <v/>
      </c>
      <c r="M370" t="str">
        <f t="shared" si="83"/>
        <v/>
      </c>
      <c r="N370" t="str">
        <f t="shared" si="84"/>
        <v/>
      </c>
      <c r="O370" t="str">
        <f>IF(L370&lt;&gt;"",Data!$M921,"")</f>
        <v/>
      </c>
      <c r="T370">
        <f>IF(OR(Dashboard!$P$4="All",Dashboard!$R$4="All"),NA(),IF(OR(Data!K921&lt;&gt;Dashboard!$P$4,Data!K921&lt;&gt;Dashboard!$R$4),Data!G921,NA()))</f>
        <v>17807.916687442568</v>
      </c>
      <c r="U370"/>
      <c r="AI370" s="13" t="s">
        <v>2895</v>
      </c>
      <c r="AJ370" s="8">
        <v>75010</v>
      </c>
      <c r="AK370" s="8">
        <v>1</v>
      </c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Q370" s="13" t="s">
        <v>2895</v>
      </c>
      <c r="BR370" s="8"/>
      <c r="BS370" s="8">
        <v>75010</v>
      </c>
      <c r="BT370" s="8"/>
      <c r="BU370" s="8"/>
      <c r="BV370" s="8"/>
    </row>
    <row r="371" spans="2:74">
      <c r="B371" t="e">
        <f>IF(Dashboard!$P$4="All",Data!G922,IF(Data!K922=Dashboard!$P$4,Data!G922,NA()))</f>
        <v>#N/A</v>
      </c>
      <c r="C371" t="str">
        <f t="shared" si="79"/>
        <v/>
      </c>
      <c r="D371" t="str">
        <f t="shared" si="80"/>
        <v/>
      </c>
      <c r="E371" t="str">
        <f t="shared" si="81"/>
        <v/>
      </c>
      <c r="F371" t="str">
        <f>IF(C371&lt;&gt;"",Data!$M922,"")</f>
        <v/>
      </c>
      <c r="K371" t="e">
        <f>IF(Dashboard!$R$4="All",Data!G922,IF(Data!K922=Dashboard!$R$4,Data!G922,NA()))</f>
        <v>#N/A</v>
      </c>
      <c r="L371" t="str">
        <f t="shared" si="82"/>
        <v/>
      </c>
      <c r="M371" t="str">
        <f t="shared" si="83"/>
        <v/>
      </c>
      <c r="N371" t="str">
        <f t="shared" si="84"/>
        <v/>
      </c>
      <c r="O371" t="str">
        <f>IF(L371&lt;&gt;"",Data!$M922,"")</f>
        <v/>
      </c>
      <c r="T371">
        <f>IF(OR(Dashboard!$P$4="All",Dashboard!$R$4="All"),NA(),IF(OR(Data!K922&lt;&gt;Dashboard!$P$4,Data!K922&lt;&gt;Dashboard!$R$4),Data!G922,NA()))</f>
        <v>12465.541681209797</v>
      </c>
      <c r="U371"/>
      <c r="AI371" s="13" t="s">
        <v>2915</v>
      </c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>
        <v>150000</v>
      </c>
      <c r="AY371" s="8">
        <v>1</v>
      </c>
      <c r="AZ371" s="8"/>
      <c r="BA371" s="8"/>
      <c r="BB371" s="8"/>
      <c r="BC371" s="8"/>
      <c r="BQ371" s="13" t="s">
        <v>2915</v>
      </c>
      <c r="BR371" s="8"/>
      <c r="BS371" s="8"/>
      <c r="BT371" s="8">
        <v>150000</v>
      </c>
      <c r="BU371" s="8"/>
      <c r="BV371" s="8"/>
    </row>
    <row r="372" spans="2:74">
      <c r="B372" t="e">
        <f>IF(Dashboard!$P$4="All",Data!G923,IF(Data!K923=Dashboard!$P$4,Data!G923,NA()))</f>
        <v>#N/A</v>
      </c>
      <c r="C372" t="str">
        <f t="shared" si="79"/>
        <v/>
      </c>
      <c r="D372" t="str">
        <f t="shared" si="80"/>
        <v/>
      </c>
      <c r="E372" t="str">
        <f t="shared" si="81"/>
        <v/>
      </c>
      <c r="F372" t="str">
        <f>IF(C372&lt;&gt;"",Data!$M923,"")</f>
        <v/>
      </c>
      <c r="K372" t="e">
        <f>IF(Dashboard!$R$4="All",Data!G923,IF(Data!K923=Dashboard!$R$4,Data!G923,NA()))</f>
        <v>#N/A</v>
      </c>
      <c r="L372" t="str">
        <f t="shared" si="82"/>
        <v/>
      </c>
      <c r="M372" t="str">
        <f t="shared" si="83"/>
        <v/>
      </c>
      <c r="N372" t="str">
        <f t="shared" si="84"/>
        <v/>
      </c>
      <c r="O372" t="str">
        <f>IF(L372&lt;&gt;"",Data!$M923,"")</f>
        <v/>
      </c>
      <c r="T372">
        <f>IF(OR(Dashboard!$P$4="All",Dashboard!$R$4="All"),NA(),IF(OR(Data!K923&lt;&gt;Dashboard!$P$4,Data!K923&lt;&gt;Dashboard!$R$4),Data!G923,NA()))</f>
        <v>20571</v>
      </c>
      <c r="U372"/>
      <c r="AI372" s="13" t="s">
        <v>2918</v>
      </c>
      <c r="AJ372" s="8">
        <v>105000</v>
      </c>
      <c r="AK372" s="8">
        <v>1</v>
      </c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Q372" s="13" t="s">
        <v>2918</v>
      </c>
      <c r="BR372" s="8"/>
      <c r="BS372" s="8"/>
      <c r="BT372" s="8">
        <v>105000</v>
      </c>
      <c r="BU372" s="8"/>
      <c r="BV372" s="8"/>
    </row>
    <row r="373" spans="2:74">
      <c r="B373" t="e">
        <f>IF(Dashboard!$P$4="All",Data!G924,IF(Data!K924=Dashboard!$P$4,Data!G924,NA()))</f>
        <v>#N/A</v>
      </c>
      <c r="C373" t="str">
        <f t="shared" si="79"/>
        <v/>
      </c>
      <c r="D373" t="str">
        <f t="shared" si="80"/>
        <v/>
      </c>
      <c r="E373" t="str">
        <f t="shared" si="81"/>
        <v/>
      </c>
      <c r="F373" t="str">
        <f>IF(C373&lt;&gt;"",Data!$M924,"")</f>
        <v/>
      </c>
      <c r="K373" t="e">
        <f>IF(Dashboard!$R$4="All",Data!G924,IF(Data!K924=Dashboard!$R$4,Data!G924,NA()))</f>
        <v>#N/A</v>
      </c>
      <c r="L373" t="str">
        <f t="shared" si="82"/>
        <v/>
      </c>
      <c r="M373" t="str">
        <f t="shared" si="83"/>
        <v/>
      </c>
      <c r="N373" t="str">
        <f t="shared" si="84"/>
        <v/>
      </c>
      <c r="O373" t="str">
        <f>IF(L373&lt;&gt;"",Data!$M924,"")</f>
        <v/>
      </c>
      <c r="T373">
        <f>IF(OR(Dashboard!$P$4="All",Dashboard!$R$4="All"),NA(),IF(OR(Data!K924&lt;&gt;Dashboard!$P$4,Data!K924&lt;&gt;Dashboard!$R$4),Data!G924,NA()))</f>
        <v>3480</v>
      </c>
      <c r="U373"/>
      <c r="AI373" s="13" t="s">
        <v>2932</v>
      </c>
      <c r="AJ373" s="8"/>
      <c r="AK373" s="8"/>
      <c r="AL373" s="8">
        <v>70000</v>
      </c>
      <c r="AM373" s="8">
        <v>1</v>
      </c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Q373" s="13" t="s">
        <v>2932</v>
      </c>
      <c r="BR373" s="8"/>
      <c r="BS373" s="8"/>
      <c r="BT373" s="8">
        <v>70000</v>
      </c>
      <c r="BU373" s="8"/>
      <c r="BV373" s="8"/>
    </row>
    <row r="374" spans="2:74">
      <c r="B374" t="e">
        <f>IF(Dashboard!$P$4="All",Data!G925,IF(Data!K925=Dashboard!$P$4,Data!G925,NA()))</f>
        <v>#N/A</v>
      </c>
      <c r="C374" t="str">
        <f t="shared" si="79"/>
        <v/>
      </c>
      <c r="D374" t="str">
        <f t="shared" si="80"/>
        <v/>
      </c>
      <c r="E374" t="str">
        <f t="shared" si="81"/>
        <v/>
      </c>
      <c r="F374" t="str">
        <f>IF(C374&lt;&gt;"",Data!$M925,"")</f>
        <v/>
      </c>
      <c r="K374" t="e">
        <f>IF(Dashboard!$R$4="All",Data!G925,IF(Data!K925=Dashboard!$R$4,Data!G925,NA()))</f>
        <v>#N/A</v>
      </c>
      <c r="L374" t="str">
        <f t="shared" si="82"/>
        <v/>
      </c>
      <c r="M374" t="str">
        <f t="shared" si="83"/>
        <v/>
      </c>
      <c r="N374" t="str">
        <f t="shared" si="84"/>
        <v/>
      </c>
      <c r="O374" t="str">
        <f>IF(L374&lt;&gt;"",Data!$M925,"")</f>
        <v/>
      </c>
      <c r="T374">
        <f>IF(OR(Dashboard!$P$4="All",Dashboard!$R$4="All"),NA(),IF(OR(Data!K925&lt;&gt;Dashboard!$P$4,Data!K925&lt;&gt;Dashboard!$R$4),Data!G925,NA()))</f>
        <v>18060</v>
      </c>
      <c r="U374"/>
      <c r="AI374" s="13" t="s">
        <v>2939</v>
      </c>
      <c r="AJ374" s="8"/>
      <c r="AK374" s="8"/>
      <c r="AL374" s="8"/>
      <c r="AM374" s="8"/>
      <c r="AN374" s="8"/>
      <c r="AO374" s="8"/>
      <c r="AP374" s="8"/>
      <c r="AQ374" s="8"/>
      <c r="AR374" s="8">
        <v>57000</v>
      </c>
      <c r="AS374" s="8">
        <v>1</v>
      </c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Q374" s="13" t="s">
        <v>2939</v>
      </c>
      <c r="BR374" s="8"/>
      <c r="BS374" s="8">
        <v>57000</v>
      </c>
      <c r="BT374" s="8"/>
      <c r="BU374" s="8"/>
      <c r="BV374" s="8"/>
    </row>
    <row r="375" spans="2:74">
      <c r="B375" t="e">
        <f>IF(Dashboard!$P$4="All",Data!G926,IF(Data!K926=Dashboard!$P$4,Data!G926,NA()))</f>
        <v>#N/A</v>
      </c>
      <c r="C375" t="str">
        <f t="shared" si="79"/>
        <v/>
      </c>
      <c r="D375" t="str">
        <f t="shared" si="80"/>
        <v/>
      </c>
      <c r="E375" t="str">
        <f t="shared" si="81"/>
        <v/>
      </c>
      <c r="F375" t="str">
        <f>IF(C375&lt;&gt;"",Data!$M926,"")</f>
        <v/>
      </c>
      <c r="K375" t="e">
        <f>IF(Dashboard!$R$4="All",Data!G926,IF(Data!K926=Dashboard!$R$4,Data!G926,NA()))</f>
        <v>#N/A</v>
      </c>
      <c r="L375" t="str">
        <f t="shared" si="82"/>
        <v/>
      </c>
      <c r="M375" t="str">
        <f t="shared" si="83"/>
        <v/>
      </c>
      <c r="N375" t="str">
        <f t="shared" si="84"/>
        <v/>
      </c>
      <c r="O375" t="str">
        <f>IF(L375&lt;&gt;"",Data!$M926,"")</f>
        <v/>
      </c>
      <c r="T375">
        <f>IF(OR(Dashboard!$P$4="All",Dashboard!$R$4="All"),NA(),IF(OR(Data!K926&lt;&gt;Dashboard!$P$4,Data!K926&lt;&gt;Dashboard!$R$4),Data!G926,NA()))</f>
        <v>30000</v>
      </c>
      <c r="U375"/>
      <c r="AI375" s="13" t="s">
        <v>2940</v>
      </c>
      <c r="AJ375" s="8"/>
      <c r="AK375" s="8"/>
      <c r="AL375" s="8">
        <v>135000</v>
      </c>
      <c r="AM375" s="8">
        <v>1</v>
      </c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Q375" s="13" t="s">
        <v>2940</v>
      </c>
      <c r="BR375" s="8"/>
      <c r="BS375" s="8"/>
      <c r="BT375" s="8"/>
      <c r="BU375" s="8">
        <v>135000</v>
      </c>
      <c r="BV375" s="8"/>
    </row>
    <row r="376" spans="2:74">
      <c r="B376" t="e">
        <f>IF(Dashboard!$P$4="All",Data!G927,IF(Data!K927=Dashboard!$P$4,Data!G927,NA()))</f>
        <v>#N/A</v>
      </c>
      <c r="C376" t="str">
        <f t="shared" si="79"/>
        <v/>
      </c>
      <c r="D376" t="str">
        <f t="shared" si="80"/>
        <v/>
      </c>
      <c r="E376" t="str">
        <f t="shared" si="81"/>
        <v/>
      </c>
      <c r="F376" t="str">
        <f>IF(C376&lt;&gt;"",Data!$M927,"")</f>
        <v/>
      </c>
      <c r="K376" t="e">
        <f>IF(Dashboard!$R$4="All",Data!G927,IF(Data!K927=Dashboard!$R$4,Data!G927,NA()))</f>
        <v>#N/A</v>
      </c>
      <c r="L376" t="str">
        <f t="shared" si="82"/>
        <v/>
      </c>
      <c r="M376" t="str">
        <f t="shared" si="83"/>
        <v/>
      </c>
      <c r="N376" t="str">
        <f t="shared" si="84"/>
        <v/>
      </c>
      <c r="O376" t="str">
        <f>IF(L376&lt;&gt;"",Data!$M927,"")</f>
        <v/>
      </c>
      <c r="T376">
        <f>IF(OR(Dashboard!$P$4="All",Dashboard!$R$4="All"),NA(),IF(OR(Data!K927&lt;&gt;Dashboard!$P$4,Data!K927&lt;&gt;Dashboard!$R$4),Data!G927,NA()))</f>
        <v>24000</v>
      </c>
      <c r="U376"/>
      <c r="AI376" s="13" t="s">
        <v>2955</v>
      </c>
      <c r="AJ376" s="8"/>
      <c r="AK376" s="8"/>
      <c r="AL376" s="8">
        <v>60000</v>
      </c>
      <c r="AM376" s="8">
        <v>1</v>
      </c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Q376" s="13" t="s">
        <v>2955</v>
      </c>
      <c r="BR376" s="8"/>
      <c r="BS376" s="8">
        <v>60000</v>
      </c>
      <c r="BT376" s="8"/>
      <c r="BU376" s="8"/>
      <c r="BV376" s="8"/>
    </row>
    <row r="377" spans="2:74">
      <c r="B377" t="e">
        <f>IF(Dashboard!$P$4="All",Data!G928,IF(Data!K928=Dashboard!$P$4,Data!G928,NA()))</f>
        <v>#N/A</v>
      </c>
      <c r="C377" t="str">
        <f t="shared" si="79"/>
        <v/>
      </c>
      <c r="D377" t="str">
        <f t="shared" si="80"/>
        <v/>
      </c>
      <c r="E377" t="str">
        <f t="shared" si="81"/>
        <v/>
      </c>
      <c r="F377" t="str">
        <f>IF(C377&lt;&gt;"",Data!$M928,"")</f>
        <v/>
      </c>
      <c r="K377" t="e">
        <f>IF(Dashboard!$R$4="All",Data!G928,IF(Data!K928=Dashboard!$R$4,Data!G928,NA()))</f>
        <v>#N/A</v>
      </c>
      <c r="L377" t="str">
        <f t="shared" si="82"/>
        <v/>
      </c>
      <c r="M377" t="str">
        <f t="shared" si="83"/>
        <v/>
      </c>
      <c r="N377" t="str">
        <f t="shared" si="84"/>
        <v/>
      </c>
      <c r="O377" t="str">
        <f>IF(L377&lt;&gt;"",Data!$M928,"")</f>
        <v/>
      </c>
      <c r="T377">
        <f>IF(OR(Dashboard!$P$4="All",Dashboard!$R$4="All"),NA(),IF(OR(Data!K928&lt;&gt;Dashboard!$P$4,Data!K928&lt;&gt;Dashboard!$R$4),Data!G928,NA()))</f>
        <v>80289.244544269619</v>
      </c>
      <c r="U377"/>
      <c r="AI377" s="13" t="s">
        <v>2966</v>
      </c>
      <c r="AJ377" s="8"/>
      <c r="AK377" s="8"/>
      <c r="AL377" s="8"/>
      <c r="AM377" s="8"/>
      <c r="AN377" s="8"/>
      <c r="AO377" s="8"/>
      <c r="AP377" s="8">
        <v>260000</v>
      </c>
      <c r="AQ377" s="8">
        <v>1</v>
      </c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Q377" s="13" t="s">
        <v>2966</v>
      </c>
      <c r="BR377" s="8"/>
      <c r="BS377" s="8">
        <v>260000</v>
      </c>
      <c r="BT377" s="8"/>
      <c r="BU377" s="8"/>
      <c r="BV377" s="8"/>
    </row>
    <row r="378" spans="2:74">
      <c r="B378" t="e">
        <f>IF(Dashboard!$P$4="All",Data!G929,IF(Data!K929=Dashboard!$P$4,Data!G929,NA()))</f>
        <v>#N/A</v>
      </c>
      <c r="C378" t="str">
        <f t="shared" si="79"/>
        <v/>
      </c>
      <c r="D378" t="str">
        <f t="shared" si="80"/>
        <v/>
      </c>
      <c r="E378" t="str">
        <f t="shared" si="81"/>
        <v/>
      </c>
      <c r="F378" t="str">
        <f>IF(C378&lt;&gt;"",Data!$M929,"")</f>
        <v/>
      </c>
      <c r="K378" t="e">
        <f>IF(Dashboard!$R$4="All",Data!G929,IF(Data!K929=Dashboard!$R$4,Data!G929,NA()))</f>
        <v>#N/A</v>
      </c>
      <c r="L378" t="str">
        <f t="shared" si="82"/>
        <v/>
      </c>
      <c r="M378" t="str">
        <f t="shared" si="83"/>
        <v/>
      </c>
      <c r="N378" t="str">
        <f t="shared" si="84"/>
        <v/>
      </c>
      <c r="O378" t="str">
        <f>IF(L378&lt;&gt;"",Data!$M929,"")</f>
        <v/>
      </c>
      <c r="T378">
        <f>IF(OR(Dashboard!$P$4="All",Dashboard!$R$4="All"),NA(),IF(OR(Data!K929&lt;&gt;Dashboard!$P$4,Data!K929&lt;&gt;Dashboard!$R$4),Data!G929,NA()))</f>
        <v>70000</v>
      </c>
      <c r="U378"/>
      <c r="AI378" s="13" t="s">
        <v>2975</v>
      </c>
      <c r="AJ378" s="8"/>
      <c r="AK378" s="8"/>
      <c r="AL378" s="8"/>
      <c r="AM378" s="8"/>
      <c r="AN378" s="8"/>
      <c r="AO378" s="8"/>
      <c r="AP378" s="8">
        <v>125000</v>
      </c>
      <c r="AQ378" s="8">
        <v>1</v>
      </c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Q378" s="13" t="s">
        <v>2975</v>
      </c>
      <c r="BR378" s="8"/>
      <c r="BS378" s="8"/>
      <c r="BT378" s="8">
        <v>125000</v>
      </c>
      <c r="BU378" s="8"/>
      <c r="BV378" s="8"/>
    </row>
    <row r="379" spans="2:74">
      <c r="B379" t="e">
        <f>IF(Dashboard!$P$4="All",Data!G930,IF(Data!K930=Dashboard!$P$4,Data!G930,NA()))</f>
        <v>#N/A</v>
      </c>
      <c r="C379" t="str">
        <f t="shared" si="79"/>
        <v/>
      </c>
      <c r="D379" t="str">
        <f t="shared" si="80"/>
        <v/>
      </c>
      <c r="E379" t="str">
        <f t="shared" si="81"/>
        <v/>
      </c>
      <c r="F379" t="str">
        <f>IF(C379&lt;&gt;"",Data!$M930,"")</f>
        <v/>
      </c>
      <c r="K379" t="e">
        <f>IF(Dashboard!$R$4="All",Data!G930,IF(Data!K930=Dashboard!$R$4,Data!G930,NA()))</f>
        <v>#N/A</v>
      </c>
      <c r="L379" t="str">
        <f t="shared" si="82"/>
        <v/>
      </c>
      <c r="M379" t="str">
        <f t="shared" si="83"/>
        <v/>
      </c>
      <c r="N379" t="str">
        <f t="shared" si="84"/>
        <v/>
      </c>
      <c r="O379" t="str">
        <f>IF(L379&lt;&gt;"",Data!$M930,"")</f>
        <v/>
      </c>
      <c r="T379">
        <f>IF(OR(Dashboard!$P$4="All",Dashboard!$R$4="All"),NA(),IF(OR(Data!K930&lt;&gt;Dashboard!$P$4,Data!K930&lt;&gt;Dashboard!$R$4),Data!G930,NA()))</f>
        <v>8547.8000099724322</v>
      </c>
      <c r="U379"/>
      <c r="AI379" s="13" t="s">
        <v>2990</v>
      </c>
      <c r="AJ379" s="8"/>
      <c r="AK379" s="8"/>
      <c r="AL379" s="8"/>
      <c r="AM379" s="8"/>
      <c r="AN379" s="8">
        <v>45000</v>
      </c>
      <c r="AO379" s="8">
        <v>1</v>
      </c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Q379" s="13" t="s">
        <v>2990</v>
      </c>
      <c r="BR379" s="8"/>
      <c r="BS379" s="8"/>
      <c r="BT379" s="8"/>
      <c r="BU379" s="8">
        <v>45000</v>
      </c>
      <c r="BV379" s="8"/>
    </row>
    <row r="380" spans="2:74">
      <c r="B380" t="e">
        <f>IF(Dashboard!$P$4="All",Data!G931,IF(Data!K931=Dashboard!$P$4,Data!G931,NA()))</f>
        <v>#N/A</v>
      </c>
      <c r="C380" t="str">
        <f t="shared" si="79"/>
        <v/>
      </c>
      <c r="D380" t="str">
        <f t="shared" si="80"/>
        <v/>
      </c>
      <c r="E380" t="str">
        <f t="shared" si="81"/>
        <v/>
      </c>
      <c r="F380" t="str">
        <f>IF(C380&lt;&gt;"",Data!$M931,"")</f>
        <v/>
      </c>
      <c r="K380" t="e">
        <f>IF(Dashboard!$R$4="All",Data!G931,IF(Data!K931=Dashboard!$R$4,Data!G931,NA()))</f>
        <v>#N/A</v>
      </c>
      <c r="L380" t="str">
        <f t="shared" si="82"/>
        <v/>
      </c>
      <c r="M380" t="str">
        <f t="shared" si="83"/>
        <v/>
      </c>
      <c r="N380" t="str">
        <f t="shared" si="84"/>
        <v/>
      </c>
      <c r="O380" t="str">
        <f>IF(L380&lt;&gt;"",Data!$M931,"")</f>
        <v/>
      </c>
      <c r="T380">
        <f>IF(OR(Dashboard!$P$4="All",Dashboard!$R$4="All"),NA(),IF(OR(Data!K931&lt;&gt;Dashboard!$P$4,Data!K931&lt;&gt;Dashboard!$R$4),Data!G931,NA()))</f>
        <v>10684.750012465542</v>
      </c>
      <c r="U380"/>
      <c r="AI380" s="13" t="s">
        <v>3008</v>
      </c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>
        <v>65000</v>
      </c>
      <c r="AY380" s="8">
        <v>1</v>
      </c>
      <c r="AZ380" s="8"/>
      <c r="BA380" s="8"/>
      <c r="BB380" s="8"/>
      <c r="BC380" s="8"/>
      <c r="BQ380" s="13" t="s">
        <v>3008</v>
      </c>
      <c r="BR380" s="8"/>
      <c r="BS380" s="8"/>
      <c r="BT380" s="8">
        <v>65000</v>
      </c>
      <c r="BU380" s="8"/>
      <c r="BV380" s="8"/>
    </row>
    <row r="381" spans="2:74">
      <c r="B381" t="e">
        <f>IF(Dashboard!$P$4="All",Data!G932,IF(Data!K932=Dashboard!$P$4,Data!G932,NA()))</f>
        <v>#N/A</v>
      </c>
      <c r="C381" t="str">
        <f t="shared" si="79"/>
        <v/>
      </c>
      <c r="D381" t="str">
        <f t="shared" si="80"/>
        <v/>
      </c>
      <c r="E381" t="str">
        <f t="shared" si="81"/>
        <v/>
      </c>
      <c r="F381" t="str">
        <f>IF(C381&lt;&gt;"",Data!$M932,"")</f>
        <v/>
      </c>
      <c r="K381" t="e">
        <f>IF(Dashboard!$R$4="All",Data!G932,IF(Data!K932=Dashboard!$R$4,Data!G932,NA()))</f>
        <v>#N/A</v>
      </c>
      <c r="L381" t="str">
        <f t="shared" si="82"/>
        <v/>
      </c>
      <c r="M381" t="str">
        <f t="shared" si="83"/>
        <v/>
      </c>
      <c r="N381" t="str">
        <f t="shared" si="84"/>
        <v/>
      </c>
      <c r="O381" t="str">
        <f>IF(L381&lt;&gt;"",Data!$M932,"")</f>
        <v/>
      </c>
      <c r="T381">
        <f>IF(OR(Dashboard!$P$4="All",Dashboard!$R$4="All"),NA(),IF(OR(Data!K932&lt;&gt;Dashboard!$P$4,Data!K932&lt;&gt;Dashboard!$R$4),Data!G932,NA()))</f>
        <v>10684.750012465542</v>
      </c>
      <c r="U381"/>
      <c r="AI381" s="13" t="s">
        <v>3119</v>
      </c>
      <c r="AJ381" s="8"/>
      <c r="AK381" s="8"/>
      <c r="AL381" s="8">
        <v>90000</v>
      </c>
      <c r="AM381" s="8">
        <v>1</v>
      </c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Q381" s="13" t="s">
        <v>3119</v>
      </c>
      <c r="BR381" s="8"/>
      <c r="BS381" s="8"/>
      <c r="BT381" s="8">
        <v>90000</v>
      </c>
      <c r="BU381" s="8"/>
      <c r="BV381" s="8"/>
    </row>
    <row r="382" spans="2:74">
      <c r="B382" t="e">
        <f>IF(Dashboard!$P$4="All",Data!G933,IF(Data!K933=Dashboard!$P$4,Data!G933,NA()))</f>
        <v>#N/A</v>
      </c>
      <c r="C382" t="str">
        <f t="shared" si="79"/>
        <v/>
      </c>
      <c r="D382" t="str">
        <f t="shared" si="80"/>
        <v/>
      </c>
      <c r="E382" t="str">
        <f t="shared" si="81"/>
        <v/>
      </c>
      <c r="F382" t="str">
        <f>IF(C382&lt;&gt;"",Data!$M933,"")</f>
        <v/>
      </c>
      <c r="K382" t="e">
        <f>IF(Dashboard!$R$4="All",Data!G933,IF(Data!K933=Dashboard!$R$4,Data!G933,NA()))</f>
        <v>#N/A</v>
      </c>
      <c r="L382" t="str">
        <f t="shared" si="82"/>
        <v/>
      </c>
      <c r="M382" t="str">
        <f t="shared" si="83"/>
        <v/>
      </c>
      <c r="N382" t="str">
        <f t="shared" si="84"/>
        <v/>
      </c>
      <c r="O382" t="str">
        <f>IF(L382&lt;&gt;"",Data!$M933,"")</f>
        <v/>
      </c>
      <c r="T382">
        <f>IF(OR(Dashboard!$P$4="All",Dashboard!$R$4="All"),NA(),IF(OR(Data!K933&lt;&gt;Dashboard!$P$4,Data!K933&lt;&gt;Dashboard!$R$4),Data!G933,NA()))</f>
        <v>20000</v>
      </c>
      <c r="U382"/>
      <c r="AI382" s="13" t="s">
        <v>3125</v>
      </c>
      <c r="AJ382" s="8">
        <v>60000</v>
      </c>
      <c r="AK382" s="8">
        <v>1</v>
      </c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Q382" s="13" t="s">
        <v>3125</v>
      </c>
      <c r="BR382" s="8"/>
      <c r="BS382" s="8">
        <v>60000</v>
      </c>
      <c r="BT382" s="8"/>
      <c r="BU382" s="8"/>
      <c r="BV382" s="8"/>
    </row>
    <row r="383" spans="2:74">
      <c r="B383" t="e">
        <f>IF(Dashboard!$P$4="All",Data!G934,IF(Data!K934=Dashboard!$P$4,Data!G934,NA()))</f>
        <v>#N/A</v>
      </c>
      <c r="C383" t="str">
        <f t="shared" si="79"/>
        <v/>
      </c>
      <c r="D383" t="str">
        <f t="shared" si="80"/>
        <v/>
      </c>
      <c r="E383" t="str">
        <f t="shared" si="81"/>
        <v/>
      </c>
      <c r="F383" t="str">
        <f>IF(C383&lt;&gt;"",Data!$M934,"")</f>
        <v/>
      </c>
      <c r="K383" t="e">
        <f>IF(Dashboard!$R$4="All",Data!G934,IF(Data!K934=Dashboard!$R$4,Data!G934,NA()))</f>
        <v>#N/A</v>
      </c>
      <c r="L383" t="str">
        <f t="shared" si="82"/>
        <v/>
      </c>
      <c r="M383" t="str">
        <f t="shared" si="83"/>
        <v/>
      </c>
      <c r="N383" t="str">
        <f t="shared" si="84"/>
        <v/>
      </c>
      <c r="O383" t="str">
        <f>IF(L383&lt;&gt;"",Data!$M934,"")</f>
        <v/>
      </c>
      <c r="T383">
        <f>IF(OR(Dashboard!$P$4="All",Dashboard!$R$4="All"),NA(),IF(OR(Data!K934&lt;&gt;Dashboard!$P$4,Data!K934&lt;&gt;Dashboard!$R$4),Data!G934,NA()))</f>
        <v>53356.776437647524</v>
      </c>
      <c r="U383"/>
      <c r="AI383" s="13" t="s">
        <v>3133</v>
      </c>
      <c r="AJ383" s="8">
        <v>35000</v>
      </c>
      <c r="AK383" s="8">
        <v>1</v>
      </c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Q383" s="13" t="s">
        <v>3133</v>
      </c>
      <c r="BR383" s="8"/>
      <c r="BS383" s="8"/>
      <c r="BT383" s="8"/>
      <c r="BU383" s="8">
        <v>35000</v>
      </c>
      <c r="BV383" s="8"/>
    </row>
    <row r="384" spans="2:74">
      <c r="B384" t="e">
        <f>IF(Dashboard!$P$4="All",Data!G935,IF(Data!K935=Dashboard!$P$4,Data!G935,NA()))</f>
        <v>#N/A</v>
      </c>
      <c r="C384" t="str">
        <f t="shared" si="79"/>
        <v/>
      </c>
      <c r="D384" t="str">
        <f t="shared" si="80"/>
        <v/>
      </c>
      <c r="E384" t="str">
        <f t="shared" si="81"/>
        <v/>
      </c>
      <c r="F384" t="str">
        <f>IF(C384&lt;&gt;"",Data!$M935,"")</f>
        <v/>
      </c>
      <c r="K384" t="e">
        <f>IF(Dashboard!$R$4="All",Data!G935,IF(Data!K935=Dashboard!$R$4,Data!G935,NA()))</f>
        <v>#N/A</v>
      </c>
      <c r="L384" t="str">
        <f t="shared" si="82"/>
        <v/>
      </c>
      <c r="M384" t="str">
        <f t="shared" si="83"/>
        <v/>
      </c>
      <c r="N384" t="str">
        <f t="shared" si="84"/>
        <v/>
      </c>
      <c r="O384" t="str">
        <f>IF(L384&lt;&gt;"",Data!$M935,"")</f>
        <v/>
      </c>
      <c r="T384">
        <f>IF(OR(Dashboard!$P$4="All",Dashboard!$R$4="All"),NA(),IF(OR(Data!K935&lt;&gt;Dashboard!$P$4,Data!K935&lt;&gt;Dashboard!$R$4),Data!G935,NA()))</f>
        <v>36000</v>
      </c>
      <c r="U384"/>
      <c r="AI384" s="13" t="s">
        <v>3140</v>
      </c>
      <c r="AJ384" s="8">
        <v>69000</v>
      </c>
      <c r="AK384" s="8">
        <v>1</v>
      </c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Q384" s="13" t="s">
        <v>3140</v>
      </c>
      <c r="BR384" s="8"/>
      <c r="BS384" s="8">
        <v>69000</v>
      </c>
      <c r="BT384" s="8"/>
      <c r="BU384" s="8"/>
      <c r="BV384" s="8"/>
    </row>
    <row r="385" spans="2:74">
      <c r="B385" t="e">
        <f>IF(Dashboard!$P$4="All",Data!G936,IF(Data!K936=Dashboard!$P$4,Data!G936,NA()))</f>
        <v>#N/A</v>
      </c>
      <c r="C385" t="str">
        <f t="shared" si="79"/>
        <v/>
      </c>
      <c r="D385" t="str">
        <f t="shared" si="80"/>
        <v/>
      </c>
      <c r="E385" t="str">
        <f t="shared" si="81"/>
        <v/>
      </c>
      <c r="F385" t="str">
        <f>IF(C385&lt;&gt;"",Data!$M936,"")</f>
        <v/>
      </c>
      <c r="K385" t="e">
        <f>IF(Dashboard!$R$4="All",Data!G936,IF(Data!K936=Dashboard!$R$4,Data!G936,NA()))</f>
        <v>#N/A</v>
      </c>
      <c r="L385" t="str">
        <f t="shared" si="82"/>
        <v/>
      </c>
      <c r="M385" t="str">
        <f t="shared" si="83"/>
        <v/>
      </c>
      <c r="N385" t="str">
        <f t="shared" si="84"/>
        <v/>
      </c>
      <c r="O385" t="str">
        <f>IF(L385&lt;&gt;"",Data!$M936,"")</f>
        <v/>
      </c>
      <c r="T385">
        <f>IF(OR(Dashboard!$P$4="All",Dashboard!$R$4="All"),NA(),IF(OR(Data!K936&lt;&gt;Dashboard!$P$4,Data!K936&lt;&gt;Dashboard!$R$4),Data!G936,NA()))</f>
        <v>57000</v>
      </c>
      <c r="U385"/>
      <c r="AI385" s="13" t="s">
        <v>3148</v>
      </c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>
        <v>75000</v>
      </c>
      <c r="AY385" s="8">
        <v>1</v>
      </c>
      <c r="AZ385" s="8"/>
      <c r="BA385" s="8"/>
      <c r="BB385" s="8"/>
      <c r="BC385" s="8"/>
      <c r="BQ385" s="13" t="s">
        <v>3148</v>
      </c>
      <c r="BR385" s="8"/>
      <c r="BS385" s="8">
        <v>75000</v>
      </c>
      <c r="BT385" s="8"/>
      <c r="BU385" s="8"/>
      <c r="BV385" s="8"/>
    </row>
    <row r="386" spans="2:74">
      <c r="B386" t="e">
        <f>IF(Dashboard!$P$4="All",Data!G937,IF(Data!K937=Dashboard!$P$4,Data!G937,NA()))</f>
        <v>#N/A</v>
      </c>
      <c r="C386" t="str">
        <f t="shared" si="79"/>
        <v/>
      </c>
      <c r="D386" t="str">
        <f t="shared" si="80"/>
        <v/>
      </c>
      <c r="E386" t="str">
        <f t="shared" si="81"/>
        <v/>
      </c>
      <c r="F386" t="str">
        <f>IF(C386&lt;&gt;"",Data!$M937,"")</f>
        <v/>
      </c>
      <c r="K386" t="e">
        <f>IF(Dashboard!$R$4="All",Data!G937,IF(Data!K937=Dashboard!$R$4,Data!G937,NA()))</f>
        <v>#N/A</v>
      </c>
      <c r="L386" t="str">
        <f t="shared" si="82"/>
        <v/>
      </c>
      <c r="M386" t="str">
        <f t="shared" si="83"/>
        <v/>
      </c>
      <c r="N386" t="str">
        <f t="shared" si="84"/>
        <v/>
      </c>
      <c r="O386" t="str">
        <f>IF(L386&lt;&gt;"",Data!$M937,"")</f>
        <v/>
      </c>
      <c r="T386">
        <f>IF(OR(Dashboard!$P$4="All",Dashboard!$R$4="All"),NA(),IF(OR(Data!K937&lt;&gt;Dashboard!$P$4,Data!K937&lt;&gt;Dashboard!$R$4),Data!G937,NA()))</f>
        <v>135000</v>
      </c>
      <c r="U386"/>
      <c r="AI386" s="13" t="s">
        <v>3149</v>
      </c>
      <c r="AJ386" s="8">
        <v>59000</v>
      </c>
      <c r="AK386" s="8">
        <v>1</v>
      </c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Q386" s="13" t="s">
        <v>3149</v>
      </c>
      <c r="BR386" s="8"/>
      <c r="BS386" s="8"/>
      <c r="BT386" s="8">
        <v>59000</v>
      </c>
      <c r="BU386" s="8"/>
      <c r="BV386" s="8"/>
    </row>
    <row r="387" spans="2:74">
      <c r="B387">
        <f>IF(Dashboard!$P$4="All",Data!G938,IF(Data!K938=Dashboard!$P$4,Data!G938,NA()))</f>
        <v>95279.957924370581</v>
      </c>
      <c r="C387">
        <f t="shared" si="79"/>
        <v>95279.957924370581</v>
      </c>
      <c r="D387">
        <f t="shared" si="80"/>
        <v>95279.957924370581</v>
      </c>
      <c r="E387" t="str">
        <f t="shared" si="81"/>
        <v/>
      </c>
      <c r="F387">
        <f>IF(C387&lt;&gt;"",Data!$M938,"")</f>
        <v>4</v>
      </c>
      <c r="K387" t="e">
        <f>IF(Dashboard!$R$4="All",Data!G938,IF(Data!K938=Dashboard!$R$4,Data!G938,NA()))</f>
        <v>#N/A</v>
      </c>
      <c r="L387" t="str">
        <f t="shared" si="82"/>
        <v/>
      </c>
      <c r="M387" t="str">
        <f t="shared" si="83"/>
        <v/>
      </c>
      <c r="N387" t="str">
        <f t="shared" si="84"/>
        <v/>
      </c>
      <c r="O387" t="str">
        <f>IF(L387&lt;&gt;"",Data!$M938,"")</f>
        <v/>
      </c>
      <c r="T387">
        <f>IF(OR(Dashboard!$P$4="All",Dashboard!$R$4="All"),NA(),IF(OR(Data!K938&lt;&gt;Dashboard!$P$4,Data!K938&lt;&gt;Dashboard!$R$4),Data!G938,NA()))</f>
        <v>95279.957924370581</v>
      </c>
      <c r="U387"/>
      <c r="AI387" s="13" t="s">
        <v>3163</v>
      </c>
      <c r="AJ387" s="8">
        <v>27840</v>
      </c>
      <c r="AK387" s="8">
        <v>1</v>
      </c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Q387" s="13" t="s">
        <v>3163</v>
      </c>
      <c r="BR387" s="8"/>
      <c r="BS387" s="8">
        <v>27840</v>
      </c>
      <c r="BT387" s="8"/>
      <c r="BU387" s="8"/>
      <c r="BV387" s="8"/>
    </row>
    <row r="388" spans="2:74">
      <c r="B388">
        <f>IF(Dashboard!$P$4="All",Data!G939,IF(Data!K939=Dashboard!$P$4,Data!G939,NA()))</f>
        <v>57167.974754622352</v>
      </c>
      <c r="C388">
        <f t="shared" ref="C388:C451" si="85">IF(ISNA(B388),"",B388)</f>
        <v>57167.974754622352</v>
      </c>
      <c r="D388" t="str">
        <f t="shared" ref="D388:D451" si="86">IF(C388&gt;=PERCENTILE($C$3:$C$1337,0.9),C388,"")</f>
        <v/>
      </c>
      <c r="E388" t="str">
        <f t="shared" ref="E388:E451" si="87">IF(C388&lt;=PERCENTILE($C$3:$C$1337,0.1),C388,"")</f>
        <v/>
      </c>
      <c r="F388">
        <f>IF(C388&lt;&gt;"",Data!$M939,"")</f>
        <v>10</v>
      </c>
      <c r="K388" t="e">
        <f>IF(Dashboard!$R$4="All",Data!G939,IF(Data!K939=Dashboard!$R$4,Data!G939,NA()))</f>
        <v>#N/A</v>
      </c>
      <c r="L388" t="str">
        <f t="shared" ref="L388:L451" si="88">IF(ISNA(K388),"",K388)</f>
        <v/>
      </c>
      <c r="M388" t="str">
        <f t="shared" ref="M388:M451" si="89">IF(L388&gt;=PERCENTILE($L$3:$L$1337,0.9),L388,"")</f>
        <v/>
      </c>
      <c r="N388" t="str">
        <f t="shared" ref="N388:N451" si="90">IF(L388&lt;=PERCENTILE($L$3:$L$1337,0.1),L388,"")</f>
        <v/>
      </c>
      <c r="O388" t="str">
        <f>IF(L388&lt;&gt;"",Data!$M939,"")</f>
        <v/>
      </c>
      <c r="T388">
        <f>IF(OR(Dashboard!$P$4="All",Dashboard!$R$4="All"),NA(),IF(OR(Data!K939&lt;&gt;Dashboard!$P$4,Data!K939&lt;&gt;Dashboard!$R$4),Data!G939,NA()))</f>
        <v>57167.974754622352</v>
      </c>
      <c r="U388"/>
      <c r="AI388" s="13" t="s">
        <v>3168</v>
      </c>
      <c r="AJ388" s="8">
        <v>75000</v>
      </c>
      <c r="AK388" s="8">
        <v>1</v>
      </c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Q388" s="13" t="s">
        <v>3168</v>
      </c>
      <c r="BR388" s="8"/>
      <c r="BS388" s="8"/>
      <c r="BT388" s="8">
        <v>75000</v>
      </c>
      <c r="BU388" s="8"/>
      <c r="BV388" s="8"/>
    </row>
    <row r="389" spans="2:74">
      <c r="B389" t="e">
        <f>IF(Dashboard!$P$4="All",Data!G940,IF(Data!K940=Dashboard!$P$4,Data!G940,NA()))</f>
        <v>#N/A</v>
      </c>
      <c r="C389" t="str">
        <f t="shared" si="85"/>
        <v/>
      </c>
      <c r="D389" t="str">
        <f t="shared" si="86"/>
        <v/>
      </c>
      <c r="E389" t="str">
        <f t="shared" si="87"/>
        <v/>
      </c>
      <c r="F389" t="str">
        <f>IF(C389&lt;&gt;"",Data!$M940,"")</f>
        <v/>
      </c>
      <c r="K389" t="e">
        <f>IF(Dashboard!$R$4="All",Data!G940,IF(Data!K940=Dashboard!$R$4,Data!G940,NA()))</f>
        <v>#N/A</v>
      </c>
      <c r="L389" t="str">
        <f t="shared" si="88"/>
        <v/>
      </c>
      <c r="M389" t="str">
        <f t="shared" si="89"/>
        <v/>
      </c>
      <c r="N389" t="str">
        <f t="shared" si="90"/>
        <v/>
      </c>
      <c r="O389" t="str">
        <f>IF(L389&lt;&gt;"",Data!$M940,"")</f>
        <v/>
      </c>
      <c r="T389">
        <f>IF(OR(Dashboard!$P$4="All",Dashboard!$R$4="All"),NA(),IF(OR(Data!K940&lt;&gt;Dashboard!$P$4,Data!K940&lt;&gt;Dashboard!$R$4),Data!G940,NA()))</f>
        <v>12326.656394453004</v>
      </c>
      <c r="U389"/>
      <c r="AI389" s="13" t="s">
        <v>3171</v>
      </c>
      <c r="AJ389" s="8"/>
      <c r="AK389" s="8"/>
      <c r="AL389" s="8">
        <v>60000</v>
      </c>
      <c r="AM389" s="8">
        <v>1</v>
      </c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Q389" s="13" t="s">
        <v>3171</v>
      </c>
      <c r="BR389" s="8"/>
      <c r="BS389" s="8">
        <v>60000</v>
      </c>
      <c r="BT389" s="8"/>
      <c r="BU389" s="8"/>
      <c r="BV389" s="8"/>
    </row>
    <row r="390" spans="2:74">
      <c r="B390" t="e">
        <f>IF(Dashboard!$P$4="All",Data!G941,IF(Data!K941=Dashboard!$P$4,Data!G941,NA()))</f>
        <v>#N/A</v>
      </c>
      <c r="C390" t="str">
        <f t="shared" si="85"/>
        <v/>
      </c>
      <c r="D390" t="str">
        <f t="shared" si="86"/>
        <v/>
      </c>
      <c r="E390" t="str">
        <f t="shared" si="87"/>
        <v/>
      </c>
      <c r="F390" t="str">
        <f>IF(C390&lt;&gt;"",Data!$M941,"")</f>
        <v/>
      </c>
      <c r="K390" t="e">
        <f>IF(Dashboard!$R$4="All",Data!G941,IF(Data!K941=Dashboard!$R$4,Data!G941,NA()))</f>
        <v>#N/A</v>
      </c>
      <c r="L390" t="str">
        <f t="shared" si="88"/>
        <v/>
      </c>
      <c r="M390" t="str">
        <f t="shared" si="89"/>
        <v/>
      </c>
      <c r="N390" t="str">
        <f t="shared" si="90"/>
        <v/>
      </c>
      <c r="O390" t="str">
        <f>IF(L390&lt;&gt;"",Data!$M941,"")</f>
        <v/>
      </c>
      <c r="T390">
        <f>IF(OR(Dashboard!$P$4="All",Dashboard!$R$4="All"),NA(),IF(OR(Data!K941&lt;&gt;Dashboard!$P$4,Data!K941&lt;&gt;Dashboard!$R$4),Data!G941,NA()))</f>
        <v>8000</v>
      </c>
      <c r="U390"/>
      <c r="AI390" s="13" t="s">
        <v>3174</v>
      </c>
      <c r="AJ390" s="8">
        <v>56000</v>
      </c>
      <c r="AK390" s="8">
        <v>1</v>
      </c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Q390" s="13" t="s">
        <v>3174</v>
      </c>
      <c r="BR390" s="8">
        <v>56000</v>
      </c>
      <c r="BS390" s="8"/>
      <c r="BT390" s="8"/>
      <c r="BU390" s="8"/>
      <c r="BV390" s="8"/>
    </row>
    <row r="391" spans="2:74">
      <c r="B391" t="e">
        <f>IF(Dashboard!$P$4="All",Data!G942,IF(Data!K942=Dashboard!$P$4,Data!G942,NA()))</f>
        <v>#N/A</v>
      </c>
      <c r="C391" t="str">
        <f t="shared" si="85"/>
        <v/>
      </c>
      <c r="D391" t="str">
        <f t="shared" si="86"/>
        <v/>
      </c>
      <c r="E391" t="str">
        <f t="shared" si="87"/>
        <v/>
      </c>
      <c r="F391" t="str">
        <f>IF(C391&lt;&gt;"",Data!$M942,"")</f>
        <v/>
      </c>
      <c r="K391" t="e">
        <f>IF(Dashboard!$R$4="All",Data!G942,IF(Data!K942=Dashboard!$R$4,Data!G942,NA()))</f>
        <v>#N/A</v>
      </c>
      <c r="L391" t="str">
        <f t="shared" si="88"/>
        <v/>
      </c>
      <c r="M391" t="str">
        <f t="shared" si="89"/>
        <v/>
      </c>
      <c r="N391" t="str">
        <f t="shared" si="90"/>
        <v/>
      </c>
      <c r="O391" t="str">
        <f>IF(L391&lt;&gt;"",Data!$M942,"")</f>
        <v/>
      </c>
      <c r="T391">
        <f>IF(OR(Dashboard!$P$4="All",Dashboard!$R$4="All"),NA(),IF(OR(Data!K942&lt;&gt;Dashboard!$P$4,Data!K942&lt;&gt;Dashboard!$R$4),Data!G942,NA()))</f>
        <v>48000</v>
      </c>
      <c r="U391"/>
      <c r="AI391" s="13" t="s">
        <v>3178</v>
      </c>
      <c r="AJ391" s="8"/>
      <c r="AK391" s="8"/>
      <c r="AL391" s="8">
        <v>88000</v>
      </c>
      <c r="AM391" s="8">
        <v>1</v>
      </c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Q391" s="13" t="s">
        <v>3178</v>
      </c>
      <c r="BR391" s="8"/>
      <c r="BS391" s="8"/>
      <c r="BT391" s="8">
        <v>88000</v>
      </c>
      <c r="BU391" s="8"/>
      <c r="BV391" s="8"/>
    </row>
    <row r="392" spans="2:74">
      <c r="B392" t="e">
        <f>IF(Dashboard!$P$4="All",Data!G943,IF(Data!K943=Dashboard!$P$4,Data!G943,NA()))</f>
        <v>#N/A</v>
      </c>
      <c r="C392" t="str">
        <f t="shared" si="85"/>
        <v/>
      </c>
      <c r="D392" t="str">
        <f t="shared" si="86"/>
        <v/>
      </c>
      <c r="E392" t="str">
        <f t="shared" si="87"/>
        <v/>
      </c>
      <c r="F392" t="str">
        <f>IF(C392&lt;&gt;"",Data!$M943,"")</f>
        <v/>
      </c>
      <c r="K392" t="e">
        <f>IF(Dashboard!$R$4="All",Data!G943,IF(Data!K943=Dashboard!$R$4,Data!G943,NA()))</f>
        <v>#N/A</v>
      </c>
      <c r="L392" t="str">
        <f t="shared" si="88"/>
        <v/>
      </c>
      <c r="M392" t="str">
        <f t="shared" si="89"/>
        <v/>
      </c>
      <c r="N392" t="str">
        <f t="shared" si="90"/>
        <v/>
      </c>
      <c r="O392" t="str">
        <f>IF(L392&lt;&gt;"",Data!$M943,"")</f>
        <v/>
      </c>
      <c r="T392">
        <f>IF(OR(Dashboard!$P$4="All",Dashboard!$R$4="All"),NA(),IF(OR(Data!K943&lt;&gt;Dashboard!$P$4,Data!K943&lt;&gt;Dashboard!$R$4),Data!G943,NA()))</f>
        <v>40000</v>
      </c>
      <c r="U392"/>
      <c r="AI392" s="13" t="s">
        <v>3179</v>
      </c>
      <c r="AJ392" s="8">
        <v>80000</v>
      </c>
      <c r="AK392" s="8">
        <v>1</v>
      </c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Q392" s="13" t="s">
        <v>3179</v>
      </c>
      <c r="BR392" s="8"/>
      <c r="BS392" s="8"/>
      <c r="BT392" s="8">
        <v>80000</v>
      </c>
      <c r="BU392" s="8"/>
      <c r="BV392" s="8"/>
    </row>
    <row r="393" spans="2:74">
      <c r="B393" t="e">
        <f>IF(Dashboard!$P$4="All",Data!G944,IF(Data!K944=Dashboard!$P$4,Data!G944,NA()))</f>
        <v>#N/A</v>
      </c>
      <c r="C393" t="str">
        <f t="shared" si="85"/>
        <v/>
      </c>
      <c r="D393" t="str">
        <f t="shared" si="86"/>
        <v/>
      </c>
      <c r="E393" t="str">
        <f t="shared" si="87"/>
        <v/>
      </c>
      <c r="F393" t="str">
        <f>IF(C393&lt;&gt;"",Data!$M944,"")</f>
        <v/>
      </c>
      <c r="K393" t="e">
        <f>IF(Dashboard!$R$4="All",Data!G944,IF(Data!K944=Dashboard!$R$4,Data!G944,NA()))</f>
        <v>#N/A</v>
      </c>
      <c r="L393" t="str">
        <f t="shared" si="88"/>
        <v/>
      </c>
      <c r="M393" t="str">
        <f t="shared" si="89"/>
        <v/>
      </c>
      <c r="N393" t="str">
        <f t="shared" si="90"/>
        <v/>
      </c>
      <c r="O393" t="str">
        <f>IF(L393&lt;&gt;"",Data!$M944,"")</f>
        <v/>
      </c>
      <c r="T393">
        <f>IF(OR(Dashboard!$P$4="All",Dashboard!$R$4="All"),NA(),IF(OR(Data!K944&lt;&gt;Dashboard!$P$4,Data!K944&lt;&gt;Dashboard!$R$4),Data!G944,NA()))</f>
        <v>59819.107020370408</v>
      </c>
      <c r="U393"/>
      <c r="AI393" s="13" t="s">
        <v>3184</v>
      </c>
      <c r="AJ393" s="8">
        <v>61000</v>
      </c>
      <c r="AK393" s="8">
        <v>1</v>
      </c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Q393" s="13" t="s">
        <v>3184</v>
      </c>
      <c r="BR393" s="8"/>
      <c r="BS393" s="8"/>
      <c r="BT393" s="8">
        <v>61000</v>
      </c>
      <c r="BU393" s="8"/>
      <c r="BV393" s="8"/>
    </row>
    <row r="394" spans="2:74">
      <c r="B394" t="e">
        <f>IF(Dashboard!$P$4="All",Data!G945,IF(Data!K945=Dashboard!$P$4,Data!G945,NA()))</f>
        <v>#N/A</v>
      </c>
      <c r="C394" t="str">
        <f t="shared" si="85"/>
        <v/>
      </c>
      <c r="D394" t="str">
        <f t="shared" si="86"/>
        <v/>
      </c>
      <c r="E394" t="str">
        <f t="shared" si="87"/>
        <v/>
      </c>
      <c r="F394" t="str">
        <f>IF(C394&lt;&gt;"",Data!$M945,"")</f>
        <v/>
      </c>
      <c r="K394" t="e">
        <f>IF(Dashboard!$R$4="All",Data!G945,IF(Data!K945=Dashboard!$R$4,Data!G945,NA()))</f>
        <v>#N/A</v>
      </c>
      <c r="L394" t="str">
        <f t="shared" si="88"/>
        <v/>
      </c>
      <c r="M394" t="str">
        <f t="shared" si="89"/>
        <v/>
      </c>
      <c r="N394" t="str">
        <f t="shared" si="90"/>
        <v/>
      </c>
      <c r="O394" t="str">
        <f>IF(L394&lt;&gt;"",Data!$M945,"")</f>
        <v/>
      </c>
      <c r="T394">
        <f>IF(OR(Dashboard!$P$4="All",Dashboard!$R$4="All"),NA(),IF(OR(Data!K945&lt;&gt;Dashboard!$P$4,Data!K945&lt;&gt;Dashboard!$R$4),Data!G945,NA()))</f>
        <v>150000</v>
      </c>
      <c r="U394"/>
      <c r="AI394" s="13" t="s">
        <v>3191</v>
      </c>
      <c r="AJ394" s="8"/>
      <c r="AK394" s="8"/>
      <c r="AL394" s="8"/>
      <c r="AM394" s="8"/>
      <c r="AN394" s="8"/>
      <c r="AO394" s="8"/>
      <c r="AP394" s="8"/>
      <c r="AQ394" s="8"/>
      <c r="AR394" s="8">
        <v>60000</v>
      </c>
      <c r="AS394" s="8">
        <v>1</v>
      </c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Q394" s="13" t="s">
        <v>3191</v>
      </c>
      <c r="BR394" s="8">
        <v>60000</v>
      </c>
      <c r="BS394" s="8"/>
      <c r="BT394" s="8"/>
      <c r="BU394" s="8"/>
      <c r="BV394" s="8"/>
    </row>
    <row r="395" spans="2:74">
      <c r="B395" t="e">
        <f>IF(Dashboard!$P$4="All",Data!G946,IF(Data!K946=Dashboard!$P$4,Data!G946,NA()))</f>
        <v>#N/A</v>
      </c>
      <c r="C395" t="str">
        <f t="shared" si="85"/>
        <v/>
      </c>
      <c r="D395" t="str">
        <f t="shared" si="86"/>
        <v/>
      </c>
      <c r="E395" t="str">
        <f t="shared" si="87"/>
        <v/>
      </c>
      <c r="F395" t="str">
        <f>IF(C395&lt;&gt;"",Data!$M946,"")</f>
        <v/>
      </c>
      <c r="K395" t="e">
        <f>IF(Dashboard!$R$4="All",Data!G946,IF(Data!K946=Dashboard!$R$4,Data!G946,NA()))</f>
        <v>#N/A</v>
      </c>
      <c r="L395" t="str">
        <f t="shared" si="88"/>
        <v/>
      </c>
      <c r="M395" t="str">
        <f t="shared" si="89"/>
        <v/>
      </c>
      <c r="N395" t="str">
        <f t="shared" si="90"/>
        <v/>
      </c>
      <c r="O395" t="str">
        <f>IF(L395&lt;&gt;"",Data!$M946,"")</f>
        <v/>
      </c>
      <c r="T395">
        <f>IF(OR(Dashboard!$P$4="All",Dashboard!$R$4="All"),NA(),IF(OR(Data!K946&lt;&gt;Dashboard!$P$4,Data!K946&lt;&gt;Dashboard!$R$4),Data!G946,NA()))</f>
        <v>81592.772512210868</v>
      </c>
      <c r="U395"/>
      <c r="AI395" s="13" t="s">
        <v>3195</v>
      </c>
      <c r="AJ395" s="8"/>
      <c r="AK395" s="8"/>
      <c r="AL395" s="8">
        <v>60000</v>
      </c>
      <c r="AM395" s="8">
        <v>1</v>
      </c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Q395" s="13" t="s">
        <v>3195</v>
      </c>
      <c r="BR395" s="8"/>
      <c r="BS395" s="8"/>
      <c r="BT395" s="8">
        <v>60000</v>
      </c>
      <c r="BU395" s="8"/>
      <c r="BV395" s="8"/>
    </row>
    <row r="396" spans="2:74">
      <c r="B396" t="e">
        <f>IF(Dashboard!$P$4="All",Data!G947,IF(Data!K947=Dashboard!$P$4,Data!G947,NA()))</f>
        <v>#N/A</v>
      </c>
      <c r="C396" t="str">
        <f t="shared" si="85"/>
        <v/>
      </c>
      <c r="D396" t="str">
        <f t="shared" si="86"/>
        <v/>
      </c>
      <c r="E396" t="str">
        <f t="shared" si="87"/>
        <v/>
      </c>
      <c r="F396" t="str">
        <f>IF(C396&lt;&gt;"",Data!$M947,"")</f>
        <v/>
      </c>
      <c r="K396" t="e">
        <f>IF(Dashboard!$R$4="All",Data!G947,IF(Data!K947=Dashboard!$R$4,Data!G947,NA()))</f>
        <v>#N/A</v>
      </c>
      <c r="L396" t="str">
        <f t="shared" si="88"/>
        <v/>
      </c>
      <c r="M396" t="str">
        <f t="shared" si="89"/>
        <v/>
      </c>
      <c r="N396" t="str">
        <f t="shared" si="90"/>
        <v/>
      </c>
      <c r="O396" t="str">
        <f>IF(L396&lt;&gt;"",Data!$M947,"")</f>
        <v/>
      </c>
      <c r="T396">
        <f>IF(OR(Dashboard!$P$4="All",Dashboard!$R$4="All"),NA(),IF(OR(Data!K947&lt;&gt;Dashboard!$P$4,Data!K947&lt;&gt;Dashboard!$R$4),Data!G947,NA()))</f>
        <v>96891.417358250401</v>
      </c>
      <c r="U396"/>
      <c r="AI396" s="13" t="s">
        <v>3198</v>
      </c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>
        <v>74000</v>
      </c>
      <c r="AU396" s="8">
        <v>1</v>
      </c>
      <c r="AV396" s="8"/>
      <c r="AW396" s="8"/>
      <c r="AX396" s="8"/>
      <c r="AY396" s="8"/>
      <c r="AZ396" s="8"/>
      <c r="BA396" s="8"/>
      <c r="BB396" s="8"/>
      <c r="BC396" s="8"/>
      <c r="BQ396" s="13" t="s">
        <v>3198</v>
      </c>
      <c r="BR396" s="8"/>
      <c r="BS396" s="8"/>
      <c r="BT396" s="8">
        <v>74000</v>
      </c>
      <c r="BU396" s="8"/>
      <c r="BV396" s="8"/>
    </row>
    <row r="397" spans="2:74">
      <c r="B397" t="e">
        <f>IF(Dashboard!$P$4="All",Data!G948,IF(Data!K948=Dashboard!$P$4,Data!G948,NA()))</f>
        <v>#N/A</v>
      </c>
      <c r="C397" t="str">
        <f t="shared" si="85"/>
        <v/>
      </c>
      <c r="D397" t="str">
        <f t="shared" si="86"/>
        <v/>
      </c>
      <c r="E397" t="str">
        <f t="shared" si="87"/>
        <v/>
      </c>
      <c r="F397" t="str">
        <f>IF(C397&lt;&gt;"",Data!$M948,"")</f>
        <v/>
      </c>
      <c r="K397" t="e">
        <f>IF(Dashboard!$R$4="All",Data!G948,IF(Data!K948=Dashboard!$R$4,Data!G948,NA()))</f>
        <v>#N/A</v>
      </c>
      <c r="L397" t="str">
        <f t="shared" si="88"/>
        <v/>
      </c>
      <c r="M397" t="str">
        <f t="shared" si="89"/>
        <v/>
      </c>
      <c r="N397" t="str">
        <f t="shared" si="90"/>
        <v/>
      </c>
      <c r="O397" t="str">
        <f>IF(L397&lt;&gt;"",Data!$M948,"")</f>
        <v/>
      </c>
      <c r="T397">
        <f>IF(OR(Dashboard!$P$4="All",Dashboard!$R$4="All"),NA(),IF(OR(Data!K948&lt;&gt;Dashboard!$P$4,Data!K948&lt;&gt;Dashboard!$R$4),Data!G948,NA()))</f>
        <v>91791.869076237213</v>
      </c>
      <c r="U397"/>
      <c r="AI397" s="13" t="s">
        <v>3199</v>
      </c>
      <c r="AJ397" s="8">
        <v>95856</v>
      </c>
      <c r="AK397" s="8">
        <v>1</v>
      </c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Q397" s="13" t="s">
        <v>3199</v>
      </c>
      <c r="BR397" s="8"/>
      <c r="BS397" s="8">
        <v>95856</v>
      </c>
      <c r="BT397" s="8"/>
      <c r="BU397" s="8"/>
      <c r="BV397" s="8"/>
    </row>
    <row r="398" spans="2:74">
      <c r="B398" t="e">
        <f>IF(Dashboard!$P$4="All",Data!G949,IF(Data!K949=Dashboard!$P$4,Data!G949,NA()))</f>
        <v>#N/A</v>
      </c>
      <c r="C398" t="str">
        <f t="shared" si="85"/>
        <v/>
      </c>
      <c r="D398" t="str">
        <f t="shared" si="86"/>
        <v/>
      </c>
      <c r="E398" t="str">
        <f t="shared" si="87"/>
        <v/>
      </c>
      <c r="F398" t="str">
        <f>IF(C398&lt;&gt;"",Data!$M949,"")</f>
        <v/>
      </c>
      <c r="K398" t="e">
        <f>IF(Dashboard!$R$4="All",Data!G949,IF(Data!K949=Dashboard!$R$4,Data!G949,NA()))</f>
        <v>#N/A</v>
      </c>
      <c r="L398" t="str">
        <f t="shared" si="88"/>
        <v/>
      </c>
      <c r="M398" t="str">
        <f t="shared" si="89"/>
        <v/>
      </c>
      <c r="N398" t="str">
        <f t="shared" si="90"/>
        <v/>
      </c>
      <c r="O398" t="str">
        <f>IF(L398&lt;&gt;"",Data!$M949,"")</f>
        <v/>
      </c>
      <c r="T398">
        <f>IF(OR(Dashboard!$P$4="All",Dashboard!$R$4="All"),NA(),IF(OR(Data!K949&lt;&gt;Dashboard!$P$4,Data!K949&lt;&gt;Dashboard!$R$4),Data!G949,NA()))</f>
        <v>15000</v>
      </c>
      <c r="U398"/>
      <c r="AI398" s="13" t="s">
        <v>3200</v>
      </c>
      <c r="AJ398" s="8"/>
      <c r="AK398" s="8"/>
      <c r="AL398" s="8"/>
      <c r="AM398" s="8"/>
      <c r="AN398" s="8">
        <v>40000</v>
      </c>
      <c r="AO398" s="8">
        <v>1</v>
      </c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Q398" s="13" t="s">
        <v>3200</v>
      </c>
      <c r="BR398" s="8"/>
      <c r="BS398" s="8">
        <v>40000</v>
      </c>
      <c r="BT398" s="8"/>
      <c r="BU398" s="8"/>
      <c r="BV398" s="8"/>
    </row>
    <row r="399" spans="2:74">
      <c r="B399" t="e">
        <f>IF(Dashboard!$P$4="All",Data!G950,IF(Data!K950=Dashboard!$P$4,Data!G950,NA()))</f>
        <v>#N/A</v>
      </c>
      <c r="C399" t="str">
        <f t="shared" si="85"/>
        <v/>
      </c>
      <c r="D399" t="str">
        <f t="shared" si="86"/>
        <v/>
      </c>
      <c r="E399" t="str">
        <f t="shared" si="87"/>
        <v/>
      </c>
      <c r="F399" t="str">
        <f>IF(C399&lt;&gt;"",Data!$M950,"")</f>
        <v/>
      </c>
      <c r="K399" t="e">
        <f>IF(Dashboard!$R$4="All",Data!G950,IF(Data!K950=Dashboard!$R$4,Data!G950,NA()))</f>
        <v>#N/A</v>
      </c>
      <c r="L399" t="str">
        <f t="shared" si="88"/>
        <v/>
      </c>
      <c r="M399" t="str">
        <f t="shared" si="89"/>
        <v/>
      </c>
      <c r="N399" t="str">
        <f t="shared" si="90"/>
        <v/>
      </c>
      <c r="O399" t="str">
        <f>IF(L399&lt;&gt;"",Data!$M950,"")</f>
        <v/>
      </c>
      <c r="T399">
        <f>IF(OR(Dashboard!$P$4="All",Dashboard!$R$4="All"),NA(),IF(OR(Data!K950&lt;&gt;Dashboard!$P$4,Data!K950&lt;&gt;Dashboard!$R$4),Data!G950,NA()))</f>
        <v>66294.12766617132</v>
      </c>
      <c r="U399"/>
      <c r="AI399" s="13" t="s">
        <v>3202</v>
      </c>
      <c r="AJ399" s="8">
        <v>90000</v>
      </c>
      <c r="AK399" s="8">
        <v>1</v>
      </c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Q399" s="13" t="s">
        <v>3202</v>
      </c>
      <c r="BR399" s="8"/>
      <c r="BS399" s="8"/>
      <c r="BT399" s="8">
        <v>90000</v>
      </c>
      <c r="BU399" s="8"/>
      <c r="BV399" s="8"/>
    </row>
    <row r="400" spans="2:74">
      <c r="B400" t="e">
        <f>IF(Dashboard!$P$4="All",Data!G951,IF(Data!K951=Dashboard!$P$4,Data!G951,NA()))</f>
        <v>#N/A</v>
      </c>
      <c r="C400" t="str">
        <f t="shared" si="85"/>
        <v/>
      </c>
      <c r="D400" t="str">
        <f t="shared" si="86"/>
        <v/>
      </c>
      <c r="E400" t="str">
        <f t="shared" si="87"/>
        <v/>
      </c>
      <c r="F400" t="str">
        <f>IF(C400&lt;&gt;"",Data!$M951,"")</f>
        <v/>
      </c>
      <c r="K400" t="e">
        <f>IF(Dashboard!$R$4="All",Data!G951,IF(Data!K951=Dashboard!$R$4,Data!G951,NA()))</f>
        <v>#N/A</v>
      </c>
      <c r="L400" t="str">
        <f t="shared" si="88"/>
        <v/>
      </c>
      <c r="M400" t="str">
        <f t="shared" si="89"/>
        <v/>
      </c>
      <c r="N400" t="str">
        <f t="shared" si="90"/>
        <v/>
      </c>
      <c r="O400" t="str">
        <f>IF(L400&lt;&gt;"",Data!$M951,"")</f>
        <v/>
      </c>
      <c r="T400">
        <f>IF(OR(Dashboard!$P$4="All",Dashboard!$R$4="All"),NA(),IF(OR(Data!K951&lt;&gt;Dashboard!$P$4,Data!K951&lt;&gt;Dashboard!$R$4),Data!G951,NA()))</f>
        <v>101990.96564026357</v>
      </c>
      <c r="U400"/>
      <c r="AI400" s="13" t="s">
        <v>3207</v>
      </c>
      <c r="AJ400" s="8"/>
      <c r="AK400" s="8"/>
      <c r="AL400" s="8">
        <v>100000</v>
      </c>
      <c r="AM400" s="8">
        <v>1</v>
      </c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Q400" s="13" t="s">
        <v>3207</v>
      </c>
      <c r="BR400" s="8"/>
      <c r="BS400" s="8"/>
      <c r="BT400" s="8">
        <v>100000</v>
      </c>
      <c r="BU400" s="8"/>
      <c r="BV400" s="8"/>
    </row>
    <row r="401" spans="2:74">
      <c r="B401" t="e">
        <f>IF(Dashboard!$P$4="All",Data!G952,IF(Data!K952=Dashboard!$P$4,Data!G952,NA()))</f>
        <v>#N/A</v>
      </c>
      <c r="C401" t="str">
        <f t="shared" si="85"/>
        <v/>
      </c>
      <c r="D401" t="str">
        <f t="shared" si="86"/>
        <v/>
      </c>
      <c r="E401" t="str">
        <f t="shared" si="87"/>
        <v/>
      </c>
      <c r="F401" t="str">
        <f>IF(C401&lt;&gt;"",Data!$M952,"")</f>
        <v/>
      </c>
      <c r="K401" t="e">
        <f>IF(Dashboard!$R$4="All",Data!G952,IF(Data!K952=Dashboard!$R$4,Data!G952,NA()))</f>
        <v>#N/A</v>
      </c>
      <c r="L401" t="str">
        <f t="shared" si="88"/>
        <v/>
      </c>
      <c r="M401" t="str">
        <f t="shared" si="89"/>
        <v/>
      </c>
      <c r="N401" t="str">
        <f t="shared" si="90"/>
        <v/>
      </c>
      <c r="O401" t="str">
        <f>IF(L401&lt;&gt;"",Data!$M952,"")</f>
        <v/>
      </c>
      <c r="T401">
        <f>IF(OR(Dashboard!$P$4="All",Dashboard!$R$4="All"),NA(),IF(OR(Data!K952&lt;&gt;Dashboard!$P$4,Data!K952&lt;&gt;Dashboard!$R$4),Data!G952,NA()))</f>
        <v>60000</v>
      </c>
      <c r="U401"/>
      <c r="AI401" s="13" t="s">
        <v>3224</v>
      </c>
      <c r="AJ401" s="8"/>
      <c r="AK401" s="8"/>
      <c r="AL401" s="8"/>
      <c r="AM401" s="8"/>
      <c r="AN401" s="8">
        <v>56000</v>
      </c>
      <c r="AO401" s="8">
        <v>1</v>
      </c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Q401" s="13" t="s">
        <v>3224</v>
      </c>
      <c r="BR401" s="8"/>
      <c r="BS401" s="8"/>
      <c r="BT401" s="8">
        <v>56000</v>
      </c>
      <c r="BU401" s="8"/>
      <c r="BV401" s="8"/>
    </row>
    <row r="402" spans="2:74">
      <c r="B402" t="e">
        <f>IF(Dashboard!$P$4="All",Data!G953,IF(Data!K953=Dashboard!$P$4,Data!G953,NA()))</f>
        <v>#N/A</v>
      </c>
      <c r="C402" t="str">
        <f t="shared" si="85"/>
        <v/>
      </c>
      <c r="D402" t="str">
        <f t="shared" si="86"/>
        <v/>
      </c>
      <c r="E402" t="str">
        <f t="shared" si="87"/>
        <v/>
      </c>
      <c r="F402" t="str">
        <f>IF(C402&lt;&gt;"",Data!$M953,"")</f>
        <v/>
      </c>
      <c r="K402" t="e">
        <f>IF(Dashboard!$R$4="All",Data!G953,IF(Data!K953=Dashboard!$R$4,Data!G953,NA()))</f>
        <v>#N/A</v>
      </c>
      <c r="L402" t="str">
        <f t="shared" si="88"/>
        <v/>
      </c>
      <c r="M402" t="str">
        <f t="shared" si="89"/>
        <v/>
      </c>
      <c r="N402" t="str">
        <f t="shared" si="90"/>
        <v/>
      </c>
      <c r="O402" t="str">
        <f>IF(L402&lt;&gt;"",Data!$M953,"")</f>
        <v/>
      </c>
      <c r="T402">
        <f>IF(OR(Dashboard!$P$4="All",Dashboard!$R$4="All"),NA(),IF(OR(Data!K953&lt;&gt;Dashboard!$P$4,Data!K953&lt;&gt;Dashboard!$R$4),Data!G953,NA()))</f>
        <v>43856.11522531334</v>
      </c>
      <c r="U402"/>
      <c r="AI402" s="13" t="s">
        <v>3228</v>
      </c>
      <c r="AJ402" s="8">
        <v>85000</v>
      </c>
      <c r="AK402" s="8">
        <v>1</v>
      </c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Q402" s="13" t="s">
        <v>3228</v>
      </c>
      <c r="BR402" s="8"/>
      <c r="BS402" s="8"/>
      <c r="BT402" s="8">
        <v>85000</v>
      </c>
      <c r="BU402" s="8"/>
      <c r="BV402" s="8"/>
    </row>
    <row r="403" spans="2:74">
      <c r="B403" t="e">
        <f>IF(Dashboard!$P$4="All",Data!G954,IF(Data!K954=Dashboard!$P$4,Data!G954,NA()))</f>
        <v>#N/A</v>
      </c>
      <c r="C403" t="str">
        <f t="shared" si="85"/>
        <v/>
      </c>
      <c r="D403" t="str">
        <f t="shared" si="86"/>
        <v/>
      </c>
      <c r="E403" t="str">
        <f t="shared" si="87"/>
        <v/>
      </c>
      <c r="F403" t="str">
        <f>IF(C403&lt;&gt;"",Data!$M954,"")</f>
        <v/>
      </c>
      <c r="K403" t="e">
        <f>IF(Dashboard!$R$4="All",Data!G954,IF(Data!K954=Dashboard!$R$4,Data!G954,NA()))</f>
        <v>#N/A</v>
      </c>
      <c r="L403" t="str">
        <f t="shared" si="88"/>
        <v/>
      </c>
      <c r="M403" t="str">
        <f t="shared" si="89"/>
        <v/>
      </c>
      <c r="N403" t="str">
        <f t="shared" si="90"/>
        <v/>
      </c>
      <c r="O403" t="str">
        <f>IF(L403&lt;&gt;"",Data!$M954,"")</f>
        <v/>
      </c>
      <c r="T403">
        <f>IF(OR(Dashboard!$P$4="All",Dashboard!$R$4="All"),NA(),IF(OR(Data!K954&lt;&gt;Dashboard!$P$4,Data!K954&lt;&gt;Dashboard!$R$4),Data!G954,NA()))</f>
        <v>45616</v>
      </c>
      <c r="U403"/>
      <c r="AI403" s="13" t="s">
        <v>3230</v>
      </c>
      <c r="AJ403" s="8">
        <v>55000</v>
      </c>
      <c r="AK403" s="8">
        <v>1</v>
      </c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Q403" s="13" t="s">
        <v>3230</v>
      </c>
      <c r="BR403" s="8">
        <v>55000</v>
      </c>
      <c r="BS403" s="8"/>
      <c r="BT403" s="8"/>
      <c r="BU403" s="8"/>
      <c r="BV403" s="8"/>
    </row>
    <row r="404" spans="2:74">
      <c r="B404" t="e">
        <f>IF(Dashboard!$P$4="All",Data!G955,IF(Data!K955=Dashboard!$P$4,Data!G955,NA()))</f>
        <v>#N/A</v>
      </c>
      <c r="C404" t="str">
        <f t="shared" si="85"/>
        <v/>
      </c>
      <c r="D404" t="str">
        <f t="shared" si="86"/>
        <v/>
      </c>
      <c r="E404" t="str">
        <f t="shared" si="87"/>
        <v/>
      </c>
      <c r="F404" t="str">
        <f>IF(C404&lt;&gt;"",Data!$M955,"")</f>
        <v/>
      </c>
      <c r="K404" t="e">
        <f>IF(Dashboard!$R$4="All",Data!G955,IF(Data!K955=Dashboard!$R$4,Data!G955,NA()))</f>
        <v>#N/A</v>
      </c>
      <c r="L404" t="str">
        <f t="shared" si="88"/>
        <v/>
      </c>
      <c r="M404" t="str">
        <f t="shared" si="89"/>
        <v/>
      </c>
      <c r="N404" t="str">
        <f t="shared" si="90"/>
        <v/>
      </c>
      <c r="O404" t="str">
        <f>IF(L404&lt;&gt;"",Data!$M955,"")</f>
        <v/>
      </c>
      <c r="T404">
        <f>IF(OR(Dashboard!$P$4="All",Dashboard!$R$4="All"),NA(),IF(OR(Data!K955&lt;&gt;Dashboard!$P$4,Data!K955&lt;&gt;Dashboard!$R$4),Data!G955,NA()))</f>
        <v>75770.868892469181</v>
      </c>
      <c r="U404"/>
      <c r="AI404" s="13" t="s">
        <v>3233</v>
      </c>
      <c r="AJ404" s="8">
        <v>50846</v>
      </c>
      <c r="AK404" s="8">
        <v>1</v>
      </c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Q404" s="13" t="s">
        <v>3233</v>
      </c>
      <c r="BR404" s="8"/>
      <c r="BS404" s="8"/>
      <c r="BT404" s="8">
        <v>50846</v>
      </c>
      <c r="BU404" s="8"/>
      <c r="BV404" s="8"/>
    </row>
    <row r="405" spans="2:74">
      <c r="B405" t="e">
        <f>IF(Dashboard!$P$4="All",Data!G956,IF(Data!K956=Dashboard!$P$4,Data!G956,NA()))</f>
        <v>#N/A</v>
      </c>
      <c r="C405" t="str">
        <f t="shared" si="85"/>
        <v/>
      </c>
      <c r="D405" t="str">
        <f t="shared" si="86"/>
        <v/>
      </c>
      <c r="E405" t="str">
        <f t="shared" si="87"/>
        <v/>
      </c>
      <c r="F405" t="str">
        <f>IF(C405&lt;&gt;"",Data!$M956,"")</f>
        <v/>
      </c>
      <c r="K405" t="e">
        <f>IF(Dashboard!$R$4="All",Data!G956,IF(Data!K956=Dashboard!$R$4,Data!G956,NA()))</f>
        <v>#N/A</v>
      </c>
      <c r="L405" t="str">
        <f t="shared" si="88"/>
        <v/>
      </c>
      <c r="M405" t="str">
        <f t="shared" si="89"/>
        <v/>
      </c>
      <c r="N405" t="str">
        <f t="shared" si="90"/>
        <v/>
      </c>
      <c r="O405" t="str">
        <f>IF(L405&lt;&gt;"",Data!$M956,"")</f>
        <v/>
      </c>
      <c r="T405">
        <f>IF(OR(Dashboard!$P$4="All",Dashboard!$R$4="All"),NA(),IF(OR(Data!K956&lt;&gt;Dashboard!$P$4,Data!K956&lt;&gt;Dashboard!$R$4),Data!G956,NA()))</f>
        <v>57726.886552389187</v>
      </c>
      <c r="U405"/>
      <c r="AI405" s="13" t="s">
        <v>3234</v>
      </c>
      <c r="AJ405" s="8"/>
      <c r="AK405" s="8"/>
      <c r="AL405" s="8"/>
      <c r="AM405" s="8"/>
      <c r="AN405" s="8">
        <v>63000</v>
      </c>
      <c r="AO405" s="8">
        <v>1</v>
      </c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Q405" s="13" t="s">
        <v>3234</v>
      </c>
      <c r="BR405" s="8"/>
      <c r="BS405" s="8"/>
      <c r="BT405" s="8"/>
      <c r="BU405" s="8">
        <v>63000</v>
      </c>
      <c r="BV405" s="8"/>
    </row>
    <row r="406" spans="2:74">
      <c r="B406" t="e">
        <f>IF(Dashboard!$P$4="All",Data!G957,IF(Data!K957=Dashboard!$P$4,Data!G957,NA()))</f>
        <v>#N/A</v>
      </c>
      <c r="C406" t="str">
        <f t="shared" si="85"/>
        <v/>
      </c>
      <c r="D406" t="str">
        <f t="shared" si="86"/>
        <v/>
      </c>
      <c r="E406" t="str">
        <f t="shared" si="87"/>
        <v/>
      </c>
      <c r="F406" t="str">
        <f>IF(C406&lt;&gt;"",Data!$M957,"")</f>
        <v/>
      </c>
      <c r="K406" t="e">
        <f>IF(Dashboard!$R$4="All",Data!G957,IF(Data!K957=Dashboard!$R$4,Data!G957,NA()))</f>
        <v>#N/A</v>
      </c>
      <c r="L406" t="str">
        <f t="shared" si="88"/>
        <v/>
      </c>
      <c r="M406" t="str">
        <f t="shared" si="89"/>
        <v/>
      </c>
      <c r="N406" t="str">
        <f t="shared" si="90"/>
        <v/>
      </c>
      <c r="O406" t="str">
        <f>IF(L406&lt;&gt;"",Data!$M957,"")</f>
        <v/>
      </c>
      <c r="T406">
        <f>IF(OR(Dashboard!$P$4="All",Dashboard!$R$4="All"),NA(),IF(OR(Data!K957&lt;&gt;Dashboard!$P$4,Data!K957&lt;&gt;Dashboard!$R$4),Data!G957,NA()))</f>
        <v>20000</v>
      </c>
      <c r="U406"/>
      <c r="AI406" s="13" t="s">
        <v>3238</v>
      </c>
      <c r="AJ406" s="8">
        <v>70000</v>
      </c>
      <c r="AK406" s="8">
        <v>1</v>
      </c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Q406" s="13" t="s">
        <v>3238</v>
      </c>
      <c r="BR406" s="8">
        <v>70000</v>
      </c>
      <c r="BS406" s="8"/>
      <c r="BT406" s="8"/>
      <c r="BU406" s="8"/>
      <c r="BV406" s="8"/>
    </row>
    <row r="407" spans="2:74">
      <c r="B407" t="e">
        <f>IF(Dashboard!$P$4="All",Data!G958,IF(Data!K958=Dashboard!$P$4,Data!G958,NA()))</f>
        <v>#N/A</v>
      </c>
      <c r="C407" t="str">
        <f t="shared" si="85"/>
        <v/>
      </c>
      <c r="D407" t="str">
        <f t="shared" si="86"/>
        <v/>
      </c>
      <c r="E407" t="str">
        <f t="shared" si="87"/>
        <v/>
      </c>
      <c r="F407" t="str">
        <f>IF(C407&lt;&gt;"",Data!$M958,"")</f>
        <v/>
      </c>
      <c r="K407" t="e">
        <f>IF(Dashboard!$R$4="All",Data!G958,IF(Data!K958=Dashboard!$R$4,Data!G958,NA()))</f>
        <v>#N/A</v>
      </c>
      <c r="L407" t="str">
        <f t="shared" si="88"/>
        <v/>
      </c>
      <c r="M407" t="str">
        <f t="shared" si="89"/>
        <v/>
      </c>
      <c r="N407" t="str">
        <f t="shared" si="90"/>
        <v/>
      </c>
      <c r="O407" t="str">
        <f>IF(L407&lt;&gt;"",Data!$M958,"")</f>
        <v/>
      </c>
      <c r="T407">
        <f>IF(OR(Dashboard!$P$4="All",Dashboard!$R$4="All"),NA(),IF(OR(Data!K958&lt;&gt;Dashboard!$P$4,Data!K958&lt;&gt;Dashboard!$R$4),Data!G958,NA()))</f>
        <v>203981.93128052715</v>
      </c>
      <c r="U407"/>
      <c r="AI407" s="13" t="s">
        <v>3245</v>
      </c>
      <c r="AJ407" s="8"/>
      <c r="AK407" s="8"/>
      <c r="AL407" s="8">
        <v>40000</v>
      </c>
      <c r="AM407" s="8">
        <v>1</v>
      </c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Q407" s="13" t="s">
        <v>3245</v>
      </c>
      <c r="BR407" s="8"/>
      <c r="BS407" s="8">
        <v>40000</v>
      </c>
      <c r="BT407" s="8"/>
      <c r="BU407" s="8"/>
      <c r="BV407" s="8"/>
    </row>
    <row r="408" spans="2:74">
      <c r="B408" t="e">
        <f>IF(Dashboard!$P$4="All",Data!G959,IF(Data!K959=Dashboard!$P$4,Data!G959,NA()))</f>
        <v>#N/A</v>
      </c>
      <c r="C408" t="str">
        <f t="shared" si="85"/>
        <v/>
      </c>
      <c r="D408" t="str">
        <f t="shared" si="86"/>
        <v/>
      </c>
      <c r="E408" t="str">
        <f t="shared" si="87"/>
        <v/>
      </c>
      <c r="F408" t="str">
        <f>IF(C408&lt;&gt;"",Data!$M959,"")</f>
        <v/>
      </c>
      <c r="K408" t="e">
        <f>IF(Dashboard!$R$4="All",Data!G959,IF(Data!K959=Dashboard!$R$4,Data!G959,NA()))</f>
        <v>#N/A</v>
      </c>
      <c r="L408" t="str">
        <f t="shared" si="88"/>
        <v/>
      </c>
      <c r="M408" t="str">
        <f t="shared" si="89"/>
        <v/>
      </c>
      <c r="N408" t="str">
        <f t="shared" si="90"/>
        <v/>
      </c>
      <c r="O408" t="str">
        <f>IF(L408&lt;&gt;"",Data!$M959,"")</f>
        <v/>
      </c>
      <c r="T408">
        <f>IF(OR(Dashboard!$P$4="All",Dashboard!$R$4="All"),NA(),IF(OR(Data!K959&lt;&gt;Dashboard!$P$4,Data!K959&lt;&gt;Dashboard!$R$4),Data!G959,NA()))</f>
        <v>50995.482820131787</v>
      </c>
      <c r="U408"/>
      <c r="AI408" s="13" t="s">
        <v>3246</v>
      </c>
      <c r="AJ408" s="8"/>
      <c r="AK408" s="8"/>
      <c r="AL408" s="8"/>
      <c r="AM408" s="8"/>
      <c r="AN408" s="8">
        <v>107000</v>
      </c>
      <c r="AO408" s="8">
        <v>1</v>
      </c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Q408" s="13" t="s">
        <v>3246</v>
      </c>
      <c r="BR408" s="8"/>
      <c r="BS408" s="8"/>
      <c r="BT408" s="8">
        <v>107000</v>
      </c>
      <c r="BU408" s="8"/>
      <c r="BV408" s="8"/>
    </row>
    <row r="409" spans="2:74">
      <c r="B409" t="e">
        <f>IF(Dashboard!$P$4="All",Data!G960,IF(Data!K960=Dashboard!$P$4,Data!G960,NA()))</f>
        <v>#N/A</v>
      </c>
      <c r="C409" t="str">
        <f t="shared" si="85"/>
        <v/>
      </c>
      <c r="D409" t="str">
        <f t="shared" si="86"/>
        <v/>
      </c>
      <c r="E409" t="str">
        <f t="shared" si="87"/>
        <v/>
      </c>
      <c r="F409" t="str">
        <f>IF(C409&lt;&gt;"",Data!$M960,"")</f>
        <v/>
      </c>
      <c r="K409" t="e">
        <f>IF(Dashboard!$R$4="All",Data!G960,IF(Data!K960=Dashboard!$R$4,Data!G960,NA()))</f>
        <v>#N/A</v>
      </c>
      <c r="L409" t="str">
        <f t="shared" si="88"/>
        <v/>
      </c>
      <c r="M409" t="str">
        <f t="shared" si="89"/>
        <v/>
      </c>
      <c r="N409" t="str">
        <f t="shared" si="90"/>
        <v/>
      </c>
      <c r="O409" t="str">
        <f>IF(L409&lt;&gt;"",Data!$M960,"")</f>
        <v/>
      </c>
      <c r="T409">
        <f>IF(OR(Dashboard!$P$4="All",Dashboard!$R$4="All"),NA(),IF(OR(Data!K960&lt;&gt;Dashboard!$P$4,Data!K960&lt;&gt;Dashboard!$R$4),Data!G960,NA()))</f>
        <v>127488.70705032947</v>
      </c>
      <c r="U409"/>
      <c r="AI409" s="13" t="s">
        <v>3247</v>
      </c>
      <c r="AJ409" s="8"/>
      <c r="AK409" s="8"/>
      <c r="AL409" s="8">
        <v>82000</v>
      </c>
      <c r="AM409" s="8">
        <v>1</v>
      </c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Q409" s="13" t="s">
        <v>3247</v>
      </c>
      <c r="BR409" s="8"/>
      <c r="BS409" s="8"/>
      <c r="BT409" s="8">
        <v>82000</v>
      </c>
      <c r="BU409" s="8"/>
      <c r="BV409" s="8"/>
    </row>
    <row r="410" spans="2:74">
      <c r="B410" t="e">
        <f>IF(Dashboard!$P$4="All",Data!G961,IF(Data!K961=Dashboard!$P$4,Data!G961,NA()))</f>
        <v>#N/A</v>
      </c>
      <c r="C410" t="str">
        <f t="shared" si="85"/>
        <v/>
      </c>
      <c r="D410" t="str">
        <f t="shared" si="86"/>
        <v/>
      </c>
      <c r="E410" t="str">
        <f t="shared" si="87"/>
        <v/>
      </c>
      <c r="F410" t="str">
        <f>IF(C410&lt;&gt;"",Data!$M961,"")</f>
        <v/>
      </c>
      <c r="K410" t="e">
        <f>IF(Dashboard!$R$4="All",Data!G961,IF(Data!K961=Dashboard!$R$4,Data!G961,NA()))</f>
        <v>#N/A</v>
      </c>
      <c r="L410" t="str">
        <f t="shared" si="88"/>
        <v/>
      </c>
      <c r="M410" t="str">
        <f t="shared" si="89"/>
        <v/>
      </c>
      <c r="N410" t="str">
        <f t="shared" si="90"/>
        <v/>
      </c>
      <c r="O410" t="str">
        <f>IF(L410&lt;&gt;"",Data!$M961,"")</f>
        <v/>
      </c>
      <c r="T410">
        <f>IF(OR(Dashboard!$P$4="All",Dashboard!$R$4="All"),NA(),IF(OR(Data!K961&lt;&gt;Dashboard!$P$4,Data!K961&lt;&gt;Dashboard!$R$4),Data!G961,NA()))</f>
        <v>66294.12766617132</v>
      </c>
      <c r="U410"/>
      <c r="AI410" s="13" t="s">
        <v>3250</v>
      </c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>
        <v>69000</v>
      </c>
      <c r="AY410" s="8">
        <v>1</v>
      </c>
      <c r="AZ410" s="8"/>
      <c r="BA410" s="8"/>
      <c r="BB410" s="8"/>
      <c r="BC410" s="8"/>
      <c r="BQ410" s="13" t="s">
        <v>3250</v>
      </c>
      <c r="BR410" s="8"/>
      <c r="BS410" s="8"/>
      <c r="BT410" s="8">
        <v>69000</v>
      </c>
      <c r="BU410" s="8"/>
      <c r="BV410" s="8"/>
    </row>
    <row r="411" spans="2:74">
      <c r="B411" t="e">
        <f>IF(Dashboard!$P$4="All",Data!G962,IF(Data!K962=Dashboard!$P$4,Data!G962,NA()))</f>
        <v>#N/A</v>
      </c>
      <c r="C411" t="str">
        <f t="shared" si="85"/>
        <v/>
      </c>
      <c r="D411" t="str">
        <f t="shared" si="86"/>
        <v/>
      </c>
      <c r="E411" t="str">
        <f t="shared" si="87"/>
        <v/>
      </c>
      <c r="F411" t="str">
        <f>IF(C411&lt;&gt;"",Data!$M962,"")</f>
        <v/>
      </c>
      <c r="K411" t="e">
        <f>IF(Dashboard!$R$4="All",Data!G962,IF(Data!K962=Dashboard!$R$4,Data!G962,NA()))</f>
        <v>#N/A</v>
      </c>
      <c r="L411" t="str">
        <f t="shared" si="88"/>
        <v/>
      </c>
      <c r="M411" t="str">
        <f t="shared" si="89"/>
        <v/>
      </c>
      <c r="N411" t="str">
        <f t="shared" si="90"/>
        <v/>
      </c>
      <c r="O411" t="str">
        <f>IF(L411&lt;&gt;"",Data!$M962,"")</f>
        <v/>
      </c>
      <c r="T411">
        <f>IF(OR(Dashboard!$P$4="All",Dashboard!$R$4="All"),NA(),IF(OR(Data!K962&lt;&gt;Dashboard!$P$4,Data!K962&lt;&gt;Dashboard!$R$4),Data!G962,NA()))</f>
        <v>63234.398696963413</v>
      </c>
      <c r="U411"/>
      <c r="AI411" s="13" t="s">
        <v>3253</v>
      </c>
      <c r="AJ411" s="8"/>
      <c r="AK411" s="8"/>
      <c r="AL411" s="8">
        <v>70000</v>
      </c>
      <c r="AM411" s="8">
        <v>1</v>
      </c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Q411" s="13" t="s">
        <v>3253</v>
      </c>
      <c r="BR411" s="8"/>
      <c r="BS411" s="8"/>
      <c r="BT411" s="8">
        <v>70000</v>
      </c>
      <c r="BU411" s="8"/>
      <c r="BV411" s="8"/>
    </row>
    <row r="412" spans="2:74">
      <c r="B412" t="e">
        <f>IF(Dashboard!$P$4="All",Data!G963,IF(Data!K963=Dashboard!$P$4,Data!G963,NA()))</f>
        <v>#N/A</v>
      </c>
      <c r="C412" t="str">
        <f t="shared" si="85"/>
        <v/>
      </c>
      <c r="D412" t="str">
        <f t="shared" si="86"/>
        <v/>
      </c>
      <c r="E412" t="str">
        <f t="shared" si="87"/>
        <v/>
      </c>
      <c r="F412" t="str">
        <f>IF(C412&lt;&gt;"",Data!$M963,"")</f>
        <v/>
      </c>
      <c r="K412" t="e">
        <f>IF(Dashboard!$R$4="All",Data!G963,IF(Data!K963=Dashboard!$R$4,Data!G963,NA()))</f>
        <v>#N/A</v>
      </c>
      <c r="L412" t="str">
        <f t="shared" si="88"/>
        <v/>
      </c>
      <c r="M412" t="str">
        <f t="shared" si="89"/>
        <v/>
      </c>
      <c r="N412" t="str">
        <f t="shared" si="90"/>
        <v/>
      </c>
      <c r="O412" t="str">
        <f>IF(L412&lt;&gt;"",Data!$M963,"")</f>
        <v/>
      </c>
      <c r="T412">
        <f>IF(OR(Dashboard!$P$4="All",Dashboard!$R$4="All"),NA(),IF(OR(Data!K963&lt;&gt;Dashboard!$P$4,Data!K963&lt;&gt;Dashboard!$R$4),Data!G963,NA()))</f>
        <v>260000</v>
      </c>
      <c r="U412"/>
      <c r="AI412" s="13" t="s">
        <v>3254</v>
      </c>
      <c r="AJ412" s="8">
        <v>45000</v>
      </c>
      <c r="AK412" s="8">
        <v>1</v>
      </c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Q412" s="13" t="s">
        <v>3254</v>
      </c>
      <c r="BR412" s="8"/>
      <c r="BS412" s="8"/>
      <c r="BT412" s="8">
        <v>45000</v>
      </c>
      <c r="BU412" s="8"/>
      <c r="BV412" s="8"/>
    </row>
    <row r="413" spans="2:74">
      <c r="B413" t="e">
        <f>IF(Dashboard!$P$4="All",Data!G964,IF(Data!K964=Dashboard!$P$4,Data!G964,NA()))</f>
        <v>#N/A</v>
      </c>
      <c r="C413" t="str">
        <f t="shared" si="85"/>
        <v/>
      </c>
      <c r="D413" t="str">
        <f t="shared" si="86"/>
        <v/>
      </c>
      <c r="E413" t="str">
        <f t="shared" si="87"/>
        <v/>
      </c>
      <c r="F413" t="str">
        <f>IF(C413&lt;&gt;"",Data!$M964,"")</f>
        <v/>
      </c>
      <c r="K413" t="e">
        <f>IF(Dashboard!$R$4="All",Data!G964,IF(Data!K964=Dashboard!$R$4,Data!G964,NA()))</f>
        <v>#N/A</v>
      </c>
      <c r="L413" t="str">
        <f t="shared" si="88"/>
        <v/>
      </c>
      <c r="M413" t="str">
        <f t="shared" si="89"/>
        <v/>
      </c>
      <c r="N413" t="str">
        <f t="shared" si="90"/>
        <v/>
      </c>
      <c r="O413" t="str">
        <f>IF(L413&lt;&gt;"",Data!$M964,"")</f>
        <v/>
      </c>
      <c r="T413">
        <f>IF(OR(Dashboard!$P$4="All",Dashboard!$R$4="All"),NA(),IF(OR(Data!K964&lt;&gt;Dashboard!$P$4,Data!K964&lt;&gt;Dashboard!$R$4),Data!G964,NA()))</f>
        <v>112190.06220428993</v>
      </c>
      <c r="U413"/>
      <c r="AI413" s="13" t="s">
        <v>3260</v>
      </c>
      <c r="AJ413" s="8">
        <v>50000</v>
      </c>
      <c r="AK413" s="8">
        <v>1</v>
      </c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Q413" s="13" t="s">
        <v>3260</v>
      </c>
      <c r="BR413" s="8"/>
      <c r="BS413" s="8"/>
      <c r="BT413" s="8">
        <v>50000</v>
      </c>
      <c r="BU413" s="8"/>
      <c r="BV413" s="8"/>
    </row>
    <row r="414" spans="2:74">
      <c r="B414" t="e">
        <f>IF(Dashboard!$P$4="All",Data!G965,IF(Data!K965=Dashboard!$P$4,Data!G965,NA()))</f>
        <v>#N/A</v>
      </c>
      <c r="C414" t="str">
        <f t="shared" si="85"/>
        <v/>
      </c>
      <c r="D414" t="str">
        <f t="shared" si="86"/>
        <v/>
      </c>
      <c r="E414" t="str">
        <f t="shared" si="87"/>
        <v/>
      </c>
      <c r="F414" t="str">
        <f>IF(C414&lt;&gt;"",Data!$M965,"")</f>
        <v/>
      </c>
      <c r="K414" t="e">
        <f>IF(Dashboard!$R$4="All",Data!G965,IF(Data!K965=Dashboard!$R$4,Data!G965,NA()))</f>
        <v>#N/A</v>
      </c>
      <c r="L414" t="str">
        <f t="shared" si="88"/>
        <v/>
      </c>
      <c r="M414" t="str">
        <f t="shared" si="89"/>
        <v/>
      </c>
      <c r="N414" t="str">
        <f t="shared" si="90"/>
        <v/>
      </c>
      <c r="O414" t="str">
        <f>IF(L414&lt;&gt;"",Data!$M965,"")</f>
        <v/>
      </c>
      <c r="T414">
        <f>IF(OR(Dashboard!$P$4="All",Dashboard!$R$4="All"),NA(),IF(OR(Data!K965&lt;&gt;Dashboard!$P$4,Data!K965&lt;&gt;Dashboard!$R$4),Data!G965,NA()))</f>
        <v>71393.675948184507</v>
      </c>
      <c r="U414"/>
      <c r="AI414" s="13" t="s">
        <v>3264</v>
      </c>
      <c r="AJ414" s="8"/>
      <c r="AK414" s="8"/>
      <c r="AL414" s="8"/>
      <c r="AM414" s="8"/>
      <c r="AN414" s="8"/>
      <c r="AO414" s="8"/>
      <c r="AP414" s="8">
        <v>192000</v>
      </c>
      <c r="AQ414" s="8">
        <v>1</v>
      </c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Q414" s="13" t="s">
        <v>3264</v>
      </c>
      <c r="BR414" s="8"/>
      <c r="BS414" s="8"/>
      <c r="BT414" s="8"/>
      <c r="BU414" s="8">
        <v>192000</v>
      </c>
      <c r="BV414" s="8"/>
    </row>
    <row r="415" spans="2:74">
      <c r="B415" t="e">
        <f>IF(Dashboard!$P$4="All",Data!G966,IF(Data!K966=Dashboard!$P$4,Data!G966,NA()))</f>
        <v>#N/A</v>
      </c>
      <c r="C415" t="str">
        <f t="shared" si="85"/>
        <v/>
      </c>
      <c r="D415" t="str">
        <f t="shared" si="86"/>
        <v/>
      </c>
      <c r="E415" t="str">
        <f t="shared" si="87"/>
        <v/>
      </c>
      <c r="F415" t="str">
        <f>IF(C415&lt;&gt;"",Data!$M966,"")</f>
        <v/>
      </c>
      <c r="K415" t="e">
        <f>IF(Dashboard!$R$4="All",Data!G966,IF(Data!K966=Dashboard!$R$4,Data!G966,NA()))</f>
        <v>#N/A</v>
      </c>
      <c r="L415" t="str">
        <f t="shared" si="88"/>
        <v/>
      </c>
      <c r="M415" t="str">
        <f t="shared" si="89"/>
        <v/>
      </c>
      <c r="N415" t="str">
        <f t="shared" si="90"/>
        <v/>
      </c>
      <c r="O415" t="str">
        <f>IF(L415&lt;&gt;"",Data!$M966,"")</f>
        <v/>
      </c>
      <c r="T415">
        <f>IF(OR(Dashboard!$P$4="All",Dashboard!$R$4="All"),NA(),IF(OR(Data!K966&lt;&gt;Dashboard!$P$4,Data!K966&lt;&gt;Dashboard!$R$4),Data!G966,NA()))</f>
        <v>85000</v>
      </c>
      <c r="U415"/>
      <c r="AI415" s="13" t="s">
        <v>3265</v>
      </c>
      <c r="AJ415" s="8">
        <v>54000</v>
      </c>
      <c r="AK415" s="8">
        <v>1</v>
      </c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Q415" s="13" t="s">
        <v>3265</v>
      </c>
      <c r="BR415" s="8"/>
      <c r="BS415" s="8"/>
      <c r="BT415" s="8"/>
      <c r="BU415" s="8">
        <v>54000</v>
      </c>
      <c r="BV415" s="8"/>
    </row>
    <row r="416" spans="2:74">
      <c r="B416" t="e">
        <f>IF(Dashboard!$P$4="All",Data!G967,IF(Data!K967=Dashboard!$P$4,Data!G967,NA()))</f>
        <v>#N/A</v>
      </c>
      <c r="C416" t="str">
        <f t="shared" si="85"/>
        <v/>
      </c>
      <c r="D416" t="str">
        <f t="shared" si="86"/>
        <v/>
      </c>
      <c r="E416" t="str">
        <f t="shared" si="87"/>
        <v/>
      </c>
      <c r="F416" t="str">
        <f>IF(C416&lt;&gt;"",Data!$M967,"")</f>
        <v/>
      </c>
      <c r="K416" t="e">
        <f>IF(Dashboard!$R$4="All",Data!G967,IF(Data!K967=Dashboard!$R$4,Data!G967,NA()))</f>
        <v>#N/A</v>
      </c>
      <c r="L416" t="str">
        <f t="shared" si="88"/>
        <v/>
      </c>
      <c r="M416" t="str">
        <f t="shared" si="89"/>
        <v/>
      </c>
      <c r="N416" t="str">
        <f t="shared" si="90"/>
        <v/>
      </c>
      <c r="O416" t="str">
        <f>IF(L416&lt;&gt;"",Data!$M967,"")</f>
        <v/>
      </c>
      <c r="T416">
        <f>IF(OR(Dashboard!$P$4="All",Dashboard!$R$4="All"),NA(),IF(OR(Data!K967&lt;&gt;Dashboard!$P$4,Data!K967&lt;&gt;Dashboard!$R$4),Data!G967,NA()))</f>
        <v>95871.50770184776</v>
      </c>
      <c r="U416"/>
      <c r="AI416" s="13" t="s">
        <v>3273</v>
      </c>
      <c r="AJ416" s="8"/>
      <c r="AK416" s="8"/>
      <c r="AL416" s="8"/>
      <c r="AM416" s="8"/>
      <c r="AN416" s="8">
        <v>140000</v>
      </c>
      <c r="AO416" s="8">
        <v>1</v>
      </c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Q416" s="13" t="s">
        <v>3273</v>
      </c>
      <c r="BR416" s="8"/>
      <c r="BS416" s="8"/>
      <c r="BT416" s="8">
        <v>140000</v>
      </c>
      <c r="BU416" s="8"/>
      <c r="BV416" s="8"/>
    </row>
    <row r="417" spans="2:74">
      <c r="B417" t="e">
        <f>IF(Dashboard!$P$4="All",Data!G968,IF(Data!K968=Dashboard!$P$4,Data!G968,NA()))</f>
        <v>#N/A</v>
      </c>
      <c r="C417" t="str">
        <f t="shared" si="85"/>
        <v/>
      </c>
      <c r="D417" t="str">
        <f t="shared" si="86"/>
        <v/>
      </c>
      <c r="E417" t="str">
        <f t="shared" si="87"/>
        <v/>
      </c>
      <c r="F417" t="str">
        <f>IF(C417&lt;&gt;"",Data!$M968,"")</f>
        <v/>
      </c>
      <c r="K417" t="e">
        <f>IF(Dashboard!$R$4="All",Data!G968,IF(Data!K968=Dashboard!$R$4,Data!G968,NA()))</f>
        <v>#N/A</v>
      </c>
      <c r="L417" t="str">
        <f t="shared" si="88"/>
        <v/>
      </c>
      <c r="M417" t="str">
        <f t="shared" si="89"/>
        <v/>
      </c>
      <c r="N417" t="str">
        <f t="shared" si="90"/>
        <v/>
      </c>
      <c r="O417" t="str">
        <f>IF(L417&lt;&gt;"",Data!$M968,"")</f>
        <v/>
      </c>
      <c r="T417">
        <f>IF(OR(Dashboard!$P$4="All",Dashboard!$R$4="All"),NA(),IF(OR(Data!K968&lt;&gt;Dashboard!$P$4,Data!K968&lt;&gt;Dashboard!$R$4),Data!G968,NA()))</f>
        <v>109130.33323508203</v>
      </c>
      <c r="U417"/>
      <c r="AI417" s="13" t="s">
        <v>3279</v>
      </c>
      <c r="AJ417" s="8"/>
      <c r="AK417" s="8"/>
      <c r="AL417" s="8">
        <v>80000</v>
      </c>
      <c r="AM417" s="8">
        <v>1</v>
      </c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Q417" s="13" t="s">
        <v>3279</v>
      </c>
      <c r="BR417" s="8">
        <v>80000</v>
      </c>
      <c r="BS417" s="8"/>
      <c r="BT417" s="8"/>
      <c r="BU417" s="8"/>
      <c r="BV417" s="8"/>
    </row>
    <row r="418" spans="2:74">
      <c r="B418" t="e">
        <f>IF(Dashboard!$P$4="All",Data!G969,IF(Data!K969=Dashboard!$P$4,Data!G969,NA()))</f>
        <v>#N/A</v>
      </c>
      <c r="C418" t="str">
        <f t="shared" si="85"/>
        <v/>
      </c>
      <c r="D418" t="str">
        <f t="shared" si="86"/>
        <v/>
      </c>
      <c r="E418" t="str">
        <f t="shared" si="87"/>
        <v/>
      </c>
      <c r="F418" t="str">
        <f>IF(C418&lt;&gt;"",Data!$M969,"")</f>
        <v/>
      </c>
      <c r="K418" t="e">
        <f>IF(Dashboard!$R$4="All",Data!G969,IF(Data!K969=Dashboard!$R$4,Data!G969,NA()))</f>
        <v>#N/A</v>
      </c>
      <c r="L418" t="str">
        <f t="shared" si="88"/>
        <v/>
      </c>
      <c r="M418" t="str">
        <f t="shared" si="89"/>
        <v/>
      </c>
      <c r="N418" t="str">
        <f t="shared" si="90"/>
        <v/>
      </c>
      <c r="O418" t="str">
        <f>IF(L418&lt;&gt;"",Data!$M969,"")</f>
        <v/>
      </c>
      <c r="T418">
        <f>IF(OR(Dashboard!$P$4="All",Dashboard!$R$4="All"),NA(),IF(OR(Data!K969&lt;&gt;Dashboard!$P$4,Data!K969&lt;&gt;Dashboard!$R$4),Data!G969,NA()))</f>
        <v>36000</v>
      </c>
      <c r="U418"/>
      <c r="AI418" s="13" t="s">
        <v>3321</v>
      </c>
      <c r="AJ418" s="8">
        <v>49500</v>
      </c>
      <c r="AK418" s="8">
        <v>1</v>
      </c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Q418" s="13" t="s">
        <v>3321</v>
      </c>
      <c r="BR418" s="8"/>
      <c r="BS418" s="8"/>
      <c r="BT418" s="8">
        <v>49500</v>
      </c>
      <c r="BU418" s="8"/>
      <c r="BV418" s="8"/>
    </row>
    <row r="419" spans="2:74">
      <c r="B419" t="e">
        <f>IF(Dashboard!$P$4="All",Data!G970,IF(Data!K970=Dashboard!$P$4,Data!G970,NA()))</f>
        <v>#N/A</v>
      </c>
      <c r="C419" t="str">
        <f t="shared" si="85"/>
        <v/>
      </c>
      <c r="D419" t="str">
        <f t="shared" si="86"/>
        <v/>
      </c>
      <c r="E419" t="str">
        <f t="shared" si="87"/>
        <v/>
      </c>
      <c r="F419" t="str">
        <f>IF(C419&lt;&gt;"",Data!$M970,"")</f>
        <v/>
      </c>
      <c r="K419" t="e">
        <f>IF(Dashboard!$R$4="All",Data!G970,IF(Data!K970=Dashboard!$R$4,Data!G970,NA()))</f>
        <v>#N/A</v>
      </c>
      <c r="L419" t="str">
        <f t="shared" si="88"/>
        <v/>
      </c>
      <c r="M419" t="str">
        <f t="shared" si="89"/>
        <v/>
      </c>
      <c r="N419" t="str">
        <f t="shared" si="90"/>
        <v/>
      </c>
      <c r="O419" t="str">
        <f>IF(L419&lt;&gt;"",Data!$M970,"")</f>
        <v/>
      </c>
      <c r="T419">
        <f>IF(OR(Dashboard!$P$4="All",Dashboard!$R$4="All"),NA(),IF(OR(Data!K970&lt;&gt;Dashboard!$P$4,Data!K970&lt;&gt;Dashboard!$R$4),Data!G970,NA()))</f>
        <v>122389.15876831629</v>
      </c>
      <c r="U419"/>
      <c r="AI419" s="13" t="s">
        <v>3327</v>
      </c>
      <c r="AJ419" s="8">
        <v>80000</v>
      </c>
      <c r="AK419" s="8">
        <v>1</v>
      </c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Q419" s="13" t="s">
        <v>3327</v>
      </c>
      <c r="BR419" s="8">
        <v>80000</v>
      </c>
      <c r="BS419" s="8"/>
      <c r="BT419" s="8"/>
      <c r="BU419" s="8"/>
      <c r="BV419" s="8"/>
    </row>
    <row r="420" spans="2:74">
      <c r="B420" t="e">
        <f>IF(Dashboard!$P$4="All",Data!G971,IF(Data!K971=Dashboard!$P$4,Data!G971,NA()))</f>
        <v>#N/A</v>
      </c>
      <c r="C420" t="str">
        <f t="shared" si="85"/>
        <v/>
      </c>
      <c r="D420" t="str">
        <f t="shared" si="86"/>
        <v/>
      </c>
      <c r="E420" t="str">
        <f t="shared" si="87"/>
        <v/>
      </c>
      <c r="F420" t="str">
        <f>IF(C420&lt;&gt;"",Data!$M971,"")</f>
        <v/>
      </c>
      <c r="K420" t="e">
        <f>IF(Dashboard!$R$4="All",Data!G971,IF(Data!K971=Dashboard!$R$4,Data!G971,NA()))</f>
        <v>#N/A</v>
      </c>
      <c r="L420" t="str">
        <f t="shared" si="88"/>
        <v/>
      </c>
      <c r="M420" t="str">
        <f t="shared" si="89"/>
        <v/>
      </c>
      <c r="N420" t="str">
        <f t="shared" si="90"/>
        <v/>
      </c>
      <c r="O420" t="str">
        <f>IF(L420&lt;&gt;"",Data!$M971,"")</f>
        <v/>
      </c>
      <c r="T420">
        <f>IF(OR(Dashboard!$P$4="All",Dashboard!$R$4="All"),NA(),IF(OR(Data!K971&lt;&gt;Dashboard!$P$4,Data!K971&lt;&gt;Dashboard!$R$4),Data!G971,NA()))</f>
        <v>53035.30213293706</v>
      </c>
      <c r="U420"/>
      <c r="AI420" s="13" t="s">
        <v>3330</v>
      </c>
      <c r="AJ420" s="8"/>
      <c r="AK420" s="8"/>
      <c r="AL420" s="8">
        <v>125000</v>
      </c>
      <c r="AM420" s="8">
        <v>1</v>
      </c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Q420" s="13" t="s">
        <v>3330</v>
      </c>
      <c r="BR420" s="8"/>
      <c r="BS420" s="8"/>
      <c r="BT420" s="8">
        <v>125000</v>
      </c>
      <c r="BU420" s="8"/>
      <c r="BV420" s="8"/>
    </row>
    <row r="421" spans="2:74">
      <c r="B421" t="e">
        <f>IF(Dashboard!$P$4="All",Data!G972,IF(Data!K972=Dashboard!$P$4,Data!G972,NA()))</f>
        <v>#N/A</v>
      </c>
      <c r="C421" t="str">
        <f t="shared" si="85"/>
        <v/>
      </c>
      <c r="D421" t="str">
        <f t="shared" si="86"/>
        <v/>
      </c>
      <c r="E421" t="str">
        <f t="shared" si="87"/>
        <v/>
      </c>
      <c r="F421" t="str">
        <f>IF(C421&lt;&gt;"",Data!$M972,"")</f>
        <v/>
      </c>
      <c r="K421" t="e">
        <f>IF(Dashboard!$R$4="All",Data!G972,IF(Data!K972=Dashboard!$R$4,Data!G972,NA()))</f>
        <v>#N/A</v>
      </c>
      <c r="L421" t="str">
        <f t="shared" si="88"/>
        <v/>
      </c>
      <c r="M421" t="str">
        <f t="shared" si="89"/>
        <v/>
      </c>
      <c r="N421" t="str">
        <f t="shared" si="90"/>
        <v/>
      </c>
      <c r="O421" t="str">
        <f>IF(L421&lt;&gt;"",Data!$M972,"")</f>
        <v/>
      </c>
      <c r="T421">
        <f>IF(OR(Dashboard!$P$4="All",Dashboard!$R$4="All"),NA(),IF(OR(Data!K972&lt;&gt;Dashboard!$P$4,Data!K972&lt;&gt;Dashboard!$R$4),Data!G972,NA()))</f>
        <v>125000</v>
      </c>
      <c r="U421"/>
      <c r="AI421" s="13" t="s">
        <v>3332</v>
      </c>
      <c r="AJ421" s="8"/>
      <c r="AK421" s="8"/>
      <c r="AL421" s="8"/>
      <c r="AM421" s="8"/>
      <c r="AN421" s="8"/>
      <c r="AO421" s="8"/>
      <c r="AP421" s="8">
        <v>105000</v>
      </c>
      <c r="AQ421" s="8">
        <v>1</v>
      </c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Q421" s="13" t="s">
        <v>3332</v>
      </c>
      <c r="BR421" s="8">
        <v>105000</v>
      </c>
      <c r="BS421" s="8"/>
      <c r="BT421" s="8"/>
      <c r="BU421" s="8"/>
      <c r="BV421" s="8"/>
    </row>
    <row r="422" spans="2:74">
      <c r="B422" t="e">
        <f>IF(Dashboard!$P$4="All",Data!G973,IF(Data!K973=Dashboard!$P$4,Data!G973,NA()))</f>
        <v>#N/A</v>
      </c>
      <c r="C422" t="str">
        <f t="shared" si="85"/>
        <v/>
      </c>
      <c r="D422" t="str">
        <f t="shared" si="86"/>
        <v/>
      </c>
      <c r="E422" t="str">
        <f t="shared" si="87"/>
        <v/>
      </c>
      <c r="F422" t="str">
        <f>IF(C422&lt;&gt;"",Data!$M973,"")</f>
        <v/>
      </c>
      <c r="K422" t="e">
        <f>IF(Dashboard!$R$4="All",Data!G973,IF(Data!K973=Dashboard!$R$4,Data!G973,NA()))</f>
        <v>#N/A</v>
      </c>
      <c r="L422" t="str">
        <f t="shared" si="88"/>
        <v/>
      </c>
      <c r="M422" t="str">
        <f t="shared" si="89"/>
        <v/>
      </c>
      <c r="N422" t="str">
        <f t="shared" si="90"/>
        <v/>
      </c>
      <c r="O422" t="str">
        <f>IF(L422&lt;&gt;"",Data!$M973,"")</f>
        <v/>
      </c>
      <c r="T422">
        <f>IF(OR(Dashboard!$P$4="All",Dashboard!$R$4="All"),NA(),IF(OR(Data!K973&lt;&gt;Dashboard!$P$4,Data!K973&lt;&gt;Dashboard!$R$4),Data!G973,NA()))</f>
        <v>19000</v>
      </c>
      <c r="U422"/>
      <c r="AI422" s="13" t="s">
        <v>3334</v>
      </c>
      <c r="AJ422" s="8">
        <v>75000</v>
      </c>
      <c r="AK422" s="8">
        <v>1</v>
      </c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Q422" s="13" t="s">
        <v>3334</v>
      </c>
      <c r="BR422" s="8"/>
      <c r="BS422" s="8"/>
      <c r="BT422" s="8">
        <v>75000</v>
      </c>
      <c r="BU422" s="8"/>
      <c r="BV422" s="8"/>
    </row>
    <row r="423" spans="2:74">
      <c r="B423" t="e">
        <f>IF(Dashboard!$P$4="All",Data!G974,IF(Data!K974=Dashboard!$P$4,Data!G974,NA()))</f>
        <v>#N/A</v>
      </c>
      <c r="C423" t="str">
        <f t="shared" si="85"/>
        <v/>
      </c>
      <c r="D423" t="str">
        <f t="shared" si="86"/>
        <v/>
      </c>
      <c r="E423" t="str">
        <f t="shared" si="87"/>
        <v/>
      </c>
      <c r="F423" t="str">
        <f>IF(C423&lt;&gt;"",Data!$M974,"")</f>
        <v/>
      </c>
      <c r="K423" t="e">
        <f>IF(Dashboard!$R$4="All",Data!G974,IF(Data!K974=Dashboard!$R$4,Data!G974,NA()))</f>
        <v>#N/A</v>
      </c>
      <c r="L423" t="str">
        <f t="shared" si="88"/>
        <v/>
      </c>
      <c r="M423" t="str">
        <f t="shared" si="89"/>
        <v/>
      </c>
      <c r="N423" t="str">
        <f t="shared" si="90"/>
        <v/>
      </c>
      <c r="O423" t="str">
        <f>IF(L423&lt;&gt;"",Data!$M974,"")</f>
        <v/>
      </c>
      <c r="T423">
        <f>IF(OR(Dashboard!$P$4="All",Dashboard!$R$4="All"),NA(),IF(OR(Data!K974&lt;&gt;Dashboard!$P$4,Data!K974&lt;&gt;Dashboard!$R$4),Data!G974,NA()))</f>
        <v>93831.688389042494</v>
      </c>
      <c r="U423"/>
      <c r="AI423" s="13" t="s">
        <v>3336</v>
      </c>
      <c r="AJ423" s="8">
        <v>110000</v>
      </c>
      <c r="AK423" s="8">
        <v>1</v>
      </c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Q423" s="13" t="s">
        <v>3336</v>
      </c>
      <c r="BR423" s="8">
        <v>110000</v>
      </c>
      <c r="BS423" s="8"/>
      <c r="BT423" s="8"/>
      <c r="BU423" s="8"/>
      <c r="BV423" s="8"/>
    </row>
    <row r="424" spans="2:74">
      <c r="B424" t="e">
        <f>IF(Dashboard!$P$4="All",Data!G975,IF(Data!K975=Dashboard!$P$4,Data!G975,NA()))</f>
        <v>#N/A</v>
      </c>
      <c r="C424" t="str">
        <f t="shared" si="85"/>
        <v/>
      </c>
      <c r="D424" t="str">
        <f t="shared" si="86"/>
        <v/>
      </c>
      <c r="E424" t="str">
        <f t="shared" si="87"/>
        <v/>
      </c>
      <c r="F424" t="str">
        <f>IF(C424&lt;&gt;"",Data!$M975,"")</f>
        <v/>
      </c>
      <c r="K424" t="e">
        <f>IF(Dashboard!$R$4="All",Data!G975,IF(Data!K975=Dashboard!$R$4,Data!G975,NA()))</f>
        <v>#N/A</v>
      </c>
      <c r="L424" t="str">
        <f t="shared" si="88"/>
        <v/>
      </c>
      <c r="M424" t="str">
        <f t="shared" si="89"/>
        <v/>
      </c>
      <c r="N424" t="str">
        <f t="shared" si="90"/>
        <v/>
      </c>
      <c r="O424" t="str">
        <f>IF(L424&lt;&gt;"",Data!$M975,"")</f>
        <v/>
      </c>
      <c r="T424">
        <f>IF(OR(Dashboard!$P$4="All",Dashboard!$R$4="All"),NA(),IF(OR(Data!K975&lt;&gt;Dashboard!$P$4,Data!K975&lt;&gt;Dashboard!$R$4),Data!G975,NA()))</f>
        <v>101990.96564026357</v>
      </c>
      <c r="U424"/>
      <c r="AI424" s="13" t="s">
        <v>3339</v>
      </c>
      <c r="AJ424" s="8"/>
      <c r="AK424" s="8"/>
      <c r="AL424" s="8">
        <v>125000</v>
      </c>
      <c r="AM424" s="8">
        <v>1</v>
      </c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Q424" s="13" t="s">
        <v>3339</v>
      </c>
      <c r="BR424" s="8"/>
      <c r="BS424" s="8"/>
      <c r="BT424" s="8">
        <v>125000</v>
      </c>
      <c r="BU424" s="8"/>
      <c r="BV424" s="8"/>
    </row>
    <row r="425" spans="2:74">
      <c r="B425" t="e">
        <f>IF(Dashboard!$P$4="All",Data!G976,IF(Data!K976=Dashboard!$P$4,Data!G976,NA()))</f>
        <v>#N/A</v>
      </c>
      <c r="C425" t="str">
        <f t="shared" si="85"/>
        <v/>
      </c>
      <c r="D425" t="str">
        <f t="shared" si="86"/>
        <v/>
      </c>
      <c r="E425" t="str">
        <f t="shared" si="87"/>
        <v/>
      </c>
      <c r="F425" t="str">
        <f>IF(C425&lt;&gt;"",Data!$M976,"")</f>
        <v/>
      </c>
      <c r="K425" t="e">
        <f>IF(Dashboard!$R$4="All",Data!G976,IF(Data!K976=Dashboard!$R$4,Data!G976,NA()))</f>
        <v>#N/A</v>
      </c>
      <c r="L425" t="str">
        <f t="shared" si="88"/>
        <v/>
      </c>
      <c r="M425" t="str">
        <f t="shared" si="89"/>
        <v/>
      </c>
      <c r="N425" t="str">
        <f t="shared" si="90"/>
        <v/>
      </c>
      <c r="O425" t="str">
        <f>IF(L425&lt;&gt;"",Data!$M976,"")</f>
        <v/>
      </c>
      <c r="T425">
        <f>IF(OR(Dashboard!$P$4="All",Dashboard!$R$4="All"),NA(),IF(OR(Data!K976&lt;&gt;Dashboard!$P$4,Data!K976&lt;&gt;Dashboard!$R$4),Data!G976,NA()))</f>
        <v>122389.15876831629</v>
      </c>
      <c r="U425"/>
      <c r="AI425" s="13" t="s">
        <v>3340</v>
      </c>
      <c r="AJ425" s="8">
        <v>60000</v>
      </c>
      <c r="AK425" s="8">
        <v>1</v>
      </c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Q425" s="13" t="s">
        <v>3340</v>
      </c>
      <c r="BR425" s="8"/>
      <c r="BS425" s="8"/>
      <c r="BT425" s="8"/>
      <c r="BU425" s="8">
        <v>60000</v>
      </c>
      <c r="BV425" s="8"/>
    </row>
    <row r="426" spans="2:74">
      <c r="B426" t="e">
        <f>IF(Dashboard!$P$4="All",Data!G977,IF(Data!K977=Dashboard!$P$4,Data!G977,NA()))</f>
        <v>#N/A</v>
      </c>
      <c r="C426" t="str">
        <f t="shared" si="85"/>
        <v/>
      </c>
      <c r="D426" t="str">
        <f t="shared" si="86"/>
        <v/>
      </c>
      <c r="E426" t="str">
        <f t="shared" si="87"/>
        <v/>
      </c>
      <c r="F426" t="str">
        <f>IF(C426&lt;&gt;"",Data!$M977,"")</f>
        <v/>
      </c>
      <c r="K426" t="e">
        <f>IF(Dashboard!$R$4="All",Data!G977,IF(Data!K977=Dashboard!$R$4,Data!G977,NA()))</f>
        <v>#N/A</v>
      </c>
      <c r="L426" t="str">
        <f t="shared" si="88"/>
        <v/>
      </c>
      <c r="M426" t="str">
        <f t="shared" si="89"/>
        <v/>
      </c>
      <c r="N426" t="str">
        <f t="shared" si="90"/>
        <v/>
      </c>
      <c r="O426" t="str">
        <f>IF(L426&lt;&gt;"",Data!$M977,"")</f>
        <v/>
      </c>
      <c r="T426">
        <f>IF(OR(Dashboard!$P$4="All",Dashboard!$R$4="All"),NA(),IF(OR(Data!K977&lt;&gt;Dashboard!$P$4,Data!K977&lt;&gt;Dashboard!$R$4),Data!G977,NA()))</f>
        <v>34417.653306061438</v>
      </c>
      <c r="U426"/>
      <c r="AI426" s="13" t="s">
        <v>3344</v>
      </c>
      <c r="AJ426" s="8"/>
      <c r="AK426" s="8"/>
      <c r="AL426" s="8">
        <v>57500</v>
      </c>
      <c r="AM426" s="8">
        <v>1</v>
      </c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Q426" s="13" t="s">
        <v>3344</v>
      </c>
      <c r="BR426" s="8"/>
      <c r="BS426" s="8"/>
      <c r="BT426" s="8">
        <v>57500</v>
      </c>
      <c r="BU426" s="8"/>
      <c r="BV426" s="8"/>
    </row>
    <row r="427" spans="2:74">
      <c r="B427" t="e">
        <f>IF(Dashboard!$P$4="All",Data!G978,IF(Data!K978=Dashboard!$P$4,Data!G978,NA()))</f>
        <v>#N/A</v>
      </c>
      <c r="C427" t="str">
        <f t="shared" si="85"/>
        <v/>
      </c>
      <c r="D427" t="str">
        <f t="shared" si="86"/>
        <v/>
      </c>
      <c r="E427" t="str">
        <f t="shared" si="87"/>
        <v/>
      </c>
      <c r="F427" t="str">
        <f>IF(C427&lt;&gt;"",Data!$M978,"")</f>
        <v/>
      </c>
      <c r="K427" t="e">
        <f>IF(Dashboard!$R$4="All",Data!G978,IF(Data!K978=Dashboard!$R$4,Data!G978,NA()))</f>
        <v>#N/A</v>
      </c>
      <c r="L427" t="str">
        <f t="shared" si="88"/>
        <v/>
      </c>
      <c r="M427" t="str">
        <f t="shared" si="89"/>
        <v/>
      </c>
      <c r="N427" t="str">
        <f t="shared" si="90"/>
        <v/>
      </c>
      <c r="O427" t="str">
        <f>IF(L427&lt;&gt;"",Data!$M978,"")</f>
        <v/>
      </c>
      <c r="T427">
        <f>IF(OR(Dashboard!$P$4="All",Dashboard!$R$4="All"),NA(),IF(OR(Data!K978&lt;&gt;Dashboard!$P$4,Data!K978&lt;&gt;Dashboard!$R$4),Data!G978,NA()))</f>
        <v>12000</v>
      </c>
      <c r="U427"/>
      <c r="AI427" s="13" t="s">
        <v>3346</v>
      </c>
      <c r="AJ427" s="8"/>
      <c r="AK427" s="8"/>
      <c r="AL427" s="8">
        <v>80000</v>
      </c>
      <c r="AM427" s="8">
        <v>1</v>
      </c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Q427" s="13" t="s">
        <v>3346</v>
      </c>
      <c r="BR427" s="8"/>
      <c r="BS427" s="8"/>
      <c r="BT427" s="8">
        <v>80000</v>
      </c>
      <c r="BU427" s="8"/>
      <c r="BV427" s="8"/>
    </row>
    <row r="428" spans="2:74">
      <c r="B428" t="e">
        <f>IF(Dashboard!$P$4="All",Data!G979,IF(Data!K979=Dashboard!$P$4,Data!G979,NA()))</f>
        <v>#N/A</v>
      </c>
      <c r="C428" t="str">
        <f t="shared" si="85"/>
        <v/>
      </c>
      <c r="D428" t="str">
        <f t="shared" si="86"/>
        <v/>
      </c>
      <c r="E428" t="str">
        <f t="shared" si="87"/>
        <v/>
      </c>
      <c r="F428" t="str">
        <f>IF(C428&lt;&gt;"",Data!$M979,"")</f>
        <v/>
      </c>
      <c r="K428" t="e">
        <f>IF(Dashboard!$R$4="All",Data!G979,IF(Data!K979=Dashboard!$R$4,Data!G979,NA()))</f>
        <v>#N/A</v>
      </c>
      <c r="L428" t="str">
        <f t="shared" si="88"/>
        <v/>
      </c>
      <c r="M428" t="str">
        <f t="shared" si="89"/>
        <v/>
      </c>
      <c r="N428" t="str">
        <f t="shared" si="90"/>
        <v/>
      </c>
      <c r="O428" t="str">
        <f>IF(L428&lt;&gt;"",Data!$M979,"")</f>
        <v/>
      </c>
      <c r="T428">
        <f>IF(OR(Dashboard!$P$4="All",Dashboard!$R$4="All"),NA(),IF(OR(Data!K979&lt;&gt;Dashboard!$P$4,Data!K979&lt;&gt;Dashboard!$R$4),Data!G979,NA()))</f>
        <v>3632.815004238284</v>
      </c>
      <c r="U428"/>
      <c r="AI428" s="13" t="s">
        <v>3348</v>
      </c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>
        <v>33000</v>
      </c>
      <c r="AY428" s="8">
        <v>1</v>
      </c>
      <c r="AZ428" s="8"/>
      <c r="BA428" s="8"/>
      <c r="BB428" s="8"/>
      <c r="BC428" s="8"/>
      <c r="BQ428" s="13" t="s">
        <v>3348</v>
      </c>
      <c r="BR428" s="8"/>
      <c r="BS428" s="8"/>
      <c r="BT428" s="8">
        <v>33000</v>
      </c>
      <c r="BU428" s="8"/>
      <c r="BV428" s="8"/>
    </row>
    <row r="429" spans="2:74">
      <c r="B429" t="e">
        <f>IF(Dashboard!$P$4="All",Data!G980,IF(Data!K980=Dashboard!$P$4,Data!G980,NA()))</f>
        <v>#N/A</v>
      </c>
      <c r="C429" t="str">
        <f t="shared" si="85"/>
        <v/>
      </c>
      <c r="D429" t="str">
        <f t="shared" si="86"/>
        <v/>
      </c>
      <c r="E429" t="str">
        <f t="shared" si="87"/>
        <v/>
      </c>
      <c r="F429" t="str">
        <f>IF(C429&lt;&gt;"",Data!$M980,"")</f>
        <v/>
      </c>
      <c r="K429" t="e">
        <f>IF(Dashboard!$R$4="All",Data!G980,IF(Data!K980=Dashboard!$R$4,Data!G980,NA()))</f>
        <v>#N/A</v>
      </c>
      <c r="L429" t="str">
        <f t="shared" si="88"/>
        <v/>
      </c>
      <c r="M429" t="str">
        <f t="shared" si="89"/>
        <v/>
      </c>
      <c r="N429" t="str">
        <f t="shared" si="90"/>
        <v/>
      </c>
      <c r="O429" t="str">
        <f>IF(L429&lt;&gt;"",Data!$M980,"")</f>
        <v/>
      </c>
      <c r="T429">
        <f>IF(OR(Dashboard!$P$4="All",Dashboard!$R$4="All"),NA(),IF(OR(Data!K980&lt;&gt;Dashboard!$P$4,Data!K980&lt;&gt;Dashboard!$R$4),Data!G980,NA()))</f>
        <v>21369.500024931083</v>
      </c>
      <c r="U429"/>
      <c r="AI429" s="13" t="s">
        <v>3349</v>
      </c>
      <c r="AJ429" s="8">
        <v>100000</v>
      </c>
      <c r="AK429" s="8">
        <v>1</v>
      </c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Q429" s="13" t="s">
        <v>3349</v>
      </c>
      <c r="BR429" s="8"/>
      <c r="BS429" s="8"/>
      <c r="BT429" s="8">
        <v>100000</v>
      </c>
      <c r="BU429" s="8"/>
      <c r="BV429" s="8"/>
    </row>
    <row r="430" spans="2:74">
      <c r="B430" t="e">
        <f>IF(Dashboard!$P$4="All",Data!G981,IF(Data!K981=Dashboard!$P$4,Data!G981,NA()))</f>
        <v>#N/A</v>
      </c>
      <c r="C430" t="str">
        <f t="shared" si="85"/>
        <v/>
      </c>
      <c r="D430" t="str">
        <f t="shared" si="86"/>
        <v/>
      </c>
      <c r="E430" t="str">
        <f t="shared" si="87"/>
        <v/>
      </c>
      <c r="F430" t="str">
        <f>IF(C430&lt;&gt;"",Data!$M981,"")</f>
        <v/>
      </c>
      <c r="K430" t="e">
        <f>IF(Dashboard!$R$4="All",Data!G981,IF(Data!K981=Dashboard!$R$4,Data!G981,NA()))</f>
        <v>#N/A</v>
      </c>
      <c r="L430" t="str">
        <f t="shared" si="88"/>
        <v/>
      </c>
      <c r="M430" t="str">
        <f t="shared" si="89"/>
        <v/>
      </c>
      <c r="N430" t="str">
        <f t="shared" si="90"/>
        <v/>
      </c>
      <c r="O430" t="str">
        <f>IF(L430&lt;&gt;"",Data!$M981,"")</f>
        <v/>
      </c>
      <c r="T430">
        <f>IF(OR(Dashboard!$P$4="All",Dashboard!$R$4="All"),NA(),IF(OR(Data!K981&lt;&gt;Dashboard!$P$4,Data!K981&lt;&gt;Dashboard!$R$4),Data!G981,NA()))</f>
        <v>8903.9583437212841</v>
      </c>
      <c r="U430"/>
      <c r="AI430" s="13" t="s">
        <v>3350</v>
      </c>
      <c r="AJ430" s="8"/>
      <c r="AK430" s="8"/>
      <c r="AL430" s="8">
        <v>60000</v>
      </c>
      <c r="AM430" s="8">
        <v>1</v>
      </c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Q430" s="13" t="s">
        <v>3350</v>
      </c>
      <c r="BR430" s="8"/>
      <c r="BS430" s="8">
        <v>60000</v>
      </c>
      <c r="BT430" s="8"/>
      <c r="BU430" s="8"/>
      <c r="BV430" s="8"/>
    </row>
    <row r="431" spans="2:74">
      <c r="B431" t="e">
        <f>IF(Dashboard!$P$4="All",Data!G982,IF(Data!K982=Dashboard!$P$4,Data!G982,NA()))</f>
        <v>#N/A</v>
      </c>
      <c r="C431" t="str">
        <f t="shared" si="85"/>
        <v/>
      </c>
      <c r="D431" t="str">
        <f t="shared" si="86"/>
        <v/>
      </c>
      <c r="E431" t="str">
        <f t="shared" si="87"/>
        <v/>
      </c>
      <c r="F431" t="str">
        <f>IF(C431&lt;&gt;"",Data!$M982,"")</f>
        <v/>
      </c>
      <c r="K431" t="e">
        <f>IF(Dashboard!$R$4="All",Data!G982,IF(Data!K982=Dashboard!$R$4,Data!G982,NA()))</f>
        <v>#N/A</v>
      </c>
      <c r="L431" t="str">
        <f t="shared" si="88"/>
        <v/>
      </c>
      <c r="M431" t="str">
        <f t="shared" si="89"/>
        <v/>
      </c>
      <c r="N431" t="str">
        <f t="shared" si="90"/>
        <v/>
      </c>
      <c r="O431" t="str">
        <f>IF(L431&lt;&gt;"",Data!$M982,"")</f>
        <v/>
      </c>
      <c r="T431">
        <f>IF(OR(Dashboard!$P$4="All",Dashboard!$R$4="All"),NA(),IF(OR(Data!K982&lt;&gt;Dashboard!$P$4,Data!K982&lt;&gt;Dashboard!$R$4),Data!G982,NA()))</f>
        <v>15206.427249917633</v>
      </c>
      <c r="U431"/>
      <c r="AI431" s="13" t="s">
        <v>3351</v>
      </c>
      <c r="AJ431" s="8">
        <v>95000</v>
      </c>
      <c r="AK431" s="8">
        <v>1</v>
      </c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Q431" s="13" t="s">
        <v>3351</v>
      </c>
      <c r="BR431" s="8"/>
      <c r="BS431" s="8">
        <v>95000</v>
      </c>
      <c r="BT431" s="8"/>
      <c r="BU431" s="8"/>
      <c r="BV431" s="8"/>
    </row>
    <row r="432" spans="2:74">
      <c r="B432" t="e">
        <f>IF(Dashboard!$P$4="All",Data!G983,IF(Data!K983=Dashboard!$P$4,Data!G983,NA()))</f>
        <v>#N/A</v>
      </c>
      <c r="C432" t="str">
        <f t="shared" si="85"/>
        <v/>
      </c>
      <c r="D432" t="str">
        <f t="shared" si="86"/>
        <v/>
      </c>
      <c r="E432" t="str">
        <f t="shared" si="87"/>
        <v/>
      </c>
      <c r="F432" t="str">
        <f>IF(C432&lt;&gt;"",Data!$M983,"")</f>
        <v/>
      </c>
      <c r="K432" t="e">
        <f>IF(Dashboard!$R$4="All",Data!G983,IF(Data!K983=Dashboard!$R$4,Data!G983,NA()))</f>
        <v>#N/A</v>
      </c>
      <c r="L432" t="str">
        <f t="shared" si="88"/>
        <v/>
      </c>
      <c r="M432" t="str">
        <f t="shared" si="89"/>
        <v/>
      </c>
      <c r="N432" t="str">
        <f t="shared" si="90"/>
        <v/>
      </c>
      <c r="O432" t="str">
        <f>IF(L432&lt;&gt;"",Data!$M983,"")</f>
        <v/>
      </c>
      <c r="T432">
        <f>IF(OR(Dashboard!$P$4="All",Dashboard!$R$4="All"),NA(),IF(OR(Data!K983&lt;&gt;Dashboard!$P$4,Data!K983&lt;&gt;Dashboard!$R$4),Data!G983,NA()))</f>
        <v>143565.85684888897</v>
      </c>
      <c r="U432"/>
      <c r="AI432" s="13" t="s">
        <v>3352</v>
      </c>
      <c r="AJ432" s="8">
        <v>24000</v>
      </c>
      <c r="AK432" s="8">
        <v>1</v>
      </c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Q432" s="13" t="s">
        <v>3352</v>
      </c>
      <c r="BR432" s="8">
        <v>24000</v>
      </c>
      <c r="BS432" s="8"/>
      <c r="BT432" s="8"/>
      <c r="BU432" s="8"/>
      <c r="BV432" s="8"/>
    </row>
    <row r="433" spans="2:74">
      <c r="B433" t="e">
        <f>IF(Dashboard!$P$4="All",Data!G984,IF(Data!K984=Dashboard!$P$4,Data!G984,NA()))</f>
        <v>#N/A</v>
      </c>
      <c r="C433" t="str">
        <f t="shared" si="85"/>
        <v/>
      </c>
      <c r="D433" t="str">
        <f t="shared" si="86"/>
        <v/>
      </c>
      <c r="E433" t="str">
        <f t="shared" si="87"/>
        <v/>
      </c>
      <c r="F433" t="str">
        <f>IF(C433&lt;&gt;"",Data!$M984,"")</f>
        <v/>
      </c>
      <c r="K433" t="e">
        <f>IF(Dashboard!$R$4="All",Data!G984,IF(Data!K984=Dashboard!$R$4,Data!G984,NA()))</f>
        <v>#N/A</v>
      </c>
      <c r="L433" t="str">
        <f t="shared" si="88"/>
        <v/>
      </c>
      <c r="M433" t="str">
        <f t="shared" si="89"/>
        <v/>
      </c>
      <c r="N433" t="str">
        <f t="shared" si="90"/>
        <v/>
      </c>
      <c r="O433" t="str">
        <f>IF(L433&lt;&gt;"",Data!$M984,"")</f>
        <v/>
      </c>
      <c r="T433">
        <f>IF(OR(Dashboard!$P$4="All",Dashboard!$R$4="All"),NA(),IF(OR(Data!K984&lt;&gt;Dashboard!$P$4,Data!K984&lt;&gt;Dashboard!$R$4),Data!G984,NA()))</f>
        <v>9705.3145946561999</v>
      </c>
      <c r="U433"/>
      <c r="AI433" s="13" t="s">
        <v>3353</v>
      </c>
      <c r="AJ433" s="8"/>
      <c r="AK433" s="8"/>
      <c r="AL433" s="8"/>
      <c r="AM433" s="8"/>
      <c r="AN433" s="8"/>
      <c r="AO433" s="8"/>
      <c r="AP433" s="8"/>
      <c r="AQ433" s="8"/>
      <c r="AR433" s="8">
        <v>50000</v>
      </c>
      <c r="AS433" s="8">
        <v>1</v>
      </c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Q433" s="13" t="s">
        <v>3353</v>
      </c>
      <c r="BR433" s="8"/>
      <c r="BS433" s="8"/>
      <c r="BT433" s="8">
        <v>50000</v>
      </c>
      <c r="BU433" s="8"/>
      <c r="BV433" s="8"/>
    </row>
    <row r="434" spans="2:74">
      <c r="B434" t="e">
        <f>IF(Dashboard!$P$4="All",Data!G985,IF(Data!K985=Dashboard!$P$4,Data!G985,NA()))</f>
        <v>#N/A</v>
      </c>
      <c r="C434" t="str">
        <f t="shared" si="85"/>
        <v/>
      </c>
      <c r="D434" t="str">
        <f t="shared" si="86"/>
        <v/>
      </c>
      <c r="E434" t="str">
        <f t="shared" si="87"/>
        <v/>
      </c>
      <c r="F434" t="str">
        <f>IF(C434&lt;&gt;"",Data!$M985,"")</f>
        <v/>
      </c>
      <c r="K434" t="e">
        <f>IF(Dashboard!$R$4="All",Data!G985,IF(Data!K985=Dashboard!$R$4,Data!G985,NA()))</f>
        <v>#N/A</v>
      </c>
      <c r="L434" t="str">
        <f t="shared" si="88"/>
        <v/>
      </c>
      <c r="M434" t="str">
        <f t="shared" si="89"/>
        <v/>
      </c>
      <c r="N434" t="str">
        <f t="shared" si="90"/>
        <v/>
      </c>
      <c r="O434" t="str">
        <f>IF(L434&lt;&gt;"",Data!$M985,"")</f>
        <v/>
      </c>
      <c r="T434">
        <f>IF(OR(Dashboard!$P$4="All",Dashboard!$R$4="All"),NA(),IF(OR(Data!K985&lt;&gt;Dashboard!$P$4,Data!K985&lt;&gt;Dashboard!$R$4),Data!G985,NA()))</f>
        <v>17807.916687442568</v>
      </c>
      <c r="U434"/>
      <c r="AI434" s="13" t="s">
        <v>3354</v>
      </c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>
        <v>103000</v>
      </c>
      <c r="AY434" s="8">
        <v>1</v>
      </c>
      <c r="AZ434" s="8"/>
      <c r="BA434" s="8"/>
      <c r="BB434" s="8"/>
      <c r="BC434" s="8"/>
      <c r="BQ434" s="13" t="s">
        <v>3354</v>
      </c>
      <c r="BR434" s="8"/>
      <c r="BS434" s="8"/>
      <c r="BT434" s="8">
        <v>103000</v>
      </c>
      <c r="BU434" s="8"/>
      <c r="BV434" s="8"/>
    </row>
    <row r="435" spans="2:74">
      <c r="B435" t="e">
        <f>IF(Dashboard!$P$4="All",Data!G986,IF(Data!K986=Dashboard!$P$4,Data!G986,NA()))</f>
        <v>#N/A</v>
      </c>
      <c r="C435" t="str">
        <f t="shared" si="85"/>
        <v/>
      </c>
      <c r="D435" t="str">
        <f t="shared" si="86"/>
        <v/>
      </c>
      <c r="E435" t="str">
        <f t="shared" si="87"/>
        <v/>
      </c>
      <c r="F435" t="str">
        <f>IF(C435&lt;&gt;"",Data!$M986,"")</f>
        <v/>
      </c>
      <c r="K435" t="e">
        <f>IF(Dashboard!$R$4="All",Data!G986,IF(Data!K986=Dashboard!$R$4,Data!G986,NA()))</f>
        <v>#N/A</v>
      </c>
      <c r="L435" t="str">
        <f t="shared" si="88"/>
        <v/>
      </c>
      <c r="M435" t="str">
        <f t="shared" si="89"/>
        <v/>
      </c>
      <c r="N435" t="str">
        <f t="shared" si="90"/>
        <v/>
      </c>
      <c r="O435" t="str">
        <f>IF(L435&lt;&gt;"",Data!$M986,"")</f>
        <v/>
      </c>
      <c r="T435">
        <f>IF(OR(Dashboard!$P$4="All",Dashboard!$R$4="All"),NA(),IF(OR(Data!K986&lt;&gt;Dashboard!$P$4,Data!K986&lt;&gt;Dashboard!$R$4),Data!G986,NA()))</f>
        <v>3205.4250037396623</v>
      </c>
      <c r="U435"/>
      <c r="AI435" s="13" t="s">
        <v>3355</v>
      </c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>
        <v>36000</v>
      </c>
      <c r="AU435" s="8">
        <v>1</v>
      </c>
      <c r="AV435" s="8"/>
      <c r="AW435" s="8"/>
      <c r="AX435" s="8"/>
      <c r="AY435" s="8"/>
      <c r="AZ435" s="8"/>
      <c r="BA435" s="8"/>
      <c r="BB435" s="8"/>
      <c r="BC435" s="8"/>
      <c r="BQ435" s="13" t="s">
        <v>3355</v>
      </c>
      <c r="BR435" s="8"/>
      <c r="BS435" s="8"/>
      <c r="BT435" s="8"/>
      <c r="BU435" s="8">
        <v>36000</v>
      </c>
      <c r="BV435" s="8"/>
    </row>
    <row r="436" spans="2:74">
      <c r="B436" t="e">
        <f>IF(Dashboard!$P$4="All",Data!G987,IF(Data!K987=Dashboard!$P$4,Data!G987,NA()))</f>
        <v>#N/A</v>
      </c>
      <c r="C436" t="str">
        <f t="shared" si="85"/>
        <v/>
      </c>
      <c r="D436" t="str">
        <f t="shared" si="86"/>
        <v/>
      </c>
      <c r="E436" t="str">
        <f t="shared" si="87"/>
        <v/>
      </c>
      <c r="F436" t="str">
        <f>IF(C436&lt;&gt;"",Data!$M987,"")</f>
        <v/>
      </c>
      <c r="K436" t="e">
        <f>IF(Dashboard!$R$4="All",Data!G987,IF(Data!K987=Dashboard!$R$4,Data!G987,NA()))</f>
        <v>#N/A</v>
      </c>
      <c r="L436" t="str">
        <f t="shared" si="88"/>
        <v/>
      </c>
      <c r="M436" t="str">
        <f t="shared" si="89"/>
        <v/>
      </c>
      <c r="N436" t="str">
        <f t="shared" si="90"/>
        <v/>
      </c>
      <c r="O436" t="str">
        <f>IF(L436&lt;&gt;"",Data!$M987,"")</f>
        <v/>
      </c>
      <c r="T436">
        <f>IF(OR(Dashboard!$P$4="All",Dashboard!$R$4="All"),NA(),IF(OR(Data!K987&lt;&gt;Dashboard!$P$4,Data!K987&lt;&gt;Dashboard!$R$4),Data!G987,NA()))</f>
        <v>45000</v>
      </c>
      <c r="U436"/>
      <c r="AI436" s="13" t="s">
        <v>3356</v>
      </c>
      <c r="AJ436" s="8">
        <v>85000</v>
      </c>
      <c r="AK436" s="8">
        <v>1</v>
      </c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Q436" s="13" t="s">
        <v>3356</v>
      </c>
      <c r="BR436" s="8"/>
      <c r="BS436" s="8"/>
      <c r="BT436" s="8">
        <v>85000</v>
      </c>
      <c r="BU436" s="8"/>
      <c r="BV436" s="8"/>
    </row>
    <row r="437" spans="2:74">
      <c r="B437" t="e">
        <f>IF(Dashboard!$P$4="All",Data!G988,IF(Data!K988=Dashboard!$P$4,Data!G988,NA()))</f>
        <v>#N/A</v>
      </c>
      <c r="C437" t="str">
        <f t="shared" si="85"/>
        <v/>
      </c>
      <c r="D437" t="str">
        <f t="shared" si="86"/>
        <v/>
      </c>
      <c r="E437" t="str">
        <f t="shared" si="87"/>
        <v/>
      </c>
      <c r="F437" t="str">
        <f>IF(C437&lt;&gt;"",Data!$M988,"")</f>
        <v/>
      </c>
      <c r="K437" t="e">
        <f>IF(Dashboard!$R$4="All",Data!G988,IF(Data!K988=Dashboard!$R$4,Data!G988,NA()))</f>
        <v>#N/A</v>
      </c>
      <c r="L437" t="str">
        <f t="shared" si="88"/>
        <v/>
      </c>
      <c r="M437" t="str">
        <f t="shared" si="89"/>
        <v/>
      </c>
      <c r="N437" t="str">
        <f t="shared" si="90"/>
        <v/>
      </c>
      <c r="O437" t="str">
        <f>IF(L437&lt;&gt;"",Data!$M988,"")</f>
        <v/>
      </c>
      <c r="T437">
        <f>IF(OR(Dashboard!$P$4="All",Dashboard!$R$4="All"),NA(),IF(OR(Data!K988&lt;&gt;Dashboard!$P$4,Data!K988&lt;&gt;Dashboard!$R$4),Data!G988,NA()))</f>
        <v>12465.541681209797</v>
      </c>
      <c r="U437"/>
      <c r="AI437" s="13" t="s">
        <v>3359</v>
      </c>
      <c r="AJ437" s="8"/>
      <c r="AK437" s="8"/>
      <c r="AL437" s="8"/>
      <c r="AM437" s="8"/>
      <c r="AN437" s="8"/>
      <c r="AO437" s="8"/>
      <c r="AP437" s="8"/>
      <c r="AQ437" s="8"/>
      <c r="AR437" s="8">
        <v>85000</v>
      </c>
      <c r="AS437" s="8">
        <v>1</v>
      </c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Q437" s="13" t="s">
        <v>3359</v>
      </c>
      <c r="BR437" s="8"/>
      <c r="BS437" s="8">
        <v>85000</v>
      </c>
      <c r="BT437" s="8"/>
      <c r="BU437" s="8"/>
      <c r="BV437" s="8"/>
    </row>
    <row r="438" spans="2:74">
      <c r="B438" t="e">
        <f>IF(Dashboard!$P$4="All",Data!G989,IF(Data!K989=Dashboard!$P$4,Data!G989,NA()))</f>
        <v>#N/A</v>
      </c>
      <c r="C438" t="str">
        <f t="shared" si="85"/>
        <v/>
      </c>
      <c r="D438" t="str">
        <f t="shared" si="86"/>
        <v/>
      </c>
      <c r="E438" t="str">
        <f t="shared" si="87"/>
        <v/>
      </c>
      <c r="F438" t="str">
        <f>IF(C438&lt;&gt;"",Data!$M989,"")</f>
        <v/>
      </c>
      <c r="K438" t="e">
        <f>IF(Dashboard!$R$4="All",Data!G989,IF(Data!K989=Dashboard!$R$4,Data!G989,NA()))</f>
        <v>#N/A</v>
      </c>
      <c r="L438" t="str">
        <f t="shared" si="88"/>
        <v/>
      </c>
      <c r="M438" t="str">
        <f t="shared" si="89"/>
        <v/>
      </c>
      <c r="N438" t="str">
        <f t="shared" si="90"/>
        <v/>
      </c>
      <c r="O438" t="str">
        <f>IF(L438&lt;&gt;"",Data!$M989,"")</f>
        <v/>
      </c>
      <c r="T438">
        <f>IF(OR(Dashboard!$P$4="All",Dashboard!$R$4="All"),NA(),IF(OR(Data!K989&lt;&gt;Dashboard!$P$4,Data!K989&lt;&gt;Dashboard!$R$4),Data!G989,NA()))</f>
        <v>95871.50770184776</v>
      </c>
      <c r="U438"/>
      <c r="AI438" s="13" t="s">
        <v>3360</v>
      </c>
      <c r="AJ438" s="8"/>
      <c r="AK438" s="8"/>
      <c r="AL438" s="8">
        <v>120000</v>
      </c>
      <c r="AM438" s="8">
        <v>1</v>
      </c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Q438" s="13" t="s">
        <v>3360</v>
      </c>
      <c r="BR438" s="8"/>
      <c r="BS438" s="8">
        <v>120000</v>
      </c>
      <c r="BT438" s="8"/>
      <c r="BU438" s="8"/>
      <c r="BV438" s="8"/>
    </row>
    <row r="439" spans="2:74">
      <c r="B439" t="e">
        <f>IF(Dashboard!$P$4="All",Data!G990,IF(Data!K990=Dashboard!$P$4,Data!G990,NA()))</f>
        <v>#N/A</v>
      </c>
      <c r="C439" t="str">
        <f t="shared" si="85"/>
        <v/>
      </c>
      <c r="D439" t="str">
        <f t="shared" si="86"/>
        <v/>
      </c>
      <c r="E439" t="str">
        <f t="shared" si="87"/>
        <v/>
      </c>
      <c r="F439" t="str">
        <f>IF(C439&lt;&gt;"",Data!$M990,"")</f>
        <v/>
      </c>
      <c r="K439" t="e">
        <f>IF(Dashboard!$R$4="All",Data!G990,IF(Data!K990=Dashboard!$R$4,Data!G990,NA()))</f>
        <v>#N/A</v>
      </c>
      <c r="L439" t="str">
        <f t="shared" si="88"/>
        <v/>
      </c>
      <c r="M439" t="str">
        <f t="shared" si="89"/>
        <v/>
      </c>
      <c r="N439" t="str">
        <f t="shared" si="90"/>
        <v/>
      </c>
      <c r="O439" t="str">
        <f>IF(L439&lt;&gt;"",Data!$M990,"")</f>
        <v/>
      </c>
      <c r="T439">
        <f>IF(OR(Dashboard!$P$4="All",Dashboard!$R$4="All"),NA(),IF(OR(Data!K990&lt;&gt;Dashboard!$P$4,Data!K990&lt;&gt;Dashboard!$R$4),Data!G990,NA()))</f>
        <v>173384.64158844808</v>
      </c>
      <c r="U439"/>
      <c r="AI439" s="13" t="s">
        <v>3361</v>
      </c>
      <c r="AJ439" s="8"/>
      <c r="AK439" s="8"/>
      <c r="AL439" s="8"/>
      <c r="AM439" s="8"/>
      <c r="AN439" s="8"/>
      <c r="AO439" s="8"/>
      <c r="AP439" s="8"/>
      <c r="AQ439" s="8"/>
      <c r="AR439" s="8">
        <v>69960</v>
      </c>
      <c r="AS439" s="8">
        <v>1</v>
      </c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Q439" s="13" t="s">
        <v>3361</v>
      </c>
      <c r="BR439" s="8"/>
      <c r="BS439" s="8">
        <v>69960</v>
      </c>
      <c r="BT439" s="8"/>
      <c r="BU439" s="8"/>
      <c r="BV439" s="8"/>
    </row>
    <row r="440" spans="2:74">
      <c r="B440" t="e">
        <f>IF(Dashboard!$P$4="All",Data!G991,IF(Data!K991=Dashboard!$P$4,Data!G991,NA()))</f>
        <v>#N/A</v>
      </c>
      <c r="C440" t="str">
        <f t="shared" si="85"/>
        <v/>
      </c>
      <c r="D440" t="str">
        <f t="shared" si="86"/>
        <v/>
      </c>
      <c r="E440" t="str">
        <f t="shared" si="87"/>
        <v/>
      </c>
      <c r="F440" t="str">
        <f>IF(C440&lt;&gt;"",Data!$M991,"")</f>
        <v/>
      </c>
      <c r="K440" t="e">
        <f>IF(Dashboard!$R$4="All",Data!G991,IF(Data!K991=Dashboard!$R$4,Data!G991,NA()))</f>
        <v>#N/A</v>
      </c>
      <c r="L440" t="str">
        <f t="shared" si="88"/>
        <v/>
      </c>
      <c r="M440" t="str">
        <f t="shared" si="89"/>
        <v/>
      </c>
      <c r="N440" t="str">
        <f t="shared" si="90"/>
        <v/>
      </c>
      <c r="O440" t="str">
        <f>IF(L440&lt;&gt;"",Data!$M991,"")</f>
        <v/>
      </c>
      <c r="T440">
        <f>IF(OR(Dashboard!$P$4="All",Dashboard!$R$4="All"),NA(),IF(OR(Data!K991&lt;&gt;Dashboard!$P$4,Data!K991&lt;&gt;Dashboard!$R$4),Data!G991,NA()))</f>
        <v>11575.14584683767</v>
      </c>
      <c r="U440"/>
      <c r="AI440" s="13" t="s">
        <v>3362</v>
      </c>
      <c r="AJ440" s="8"/>
      <c r="AK440" s="8"/>
      <c r="AL440" s="8">
        <v>97000</v>
      </c>
      <c r="AM440" s="8">
        <v>1</v>
      </c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Q440" s="13" t="s">
        <v>3362</v>
      </c>
      <c r="BR440" s="8"/>
      <c r="BS440" s="8"/>
      <c r="BT440" s="8">
        <v>97000</v>
      </c>
      <c r="BU440" s="8"/>
      <c r="BV440" s="8"/>
    </row>
    <row r="441" spans="2:74">
      <c r="B441" t="e">
        <f>IF(Dashboard!$P$4="All",Data!G992,IF(Data!K992=Dashboard!$P$4,Data!G992,NA()))</f>
        <v>#N/A</v>
      </c>
      <c r="C441" t="str">
        <f t="shared" si="85"/>
        <v/>
      </c>
      <c r="D441" t="str">
        <f t="shared" si="86"/>
        <v/>
      </c>
      <c r="E441" t="str">
        <f t="shared" si="87"/>
        <v/>
      </c>
      <c r="F441" t="str">
        <f>IF(C441&lt;&gt;"",Data!$M992,"")</f>
        <v/>
      </c>
      <c r="K441" t="e">
        <f>IF(Dashboard!$R$4="All",Data!G992,IF(Data!K992=Dashboard!$R$4,Data!G992,NA()))</f>
        <v>#N/A</v>
      </c>
      <c r="L441" t="str">
        <f t="shared" si="88"/>
        <v/>
      </c>
      <c r="M441" t="str">
        <f t="shared" si="89"/>
        <v/>
      </c>
      <c r="N441" t="str">
        <f t="shared" si="90"/>
        <v/>
      </c>
      <c r="O441" t="str">
        <f>IF(L441&lt;&gt;"",Data!$M992,"")</f>
        <v/>
      </c>
      <c r="T441">
        <f>IF(OR(Dashboard!$P$4="All",Dashboard!$R$4="All"),NA(),IF(OR(Data!K992&lt;&gt;Dashboard!$P$4,Data!K992&lt;&gt;Dashboard!$R$4),Data!G992,NA()))</f>
        <v>18000</v>
      </c>
      <c r="U441"/>
      <c r="AI441" s="13" t="s">
        <v>3366</v>
      </c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>
        <v>62000</v>
      </c>
      <c r="AU441" s="8">
        <v>1</v>
      </c>
      <c r="AV441" s="8"/>
      <c r="AW441" s="8"/>
      <c r="AX441" s="8"/>
      <c r="AY441" s="8"/>
      <c r="AZ441" s="8"/>
      <c r="BA441" s="8"/>
      <c r="BB441" s="8"/>
      <c r="BC441" s="8"/>
      <c r="BQ441" s="13" t="s">
        <v>3366</v>
      </c>
      <c r="BR441" s="8"/>
      <c r="BS441" s="8"/>
      <c r="BT441" s="8"/>
      <c r="BU441" s="8">
        <v>62000</v>
      </c>
      <c r="BV441" s="8"/>
    </row>
    <row r="442" spans="2:74">
      <c r="B442" t="e">
        <f>IF(Dashboard!$P$4="All",Data!G993,IF(Data!K993=Dashboard!$P$4,Data!G993,NA()))</f>
        <v>#N/A</v>
      </c>
      <c r="C442" t="str">
        <f t="shared" si="85"/>
        <v/>
      </c>
      <c r="D442" t="str">
        <f t="shared" si="86"/>
        <v/>
      </c>
      <c r="E442" t="str">
        <f t="shared" si="87"/>
        <v/>
      </c>
      <c r="F442" t="str">
        <f>IF(C442&lt;&gt;"",Data!$M993,"")</f>
        <v/>
      </c>
      <c r="K442" t="e">
        <f>IF(Dashboard!$R$4="All",Data!G993,IF(Data!K993=Dashboard!$R$4,Data!G993,NA()))</f>
        <v>#N/A</v>
      </c>
      <c r="L442" t="str">
        <f t="shared" si="88"/>
        <v/>
      </c>
      <c r="M442" t="str">
        <f t="shared" si="89"/>
        <v/>
      </c>
      <c r="N442" t="str">
        <f t="shared" si="90"/>
        <v/>
      </c>
      <c r="O442" t="str">
        <f>IF(L442&lt;&gt;"",Data!$M993,"")</f>
        <v/>
      </c>
      <c r="T442">
        <f>IF(OR(Dashboard!$P$4="All",Dashboard!$R$4="All"),NA(),IF(OR(Data!K993&lt;&gt;Dashboard!$P$4,Data!K993&lt;&gt;Dashboard!$R$4),Data!G993,NA()))</f>
        <v>71393.675948184507</v>
      </c>
      <c r="U442"/>
      <c r="AI442" s="13" t="s">
        <v>3367</v>
      </c>
      <c r="AJ442" s="8"/>
      <c r="AK442" s="8"/>
      <c r="AL442" s="8"/>
      <c r="AM442" s="8"/>
      <c r="AN442" s="8"/>
      <c r="AO442" s="8"/>
      <c r="AP442" s="8"/>
      <c r="AQ442" s="8"/>
      <c r="AR442" s="8">
        <v>44000</v>
      </c>
      <c r="AS442" s="8">
        <v>1</v>
      </c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Q442" s="13" t="s">
        <v>3367</v>
      </c>
      <c r="BR442" s="8"/>
      <c r="BS442" s="8"/>
      <c r="BT442" s="8">
        <v>44000</v>
      </c>
      <c r="BU442" s="8"/>
      <c r="BV442" s="8"/>
    </row>
    <row r="443" spans="2:74">
      <c r="B443" t="e">
        <f>IF(Dashboard!$P$4="All",Data!G994,IF(Data!K994=Dashboard!$P$4,Data!G994,NA()))</f>
        <v>#N/A</v>
      </c>
      <c r="C443" t="str">
        <f t="shared" si="85"/>
        <v/>
      </c>
      <c r="D443" t="str">
        <f t="shared" si="86"/>
        <v/>
      </c>
      <c r="E443" t="str">
        <f t="shared" si="87"/>
        <v/>
      </c>
      <c r="F443" t="str">
        <f>IF(C443&lt;&gt;"",Data!$M994,"")</f>
        <v/>
      </c>
      <c r="K443" t="e">
        <f>IF(Dashboard!$R$4="All",Data!G994,IF(Data!K994=Dashboard!$R$4,Data!G994,NA()))</f>
        <v>#N/A</v>
      </c>
      <c r="L443" t="str">
        <f t="shared" si="88"/>
        <v/>
      </c>
      <c r="M443" t="str">
        <f t="shared" si="89"/>
        <v/>
      </c>
      <c r="N443" t="str">
        <f t="shared" si="90"/>
        <v/>
      </c>
      <c r="O443" t="str">
        <f>IF(L443&lt;&gt;"",Data!$M994,"")</f>
        <v/>
      </c>
      <c r="T443">
        <f>IF(OR(Dashboard!$P$4="All",Dashboard!$R$4="All"),NA(),IF(OR(Data!K994&lt;&gt;Dashboard!$P$4,Data!K994&lt;&gt;Dashboard!$R$4),Data!G994,NA()))</f>
        <v>6232.7708406048987</v>
      </c>
      <c r="U443"/>
      <c r="AI443" s="13" t="s">
        <v>3368</v>
      </c>
      <c r="AJ443" s="8"/>
      <c r="AK443" s="8"/>
      <c r="AL443" s="8">
        <v>150000</v>
      </c>
      <c r="AM443" s="8">
        <v>1</v>
      </c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Q443" s="13" t="s">
        <v>3368</v>
      </c>
      <c r="BR443" s="8"/>
      <c r="BS443" s="8">
        <v>150000</v>
      </c>
      <c r="BT443" s="8"/>
      <c r="BU443" s="8"/>
      <c r="BV443" s="8"/>
    </row>
    <row r="444" spans="2:74">
      <c r="B444" t="e">
        <f>IF(Dashboard!$P$4="All",Data!G995,IF(Data!K995=Dashboard!$P$4,Data!G995,NA()))</f>
        <v>#N/A</v>
      </c>
      <c r="C444" t="str">
        <f t="shared" si="85"/>
        <v/>
      </c>
      <c r="D444" t="str">
        <f t="shared" si="86"/>
        <v/>
      </c>
      <c r="E444" t="str">
        <f t="shared" si="87"/>
        <v/>
      </c>
      <c r="F444" t="str">
        <f>IF(C444&lt;&gt;"",Data!$M995,"")</f>
        <v/>
      </c>
      <c r="K444" t="e">
        <f>IF(Dashboard!$R$4="All",Data!G995,IF(Data!K995=Dashboard!$R$4,Data!G995,NA()))</f>
        <v>#N/A</v>
      </c>
      <c r="L444" t="str">
        <f t="shared" si="88"/>
        <v/>
      </c>
      <c r="M444" t="str">
        <f t="shared" si="89"/>
        <v/>
      </c>
      <c r="N444" t="str">
        <f t="shared" si="90"/>
        <v/>
      </c>
      <c r="O444" t="str">
        <f>IF(L444&lt;&gt;"",Data!$M995,"")</f>
        <v/>
      </c>
      <c r="T444">
        <f>IF(OR(Dashboard!$P$4="All",Dashboard!$R$4="All"),NA(),IF(OR(Data!K995&lt;&gt;Dashboard!$P$4,Data!K995&lt;&gt;Dashboard!$R$4),Data!G995,NA()))</f>
        <v>1805.7739622442759</v>
      </c>
      <c r="U444"/>
      <c r="AI444" s="13" t="s">
        <v>3370</v>
      </c>
      <c r="AJ444" s="8">
        <v>73500</v>
      </c>
      <c r="AK444" s="8">
        <v>1</v>
      </c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Q444" s="13" t="s">
        <v>3370</v>
      </c>
      <c r="BR444" s="8"/>
      <c r="BS444" s="8"/>
      <c r="BT444" s="8"/>
      <c r="BU444" s="8">
        <v>73500</v>
      </c>
      <c r="BV444" s="8"/>
    </row>
    <row r="445" spans="2:74">
      <c r="B445" t="e">
        <f>IF(Dashboard!$P$4="All",Data!G996,IF(Data!K996=Dashboard!$P$4,Data!G996,NA()))</f>
        <v>#N/A</v>
      </c>
      <c r="C445" t="str">
        <f t="shared" si="85"/>
        <v/>
      </c>
      <c r="D445" t="str">
        <f t="shared" si="86"/>
        <v/>
      </c>
      <c r="E445" t="str">
        <f t="shared" si="87"/>
        <v/>
      </c>
      <c r="F445" t="str">
        <f>IF(C445&lt;&gt;"",Data!$M996,"")</f>
        <v/>
      </c>
      <c r="K445" t="e">
        <f>IF(Dashboard!$R$4="All",Data!G996,IF(Data!K996=Dashboard!$R$4,Data!G996,NA()))</f>
        <v>#N/A</v>
      </c>
      <c r="L445" t="str">
        <f t="shared" si="88"/>
        <v/>
      </c>
      <c r="M445" t="str">
        <f t="shared" si="89"/>
        <v/>
      </c>
      <c r="N445" t="str">
        <f t="shared" si="90"/>
        <v/>
      </c>
      <c r="O445" t="str">
        <f>IF(L445&lt;&gt;"",Data!$M996,"")</f>
        <v/>
      </c>
      <c r="T445">
        <f>IF(OR(Dashboard!$P$4="All",Dashboard!$R$4="All"),NA(),IF(OR(Data!K996&lt;&gt;Dashboard!$P$4,Data!K996&lt;&gt;Dashboard!$R$4),Data!G996,NA()))</f>
        <v>11397.066679963244</v>
      </c>
      <c r="U445"/>
      <c r="AI445" s="13" t="s">
        <v>3371</v>
      </c>
      <c r="AJ445" s="8">
        <v>77500</v>
      </c>
      <c r="AK445" s="8">
        <v>1</v>
      </c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Q445" s="13" t="s">
        <v>3371</v>
      </c>
      <c r="BR445" s="8"/>
      <c r="BS445" s="8"/>
      <c r="BT445" s="8">
        <v>77500</v>
      </c>
      <c r="BU445" s="8"/>
      <c r="BV445" s="8"/>
    </row>
    <row r="446" spans="2:74">
      <c r="B446" t="e">
        <f>IF(Dashboard!$P$4="All",Data!G997,IF(Data!K997=Dashboard!$P$4,Data!G997,NA()))</f>
        <v>#N/A</v>
      </c>
      <c r="C446" t="str">
        <f t="shared" si="85"/>
        <v/>
      </c>
      <c r="D446" t="str">
        <f t="shared" si="86"/>
        <v/>
      </c>
      <c r="E446" t="str">
        <f t="shared" si="87"/>
        <v/>
      </c>
      <c r="F446" t="str">
        <f>IF(C446&lt;&gt;"",Data!$M997,"")</f>
        <v/>
      </c>
      <c r="K446" t="e">
        <f>IF(Dashboard!$R$4="All",Data!G997,IF(Data!K997=Dashboard!$R$4,Data!G997,NA()))</f>
        <v>#N/A</v>
      </c>
      <c r="L446" t="str">
        <f t="shared" si="88"/>
        <v/>
      </c>
      <c r="M446" t="str">
        <f t="shared" si="89"/>
        <v/>
      </c>
      <c r="N446" t="str">
        <f t="shared" si="90"/>
        <v/>
      </c>
      <c r="O446" t="str">
        <f>IF(L446&lt;&gt;"",Data!$M997,"")</f>
        <v/>
      </c>
      <c r="T446">
        <f>IF(OR(Dashboard!$P$4="All",Dashboard!$R$4="All"),NA(),IF(OR(Data!K997&lt;&gt;Dashboard!$P$4,Data!K997&lt;&gt;Dashboard!$R$4),Data!G997,NA()))</f>
        <v>15000</v>
      </c>
      <c r="U446"/>
      <c r="AI446" s="13" t="s">
        <v>3372</v>
      </c>
      <c r="AJ446" s="8">
        <v>60800</v>
      </c>
      <c r="AK446" s="8">
        <v>1</v>
      </c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Q446" s="13" t="s">
        <v>3372</v>
      </c>
      <c r="BR446" s="8"/>
      <c r="BS446" s="8"/>
      <c r="BT446" s="8"/>
      <c r="BU446" s="8">
        <v>60800</v>
      </c>
      <c r="BV446" s="8"/>
    </row>
    <row r="447" spans="2:74">
      <c r="B447" t="e">
        <f>IF(Dashboard!$P$4="All",Data!G998,IF(Data!K998=Dashboard!$P$4,Data!G998,NA()))</f>
        <v>#N/A</v>
      </c>
      <c r="C447" t="str">
        <f t="shared" si="85"/>
        <v/>
      </c>
      <c r="D447" t="str">
        <f t="shared" si="86"/>
        <v/>
      </c>
      <c r="E447" t="str">
        <f t="shared" si="87"/>
        <v/>
      </c>
      <c r="F447" t="str">
        <f>IF(C447&lt;&gt;"",Data!$M998,"")</f>
        <v/>
      </c>
      <c r="K447" t="e">
        <f>IF(Dashboard!$R$4="All",Data!G998,IF(Data!K998=Dashboard!$R$4,Data!G998,NA()))</f>
        <v>#N/A</v>
      </c>
      <c r="L447" t="str">
        <f t="shared" si="88"/>
        <v/>
      </c>
      <c r="M447" t="str">
        <f t="shared" si="89"/>
        <v/>
      </c>
      <c r="N447" t="str">
        <f t="shared" si="90"/>
        <v/>
      </c>
      <c r="O447" t="str">
        <f>IF(L447&lt;&gt;"",Data!$M998,"")</f>
        <v/>
      </c>
      <c r="T447">
        <f>IF(OR(Dashboard!$P$4="All",Dashboard!$R$4="All"),NA(),IF(OR(Data!K998&lt;&gt;Dashboard!$P$4,Data!K998&lt;&gt;Dashboard!$R$4),Data!G998,NA()))</f>
        <v>37612.869087708088</v>
      </c>
      <c r="U447"/>
      <c r="AI447" s="13" t="s">
        <v>3373</v>
      </c>
      <c r="AJ447" s="8"/>
      <c r="AK447" s="8"/>
      <c r="AL447" s="8">
        <v>136000</v>
      </c>
      <c r="AM447" s="8">
        <v>1</v>
      </c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Q447" s="13" t="s">
        <v>3373</v>
      </c>
      <c r="BR447" s="8"/>
      <c r="BS447" s="8"/>
      <c r="BT447" s="8">
        <v>136000</v>
      </c>
      <c r="BU447" s="8"/>
      <c r="BV447" s="8"/>
    </row>
    <row r="448" spans="2:74">
      <c r="B448" t="e">
        <f>IF(Dashboard!$P$4="All",Data!G999,IF(Data!K999=Dashboard!$P$4,Data!G999,NA()))</f>
        <v>#N/A</v>
      </c>
      <c r="C448" t="str">
        <f t="shared" si="85"/>
        <v/>
      </c>
      <c r="D448" t="str">
        <f t="shared" si="86"/>
        <v/>
      </c>
      <c r="E448" t="str">
        <f t="shared" si="87"/>
        <v/>
      </c>
      <c r="F448" t="str">
        <f>IF(C448&lt;&gt;"",Data!$M999,"")</f>
        <v/>
      </c>
      <c r="K448" t="e">
        <f>IF(Dashboard!$R$4="All",Data!G999,IF(Data!K999=Dashboard!$R$4,Data!G999,NA()))</f>
        <v>#N/A</v>
      </c>
      <c r="L448" t="str">
        <f t="shared" si="88"/>
        <v/>
      </c>
      <c r="M448" t="str">
        <f t="shared" si="89"/>
        <v/>
      </c>
      <c r="N448" t="str">
        <f t="shared" si="90"/>
        <v/>
      </c>
      <c r="O448" t="str">
        <f>IF(L448&lt;&gt;"",Data!$M999,"")</f>
        <v/>
      </c>
      <c r="T448">
        <f>IF(OR(Dashboard!$P$4="All",Dashboard!$R$4="All"),NA(),IF(OR(Data!K999&lt;&gt;Dashboard!$P$4,Data!K999&lt;&gt;Dashboard!$R$4),Data!G999,NA()))</f>
        <v>6499.8895909165376</v>
      </c>
      <c r="U448"/>
      <c r="AI448" s="13" t="s">
        <v>3375</v>
      </c>
      <c r="AJ448" s="8"/>
      <c r="AK448" s="8"/>
      <c r="AL448" s="8"/>
      <c r="AM448" s="8"/>
      <c r="AN448" s="8"/>
      <c r="AO448" s="8"/>
      <c r="AP448" s="8"/>
      <c r="AQ448" s="8"/>
      <c r="AR448" s="8">
        <v>95000</v>
      </c>
      <c r="AS448" s="8">
        <v>1</v>
      </c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Q448" s="13" t="s">
        <v>3375</v>
      </c>
      <c r="BR448" s="8"/>
      <c r="BS448" s="8"/>
      <c r="BT448" s="8">
        <v>95000</v>
      </c>
      <c r="BU448" s="8"/>
      <c r="BV448" s="8"/>
    </row>
    <row r="449" spans="2:74">
      <c r="B449" t="e">
        <f>IF(Dashboard!$P$4="All",Data!G1000,IF(Data!K1000=Dashboard!$P$4,Data!G1000,NA()))</f>
        <v>#N/A</v>
      </c>
      <c r="C449" t="str">
        <f t="shared" si="85"/>
        <v/>
      </c>
      <c r="D449" t="str">
        <f t="shared" si="86"/>
        <v/>
      </c>
      <c r="E449" t="str">
        <f t="shared" si="87"/>
        <v/>
      </c>
      <c r="F449" t="str">
        <f>IF(C449&lt;&gt;"",Data!$M1000,"")</f>
        <v/>
      </c>
      <c r="K449" t="e">
        <f>IF(Dashboard!$R$4="All",Data!G1000,IF(Data!K1000=Dashboard!$R$4,Data!G1000,NA()))</f>
        <v>#N/A</v>
      </c>
      <c r="L449" t="str">
        <f t="shared" si="88"/>
        <v/>
      </c>
      <c r="M449" t="str">
        <f t="shared" si="89"/>
        <v/>
      </c>
      <c r="N449" t="str">
        <f t="shared" si="90"/>
        <v/>
      </c>
      <c r="O449" t="str">
        <f>IF(L449&lt;&gt;"",Data!$M1000,"")</f>
        <v/>
      </c>
      <c r="T449">
        <f>IF(OR(Dashboard!$P$4="All",Dashboard!$R$4="All"),NA(),IF(OR(Data!K1000&lt;&gt;Dashboard!$P$4,Data!K1000&lt;&gt;Dashboard!$R$4),Data!G1000,NA()))</f>
        <v>20000</v>
      </c>
      <c r="U449"/>
      <c r="AI449" s="13" t="s">
        <v>3376</v>
      </c>
      <c r="AJ449" s="8"/>
      <c r="AK449" s="8"/>
      <c r="AL449" s="8">
        <v>130000</v>
      </c>
      <c r="AM449" s="8">
        <v>1</v>
      </c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Q449" s="13" t="s">
        <v>3376</v>
      </c>
      <c r="BR449" s="8">
        <v>130000</v>
      </c>
      <c r="BS449" s="8"/>
      <c r="BT449" s="8"/>
      <c r="BU449" s="8"/>
      <c r="BV449" s="8"/>
    </row>
    <row r="450" spans="2:74">
      <c r="B450" t="e">
        <f>IF(Dashboard!$P$4="All",Data!G1001,IF(Data!K1001=Dashboard!$P$4,Data!G1001,NA()))</f>
        <v>#N/A</v>
      </c>
      <c r="C450" t="str">
        <f t="shared" si="85"/>
        <v/>
      </c>
      <c r="D450" t="str">
        <f t="shared" si="86"/>
        <v/>
      </c>
      <c r="E450" t="str">
        <f t="shared" si="87"/>
        <v/>
      </c>
      <c r="F450" t="str">
        <f>IF(C450&lt;&gt;"",Data!$M1001,"")</f>
        <v/>
      </c>
      <c r="K450" t="e">
        <f>IF(Dashboard!$R$4="All",Data!G1001,IF(Data!K1001=Dashboard!$R$4,Data!G1001,NA()))</f>
        <v>#N/A</v>
      </c>
      <c r="L450" t="str">
        <f t="shared" si="88"/>
        <v/>
      </c>
      <c r="M450" t="str">
        <f t="shared" si="89"/>
        <v/>
      </c>
      <c r="N450" t="str">
        <f t="shared" si="90"/>
        <v/>
      </c>
      <c r="O450" t="str">
        <f>IF(L450&lt;&gt;"",Data!$M1001,"")</f>
        <v/>
      </c>
      <c r="T450">
        <f>IF(OR(Dashboard!$P$4="All",Dashboard!$R$4="All"),NA(),IF(OR(Data!K1001&lt;&gt;Dashboard!$P$4,Data!K1001&lt;&gt;Dashboard!$R$4),Data!G1001,NA()))</f>
        <v>7265</v>
      </c>
      <c r="U450"/>
      <c r="AI450" s="13" t="s">
        <v>3377</v>
      </c>
      <c r="AJ450" s="8">
        <v>65000</v>
      </c>
      <c r="AK450" s="8">
        <v>1</v>
      </c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Q450" s="13" t="s">
        <v>3377</v>
      </c>
      <c r="BR450" s="8"/>
      <c r="BS450" s="8">
        <v>65000</v>
      </c>
      <c r="BT450" s="8"/>
      <c r="BU450" s="8"/>
      <c r="BV450" s="8"/>
    </row>
    <row r="451" spans="2:74">
      <c r="B451" t="e">
        <f>IF(Dashboard!$P$4="All",Data!G1002,IF(Data!K1002=Dashboard!$P$4,Data!G1002,NA()))</f>
        <v>#N/A</v>
      </c>
      <c r="C451" t="str">
        <f t="shared" si="85"/>
        <v/>
      </c>
      <c r="D451" t="str">
        <f t="shared" si="86"/>
        <v/>
      </c>
      <c r="E451" t="str">
        <f t="shared" si="87"/>
        <v/>
      </c>
      <c r="F451" t="str">
        <f>IF(C451&lt;&gt;"",Data!$M1002,"")</f>
        <v/>
      </c>
      <c r="K451" t="e">
        <f>IF(Dashboard!$R$4="All",Data!G1002,IF(Data!K1002=Dashboard!$R$4,Data!G1002,NA()))</f>
        <v>#N/A</v>
      </c>
      <c r="L451" t="str">
        <f t="shared" si="88"/>
        <v/>
      </c>
      <c r="M451" t="str">
        <f t="shared" si="89"/>
        <v/>
      </c>
      <c r="N451" t="str">
        <f t="shared" si="90"/>
        <v/>
      </c>
      <c r="O451" t="str">
        <f>IF(L451&lt;&gt;"",Data!$M1002,"")</f>
        <v/>
      </c>
      <c r="T451">
        <f>IF(OR(Dashboard!$P$4="All",Dashboard!$R$4="All"),NA(),IF(OR(Data!K1002&lt;&gt;Dashboard!$P$4,Data!K1002&lt;&gt;Dashboard!$R$4),Data!G1002,NA()))</f>
        <v>72571.80269935554</v>
      </c>
      <c r="U451"/>
      <c r="AI451" s="13" t="s">
        <v>3378</v>
      </c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>
        <v>80000</v>
      </c>
      <c r="AW451" s="8">
        <v>1</v>
      </c>
      <c r="AX451" s="8"/>
      <c r="AY451" s="8"/>
      <c r="AZ451" s="8"/>
      <c r="BA451" s="8"/>
      <c r="BB451" s="8"/>
      <c r="BC451" s="8"/>
      <c r="BQ451" s="13" t="s">
        <v>3378</v>
      </c>
      <c r="BR451" s="8"/>
      <c r="BS451" s="8">
        <v>80000</v>
      </c>
      <c r="BT451" s="8"/>
      <c r="BU451" s="8"/>
      <c r="BV451" s="8"/>
    </row>
    <row r="452" spans="2:74">
      <c r="B452" t="e">
        <f>IF(Dashboard!$P$4="All",Data!G1003,IF(Data!K1003=Dashboard!$P$4,Data!G1003,NA()))</f>
        <v>#N/A</v>
      </c>
      <c r="C452" t="str">
        <f t="shared" ref="C452:C515" si="91">IF(ISNA(B452),"",B452)</f>
        <v/>
      </c>
      <c r="D452" t="str">
        <f t="shared" ref="D452:D515" si="92">IF(C452&gt;=PERCENTILE($C$3:$C$1337,0.9),C452,"")</f>
        <v/>
      </c>
      <c r="E452" t="str">
        <f t="shared" ref="E452:E515" si="93">IF(C452&lt;=PERCENTILE($C$3:$C$1337,0.1),C452,"")</f>
        <v/>
      </c>
      <c r="F452" t="str">
        <f>IF(C452&lt;&gt;"",Data!$M1003,"")</f>
        <v/>
      </c>
      <c r="K452" t="e">
        <f>IF(Dashboard!$R$4="All",Data!G1003,IF(Data!K1003=Dashboard!$R$4,Data!G1003,NA()))</f>
        <v>#N/A</v>
      </c>
      <c r="L452" t="str">
        <f t="shared" ref="L452:L515" si="94">IF(ISNA(K452),"",K452)</f>
        <v/>
      </c>
      <c r="M452" t="str">
        <f t="shared" ref="M452:M515" si="95">IF(L452&gt;=PERCENTILE($L$3:$L$1337,0.9),L452,"")</f>
        <v/>
      </c>
      <c r="N452" t="str">
        <f t="shared" ref="N452:N515" si="96">IF(L452&lt;=PERCENTILE($L$3:$L$1337,0.1),L452,"")</f>
        <v/>
      </c>
      <c r="O452" t="str">
        <f>IF(L452&lt;&gt;"",Data!$M1003,"")</f>
        <v/>
      </c>
      <c r="T452">
        <f>IF(OR(Dashboard!$P$4="All",Dashboard!$R$4="All"),NA(),IF(OR(Data!K1003&lt;&gt;Dashboard!$P$4,Data!K1003&lt;&gt;Dashboard!$R$4),Data!G1003,NA()))</f>
        <v>8013.5625093491553</v>
      </c>
      <c r="U452"/>
      <c r="AI452" s="13" t="s">
        <v>3379</v>
      </c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>
        <v>37000</v>
      </c>
      <c r="BA452" s="8">
        <v>1</v>
      </c>
      <c r="BB452" s="8"/>
      <c r="BC452" s="8"/>
      <c r="BQ452" s="13" t="s">
        <v>3379</v>
      </c>
      <c r="BR452" s="8"/>
      <c r="BS452" s="8">
        <v>37000</v>
      </c>
      <c r="BT452" s="8"/>
      <c r="BU452" s="8"/>
      <c r="BV452" s="8"/>
    </row>
    <row r="453" spans="2:74">
      <c r="B453" t="e">
        <f>IF(Dashboard!$P$4="All",Data!G1004,IF(Data!K1004=Dashboard!$P$4,Data!G1004,NA()))</f>
        <v>#N/A</v>
      </c>
      <c r="C453" t="str">
        <f t="shared" si="91"/>
        <v/>
      </c>
      <c r="D453" t="str">
        <f t="shared" si="92"/>
        <v/>
      </c>
      <c r="E453" t="str">
        <f t="shared" si="93"/>
        <v/>
      </c>
      <c r="F453" t="str">
        <f>IF(C453&lt;&gt;"",Data!$M1004,"")</f>
        <v/>
      </c>
      <c r="K453" t="e">
        <f>IF(Dashboard!$R$4="All",Data!G1004,IF(Data!K1004=Dashboard!$R$4,Data!G1004,NA()))</f>
        <v>#N/A</v>
      </c>
      <c r="L453" t="str">
        <f t="shared" si="94"/>
        <v/>
      </c>
      <c r="M453" t="str">
        <f t="shared" si="95"/>
        <v/>
      </c>
      <c r="N453" t="str">
        <f t="shared" si="96"/>
        <v/>
      </c>
      <c r="O453" t="str">
        <f>IF(L453&lt;&gt;"",Data!$M1004,"")</f>
        <v/>
      </c>
      <c r="T453">
        <f>IF(OR(Dashboard!$P$4="All",Dashboard!$R$4="All"),NA(),IF(OR(Data!K1004&lt;&gt;Dashboard!$P$4,Data!K1004&lt;&gt;Dashboard!$R$4),Data!G1004,NA()))</f>
        <v>10150.512511842264</v>
      </c>
      <c r="U453"/>
      <c r="AI453" s="13" t="s">
        <v>3380</v>
      </c>
      <c r="AJ453" s="8"/>
      <c r="AK453" s="8"/>
      <c r="AL453" s="8">
        <v>40000</v>
      </c>
      <c r="AM453" s="8">
        <v>1</v>
      </c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Q453" s="13" t="s">
        <v>3380</v>
      </c>
      <c r="BR453" s="8">
        <v>40000</v>
      </c>
      <c r="BS453" s="8"/>
      <c r="BT453" s="8"/>
      <c r="BU453" s="8"/>
      <c r="BV453" s="8"/>
    </row>
    <row r="454" spans="2:74">
      <c r="B454" t="e">
        <f>IF(Dashboard!$P$4="All",Data!G1005,IF(Data!K1005=Dashboard!$P$4,Data!G1005,NA()))</f>
        <v>#N/A</v>
      </c>
      <c r="C454" t="str">
        <f t="shared" si="91"/>
        <v/>
      </c>
      <c r="D454" t="str">
        <f t="shared" si="92"/>
        <v/>
      </c>
      <c r="E454" t="str">
        <f t="shared" si="93"/>
        <v/>
      </c>
      <c r="F454" t="str">
        <f>IF(C454&lt;&gt;"",Data!$M1005,"")</f>
        <v/>
      </c>
      <c r="K454" t="e">
        <f>IF(Dashboard!$R$4="All",Data!G1005,IF(Data!K1005=Dashboard!$R$4,Data!G1005,NA()))</f>
        <v>#N/A</v>
      </c>
      <c r="L454" t="str">
        <f t="shared" si="94"/>
        <v/>
      </c>
      <c r="M454" t="str">
        <f t="shared" si="95"/>
        <v/>
      </c>
      <c r="N454" t="str">
        <f t="shared" si="96"/>
        <v/>
      </c>
      <c r="O454" t="str">
        <f>IF(L454&lt;&gt;"",Data!$M1005,"")</f>
        <v/>
      </c>
      <c r="T454">
        <f>IF(OR(Dashboard!$P$4="All",Dashboard!$R$4="All"),NA(),IF(OR(Data!K1005&lt;&gt;Dashboard!$P$4,Data!K1005&lt;&gt;Dashboard!$R$4),Data!G1005,NA()))</f>
        <v>65000</v>
      </c>
      <c r="U454"/>
      <c r="AI454" s="13" t="s">
        <v>3381</v>
      </c>
      <c r="AJ454" s="8">
        <v>49000</v>
      </c>
      <c r="AK454" s="8">
        <v>1</v>
      </c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Q454" s="13" t="s">
        <v>3381</v>
      </c>
      <c r="BR454" s="8"/>
      <c r="BS454" s="8"/>
      <c r="BT454" s="8">
        <v>49000</v>
      </c>
      <c r="BU454" s="8"/>
      <c r="BV454" s="8"/>
    </row>
    <row r="455" spans="2:74">
      <c r="B455" t="e">
        <f>IF(Dashboard!$P$4="All",Data!G1006,IF(Data!K1006=Dashboard!$P$4,Data!G1006,NA()))</f>
        <v>#N/A</v>
      </c>
      <c r="C455" t="str">
        <f t="shared" si="91"/>
        <v/>
      </c>
      <c r="D455" t="str">
        <f t="shared" si="92"/>
        <v/>
      </c>
      <c r="E455" t="str">
        <f t="shared" si="93"/>
        <v/>
      </c>
      <c r="F455" t="str">
        <f>IF(C455&lt;&gt;"",Data!$M1006,"")</f>
        <v/>
      </c>
      <c r="K455" t="e">
        <f>IF(Dashboard!$R$4="All",Data!G1006,IF(Data!K1006=Dashboard!$R$4,Data!G1006,NA()))</f>
        <v>#N/A</v>
      </c>
      <c r="L455" t="str">
        <f t="shared" si="94"/>
        <v/>
      </c>
      <c r="M455" t="str">
        <f t="shared" si="95"/>
        <v/>
      </c>
      <c r="N455" t="str">
        <f t="shared" si="96"/>
        <v/>
      </c>
      <c r="O455" t="str">
        <f>IF(L455&lt;&gt;"",Data!$M1006,"")</f>
        <v/>
      </c>
      <c r="T455">
        <f>IF(OR(Dashboard!$P$4="All",Dashboard!$R$4="All"),NA(),IF(OR(Data!K1006&lt;&gt;Dashboard!$P$4,Data!K1006&lt;&gt;Dashboard!$R$4),Data!G1006,NA()))</f>
        <v>3184.2266150397395</v>
      </c>
      <c r="U455"/>
      <c r="AI455" s="13" t="s">
        <v>3382</v>
      </c>
      <c r="AJ455" s="8">
        <v>65000</v>
      </c>
      <c r="AK455" s="8">
        <v>1</v>
      </c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Q455" s="13" t="s">
        <v>3382</v>
      </c>
      <c r="BR455" s="8"/>
      <c r="BS455" s="8"/>
      <c r="BT455" s="8"/>
      <c r="BU455" s="8">
        <v>65000</v>
      </c>
      <c r="BV455" s="8"/>
    </row>
    <row r="456" spans="2:74">
      <c r="B456" t="e">
        <f>IF(Dashboard!$P$4="All",Data!G1007,IF(Data!K1007=Dashboard!$P$4,Data!G1007,NA()))</f>
        <v>#N/A</v>
      </c>
      <c r="C456" t="str">
        <f t="shared" si="91"/>
        <v/>
      </c>
      <c r="D456" t="str">
        <f t="shared" si="92"/>
        <v/>
      </c>
      <c r="E456" t="str">
        <f t="shared" si="93"/>
        <v/>
      </c>
      <c r="F456" t="str">
        <f>IF(C456&lt;&gt;"",Data!$M1007,"")</f>
        <v/>
      </c>
      <c r="K456" t="e">
        <f>IF(Dashboard!$R$4="All",Data!G1007,IF(Data!K1007=Dashboard!$R$4,Data!G1007,NA()))</f>
        <v>#N/A</v>
      </c>
      <c r="L456" t="str">
        <f t="shared" si="94"/>
        <v/>
      </c>
      <c r="M456" t="str">
        <f t="shared" si="95"/>
        <v/>
      </c>
      <c r="N456" t="str">
        <f t="shared" si="96"/>
        <v/>
      </c>
      <c r="O456" t="str">
        <f>IF(L456&lt;&gt;"",Data!$M1007,"")</f>
        <v/>
      </c>
      <c r="T456">
        <f>IF(OR(Dashboard!$P$4="All",Dashboard!$R$4="All"),NA(),IF(OR(Data!K1007&lt;&gt;Dashboard!$P$4,Data!K1007&lt;&gt;Dashboard!$R$4),Data!G1007,NA()))</f>
        <v>10898.445012714852</v>
      </c>
      <c r="U456"/>
      <c r="AI456" s="13" t="s">
        <v>3383</v>
      </c>
      <c r="AJ456" s="8">
        <v>55000</v>
      </c>
      <c r="AK456" s="8">
        <v>1</v>
      </c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Q456" s="13" t="s">
        <v>3383</v>
      </c>
      <c r="BR456" s="8"/>
      <c r="BS456" s="8"/>
      <c r="BT456" s="8"/>
      <c r="BU456" s="8">
        <v>55000</v>
      </c>
      <c r="BV456" s="8"/>
    </row>
    <row r="457" spans="2:74">
      <c r="B457" t="e">
        <f>IF(Dashboard!$P$4="All",Data!G1008,IF(Data!K1008=Dashboard!$P$4,Data!G1008,NA()))</f>
        <v>#N/A</v>
      </c>
      <c r="C457" t="str">
        <f t="shared" si="91"/>
        <v/>
      </c>
      <c r="D457" t="str">
        <f t="shared" si="92"/>
        <v/>
      </c>
      <c r="E457" t="str">
        <f t="shared" si="93"/>
        <v/>
      </c>
      <c r="F457" t="str">
        <f>IF(C457&lt;&gt;"",Data!$M1008,"")</f>
        <v/>
      </c>
      <c r="K457" t="e">
        <f>IF(Dashboard!$R$4="All",Data!G1008,IF(Data!K1008=Dashboard!$R$4,Data!G1008,NA()))</f>
        <v>#N/A</v>
      </c>
      <c r="L457" t="str">
        <f t="shared" si="94"/>
        <v/>
      </c>
      <c r="M457" t="str">
        <f t="shared" si="95"/>
        <v/>
      </c>
      <c r="N457" t="str">
        <f t="shared" si="96"/>
        <v/>
      </c>
      <c r="O457" t="str">
        <f>IF(L457&lt;&gt;"",Data!$M1008,"")</f>
        <v/>
      </c>
      <c r="T457">
        <f>IF(OR(Dashboard!$P$4="All",Dashboard!$R$4="All"),NA(),IF(OR(Data!K1008&lt;&gt;Dashboard!$P$4,Data!K1008&lt;&gt;Dashboard!$R$4),Data!G1008,NA()))</f>
        <v>10800</v>
      </c>
      <c r="U457"/>
      <c r="AI457" s="13" t="s">
        <v>3384</v>
      </c>
      <c r="AJ457" s="8"/>
      <c r="AK457" s="8"/>
      <c r="AL457" s="8">
        <v>40000</v>
      </c>
      <c r="AM457" s="8">
        <v>1</v>
      </c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Q457" s="13" t="s">
        <v>3384</v>
      </c>
      <c r="BR457" s="8"/>
      <c r="BS457" s="8"/>
      <c r="BT457" s="8">
        <v>40000</v>
      </c>
      <c r="BU457" s="8"/>
      <c r="BV457" s="8"/>
    </row>
    <row r="458" spans="2:74">
      <c r="B458" t="e">
        <f>IF(Dashboard!$P$4="All",Data!G1009,IF(Data!K1009=Dashboard!$P$4,Data!G1009,NA()))</f>
        <v>#N/A</v>
      </c>
      <c r="C458" t="str">
        <f t="shared" si="91"/>
        <v/>
      </c>
      <c r="D458" t="str">
        <f t="shared" si="92"/>
        <v/>
      </c>
      <c r="E458" t="str">
        <f t="shared" si="93"/>
        <v/>
      </c>
      <c r="F458" t="str">
        <f>IF(C458&lt;&gt;"",Data!$M1009,"")</f>
        <v/>
      </c>
      <c r="K458" t="e">
        <f>IF(Dashboard!$R$4="All",Data!G1009,IF(Data!K1009=Dashboard!$R$4,Data!G1009,NA()))</f>
        <v>#N/A</v>
      </c>
      <c r="L458" t="str">
        <f t="shared" si="94"/>
        <v/>
      </c>
      <c r="M458" t="str">
        <f t="shared" si="95"/>
        <v/>
      </c>
      <c r="N458" t="str">
        <f t="shared" si="96"/>
        <v/>
      </c>
      <c r="O458" t="str">
        <f>IF(L458&lt;&gt;"",Data!$M1009,"")</f>
        <v/>
      </c>
      <c r="T458">
        <f>IF(OR(Dashboard!$P$4="All",Dashboard!$R$4="All"),NA(),IF(OR(Data!K1009&lt;&gt;Dashboard!$P$4,Data!K1009&lt;&gt;Dashboard!$R$4),Data!G1009,NA()))</f>
        <v>2136.9500024931081</v>
      </c>
      <c r="U458"/>
      <c r="AI458" s="13" t="s">
        <v>3385</v>
      </c>
      <c r="AJ458" s="8">
        <v>60000</v>
      </c>
      <c r="AK458" s="8">
        <v>1</v>
      </c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Q458" s="13" t="s">
        <v>3385</v>
      </c>
      <c r="BR458" s="8"/>
      <c r="BS458" s="8"/>
      <c r="BT458" s="8">
        <v>60000</v>
      </c>
      <c r="BU458" s="8"/>
      <c r="BV458" s="8"/>
    </row>
    <row r="459" spans="2:74">
      <c r="B459" t="e">
        <f>IF(Dashboard!$P$4="All",Data!G1010,IF(Data!K1010=Dashboard!$P$4,Data!G1010,NA()))</f>
        <v>#N/A</v>
      </c>
      <c r="C459" t="str">
        <f t="shared" si="91"/>
        <v/>
      </c>
      <c r="D459" t="str">
        <f t="shared" si="92"/>
        <v/>
      </c>
      <c r="E459" t="str">
        <f t="shared" si="93"/>
        <v/>
      </c>
      <c r="F459" t="str">
        <f>IF(C459&lt;&gt;"",Data!$M1010,"")</f>
        <v/>
      </c>
      <c r="K459" t="e">
        <f>IF(Dashboard!$R$4="All",Data!G1010,IF(Data!K1010=Dashboard!$R$4,Data!G1010,NA()))</f>
        <v>#N/A</v>
      </c>
      <c r="L459" t="str">
        <f t="shared" si="94"/>
        <v/>
      </c>
      <c r="M459" t="str">
        <f t="shared" si="95"/>
        <v/>
      </c>
      <c r="N459" t="str">
        <f t="shared" si="96"/>
        <v/>
      </c>
      <c r="O459" t="str">
        <f>IF(L459&lt;&gt;"",Data!$M1010,"")</f>
        <v/>
      </c>
      <c r="T459">
        <f>IF(OR(Dashboard!$P$4="All",Dashboard!$R$4="All"),NA(),IF(OR(Data!K1010&lt;&gt;Dashboard!$P$4,Data!K1010&lt;&gt;Dashboard!$R$4),Data!G1010,NA()))</f>
        <v>45000</v>
      </c>
      <c r="U459"/>
      <c r="AI459" s="13" t="s">
        <v>3387</v>
      </c>
      <c r="AJ459" s="8">
        <v>150000</v>
      </c>
      <c r="AK459" s="8">
        <v>1</v>
      </c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Q459" s="13" t="s">
        <v>3387</v>
      </c>
      <c r="BR459" s="8"/>
      <c r="BS459" s="8">
        <v>150000</v>
      </c>
      <c r="BT459" s="8"/>
      <c r="BU459" s="8"/>
      <c r="BV459" s="8"/>
    </row>
    <row r="460" spans="2:74">
      <c r="B460" t="e">
        <f>IF(Dashboard!$P$4="All",Data!G1011,IF(Data!K1011=Dashboard!$P$4,Data!G1011,NA()))</f>
        <v>#N/A</v>
      </c>
      <c r="C460" t="str">
        <f t="shared" si="91"/>
        <v/>
      </c>
      <c r="D460" t="str">
        <f t="shared" si="92"/>
        <v/>
      </c>
      <c r="E460" t="str">
        <f t="shared" si="93"/>
        <v/>
      </c>
      <c r="F460" t="str">
        <f>IF(C460&lt;&gt;"",Data!$M1011,"")</f>
        <v/>
      </c>
      <c r="K460" t="e">
        <f>IF(Dashboard!$R$4="All",Data!G1011,IF(Data!K1011=Dashboard!$R$4,Data!G1011,NA()))</f>
        <v>#N/A</v>
      </c>
      <c r="L460" t="str">
        <f t="shared" si="94"/>
        <v/>
      </c>
      <c r="M460" t="str">
        <f t="shared" si="95"/>
        <v/>
      </c>
      <c r="N460" t="str">
        <f t="shared" si="96"/>
        <v/>
      </c>
      <c r="O460" t="str">
        <f>IF(L460&lt;&gt;"",Data!$M1011,"")</f>
        <v/>
      </c>
      <c r="T460">
        <f>IF(OR(Dashboard!$P$4="All",Dashboard!$R$4="All"),NA(),IF(OR(Data!K1011&lt;&gt;Dashboard!$P$4,Data!K1011&lt;&gt;Dashboard!$R$4),Data!G1011,NA()))</f>
        <v>7123.1666749770275</v>
      </c>
      <c r="U460"/>
      <c r="AI460" s="13" t="s">
        <v>3388</v>
      </c>
      <c r="AJ460" s="8"/>
      <c r="AK460" s="8"/>
      <c r="AL460" s="8">
        <v>88000</v>
      </c>
      <c r="AM460" s="8">
        <v>1</v>
      </c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Q460" s="13" t="s">
        <v>3388</v>
      </c>
      <c r="BR460" s="8"/>
      <c r="BS460" s="8"/>
      <c r="BT460" s="8">
        <v>88000</v>
      </c>
      <c r="BU460" s="8"/>
      <c r="BV460" s="8"/>
    </row>
    <row r="461" spans="2:74">
      <c r="B461" t="e">
        <f>IF(Dashboard!$P$4="All",Data!G1012,IF(Data!K1012=Dashboard!$P$4,Data!G1012,NA()))</f>
        <v>#N/A</v>
      </c>
      <c r="C461" t="str">
        <f t="shared" si="91"/>
        <v/>
      </c>
      <c r="D461" t="str">
        <f t="shared" si="92"/>
        <v/>
      </c>
      <c r="E461" t="str">
        <f t="shared" si="93"/>
        <v/>
      </c>
      <c r="F461" t="str">
        <f>IF(C461&lt;&gt;"",Data!$M1012,"")</f>
        <v/>
      </c>
      <c r="K461" t="e">
        <f>IF(Dashboard!$R$4="All",Data!G1012,IF(Data!K1012=Dashboard!$R$4,Data!G1012,NA()))</f>
        <v>#N/A</v>
      </c>
      <c r="L461" t="str">
        <f t="shared" si="94"/>
        <v/>
      </c>
      <c r="M461" t="str">
        <f t="shared" si="95"/>
        <v/>
      </c>
      <c r="N461" t="str">
        <f t="shared" si="96"/>
        <v/>
      </c>
      <c r="O461" t="str">
        <f>IF(L461&lt;&gt;"",Data!$M1012,"")</f>
        <v/>
      </c>
      <c r="T461">
        <f>IF(OR(Dashboard!$P$4="All",Dashboard!$R$4="All"),NA(),IF(OR(Data!K1012&lt;&gt;Dashboard!$P$4,Data!K1012&lt;&gt;Dashboard!$R$4),Data!G1012,NA()))</f>
        <v>5342.3750062327708</v>
      </c>
      <c r="U461"/>
      <c r="AI461" s="13" t="s">
        <v>3389</v>
      </c>
      <c r="AJ461" s="8">
        <v>64500</v>
      </c>
      <c r="AK461" s="8">
        <v>1</v>
      </c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Q461" s="13" t="s">
        <v>3389</v>
      </c>
      <c r="BR461" s="8"/>
      <c r="BS461" s="8"/>
      <c r="BT461" s="8">
        <v>64500</v>
      </c>
      <c r="BU461" s="8"/>
      <c r="BV461" s="8"/>
    </row>
    <row r="462" spans="2:74">
      <c r="B462" t="e">
        <f>IF(Dashboard!$P$4="All",Data!G1013,IF(Data!K1013=Dashboard!$P$4,Data!G1013,NA()))</f>
        <v>#N/A</v>
      </c>
      <c r="C462" t="str">
        <f t="shared" si="91"/>
        <v/>
      </c>
      <c r="D462" t="str">
        <f t="shared" si="92"/>
        <v/>
      </c>
      <c r="E462" t="str">
        <f t="shared" si="93"/>
        <v/>
      </c>
      <c r="F462" t="str">
        <f>IF(C462&lt;&gt;"",Data!$M1013,"")</f>
        <v/>
      </c>
      <c r="K462" t="e">
        <f>IF(Dashboard!$R$4="All",Data!G1013,IF(Data!K1013=Dashboard!$R$4,Data!G1013,NA()))</f>
        <v>#N/A</v>
      </c>
      <c r="L462" t="str">
        <f t="shared" si="94"/>
        <v/>
      </c>
      <c r="M462" t="str">
        <f t="shared" si="95"/>
        <v/>
      </c>
      <c r="N462" t="str">
        <f t="shared" si="96"/>
        <v/>
      </c>
      <c r="O462" t="str">
        <f>IF(L462&lt;&gt;"",Data!$M1013,"")</f>
        <v/>
      </c>
      <c r="T462">
        <f>IF(OR(Dashboard!$P$4="All",Dashboard!$R$4="All"),NA(),IF(OR(Data!K1013&lt;&gt;Dashboard!$P$4,Data!K1013&lt;&gt;Dashboard!$R$4),Data!G1013,NA()))</f>
        <v>18000</v>
      </c>
      <c r="U462"/>
      <c r="AI462" s="13" t="s">
        <v>3391</v>
      </c>
      <c r="AJ462" s="8"/>
      <c r="AK462" s="8"/>
      <c r="AL462" s="8"/>
      <c r="AM462" s="8"/>
      <c r="AN462" s="8">
        <v>50000</v>
      </c>
      <c r="AO462" s="8">
        <v>1</v>
      </c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Q462" s="13" t="s">
        <v>3391</v>
      </c>
      <c r="BR462" s="8"/>
      <c r="BS462" s="8"/>
      <c r="BT462" s="8">
        <v>50000</v>
      </c>
      <c r="BU462" s="8"/>
      <c r="BV462" s="8"/>
    </row>
    <row r="463" spans="2:74">
      <c r="B463" t="e">
        <f>IF(Dashboard!$P$4="All",Data!G1014,IF(Data!K1014=Dashboard!$P$4,Data!G1014,NA()))</f>
        <v>#N/A</v>
      </c>
      <c r="C463" t="str">
        <f t="shared" si="91"/>
        <v/>
      </c>
      <c r="D463" t="str">
        <f t="shared" si="92"/>
        <v/>
      </c>
      <c r="E463" t="str">
        <f t="shared" si="93"/>
        <v/>
      </c>
      <c r="F463" t="str">
        <f>IF(C463&lt;&gt;"",Data!$M1014,"")</f>
        <v/>
      </c>
      <c r="K463" t="e">
        <f>IF(Dashboard!$R$4="All",Data!G1014,IF(Data!K1014=Dashboard!$R$4,Data!G1014,NA()))</f>
        <v>#N/A</v>
      </c>
      <c r="L463" t="str">
        <f t="shared" si="94"/>
        <v/>
      </c>
      <c r="M463" t="str">
        <f t="shared" si="95"/>
        <v/>
      </c>
      <c r="N463" t="str">
        <f t="shared" si="96"/>
        <v/>
      </c>
      <c r="O463" t="str">
        <f>IF(L463&lt;&gt;"",Data!$M1014,"")</f>
        <v/>
      </c>
      <c r="T463">
        <f>IF(OR(Dashboard!$P$4="All",Dashboard!$R$4="All"),NA(),IF(OR(Data!K1014&lt;&gt;Dashboard!$P$4,Data!K1014&lt;&gt;Dashboard!$R$4),Data!G1014,NA()))</f>
        <v>4840.0244548604041</v>
      </c>
      <c r="U463"/>
      <c r="AI463" s="13" t="s">
        <v>3392</v>
      </c>
      <c r="AJ463" s="8"/>
      <c r="AK463" s="8"/>
      <c r="AL463" s="8">
        <v>120000</v>
      </c>
      <c r="AM463" s="8">
        <v>1</v>
      </c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Q463" s="13" t="s">
        <v>3392</v>
      </c>
      <c r="BR463" s="8"/>
      <c r="BS463" s="8">
        <v>120000</v>
      </c>
      <c r="BT463" s="8"/>
      <c r="BU463" s="8"/>
      <c r="BV463" s="8"/>
    </row>
    <row r="464" spans="2:74">
      <c r="B464" t="e">
        <f>IF(Dashboard!$P$4="All",Data!G1015,IF(Data!K1015=Dashboard!$P$4,Data!G1015,NA()))</f>
        <v>#N/A</v>
      </c>
      <c r="C464" t="str">
        <f t="shared" si="91"/>
        <v/>
      </c>
      <c r="D464" t="str">
        <f t="shared" si="92"/>
        <v/>
      </c>
      <c r="E464" t="str">
        <f t="shared" si="93"/>
        <v/>
      </c>
      <c r="F464" t="str">
        <f>IF(C464&lt;&gt;"",Data!$M1015,"")</f>
        <v/>
      </c>
      <c r="K464" t="e">
        <f>IF(Dashboard!$R$4="All",Data!G1015,IF(Data!K1015=Dashboard!$R$4,Data!G1015,NA()))</f>
        <v>#N/A</v>
      </c>
      <c r="L464" t="str">
        <f t="shared" si="94"/>
        <v/>
      </c>
      <c r="M464" t="str">
        <f t="shared" si="95"/>
        <v/>
      </c>
      <c r="N464" t="str">
        <f t="shared" si="96"/>
        <v/>
      </c>
      <c r="O464" t="str">
        <f>IF(L464&lt;&gt;"",Data!$M1015,"")</f>
        <v/>
      </c>
      <c r="T464">
        <f>IF(OR(Dashboard!$P$4="All",Dashboard!$R$4="All"),NA(),IF(OR(Data!K1015&lt;&gt;Dashboard!$P$4,Data!K1015&lt;&gt;Dashboard!$R$4),Data!G1015,NA()))</f>
        <v>7479.3250087258784</v>
      </c>
      <c r="U464"/>
      <c r="AI464" s="13" t="s">
        <v>3393</v>
      </c>
      <c r="AJ464" s="8"/>
      <c r="AK464" s="8"/>
      <c r="AL464" s="8">
        <v>107000</v>
      </c>
      <c r="AM464" s="8">
        <v>1</v>
      </c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Q464" s="13" t="s">
        <v>3393</v>
      </c>
      <c r="BR464" s="8"/>
      <c r="BS464" s="8"/>
      <c r="BT464" s="8"/>
      <c r="BU464" s="8">
        <v>107000</v>
      </c>
      <c r="BV464" s="8"/>
    </row>
    <row r="465" spans="2:74">
      <c r="B465" t="e">
        <f>IF(Dashboard!$P$4="All",Data!G1016,IF(Data!K1016=Dashboard!$P$4,Data!G1016,NA()))</f>
        <v>#N/A</v>
      </c>
      <c r="C465" t="str">
        <f t="shared" si="91"/>
        <v/>
      </c>
      <c r="D465" t="str">
        <f t="shared" si="92"/>
        <v/>
      </c>
      <c r="E465" t="str">
        <f t="shared" si="93"/>
        <v/>
      </c>
      <c r="F465" t="str">
        <f>IF(C465&lt;&gt;"",Data!$M1016,"")</f>
        <v/>
      </c>
      <c r="K465" t="e">
        <f>IF(Dashboard!$R$4="All",Data!G1016,IF(Data!K1016=Dashboard!$R$4,Data!G1016,NA()))</f>
        <v>#N/A</v>
      </c>
      <c r="L465" t="str">
        <f t="shared" si="94"/>
        <v/>
      </c>
      <c r="M465" t="str">
        <f t="shared" si="95"/>
        <v/>
      </c>
      <c r="N465" t="str">
        <f t="shared" si="96"/>
        <v/>
      </c>
      <c r="O465" t="str">
        <f>IF(L465&lt;&gt;"",Data!$M1016,"")</f>
        <v/>
      </c>
      <c r="T465">
        <f>IF(OR(Dashboard!$P$4="All",Dashboard!$R$4="All"),NA(),IF(OR(Data!K1016&lt;&gt;Dashboard!$P$4,Data!K1016&lt;&gt;Dashboard!$R$4),Data!G1016,NA()))</f>
        <v>3739.6625043629392</v>
      </c>
      <c r="U465"/>
      <c r="AI465" s="13" t="s">
        <v>3394</v>
      </c>
      <c r="AJ465" s="8">
        <v>40000</v>
      </c>
      <c r="AK465" s="8">
        <v>1</v>
      </c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Q465" s="13" t="s">
        <v>3394</v>
      </c>
      <c r="BR465" s="8"/>
      <c r="BS465" s="8">
        <v>40000</v>
      </c>
      <c r="BT465" s="8"/>
      <c r="BU465" s="8"/>
      <c r="BV465" s="8"/>
    </row>
    <row r="466" spans="2:74">
      <c r="B466" t="e">
        <f>IF(Dashboard!$P$4="All",Data!G1017,IF(Data!K1017=Dashboard!$P$4,Data!G1017,NA()))</f>
        <v>#N/A</v>
      </c>
      <c r="C466" t="str">
        <f t="shared" si="91"/>
        <v/>
      </c>
      <c r="D466" t="str">
        <f t="shared" si="92"/>
        <v/>
      </c>
      <c r="E466" t="str">
        <f t="shared" si="93"/>
        <v/>
      </c>
      <c r="F466" t="str">
        <f>IF(C466&lt;&gt;"",Data!$M1017,"")</f>
        <v/>
      </c>
      <c r="K466" t="e">
        <f>IF(Dashboard!$R$4="All",Data!G1017,IF(Data!K1017=Dashboard!$R$4,Data!G1017,NA()))</f>
        <v>#N/A</v>
      </c>
      <c r="L466" t="str">
        <f t="shared" si="94"/>
        <v/>
      </c>
      <c r="M466" t="str">
        <f t="shared" si="95"/>
        <v/>
      </c>
      <c r="N466" t="str">
        <f t="shared" si="96"/>
        <v/>
      </c>
      <c r="O466" t="str">
        <f>IF(L466&lt;&gt;"",Data!$M1017,"")</f>
        <v/>
      </c>
      <c r="T466">
        <f>IF(OR(Dashboard!$P$4="All",Dashboard!$R$4="All"),NA(),IF(OR(Data!K1017&lt;&gt;Dashboard!$P$4,Data!K1017&lt;&gt;Dashboard!$R$4),Data!G1017,NA()))</f>
        <v>42000</v>
      </c>
      <c r="U466"/>
      <c r="AI466" s="13" t="s">
        <v>3395</v>
      </c>
      <c r="AJ466" s="8"/>
      <c r="AK466" s="8"/>
      <c r="AL466" s="8">
        <v>81000</v>
      </c>
      <c r="AM466" s="8">
        <v>1</v>
      </c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Q466" s="13" t="s">
        <v>3395</v>
      </c>
      <c r="BR466" s="8">
        <v>81000</v>
      </c>
      <c r="BS466" s="8"/>
      <c r="BT466" s="8"/>
      <c r="BU466" s="8"/>
      <c r="BV466" s="8"/>
    </row>
    <row r="467" spans="2:74">
      <c r="B467" t="e">
        <f>IF(Dashboard!$P$4="All",Data!G1018,IF(Data!K1018=Dashboard!$P$4,Data!G1018,NA()))</f>
        <v>#N/A</v>
      </c>
      <c r="C467" t="str">
        <f t="shared" si="91"/>
        <v/>
      </c>
      <c r="D467" t="str">
        <f t="shared" si="92"/>
        <v/>
      </c>
      <c r="E467" t="str">
        <f t="shared" si="93"/>
        <v/>
      </c>
      <c r="F467" t="str">
        <f>IF(C467&lt;&gt;"",Data!$M1018,"")</f>
        <v/>
      </c>
      <c r="K467" t="e">
        <f>IF(Dashboard!$R$4="All",Data!G1018,IF(Data!K1018=Dashboard!$R$4,Data!G1018,NA()))</f>
        <v>#N/A</v>
      </c>
      <c r="L467" t="str">
        <f t="shared" si="94"/>
        <v/>
      </c>
      <c r="M467" t="str">
        <f t="shared" si="95"/>
        <v/>
      </c>
      <c r="N467" t="str">
        <f t="shared" si="96"/>
        <v/>
      </c>
      <c r="O467" t="str">
        <f>IF(L467&lt;&gt;"",Data!$M1018,"")</f>
        <v/>
      </c>
      <c r="T467">
        <f>IF(OR(Dashboard!$P$4="All",Dashboard!$R$4="All"),NA(),IF(OR(Data!K1018&lt;&gt;Dashboard!$P$4,Data!K1018&lt;&gt;Dashboard!$R$4),Data!G1018,NA()))</f>
        <v>28000</v>
      </c>
      <c r="U467"/>
      <c r="AI467" s="13" t="s">
        <v>3396</v>
      </c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>
        <v>45000</v>
      </c>
      <c r="AU467" s="8">
        <v>1</v>
      </c>
      <c r="AV467" s="8"/>
      <c r="AW467" s="8"/>
      <c r="AX467" s="8"/>
      <c r="AY467" s="8"/>
      <c r="AZ467" s="8"/>
      <c r="BA467" s="8"/>
      <c r="BB467" s="8"/>
      <c r="BC467" s="8"/>
      <c r="BQ467" s="13" t="s">
        <v>3396</v>
      </c>
      <c r="BR467" s="8"/>
      <c r="BS467" s="8"/>
      <c r="BT467" s="8">
        <v>45000</v>
      </c>
      <c r="BU467" s="8"/>
      <c r="BV467" s="8"/>
    </row>
    <row r="468" spans="2:74">
      <c r="B468" t="e">
        <f>IF(Dashboard!$P$4="All",Data!G1019,IF(Data!K1019=Dashboard!$P$4,Data!G1019,NA()))</f>
        <v>#N/A</v>
      </c>
      <c r="C468" t="str">
        <f t="shared" si="91"/>
        <v/>
      </c>
      <c r="D468" t="str">
        <f t="shared" si="92"/>
        <v/>
      </c>
      <c r="E468" t="str">
        <f t="shared" si="93"/>
        <v/>
      </c>
      <c r="F468" t="str">
        <f>IF(C468&lt;&gt;"",Data!$M1019,"")</f>
        <v/>
      </c>
      <c r="K468" t="e">
        <f>IF(Dashboard!$R$4="All",Data!G1019,IF(Data!K1019=Dashboard!$R$4,Data!G1019,NA()))</f>
        <v>#N/A</v>
      </c>
      <c r="L468" t="str">
        <f t="shared" si="94"/>
        <v/>
      </c>
      <c r="M468" t="str">
        <f t="shared" si="95"/>
        <v/>
      </c>
      <c r="N468" t="str">
        <f t="shared" si="96"/>
        <v/>
      </c>
      <c r="O468" t="str">
        <f>IF(L468&lt;&gt;"",Data!$M1019,"")</f>
        <v/>
      </c>
      <c r="T468">
        <f>IF(OR(Dashboard!$P$4="All",Dashboard!$R$4="All"),NA(),IF(OR(Data!K1019&lt;&gt;Dashboard!$P$4,Data!K1019&lt;&gt;Dashboard!$R$4),Data!G1019,NA()))</f>
        <v>6000</v>
      </c>
      <c r="U468"/>
      <c r="AI468" s="13" t="s">
        <v>3397</v>
      </c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>
        <v>49000</v>
      </c>
      <c r="AU468" s="8">
        <v>1</v>
      </c>
      <c r="AV468" s="8"/>
      <c r="AW468" s="8"/>
      <c r="AX468" s="8"/>
      <c r="AY468" s="8"/>
      <c r="AZ468" s="8"/>
      <c r="BA468" s="8"/>
      <c r="BB468" s="8"/>
      <c r="BC468" s="8"/>
      <c r="BQ468" s="13" t="s">
        <v>3397</v>
      </c>
      <c r="BR468" s="8"/>
      <c r="BS468" s="8"/>
      <c r="BT468" s="8">
        <v>49000</v>
      </c>
      <c r="BU468" s="8"/>
      <c r="BV468" s="8"/>
    </row>
    <row r="469" spans="2:74">
      <c r="B469" t="e">
        <f>IF(Dashboard!$P$4="All",Data!G1020,IF(Data!K1020=Dashboard!$P$4,Data!G1020,NA()))</f>
        <v>#N/A</v>
      </c>
      <c r="C469" t="str">
        <f t="shared" si="91"/>
        <v/>
      </c>
      <c r="D469" t="str">
        <f t="shared" si="92"/>
        <v/>
      </c>
      <c r="E469" t="str">
        <f t="shared" si="93"/>
        <v/>
      </c>
      <c r="F469" t="str">
        <f>IF(C469&lt;&gt;"",Data!$M1020,"")</f>
        <v/>
      </c>
      <c r="K469" t="e">
        <f>IF(Dashboard!$R$4="All",Data!G1020,IF(Data!K1020=Dashboard!$R$4,Data!G1020,NA()))</f>
        <v>#N/A</v>
      </c>
      <c r="L469" t="str">
        <f t="shared" si="94"/>
        <v/>
      </c>
      <c r="M469" t="str">
        <f t="shared" si="95"/>
        <v/>
      </c>
      <c r="N469" t="str">
        <f t="shared" si="96"/>
        <v/>
      </c>
      <c r="O469" t="str">
        <f>IF(L469&lt;&gt;"",Data!$M1020,"")</f>
        <v/>
      </c>
      <c r="T469">
        <f>IF(OR(Dashboard!$P$4="All",Dashboard!$R$4="All"),NA(),IF(OR(Data!K1020&lt;&gt;Dashboard!$P$4,Data!K1020&lt;&gt;Dashboard!$R$4),Data!G1020,NA()))</f>
        <v>43867.345148271634</v>
      </c>
      <c r="U469"/>
      <c r="AI469" s="13" t="s">
        <v>3399</v>
      </c>
      <c r="AJ469" s="8"/>
      <c r="AK469" s="8"/>
      <c r="AL469" s="8">
        <v>72000</v>
      </c>
      <c r="AM469" s="8">
        <v>1</v>
      </c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Q469" s="13" t="s">
        <v>3399</v>
      </c>
      <c r="BR469" s="8">
        <v>72000</v>
      </c>
      <c r="BS469" s="8"/>
      <c r="BT469" s="8"/>
      <c r="BU469" s="8"/>
      <c r="BV469" s="8"/>
    </row>
    <row r="470" spans="2:74">
      <c r="B470" t="e">
        <f>IF(Dashboard!$P$4="All",Data!G1021,IF(Data!K1021=Dashboard!$P$4,Data!G1021,NA()))</f>
        <v>#N/A</v>
      </c>
      <c r="C470" t="str">
        <f t="shared" si="91"/>
        <v/>
      </c>
      <c r="D470" t="str">
        <f t="shared" si="92"/>
        <v/>
      </c>
      <c r="E470" t="str">
        <f t="shared" si="93"/>
        <v/>
      </c>
      <c r="F470" t="str">
        <f>IF(C470&lt;&gt;"",Data!$M1021,"")</f>
        <v/>
      </c>
      <c r="K470" t="e">
        <f>IF(Dashboard!$R$4="All",Data!G1021,IF(Data!K1021=Dashboard!$R$4,Data!G1021,NA()))</f>
        <v>#N/A</v>
      </c>
      <c r="L470" t="str">
        <f t="shared" si="94"/>
        <v/>
      </c>
      <c r="M470" t="str">
        <f t="shared" si="95"/>
        <v/>
      </c>
      <c r="N470" t="str">
        <f t="shared" si="96"/>
        <v/>
      </c>
      <c r="O470" t="str">
        <f>IF(L470&lt;&gt;"",Data!$M1021,"")</f>
        <v/>
      </c>
      <c r="T470">
        <f>IF(OR(Dashboard!$P$4="All",Dashboard!$R$4="All"),NA(),IF(OR(Data!K1021&lt;&gt;Dashboard!$P$4,Data!K1021&lt;&gt;Dashboard!$R$4),Data!G1021,NA()))</f>
        <v>17807.916687442568</v>
      </c>
      <c r="U470"/>
      <c r="AI470" s="13" t="s">
        <v>3400</v>
      </c>
      <c r="AJ470" s="8">
        <v>50000</v>
      </c>
      <c r="AK470" s="8">
        <v>1</v>
      </c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Q470" s="13" t="s">
        <v>3400</v>
      </c>
      <c r="BR470" s="8"/>
      <c r="BS470" s="8"/>
      <c r="BT470" s="8">
        <v>50000</v>
      </c>
      <c r="BU470" s="8"/>
      <c r="BV470" s="8"/>
    </row>
    <row r="471" spans="2:74">
      <c r="B471" t="e">
        <f>IF(Dashboard!$P$4="All",Data!G1022,IF(Data!K1022=Dashboard!$P$4,Data!G1022,NA()))</f>
        <v>#N/A</v>
      </c>
      <c r="C471" t="str">
        <f t="shared" si="91"/>
        <v/>
      </c>
      <c r="D471" t="str">
        <f t="shared" si="92"/>
        <v/>
      </c>
      <c r="E471" t="str">
        <f t="shared" si="93"/>
        <v/>
      </c>
      <c r="F471" t="str">
        <f>IF(C471&lt;&gt;"",Data!$M1022,"")</f>
        <v/>
      </c>
      <c r="K471" t="e">
        <f>IF(Dashboard!$R$4="All",Data!G1022,IF(Data!K1022=Dashboard!$R$4,Data!G1022,NA()))</f>
        <v>#N/A</v>
      </c>
      <c r="L471" t="str">
        <f t="shared" si="94"/>
        <v/>
      </c>
      <c r="M471" t="str">
        <f t="shared" si="95"/>
        <v/>
      </c>
      <c r="N471" t="str">
        <f t="shared" si="96"/>
        <v/>
      </c>
      <c r="O471" t="str">
        <f>IF(L471&lt;&gt;"",Data!$M1022,"")</f>
        <v/>
      </c>
      <c r="T471">
        <f>IF(OR(Dashboard!$P$4="All",Dashboard!$R$4="All"),NA(),IF(OR(Data!K1022&lt;&gt;Dashboard!$P$4,Data!K1022&lt;&gt;Dashboard!$R$4),Data!G1022,NA()))</f>
        <v>10684.750012465542</v>
      </c>
      <c r="U471"/>
      <c r="AI471" s="13" t="s">
        <v>3401</v>
      </c>
      <c r="AJ471" s="8">
        <v>57678</v>
      </c>
      <c r="AK471" s="8">
        <v>1</v>
      </c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Q471" s="13" t="s">
        <v>3401</v>
      </c>
      <c r="BR471" s="8"/>
      <c r="BS471" s="8"/>
      <c r="BT471" s="8">
        <v>57678</v>
      </c>
      <c r="BU471" s="8"/>
      <c r="BV471" s="8"/>
    </row>
    <row r="472" spans="2:74">
      <c r="B472" t="e">
        <f>IF(Dashboard!$P$4="All",Data!G1023,IF(Data!K1023=Dashboard!$P$4,Data!G1023,NA()))</f>
        <v>#N/A</v>
      </c>
      <c r="C472" t="str">
        <f t="shared" si="91"/>
        <v/>
      </c>
      <c r="D472" t="str">
        <f t="shared" si="92"/>
        <v/>
      </c>
      <c r="E472" t="str">
        <f t="shared" si="93"/>
        <v/>
      </c>
      <c r="F472" t="str">
        <f>IF(C472&lt;&gt;"",Data!$M1023,"")</f>
        <v/>
      </c>
      <c r="K472" t="e">
        <f>IF(Dashboard!$R$4="All",Data!G1023,IF(Data!K1023=Dashboard!$R$4,Data!G1023,NA()))</f>
        <v>#N/A</v>
      </c>
      <c r="L472" t="str">
        <f t="shared" si="94"/>
        <v/>
      </c>
      <c r="M472" t="str">
        <f t="shared" si="95"/>
        <v/>
      </c>
      <c r="N472" t="str">
        <f t="shared" si="96"/>
        <v/>
      </c>
      <c r="O472" t="str">
        <f>IF(L472&lt;&gt;"",Data!$M1023,"")</f>
        <v/>
      </c>
      <c r="T472">
        <f>IF(OR(Dashboard!$P$4="All",Dashboard!$R$4="All"),NA(),IF(OR(Data!K1023&lt;&gt;Dashboard!$P$4,Data!K1023&lt;&gt;Dashboard!$R$4),Data!G1023,NA()))</f>
        <v>60000</v>
      </c>
      <c r="U472"/>
      <c r="AI472" s="13" t="s">
        <v>3402</v>
      </c>
      <c r="AJ472" s="8">
        <v>80442</v>
      </c>
      <c r="AK472" s="8">
        <v>1</v>
      </c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Q472" s="13" t="s">
        <v>3402</v>
      </c>
      <c r="BR472" s="8"/>
      <c r="BS472" s="8"/>
      <c r="BT472" s="8">
        <v>80442</v>
      </c>
      <c r="BU472" s="8"/>
      <c r="BV472" s="8"/>
    </row>
    <row r="473" spans="2:74">
      <c r="B473" t="e">
        <f>IF(Dashboard!$P$4="All",Data!G1024,IF(Data!K1024=Dashboard!$P$4,Data!G1024,NA()))</f>
        <v>#N/A</v>
      </c>
      <c r="C473" t="str">
        <f t="shared" si="91"/>
        <v/>
      </c>
      <c r="D473" t="str">
        <f t="shared" si="92"/>
        <v/>
      </c>
      <c r="E473" t="str">
        <f t="shared" si="93"/>
        <v/>
      </c>
      <c r="F473" t="str">
        <f>IF(C473&lt;&gt;"",Data!$M1024,"")</f>
        <v/>
      </c>
      <c r="K473" t="e">
        <f>IF(Dashboard!$R$4="All",Data!G1024,IF(Data!K1024=Dashboard!$R$4,Data!G1024,NA()))</f>
        <v>#N/A</v>
      </c>
      <c r="L473" t="str">
        <f t="shared" si="94"/>
        <v/>
      </c>
      <c r="M473" t="str">
        <f t="shared" si="95"/>
        <v/>
      </c>
      <c r="N473" t="str">
        <f t="shared" si="96"/>
        <v/>
      </c>
      <c r="O473" t="str">
        <f>IF(L473&lt;&gt;"",Data!$M1024,"")</f>
        <v/>
      </c>
      <c r="T473">
        <f>IF(OR(Dashboard!$P$4="All",Dashboard!$R$4="All"),NA(),IF(OR(Data!K1024&lt;&gt;Dashboard!$P$4,Data!K1024&lt;&gt;Dashboard!$R$4),Data!G1024,NA()))</f>
        <v>8476.5683432226633</v>
      </c>
      <c r="U473"/>
      <c r="AI473" s="13" t="s">
        <v>3403</v>
      </c>
      <c r="AJ473" s="8"/>
      <c r="AK473" s="8"/>
      <c r="AL473" s="8">
        <v>75000</v>
      </c>
      <c r="AM473" s="8">
        <v>1</v>
      </c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Q473" s="13" t="s">
        <v>3403</v>
      </c>
      <c r="BR473" s="8">
        <v>75000</v>
      </c>
      <c r="BS473" s="8"/>
      <c r="BT473" s="8"/>
      <c r="BU473" s="8"/>
      <c r="BV473" s="8"/>
    </row>
    <row r="474" spans="2:74">
      <c r="B474" t="e">
        <f>IF(Dashboard!$P$4="All",Data!G1025,IF(Data!K1025=Dashboard!$P$4,Data!G1025,NA()))</f>
        <v>#N/A</v>
      </c>
      <c r="C474" t="str">
        <f t="shared" si="91"/>
        <v/>
      </c>
      <c r="D474" t="str">
        <f t="shared" si="92"/>
        <v/>
      </c>
      <c r="E474" t="str">
        <f t="shared" si="93"/>
        <v/>
      </c>
      <c r="F474" t="str">
        <f>IF(C474&lt;&gt;"",Data!$M1025,"")</f>
        <v/>
      </c>
      <c r="K474" t="e">
        <f>IF(Dashboard!$R$4="All",Data!G1025,IF(Data!K1025=Dashboard!$R$4,Data!G1025,NA()))</f>
        <v>#N/A</v>
      </c>
      <c r="L474" t="str">
        <f t="shared" si="94"/>
        <v/>
      </c>
      <c r="M474" t="str">
        <f t="shared" si="95"/>
        <v/>
      </c>
      <c r="N474" t="str">
        <f t="shared" si="96"/>
        <v/>
      </c>
      <c r="O474" t="str">
        <f>IF(L474&lt;&gt;"",Data!$M1025,"")</f>
        <v/>
      </c>
      <c r="T474">
        <f>IF(OR(Dashboard!$P$4="All",Dashboard!$R$4="All"),NA(),IF(OR(Data!K1025&lt;&gt;Dashboard!$P$4,Data!K1025&lt;&gt;Dashboard!$R$4),Data!G1025,NA()))</f>
        <v>8700</v>
      </c>
      <c r="U474"/>
      <c r="AI474" s="13" t="s">
        <v>3404</v>
      </c>
      <c r="AJ474" s="8">
        <v>61000</v>
      </c>
      <c r="AK474" s="8">
        <v>1</v>
      </c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Q474" s="13" t="s">
        <v>3404</v>
      </c>
      <c r="BR474" s="8"/>
      <c r="BS474" s="8"/>
      <c r="BT474" s="8">
        <v>61000</v>
      </c>
      <c r="BU474" s="8"/>
      <c r="BV474" s="8"/>
    </row>
    <row r="475" spans="2:74">
      <c r="B475" t="e">
        <f>IF(Dashboard!$P$4="All",Data!G1026,IF(Data!K1026=Dashboard!$P$4,Data!G1026,NA()))</f>
        <v>#N/A</v>
      </c>
      <c r="C475" t="str">
        <f t="shared" si="91"/>
        <v/>
      </c>
      <c r="D475" t="str">
        <f t="shared" si="92"/>
        <v/>
      </c>
      <c r="E475" t="str">
        <f t="shared" si="93"/>
        <v/>
      </c>
      <c r="F475" t="str">
        <f>IF(C475&lt;&gt;"",Data!$M1026,"")</f>
        <v/>
      </c>
      <c r="K475" t="e">
        <f>IF(Dashboard!$R$4="All",Data!G1026,IF(Data!K1026=Dashboard!$R$4,Data!G1026,NA()))</f>
        <v>#N/A</v>
      </c>
      <c r="L475" t="str">
        <f t="shared" si="94"/>
        <v/>
      </c>
      <c r="M475" t="str">
        <f t="shared" si="95"/>
        <v/>
      </c>
      <c r="N475" t="str">
        <f t="shared" si="96"/>
        <v/>
      </c>
      <c r="O475" t="str">
        <f>IF(L475&lt;&gt;"",Data!$M1026,"")</f>
        <v/>
      </c>
      <c r="T475">
        <f>IF(OR(Dashboard!$P$4="All",Dashboard!$R$4="All"),NA(),IF(OR(Data!K1026&lt;&gt;Dashboard!$P$4,Data!K1026&lt;&gt;Dashboard!$R$4),Data!G1026,NA()))</f>
        <v>3561.5833374885137</v>
      </c>
      <c r="U475"/>
      <c r="AI475" s="13" t="s">
        <v>3405</v>
      </c>
      <c r="AJ475" s="8"/>
      <c r="AK475" s="8"/>
      <c r="AL475" s="8"/>
      <c r="AM475" s="8"/>
      <c r="AN475" s="8"/>
      <c r="AO475" s="8"/>
      <c r="AP475" s="8"/>
      <c r="AQ475" s="8"/>
      <c r="AR475" s="8">
        <v>77000</v>
      </c>
      <c r="AS475" s="8">
        <v>1</v>
      </c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Q475" s="13" t="s">
        <v>3405</v>
      </c>
      <c r="BR475" s="8"/>
      <c r="BS475" s="8"/>
      <c r="BT475" s="8">
        <v>77000</v>
      </c>
      <c r="BU475" s="8"/>
      <c r="BV475" s="8"/>
    </row>
    <row r="476" spans="2:74">
      <c r="B476" t="e">
        <f>IF(Dashboard!$P$4="All",Data!G1027,IF(Data!K1027=Dashboard!$P$4,Data!G1027,NA()))</f>
        <v>#N/A</v>
      </c>
      <c r="C476" t="str">
        <f t="shared" si="91"/>
        <v/>
      </c>
      <c r="D476" t="str">
        <f t="shared" si="92"/>
        <v/>
      </c>
      <c r="E476" t="str">
        <f t="shared" si="93"/>
        <v/>
      </c>
      <c r="F476" t="str">
        <f>IF(C476&lt;&gt;"",Data!$M1027,"")</f>
        <v/>
      </c>
      <c r="K476" t="e">
        <f>IF(Dashboard!$R$4="All",Data!G1027,IF(Data!K1027=Dashboard!$R$4,Data!G1027,NA()))</f>
        <v>#N/A</v>
      </c>
      <c r="L476" t="str">
        <f t="shared" si="94"/>
        <v/>
      </c>
      <c r="M476" t="str">
        <f t="shared" si="95"/>
        <v/>
      </c>
      <c r="N476" t="str">
        <f t="shared" si="96"/>
        <v/>
      </c>
      <c r="O476" t="str">
        <f>IF(L476&lt;&gt;"",Data!$M1027,"")</f>
        <v/>
      </c>
      <c r="T476">
        <f>IF(OR(Dashboard!$P$4="All",Dashboard!$R$4="All"),NA(),IF(OR(Data!K1027&lt;&gt;Dashboard!$P$4,Data!K1027&lt;&gt;Dashboard!$R$4),Data!G1027,NA()))</f>
        <v>3205.4250037396623</v>
      </c>
      <c r="U476"/>
      <c r="AI476" s="13" t="s">
        <v>3406</v>
      </c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>
        <v>92000</v>
      </c>
      <c r="AY476" s="8">
        <v>1</v>
      </c>
      <c r="AZ476" s="8"/>
      <c r="BA476" s="8"/>
      <c r="BB476" s="8"/>
      <c r="BC476" s="8"/>
      <c r="BQ476" s="13" t="s">
        <v>3406</v>
      </c>
      <c r="BR476" s="8"/>
      <c r="BS476" s="8">
        <v>92000</v>
      </c>
      <c r="BT476" s="8"/>
      <c r="BU476" s="8"/>
      <c r="BV476" s="8"/>
    </row>
    <row r="477" spans="2:74">
      <c r="B477" t="e">
        <f>IF(Dashboard!$P$4="All",Data!G1028,IF(Data!K1028=Dashboard!$P$4,Data!G1028,NA()))</f>
        <v>#N/A</v>
      </c>
      <c r="C477" t="str">
        <f t="shared" si="91"/>
        <v/>
      </c>
      <c r="D477" t="str">
        <f t="shared" si="92"/>
        <v/>
      </c>
      <c r="E477" t="str">
        <f t="shared" si="93"/>
        <v/>
      </c>
      <c r="F477" t="str">
        <f>IF(C477&lt;&gt;"",Data!$M1028,"")</f>
        <v/>
      </c>
      <c r="K477" t="e">
        <f>IF(Dashboard!$R$4="All",Data!G1028,IF(Data!K1028=Dashboard!$R$4,Data!G1028,NA()))</f>
        <v>#N/A</v>
      </c>
      <c r="L477" t="str">
        <f t="shared" si="94"/>
        <v/>
      </c>
      <c r="M477" t="str">
        <f t="shared" si="95"/>
        <v/>
      </c>
      <c r="N477" t="str">
        <f t="shared" si="96"/>
        <v/>
      </c>
      <c r="O477" t="str">
        <f>IF(L477&lt;&gt;"",Data!$M1028,"")</f>
        <v/>
      </c>
      <c r="T477">
        <f>IF(OR(Dashboard!$P$4="All",Dashboard!$R$4="All"),NA(),IF(OR(Data!K1028&lt;&gt;Dashboard!$P$4,Data!K1028&lt;&gt;Dashboard!$R$4),Data!G1028,NA()))</f>
        <v>4487.5950052355274</v>
      </c>
      <c r="U477"/>
      <c r="AI477" s="13" t="s">
        <v>3407</v>
      </c>
      <c r="AJ477" s="8">
        <v>72000</v>
      </c>
      <c r="AK477" s="8">
        <v>1</v>
      </c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Q477" s="13" t="s">
        <v>3407</v>
      </c>
      <c r="BR477" s="8"/>
      <c r="BS477" s="8"/>
      <c r="BT477" s="8"/>
      <c r="BU477" s="8">
        <v>72000</v>
      </c>
      <c r="BV477" s="8"/>
    </row>
    <row r="478" spans="2:74">
      <c r="B478" t="e">
        <f>IF(Dashboard!$P$4="All",Data!G1029,IF(Data!K1029=Dashboard!$P$4,Data!G1029,NA()))</f>
        <v>#N/A</v>
      </c>
      <c r="C478" t="str">
        <f t="shared" si="91"/>
        <v/>
      </c>
      <c r="D478" t="str">
        <f t="shared" si="92"/>
        <v/>
      </c>
      <c r="E478" t="str">
        <f t="shared" si="93"/>
        <v/>
      </c>
      <c r="F478" t="str">
        <f>IF(C478&lt;&gt;"",Data!$M1029,"")</f>
        <v/>
      </c>
      <c r="K478" t="e">
        <f>IF(Dashboard!$R$4="All",Data!G1029,IF(Data!K1029=Dashboard!$R$4,Data!G1029,NA()))</f>
        <v>#N/A</v>
      </c>
      <c r="L478" t="str">
        <f t="shared" si="94"/>
        <v/>
      </c>
      <c r="M478" t="str">
        <f t="shared" si="95"/>
        <v/>
      </c>
      <c r="N478" t="str">
        <f t="shared" si="96"/>
        <v/>
      </c>
      <c r="O478" t="str">
        <f>IF(L478&lt;&gt;"",Data!$M1029,"")</f>
        <v/>
      </c>
      <c r="T478">
        <f>IF(OR(Dashboard!$P$4="All",Dashboard!$R$4="All"),NA(),IF(OR(Data!K1029&lt;&gt;Dashboard!$P$4,Data!K1029&lt;&gt;Dashboard!$R$4),Data!G1029,NA()))</f>
        <v>12465.541681209797</v>
      </c>
      <c r="U478"/>
      <c r="AI478" s="13" t="s">
        <v>3409</v>
      </c>
      <c r="AJ478" s="8"/>
      <c r="AK478" s="8"/>
      <c r="AL478" s="8">
        <v>111000</v>
      </c>
      <c r="AM478" s="8">
        <v>1</v>
      </c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Q478" s="13" t="s">
        <v>3409</v>
      </c>
      <c r="BR478" s="8"/>
      <c r="BS478" s="8">
        <v>111000</v>
      </c>
      <c r="BT478" s="8"/>
      <c r="BU478" s="8"/>
      <c r="BV478" s="8"/>
    </row>
    <row r="479" spans="2:74">
      <c r="B479" t="e">
        <f>IF(Dashboard!$P$4="All",Data!G1030,IF(Data!K1030=Dashboard!$P$4,Data!G1030,NA()))</f>
        <v>#N/A</v>
      </c>
      <c r="C479" t="str">
        <f t="shared" si="91"/>
        <v/>
      </c>
      <c r="D479" t="str">
        <f t="shared" si="92"/>
        <v/>
      </c>
      <c r="E479" t="str">
        <f t="shared" si="93"/>
        <v/>
      </c>
      <c r="F479" t="str">
        <f>IF(C479&lt;&gt;"",Data!$M1030,"")</f>
        <v/>
      </c>
      <c r="K479" t="e">
        <f>IF(Dashboard!$R$4="All",Data!G1030,IF(Data!K1030=Dashboard!$R$4,Data!G1030,NA()))</f>
        <v>#N/A</v>
      </c>
      <c r="L479" t="str">
        <f t="shared" si="94"/>
        <v/>
      </c>
      <c r="M479" t="str">
        <f t="shared" si="95"/>
        <v/>
      </c>
      <c r="N479" t="str">
        <f t="shared" si="96"/>
        <v/>
      </c>
      <c r="O479" t="str">
        <f>IF(L479&lt;&gt;"",Data!$M1030,"")</f>
        <v/>
      </c>
      <c r="T479">
        <f>IF(OR(Dashboard!$P$4="All",Dashboard!$R$4="All"),NA(),IF(OR(Data!K1030&lt;&gt;Dashboard!$P$4,Data!K1030&lt;&gt;Dashboard!$R$4),Data!G1030,NA()))</f>
        <v>2400</v>
      </c>
      <c r="U479"/>
      <c r="AI479" s="13" t="s">
        <v>3410</v>
      </c>
      <c r="AJ479" s="8">
        <v>80000</v>
      </c>
      <c r="AK479" s="8">
        <v>1</v>
      </c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Q479" s="13" t="s">
        <v>3410</v>
      </c>
      <c r="BR479" s="8"/>
      <c r="BS479" s="8"/>
      <c r="BT479" s="8">
        <v>80000</v>
      </c>
      <c r="BU479" s="8"/>
      <c r="BV479" s="8"/>
    </row>
    <row r="480" spans="2:74">
      <c r="B480" t="e">
        <f>IF(Dashboard!$P$4="All",Data!G1031,IF(Data!K1031=Dashboard!$P$4,Data!G1031,NA()))</f>
        <v>#N/A</v>
      </c>
      <c r="C480" t="str">
        <f t="shared" si="91"/>
        <v/>
      </c>
      <c r="D480" t="str">
        <f t="shared" si="92"/>
        <v/>
      </c>
      <c r="E480" t="str">
        <f t="shared" si="93"/>
        <v/>
      </c>
      <c r="F480" t="str">
        <f>IF(C480&lt;&gt;"",Data!$M1031,"")</f>
        <v/>
      </c>
      <c r="K480" t="e">
        <f>IF(Dashboard!$R$4="All",Data!G1031,IF(Data!K1031=Dashboard!$R$4,Data!G1031,NA()))</f>
        <v>#N/A</v>
      </c>
      <c r="L480" t="str">
        <f t="shared" si="94"/>
        <v/>
      </c>
      <c r="M480" t="str">
        <f t="shared" si="95"/>
        <v/>
      </c>
      <c r="N480" t="str">
        <f t="shared" si="96"/>
        <v/>
      </c>
      <c r="O480" t="str">
        <f>IF(L480&lt;&gt;"",Data!$M1031,"")</f>
        <v/>
      </c>
      <c r="T480">
        <f>IF(OR(Dashboard!$P$4="All",Dashboard!$R$4="All"),NA(),IF(OR(Data!K1031&lt;&gt;Dashboard!$P$4,Data!K1031&lt;&gt;Dashboard!$R$4),Data!G1031,NA()))</f>
        <v>55000</v>
      </c>
      <c r="U480"/>
      <c r="AI480" s="13" t="s">
        <v>3413</v>
      </c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>
        <v>24000</v>
      </c>
      <c r="AY480" s="8">
        <v>1</v>
      </c>
      <c r="AZ480" s="8"/>
      <c r="BA480" s="8"/>
      <c r="BB480" s="8"/>
      <c r="BC480" s="8"/>
      <c r="BQ480" s="13" t="s">
        <v>3413</v>
      </c>
      <c r="BR480" s="8">
        <v>24000</v>
      </c>
      <c r="BS480" s="8"/>
      <c r="BT480" s="8"/>
      <c r="BU480" s="8"/>
      <c r="BV480" s="8"/>
    </row>
    <row r="481" spans="2:74">
      <c r="B481" t="e">
        <f>IF(Dashboard!$P$4="All",Data!G1032,IF(Data!K1032=Dashboard!$P$4,Data!G1032,NA()))</f>
        <v>#N/A</v>
      </c>
      <c r="C481" t="str">
        <f t="shared" si="91"/>
        <v/>
      </c>
      <c r="D481" t="str">
        <f t="shared" si="92"/>
        <v/>
      </c>
      <c r="E481" t="str">
        <f t="shared" si="93"/>
        <v/>
      </c>
      <c r="F481" t="str">
        <f>IF(C481&lt;&gt;"",Data!$M1032,"")</f>
        <v/>
      </c>
      <c r="K481" t="e">
        <f>IF(Dashboard!$R$4="All",Data!G1032,IF(Data!K1032=Dashboard!$R$4,Data!G1032,NA()))</f>
        <v>#N/A</v>
      </c>
      <c r="L481" t="str">
        <f t="shared" si="94"/>
        <v/>
      </c>
      <c r="M481" t="str">
        <f t="shared" si="95"/>
        <v/>
      </c>
      <c r="N481" t="str">
        <f t="shared" si="96"/>
        <v/>
      </c>
      <c r="O481" t="str">
        <f>IF(L481&lt;&gt;"",Data!$M1032,"")</f>
        <v/>
      </c>
      <c r="T481">
        <f>IF(OR(Dashboard!$P$4="All",Dashboard!$R$4="All"),NA(),IF(OR(Data!K1032&lt;&gt;Dashboard!$P$4,Data!K1032&lt;&gt;Dashboard!$R$4),Data!G1032,NA()))</f>
        <v>12000</v>
      </c>
      <c r="U481"/>
      <c r="AI481" s="13" t="s">
        <v>3414</v>
      </c>
      <c r="AJ481" s="8"/>
      <c r="AK481" s="8"/>
      <c r="AL481" s="8">
        <v>61000</v>
      </c>
      <c r="AM481" s="8">
        <v>1</v>
      </c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Q481" s="13" t="s">
        <v>3414</v>
      </c>
      <c r="BR481" s="8"/>
      <c r="BS481" s="8">
        <v>61000</v>
      </c>
      <c r="BT481" s="8"/>
      <c r="BU481" s="8"/>
      <c r="BV481" s="8"/>
    </row>
    <row r="482" spans="2:74">
      <c r="B482" t="e">
        <f>IF(Dashboard!$P$4="All",Data!G1033,IF(Data!K1033=Dashboard!$P$4,Data!G1033,NA()))</f>
        <v>#N/A</v>
      </c>
      <c r="C482" t="str">
        <f t="shared" si="91"/>
        <v/>
      </c>
      <c r="D482" t="str">
        <f t="shared" si="92"/>
        <v/>
      </c>
      <c r="E482" t="str">
        <f t="shared" si="93"/>
        <v/>
      </c>
      <c r="F482" t="str">
        <f>IF(C482&lt;&gt;"",Data!$M1033,"")</f>
        <v/>
      </c>
      <c r="K482" t="e">
        <f>IF(Dashboard!$R$4="All",Data!G1033,IF(Data!K1033=Dashboard!$R$4,Data!G1033,NA()))</f>
        <v>#N/A</v>
      </c>
      <c r="L482" t="str">
        <f t="shared" si="94"/>
        <v/>
      </c>
      <c r="M482" t="str">
        <f t="shared" si="95"/>
        <v/>
      </c>
      <c r="N482" t="str">
        <f t="shared" si="96"/>
        <v/>
      </c>
      <c r="O482" t="str">
        <f>IF(L482&lt;&gt;"",Data!$M1033,"")</f>
        <v/>
      </c>
      <c r="T482">
        <f>IF(OR(Dashboard!$P$4="All",Dashboard!$R$4="All"),NA(),IF(OR(Data!K1033&lt;&gt;Dashboard!$P$4,Data!K1033&lt;&gt;Dashboard!$R$4),Data!G1033,NA()))</f>
        <v>55262.375596134938</v>
      </c>
      <c r="U482"/>
      <c r="AI482" s="13" t="s">
        <v>3417</v>
      </c>
      <c r="AJ482" s="8"/>
      <c r="AK482" s="8"/>
      <c r="AL482" s="8">
        <v>96230</v>
      </c>
      <c r="AM482" s="8">
        <v>1</v>
      </c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Q482" s="13" t="s">
        <v>3417</v>
      </c>
      <c r="BR482" s="8"/>
      <c r="BS482" s="8"/>
      <c r="BT482" s="8">
        <v>96230</v>
      </c>
      <c r="BU482" s="8"/>
      <c r="BV482" s="8"/>
    </row>
    <row r="483" spans="2:74">
      <c r="B483" t="e">
        <f>IF(Dashboard!$P$4="All",Data!G1034,IF(Data!K1034=Dashboard!$P$4,Data!G1034,NA()))</f>
        <v>#N/A</v>
      </c>
      <c r="C483" t="str">
        <f t="shared" si="91"/>
        <v/>
      </c>
      <c r="D483" t="str">
        <f t="shared" si="92"/>
        <v/>
      </c>
      <c r="E483" t="str">
        <f t="shared" si="93"/>
        <v/>
      </c>
      <c r="F483" t="str">
        <f>IF(C483&lt;&gt;"",Data!$M1034,"")</f>
        <v/>
      </c>
      <c r="K483" t="e">
        <f>IF(Dashboard!$R$4="All",Data!G1034,IF(Data!K1034=Dashboard!$R$4,Data!G1034,NA()))</f>
        <v>#N/A</v>
      </c>
      <c r="L483" t="str">
        <f t="shared" si="94"/>
        <v/>
      </c>
      <c r="M483" t="str">
        <f t="shared" si="95"/>
        <v/>
      </c>
      <c r="N483" t="str">
        <f t="shared" si="96"/>
        <v/>
      </c>
      <c r="O483" t="str">
        <f>IF(L483&lt;&gt;"",Data!$M1034,"")</f>
        <v/>
      </c>
      <c r="T483">
        <f>IF(OR(Dashboard!$P$4="All",Dashboard!$R$4="All"),NA(),IF(OR(Data!K1034&lt;&gt;Dashboard!$P$4,Data!K1034&lt;&gt;Dashboard!$R$4),Data!G1034,NA()))</f>
        <v>21369.500024931083</v>
      </c>
      <c r="U483"/>
      <c r="AI483" s="13" t="s">
        <v>3418</v>
      </c>
      <c r="AJ483" s="8">
        <v>75000</v>
      </c>
      <c r="AK483" s="8">
        <v>1</v>
      </c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Q483" s="13" t="s">
        <v>3418</v>
      </c>
      <c r="BR483" s="8"/>
      <c r="BS483" s="8">
        <v>75000</v>
      </c>
      <c r="BT483" s="8"/>
      <c r="BU483" s="8"/>
      <c r="BV483" s="8"/>
    </row>
    <row r="484" spans="2:74">
      <c r="B484" t="e">
        <f>IF(Dashboard!$P$4="All",Data!G1035,IF(Data!K1035=Dashboard!$P$4,Data!G1035,NA()))</f>
        <v>#N/A</v>
      </c>
      <c r="C484" t="str">
        <f t="shared" si="91"/>
        <v/>
      </c>
      <c r="D484" t="str">
        <f t="shared" si="92"/>
        <v/>
      </c>
      <c r="E484" t="str">
        <f t="shared" si="93"/>
        <v/>
      </c>
      <c r="F484" t="str">
        <f>IF(C484&lt;&gt;"",Data!$M1035,"")</f>
        <v/>
      </c>
      <c r="K484">
        <f>IF(Dashboard!$R$4="All",Data!G1035,IF(Data!K1035=Dashboard!$R$4,Data!G1035,NA()))</f>
        <v>40980.635073749385</v>
      </c>
      <c r="L484">
        <f t="shared" si="94"/>
        <v>40980.635073749385</v>
      </c>
      <c r="M484" t="str">
        <f t="shared" si="95"/>
        <v/>
      </c>
      <c r="N484" t="str">
        <f t="shared" si="96"/>
        <v/>
      </c>
      <c r="O484">
        <f>IF(L484&lt;&gt;"",Data!$M1035,"")</f>
        <v>8</v>
      </c>
      <c r="T484">
        <f>IF(OR(Dashboard!$P$4="All",Dashboard!$R$4="All"),NA(),IF(OR(Data!K1035&lt;&gt;Dashboard!$P$4,Data!K1035&lt;&gt;Dashboard!$R$4),Data!G1035,NA()))</f>
        <v>40980.635073749385</v>
      </c>
      <c r="U484"/>
      <c r="AI484" s="13" t="s">
        <v>3419</v>
      </c>
      <c r="AJ484" s="8">
        <v>102000</v>
      </c>
      <c r="AK484" s="8">
        <v>1</v>
      </c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Q484" s="13" t="s">
        <v>3419</v>
      </c>
      <c r="BR484" s="8"/>
      <c r="BS484" s="8"/>
      <c r="BT484" s="8">
        <v>102000</v>
      </c>
      <c r="BU484" s="8"/>
      <c r="BV484" s="8"/>
    </row>
    <row r="485" spans="2:74">
      <c r="B485" t="e">
        <f>IF(Dashboard!$P$4="All",Data!G1036,IF(Data!K1036=Dashboard!$P$4,Data!G1036,NA()))</f>
        <v>#N/A</v>
      </c>
      <c r="C485" t="str">
        <f t="shared" si="91"/>
        <v/>
      </c>
      <c r="D485" t="str">
        <f t="shared" si="92"/>
        <v/>
      </c>
      <c r="E485" t="str">
        <f t="shared" si="93"/>
        <v/>
      </c>
      <c r="F485" t="str">
        <f>IF(C485&lt;&gt;"",Data!$M1036,"")</f>
        <v/>
      </c>
      <c r="K485" t="e">
        <f>IF(Dashboard!$R$4="All",Data!G1036,IF(Data!K1036=Dashboard!$R$4,Data!G1036,NA()))</f>
        <v>#N/A</v>
      </c>
      <c r="L485" t="str">
        <f t="shared" si="94"/>
        <v/>
      </c>
      <c r="M485" t="str">
        <f t="shared" si="95"/>
        <v/>
      </c>
      <c r="N485" t="str">
        <f t="shared" si="96"/>
        <v/>
      </c>
      <c r="O485" t="str">
        <f>IF(L485&lt;&gt;"",Data!$M1036,"")</f>
        <v/>
      </c>
      <c r="T485">
        <f>IF(OR(Dashboard!$P$4="All",Dashboard!$R$4="All"),NA(),IF(OR(Data!K1036&lt;&gt;Dashboard!$P$4,Data!K1036&lt;&gt;Dashboard!$R$4),Data!G1036,NA()))</f>
        <v>50995.482820131787</v>
      </c>
      <c r="U485"/>
      <c r="AI485" s="13" t="s">
        <v>3423</v>
      </c>
      <c r="AJ485" s="8"/>
      <c r="AK485" s="8"/>
      <c r="AL485" s="8">
        <v>67000</v>
      </c>
      <c r="AM485" s="8">
        <v>1</v>
      </c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Q485" s="13" t="s">
        <v>3423</v>
      </c>
      <c r="BR485" s="8"/>
      <c r="BS485" s="8">
        <v>67000</v>
      </c>
      <c r="BT485" s="8"/>
      <c r="BU485" s="8"/>
      <c r="BV485" s="8"/>
    </row>
    <row r="486" spans="2:74">
      <c r="B486" t="e">
        <f>IF(Dashboard!$P$4="All",Data!G1037,IF(Data!K1037=Dashboard!$P$4,Data!G1037,NA()))</f>
        <v>#N/A</v>
      </c>
      <c r="C486" t="str">
        <f t="shared" si="91"/>
        <v/>
      </c>
      <c r="D486" t="str">
        <f t="shared" si="92"/>
        <v/>
      </c>
      <c r="E486" t="str">
        <f t="shared" si="93"/>
        <v/>
      </c>
      <c r="F486" t="str">
        <f>IF(C486&lt;&gt;"",Data!$M1037,"")</f>
        <v/>
      </c>
      <c r="K486" t="e">
        <f>IF(Dashboard!$R$4="All",Data!G1037,IF(Data!K1037=Dashboard!$R$4,Data!G1037,NA()))</f>
        <v>#N/A</v>
      </c>
      <c r="L486" t="str">
        <f t="shared" si="94"/>
        <v/>
      </c>
      <c r="M486" t="str">
        <f t="shared" si="95"/>
        <v/>
      </c>
      <c r="N486" t="str">
        <f t="shared" si="96"/>
        <v/>
      </c>
      <c r="O486" t="str">
        <f>IF(L486&lt;&gt;"",Data!$M1037,"")</f>
        <v/>
      </c>
      <c r="T486">
        <f>IF(OR(Dashboard!$P$4="All",Dashboard!$R$4="All"),NA(),IF(OR(Data!K1037&lt;&gt;Dashboard!$P$4,Data!K1037&lt;&gt;Dashboard!$R$4),Data!G1037,NA()))</f>
        <v>20326.391023865726</v>
      </c>
      <c r="U486"/>
      <c r="AI486" s="13" t="s">
        <v>3433</v>
      </c>
      <c r="AJ486" s="8"/>
      <c r="AK486" s="8"/>
      <c r="AL486" s="8">
        <v>60000</v>
      </c>
      <c r="AM486" s="8">
        <v>1</v>
      </c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Q486" s="13" t="s">
        <v>3433</v>
      </c>
      <c r="BR486" s="8"/>
      <c r="BS486" s="8">
        <v>60000</v>
      </c>
      <c r="BT486" s="8"/>
      <c r="BU486" s="8"/>
      <c r="BV486" s="8"/>
    </row>
    <row r="487" spans="2:74">
      <c r="B487" t="e">
        <f>IF(Dashboard!$P$4="All",Data!G1038,IF(Data!K1038=Dashboard!$P$4,Data!G1038,NA()))</f>
        <v>#N/A</v>
      </c>
      <c r="C487" t="str">
        <f t="shared" si="91"/>
        <v/>
      </c>
      <c r="D487" t="str">
        <f t="shared" si="92"/>
        <v/>
      </c>
      <c r="E487" t="str">
        <f t="shared" si="93"/>
        <v/>
      </c>
      <c r="F487" t="str">
        <f>IF(C487&lt;&gt;"",Data!$M1038,"")</f>
        <v/>
      </c>
      <c r="K487" t="e">
        <f>IF(Dashboard!$R$4="All",Data!G1038,IF(Data!K1038=Dashboard!$R$4,Data!G1038,NA()))</f>
        <v>#N/A</v>
      </c>
      <c r="L487" t="str">
        <f t="shared" si="94"/>
        <v/>
      </c>
      <c r="M487" t="str">
        <f t="shared" si="95"/>
        <v/>
      </c>
      <c r="N487" t="str">
        <f t="shared" si="96"/>
        <v/>
      </c>
      <c r="O487" t="str">
        <f>IF(L487&lt;&gt;"",Data!$M1038,"")</f>
        <v/>
      </c>
      <c r="T487">
        <f>IF(OR(Dashboard!$P$4="All",Dashboard!$R$4="All"),NA(),IF(OR(Data!K1038&lt;&gt;Dashboard!$P$4,Data!K1038&lt;&gt;Dashboard!$R$4),Data!G1038,NA()))</f>
        <v>12000</v>
      </c>
      <c r="U487"/>
      <c r="AI487" s="13" t="s">
        <v>3454</v>
      </c>
      <c r="AJ487" s="8">
        <v>42000</v>
      </c>
      <c r="AK487" s="8">
        <v>1</v>
      </c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Q487" s="13" t="s">
        <v>3454</v>
      </c>
      <c r="BR487" s="8"/>
      <c r="BS487" s="8"/>
      <c r="BT487" s="8"/>
      <c r="BU487" s="8">
        <v>42000</v>
      </c>
      <c r="BV487" s="8"/>
    </row>
    <row r="488" spans="2:74">
      <c r="B488" t="e">
        <f>IF(Dashboard!$P$4="All",Data!G1039,IF(Data!K1039=Dashboard!$P$4,Data!G1039,NA()))</f>
        <v>#N/A</v>
      </c>
      <c r="C488" t="str">
        <f t="shared" si="91"/>
        <v/>
      </c>
      <c r="D488" t="str">
        <f t="shared" si="92"/>
        <v/>
      </c>
      <c r="E488" t="str">
        <f t="shared" si="93"/>
        <v/>
      </c>
      <c r="F488" t="str">
        <f>IF(C488&lt;&gt;"",Data!$M1039,"")</f>
        <v/>
      </c>
      <c r="K488" t="e">
        <f>IF(Dashboard!$R$4="All",Data!G1039,IF(Data!K1039=Dashboard!$R$4,Data!G1039,NA()))</f>
        <v>#N/A</v>
      </c>
      <c r="L488" t="str">
        <f t="shared" si="94"/>
        <v/>
      </c>
      <c r="M488" t="str">
        <f t="shared" si="95"/>
        <v/>
      </c>
      <c r="N488" t="str">
        <f t="shared" si="96"/>
        <v/>
      </c>
      <c r="O488" t="str">
        <f>IF(L488&lt;&gt;"",Data!$M1039,"")</f>
        <v/>
      </c>
      <c r="T488">
        <f>IF(OR(Dashboard!$P$4="All",Dashboard!$R$4="All"),NA(),IF(OR(Data!K1039&lt;&gt;Dashboard!$P$4,Data!K1039&lt;&gt;Dashboard!$R$4),Data!G1039,NA()))</f>
        <v>29261.227167098674</v>
      </c>
      <c r="U488"/>
      <c r="AI488" s="13" t="s">
        <v>3457</v>
      </c>
      <c r="AJ488" s="8">
        <v>85000</v>
      </c>
      <c r="AK488" s="8">
        <v>1</v>
      </c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Q488" s="13" t="s">
        <v>3457</v>
      </c>
      <c r="BR488" s="8"/>
      <c r="BS488" s="8"/>
      <c r="BT488" s="8">
        <v>85000</v>
      </c>
      <c r="BU488" s="8"/>
      <c r="BV488" s="8"/>
    </row>
    <row r="489" spans="2:74">
      <c r="B489" t="e">
        <f>IF(Dashboard!$P$4="All",Data!G1040,IF(Data!K1040=Dashboard!$P$4,Data!G1040,NA()))</f>
        <v>#N/A</v>
      </c>
      <c r="C489" t="str">
        <f t="shared" si="91"/>
        <v/>
      </c>
      <c r="D489" t="str">
        <f t="shared" si="92"/>
        <v/>
      </c>
      <c r="E489" t="str">
        <f t="shared" si="93"/>
        <v/>
      </c>
      <c r="F489" t="str">
        <f>IF(C489&lt;&gt;"",Data!$M1040,"")</f>
        <v/>
      </c>
      <c r="K489" t="e">
        <f>IF(Dashboard!$R$4="All",Data!G1040,IF(Data!K1040=Dashboard!$R$4,Data!G1040,NA()))</f>
        <v>#N/A</v>
      </c>
      <c r="L489" t="str">
        <f t="shared" si="94"/>
        <v/>
      </c>
      <c r="M489" t="str">
        <f t="shared" si="95"/>
        <v/>
      </c>
      <c r="N489" t="str">
        <f t="shared" si="96"/>
        <v/>
      </c>
      <c r="O489" t="str">
        <f>IF(L489&lt;&gt;"",Data!$M1040,"")</f>
        <v/>
      </c>
      <c r="T489">
        <f>IF(OR(Dashboard!$P$4="All",Dashboard!$R$4="All"),NA(),IF(OR(Data!K1040&lt;&gt;Dashboard!$P$4,Data!K1040&lt;&gt;Dashboard!$R$4),Data!G1040,NA()))</f>
        <v>14630.613583549337</v>
      </c>
      <c r="U489"/>
      <c r="AI489" s="13" t="s">
        <v>3458</v>
      </c>
      <c r="AJ489" s="8"/>
      <c r="AK489" s="8"/>
      <c r="AL489" s="8">
        <v>109000</v>
      </c>
      <c r="AM489" s="8">
        <v>1</v>
      </c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Q489" s="13" t="s">
        <v>3458</v>
      </c>
      <c r="BR489" s="8"/>
      <c r="BS489" s="8"/>
      <c r="BT489" s="8">
        <v>109000</v>
      </c>
      <c r="BU489" s="8"/>
      <c r="BV489" s="8"/>
    </row>
    <row r="490" spans="2:74">
      <c r="B490" t="e">
        <f>IF(Dashboard!$P$4="All",Data!G1041,IF(Data!K1041=Dashboard!$P$4,Data!G1041,NA()))</f>
        <v>#N/A</v>
      </c>
      <c r="C490" t="str">
        <f t="shared" si="91"/>
        <v/>
      </c>
      <c r="D490" t="str">
        <f t="shared" si="92"/>
        <v/>
      </c>
      <c r="E490" t="str">
        <f t="shared" si="93"/>
        <v/>
      </c>
      <c r="F490" t="str">
        <f>IF(C490&lt;&gt;"",Data!$M1041,"")</f>
        <v/>
      </c>
      <c r="K490" t="e">
        <f>IF(Dashboard!$R$4="All",Data!G1041,IF(Data!K1041=Dashboard!$R$4,Data!G1041,NA()))</f>
        <v>#N/A</v>
      </c>
      <c r="L490" t="str">
        <f t="shared" si="94"/>
        <v/>
      </c>
      <c r="M490" t="str">
        <f t="shared" si="95"/>
        <v/>
      </c>
      <c r="N490" t="str">
        <f t="shared" si="96"/>
        <v/>
      </c>
      <c r="O490" t="str">
        <f>IF(L490&lt;&gt;"",Data!$M1041,"")</f>
        <v/>
      </c>
      <c r="T490">
        <f>IF(OR(Dashboard!$P$4="All",Dashboard!$R$4="All"),NA(),IF(OR(Data!K1041&lt;&gt;Dashboard!$P$4,Data!K1041&lt;&gt;Dashboard!$R$4),Data!G1041,NA()))</f>
        <v>7265.630008476568</v>
      </c>
      <c r="U490"/>
      <c r="AI490" s="13" t="s">
        <v>3460</v>
      </c>
      <c r="AJ490" s="8"/>
      <c r="AK490" s="8"/>
      <c r="AL490" s="8"/>
      <c r="AM490" s="8"/>
      <c r="AN490" s="8"/>
      <c r="AO490" s="8"/>
      <c r="AP490" s="8"/>
      <c r="AQ490" s="8"/>
      <c r="AR490" s="8">
        <v>77000</v>
      </c>
      <c r="AS490" s="8">
        <v>1</v>
      </c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Q490" s="13" t="s">
        <v>3460</v>
      </c>
      <c r="BR490" s="8"/>
      <c r="BS490" s="8">
        <v>77000</v>
      </c>
      <c r="BT490" s="8"/>
      <c r="BU490" s="8"/>
      <c r="BV490" s="8"/>
    </row>
    <row r="491" spans="2:74">
      <c r="B491" t="e">
        <f>IF(Dashboard!$P$4="All",Data!G1042,IF(Data!K1042=Dashboard!$P$4,Data!G1042,NA()))</f>
        <v>#N/A</v>
      </c>
      <c r="C491" t="str">
        <f t="shared" si="91"/>
        <v/>
      </c>
      <c r="D491" t="str">
        <f t="shared" si="92"/>
        <v/>
      </c>
      <c r="E491" t="str">
        <f t="shared" si="93"/>
        <v/>
      </c>
      <c r="F491" t="str">
        <f>IF(C491&lt;&gt;"",Data!$M1042,"")</f>
        <v/>
      </c>
      <c r="K491">
        <f>IF(Dashboard!$R$4="All",Data!G1042,IF(Data!K1042=Dashboard!$R$4,Data!G1042,NA()))</f>
        <v>44132.991617883956</v>
      </c>
      <c r="L491">
        <f t="shared" si="94"/>
        <v>44132.991617883956</v>
      </c>
      <c r="M491" t="str">
        <f t="shared" si="95"/>
        <v/>
      </c>
      <c r="N491" t="str">
        <f t="shared" si="96"/>
        <v/>
      </c>
      <c r="O491">
        <f>IF(L491&lt;&gt;"",Data!$M1042,"")</f>
        <v>16</v>
      </c>
      <c r="T491">
        <f>IF(OR(Dashboard!$P$4="All",Dashboard!$R$4="All"),NA(),IF(OR(Data!K1042&lt;&gt;Dashboard!$P$4,Data!K1042&lt;&gt;Dashboard!$R$4),Data!G1042,NA()))</f>
        <v>44132.991617883956</v>
      </c>
      <c r="U491"/>
      <c r="AI491" s="13" t="s">
        <v>3462</v>
      </c>
      <c r="AJ491" s="8"/>
      <c r="AK491" s="8"/>
      <c r="AL491" s="8">
        <v>64000</v>
      </c>
      <c r="AM491" s="8">
        <v>1</v>
      </c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Q491" s="13" t="s">
        <v>3462</v>
      </c>
      <c r="BR491" s="8"/>
      <c r="BS491" s="8">
        <v>64000</v>
      </c>
      <c r="BT491" s="8"/>
      <c r="BU491" s="8"/>
      <c r="BV491" s="8"/>
    </row>
    <row r="492" spans="2:74">
      <c r="B492" t="e">
        <f>IF(Dashboard!$P$4="All",Data!G1043,IF(Data!K1043=Dashboard!$P$4,Data!G1043,NA()))</f>
        <v>#N/A</v>
      </c>
      <c r="C492" t="str">
        <f t="shared" si="91"/>
        <v/>
      </c>
      <c r="D492" t="str">
        <f t="shared" si="92"/>
        <v/>
      </c>
      <c r="E492" t="str">
        <f t="shared" si="93"/>
        <v/>
      </c>
      <c r="F492" t="str">
        <f>IF(C492&lt;&gt;"",Data!$M1043,"")</f>
        <v/>
      </c>
      <c r="K492" t="e">
        <f>IF(Dashboard!$R$4="All",Data!G1043,IF(Data!K1043=Dashboard!$R$4,Data!G1043,NA()))</f>
        <v>#N/A</v>
      </c>
      <c r="L492" t="str">
        <f t="shared" si="94"/>
        <v/>
      </c>
      <c r="M492" t="str">
        <f t="shared" si="95"/>
        <v/>
      </c>
      <c r="N492" t="str">
        <f t="shared" si="96"/>
        <v/>
      </c>
      <c r="O492" t="str">
        <f>IF(L492&lt;&gt;"",Data!$M1043,"")</f>
        <v/>
      </c>
      <c r="T492">
        <f>IF(OR(Dashboard!$P$4="All",Dashboard!$R$4="All"),NA(),IF(OR(Data!K1043&lt;&gt;Dashboard!$P$4,Data!K1043&lt;&gt;Dashboard!$R$4),Data!G1043,NA()))</f>
        <v>9438.1958443445619</v>
      </c>
      <c r="U492"/>
      <c r="AI492" s="13" t="s">
        <v>3464</v>
      </c>
      <c r="AJ492" s="8">
        <v>76000</v>
      </c>
      <c r="AK492" s="8">
        <v>1</v>
      </c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Q492" s="13" t="s">
        <v>3464</v>
      </c>
      <c r="BR492" s="8"/>
      <c r="BS492" s="8"/>
      <c r="BT492" s="8"/>
      <c r="BU492" s="8">
        <v>76000</v>
      </c>
      <c r="BV492" s="8"/>
    </row>
    <row r="493" spans="2:74">
      <c r="B493" t="e">
        <f>IF(Dashboard!$P$4="All",Data!G1044,IF(Data!K1044=Dashboard!$P$4,Data!G1044,NA()))</f>
        <v>#N/A</v>
      </c>
      <c r="C493" t="str">
        <f t="shared" si="91"/>
        <v/>
      </c>
      <c r="D493" t="str">
        <f t="shared" si="92"/>
        <v/>
      </c>
      <c r="E493" t="str">
        <f t="shared" si="93"/>
        <v/>
      </c>
      <c r="F493" t="str">
        <f>IF(C493&lt;&gt;"",Data!$M1044,"")</f>
        <v/>
      </c>
      <c r="K493" t="e">
        <f>IF(Dashboard!$R$4="All",Data!G1044,IF(Data!K1044=Dashboard!$R$4,Data!G1044,NA()))</f>
        <v>#N/A</v>
      </c>
      <c r="L493" t="str">
        <f t="shared" si="94"/>
        <v/>
      </c>
      <c r="M493" t="str">
        <f t="shared" si="95"/>
        <v/>
      </c>
      <c r="N493" t="str">
        <f t="shared" si="96"/>
        <v/>
      </c>
      <c r="O493" t="str">
        <f>IF(L493&lt;&gt;"",Data!$M1044,"")</f>
        <v/>
      </c>
      <c r="T493">
        <f>IF(OR(Dashboard!$P$4="All",Dashboard!$R$4="All"),NA(),IF(OR(Data!K1044&lt;&gt;Dashboard!$P$4,Data!K1044&lt;&gt;Dashboard!$R$4),Data!G1044,NA()))</f>
        <v>18000</v>
      </c>
      <c r="U493"/>
      <c r="AI493" s="13" t="s">
        <v>3470</v>
      </c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>
        <v>45000</v>
      </c>
      <c r="AU493" s="8">
        <v>1</v>
      </c>
      <c r="AV493" s="8"/>
      <c r="AW493" s="8"/>
      <c r="AX493" s="8"/>
      <c r="AY493" s="8"/>
      <c r="AZ493" s="8"/>
      <c r="BA493" s="8"/>
      <c r="BB493" s="8"/>
      <c r="BC493" s="8"/>
      <c r="BQ493" s="13" t="s">
        <v>3470</v>
      </c>
      <c r="BR493" s="8"/>
      <c r="BS493" s="8">
        <v>45000</v>
      </c>
      <c r="BT493" s="8"/>
      <c r="BU493" s="8"/>
      <c r="BV493" s="8"/>
    </row>
    <row r="494" spans="2:74">
      <c r="B494" t="e">
        <f>IF(Dashboard!$P$4="All",Data!G1045,IF(Data!K1045=Dashboard!$P$4,Data!G1045,NA()))</f>
        <v>#N/A</v>
      </c>
      <c r="C494" t="str">
        <f t="shared" si="91"/>
        <v/>
      </c>
      <c r="D494" t="str">
        <f t="shared" si="92"/>
        <v/>
      </c>
      <c r="E494" t="str">
        <f t="shared" si="93"/>
        <v/>
      </c>
      <c r="F494" t="str">
        <f>IF(C494&lt;&gt;"",Data!$M1045,"")</f>
        <v/>
      </c>
      <c r="K494" t="e">
        <f>IF(Dashboard!$R$4="All",Data!G1045,IF(Data!K1045=Dashboard!$R$4,Data!G1045,NA()))</f>
        <v>#N/A</v>
      </c>
      <c r="L494" t="str">
        <f t="shared" si="94"/>
        <v/>
      </c>
      <c r="M494" t="str">
        <f t="shared" si="95"/>
        <v/>
      </c>
      <c r="N494" t="str">
        <f t="shared" si="96"/>
        <v/>
      </c>
      <c r="O494" t="str">
        <f>IF(L494&lt;&gt;"",Data!$M1045,"")</f>
        <v/>
      </c>
      <c r="T494">
        <f>IF(OR(Dashboard!$P$4="All",Dashboard!$R$4="All"),NA(),IF(OR(Data!K1045&lt;&gt;Dashboard!$P$4,Data!K1045&lt;&gt;Dashboard!$R$4),Data!G1045,NA()))</f>
        <v>3561.5833374885137</v>
      </c>
      <c r="U494"/>
      <c r="AI494" s="13" t="s">
        <v>3475</v>
      </c>
      <c r="AJ494" s="8">
        <v>61000</v>
      </c>
      <c r="AK494" s="8">
        <v>1</v>
      </c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Q494" s="13" t="s">
        <v>3475</v>
      </c>
      <c r="BR494" s="8"/>
      <c r="BS494" s="8"/>
      <c r="BT494" s="8">
        <v>61000</v>
      </c>
      <c r="BU494" s="8"/>
      <c r="BV494" s="8"/>
    </row>
    <row r="495" spans="2:74">
      <c r="B495" t="e">
        <f>IF(Dashboard!$P$4="All",Data!G1046,IF(Data!K1046=Dashboard!$P$4,Data!G1046,NA()))</f>
        <v>#N/A</v>
      </c>
      <c r="C495" t="str">
        <f t="shared" si="91"/>
        <v/>
      </c>
      <c r="D495" t="str">
        <f t="shared" si="92"/>
        <v/>
      </c>
      <c r="E495" t="str">
        <f t="shared" si="93"/>
        <v/>
      </c>
      <c r="F495" t="str">
        <f>IF(C495&lt;&gt;"",Data!$M1046,"")</f>
        <v/>
      </c>
      <c r="K495" t="e">
        <f>IF(Dashboard!$R$4="All",Data!G1046,IF(Data!K1046=Dashboard!$R$4,Data!G1046,NA()))</f>
        <v>#N/A</v>
      </c>
      <c r="L495" t="str">
        <f t="shared" si="94"/>
        <v/>
      </c>
      <c r="M495" t="str">
        <f t="shared" si="95"/>
        <v/>
      </c>
      <c r="N495" t="str">
        <f t="shared" si="96"/>
        <v/>
      </c>
      <c r="O495" t="str">
        <f>IF(L495&lt;&gt;"",Data!$M1046,"")</f>
        <v/>
      </c>
      <c r="T495">
        <f>IF(OR(Dashboard!$P$4="All",Dashboard!$R$4="All"),NA(),IF(OR(Data!K1046&lt;&gt;Dashboard!$P$4,Data!K1046&lt;&gt;Dashboard!$R$4),Data!G1046,NA()))</f>
        <v>3561.5833374885137</v>
      </c>
      <c r="U495"/>
      <c r="AI495" s="13" t="s">
        <v>3476</v>
      </c>
      <c r="AJ495" s="8">
        <v>66000</v>
      </c>
      <c r="AK495" s="8">
        <v>1</v>
      </c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Q495" s="13" t="s">
        <v>3476</v>
      </c>
      <c r="BR495" s="8"/>
      <c r="BS495" s="8"/>
      <c r="BT495" s="8">
        <v>66000</v>
      </c>
      <c r="BU495" s="8"/>
      <c r="BV495" s="8"/>
    </row>
    <row r="496" spans="2:74">
      <c r="B496" t="e">
        <f>IF(Dashboard!$P$4="All",Data!G1047,IF(Data!K1047=Dashboard!$P$4,Data!G1047,NA()))</f>
        <v>#N/A</v>
      </c>
      <c r="C496" t="str">
        <f t="shared" si="91"/>
        <v/>
      </c>
      <c r="D496" t="str">
        <f t="shared" si="92"/>
        <v/>
      </c>
      <c r="E496" t="str">
        <f t="shared" si="93"/>
        <v/>
      </c>
      <c r="F496" t="str">
        <f>IF(C496&lt;&gt;"",Data!$M1047,"")</f>
        <v/>
      </c>
      <c r="K496" t="e">
        <f>IF(Dashboard!$R$4="All",Data!G1047,IF(Data!K1047=Dashboard!$R$4,Data!G1047,NA()))</f>
        <v>#N/A</v>
      </c>
      <c r="L496" t="str">
        <f t="shared" si="94"/>
        <v/>
      </c>
      <c r="M496" t="str">
        <f t="shared" si="95"/>
        <v/>
      </c>
      <c r="N496" t="str">
        <f t="shared" si="96"/>
        <v/>
      </c>
      <c r="O496" t="str">
        <f>IF(L496&lt;&gt;"",Data!$M1047,"")</f>
        <v/>
      </c>
      <c r="T496">
        <f>IF(OR(Dashboard!$P$4="All",Dashboard!$R$4="All"),NA(),IF(OR(Data!K1047&lt;&gt;Dashboard!$P$4,Data!K1047&lt;&gt;Dashboard!$R$4),Data!G1047,NA()))</f>
        <v>5100</v>
      </c>
      <c r="U496"/>
      <c r="AI496" s="13" t="s">
        <v>3478</v>
      </c>
      <c r="AJ496" s="8"/>
      <c r="AK496" s="8"/>
      <c r="AL496" s="8">
        <v>55000</v>
      </c>
      <c r="AM496" s="8">
        <v>1</v>
      </c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Q496" s="13" t="s">
        <v>3478</v>
      </c>
      <c r="BR496" s="8"/>
      <c r="BS496" s="8">
        <v>55000</v>
      </c>
      <c r="BT496" s="8"/>
      <c r="BU496" s="8"/>
      <c r="BV496" s="8"/>
    </row>
    <row r="497" spans="2:74">
      <c r="B497" t="e">
        <f>IF(Dashboard!$P$4="All",Data!G1048,IF(Data!K1048=Dashboard!$P$4,Data!G1048,NA()))</f>
        <v>#N/A</v>
      </c>
      <c r="C497" t="str">
        <f t="shared" si="91"/>
        <v/>
      </c>
      <c r="D497" t="str">
        <f t="shared" si="92"/>
        <v/>
      </c>
      <c r="E497" t="str">
        <f t="shared" si="93"/>
        <v/>
      </c>
      <c r="F497" t="str">
        <f>IF(C497&lt;&gt;"",Data!$M1048,"")</f>
        <v/>
      </c>
      <c r="K497" t="e">
        <f>IF(Dashboard!$R$4="All",Data!G1048,IF(Data!K1048=Dashboard!$R$4,Data!G1048,NA()))</f>
        <v>#N/A</v>
      </c>
      <c r="L497" t="str">
        <f t="shared" si="94"/>
        <v/>
      </c>
      <c r="M497" t="str">
        <f t="shared" si="95"/>
        <v/>
      </c>
      <c r="N497" t="str">
        <f t="shared" si="96"/>
        <v/>
      </c>
      <c r="O497" t="str">
        <f>IF(L497&lt;&gt;"",Data!$M1048,"")</f>
        <v/>
      </c>
      <c r="T497">
        <f>IF(OR(Dashboard!$P$4="All",Dashboard!$R$4="All"),NA(),IF(OR(Data!K1048&lt;&gt;Dashboard!$P$4,Data!K1048&lt;&gt;Dashboard!$R$4),Data!G1048,NA()))</f>
        <v>21369.500024931083</v>
      </c>
      <c r="U497"/>
      <c r="AI497" s="13" t="s">
        <v>3479</v>
      </c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>
        <v>32000</v>
      </c>
      <c r="BA497" s="8">
        <v>1</v>
      </c>
      <c r="BB497" s="8"/>
      <c r="BC497" s="8"/>
      <c r="BQ497" s="13" t="s">
        <v>3479</v>
      </c>
      <c r="BR497" s="8"/>
      <c r="BS497" s="8"/>
      <c r="BT497" s="8">
        <v>32000</v>
      </c>
      <c r="BU497" s="8"/>
      <c r="BV497" s="8"/>
    </row>
    <row r="498" spans="2:74">
      <c r="B498" t="e">
        <f>IF(Dashboard!$P$4="All",Data!G1049,IF(Data!K1049=Dashboard!$P$4,Data!G1049,NA()))</f>
        <v>#N/A</v>
      </c>
      <c r="C498" t="str">
        <f t="shared" si="91"/>
        <v/>
      </c>
      <c r="D498" t="str">
        <f t="shared" si="92"/>
        <v/>
      </c>
      <c r="E498" t="str">
        <f t="shared" si="93"/>
        <v/>
      </c>
      <c r="F498" t="str">
        <f>IF(C498&lt;&gt;"",Data!$M1049,"")</f>
        <v/>
      </c>
      <c r="K498" t="e">
        <f>IF(Dashboard!$R$4="All",Data!G1049,IF(Data!K1049=Dashboard!$R$4,Data!G1049,NA()))</f>
        <v>#N/A</v>
      </c>
      <c r="L498" t="str">
        <f t="shared" si="94"/>
        <v/>
      </c>
      <c r="M498" t="str">
        <f t="shared" si="95"/>
        <v/>
      </c>
      <c r="N498" t="str">
        <f t="shared" si="96"/>
        <v/>
      </c>
      <c r="O498" t="str">
        <f>IF(L498&lt;&gt;"",Data!$M1049,"")</f>
        <v/>
      </c>
      <c r="T498">
        <f>IF(OR(Dashboard!$P$4="All",Dashboard!$R$4="All"),NA(),IF(OR(Data!K1049&lt;&gt;Dashboard!$P$4,Data!K1049&lt;&gt;Dashboard!$R$4),Data!G1049,NA()))</f>
        <v>5342.3750062327708</v>
      </c>
      <c r="U498"/>
      <c r="AI498" s="13" t="s">
        <v>3485</v>
      </c>
      <c r="AJ498" s="8">
        <v>74300</v>
      </c>
      <c r="AK498" s="8">
        <v>1</v>
      </c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Q498" s="13" t="s">
        <v>3485</v>
      </c>
      <c r="BR498" s="8"/>
      <c r="BS498" s="8"/>
      <c r="BT498" s="8">
        <v>74300</v>
      </c>
      <c r="BU498" s="8"/>
      <c r="BV498" s="8"/>
    </row>
    <row r="499" spans="2:74">
      <c r="B499" t="e">
        <f>IF(Dashboard!$P$4="All",Data!G1050,IF(Data!K1050=Dashboard!$P$4,Data!G1050,NA()))</f>
        <v>#N/A</v>
      </c>
      <c r="C499" t="str">
        <f t="shared" si="91"/>
        <v/>
      </c>
      <c r="D499" t="str">
        <f t="shared" si="92"/>
        <v/>
      </c>
      <c r="E499" t="str">
        <f t="shared" si="93"/>
        <v/>
      </c>
      <c r="F499" t="str">
        <f>IF(C499&lt;&gt;"",Data!$M1050,"")</f>
        <v/>
      </c>
      <c r="K499" t="e">
        <f>IF(Dashboard!$R$4="All",Data!G1050,IF(Data!K1050=Dashboard!$R$4,Data!G1050,NA()))</f>
        <v>#N/A</v>
      </c>
      <c r="L499" t="str">
        <f t="shared" si="94"/>
        <v/>
      </c>
      <c r="M499" t="str">
        <f t="shared" si="95"/>
        <v/>
      </c>
      <c r="N499" t="str">
        <f t="shared" si="96"/>
        <v/>
      </c>
      <c r="O499" t="str">
        <f>IF(L499&lt;&gt;"",Data!$M1050,"")</f>
        <v/>
      </c>
      <c r="T499">
        <f>IF(OR(Dashboard!$P$4="All",Dashboard!$R$4="All"),NA(),IF(OR(Data!K1050&lt;&gt;Dashboard!$P$4,Data!K1050&lt;&gt;Dashboard!$R$4),Data!G1050,NA()))</f>
        <v>50000</v>
      </c>
      <c r="U499"/>
      <c r="AI499" s="13" t="s">
        <v>3488</v>
      </c>
      <c r="AJ499" s="8">
        <v>95000</v>
      </c>
      <c r="AK499" s="8">
        <v>1</v>
      </c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Q499" s="13" t="s">
        <v>3488</v>
      </c>
      <c r="BR499" s="8"/>
      <c r="BS499" s="8"/>
      <c r="BT499" s="8">
        <v>95000</v>
      </c>
      <c r="BU499" s="8"/>
      <c r="BV499" s="8"/>
    </row>
    <row r="500" spans="2:74">
      <c r="B500" t="e">
        <f>IF(Dashboard!$P$4="All",Data!G1051,IF(Data!K1051=Dashboard!$P$4,Data!G1051,NA()))</f>
        <v>#N/A</v>
      </c>
      <c r="C500" t="str">
        <f t="shared" si="91"/>
        <v/>
      </c>
      <c r="D500" t="str">
        <f t="shared" si="92"/>
        <v/>
      </c>
      <c r="E500" t="str">
        <f t="shared" si="93"/>
        <v/>
      </c>
      <c r="F500" t="str">
        <f>IF(C500&lt;&gt;"",Data!$M1051,"")</f>
        <v/>
      </c>
      <c r="K500" t="e">
        <f>IF(Dashboard!$R$4="All",Data!G1051,IF(Data!K1051=Dashboard!$R$4,Data!G1051,NA()))</f>
        <v>#N/A</v>
      </c>
      <c r="L500" t="str">
        <f t="shared" si="94"/>
        <v/>
      </c>
      <c r="M500" t="str">
        <f t="shared" si="95"/>
        <v/>
      </c>
      <c r="N500" t="str">
        <f t="shared" si="96"/>
        <v/>
      </c>
      <c r="O500" t="str">
        <f>IF(L500&lt;&gt;"",Data!$M1051,"")</f>
        <v/>
      </c>
      <c r="T500">
        <f>IF(OR(Dashboard!$P$4="All",Dashboard!$R$4="All"),NA(),IF(OR(Data!K1051&lt;&gt;Dashboard!$P$4,Data!K1051&lt;&gt;Dashboard!$R$4),Data!G1051,NA()))</f>
        <v>28492.66669990811</v>
      </c>
      <c r="U500"/>
      <c r="AI500" s="13" t="s">
        <v>3489</v>
      </c>
      <c r="AJ500" s="8"/>
      <c r="AK500" s="8"/>
      <c r="AL500" s="8"/>
      <c r="AM500" s="8"/>
      <c r="AN500" s="8">
        <v>64300</v>
      </c>
      <c r="AO500" s="8">
        <v>1</v>
      </c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Q500" s="13" t="s">
        <v>3489</v>
      </c>
      <c r="BR500" s="8"/>
      <c r="BS500" s="8"/>
      <c r="BT500" s="8">
        <v>64300</v>
      </c>
      <c r="BU500" s="8"/>
      <c r="BV500" s="8"/>
    </row>
    <row r="501" spans="2:74">
      <c r="B501" t="e">
        <f>IF(Dashboard!$P$4="All",Data!G1052,IF(Data!K1052=Dashboard!$P$4,Data!G1052,NA()))</f>
        <v>#N/A</v>
      </c>
      <c r="C501" t="str">
        <f t="shared" si="91"/>
        <v/>
      </c>
      <c r="D501" t="str">
        <f t="shared" si="92"/>
        <v/>
      </c>
      <c r="E501" t="str">
        <f t="shared" si="93"/>
        <v/>
      </c>
      <c r="F501" t="str">
        <f>IF(C501&lt;&gt;"",Data!$M1052,"")</f>
        <v/>
      </c>
      <c r="K501">
        <f>IF(Dashboard!$R$4="All",Data!G1052,IF(Data!K1052=Dashboard!$R$4,Data!G1052,NA()))</f>
        <v>24588.381044249632</v>
      </c>
      <c r="L501">
        <f t="shared" si="94"/>
        <v>24588.381044249632</v>
      </c>
      <c r="M501" t="str">
        <f t="shared" si="95"/>
        <v/>
      </c>
      <c r="N501">
        <f t="shared" si="96"/>
        <v>24588.381044249632</v>
      </c>
      <c r="O501">
        <f>IF(L501&lt;&gt;"",Data!$M1052,"")</f>
        <v>0</v>
      </c>
      <c r="T501">
        <f>IF(OR(Dashboard!$P$4="All",Dashboard!$R$4="All"),NA(),IF(OR(Data!K1052&lt;&gt;Dashboard!$P$4,Data!K1052&lt;&gt;Dashboard!$R$4),Data!G1052,NA()))</f>
        <v>24588.381044249632</v>
      </c>
      <c r="U501"/>
      <c r="AI501" s="13" t="s">
        <v>3490</v>
      </c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>
        <v>250000</v>
      </c>
      <c r="AW501" s="8">
        <v>1</v>
      </c>
      <c r="AX501" s="8"/>
      <c r="AY501" s="8"/>
      <c r="AZ501" s="8"/>
      <c r="BA501" s="8"/>
      <c r="BB501" s="8"/>
      <c r="BC501" s="8"/>
      <c r="BQ501" s="13" t="s">
        <v>3490</v>
      </c>
      <c r="BR501" s="8"/>
      <c r="BS501" s="8"/>
      <c r="BT501" s="8"/>
      <c r="BU501" s="8">
        <v>250000</v>
      </c>
      <c r="BV501" s="8"/>
    </row>
    <row r="502" spans="2:74">
      <c r="B502" t="e">
        <f>IF(Dashboard!$P$4="All",Data!G1053,IF(Data!K1053=Dashboard!$P$4,Data!G1053,NA()))</f>
        <v>#N/A</v>
      </c>
      <c r="C502" t="str">
        <f t="shared" si="91"/>
        <v/>
      </c>
      <c r="D502" t="str">
        <f t="shared" si="92"/>
        <v/>
      </c>
      <c r="E502" t="str">
        <f t="shared" si="93"/>
        <v/>
      </c>
      <c r="F502" t="str">
        <f>IF(C502&lt;&gt;"",Data!$M1053,"")</f>
        <v/>
      </c>
      <c r="K502" t="e">
        <f>IF(Dashboard!$R$4="All",Data!G1053,IF(Data!K1053=Dashboard!$R$4,Data!G1053,NA()))</f>
        <v>#N/A</v>
      </c>
      <c r="L502" t="str">
        <f t="shared" si="94"/>
        <v/>
      </c>
      <c r="M502" t="str">
        <f t="shared" si="95"/>
        <v/>
      </c>
      <c r="N502" t="str">
        <f t="shared" si="96"/>
        <v/>
      </c>
      <c r="O502" t="str">
        <f>IF(L502&lt;&gt;"",Data!$M1053,"")</f>
        <v/>
      </c>
      <c r="T502">
        <f>IF(OR(Dashboard!$P$4="All",Dashboard!$R$4="All"),NA(),IF(OR(Data!K1053&lt;&gt;Dashboard!$P$4,Data!K1053&lt;&gt;Dashboard!$R$4),Data!G1053,NA()))</f>
        <v>7000</v>
      </c>
      <c r="U502"/>
      <c r="AI502" s="13" t="s">
        <v>3491</v>
      </c>
      <c r="AJ502" s="8"/>
      <c r="AK502" s="8"/>
      <c r="AL502" s="8">
        <v>89000</v>
      </c>
      <c r="AM502" s="8">
        <v>1</v>
      </c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Q502" s="13" t="s">
        <v>3491</v>
      </c>
      <c r="BR502" s="8"/>
      <c r="BS502" s="8">
        <v>89000</v>
      </c>
      <c r="BT502" s="8"/>
      <c r="BU502" s="8"/>
      <c r="BV502" s="8"/>
    </row>
    <row r="503" spans="2:74">
      <c r="B503" t="e">
        <f>IF(Dashboard!$P$4="All",Data!G1054,IF(Data!K1054=Dashboard!$P$4,Data!G1054,NA()))</f>
        <v>#N/A</v>
      </c>
      <c r="C503" t="str">
        <f t="shared" si="91"/>
        <v/>
      </c>
      <c r="D503" t="str">
        <f t="shared" si="92"/>
        <v/>
      </c>
      <c r="E503" t="str">
        <f t="shared" si="93"/>
        <v/>
      </c>
      <c r="F503" t="str">
        <f>IF(C503&lt;&gt;"",Data!$M1054,"")</f>
        <v/>
      </c>
      <c r="K503" t="e">
        <f>IF(Dashboard!$R$4="All",Data!G1054,IF(Data!K1054=Dashboard!$R$4,Data!G1054,NA()))</f>
        <v>#N/A</v>
      </c>
      <c r="L503" t="str">
        <f t="shared" si="94"/>
        <v/>
      </c>
      <c r="M503" t="str">
        <f t="shared" si="95"/>
        <v/>
      </c>
      <c r="N503" t="str">
        <f t="shared" si="96"/>
        <v/>
      </c>
      <c r="O503" t="str">
        <f>IF(L503&lt;&gt;"",Data!$M1054,"")</f>
        <v/>
      </c>
      <c r="T503">
        <f>IF(OR(Dashboard!$P$4="All",Dashboard!$R$4="All"),NA(),IF(OR(Data!K1054&lt;&gt;Dashboard!$P$4,Data!K1054&lt;&gt;Dashboard!$R$4),Data!G1054,NA()))</f>
        <v>7799.8675090998449</v>
      </c>
      <c r="U503"/>
      <c r="AI503" s="13" t="s">
        <v>3492</v>
      </c>
      <c r="AJ503" s="8">
        <v>75000</v>
      </c>
      <c r="AK503" s="8">
        <v>1</v>
      </c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Q503" s="13" t="s">
        <v>3492</v>
      </c>
      <c r="BR503" s="8"/>
      <c r="BS503" s="8"/>
      <c r="BT503" s="8"/>
      <c r="BU503" s="8">
        <v>75000</v>
      </c>
      <c r="BV503" s="8"/>
    </row>
    <row r="504" spans="2:74">
      <c r="B504" t="e">
        <f>IF(Dashboard!$P$4="All",Data!G1055,IF(Data!K1055=Dashboard!$P$4,Data!G1055,NA()))</f>
        <v>#N/A</v>
      </c>
      <c r="C504" t="str">
        <f t="shared" si="91"/>
        <v/>
      </c>
      <c r="D504" t="str">
        <f t="shared" si="92"/>
        <v/>
      </c>
      <c r="E504" t="str">
        <f t="shared" si="93"/>
        <v/>
      </c>
      <c r="F504" t="str">
        <f>IF(C504&lt;&gt;"",Data!$M1055,"")</f>
        <v/>
      </c>
      <c r="K504">
        <f>IF(Dashboard!$R$4="All",Data!G1055,IF(Data!K1055=Dashboard!$R$4,Data!G1055,NA()))</f>
        <v>78808.913603364199</v>
      </c>
      <c r="L504">
        <f t="shared" si="94"/>
        <v>78808.913603364199</v>
      </c>
      <c r="M504" t="str">
        <f t="shared" si="95"/>
        <v/>
      </c>
      <c r="N504" t="str">
        <f t="shared" si="96"/>
        <v/>
      </c>
      <c r="O504">
        <f>IF(L504&lt;&gt;"",Data!$M1055,"")</f>
        <v>12</v>
      </c>
      <c r="T504">
        <f>IF(OR(Dashboard!$P$4="All",Dashboard!$R$4="All"),NA(),IF(OR(Data!K1055&lt;&gt;Dashboard!$P$4,Data!K1055&lt;&gt;Dashboard!$R$4),Data!G1055,NA()))</f>
        <v>78808.913603364199</v>
      </c>
      <c r="U504"/>
      <c r="AI504" s="13" t="s">
        <v>3493</v>
      </c>
      <c r="AJ504" s="8">
        <v>45000</v>
      </c>
      <c r="AK504" s="8">
        <v>1</v>
      </c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Q504" s="13" t="s">
        <v>3493</v>
      </c>
      <c r="BR504" s="8"/>
      <c r="BS504" s="8"/>
      <c r="BT504" s="8"/>
      <c r="BU504" s="8">
        <v>45000</v>
      </c>
      <c r="BV504" s="8"/>
    </row>
    <row r="505" spans="2:74">
      <c r="B505" t="e">
        <f>IF(Dashboard!$P$4="All",Data!G1056,IF(Data!K1056=Dashboard!$P$4,Data!G1056,NA()))</f>
        <v>#N/A</v>
      </c>
      <c r="C505" t="str">
        <f t="shared" si="91"/>
        <v/>
      </c>
      <c r="D505" t="str">
        <f t="shared" si="92"/>
        <v/>
      </c>
      <c r="E505" t="str">
        <f t="shared" si="93"/>
        <v/>
      </c>
      <c r="F505" t="str">
        <f>IF(C505&lt;&gt;"",Data!$M1056,"")</f>
        <v/>
      </c>
      <c r="K505" t="e">
        <f>IF(Dashboard!$R$4="All",Data!G1056,IF(Data!K1056=Dashboard!$R$4,Data!G1056,NA()))</f>
        <v>#N/A</v>
      </c>
      <c r="L505" t="str">
        <f t="shared" si="94"/>
        <v/>
      </c>
      <c r="M505" t="str">
        <f t="shared" si="95"/>
        <v/>
      </c>
      <c r="N505" t="str">
        <f t="shared" si="96"/>
        <v/>
      </c>
      <c r="O505" t="str">
        <f>IF(L505&lt;&gt;"",Data!$M1056,"")</f>
        <v/>
      </c>
      <c r="T505">
        <f>IF(OR(Dashboard!$P$4="All",Dashboard!$R$4="All"),NA(),IF(OR(Data!K1056&lt;&gt;Dashboard!$P$4,Data!K1056&lt;&gt;Dashboard!$R$4),Data!G1056,NA()))</f>
        <v>6720</v>
      </c>
      <c r="U505"/>
      <c r="AI505" s="13" t="s">
        <v>3494</v>
      </c>
      <c r="AJ505" s="8"/>
      <c r="AK505" s="8"/>
      <c r="AL505" s="8"/>
      <c r="AM505" s="8"/>
      <c r="AN505" s="8"/>
      <c r="AO505" s="8"/>
      <c r="AP505" s="8">
        <v>127500</v>
      </c>
      <c r="AQ505" s="8">
        <v>1</v>
      </c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Q505" s="13" t="s">
        <v>3494</v>
      </c>
      <c r="BR505" s="8"/>
      <c r="BS505" s="8"/>
      <c r="BT505" s="8"/>
      <c r="BU505" s="8">
        <v>127500</v>
      </c>
      <c r="BV505" s="8"/>
    </row>
    <row r="506" spans="2:74">
      <c r="B506" t="e">
        <f>IF(Dashboard!$P$4="All",Data!G1057,IF(Data!K1057=Dashboard!$P$4,Data!G1057,NA()))</f>
        <v>#N/A</v>
      </c>
      <c r="C506" t="str">
        <f t="shared" si="91"/>
        <v/>
      </c>
      <c r="D506" t="str">
        <f t="shared" si="92"/>
        <v/>
      </c>
      <c r="E506" t="str">
        <f t="shared" si="93"/>
        <v/>
      </c>
      <c r="F506" t="str">
        <f>IF(C506&lt;&gt;"",Data!$M1057,"")</f>
        <v/>
      </c>
      <c r="K506" t="e">
        <f>IF(Dashboard!$R$4="All",Data!G1057,IF(Data!K1057=Dashboard!$R$4,Data!G1057,NA()))</f>
        <v>#N/A</v>
      </c>
      <c r="L506" t="str">
        <f t="shared" si="94"/>
        <v/>
      </c>
      <c r="M506" t="str">
        <f t="shared" si="95"/>
        <v/>
      </c>
      <c r="N506" t="str">
        <f t="shared" si="96"/>
        <v/>
      </c>
      <c r="O506" t="str">
        <f>IF(L506&lt;&gt;"",Data!$M1057,"")</f>
        <v/>
      </c>
      <c r="T506">
        <f>IF(OR(Dashboard!$P$4="All",Dashboard!$R$4="All"),NA(),IF(OR(Data!K1057&lt;&gt;Dashboard!$P$4,Data!K1057&lt;&gt;Dashboard!$R$4),Data!G1057,NA()))</f>
        <v>4451.9791718606421</v>
      </c>
      <c r="U506"/>
      <c r="AI506" s="13" t="s">
        <v>3495</v>
      </c>
      <c r="AJ506" s="8"/>
      <c r="AK506" s="8"/>
      <c r="AL506" s="8"/>
      <c r="AM506" s="8"/>
      <c r="AN506" s="8"/>
      <c r="AO506" s="8"/>
      <c r="AP506" s="8">
        <v>170000</v>
      </c>
      <c r="AQ506" s="8">
        <v>1</v>
      </c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Q506" s="13" t="s">
        <v>3495</v>
      </c>
      <c r="BR506" s="8"/>
      <c r="BS506" s="8">
        <v>170000</v>
      </c>
      <c r="BT506" s="8"/>
      <c r="BU506" s="8"/>
      <c r="BV506" s="8"/>
    </row>
    <row r="507" spans="2:74">
      <c r="B507" t="e">
        <f>IF(Dashboard!$P$4="All",Data!G1058,IF(Data!K1058=Dashboard!$P$4,Data!G1058,NA()))</f>
        <v>#N/A</v>
      </c>
      <c r="C507" t="str">
        <f t="shared" si="91"/>
        <v/>
      </c>
      <c r="D507" t="str">
        <f t="shared" si="92"/>
        <v/>
      </c>
      <c r="E507" t="str">
        <f t="shared" si="93"/>
        <v/>
      </c>
      <c r="F507" t="str">
        <f>IF(C507&lt;&gt;"",Data!$M1058,"")</f>
        <v/>
      </c>
      <c r="K507">
        <f>IF(Dashboard!$R$4="All",Data!G1058,IF(Data!K1058=Dashboard!$R$4,Data!G1058,NA()))</f>
        <v>47285.348162018527</v>
      </c>
      <c r="L507">
        <f t="shared" si="94"/>
        <v>47285.348162018527</v>
      </c>
      <c r="M507" t="str">
        <f t="shared" si="95"/>
        <v/>
      </c>
      <c r="N507" t="str">
        <f t="shared" si="96"/>
        <v/>
      </c>
      <c r="O507">
        <f>IF(L507&lt;&gt;"",Data!$M1058,"")</f>
        <v>15</v>
      </c>
      <c r="T507">
        <f>IF(OR(Dashboard!$P$4="All",Dashboard!$R$4="All"),NA(),IF(OR(Data!K1058&lt;&gt;Dashboard!$P$4,Data!K1058&lt;&gt;Dashboard!$R$4),Data!G1058,NA()))</f>
        <v>47285.348162018527</v>
      </c>
      <c r="U507"/>
      <c r="AI507" s="13" t="s">
        <v>3497</v>
      </c>
      <c r="AJ507" s="8">
        <v>62000</v>
      </c>
      <c r="AK507" s="8">
        <v>1</v>
      </c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Q507" s="13" t="s">
        <v>3497</v>
      </c>
      <c r="BR507" s="8"/>
      <c r="BS507" s="8"/>
      <c r="BT507" s="8"/>
      <c r="BU507" s="8">
        <v>62000</v>
      </c>
      <c r="BV507" s="8"/>
    </row>
    <row r="508" spans="2:74">
      <c r="B508" t="e">
        <f>IF(Dashboard!$P$4="All",Data!G1059,IF(Data!K1059=Dashboard!$P$4,Data!G1059,NA()))</f>
        <v>#N/A</v>
      </c>
      <c r="C508" t="str">
        <f t="shared" si="91"/>
        <v/>
      </c>
      <c r="D508" t="str">
        <f t="shared" si="92"/>
        <v/>
      </c>
      <c r="E508" t="str">
        <f t="shared" si="93"/>
        <v/>
      </c>
      <c r="F508" t="str">
        <f>IF(C508&lt;&gt;"",Data!$M1059,"")</f>
        <v/>
      </c>
      <c r="K508" t="e">
        <f>IF(Dashboard!$R$4="All",Data!G1059,IF(Data!K1059=Dashboard!$R$4,Data!G1059,NA()))</f>
        <v>#N/A</v>
      </c>
      <c r="L508" t="str">
        <f t="shared" si="94"/>
        <v/>
      </c>
      <c r="M508" t="str">
        <f t="shared" si="95"/>
        <v/>
      </c>
      <c r="N508" t="str">
        <f t="shared" si="96"/>
        <v/>
      </c>
      <c r="O508" t="str">
        <f>IF(L508&lt;&gt;"",Data!$M1059,"")</f>
        <v/>
      </c>
      <c r="T508">
        <f>IF(OR(Dashboard!$P$4="All",Dashboard!$R$4="All"),NA(),IF(OR(Data!K1059&lt;&gt;Dashboard!$P$4,Data!K1059&lt;&gt;Dashboard!$R$4),Data!G1059,NA()))</f>
        <v>7200</v>
      </c>
      <c r="U508"/>
      <c r="AI508" s="13" t="s">
        <v>3498</v>
      </c>
      <c r="AJ508" s="8"/>
      <c r="AK508" s="8"/>
      <c r="AL508" s="8">
        <v>22000</v>
      </c>
      <c r="AM508" s="8">
        <v>1</v>
      </c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Q508" s="13" t="s">
        <v>3498</v>
      </c>
      <c r="BR508" s="8"/>
      <c r="BS508" s="8"/>
      <c r="BT508" s="8">
        <v>22000</v>
      </c>
      <c r="BU508" s="8"/>
      <c r="BV508" s="8"/>
    </row>
    <row r="509" spans="2:74">
      <c r="B509" t="e">
        <f>IF(Dashboard!$P$4="All",Data!G1060,IF(Data!K1060=Dashboard!$P$4,Data!G1060,NA()))</f>
        <v>#N/A</v>
      </c>
      <c r="C509" t="str">
        <f t="shared" si="91"/>
        <v/>
      </c>
      <c r="D509" t="str">
        <f t="shared" si="92"/>
        <v/>
      </c>
      <c r="E509" t="str">
        <f t="shared" si="93"/>
        <v/>
      </c>
      <c r="F509" t="str">
        <f>IF(C509&lt;&gt;"",Data!$M1060,"")</f>
        <v/>
      </c>
      <c r="K509" t="e">
        <f>IF(Dashboard!$R$4="All",Data!G1060,IF(Data!K1060=Dashboard!$R$4,Data!G1060,NA()))</f>
        <v>#N/A</v>
      </c>
      <c r="L509" t="str">
        <f t="shared" si="94"/>
        <v/>
      </c>
      <c r="M509" t="str">
        <f t="shared" si="95"/>
        <v/>
      </c>
      <c r="N509" t="str">
        <f t="shared" si="96"/>
        <v/>
      </c>
      <c r="O509" t="str">
        <f>IF(L509&lt;&gt;"",Data!$M1060,"")</f>
        <v/>
      </c>
      <c r="T509">
        <f>IF(OR(Dashboard!$P$4="All",Dashboard!$R$4="All"),NA(),IF(OR(Data!K1060&lt;&gt;Dashboard!$P$4,Data!K1060&lt;&gt;Dashboard!$R$4),Data!G1060,NA()))</f>
        <v>44519.791718606422</v>
      </c>
      <c r="U509"/>
      <c r="AI509" s="13" t="s">
        <v>3499</v>
      </c>
      <c r="AJ509" s="8">
        <v>45000</v>
      </c>
      <c r="AK509" s="8">
        <v>1</v>
      </c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Q509" s="13" t="s">
        <v>3499</v>
      </c>
      <c r="BR509" s="8"/>
      <c r="BS509" s="8"/>
      <c r="BT509" s="8">
        <v>45000</v>
      </c>
      <c r="BU509" s="8"/>
      <c r="BV509" s="8"/>
    </row>
    <row r="510" spans="2:74">
      <c r="B510" t="e">
        <f>IF(Dashboard!$P$4="All",Data!G1061,IF(Data!K1061=Dashboard!$P$4,Data!G1061,NA()))</f>
        <v>#N/A</v>
      </c>
      <c r="C510" t="str">
        <f t="shared" si="91"/>
        <v/>
      </c>
      <c r="D510" t="str">
        <f t="shared" si="92"/>
        <v/>
      </c>
      <c r="E510" t="str">
        <f t="shared" si="93"/>
        <v/>
      </c>
      <c r="F510" t="str">
        <f>IF(C510&lt;&gt;"",Data!$M1061,"")</f>
        <v/>
      </c>
      <c r="K510" t="e">
        <f>IF(Dashboard!$R$4="All",Data!G1061,IF(Data!K1061=Dashboard!$R$4,Data!G1061,NA()))</f>
        <v>#N/A</v>
      </c>
      <c r="L510" t="str">
        <f t="shared" si="94"/>
        <v/>
      </c>
      <c r="M510" t="str">
        <f t="shared" si="95"/>
        <v/>
      </c>
      <c r="N510" t="str">
        <f t="shared" si="96"/>
        <v/>
      </c>
      <c r="O510" t="str">
        <f>IF(L510&lt;&gt;"",Data!$M1061,"")</f>
        <v/>
      </c>
      <c r="T510">
        <f>IF(OR(Dashboard!$P$4="All",Dashboard!$R$4="All"),NA(),IF(OR(Data!K1061&lt;&gt;Dashboard!$P$4,Data!K1061&lt;&gt;Dashboard!$R$4),Data!G1061,NA()))</f>
        <v>2493.1083362419595</v>
      </c>
      <c r="U510"/>
      <c r="AI510" s="13" t="s">
        <v>3500</v>
      </c>
      <c r="AJ510" s="8">
        <v>145000</v>
      </c>
      <c r="AK510" s="8">
        <v>1</v>
      </c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Q510" s="13" t="s">
        <v>3500</v>
      </c>
      <c r="BR510" s="8"/>
      <c r="BS510" s="8"/>
      <c r="BT510" s="8">
        <v>145000</v>
      </c>
      <c r="BU510" s="8"/>
      <c r="BV510" s="8"/>
    </row>
    <row r="511" spans="2:74">
      <c r="B511" t="e">
        <f>IF(Dashboard!$P$4="All",Data!G1062,IF(Data!K1062=Dashboard!$P$4,Data!G1062,NA()))</f>
        <v>#N/A</v>
      </c>
      <c r="C511" t="str">
        <f t="shared" si="91"/>
        <v/>
      </c>
      <c r="D511" t="str">
        <f t="shared" si="92"/>
        <v/>
      </c>
      <c r="E511" t="str">
        <f t="shared" si="93"/>
        <v/>
      </c>
      <c r="F511" t="str">
        <f>IF(C511&lt;&gt;"",Data!$M1062,"")</f>
        <v/>
      </c>
      <c r="K511">
        <f>IF(Dashboard!$R$4="All",Data!G1062,IF(Data!K1062=Dashboard!$R$4,Data!G1062,NA()))</f>
        <v>31523.565441345683</v>
      </c>
      <c r="L511">
        <f t="shared" si="94"/>
        <v>31523.565441345683</v>
      </c>
      <c r="M511" t="str">
        <f t="shared" si="95"/>
        <v/>
      </c>
      <c r="N511">
        <f t="shared" si="96"/>
        <v>31523.565441345683</v>
      </c>
      <c r="O511">
        <f>IF(L511&lt;&gt;"",Data!$M1062,"")</f>
        <v>1</v>
      </c>
      <c r="T511">
        <f>IF(OR(Dashboard!$P$4="All",Dashboard!$R$4="All"),NA(),IF(OR(Data!K1062&lt;&gt;Dashboard!$P$4,Data!K1062&lt;&gt;Dashboard!$R$4),Data!G1062,NA()))</f>
        <v>31523.565441345683</v>
      </c>
      <c r="U511"/>
      <c r="AI511" s="13" t="s">
        <v>3501</v>
      </c>
      <c r="AJ511" s="8">
        <v>89000</v>
      </c>
      <c r="AK511" s="8">
        <v>1</v>
      </c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Q511" s="13" t="s">
        <v>3501</v>
      </c>
      <c r="BR511" s="8"/>
      <c r="BS511" s="8"/>
      <c r="BT511" s="8"/>
      <c r="BU511" s="8">
        <v>89000</v>
      </c>
      <c r="BV511" s="8"/>
    </row>
    <row r="512" spans="2:74">
      <c r="B512" t="e">
        <f>IF(Dashboard!$P$4="All",Data!G1063,IF(Data!K1063=Dashboard!$P$4,Data!G1063,NA()))</f>
        <v>#N/A</v>
      </c>
      <c r="C512" t="str">
        <f t="shared" si="91"/>
        <v/>
      </c>
      <c r="D512" t="str">
        <f t="shared" si="92"/>
        <v/>
      </c>
      <c r="E512" t="str">
        <f t="shared" si="93"/>
        <v/>
      </c>
      <c r="F512" t="str">
        <f>IF(C512&lt;&gt;"",Data!$M1063,"")</f>
        <v/>
      </c>
      <c r="K512" t="e">
        <f>IF(Dashboard!$R$4="All",Data!G1063,IF(Data!K1063=Dashboard!$R$4,Data!G1063,NA()))</f>
        <v>#N/A</v>
      </c>
      <c r="L512" t="str">
        <f t="shared" si="94"/>
        <v/>
      </c>
      <c r="M512" t="str">
        <f t="shared" si="95"/>
        <v/>
      </c>
      <c r="N512" t="str">
        <f t="shared" si="96"/>
        <v/>
      </c>
      <c r="O512" t="str">
        <f>IF(L512&lt;&gt;"",Data!$M1063,"")</f>
        <v/>
      </c>
      <c r="T512">
        <f>IF(OR(Dashboard!$P$4="All",Dashboard!$R$4="All"),NA(),IF(OR(Data!K1063&lt;&gt;Dashboard!$P$4,Data!K1063&lt;&gt;Dashboard!$R$4),Data!G1063,NA()))</f>
        <v>21369.500024931083</v>
      </c>
      <c r="U512"/>
      <c r="AI512" s="13" t="s">
        <v>3502</v>
      </c>
      <c r="AJ512" s="8"/>
      <c r="AK512" s="8"/>
      <c r="AL512" s="8"/>
      <c r="AM512" s="8"/>
      <c r="AN512" s="8">
        <v>38000</v>
      </c>
      <c r="AO512" s="8">
        <v>1</v>
      </c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Q512" s="13" t="s">
        <v>3502</v>
      </c>
      <c r="BR512" s="8"/>
      <c r="BS512" s="8"/>
      <c r="BT512" s="8">
        <v>38000</v>
      </c>
      <c r="BU512" s="8"/>
      <c r="BV512" s="8"/>
    </row>
    <row r="513" spans="2:74">
      <c r="B513" t="e">
        <f>IF(Dashboard!$P$4="All",Data!G1064,IF(Data!K1064=Dashboard!$P$4,Data!G1064,NA()))</f>
        <v>#N/A</v>
      </c>
      <c r="C513" t="str">
        <f t="shared" si="91"/>
        <v/>
      </c>
      <c r="D513" t="str">
        <f t="shared" si="92"/>
        <v/>
      </c>
      <c r="E513" t="str">
        <f t="shared" si="93"/>
        <v/>
      </c>
      <c r="F513" t="str">
        <f>IF(C513&lt;&gt;"",Data!$M1064,"")</f>
        <v/>
      </c>
      <c r="K513">
        <f>IF(Dashboard!$R$4="All",Data!G1064,IF(Data!K1064=Dashboard!$R$4,Data!G1064,NA()))</f>
        <v>126094.26176538273</v>
      </c>
      <c r="L513">
        <f t="shared" si="94"/>
        <v>126094.26176538273</v>
      </c>
      <c r="M513">
        <f t="shared" si="95"/>
        <v>126094.26176538273</v>
      </c>
      <c r="N513" t="str">
        <f t="shared" si="96"/>
        <v/>
      </c>
      <c r="O513">
        <f>IF(L513&lt;&gt;"",Data!$M1064,"")</f>
        <v>10</v>
      </c>
      <c r="T513">
        <f>IF(OR(Dashboard!$P$4="All",Dashboard!$R$4="All"),NA(),IF(OR(Data!K1064&lt;&gt;Dashboard!$P$4,Data!K1064&lt;&gt;Dashboard!$R$4),Data!G1064,NA()))</f>
        <v>126094.26176538273</v>
      </c>
      <c r="U513"/>
      <c r="AI513" s="13" t="s">
        <v>3506</v>
      </c>
      <c r="AJ513" s="8"/>
      <c r="AK513" s="8"/>
      <c r="AL513" s="8">
        <v>105000</v>
      </c>
      <c r="AM513" s="8">
        <v>1</v>
      </c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Q513" s="13" t="s">
        <v>3506</v>
      </c>
      <c r="BR513" s="8">
        <v>105000</v>
      </c>
      <c r="BS513" s="8"/>
      <c r="BT513" s="8"/>
      <c r="BU513" s="8"/>
      <c r="BV513" s="8"/>
    </row>
    <row r="514" spans="2:74">
      <c r="B514" t="e">
        <f>IF(Dashboard!$P$4="All",Data!G1065,IF(Data!K1065=Dashboard!$P$4,Data!G1065,NA()))</f>
        <v>#N/A</v>
      </c>
      <c r="C514" t="str">
        <f t="shared" si="91"/>
        <v/>
      </c>
      <c r="D514" t="str">
        <f t="shared" si="92"/>
        <v/>
      </c>
      <c r="E514" t="str">
        <f t="shared" si="93"/>
        <v/>
      </c>
      <c r="F514" t="str">
        <f>IF(C514&lt;&gt;"",Data!$M1065,"")</f>
        <v/>
      </c>
      <c r="K514">
        <f>IF(Dashboard!$R$4="All",Data!G1065,IF(Data!K1065=Dashboard!$R$4,Data!G1065,NA()))</f>
        <v>99299.231140238902</v>
      </c>
      <c r="L514">
        <f t="shared" si="94"/>
        <v>99299.231140238902</v>
      </c>
      <c r="M514" t="str">
        <f t="shared" si="95"/>
        <v/>
      </c>
      <c r="N514" t="str">
        <f t="shared" si="96"/>
        <v/>
      </c>
      <c r="O514">
        <f>IF(L514&lt;&gt;"",Data!$M1065,"")</f>
        <v>1</v>
      </c>
      <c r="T514">
        <f>IF(OR(Dashboard!$P$4="All",Dashboard!$R$4="All"),NA(),IF(OR(Data!K1065&lt;&gt;Dashboard!$P$4,Data!K1065&lt;&gt;Dashboard!$R$4),Data!G1065,NA()))</f>
        <v>99299.231140238902</v>
      </c>
      <c r="U514"/>
      <c r="AI514" s="13" t="s">
        <v>3525</v>
      </c>
      <c r="AJ514" s="8">
        <v>70970</v>
      </c>
      <c r="AK514" s="8">
        <v>1</v>
      </c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Q514" s="13" t="s">
        <v>3525</v>
      </c>
      <c r="BR514" s="8"/>
      <c r="BS514" s="8"/>
      <c r="BT514" s="8">
        <v>70970</v>
      </c>
      <c r="BU514" s="8"/>
      <c r="BV514" s="8"/>
    </row>
    <row r="515" spans="2:74">
      <c r="B515" t="e">
        <f>IF(Dashboard!$P$4="All",Data!G1066,IF(Data!K1066=Dashboard!$P$4,Data!G1066,NA()))</f>
        <v>#N/A</v>
      </c>
      <c r="C515" t="str">
        <f t="shared" si="91"/>
        <v/>
      </c>
      <c r="D515" t="str">
        <f t="shared" si="92"/>
        <v/>
      </c>
      <c r="E515" t="str">
        <f t="shared" si="93"/>
        <v/>
      </c>
      <c r="F515" t="str">
        <f>IF(C515&lt;&gt;"",Data!$M1066,"")</f>
        <v/>
      </c>
      <c r="K515">
        <f>IF(Dashboard!$R$4="All",Data!G1066,IF(Data!K1066=Dashboard!$R$4,Data!G1066,NA()))</f>
        <v>86689.804963700633</v>
      </c>
      <c r="L515">
        <f t="shared" si="94"/>
        <v>86689.804963700633</v>
      </c>
      <c r="M515" t="str">
        <f t="shared" si="95"/>
        <v/>
      </c>
      <c r="N515" t="str">
        <f t="shared" si="96"/>
        <v/>
      </c>
      <c r="O515">
        <f>IF(L515&lt;&gt;"",Data!$M1066,"")</f>
        <v>22</v>
      </c>
      <c r="T515">
        <f>IF(OR(Dashboard!$P$4="All",Dashboard!$R$4="All"),NA(),IF(OR(Data!K1066&lt;&gt;Dashboard!$P$4,Data!K1066&lt;&gt;Dashboard!$R$4),Data!G1066,NA()))</f>
        <v>86689.804963700633</v>
      </c>
      <c r="U515"/>
      <c r="AI515" s="13" t="s">
        <v>3529</v>
      </c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>
        <v>125000</v>
      </c>
      <c r="AW515" s="8">
        <v>1</v>
      </c>
      <c r="AX515" s="8"/>
      <c r="AY515" s="8"/>
      <c r="AZ515" s="8"/>
      <c r="BA515" s="8"/>
      <c r="BB515" s="8"/>
      <c r="BC515" s="8"/>
      <c r="BQ515" s="13" t="s">
        <v>3529</v>
      </c>
      <c r="BR515" s="8"/>
      <c r="BS515" s="8"/>
      <c r="BT515" s="8"/>
      <c r="BU515" s="8">
        <v>125000</v>
      </c>
      <c r="BV515" s="8"/>
    </row>
    <row r="516" spans="2:74">
      <c r="B516" t="e">
        <f>IF(Dashboard!$P$4="All",Data!G1067,IF(Data!K1067=Dashboard!$P$4,Data!G1067,NA()))</f>
        <v>#N/A</v>
      </c>
      <c r="C516" t="str">
        <f t="shared" ref="C516:C579" si="97">IF(ISNA(B516),"",B516)</f>
        <v/>
      </c>
      <c r="D516" t="str">
        <f t="shared" ref="D516:D579" si="98">IF(C516&gt;=PERCENTILE($C$3:$C$1337,0.9),C516,"")</f>
        <v/>
      </c>
      <c r="E516" t="str">
        <f t="shared" ref="E516:E579" si="99">IF(C516&lt;=PERCENTILE($C$3:$C$1337,0.1),C516,"")</f>
        <v/>
      </c>
      <c r="F516" t="str">
        <f>IF(C516&lt;&gt;"",Data!$M1067,"")</f>
        <v/>
      </c>
      <c r="K516" t="e">
        <f>IF(Dashboard!$R$4="All",Data!G1067,IF(Data!K1067=Dashboard!$R$4,Data!G1067,NA()))</f>
        <v>#N/A</v>
      </c>
      <c r="L516" t="str">
        <f t="shared" ref="L516:L579" si="100">IF(ISNA(K516),"",K516)</f>
        <v/>
      </c>
      <c r="M516" t="str">
        <f t="shared" ref="M516:M579" si="101">IF(L516&gt;=PERCENTILE($L$3:$L$1337,0.9),L516,"")</f>
        <v/>
      </c>
      <c r="N516" t="str">
        <f t="shared" ref="N516:N579" si="102">IF(L516&lt;=PERCENTILE($L$3:$L$1337,0.1),L516,"")</f>
        <v/>
      </c>
      <c r="O516" t="str">
        <f>IF(L516&lt;&gt;"",Data!$M1067,"")</f>
        <v/>
      </c>
      <c r="T516">
        <f>IF(OR(Dashboard!$P$4="All",Dashboard!$R$4="All"),NA(),IF(OR(Data!K1067&lt;&gt;Dashboard!$P$4,Data!K1067&lt;&gt;Dashboard!$R$4),Data!G1067,NA()))</f>
        <v>50000</v>
      </c>
      <c r="U516"/>
      <c r="AI516" s="13" t="s">
        <v>3531</v>
      </c>
      <c r="AJ516" s="8"/>
      <c r="AK516" s="8"/>
      <c r="AL516" s="8">
        <v>59000</v>
      </c>
      <c r="AM516" s="8">
        <v>1</v>
      </c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Q516" s="13" t="s">
        <v>3531</v>
      </c>
      <c r="BR516" s="8"/>
      <c r="BS516" s="8"/>
      <c r="BT516" s="8">
        <v>59000</v>
      </c>
      <c r="BU516" s="8"/>
      <c r="BV516" s="8"/>
    </row>
    <row r="517" spans="2:74">
      <c r="B517" t="e">
        <f>IF(Dashboard!$P$4="All",Data!G1068,IF(Data!K1068=Dashboard!$P$4,Data!G1068,NA()))</f>
        <v>#N/A</v>
      </c>
      <c r="C517" t="str">
        <f t="shared" si="97"/>
        <v/>
      </c>
      <c r="D517" t="str">
        <f t="shared" si="98"/>
        <v/>
      </c>
      <c r="E517" t="str">
        <f t="shared" si="99"/>
        <v/>
      </c>
      <c r="F517" t="str">
        <f>IF(C517&lt;&gt;"",Data!$M1068,"")</f>
        <v/>
      </c>
      <c r="K517" t="e">
        <f>IF(Dashboard!$R$4="All",Data!G1068,IF(Data!K1068=Dashboard!$R$4,Data!G1068,NA()))</f>
        <v>#N/A</v>
      </c>
      <c r="L517" t="str">
        <f t="shared" si="100"/>
        <v/>
      </c>
      <c r="M517" t="str">
        <f t="shared" si="101"/>
        <v/>
      </c>
      <c r="N517" t="str">
        <f t="shared" si="102"/>
        <v/>
      </c>
      <c r="O517" t="str">
        <f>IF(L517&lt;&gt;"",Data!$M1068,"")</f>
        <v/>
      </c>
      <c r="T517">
        <f>IF(OR(Dashboard!$P$4="All",Dashboard!$R$4="All"),NA(),IF(OR(Data!K1068&lt;&gt;Dashboard!$P$4,Data!K1068&lt;&gt;Dashboard!$R$4),Data!G1068,NA()))</f>
        <v>4273.9000049862161</v>
      </c>
      <c r="U517"/>
      <c r="AI517" s="13" t="s">
        <v>3532</v>
      </c>
      <c r="AJ517" s="8">
        <v>71500</v>
      </c>
      <c r="AK517" s="8">
        <v>1</v>
      </c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Q517" s="13" t="s">
        <v>3532</v>
      </c>
      <c r="BR517" s="8"/>
      <c r="BS517" s="8"/>
      <c r="BT517" s="8">
        <v>71500</v>
      </c>
      <c r="BU517" s="8"/>
      <c r="BV517" s="8"/>
    </row>
    <row r="518" spans="2:74">
      <c r="B518" t="e">
        <f>IF(Dashboard!$P$4="All",Data!G1069,IF(Data!K1069=Dashboard!$P$4,Data!G1069,NA()))</f>
        <v>#N/A</v>
      </c>
      <c r="C518" t="str">
        <f t="shared" si="97"/>
        <v/>
      </c>
      <c r="D518" t="str">
        <f t="shared" si="98"/>
        <v/>
      </c>
      <c r="E518" t="str">
        <f t="shared" si="99"/>
        <v/>
      </c>
      <c r="F518" t="str">
        <f>IF(C518&lt;&gt;"",Data!$M1069,"")</f>
        <v/>
      </c>
      <c r="K518" t="e">
        <f>IF(Dashboard!$R$4="All",Data!G1069,IF(Data!K1069=Dashboard!$R$4,Data!G1069,NA()))</f>
        <v>#N/A</v>
      </c>
      <c r="L518" t="str">
        <f t="shared" si="100"/>
        <v/>
      </c>
      <c r="M518" t="str">
        <f t="shared" si="101"/>
        <v/>
      </c>
      <c r="N518" t="str">
        <f t="shared" si="102"/>
        <v/>
      </c>
      <c r="O518" t="str">
        <f>IF(L518&lt;&gt;"",Data!$M1069,"")</f>
        <v/>
      </c>
      <c r="T518">
        <f>IF(OR(Dashboard!$P$4="All",Dashboard!$R$4="All"),NA(),IF(OR(Data!K1069&lt;&gt;Dashboard!$P$4,Data!K1069&lt;&gt;Dashboard!$R$4),Data!G1069,NA()))</f>
        <v>4451.9791718606421</v>
      </c>
      <c r="U518"/>
      <c r="AI518" s="13" t="s">
        <v>3535</v>
      </c>
      <c r="AJ518" s="8"/>
      <c r="AK518" s="8"/>
      <c r="AL518" s="8">
        <v>90000</v>
      </c>
      <c r="AM518" s="8">
        <v>1</v>
      </c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Q518" s="13" t="s">
        <v>3535</v>
      </c>
      <c r="BR518" s="8"/>
      <c r="BS518" s="8"/>
      <c r="BT518" s="8">
        <v>90000</v>
      </c>
      <c r="BU518" s="8"/>
      <c r="BV518" s="8"/>
    </row>
    <row r="519" spans="2:74">
      <c r="B519" t="e">
        <f>IF(Dashboard!$P$4="All",Data!G1070,IF(Data!K1070=Dashboard!$P$4,Data!G1070,NA()))</f>
        <v>#N/A</v>
      </c>
      <c r="C519" t="str">
        <f t="shared" si="97"/>
        <v/>
      </c>
      <c r="D519" t="str">
        <f t="shared" si="98"/>
        <v/>
      </c>
      <c r="E519" t="str">
        <f t="shared" si="99"/>
        <v/>
      </c>
      <c r="F519" t="str">
        <f>IF(C519&lt;&gt;"",Data!$M1070,"")</f>
        <v/>
      </c>
      <c r="K519" t="e">
        <f>IF(Dashboard!$R$4="All",Data!G1070,IF(Data!K1070=Dashboard!$R$4,Data!G1070,NA()))</f>
        <v>#N/A</v>
      </c>
      <c r="L519" t="str">
        <f t="shared" si="100"/>
        <v/>
      </c>
      <c r="M519" t="str">
        <f t="shared" si="101"/>
        <v/>
      </c>
      <c r="N519" t="str">
        <f t="shared" si="102"/>
        <v/>
      </c>
      <c r="O519" t="str">
        <f>IF(L519&lt;&gt;"",Data!$M1070,"")</f>
        <v/>
      </c>
      <c r="T519">
        <f>IF(OR(Dashboard!$P$4="All",Dashboard!$R$4="All"),NA(),IF(OR(Data!K1070&lt;&gt;Dashboard!$P$4,Data!K1070&lt;&gt;Dashboard!$R$4),Data!G1070,NA()))</f>
        <v>10684.750012465542</v>
      </c>
      <c r="U519"/>
      <c r="AI519" s="13" t="s">
        <v>3537</v>
      </c>
      <c r="AJ519" s="8">
        <v>40000</v>
      </c>
      <c r="AK519" s="8">
        <v>1</v>
      </c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Q519" s="13" t="s">
        <v>3537</v>
      </c>
      <c r="BR519" s="8"/>
      <c r="BS519" s="8"/>
      <c r="BT519" s="8">
        <v>40000</v>
      </c>
      <c r="BU519" s="8"/>
      <c r="BV519" s="8"/>
    </row>
    <row r="520" spans="2:74">
      <c r="B520" t="e">
        <f>IF(Dashboard!$P$4="All",Data!G1071,IF(Data!K1071=Dashboard!$P$4,Data!G1071,NA()))</f>
        <v>#N/A</v>
      </c>
      <c r="C520" t="str">
        <f t="shared" si="97"/>
        <v/>
      </c>
      <c r="D520" t="str">
        <f t="shared" si="98"/>
        <v/>
      </c>
      <c r="E520" t="str">
        <f t="shared" si="99"/>
        <v/>
      </c>
      <c r="F520" t="str">
        <f>IF(C520&lt;&gt;"",Data!$M1071,"")</f>
        <v/>
      </c>
      <c r="K520">
        <f>IF(Dashboard!$R$4="All",Data!G1071,IF(Data!K1071=Dashboard!$R$4,Data!G1071,NA()))</f>
        <v>63835.220018725006</v>
      </c>
      <c r="L520">
        <f t="shared" si="100"/>
        <v>63835.220018725006</v>
      </c>
      <c r="M520" t="str">
        <f t="shared" si="101"/>
        <v/>
      </c>
      <c r="N520" t="str">
        <f t="shared" si="102"/>
        <v/>
      </c>
      <c r="O520">
        <f>IF(L520&lt;&gt;"",Data!$M1071,"")</f>
        <v>25</v>
      </c>
      <c r="T520">
        <f>IF(OR(Dashboard!$P$4="All",Dashboard!$R$4="All"),NA(),IF(OR(Data!K1071&lt;&gt;Dashboard!$P$4,Data!K1071&lt;&gt;Dashboard!$R$4),Data!G1071,NA()))</f>
        <v>63835.220018725006</v>
      </c>
      <c r="U520"/>
      <c r="AI520" s="13" t="s">
        <v>3539</v>
      </c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>
        <v>46325</v>
      </c>
      <c r="AY520" s="8">
        <v>1</v>
      </c>
      <c r="AZ520" s="8"/>
      <c r="BA520" s="8"/>
      <c r="BB520" s="8"/>
      <c r="BC520" s="8"/>
      <c r="BQ520" s="13" t="s">
        <v>3539</v>
      </c>
      <c r="BR520" s="8"/>
      <c r="BS520" s="8"/>
      <c r="BT520" s="8">
        <v>46325</v>
      </c>
      <c r="BU520" s="8"/>
      <c r="BV520" s="8"/>
    </row>
    <row r="521" spans="2:74">
      <c r="B521" t="e">
        <f>IF(Dashboard!$P$4="All",Data!G1072,IF(Data!K1072=Dashboard!$P$4,Data!G1072,NA()))</f>
        <v>#N/A</v>
      </c>
      <c r="C521" t="str">
        <f t="shared" si="97"/>
        <v/>
      </c>
      <c r="D521" t="str">
        <f t="shared" si="98"/>
        <v/>
      </c>
      <c r="E521" t="str">
        <f t="shared" si="99"/>
        <v/>
      </c>
      <c r="F521" t="str">
        <f>IF(C521&lt;&gt;"",Data!$M1072,"")</f>
        <v/>
      </c>
      <c r="K521">
        <f>IF(Dashboard!$R$4="All",Data!G1072,IF(Data!K1072=Dashboard!$R$4,Data!G1072,NA()))</f>
        <v>36252.100257547536</v>
      </c>
      <c r="L521">
        <f t="shared" si="100"/>
        <v>36252.100257547536</v>
      </c>
      <c r="M521" t="str">
        <f t="shared" si="101"/>
        <v/>
      </c>
      <c r="N521" t="str">
        <f t="shared" si="102"/>
        <v/>
      </c>
      <c r="O521">
        <f>IF(L521&lt;&gt;"",Data!$M1072,"")</f>
        <v>5</v>
      </c>
      <c r="T521">
        <f>IF(OR(Dashboard!$P$4="All",Dashboard!$R$4="All"),NA(),IF(OR(Data!K1072&lt;&gt;Dashboard!$P$4,Data!K1072&lt;&gt;Dashboard!$R$4),Data!G1072,NA()))</f>
        <v>36252.100257547536</v>
      </c>
      <c r="U521"/>
      <c r="AI521" s="13" t="s">
        <v>3540</v>
      </c>
      <c r="AJ521" s="8">
        <v>15000</v>
      </c>
      <c r="AK521" s="8">
        <v>1</v>
      </c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Q521" s="13" t="s">
        <v>3540</v>
      </c>
      <c r="BR521" s="8"/>
      <c r="BS521" s="8"/>
      <c r="BT521" s="8"/>
      <c r="BU521" s="8">
        <v>15000</v>
      </c>
      <c r="BV521" s="8"/>
    </row>
    <row r="522" spans="2:74">
      <c r="B522" t="e">
        <f>IF(Dashboard!$P$4="All",Data!G1073,IF(Data!K1073=Dashboard!$P$4,Data!G1073,NA()))</f>
        <v>#N/A</v>
      </c>
      <c r="C522" t="str">
        <f t="shared" si="97"/>
        <v/>
      </c>
      <c r="D522" t="str">
        <f t="shared" si="98"/>
        <v/>
      </c>
      <c r="E522" t="str">
        <f t="shared" si="99"/>
        <v/>
      </c>
      <c r="F522" t="str">
        <f>IF(C522&lt;&gt;"",Data!$M1073,"")</f>
        <v/>
      </c>
      <c r="K522" t="e">
        <f>IF(Dashboard!$R$4="All",Data!G1073,IF(Data!K1073=Dashboard!$R$4,Data!G1073,NA()))</f>
        <v>#N/A</v>
      </c>
      <c r="L522" t="str">
        <f t="shared" si="100"/>
        <v/>
      </c>
      <c r="M522" t="str">
        <f t="shared" si="101"/>
        <v/>
      </c>
      <c r="N522" t="str">
        <f t="shared" si="102"/>
        <v/>
      </c>
      <c r="O522" t="str">
        <f>IF(L522&lt;&gt;"",Data!$M1073,"")</f>
        <v/>
      </c>
      <c r="T522">
        <f>IF(OR(Dashboard!$P$4="All",Dashboard!$R$4="All"),NA(),IF(OR(Data!K1073&lt;&gt;Dashboard!$P$4,Data!K1073&lt;&gt;Dashboard!$R$4),Data!G1073,NA()))</f>
        <v>7960</v>
      </c>
      <c r="U522"/>
      <c r="AI522" s="13" t="s">
        <v>3541</v>
      </c>
      <c r="AJ522" s="8">
        <v>31200</v>
      </c>
      <c r="AK522" s="8">
        <v>1</v>
      </c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Q522" s="13" t="s">
        <v>3541</v>
      </c>
      <c r="BR522" s="8"/>
      <c r="BS522" s="8"/>
      <c r="BT522" s="8">
        <v>31200</v>
      </c>
      <c r="BU522" s="8"/>
      <c r="BV522" s="8"/>
    </row>
    <row r="523" spans="2:74">
      <c r="B523" t="e">
        <f>IF(Dashboard!$P$4="All",Data!G1074,IF(Data!K1074=Dashboard!$P$4,Data!G1074,NA()))</f>
        <v>#N/A</v>
      </c>
      <c r="C523" t="str">
        <f t="shared" si="97"/>
        <v/>
      </c>
      <c r="D523" t="str">
        <f t="shared" si="98"/>
        <v/>
      </c>
      <c r="E523" t="str">
        <f t="shared" si="99"/>
        <v/>
      </c>
      <c r="F523" t="str">
        <f>IF(C523&lt;&gt;"",Data!$M1074,"")</f>
        <v/>
      </c>
      <c r="K523" t="e">
        <f>IF(Dashboard!$R$4="All",Data!G1074,IF(Data!K1074=Dashboard!$R$4,Data!G1074,NA()))</f>
        <v>#N/A</v>
      </c>
      <c r="L523" t="str">
        <f t="shared" si="100"/>
        <v/>
      </c>
      <c r="M523" t="str">
        <f t="shared" si="101"/>
        <v/>
      </c>
      <c r="N523" t="str">
        <f t="shared" si="102"/>
        <v/>
      </c>
      <c r="O523" t="str">
        <f>IF(L523&lt;&gt;"",Data!$M1074,"")</f>
        <v/>
      </c>
      <c r="T523">
        <f>IF(OR(Dashboard!$P$4="All",Dashboard!$R$4="All"),NA(),IF(OR(Data!K1074&lt;&gt;Dashboard!$P$4,Data!K1074&lt;&gt;Dashboard!$R$4),Data!G1074,NA()))</f>
        <v>8903.9583437212841</v>
      </c>
      <c r="U523"/>
      <c r="AI523" s="13" t="s">
        <v>3545</v>
      </c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>
        <v>41000</v>
      </c>
      <c r="AW523" s="8">
        <v>1</v>
      </c>
      <c r="AX523" s="8"/>
      <c r="AY523" s="8"/>
      <c r="AZ523" s="8"/>
      <c r="BA523" s="8"/>
      <c r="BB523" s="8"/>
      <c r="BC523" s="8"/>
      <c r="BQ523" s="13" t="s">
        <v>3545</v>
      </c>
      <c r="BR523" s="8"/>
      <c r="BS523" s="8"/>
      <c r="BT523" s="8">
        <v>41000</v>
      </c>
      <c r="BU523" s="8"/>
      <c r="BV523" s="8"/>
    </row>
    <row r="524" spans="2:74">
      <c r="B524">
        <f>IF(Dashboard!$P$4="All",Data!G1075,IF(Data!K1075=Dashboard!$P$4,Data!G1075,NA()))</f>
        <v>50815.977559664309</v>
      </c>
      <c r="C524">
        <f t="shared" si="97"/>
        <v>50815.977559664309</v>
      </c>
      <c r="D524" t="str">
        <f t="shared" si="98"/>
        <v/>
      </c>
      <c r="E524" t="str">
        <f t="shared" si="99"/>
        <v/>
      </c>
      <c r="F524">
        <f>IF(C524&lt;&gt;"",Data!$M1075,"")</f>
        <v>3</v>
      </c>
      <c r="K524" t="e">
        <f>IF(Dashboard!$R$4="All",Data!G1075,IF(Data!K1075=Dashboard!$R$4,Data!G1075,NA()))</f>
        <v>#N/A</v>
      </c>
      <c r="L524" t="str">
        <f t="shared" si="100"/>
        <v/>
      </c>
      <c r="M524" t="str">
        <f t="shared" si="101"/>
        <v/>
      </c>
      <c r="N524" t="str">
        <f t="shared" si="102"/>
        <v/>
      </c>
      <c r="O524" t="str">
        <f>IF(L524&lt;&gt;"",Data!$M1075,"")</f>
        <v/>
      </c>
      <c r="T524">
        <f>IF(OR(Dashboard!$P$4="All",Dashboard!$R$4="All"),NA(),IF(OR(Data!K1075&lt;&gt;Dashboard!$P$4,Data!K1075&lt;&gt;Dashboard!$R$4),Data!G1075,NA()))</f>
        <v>50815.977559664309</v>
      </c>
      <c r="U524"/>
      <c r="AI524" s="13" t="s">
        <v>3551</v>
      </c>
      <c r="AJ524" s="8"/>
      <c r="AK524" s="8"/>
      <c r="AL524" s="8"/>
      <c r="AM524" s="8"/>
      <c r="AN524" s="8">
        <v>50000</v>
      </c>
      <c r="AO524" s="8">
        <v>1</v>
      </c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Q524" s="13" t="s">
        <v>3551</v>
      </c>
      <c r="BR524" s="8"/>
      <c r="BS524" s="8"/>
      <c r="BT524" s="8">
        <v>50000</v>
      </c>
      <c r="BU524" s="8"/>
      <c r="BV524" s="8"/>
    </row>
    <row r="525" spans="2:74">
      <c r="B525" t="e">
        <f>IF(Dashboard!$P$4="All",Data!G1076,IF(Data!K1076=Dashboard!$P$4,Data!G1076,NA()))</f>
        <v>#N/A</v>
      </c>
      <c r="C525" t="str">
        <f t="shared" si="97"/>
        <v/>
      </c>
      <c r="D525" t="str">
        <f t="shared" si="98"/>
        <v/>
      </c>
      <c r="E525" t="str">
        <f t="shared" si="99"/>
        <v/>
      </c>
      <c r="F525" t="str">
        <f>IF(C525&lt;&gt;"",Data!$M1076,"")</f>
        <v/>
      </c>
      <c r="K525">
        <f>IF(Dashboard!$R$4="All",Data!G1076,IF(Data!K1076=Dashboard!$R$4,Data!G1076,NA()))</f>
        <v>47285.348162018527</v>
      </c>
      <c r="L525">
        <f t="shared" si="100"/>
        <v>47285.348162018527</v>
      </c>
      <c r="M525" t="str">
        <f t="shared" si="101"/>
        <v/>
      </c>
      <c r="N525" t="str">
        <f t="shared" si="102"/>
        <v/>
      </c>
      <c r="O525">
        <f>IF(L525&lt;&gt;"",Data!$M1076,"")</f>
        <v>4</v>
      </c>
      <c r="T525">
        <f>IF(OR(Dashboard!$P$4="All",Dashboard!$R$4="All"),NA(),IF(OR(Data!K1076&lt;&gt;Dashboard!$P$4,Data!K1076&lt;&gt;Dashboard!$R$4),Data!G1076,NA()))</f>
        <v>47285.348162018527</v>
      </c>
      <c r="U525"/>
      <c r="AI525" s="13" t="s">
        <v>3553</v>
      </c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>
        <v>85000</v>
      </c>
      <c r="BA525" s="8">
        <v>1</v>
      </c>
      <c r="BB525" s="8"/>
      <c r="BC525" s="8"/>
      <c r="BQ525" s="13" t="s">
        <v>3553</v>
      </c>
      <c r="BR525" s="8"/>
      <c r="BS525" s="8"/>
      <c r="BT525" s="8">
        <v>85000</v>
      </c>
      <c r="BU525" s="8"/>
      <c r="BV525" s="8"/>
    </row>
    <row r="526" spans="2:74">
      <c r="B526" t="e">
        <f>IF(Dashboard!$P$4="All",Data!G1077,IF(Data!K1077=Dashboard!$P$4,Data!G1077,NA()))</f>
        <v>#N/A</v>
      </c>
      <c r="C526" t="str">
        <f t="shared" si="97"/>
        <v/>
      </c>
      <c r="D526" t="str">
        <f t="shared" si="98"/>
        <v/>
      </c>
      <c r="E526" t="str">
        <f t="shared" si="99"/>
        <v/>
      </c>
      <c r="F526" t="str">
        <f>IF(C526&lt;&gt;"",Data!$M1077,"")</f>
        <v/>
      </c>
      <c r="K526">
        <f>IF(Dashboard!$R$4="All",Data!G1077,IF(Data!K1077=Dashboard!$R$4,Data!G1077,NA()))</f>
        <v>75656.557059229643</v>
      </c>
      <c r="L526">
        <f t="shared" si="100"/>
        <v>75656.557059229643</v>
      </c>
      <c r="M526" t="str">
        <f t="shared" si="101"/>
        <v/>
      </c>
      <c r="N526" t="str">
        <f t="shared" si="102"/>
        <v/>
      </c>
      <c r="O526">
        <f>IF(L526&lt;&gt;"",Data!$M1077,"")</f>
        <v>10</v>
      </c>
      <c r="T526">
        <f>IF(OR(Dashboard!$P$4="All",Dashboard!$R$4="All"),NA(),IF(OR(Data!K1077&lt;&gt;Dashboard!$P$4,Data!K1077&lt;&gt;Dashboard!$R$4),Data!G1077,NA()))</f>
        <v>75656.557059229643</v>
      </c>
      <c r="U526"/>
      <c r="AI526" s="13" t="s">
        <v>3559</v>
      </c>
      <c r="AJ526" s="8">
        <v>44000</v>
      </c>
      <c r="AK526" s="8">
        <v>1</v>
      </c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Q526" s="13" t="s">
        <v>3559</v>
      </c>
      <c r="BR526" s="8"/>
      <c r="BS526" s="8"/>
      <c r="BT526" s="8">
        <v>44000</v>
      </c>
      <c r="BU526" s="8"/>
      <c r="BV526" s="8"/>
    </row>
    <row r="527" spans="2:74">
      <c r="B527" t="e">
        <f>IF(Dashboard!$P$4="All",Data!G1078,IF(Data!K1078=Dashboard!$P$4,Data!G1078,NA()))</f>
        <v>#N/A</v>
      </c>
      <c r="C527" t="str">
        <f t="shared" si="97"/>
        <v/>
      </c>
      <c r="D527" t="str">
        <f t="shared" si="98"/>
        <v/>
      </c>
      <c r="E527" t="str">
        <f t="shared" si="99"/>
        <v/>
      </c>
      <c r="F527" t="str">
        <f>IF(C527&lt;&gt;"",Data!$M1078,"")</f>
        <v/>
      </c>
      <c r="K527" t="e">
        <f>IF(Dashboard!$R$4="All",Data!G1078,IF(Data!K1078=Dashboard!$R$4,Data!G1078,NA()))</f>
        <v>#N/A</v>
      </c>
      <c r="L527" t="str">
        <f t="shared" si="100"/>
        <v/>
      </c>
      <c r="M527" t="str">
        <f t="shared" si="101"/>
        <v/>
      </c>
      <c r="N527" t="str">
        <f t="shared" si="102"/>
        <v/>
      </c>
      <c r="O527" t="str">
        <f>IF(L527&lt;&gt;"",Data!$M1078,"")</f>
        <v/>
      </c>
      <c r="T527">
        <f>IF(OR(Dashboard!$P$4="All",Dashboard!$R$4="All"),NA(),IF(OR(Data!K1078&lt;&gt;Dashboard!$P$4,Data!K1078&lt;&gt;Dashboard!$R$4),Data!G1078,NA()))</f>
        <v>4273.9000049862161</v>
      </c>
      <c r="U527"/>
      <c r="AI527" s="13" t="s">
        <v>3563</v>
      </c>
      <c r="AJ527" s="8">
        <v>52000</v>
      </c>
      <c r="AK527" s="8">
        <v>1</v>
      </c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Q527" s="13" t="s">
        <v>3563</v>
      </c>
      <c r="BR527" s="8"/>
      <c r="BS527" s="8"/>
      <c r="BT527" s="8"/>
      <c r="BU527" s="8">
        <v>52000</v>
      </c>
      <c r="BV527" s="8"/>
    </row>
    <row r="528" spans="2:74">
      <c r="B528" t="e">
        <f>IF(Dashboard!$P$4="All",Data!G1079,IF(Data!K1079=Dashboard!$P$4,Data!G1079,NA()))</f>
        <v>#N/A</v>
      </c>
      <c r="C528" t="str">
        <f t="shared" si="97"/>
        <v/>
      </c>
      <c r="D528" t="str">
        <f t="shared" si="98"/>
        <v/>
      </c>
      <c r="E528" t="str">
        <f t="shared" si="99"/>
        <v/>
      </c>
      <c r="F528" t="str">
        <f>IF(C528&lt;&gt;"",Data!$M1079,"")</f>
        <v/>
      </c>
      <c r="K528" t="e">
        <f>IF(Dashboard!$R$4="All",Data!G1079,IF(Data!K1079=Dashboard!$R$4,Data!G1079,NA()))</f>
        <v>#N/A</v>
      </c>
      <c r="L528" t="str">
        <f t="shared" si="100"/>
        <v/>
      </c>
      <c r="M528" t="str">
        <f t="shared" si="101"/>
        <v/>
      </c>
      <c r="N528" t="str">
        <f t="shared" si="102"/>
        <v/>
      </c>
      <c r="O528" t="str">
        <f>IF(L528&lt;&gt;"",Data!$M1079,"")</f>
        <v/>
      </c>
      <c r="T528">
        <f>IF(OR(Dashboard!$P$4="All",Dashboard!$R$4="All"),NA(),IF(OR(Data!K1079&lt;&gt;Dashboard!$P$4,Data!K1079&lt;&gt;Dashboard!$R$4),Data!G1079,NA()))</f>
        <v>47004.779242689488</v>
      </c>
      <c r="U528"/>
      <c r="AI528" s="13" t="s">
        <v>3572</v>
      </c>
      <c r="AJ528" s="8">
        <v>50000</v>
      </c>
      <c r="AK528" s="8">
        <v>1</v>
      </c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Q528" s="13" t="s">
        <v>3572</v>
      </c>
      <c r="BR528" s="8"/>
      <c r="BS528" s="8"/>
      <c r="BT528" s="8"/>
      <c r="BU528" s="8">
        <v>50000</v>
      </c>
      <c r="BV528" s="8"/>
    </row>
    <row r="529" spans="2:74">
      <c r="B529" t="e">
        <f>IF(Dashboard!$P$4="All",Data!G1080,IF(Data!K1080=Dashboard!$P$4,Data!G1080,NA()))</f>
        <v>#N/A</v>
      </c>
      <c r="C529" t="str">
        <f t="shared" si="97"/>
        <v/>
      </c>
      <c r="D529" t="str">
        <f t="shared" si="98"/>
        <v/>
      </c>
      <c r="E529" t="str">
        <f t="shared" si="99"/>
        <v/>
      </c>
      <c r="F529" t="str">
        <f>IF(C529&lt;&gt;"",Data!$M1080,"")</f>
        <v/>
      </c>
      <c r="K529">
        <f>IF(Dashboard!$R$4="All",Data!G1080,IF(Data!K1080=Dashboard!$R$4,Data!G1080,NA()))</f>
        <v>47285.348162018527</v>
      </c>
      <c r="L529">
        <f t="shared" si="100"/>
        <v>47285.348162018527</v>
      </c>
      <c r="M529" t="str">
        <f t="shared" si="101"/>
        <v/>
      </c>
      <c r="N529" t="str">
        <f t="shared" si="102"/>
        <v/>
      </c>
      <c r="O529">
        <f>IF(L529&lt;&gt;"",Data!$M1080,"")</f>
        <v>10</v>
      </c>
      <c r="T529">
        <f>IF(OR(Dashboard!$P$4="All",Dashboard!$R$4="All"),NA(),IF(OR(Data!K1080&lt;&gt;Dashboard!$P$4,Data!K1080&lt;&gt;Dashboard!$R$4),Data!G1080,NA()))</f>
        <v>47285.348162018527</v>
      </c>
      <c r="U529"/>
      <c r="AI529" s="13" t="s">
        <v>3574</v>
      </c>
      <c r="AJ529" s="8">
        <v>50000</v>
      </c>
      <c r="AK529" s="8">
        <v>1</v>
      </c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Q529" s="13" t="s">
        <v>3574</v>
      </c>
      <c r="BR529" s="8"/>
      <c r="BS529" s="8"/>
      <c r="BT529" s="8"/>
      <c r="BU529" s="8">
        <v>50000</v>
      </c>
      <c r="BV529" s="8"/>
    </row>
    <row r="530" spans="2:74">
      <c r="B530" t="e">
        <f>IF(Dashboard!$P$4="All",Data!G1081,IF(Data!K1081=Dashboard!$P$4,Data!G1081,NA()))</f>
        <v>#N/A</v>
      </c>
      <c r="C530" t="str">
        <f t="shared" si="97"/>
        <v/>
      </c>
      <c r="D530" t="str">
        <f t="shared" si="98"/>
        <v/>
      </c>
      <c r="E530" t="str">
        <f t="shared" si="99"/>
        <v/>
      </c>
      <c r="F530" t="str">
        <f>IF(C530&lt;&gt;"",Data!$M1081,"")</f>
        <v/>
      </c>
      <c r="K530">
        <f>IF(Dashboard!$R$4="All",Data!G1081,IF(Data!K1081=Dashboard!$R$4,Data!G1081,NA()))</f>
        <v>91418.339779902482</v>
      </c>
      <c r="L530">
        <f t="shared" si="100"/>
        <v>91418.339779902482</v>
      </c>
      <c r="M530" t="str">
        <f t="shared" si="101"/>
        <v/>
      </c>
      <c r="N530" t="str">
        <f t="shared" si="102"/>
        <v/>
      </c>
      <c r="O530">
        <f>IF(L530&lt;&gt;"",Data!$M1081,"")</f>
        <v>8</v>
      </c>
      <c r="T530">
        <f>IF(OR(Dashboard!$P$4="All",Dashboard!$R$4="All"),NA(),IF(OR(Data!K1081&lt;&gt;Dashboard!$P$4,Data!K1081&lt;&gt;Dashboard!$R$4),Data!G1081,NA()))</f>
        <v>91418.339779902482</v>
      </c>
      <c r="U530"/>
      <c r="AI530" s="13" t="s">
        <v>3579</v>
      </c>
      <c r="AJ530" s="8">
        <v>55000</v>
      </c>
      <c r="AK530" s="8">
        <v>1</v>
      </c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Q530" s="13" t="s">
        <v>3579</v>
      </c>
      <c r="BR530" s="8"/>
      <c r="BS530" s="8"/>
      <c r="BT530" s="8">
        <v>55000</v>
      </c>
      <c r="BU530" s="8"/>
      <c r="BV530" s="8"/>
    </row>
    <row r="531" spans="2:74">
      <c r="B531" t="e">
        <f>IF(Dashboard!$P$4="All",Data!G1082,IF(Data!K1082=Dashboard!$P$4,Data!G1082,NA()))</f>
        <v>#N/A</v>
      </c>
      <c r="C531" t="str">
        <f t="shared" si="97"/>
        <v/>
      </c>
      <c r="D531" t="str">
        <f t="shared" si="98"/>
        <v/>
      </c>
      <c r="E531" t="str">
        <f t="shared" si="99"/>
        <v/>
      </c>
      <c r="F531" t="str">
        <f>IF(C531&lt;&gt;"",Data!$M1082,"")</f>
        <v/>
      </c>
      <c r="K531">
        <f>IF(Dashboard!$R$4="All",Data!G1082,IF(Data!K1082=Dashboard!$R$4,Data!G1082,NA()))</f>
        <v>124518.08349331544</v>
      </c>
      <c r="L531">
        <f t="shared" si="100"/>
        <v>124518.08349331544</v>
      </c>
      <c r="M531">
        <f t="shared" si="101"/>
        <v>124518.08349331544</v>
      </c>
      <c r="N531" t="str">
        <f t="shared" si="102"/>
        <v/>
      </c>
      <c r="O531">
        <f>IF(L531&lt;&gt;"",Data!$M1082,"")</f>
        <v>14</v>
      </c>
      <c r="T531">
        <f>IF(OR(Dashboard!$P$4="All",Dashboard!$R$4="All"),NA(),IF(OR(Data!K1082&lt;&gt;Dashboard!$P$4,Data!K1082&lt;&gt;Dashboard!$R$4),Data!G1082,NA()))</f>
        <v>124518.08349331544</v>
      </c>
      <c r="U531"/>
      <c r="AI531" s="13" t="s">
        <v>3580</v>
      </c>
      <c r="AJ531" s="8">
        <v>38000</v>
      </c>
      <c r="AK531" s="8">
        <v>1</v>
      </c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Q531" s="13" t="s">
        <v>3580</v>
      </c>
      <c r="BR531" s="8"/>
      <c r="BS531" s="8"/>
      <c r="BT531" s="8"/>
      <c r="BU531" s="8">
        <v>38000</v>
      </c>
      <c r="BV531" s="8"/>
    </row>
    <row r="532" spans="2:74">
      <c r="B532" t="e">
        <f>IF(Dashboard!$P$4="All",Data!G1083,IF(Data!K1083=Dashboard!$P$4,Data!G1083,NA()))</f>
        <v>#N/A</v>
      </c>
      <c r="C532" t="str">
        <f t="shared" si="97"/>
        <v/>
      </c>
      <c r="D532" t="str">
        <f t="shared" si="98"/>
        <v/>
      </c>
      <c r="E532" t="str">
        <f t="shared" si="99"/>
        <v/>
      </c>
      <c r="F532" t="str">
        <f>IF(C532&lt;&gt;"",Data!$M1083,"")</f>
        <v/>
      </c>
      <c r="K532">
        <f>IF(Dashboard!$R$4="All",Data!G1083,IF(Data!K1083=Dashboard!$R$4,Data!G1083,NA()))</f>
        <v>69213.140283018583</v>
      </c>
      <c r="L532">
        <f t="shared" si="100"/>
        <v>69213.140283018583</v>
      </c>
      <c r="M532" t="str">
        <f t="shared" si="101"/>
        <v/>
      </c>
      <c r="N532" t="str">
        <f t="shared" si="102"/>
        <v/>
      </c>
      <c r="O532">
        <f>IF(L532&lt;&gt;"",Data!$M1083,"")</f>
        <v>3</v>
      </c>
      <c r="T532">
        <f>IF(OR(Dashboard!$P$4="All",Dashboard!$R$4="All"),NA(),IF(OR(Data!K1083&lt;&gt;Dashboard!$P$4,Data!K1083&lt;&gt;Dashboard!$R$4),Data!G1083,NA()))</f>
        <v>69213.140283018583</v>
      </c>
      <c r="U532"/>
      <c r="AI532" s="13" t="s">
        <v>3582</v>
      </c>
      <c r="AJ532" s="8">
        <v>35500</v>
      </c>
      <c r="AK532" s="8">
        <v>1</v>
      </c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Q532" s="13" t="s">
        <v>3582</v>
      </c>
      <c r="BR532" s="8"/>
      <c r="BS532" s="8"/>
      <c r="BT532" s="8">
        <v>35500</v>
      </c>
      <c r="BU532" s="8"/>
      <c r="BV532" s="8"/>
    </row>
    <row r="533" spans="2:74">
      <c r="B533" t="e">
        <f>IF(Dashboard!$P$4="All",Data!G1084,IF(Data!K1084=Dashboard!$P$4,Data!G1084,NA()))</f>
        <v>#N/A</v>
      </c>
      <c r="C533" t="str">
        <f t="shared" si="97"/>
        <v/>
      </c>
      <c r="D533" t="str">
        <f t="shared" si="98"/>
        <v/>
      </c>
      <c r="E533" t="str">
        <f t="shared" si="99"/>
        <v/>
      </c>
      <c r="F533" t="str">
        <f>IF(C533&lt;&gt;"",Data!$M1084,"")</f>
        <v/>
      </c>
      <c r="K533" t="e">
        <f>IF(Dashboard!$R$4="All",Data!G1084,IF(Data!K1084=Dashboard!$R$4,Data!G1084,NA()))</f>
        <v>#N/A</v>
      </c>
      <c r="L533" t="str">
        <f t="shared" si="100"/>
        <v/>
      </c>
      <c r="M533" t="str">
        <f t="shared" si="101"/>
        <v/>
      </c>
      <c r="N533" t="str">
        <f t="shared" si="102"/>
        <v/>
      </c>
      <c r="O533" t="str">
        <f>IF(L533&lt;&gt;"",Data!$M1084,"")</f>
        <v/>
      </c>
      <c r="T533">
        <f>IF(OR(Dashboard!$P$4="All",Dashboard!$R$4="All"),NA(),IF(OR(Data!K1084&lt;&gt;Dashboard!$P$4,Data!K1084&lt;&gt;Dashboard!$R$4),Data!G1084,NA()))</f>
        <v>3500</v>
      </c>
      <c r="U533"/>
      <c r="AI533" s="13" t="s">
        <v>3583</v>
      </c>
      <c r="AJ533" s="8">
        <v>62000</v>
      </c>
      <c r="AK533" s="8">
        <v>1</v>
      </c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Q533" s="13" t="s">
        <v>3583</v>
      </c>
      <c r="BR533" s="8"/>
      <c r="BS533" s="8">
        <v>62000</v>
      </c>
      <c r="BT533" s="8"/>
      <c r="BU533" s="8"/>
      <c r="BV533" s="8"/>
    </row>
    <row r="534" spans="2:74">
      <c r="B534" t="e">
        <f>IF(Dashboard!$P$4="All",Data!G1085,IF(Data!K1085=Dashboard!$P$4,Data!G1085,NA()))</f>
        <v>#N/A</v>
      </c>
      <c r="C534" t="str">
        <f t="shared" si="97"/>
        <v/>
      </c>
      <c r="D534" t="str">
        <f t="shared" si="98"/>
        <v/>
      </c>
      <c r="E534" t="str">
        <f t="shared" si="99"/>
        <v/>
      </c>
      <c r="F534" t="str">
        <f>IF(C534&lt;&gt;"",Data!$M1085,"")</f>
        <v/>
      </c>
      <c r="K534">
        <f>IF(Dashboard!$R$4="All",Data!G1085,IF(Data!K1085=Dashboard!$R$4,Data!G1085,NA()))</f>
        <v>63047.130882691366</v>
      </c>
      <c r="L534">
        <f t="shared" si="100"/>
        <v>63047.130882691366</v>
      </c>
      <c r="M534" t="str">
        <f t="shared" si="101"/>
        <v/>
      </c>
      <c r="N534" t="str">
        <f t="shared" si="102"/>
        <v/>
      </c>
      <c r="O534">
        <f>IF(L534&lt;&gt;"",Data!$M1085,"")</f>
        <v>20</v>
      </c>
      <c r="T534">
        <f>IF(OR(Dashboard!$P$4="All",Dashboard!$R$4="All"),NA(),IF(OR(Data!K1085&lt;&gt;Dashboard!$P$4,Data!K1085&lt;&gt;Dashboard!$R$4),Data!G1085,NA()))</f>
        <v>63047.130882691366</v>
      </c>
      <c r="U534"/>
      <c r="AI534" s="13" t="s">
        <v>3585</v>
      </c>
      <c r="AJ534" s="8">
        <v>60000</v>
      </c>
      <c r="AK534" s="8">
        <v>1</v>
      </c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Q534" s="13" t="s">
        <v>3585</v>
      </c>
      <c r="BR534" s="8"/>
      <c r="BS534" s="8">
        <v>60000</v>
      </c>
      <c r="BT534" s="8"/>
      <c r="BU534" s="8"/>
      <c r="BV534" s="8"/>
    </row>
    <row r="535" spans="2:74">
      <c r="B535" t="e">
        <f>IF(Dashboard!$P$4="All",Data!G1086,IF(Data!K1086=Dashboard!$P$4,Data!G1086,NA()))</f>
        <v>#N/A</v>
      </c>
      <c r="C535" t="str">
        <f t="shared" si="97"/>
        <v/>
      </c>
      <c r="D535" t="str">
        <f t="shared" si="98"/>
        <v/>
      </c>
      <c r="E535" t="str">
        <f t="shared" si="99"/>
        <v/>
      </c>
      <c r="F535" t="str">
        <f>IF(C535&lt;&gt;"",Data!$M1086,"")</f>
        <v/>
      </c>
      <c r="K535" t="e">
        <f>IF(Dashboard!$R$4="All",Data!G1086,IF(Data!K1086=Dashboard!$R$4,Data!G1086,NA()))</f>
        <v>#N/A</v>
      </c>
      <c r="L535" t="str">
        <f t="shared" si="100"/>
        <v/>
      </c>
      <c r="M535" t="str">
        <f t="shared" si="101"/>
        <v/>
      </c>
      <c r="N535" t="str">
        <f t="shared" si="102"/>
        <v/>
      </c>
      <c r="O535" t="str">
        <f>IF(L535&lt;&gt;"",Data!$M1086,"")</f>
        <v/>
      </c>
      <c r="T535">
        <f>IF(OR(Dashboard!$P$4="All",Dashboard!$R$4="All"),NA(),IF(OR(Data!K1086&lt;&gt;Dashboard!$P$4,Data!K1086&lt;&gt;Dashboard!$R$4),Data!G1086,NA()))</f>
        <v>72412.768022521646</v>
      </c>
      <c r="U535"/>
      <c r="AI535" s="13" t="s">
        <v>3586</v>
      </c>
      <c r="AJ535" s="8">
        <v>32884</v>
      </c>
      <c r="AK535" s="8">
        <v>1</v>
      </c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Q535" s="13" t="s">
        <v>3586</v>
      </c>
      <c r="BR535" s="8"/>
      <c r="BS535" s="8"/>
      <c r="BT535" s="8"/>
      <c r="BU535" s="8">
        <v>32884</v>
      </c>
      <c r="BV535" s="8"/>
    </row>
    <row r="536" spans="2:74">
      <c r="B536" t="e">
        <f>IF(Dashboard!$P$4="All",Data!G1087,IF(Data!K1087=Dashboard!$P$4,Data!G1087,NA()))</f>
        <v>#N/A</v>
      </c>
      <c r="C536" t="str">
        <f t="shared" si="97"/>
        <v/>
      </c>
      <c r="D536" t="str">
        <f t="shared" si="98"/>
        <v/>
      </c>
      <c r="E536" t="str">
        <f t="shared" si="99"/>
        <v/>
      </c>
      <c r="F536" t="str">
        <f>IF(C536&lt;&gt;"",Data!$M1087,"")</f>
        <v/>
      </c>
      <c r="K536" t="e">
        <f>IF(Dashboard!$R$4="All",Data!G1087,IF(Data!K1087=Dashboard!$R$4,Data!G1087,NA()))</f>
        <v>#N/A</v>
      </c>
      <c r="L536" t="str">
        <f t="shared" si="100"/>
        <v/>
      </c>
      <c r="M536" t="str">
        <f t="shared" si="101"/>
        <v/>
      </c>
      <c r="N536" t="str">
        <f t="shared" si="102"/>
        <v/>
      </c>
      <c r="O536" t="str">
        <f>IF(L536&lt;&gt;"",Data!$M1087,"")</f>
        <v/>
      </c>
      <c r="T536">
        <f>IF(OR(Dashboard!$P$4="All",Dashboard!$R$4="All"),NA(),IF(OR(Data!K1087&lt;&gt;Dashboard!$P$4,Data!K1087&lt;&gt;Dashboard!$R$4),Data!G1087,NA()))</f>
        <v>50815.977559664309</v>
      </c>
      <c r="U536"/>
      <c r="AI536" s="13" t="s">
        <v>3587</v>
      </c>
      <c r="AJ536" s="8">
        <v>42000</v>
      </c>
      <c r="AK536" s="8">
        <v>1</v>
      </c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Q536" s="13" t="s">
        <v>3587</v>
      </c>
      <c r="BR536" s="8"/>
      <c r="BS536" s="8"/>
      <c r="BT536" s="8">
        <v>42000</v>
      </c>
      <c r="BU536" s="8"/>
      <c r="BV536" s="8"/>
    </row>
    <row r="537" spans="2:74">
      <c r="B537" t="e">
        <f>IF(Dashboard!$P$4="All",Data!G1088,IF(Data!K1088=Dashboard!$P$4,Data!G1088,NA()))</f>
        <v>#N/A</v>
      </c>
      <c r="C537" t="str">
        <f t="shared" si="97"/>
        <v/>
      </c>
      <c r="D537" t="str">
        <f t="shared" si="98"/>
        <v/>
      </c>
      <c r="E537" t="str">
        <f t="shared" si="99"/>
        <v/>
      </c>
      <c r="F537" t="str">
        <f>IF(C537&lt;&gt;"",Data!$M1088,"")</f>
        <v/>
      </c>
      <c r="K537" t="e">
        <f>IF(Dashboard!$R$4="All",Data!G1088,IF(Data!K1088=Dashboard!$R$4,Data!G1088,NA()))</f>
        <v>#N/A</v>
      </c>
      <c r="L537" t="str">
        <f t="shared" si="100"/>
        <v/>
      </c>
      <c r="M537" t="str">
        <f t="shared" si="101"/>
        <v/>
      </c>
      <c r="N537" t="str">
        <f t="shared" si="102"/>
        <v/>
      </c>
      <c r="O537" t="str">
        <f>IF(L537&lt;&gt;"",Data!$M1088,"")</f>
        <v/>
      </c>
      <c r="T537">
        <f>IF(OR(Dashboard!$P$4="All",Dashboard!$R$4="All"),NA(),IF(OR(Data!K1088&lt;&gt;Dashboard!$P$4,Data!K1088&lt;&gt;Dashboard!$R$4),Data!G1088,NA()))</f>
        <v>21369.500024931083</v>
      </c>
      <c r="U537"/>
      <c r="AI537" s="13" t="s">
        <v>3588</v>
      </c>
      <c r="AJ537" s="8">
        <v>68000</v>
      </c>
      <c r="AK537" s="8">
        <v>1</v>
      </c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Q537" s="13" t="s">
        <v>3588</v>
      </c>
      <c r="BR537" s="8"/>
      <c r="BS537" s="8"/>
      <c r="BT537" s="8">
        <v>68000</v>
      </c>
      <c r="BU537" s="8"/>
      <c r="BV537" s="8"/>
    </row>
    <row r="538" spans="2:74">
      <c r="B538" t="e">
        <f>IF(Dashboard!$P$4="All",Data!G1089,IF(Data!K1089=Dashboard!$P$4,Data!G1089,NA()))</f>
        <v>#N/A</v>
      </c>
      <c r="C538" t="str">
        <f t="shared" si="97"/>
        <v/>
      </c>
      <c r="D538" t="str">
        <f t="shared" si="98"/>
        <v/>
      </c>
      <c r="E538" t="str">
        <f t="shared" si="99"/>
        <v/>
      </c>
      <c r="F538" t="str">
        <f>IF(C538&lt;&gt;"",Data!$M1089,"")</f>
        <v/>
      </c>
      <c r="K538">
        <f>IF(Dashboard!$R$4="All",Data!G1089,IF(Data!K1089=Dashboard!$R$4,Data!G1089,NA()))</f>
        <v>55166.239522354947</v>
      </c>
      <c r="L538">
        <f t="shared" si="100"/>
        <v>55166.239522354947</v>
      </c>
      <c r="M538" t="str">
        <f t="shared" si="101"/>
        <v/>
      </c>
      <c r="N538" t="str">
        <f t="shared" si="102"/>
        <v/>
      </c>
      <c r="O538">
        <f>IF(L538&lt;&gt;"",Data!$M1089,"")</f>
        <v>6</v>
      </c>
      <c r="T538">
        <f>IF(OR(Dashboard!$P$4="All",Dashboard!$R$4="All"),NA(),IF(OR(Data!K1089&lt;&gt;Dashboard!$P$4,Data!K1089&lt;&gt;Dashboard!$R$4),Data!G1089,NA()))</f>
        <v>55166.239522354947</v>
      </c>
      <c r="U538"/>
      <c r="AI538" s="13" t="s">
        <v>3589</v>
      </c>
      <c r="AJ538" s="8"/>
      <c r="AK538" s="8"/>
      <c r="AL538" s="8"/>
      <c r="AM538" s="8"/>
      <c r="AN538" s="8">
        <v>85000</v>
      </c>
      <c r="AO538" s="8">
        <v>1</v>
      </c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Q538" s="13" t="s">
        <v>3589</v>
      </c>
      <c r="BR538" s="8"/>
      <c r="BS538" s="8">
        <v>85000</v>
      </c>
      <c r="BT538" s="8"/>
      <c r="BU538" s="8"/>
      <c r="BV538" s="8"/>
    </row>
    <row r="539" spans="2:74">
      <c r="B539" t="e">
        <f>IF(Dashboard!$P$4="All",Data!G1090,IF(Data!K1090=Dashboard!$P$4,Data!G1090,NA()))</f>
        <v>#N/A</v>
      </c>
      <c r="C539" t="str">
        <f t="shared" si="97"/>
        <v/>
      </c>
      <c r="D539" t="str">
        <f t="shared" si="98"/>
        <v/>
      </c>
      <c r="E539" t="str">
        <f t="shared" si="99"/>
        <v/>
      </c>
      <c r="F539" t="str">
        <f>IF(C539&lt;&gt;"",Data!$M1090,"")</f>
        <v/>
      </c>
      <c r="K539" t="e">
        <f>IF(Dashboard!$R$4="All",Data!G1090,IF(Data!K1090=Dashboard!$R$4,Data!G1090,NA()))</f>
        <v>#N/A</v>
      </c>
      <c r="L539" t="str">
        <f t="shared" si="100"/>
        <v/>
      </c>
      <c r="M539" t="str">
        <f t="shared" si="101"/>
        <v/>
      </c>
      <c r="N539" t="str">
        <f t="shared" si="102"/>
        <v/>
      </c>
      <c r="O539" t="str">
        <f>IF(L539&lt;&gt;"",Data!$M1090,"")</f>
        <v/>
      </c>
      <c r="T539">
        <f>IF(OR(Dashboard!$P$4="All",Dashboard!$R$4="All"),NA(),IF(OR(Data!K1090&lt;&gt;Dashboard!$P$4,Data!K1090&lt;&gt;Dashboard!$R$4),Data!G1090,NA()))</f>
        <v>3205.4250037396623</v>
      </c>
      <c r="U539"/>
      <c r="AI539" s="13" t="s">
        <v>3594</v>
      </c>
      <c r="AJ539" s="8"/>
      <c r="AK539" s="8"/>
      <c r="AL539" s="8">
        <v>140000</v>
      </c>
      <c r="AM539" s="8">
        <v>1</v>
      </c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Q539" s="13" t="s">
        <v>3594</v>
      </c>
      <c r="BR539" s="8"/>
      <c r="BS539" s="8"/>
      <c r="BT539" s="8">
        <v>140000</v>
      </c>
      <c r="BU539" s="8"/>
      <c r="BV539" s="8"/>
    </row>
    <row r="540" spans="2:74">
      <c r="B540" t="e">
        <f>IF(Dashboard!$P$4="All",Data!G1091,IF(Data!K1091=Dashboard!$P$4,Data!G1091,NA()))</f>
        <v>#N/A</v>
      </c>
      <c r="C540" t="str">
        <f t="shared" si="97"/>
        <v/>
      </c>
      <c r="D540" t="str">
        <f t="shared" si="98"/>
        <v/>
      </c>
      <c r="E540" t="str">
        <f t="shared" si="99"/>
        <v/>
      </c>
      <c r="F540" t="str">
        <f>IF(C540&lt;&gt;"",Data!$M1091,"")</f>
        <v/>
      </c>
      <c r="K540" t="e">
        <f>IF(Dashboard!$R$4="All",Data!G1091,IF(Data!K1091=Dashboard!$R$4,Data!G1091,NA()))</f>
        <v>#N/A</v>
      </c>
      <c r="L540" t="str">
        <f t="shared" si="100"/>
        <v/>
      </c>
      <c r="M540" t="str">
        <f t="shared" si="101"/>
        <v/>
      </c>
      <c r="N540" t="str">
        <f t="shared" si="102"/>
        <v/>
      </c>
      <c r="O540" t="str">
        <f>IF(L540&lt;&gt;"",Data!$M1091,"")</f>
        <v/>
      </c>
      <c r="T540">
        <f>IF(OR(Dashboard!$P$4="All",Dashboard!$R$4="All"),NA(),IF(OR(Data!K1091&lt;&gt;Dashboard!$P$4,Data!K1091&lt;&gt;Dashboard!$R$4),Data!G1091,NA()))</f>
        <v>10684.750012465542</v>
      </c>
      <c r="U540"/>
      <c r="AI540" s="13" t="s">
        <v>3598</v>
      </c>
      <c r="AJ540" s="8">
        <v>55000</v>
      </c>
      <c r="AK540" s="8">
        <v>1</v>
      </c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Q540" s="13" t="s">
        <v>3598</v>
      </c>
      <c r="BR540" s="8"/>
      <c r="BS540" s="8"/>
      <c r="BT540" s="8">
        <v>55000</v>
      </c>
      <c r="BU540" s="8"/>
      <c r="BV540" s="8"/>
    </row>
    <row r="541" spans="2:74">
      <c r="B541" t="e">
        <f>IF(Dashboard!$P$4="All",Data!G1092,IF(Data!K1092=Dashboard!$P$4,Data!G1092,NA()))</f>
        <v>#N/A</v>
      </c>
      <c r="C541" t="str">
        <f t="shared" si="97"/>
        <v/>
      </c>
      <c r="D541" t="str">
        <f t="shared" si="98"/>
        <v/>
      </c>
      <c r="E541" t="str">
        <f t="shared" si="99"/>
        <v/>
      </c>
      <c r="F541" t="str">
        <f>IF(C541&lt;&gt;"",Data!$M1092,"")</f>
        <v/>
      </c>
      <c r="K541" t="e">
        <f>IF(Dashboard!$R$4="All",Data!G1092,IF(Data!K1092=Dashboard!$R$4,Data!G1092,NA()))</f>
        <v>#N/A</v>
      </c>
      <c r="L541" t="str">
        <f t="shared" si="100"/>
        <v/>
      </c>
      <c r="M541" t="str">
        <f t="shared" si="101"/>
        <v/>
      </c>
      <c r="N541" t="str">
        <f t="shared" si="102"/>
        <v/>
      </c>
      <c r="O541" t="str">
        <f>IF(L541&lt;&gt;"",Data!$M1092,"")</f>
        <v/>
      </c>
      <c r="T541">
        <f>IF(OR(Dashboard!$P$4="All",Dashboard!$R$4="All"),NA(),IF(OR(Data!K1092&lt;&gt;Dashboard!$P$4,Data!K1092&lt;&gt;Dashboard!$R$4),Data!G1092,NA()))</f>
        <v>5342.3750062327708</v>
      </c>
      <c r="U541"/>
      <c r="AI541" s="13" t="s">
        <v>3610</v>
      </c>
      <c r="AJ541" s="8"/>
      <c r="AK541" s="8"/>
      <c r="AL541" s="8"/>
      <c r="AM541" s="8"/>
      <c r="AN541" s="8"/>
      <c r="AO541" s="8"/>
      <c r="AP541" s="8">
        <v>54000</v>
      </c>
      <c r="AQ541" s="8">
        <v>1</v>
      </c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Q541" s="13" t="s">
        <v>3610</v>
      </c>
      <c r="BR541" s="8"/>
      <c r="BS541" s="8"/>
      <c r="BT541" s="8">
        <v>54000</v>
      </c>
      <c r="BU541" s="8"/>
      <c r="BV541" s="8"/>
    </row>
    <row r="542" spans="2:74">
      <c r="B542" t="e">
        <f>IF(Dashboard!$P$4="All",Data!G1093,IF(Data!K1093=Dashboard!$P$4,Data!G1093,NA()))</f>
        <v>#N/A</v>
      </c>
      <c r="C542" t="str">
        <f t="shared" si="97"/>
        <v/>
      </c>
      <c r="D542" t="str">
        <f t="shared" si="98"/>
        <v/>
      </c>
      <c r="E542" t="str">
        <f t="shared" si="99"/>
        <v/>
      </c>
      <c r="F542" t="str">
        <f>IF(C542&lt;&gt;"",Data!$M1093,"")</f>
        <v/>
      </c>
      <c r="K542">
        <f>IF(Dashboard!$R$4="All",Data!G1093,IF(Data!K1093=Dashboard!$R$4,Data!G1093,NA()))</f>
        <v>118213.37040504631</v>
      </c>
      <c r="L542">
        <f t="shared" si="100"/>
        <v>118213.37040504631</v>
      </c>
      <c r="M542">
        <f t="shared" si="101"/>
        <v>118213.37040504631</v>
      </c>
      <c r="N542" t="str">
        <f t="shared" si="102"/>
        <v/>
      </c>
      <c r="O542">
        <f>IF(L542&lt;&gt;"",Data!$M1093,"")</f>
        <v>10</v>
      </c>
      <c r="T542">
        <f>IF(OR(Dashboard!$P$4="All",Dashboard!$R$4="All"),NA(),IF(OR(Data!K1093&lt;&gt;Dashboard!$P$4,Data!K1093&lt;&gt;Dashboard!$R$4),Data!G1093,NA()))</f>
        <v>118213.37040504631</v>
      </c>
      <c r="U542"/>
      <c r="AI542" s="13" t="s">
        <v>3611</v>
      </c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>
        <v>100000</v>
      </c>
      <c r="AW542" s="8">
        <v>1</v>
      </c>
      <c r="AX542" s="8"/>
      <c r="AY542" s="8"/>
      <c r="AZ542" s="8"/>
      <c r="BA542" s="8"/>
      <c r="BB542" s="8"/>
      <c r="BC542" s="8"/>
      <c r="BQ542" s="13" t="s">
        <v>3611</v>
      </c>
      <c r="BR542" s="8"/>
      <c r="BS542" s="8">
        <v>100000</v>
      </c>
      <c r="BT542" s="8"/>
      <c r="BU542" s="8"/>
      <c r="BV542" s="8"/>
    </row>
    <row r="543" spans="2:74">
      <c r="B543" t="e">
        <f>IF(Dashboard!$P$4="All",Data!G1094,IF(Data!K1094=Dashboard!$P$4,Data!G1094,NA()))</f>
        <v>#N/A</v>
      </c>
      <c r="C543" t="str">
        <f t="shared" si="97"/>
        <v/>
      </c>
      <c r="D543" t="str">
        <f t="shared" si="98"/>
        <v/>
      </c>
      <c r="E543" t="str">
        <f t="shared" si="99"/>
        <v/>
      </c>
      <c r="F543" t="str">
        <f>IF(C543&lt;&gt;"",Data!$M1094,"")</f>
        <v/>
      </c>
      <c r="K543" t="e">
        <f>IF(Dashboard!$R$4="All",Data!G1094,IF(Data!K1094=Dashboard!$R$4,Data!G1094,NA()))</f>
        <v>#N/A</v>
      </c>
      <c r="L543" t="str">
        <f t="shared" si="100"/>
        <v/>
      </c>
      <c r="M543" t="str">
        <f t="shared" si="101"/>
        <v/>
      </c>
      <c r="N543" t="str">
        <f t="shared" si="102"/>
        <v/>
      </c>
      <c r="O543" t="str">
        <f>IF(L543&lt;&gt;"",Data!$M1094,"")</f>
        <v/>
      </c>
      <c r="T543">
        <f>IF(OR(Dashboard!$P$4="All",Dashboard!$R$4="All"),NA(),IF(OR(Data!K1094&lt;&gt;Dashboard!$P$4,Data!K1094&lt;&gt;Dashboard!$R$4),Data!G1094,NA()))</f>
        <v>12192.177986291113</v>
      </c>
      <c r="U543"/>
      <c r="AI543" s="13" t="s">
        <v>3622</v>
      </c>
      <c r="AJ543" s="8">
        <v>70000</v>
      </c>
      <c r="AK543" s="8">
        <v>1</v>
      </c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Q543" s="13" t="s">
        <v>3622</v>
      </c>
      <c r="BR543" s="8"/>
      <c r="BS543" s="8"/>
      <c r="BT543" s="8">
        <v>70000</v>
      </c>
      <c r="BU543" s="8"/>
      <c r="BV543" s="8"/>
    </row>
    <row r="544" spans="2:74">
      <c r="B544" t="e">
        <f>IF(Dashboard!$P$4="All",Data!G1095,IF(Data!K1095=Dashboard!$P$4,Data!G1095,NA()))</f>
        <v>#N/A</v>
      </c>
      <c r="C544" t="str">
        <f t="shared" si="97"/>
        <v/>
      </c>
      <c r="D544" t="str">
        <f t="shared" si="98"/>
        <v/>
      </c>
      <c r="E544" t="str">
        <f t="shared" si="99"/>
        <v/>
      </c>
      <c r="F544" t="str">
        <f>IF(C544&lt;&gt;"",Data!$M1095,"")</f>
        <v/>
      </c>
      <c r="K544">
        <f>IF(Dashboard!$R$4="All",Data!G1095,IF(Data!K1095=Dashboard!$R$4,Data!G1095,NA()))</f>
        <v>70928.022243027779</v>
      </c>
      <c r="L544">
        <f t="shared" si="100"/>
        <v>70928.022243027779</v>
      </c>
      <c r="M544" t="str">
        <f t="shared" si="101"/>
        <v/>
      </c>
      <c r="N544" t="str">
        <f t="shared" si="102"/>
        <v/>
      </c>
      <c r="O544">
        <f>IF(L544&lt;&gt;"",Data!$M1095,"")</f>
        <v>8</v>
      </c>
      <c r="T544">
        <f>IF(OR(Dashboard!$P$4="All",Dashboard!$R$4="All"),NA(),IF(OR(Data!K1095&lt;&gt;Dashboard!$P$4,Data!K1095&lt;&gt;Dashboard!$R$4),Data!G1095,NA()))</f>
        <v>70928.022243027779</v>
      </c>
      <c r="U544"/>
      <c r="AI544" s="13" t="s">
        <v>3623</v>
      </c>
      <c r="AJ544" s="8"/>
      <c r="AK544" s="8"/>
      <c r="AL544" s="8">
        <v>155000</v>
      </c>
      <c r="AM544" s="8">
        <v>1</v>
      </c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Q544" s="13" t="s">
        <v>3623</v>
      </c>
      <c r="BR544" s="8">
        <v>155000</v>
      </c>
      <c r="BS544" s="8"/>
      <c r="BT544" s="8"/>
      <c r="BU544" s="8"/>
      <c r="BV544" s="8"/>
    </row>
    <row r="545" spans="2:74">
      <c r="B545" t="e">
        <f>IF(Dashboard!$P$4="All",Data!G1096,IF(Data!K1096=Dashboard!$P$4,Data!G1096,NA()))</f>
        <v>#N/A</v>
      </c>
      <c r="C545" t="str">
        <f t="shared" si="97"/>
        <v/>
      </c>
      <c r="D545" t="str">
        <f t="shared" si="98"/>
        <v/>
      </c>
      <c r="E545" t="str">
        <f t="shared" si="99"/>
        <v/>
      </c>
      <c r="F545" t="str">
        <f>IF(C545&lt;&gt;"",Data!$M1096,"")</f>
        <v/>
      </c>
      <c r="K545">
        <f>IF(Dashboard!$R$4="All",Data!G1096,IF(Data!K1096=Dashboard!$R$4,Data!G1096,NA()))</f>
        <v>39404.456801682099</v>
      </c>
      <c r="L545">
        <f t="shared" si="100"/>
        <v>39404.456801682099</v>
      </c>
      <c r="M545" t="str">
        <f t="shared" si="101"/>
        <v/>
      </c>
      <c r="N545" t="str">
        <f t="shared" si="102"/>
        <v/>
      </c>
      <c r="O545">
        <f>IF(L545&lt;&gt;"",Data!$M1096,"")</f>
        <v>3</v>
      </c>
      <c r="T545">
        <f>IF(OR(Dashboard!$P$4="All",Dashboard!$R$4="All"),NA(),IF(OR(Data!K1096&lt;&gt;Dashboard!$P$4,Data!K1096&lt;&gt;Dashboard!$R$4),Data!G1096,NA()))</f>
        <v>39404.456801682099</v>
      </c>
      <c r="AI545" s="13" t="s">
        <v>3624</v>
      </c>
      <c r="AJ545" s="8"/>
      <c r="AK545" s="8"/>
      <c r="AL545" s="8"/>
      <c r="AM545" s="8"/>
      <c r="AN545" s="8"/>
      <c r="AO545" s="8"/>
      <c r="AP545" s="8">
        <v>225000</v>
      </c>
      <c r="AQ545" s="8">
        <v>1</v>
      </c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Q545" s="13" t="s">
        <v>3624</v>
      </c>
      <c r="BR545" s="8"/>
      <c r="BS545" s="8"/>
      <c r="BT545" s="8">
        <v>225000</v>
      </c>
      <c r="BU545" s="8"/>
      <c r="BV545" s="8"/>
    </row>
    <row r="546" spans="2:74">
      <c r="B546" t="e">
        <f>IF(Dashboard!$P$4="All",Data!G1097,IF(Data!K1097=Dashboard!$P$4,Data!G1097,NA()))</f>
        <v>#N/A</v>
      </c>
      <c r="C546" t="str">
        <f t="shared" si="97"/>
        <v/>
      </c>
      <c r="D546" t="str">
        <f t="shared" si="98"/>
        <v/>
      </c>
      <c r="E546" t="str">
        <f t="shared" si="99"/>
        <v/>
      </c>
      <c r="F546" t="str">
        <f>IF(C546&lt;&gt;"",Data!$M1097,"")</f>
        <v/>
      </c>
      <c r="K546" t="e">
        <f>IF(Dashboard!$R$4="All",Data!G1097,IF(Data!K1097=Dashboard!$R$4,Data!G1097,NA()))</f>
        <v>#N/A</v>
      </c>
      <c r="L546" t="str">
        <f t="shared" si="100"/>
        <v/>
      </c>
      <c r="M546" t="str">
        <f t="shared" si="101"/>
        <v/>
      </c>
      <c r="N546" t="str">
        <f t="shared" si="102"/>
        <v/>
      </c>
      <c r="O546" t="str">
        <f>IF(L546&lt;&gt;"",Data!$M1097,"")</f>
        <v/>
      </c>
      <c r="T546">
        <f>IF(OR(Dashboard!$P$4="All",Dashboard!$R$4="All"),NA(),IF(OR(Data!K1097&lt;&gt;Dashboard!$P$4,Data!K1097&lt;&gt;Dashboard!$R$4),Data!G1097,NA()))</f>
        <v>18987</v>
      </c>
      <c r="AI546" s="13" t="s">
        <v>3636</v>
      </c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>
        <v>92000</v>
      </c>
      <c r="BA546" s="8">
        <v>1</v>
      </c>
      <c r="BB546" s="8"/>
      <c r="BC546" s="8"/>
      <c r="BQ546" s="13" t="s">
        <v>3636</v>
      </c>
      <c r="BR546" s="8"/>
      <c r="BS546" s="8">
        <v>92000</v>
      </c>
      <c r="BT546" s="8"/>
      <c r="BU546" s="8"/>
      <c r="BV546" s="8"/>
    </row>
    <row r="547" spans="2:74">
      <c r="B547" t="e">
        <f>IF(Dashboard!$P$4="All",Data!G1098,IF(Data!K1098=Dashboard!$P$4,Data!G1098,NA()))</f>
        <v>#N/A</v>
      </c>
      <c r="C547" t="str">
        <f t="shared" si="97"/>
        <v/>
      </c>
      <c r="D547" t="str">
        <f t="shared" si="98"/>
        <v/>
      </c>
      <c r="E547" t="str">
        <f t="shared" si="99"/>
        <v/>
      </c>
      <c r="F547" t="str">
        <f>IF(C547&lt;&gt;"",Data!$M1098,"")</f>
        <v/>
      </c>
      <c r="K547">
        <f>IF(Dashboard!$R$4="All",Data!G1098,IF(Data!K1098=Dashboard!$R$4,Data!G1098,NA()))</f>
        <v>44921.080753917595</v>
      </c>
      <c r="L547">
        <f t="shared" si="100"/>
        <v>44921.080753917595</v>
      </c>
      <c r="M547" t="str">
        <f t="shared" si="101"/>
        <v/>
      </c>
      <c r="N547" t="str">
        <f t="shared" si="102"/>
        <v/>
      </c>
      <c r="O547">
        <f>IF(L547&lt;&gt;"",Data!$M1098,"")</f>
        <v>15</v>
      </c>
      <c r="T547">
        <f>IF(OR(Dashboard!$P$4="All",Dashboard!$R$4="All"),NA(),IF(OR(Data!K1098&lt;&gt;Dashboard!$P$4,Data!K1098&lt;&gt;Dashboard!$R$4),Data!G1098,NA()))</f>
        <v>44921.080753917595</v>
      </c>
      <c r="AI547" s="13" t="s">
        <v>3637</v>
      </c>
      <c r="AJ547" s="8"/>
      <c r="AK547" s="8"/>
      <c r="AL547" s="8">
        <v>85000</v>
      </c>
      <c r="AM547" s="8">
        <v>1</v>
      </c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Q547" s="13" t="s">
        <v>3637</v>
      </c>
      <c r="BR547" s="8"/>
      <c r="BS547" s="8"/>
      <c r="BT547" s="8"/>
      <c r="BU547" s="8">
        <v>85000</v>
      </c>
      <c r="BV547" s="8"/>
    </row>
    <row r="548" spans="2:74">
      <c r="B548" t="e">
        <f>IF(Dashboard!$P$4="All",Data!G1099,IF(Data!K1099=Dashboard!$P$4,Data!G1099,NA()))</f>
        <v>#N/A</v>
      </c>
      <c r="C548" t="str">
        <f t="shared" si="97"/>
        <v/>
      </c>
      <c r="D548" t="str">
        <f t="shared" si="98"/>
        <v/>
      </c>
      <c r="E548" t="str">
        <f t="shared" si="99"/>
        <v/>
      </c>
      <c r="F548" t="str">
        <f>IF(C548&lt;&gt;"",Data!$M1099,"")</f>
        <v/>
      </c>
      <c r="K548" t="e">
        <f>IF(Dashboard!$R$4="All",Data!G1099,IF(Data!K1099=Dashboard!$R$4,Data!G1099,NA()))</f>
        <v>#N/A</v>
      </c>
      <c r="L548" t="str">
        <f t="shared" si="100"/>
        <v/>
      </c>
      <c r="M548" t="str">
        <f t="shared" si="101"/>
        <v/>
      </c>
      <c r="N548" t="str">
        <f t="shared" si="102"/>
        <v/>
      </c>
      <c r="O548" t="str">
        <f>IF(L548&lt;&gt;"",Data!$M1099,"")</f>
        <v/>
      </c>
      <c r="T548">
        <f>IF(OR(Dashboard!$P$4="All",Dashboard!$R$4="All"),NA(),IF(OR(Data!K1099&lt;&gt;Dashboard!$P$4,Data!K1099&lt;&gt;Dashboard!$R$4),Data!G1099,NA()))</f>
        <v>60000</v>
      </c>
      <c r="AI548" s="13" t="s">
        <v>3640</v>
      </c>
      <c r="AJ548" s="8">
        <v>49000</v>
      </c>
      <c r="AK548" s="8">
        <v>1</v>
      </c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Q548" s="13" t="s">
        <v>3640</v>
      </c>
      <c r="BR548" s="8"/>
      <c r="BS548" s="8">
        <v>49000</v>
      </c>
      <c r="BT548" s="8"/>
      <c r="BU548" s="8"/>
      <c r="BV548" s="8"/>
    </row>
    <row r="549" spans="2:74">
      <c r="B549" t="e">
        <f>IF(Dashboard!$P$4="All",Data!G1100,IF(Data!K1100=Dashboard!$P$4,Data!G1100,NA()))</f>
        <v>#N/A</v>
      </c>
      <c r="C549" t="str">
        <f t="shared" si="97"/>
        <v/>
      </c>
      <c r="D549" t="str">
        <f t="shared" si="98"/>
        <v/>
      </c>
      <c r="E549" t="str">
        <f t="shared" si="99"/>
        <v/>
      </c>
      <c r="F549" t="str">
        <f>IF(C549&lt;&gt;"",Data!$M1100,"")</f>
        <v/>
      </c>
      <c r="K549">
        <f>IF(Dashboard!$R$4="All",Data!G1100,IF(Data!K1100=Dashboard!$R$4,Data!G1100,NA()))</f>
        <v>71243.257897441246</v>
      </c>
      <c r="L549">
        <f t="shared" si="100"/>
        <v>71243.257897441246</v>
      </c>
      <c r="M549" t="str">
        <f t="shared" si="101"/>
        <v/>
      </c>
      <c r="N549" t="str">
        <f t="shared" si="102"/>
        <v/>
      </c>
      <c r="O549">
        <f>IF(L549&lt;&gt;"",Data!$M1100,"")</f>
        <v>5</v>
      </c>
      <c r="T549">
        <f>IF(OR(Dashboard!$P$4="All",Dashboard!$R$4="All"),NA(),IF(OR(Data!K1100&lt;&gt;Dashboard!$P$4,Data!K1100&lt;&gt;Dashboard!$R$4),Data!G1100,NA()))</f>
        <v>71243.257897441246</v>
      </c>
      <c r="AI549" s="13" t="s">
        <v>3641</v>
      </c>
      <c r="AJ549" s="8"/>
      <c r="AK549" s="8"/>
      <c r="AL549" s="8">
        <v>59000</v>
      </c>
      <c r="AM549" s="8">
        <v>1</v>
      </c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Q549" s="13" t="s">
        <v>3641</v>
      </c>
      <c r="BR549" s="8">
        <v>59000</v>
      </c>
      <c r="BS549" s="8"/>
      <c r="BT549" s="8"/>
      <c r="BU549" s="8"/>
      <c r="BV549" s="8"/>
    </row>
    <row r="550" spans="2:74">
      <c r="B550" t="e">
        <f>IF(Dashboard!$P$4="All",Data!G1101,IF(Data!K1101=Dashboard!$P$4,Data!G1101,NA()))</f>
        <v>#N/A</v>
      </c>
      <c r="C550" t="str">
        <f t="shared" si="97"/>
        <v/>
      </c>
      <c r="D550" t="str">
        <f t="shared" si="98"/>
        <v/>
      </c>
      <c r="E550" t="str">
        <f t="shared" si="99"/>
        <v/>
      </c>
      <c r="F550" t="str">
        <f>IF(C550&lt;&gt;"",Data!$M1101,"")</f>
        <v/>
      </c>
      <c r="K550" t="e">
        <f>IF(Dashboard!$R$4="All",Data!G1101,IF(Data!K1101=Dashboard!$R$4,Data!G1101,NA()))</f>
        <v>#N/A</v>
      </c>
      <c r="L550" t="str">
        <f t="shared" si="100"/>
        <v/>
      </c>
      <c r="M550" t="str">
        <f t="shared" si="101"/>
        <v/>
      </c>
      <c r="N550" t="str">
        <f t="shared" si="102"/>
        <v/>
      </c>
      <c r="O550" t="str">
        <f>IF(L550&lt;&gt;"",Data!$M1101,"")</f>
        <v/>
      </c>
      <c r="T550">
        <f>IF(OR(Dashboard!$P$4="All",Dashboard!$R$4="All"),NA(),IF(OR(Data!K1101&lt;&gt;Dashboard!$P$4,Data!K1101&lt;&gt;Dashboard!$R$4),Data!G1101,NA()))</f>
        <v>4487.5950052355274</v>
      </c>
      <c r="AI550" s="13" t="s">
        <v>3642</v>
      </c>
      <c r="AJ550" s="8">
        <v>55000</v>
      </c>
      <c r="AK550" s="8">
        <v>1</v>
      </c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Q550" s="13" t="s">
        <v>3642</v>
      </c>
      <c r="BR550" s="8"/>
      <c r="BS550" s="8"/>
      <c r="BT550" s="8">
        <v>55000</v>
      </c>
      <c r="BU550" s="8"/>
      <c r="BV550" s="8"/>
    </row>
    <row r="551" spans="2:74">
      <c r="B551" t="e">
        <f>IF(Dashboard!$P$4="All",Data!G1102,IF(Data!K1102=Dashboard!$P$4,Data!G1102,NA()))</f>
        <v>#N/A</v>
      </c>
      <c r="C551" t="str">
        <f t="shared" si="97"/>
        <v/>
      </c>
      <c r="D551" t="str">
        <f t="shared" si="98"/>
        <v/>
      </c>
      <c r="E551" t="str">
        <f t="shared" si="99"/>
        <v/>
      </c>
      <c r="F551" t="str">
        <f>IF(C551&lt;&gt;"",Data!$M1102,"")</f>
        <v/>
      </c>
      <c r="K551" t="e">
        <f>IF(Dashboard!$R$4="All",Data!G1102,IF(Data!K1102=Dashboard!$R$4,Data!G1102,NA()))</f>
        <v>#N/A</v>
      </c>
      <c r="L551" t="str">
        <f t="shared" si="100"/>
        <v/>
      </c>
      <c r="M551" t="str">
        <f t="shared" si="101"/>
        <v/>
      </c>
      <c r="N551" t="str">
        <f t="shared" si="102"/>
        <v/>
      </c>
      <c r="O551" t="str">
        <f>IF(L551&lt;&gt;"",Data!$M1102,"")</f>
        <v/>
      </c>
      <c r="T551">
        <f>IF(OR(Dashboard!$P$4="All",Dashboard!$R$4="All"),NA(),IF(OR(Data!K1102&lt;&gt;Dashboard!$P$4,Data!K1102&lt;&gt;Dashboard!$R$4),Data!G1102,NA()))</f>
        <v>4314.929445034084</v>
      </c>
      <c r="V551" s="9"/>
      <c r="AI551" s="13" t="s">
        <v>3643</v>
      </c>
      <c r="AJ551" s="8"/>
      <c r="AK551" s="8"/>
      <c r="AL551" s="8"/>
      <c r="AM551" s="8"/>
      <c r="AN551" s="8">
        <v>75000</v>
      </c>
      <c r="AO551" s="8">
        <v>1</v>
      </c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Q551" s="13" t="s">
        <v>3643</v>
      </c>
      <c r="BR551" s="8"/>
      <c r="BS551" s="8"/>
      <c r="BT551" s="8">
        <v>75000</v>
      </c>
      <c r="BU551" s="8"/>
      <c r="BV551" s="8"/>
    </row>
    <row r="552" spans="2:74">
      <c r="B552" t="e">
        <f>IF(Dashboard!$P$4="All",Data!G1103,IF(Data!K1103=Dashboard!$P$4,Data!G1103,NA()))</f>
        <v>#N/A</v>
      </c>
      <c r="C552" t="str">
        <f t="shared" si="97"/>
        <v/>
      </c>
      <c r="D552" t="str">
        <f t="shared" si="98"/>
        <v/>
      </c>
      <c r="E552" t="str">
        <f t="shared" si="99"/>
        <v/>
      </c>
      <c r="F552" t="str">
        <f>IF(C552&lt;&gt;"",Data!$M1103,"")</f>
        <v/>
      </c>
      <c r="K552" t="e">
        <f>IF(Dashboard!$R$4="All",Data!G1103,IF(Data!K1103=Dashboard!$R$4,Data!G1103,NA()))</f>
        <v>#N/A</v>
      </c>
      <c r="L552" t="str">
        <f t="shared" si="100"/>
        <v/>
      </c>
      <c r="M552" t="str">
        <f t="shared" si="101"/>
        <v/>
      </c>
      <c r="N552" t="str">
        <f t="shared" si="102"/>
        <v/>
      </c>
      <c r="O552" t="str">
        <f>IF(L552&lt;&gt;"",Data!$M1103,"")</f>
        <v/>
      </c>
      <c r="T552">
        <f>IF(OR(Dashboard!$P$4="All",Dashboard!$R$4="All"),NA(),IF(OR(Data!K1103&lt;&gt;Dashboard!$P$4,Data!K1103&lt;&gt;Dashboard!$R$4),Data!G1103,NA()))</f>
        <v>3739.6625043629392</v>
      </c>
      <c r="V552" s="9"/>
      <c r="AI552" s="13" t="s">
        <v>3646</v>
      </c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>
        <v>80000</v>
      </c>
      <c r="AU552" s="8">
        <v>1</v>
      </c>
      <c r="AV552" s="8"/>
      <c r="AW552" s="8"/>
      <c r="AX552" s="8"/>
      <c r="AY552" s="8"/>
      <c r="AZ552" s="8"/>
      <c r="BA552" s="8"/>
      <c r="BB552" s="8"/>
      <c r="BC552" s="8"/>
      <c r="BQ552" s="13" t="s">
        <v>3646</v>
      </c>
      <c r="BR552" s="8"/>
      <c r="BS552" s="8">
        <v>80000</v>
      </c>
      <c r="BT552" s="8"/>
      <c r="BU552" s="8"/>
      <c r="BV552" s="8"/>
    </row>
    <row r="553" spans="2:74">
      <c r="B553" t="e">
        <f>IF(Dashboard!$P$4="All",Data!G1104,IF(Data!K1104=Dashboard!$P$4,Data!G1104,NA()))</f>
        <v>#N/A</v>
      </c>
      <c r="C553" t="str">
        <f t="shared" si="97"/>
        <v/>
      </c>
      <c r="D553" t="str">
        <f t="shared" si="98"/>
        <v/>
      </c>
      <c r="E553" t="str">
        <f t="shared" si="99"/>
        <v/>
      </c>
      <c r="F553" t="str">
        <f>IF(C553&lt;&gt;"",Data!$M1104,"")</f>
        <v/>
      </c>
      <c r="K553" t="e">
        <f>IF(Dashboard!$R$4="All",Data!G1104,IF(Data!K1104=Dashboard!$R$4,Data!G1104,NA()))</f>
        <v>#N/A</v>
      </c>
      <c r="L553" t="str">
        <f t="shared" si="100"/>
        <v/>
      </c>
      <c r="M553" t="str">
        <f t="shared" si="101"/>
        <v/>
      </c>
      <c r="N553" t="str">
        <f t="shared" si="102"/>
        <v/>
      </c>
      <c r="O553" t="str">
        <f>IF(L553&lt;&gt;"",Data!$M1104,"")</f>
        <v/>
      </c>
      <c r="T553">
        <f>IF(OR(Dashboard!$P$4="All",Dashboard!$R$4="All"),NA(),IF(OR(Data!K1104&lt;&gt;Dashboard!$P$4,Data!K1104&lt;&gt;Dashboard!$R$4),Data!G1104,NA()))</f>
        <v>76223.966339496474</v>
      </c>
      <c r="V553" s="9"/>
      <c r="AI553" s="13" t="s">
        <v>3647</v>
      </c>
      <c r="AJ553" s="8">
        <v>12000</v>
      </c>
      <c r="AK553" s="8">
        <v>1</v>
      </c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Q553" s="13" t="s">
        <v>3647</v>
      </c>
      <c r="BR553" s="8"/>
      <c r="BS553" s="8">
        <v>12000</v>
      </c>
      <c r="BT553" s="8"/>
      <c r="BU553" s="8"/>
      <c r="BV553" s="8"/>
    </row>
    <row r="554" spans="2:74">
      <c r="B554" t="e">
        <f>IF(Dashboard!$P$4="All",Data!G1105,IF(Data!K1105=Dashboard!$P$4,Data!G1105,NA()))</f>
        <v>#N/A</v>
      </c>
      <c r="C554" t="str">
        <f t="shared" si="97"/>
        <v/>
      </c>
      <c r="D554" t="str">
        <f t="shared" si="98"/>
        <v/>
      </c>
      <c r="E554" t="str">
        <f t="shared" si="99"/>
        <v/>
      </c>
      <c r="F554" t="str">
        <f>IF(C554&lt;&gt;"",Data!$M1105,"")</f>
        <v/>
      </c>
      <c r="K554" t="e">
        <f>IF(Dashboard!$R$4="All",Data!G1105,IF(Data!K1105=Dashboard!$R$4,Data!G1105,NA()))</f>
        <v>#N/A</v>
      </c>
      <c r="L554" t="str">
        <f t="shared" si="100"/>
        <v/>
      </c>
      <c r="M554" t="str">
        <f t="shared" si="101"/>
        <v/>
      </c>
      <c r="N554" t="str">
        <f t="shared" si="102"/>
        <v/>
      </c>
      <c r="O554" t="str">
        <f>IF(L554&lt;&gt;"",Data!$M1105,"")</f>
        <v/>
      </c>
      <c r="T554">
        <f>IF(OR(Dashboard!$P$4="All",Dashboard!$R$4="All"),NA(),IF(OR(Data!K1105&lt;&gt;Dashboard!$P$4,Data!K1105&lt;&gt;Dashboard!$R$4),Data!G1105,NA()))</f>
        <v>32666.305522511171</v>
      </c>
      <c r="V554" s="9"/>
      <c r="AI554" s="13" t="s">
        <v>3648</v>
      </c>
      <c r="AJ554" s="8">
        <v>48500</v>
      </c>
      <c r="AK554" s="8">
        <v>1</v>
      </c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Q554" s="13" t="s">
        <v>3648</v>
      </c>
      <c r="BR554" s="8"/>
      <c r="BS554" s="8"/>
      <c r="BT554" s="8">
        <v>48500</v>
      </c>
      <c r="BU554" s="8"/>
      <c r="BV554" s="8"/>
    </row>
    <row r="555" spans="2:74">
      <c r="B555" t="e">
        <f>IF(Dashboard!$P$4="All",Data!G1106,IF(Data!K1106=Dashboard!$P$4,Data!G1106,NA()))</f>
        <v>#N/A</v>
      </c>
      <c r="C555" t="str">
        <f t="shared" si="97"/>
        <v/>
      </c>
      <c r="D555" t="str">
        <f t="shared" si="98"/>
        <v/>
      </c>
      <c r="E555" t="str">
        <f t="shared" si="99"/>
        <v/>
      </c>
      <c r="F555" t="str">
        <f>IF(C555&lt;&gt;"",Data!$M1106,"")</f>
        <v/>
      </c>
      <c r="K555">
        <f>IF(Dashboard!$R$4="All",Data!G1106,IF(Data!K1106=Dashboard!$R$4,Data!G1106,NA()))</f>
        <v>19000</v>
      </c>
      <c r="L555">
        <f t="shared" si="100"/>
        <v>19000</v>
      </c>
      <c r="M555" t="str">
        <f t="shared" si="101"/>
        <v/>
      </c>
      <c r="N555">
        <f t="shared" si="102"/>
        <v>19000</v>
      </c>
      <c r="O555">
        <f>IF(L555&lt;&gt;"",Data!$M1106,"")</f>
        <v>8</v>
      </c>
      <c r="T555">
        <f>IF(OR(Dashboard!$P$4="All",Dashboard!$R$4="All"),NA(),IF(OR(Data!K1106&lt;&gt;Dashboard!$P$4,Data!K1106&lt;&gt;Dashboard!$R$4),Data!G1106,NA()))</f>
        <v>19000</v>
      </c>
      <c r="V555" s="9"/>
      <c r="AI555" s="13" t="s">
        <v>3655</v>
      </c>
      <c r="AJ555" s="8"/>
      <c r="AK555" s="8"/>
      <c r="AL555" s="8"/>
      <c r="AM555" s="8"/>
      <c r="AN555" s="8"/>
      <c r="AO555" s="8"/>
      <c r="AP555" s="8"/>
      <c r="AQ555" s="8"/>
      <c r="AR555" s="8">
        <v>62000</v>
      </c>
      <c r="AS555" s="8">
        <v>1</v>
      </c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Q555" s="13" t="s">
        <v>3655</v>
      </c>
      <c r="BR555" s="8"/>
      <c r="BS555" s="8">
        <v>62000</v>
      </c>
      <c r="BT555" s="8"/>
      <c r="BU555" s="8"/>
      <c r="BV555" s="8"/>
    </row>
    <row r="556" spans="2:74">
      <c r="B556" t="e">
        <f>IF(Dashboard!$P$4="All",Data!G1107,IF(Data!K1107=Dashboard!$P$4,Data!G1107,NA()))</f>
        <v>#N/A</v>
      </c>
      <c r="C556" t="str">
        <f t="shared" si="97"/>
        <v/>
      </c>
      <c r="D556" t="str">
        <f t="shared" si="98"/>
        <v/>
      </c>
      <c r="E556" t="str">
        <f t="shared" si="99"/>
        <v/>
      </c>
      <c r="F556" t="str">
        <f>IF(C556&lt;&gt;"",Data!$M1107,"")</f>
        <v/>
      </c>
      <c r="K556" t="e">
        <f>IF(Dashboard!$R$4="All",Data!G1107,IF(Data!K1107=Dashboard!$R$4,Data!G1107,NA()))</f>
        <v>#N/A</v>
      </c>
      <c r="L556" t="str">
        <f t="shared" si="100"/>
        <v/>
      </c>
      <c r="M556" t="str">
        <f t="shared" si="101"/>
        <v/>
      </c>
      <c r="N556" t="str">
        <f t="shared" si="102"/>
        <v/>
      </c>
      <c r="O556" t="str">
        <f>IF(L556&lt;&gt;"",Data!$M1107,"")</f>
        <v/>
      </c>
      <c r="T556">
        <f>IF(OR(Dashboard!$P$4="All",Dashboard!$R$4="All"),NA(),IF(OR(Data!K1107&lt;&gt;Dashboard!$P$4,Data!K1107&lt;&gt;Dashboard!$R$4),Data!G1107,NA()))</f>
        <v>63519.971949580387</v>
      </c>
      <c r="V556" s="9"/>
      <c r="AI556" s="13" t="s">
        <v>3659</v>
      </c>
      <c r="AJ556" s="8">
        <v>90000</v>
      </c>
      <c r="AK556" s="8">
        <v>1</v>
      </c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Q556" s="13" t="s">
        <v>3659</v>
      </c>
      <c r="BR556" s="8"/>
      <c r="BS556" s="8">
        <v>90000</v>
      </c>
      <c r="BT556" s="8"/>
      <c r="BU556" s="8"/>
      <c r="BV556" s="8"/>
    </row>
    <row r="557" spans="2:74">
      <c r="B557" t="e">
        <f>IF(Dashboard!$P$4="All",Data!G1108,IF(Data!K1108=Dashboard!$P$4,Data!G1108,NA()))</f>
        <v>#N/A</v>
      </c>
      <c r="C557" t="str">
        <f t="shared" si="97"/>
        <v/>
      </c>
      <c r="D557" t="str">
        <f t="shared" si="98"/>
        <v/>
      </c>
      <c r="E557" t="str">
        <f t="shared" si="99"/>
        <v/>
      </c>
      <c r="F557" t="str">
        <f>IF(C557&lt;&gt;"",Data!$M1108,"")</f>
        <v/>
      </c>
      <c r="K557" t="e">
        <f>IF(Dashboard!$R$4="All",Data!G1108,IF(Data!K1108=Dashboard!$R$4,Data!G1108,NA()))</f>
        <v>#N/A</v>
      </c>
      <c r="L557" t="str">
        <f t="shared" si="100"/>
        <v/>
      </c>
      <c r="M557" t="str">
        <f t="shared" si="101"/>
        <v/>
      </c>
      <c r="N557" t="str">
        <f t="shared" si="102"/>
        <v/>
      </c>
      <c r="O557" t="str">
        <f>IF(L557&lt;&gt;"",Data!$M1108,"")</f>
        <v/>
      </c>
      <c r="T557">
        <f>IF(OR(Dashboard!$P$4="All",Dashboard!$R$4="All"),NA(),IF(OR(Data!K1108&lt;&gt;Dashboard!$P$4,Data!K1108&lt;&gt;Dashboard!$R$4),Data!G1108,NA()))</f>
        <v>16027.125018698311</v>
      </c>
      <c r="V557" s="9"/>
      <c r="AI557" s="13" t="s">
        <v>3661</v>
      </c>
      <c r="AJ557" s="8">
        <v>85000</v>
      </c>
      <c r="AK557" s="8">
        <v>1</v>
      </c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Q557" s="13" t="s">
        <v>3661</v>
      </c>
      <c r="BR557" s="8"/>
      <c r="BS557" s="8"/>
      <c r="BT557" s="8">
        <v>85000</v>
      </c>
      <c r="BU557" s="8"/>
      <c r="BV557" s="8"/>
    </row>
    <row r="558" spans="2:74">
      <c r="B558" t="e">
        <f>IF(Dashboard!$P$4="All",Data!G1109,IF(Data!K1109=Dashboard!$P$4,Data!G1109,NA()))</f>
        <v>#N/A</v>
      </c>
      <c r="C558" t="str">
        <f t="shared" si="97"/>
        <v/>
      </c>
      <c r="D558" t="str">
        <f t="shared" si="98"/>
        <v/>
      </c>
      <c r="E558" t="str">
        <f t="shared" si="99"/>
        <v/>
      </c>
      <c r="F558" t="str">
        <f>IF(C558&lt;&gt;"",Data!$M1109,"")</f>
        <v/>
      </c>
      <c r="K558" t="e">
        <f>IF(Dashboard!$R$4="All",Data!G1109,IF(Data!K1109=Dashboard!$R$4,Data!G1109,NA()))</f>
        <v>#N/A</v>
      </c>
      <c r="L558" t="str">
        <f t="shared" si="100"/>
        <v/>
      </c>
      <c r="M558" t="str">
        <f t="shared" si="101"/>
        <v/>
      </c>
      <c r="N558" t="str">
        <f t="shared" si="102"/>
        <v/>
      </c>
      <c r="O558" t="str">
        <f>IF(L558&lt;&gt;"",Data!$M1109,"")</f>
        <v/>
      </c>
      <c r="T558">
        <f>IF(OR(Dashboard!$P$4="All",Dashboard!$R$4="All"),NA(),IF(OR(Data!K1109&lt;&gt;Dashboard!$P$4,Data!K1109&lt;&gt;Dashboard!$R$4),Data!G1109,NA()))</f>
        <v>7123.1666749770275</v>
      </c>
      <c r="V558" s="9"/>
      <c r="AI558" s="13" t="s">
        <v>3663</v>
      </c>
      <c r="AJ558" s="8">
        <v>65000</v>
      </c>
      <c r="AK558" s="8">
        <v>1</v>
      </c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Q558" s="13" t="s">
        <v>3663</v>
      </c>
      <c r="BR558" s="8"/>
      <c r="BS558" s="8"/>
      <c r="BT558" s="8">
        <v>65000</v>
      </c>
      <c r="BU558" s="8"/>
      <c r="BV558" s="8"/>
    </row>
    <row r="559" spans="2:74">
      <c r="B559" t="e">
        <f>IF(Dashboard!$P$4="All",Data!G1110,IF(Data!K1110=Dashboard!$P$4,Data!G1110,NA()))</f>
        <v>#N/A</v>
      </c>
      <c r="C559" t="str">
        <f t="shared" si="97"/>
        <v/>
      </c>
      <c r="D559" t="str">
        <f t="shared" si="98"/>
        <v/>
      </c>
      <c r="E559" t="str">
        <f t="shared" si="99"/>
        <v/>
      </c>
      <c r="F559" t="str">
        <f>IF(C559&lt;&gt;"",Data!$M1110,"")</f>
        <v/>
      </c>
      <c r="K559" t="e">
        <f>IF(Dashboard!$R$4="All",Data!G1110,IF(Data!K1110=Dashboard!$R$4,Data!G1110,NA()))</f>
        <v>#N/A</v>
      </c>
      <c r="L559" t="str">
        <f t="shared" si="100"/>
        <v/>
      </c>
      <c r="M559" t="str">
        <f t="shared" si="101"/>
        <v/>
      </c>
      <c r="N559" t="str">
        <f t="shared" si="102"/>
        <v/>
      </c>
      <c r="O559" t="str">
        <f>IF(L559&lt;&gt;"",Data!$M1110,"")</f>
        <v/>
      </c>
      <c r="T559">
        <f>IF(OR(Dashboard!$P$4="All",Dashboard!$R$4="All"),NA(),IF(OR(Data!K1110&lt;&gt;Dashboard!$P$4,Data!K1110&lt;&gt;Dashboard!$R$4),Data!G1110,NA()))</f>
        <v>2675.675098121621</v>
      </c>
      <c r="V559" s="9"/>
      <c r="AI559" s="13" t="s">
        <v>3664</v>
      </c>
      <c r="AJ559" s="8"/>
      <c r="AK559" s="8"/>
      <c r="AL559" s="8"/>
      <c r="AM559" s="8"/>
      <c r="AN559" s="8"/>
      <c r="AO559" s="8"/>
      <c r="AP559" s="8">
        <v>75000</v>
      </c>
      <c r="AQ559" s="8">
        <v>1</v>
      </c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Q559" s="13" t="s">
        <v>3664</v>
      </c>
      <c r="BR559" s="8"/>
      <c r="BS559" s="8">
        <v>75000</v>
      </c>
      <c r="BT559" s="8"/>
      <c r="BU559" s="8"/>
      <c r="BV559" s="8"/>
    </row>
    <row r="560" spans="2:74">
      <c r="B560" t="e">
        <f>IF(Dashboard!$P$4="All",Data!G1111,IF(Data!K1111=Dashboard!$P$4,Data!G1111,NA()))</f>
        <v>#N/A</v>
      </c>
      <c r="C560" t="str">
        <f t="shared" si="97"/>
        <v/>
      </c>
      <c r="D560" t="str">
        <f t="shared" si="98"/>
        <v/>
      </c>
      <c r="E560" t="str">
        <f t="shared" si="99"/>
        <v/>
      </c>
      <c r="F560" t="str">
        <f>IF(C560&lt;&gt;"",Data!$M1111,"")</f>
        <v/>
      </c>
      <c r="K560">
        <f>IF(Dashboard!$R$4="All",Data!G1111,IF(Data!K1111=Dashboard!$R$4,Data!G1111,NA()))</f>
        <v>23642.674081009263</v>
      </c>
      <c r="L560">
        <f t="shared" si="100"/>
        <v>23642.674081009263</v>
      </c>
      <c r="M560" t="str">
        <f t="shared" si="101"/>
        <v/>
      </c>
      <c r="N560">
        <f t="shared" si="102"/>
        <v>23642.674081009263</v>
      </c>
      <c r="O560">
        <f>IF(L560&lt;&gt;"",Data!$M1111,"")</f>
        <v>2</v>
      </c>
      <c r="T560">
        <f>IF(OR(Dashboard!$P$4="All",Dashboard!$R$4="All"),NA(),IF(OR(Data!K1111&lt;&gt;Dashboard!$P$4,Data!K1111&lt;&gt;Dashboard!$R$4),Data!G1111,NA()))</f>
        <v>23642.674081009263</v>
      </c>
      <c r="V560" s="9"/>
      <c r="AI560" s="13" t="s">
        <v>3665</v>
      </c>
      <c r="AJ560" s="8">
        <v>92000</v>
      </c>
      <c r="AK560" s="8">
        <v>1</v>
      </c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Q560" s="13" t="s">
        <v>3665</v>
      </c>
      <c r="BR560" s="8"/>
      <c r="BS560" s="8"/>
      <c r="BT560" s="8">
        <v>92000</v>
      </c>
      <c r="BU560" s="8"/>
      <c r="BV560" s="8"/>
    </row>
    <row r="561" spans="2:74">
      <c r="B561" t="e">
        <f>IF(Dashboard!$P$4="All",Data!G1112,IF(Data!K1112=Dashboard!$P$4,Data!G1112,NA()))</f>
        <v>#N/A</v>
      </c>
      <c r="C561" t="str">
        <f t="shared" si="97"/>
        <v/>
      </c>
      <c r="D561" t="str">
        <f t="shared" si="98"/>
        <v/>
      </c>
      <c r="E561" t="str">
        <f t="shared" si="99"/>
        <v/>
      </c>
      <c r="F561" t="str">
        <f>IF(C561&lt;&gt;"",Data!$M1112,"")</f>
        <v/>
      </c>
      <c r="K561" t="e">
        <f>IF(Dashboard!$R$4="All",Data!G1112,IF(Data!K1112=Dashboard!$R$4,Data!G1112,NA()))</f>
        <v>#N/A</v>
      </c>
      <c r="L561" t="str">
        <f t="shared" si="100"/>
        <v/>
      </c>
      <c r="M561" t="str">
        <f t="shared" si="101"/>
        <v/>
      </c>
      <c r="N561" t="str">
        <f t="shared" si="102"/>
        <v/>
      </c>
      <c r="O561" t="str">
        <f>IF(L561&lt;&gt;"",Data!$M1112,"")</f>
        <v/>
      </c>
      <c r="T561">
        <f>IF(OR(Dashboard!$P$4="All",Dashboard!$R$4="All"),NA(),IF(OR(Data!K1112&lt;&gt;Dashboard!$P$4,Data!K1112&lt;&gt;Dashboard!$R$4),Data!G1112,NA()))</f>
        <v>57167.974754622352</v>
      </c>
      <c r="V561" s="9"/>
      <c r="AI561" s="13" t="s">
        <v>3668</v>
      </c>
      <c r="AJ561" s="8">
        <v>45000</v>
      </c>
      <c r="AK561" s="8">
        <v>1</v>
      </c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Q561" s="13" t="s">
        <v>3668</v>
      </c>
      <c r="BR561" s="8"/>
      <c r="BS561" s="8">
        <v>45000</v>
      </c>
      <c r="BT561" s="8"/>
      <c r="BU561" s="8"/>
      <c r="BV561" s="8"/>
    </row>
    <row r="562" spans="2:74">
      <c r="B562" t="e">
        <f>IF(Dashboard!$P$4="All",Data!G1113,IF(Data!K1113=Dashboard!$P$4,Data!G1113,NA()))</f>
        <v>#N/A</v>
      </c>
      <c r="C562" t="str">
        <f t="shared" si="97"/>
        <v/>
      </c>
      <c r="D562" t="str">
        <f t="shared" si="98"/>
        <v/>
      </c>
      <c r="E562" t="str">
        <f t="shared" si="99"/>
        <v/>
      </c>
      <c r="F562" t="str">
        <f>IF(C562&lt;&gt;"",Data!$M1113,"")</f>
        <v/>
      </c>
      <c r="K562" t="e">
        <f>IF(Dashboard!$R$4="All",Data!G1113,IF(Data!K1113=Dashboard!$R$4,Data!G1113,NA()))</f>
        <v>#N/A</v>
      </c>
      <c r="L562" t="str">
        <f t="shared" si="100"/>
        <v/>
      </c>
      <c r="M562" t="str">
        <f t="shared" si="101"/>
        <v/>
      </c>
      <c r="N562" t="str">
        <f t="shared" si="102"/>
        <v/>
      </c>
      <c r="O562" t="str">
        <f>IF(L562&lt;&gt;"",Data!$M1113,"")</f>
        <v/>
      </c>
      <c r="T562">
        <f>IF(OR(Dashboard!$P$4="All",Dashboard!$R$4="All"),NA(),IF(OR(Data!K1113&lt;&gt;Dashboard!$P$4,Data!K1113&lt;&gt;Dashboard!$R$4),Data!G1113,NA()))</f>
        <v>42739.000049862167</v>
      </c>
      <c r="V562" s="9"/>
      <c r="AI562" s="13" t="s">
        <v>3672</v>
      </c>
      <c r="AJ562" s="8">
        <v>60000</v>
      </c>
      <c r="AK562" s="8">
        <v>1</v>
      </c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Q562" s="13" t="s">
        <v>3672</v>
      </c>
      <c r="BR562" s="8"/>
      <c r="BS562" s="8"/>
      <c r="BT562" s="8"/>
      <c r="BU562" s="8">
        <v>60000</v>
      </c>
      <c r="BV562" s="8"/>
    </row>
    <row r="563" spans="2:74">
      <c r="B563" t="e">
        <f>IF(Dashboard!$P$4="All",Data!G1114,IF(Data!K1114=Dashboard!$P$4,Data!G1114,NA()))</f>
        <v>#N/A</v>
      </c>
      <c r="C563" t="str">
        <f t="shared" si="97"/>
        <v/>
      </c>
      <c r="D563" t="str">
        <f t="shared" si="98"/>
        <v/>
      </c>
      <c r="E563" t="str">
        <f t="shared" si="99"/>
        <v/>
      </c>
      <c r="F563" t="str">
        <f>IF(C563&lt;&gt;"",Data!$M1114,"")</f>
        <v/>
      </c>
      <c r="K563" t="e">
        <f>IF(Dashboard!$R$4="All",Data!G1114,IF(Data!K1114=Dashboard!$R$4,Data!G1114,NA()))</f>
        <v>#N/A</v>
      </c>
      <c r="L563" t="str">
        <f t="shared" si="100"/>
        <v/>
      </c>
      <c r="M563" t="str">
        <f t="shared" si="101"/>
        <v/>
      </c>
      <c r="N563" t="str">
        <f t="shared" si="102"/>
        <v/>
      </c>
      <c r="O563" t="str">
        <f>IF(L563&lt;&gt;"",Data!$M1114,"")</f>
        <v/>
      </c>
      <c r="T563">
        <f>IF(OR(Dashboard!$P$4="All",Dashboard!$R$4="All"),NA(),IF(OR(Data!K1114&lt;&gt;Dashboard!$P$4,Data!K1114&lt;&gt;Dashboard!$R$4),Data!G1114,NA()))</f>
        <v>5120.2912876821438</v>
      </c>
      <c r="V563" s="9"/>
      <c r="AI563" s="13" t="s">
        <v>3673</v>
      </c>
      <c r="AJ563" s="8">
        <v>65000</v>
      </c>
      <c r="AK563" s="8">
        <v>1</v>
      </c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Q563" s="13" t="s">
        <v>3673</v>
      </c>
      <c r="BR563" s="8"/>
      <c r="BS563" s="8"/>
      <c r="BT563" s="8"/>
      <c r="BU563" s="8">
        <v>65000</v>
      </c>
      <c r="BV563" s="8"/>
    </row>
    <row r="564" spans="2:74">
      <c r="B564" t="e">
        <f>IF(Dashboard!$P$4="All",Data!G1115,IF(Data!K1115=Dashboard!$P$4,Data!G1115,NA()))</f>
        <v>#N/A</v>
      </c>
      <c r="C564" t="str">
        <f t="shared" si="97"/>
        <v/>
      </c>
      <c r="D564" t="str">
        <f t="shared" si="98"/>
        <v/>
      </c>
      <c r="E564" t="str">
        <f t="shared" si="99"/>
        <v/>
      </c>
      <c r="F564" t="str">
        <f>IF(C564&lt;&gt;"",Data!$M1115,"")</f>
        <v/>
      </c>
      <c r="K564" t="e">
        <f>IF(Dashboard!$R$4="All",Data!G1115,IF(Data!K1115=Dashboard!$R$4,Data!G1115,NA()))</f>
        <v>#N/A</v>
      </c>
      <c r="L564" t="str">
        <f t="shared" si="100"/>
        <v/>
      </c>
      <c r="M564" t="str">
        <f t="shared" si="101"/>
        <v/>
      </c>
      <c r="N564" t="str">
        <f t="shared" si="102"/>
        <v/>
      </c>
      <c r="O564" t="str">
        <f>IF(L564&lt;&gt;"",Data!$M1115,"")</f>
        <v/>
      </c>
      <c r="T564">
        <f>IF(OR(Dashboard!$P$4="All",Dashboard!$R$4="All"),NA(),IF(OR(Data!K1115&lt;&gt;Dashboard!$P$4,Data!K1115&lt;&gt;Dashboard!$R$4),Data!G1115,NA()))</f>
        <v>127039.94389916077</v>
      </c>
      <c r="V564" s="9"/>
      <c r="AI564" s="13" t="s">
        <v>3674</v>
      </c>
      <c r="AJ564" s="8"/>
      <c r="AK564" s="8"/>
      <c r="AL564" s="8">
        <v>73000</v>
      </c>
      <c r="AM564" s="8">
        <v>1</v>
      </c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Q564" s="13" t="s">
        <v>3674</v>
      </c>
      <c r="BR564" s="8"/>
      <c r="BS564" s="8">
        <v>73000</v>
      </c>
      <c r="BT564" s="8"/>
      <c r="BU564" s="8"/>
      <c r="BV564" s="8"/>
    </row>
    <row r="565" spans="2:74">
      <c r="B565" t="e">
        <f>IF(Dashboard!$P$4="All",Data!G1116,IF(Data!K1116=Dashboard!$P$4,Data!G1116,NA()))</f>
        <v>#N/A</v>
      </c>
      <c r="C565" t="str">
        <f t="shared" si="97"/>
        <v/>
      </c>
      <c r="D565" t="str">
        <f t="shared" si="98"/>
        <v/>
      </c>
      <c r="E565" t="str">
        <f t="shared" si="99"/>
        <v/>
      </c>
      <c r="F565" t="str">
        <f>IF(C565&lt;&gt;"",Data!$M1116,"")</f>
        <v/>
      </c>
      <c r="K565" t="e">
        <f>IF(Dashboard!$R$4="All",Data!G1116,IF(Data!K1116=Dashboard!$R$4,Data!G1116,NA()))</f>
        <v>#N/A</v>
      </c>
      <c r="L565" t="str">
        <f t="shared" si="100"/>
        <v/>
      </c>
      <c r="M565" t="str">
        <f t="shared" si="101"/>
        <v/>
      </c>
      <c r="N565" t="str">
        <f t="shared" si="102"/>
        <v/>
      </c>
      <c r="O565" t="str">
        <f>IF(L565&lt;&gt;"",Data!$M1116,"")</f>
        <v/>
      </c>
      <c r="T565">
        <f>IF(OR(Dashboard!$P$4="All",Dashboard!$R$4="All"),NA(),IF(OR(Data!K1116&lt;&gt;Dashboard!$P$4,Data!K1116&lt;&gt;Dashboard!$R$4),Data!G1116,NA()))</f>
        <v>90000</v>
      </c>
      <c r="V565" s="9"/>
      <c r="AI565" s="13" t="s">
        <v>3675</v>
      </c>
      <c r="AJ565" s="8">
        <v>54000</v>
      </c>
      <c r="AK565" s="8">
        <v>1</v>
      </c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Q565" s="13" t="s">
        <v>3675</v>
      </c>
      <c r="BR565" s="8"/>
      <c r="BS565" s="8"/>
      <c r="BT565" s="8"/>
      <c r="BU565" s="8">
        <v>54000</v>
      </c>
      <c r="BV565" s="8"/>
    </row>
    <row r="566" spans="2:74">
      <c r="B566" t="e">
        <f>IF(Dashboard!$P$4="All",Data!G1117,IF(Data!K1117=Dashboard!$P$4,Data!G1117,NA()))</f>
        <v>#N/A</v>
      </c>
      <c r="C566" t="str">
        <f t="shared" si="97"/>
        <v/>
      </c>
      <c r="D566" t="str">
        <f t="shared" si="98"/>
        <v/>
      </c>
      <c r="E566" t="str">
        <f t="shared" si="99"/>
        <v/>
      </c>
      <c r="F566" t="str">
        <f>IF(C566&lt;&gt;"",Data!$M1117,"")</f>
        <v/>
      </c>
      <c r="K566" t="e">
        <f>IF(Dashboard!$R$4="All",Data!G1117,IF(Data!K1117=Dashboard!$R$4,Data!G1117,NA()))</f>
        <v>#N/A</v>
      </c>
      <c r="L566" t="str">
        <f t="shared" si="100"/>
        <v/>
      </c>
      <c r="M566" t="str">
        <f t="shared" si="101"/>
        <v/>
      </c>
      <c r="N566" t="str">
        <f t="shared" si="102"/>
        <v/>
      </c>
      <c r="O566" t="str">
        <f>IF(L566&lt;&gt;"",Data!$M1117,"")</f>
        <v/>
      </c>
      <c r="T566">
        <f>IF(OR(Dashboard!$P$4="All",Dashboard!$R$4="All"),NA(),IF(OR(Data!K1117&lt;&gt;Dashboard!$P$4,Data!K1117&lt;&gt;Dashboard!$R$4),Data!G1117,NA()))</f>
        <v>7123.1666749770275</v>
      </c>
      <c r="V566" s="9"/>
      <c r="AI566" s="13" t="s">
        <v>3676</v>
      </c>
      <c r="AJ566" s="8">
        <v>81000</v>
      </c>
      <c r="AK566" s="8">
        <v>1</v>
      </c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Q566" s="13" t="s">
        <v>3676</v>
      </c>
      <c r="BR566" s="8"/>
      <c r="BS566" s="8"/>
      <c r="BT566" s="8">
        <v>81000</v>
      </c>
      <c r="BU566" s="8"/>
      <c r="BV566" s="8"/>
    </row>
    <row r="567" spans="2:74">
      <c r="B567" t="e">
        <f>IF(Dashboard!$P$4="All",Data!G1118,IF(Data!K1118=Dashboard!$P$4,Data!G1118,NA()))</f>
        <v>#N/A</v>
      </c>
      <c r="C567" t="str">
        <f t="shared" si="97"/>
        <v/>
      </c>
      <c r="D567" t="str">
        <f t="shared" si="98"/>
        <v/>
      </c>
      <c r="E567" t="str">
        <f t="shared" si="99"/>
        <v/>
      </c>
      <c r="F567" t="str">
        <f>IF(C567&lt;&gt;"",Data!$M1118,"")</f>
        <v/>
      </c>
      <c r="K567" t="e">
        <f>IF(Dashboard!$R$4="All",Data!G1118,IF(Data!K1118=Dashboard!$R$4,Data!G1118,NA()))</f>
        <v>#N/A</v>
      </c>
      <c r="L567" t="str">
        <f t="shared" si="100"/>
        <v/>
      </c>
      <c r="M567" t="str">
        <f t="shared" si="101"/>
        <v/>
      </c>
      <c r="N567" t="str">
        <f t="shared" si="102"/>
        <v/>
      </c>
      <c r="O567" t="str">
        <f>IF(L567&lt;&gt;"",Data!$M1118,"")</f>
        <v/>
      </c>
      <c r="T567">
        <f>IF(OR(Dashboard!$P$4="All",Dashboard!$R$4="All"),NA(),IF(OR(Data!K1118&lt;&gt;Dashboard!$P$4,Data!K1118&lt;&gt;Dashboard!$R$4),Data!G1118,NA()))</f>
        <v>10000</v>
      </c>
      <c r="V567" s="9"/>
      <c r="AI567" s="13" t="s">
        <v>3677</v>
      </c>
      <c r="AJ567" s="8">
        <v>10000</v>
      </c>
      <c r="AK567" s="8">
        <v>1</v>
      </c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Q567" s="13" t="s">
        <v>3677</v>
      </c>
      <c r="BR567" s="8"/>
      <c r="BS567" s="8"/>
      <c r="BT567" s="8">
        <v>10000</v>
      </c>
      <c r="BU567" s="8"/>
      <c r="BV567" s="8"/>
    </row>
    <row r="568" spans="2:74">
      <c r="B568" t="e">
        <f>IF(Dashboard!$P$4="All",Data!G1119,IF(Data!K1119=Dashboard!$P$4,Data!G1119,NA()))</f>
        <v>#N/A</v>
      </c>
      <c r="C568" t="str">
        <f t="shared" si="97"/>
        <v/>
      </c>
      <c r="D568" t="str">
        <f t="shared" si="98"/>
        <v/>
      </c>
      <c r="E568" t="str">
        <f t="shared" si="99"/>
        <v/>
      </c>
      <c r="F568" t="str">
        <f>IF(C568&lt;&gt;"",Data!$M1119,"")</f>
        <v/>
      </c>
      <c r="K568">
        <f>IF(Dashboard!$R$4="All",Data!G1119,IF(Data!K1119=Dashboard!$R$4,Data!G1119,NA()))</f>
        <v>45709.169889951241</v>
      </c>
      <c r="L568">
        <f t="shared" si="100"/>
        <v>45709.169889951241</v>
      </c>
      <c r="M568" t="str">
        <f t="shared" si="101"/>
        <v/>
      </c>
      <c r="N568" t="str">
        <f t="shared" si="102"/>
        <v/>
      </c>
      <c r="O568">
        <f>IF(L568&lt;&gt;"",Data!$M1119,"")</f>
        <v>14</v>
      </c>
      <c r="T568">
        <f>IF(OR(Dashboard!$P$4="All",Dashboard!$R$4="All"),NA(),IF(OR(Data!K1119&lt;&gt;Dashboard!$P$4,Data!K1119&lt;&gt;Dashboard!$R$4),Data!G1119,NA()))</f>
        <v>45709.169889951241</v>
      </c>
      <c r="V568" s="9"/>
      <c r="AI568" s="13" t="s">
        <v>3678</v>
      </c>
      <c r="AJ568" s="8"/>
      <c r="AK568" s="8"/>
      <c r="AL568" s="8"/>
      <c r="AM568" s="8"/>
      <c r="AN568" s="8">
        <v>42000</v>
      </c>
      <c r="AO568" s="8">
        <v>1</v>
      </c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Q568" s="13" t="s">
        <v>3678</v>
      </c>
      <c r="BR568" s="8"/>
      <c r="BS568" s="8"/>
      <c r="BT568" s="8">
        <v>42000</v>
      </c>
      <c r="BU568" s="8"/>
      <c r="BV568" s="8"/>
    </row>
    <row r="569" spans="2:74">
      <c r="B569" t="e">
        <f>IF(Dashboard!$P$4="All",Data!G1120,IF(Data!K1120=Dashboard!$P$4,Data!G1120,NA()))</f>
        <v>#N/A</v>
      </c>
      <c r="C569" t="str">
        <f t="shared" si="97"/>
        <v/>
      </c>
      <c r="D569" t="str">
        <f t="shared" si="98"/>
        <v/>
      </c>
      <c r="E569" t="str">
        <f t="shared" si="99"/>
        <v/>
      </c>
      <c r="F569" t="str">
        <f>IF(C569&lt;&gt;"",Data!$M1120,"")</f>
        <v/>
      </c>
      <c r="K569" t="e">
        <f>IF(Dashboard!$R$4="All",Data!G1120,IF(Data!K1120=Dashboard!$R$4,Data!G1120,NA()))</f>
        <v>#N/A</v>
      </c>
      <c r="L569" t="str">
        <f t="shared" si="100"/>
        <v/>
      </c>
      <c r="M569" t="str">
        <f t="shared" si="101"/>
        <v/>
      </c>
      <c r="N569" t="str">
        <f t="shared" si="102"/>
        <v/>
      </c>
      <c r="O569" t="str">
        <f>IF(L569&lt;&gt;"",Data!$M1120,"")</f>
        <v/>
      </c>
      <c r="T569">
        <f>IF(OR(Dashboard!$P$4="All",Dashboard!$R$4="All"),NA(),IF(OR(Data!K1120&lt;&gt;Dashboard!$P$4,Data!K1120&lt;&gt;Dashboard!$R$4),Data!G1120,NA()))</f>
        <v>3561.5833374885137</v>
      </c>
      <c r="V569" s="9"/>
      <c r="AI569" s="13" t="s">
        <v>3704</v>
      </c>
      <c r="AJ569" s="8">
        <v>45000</v>
      </c>
      <c r="AK569" s="8">
        <v>1</v>
      </c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Q569" s="13" t="s">
        <v>3704</v>
      </c>
      <c r="BR569" s="8"/>
      <c r="BS569" s="8"/>
      <c r="BT569" s="8"/>
      <c r="BU569" s="8">
        <v>45000</v>
      </c>
      <c r="BV569" s="8"/>
    </row>
    <row r="570" spans="2:74">
      <c r="B570" t="e">
        <f>IF(Dashboard!$P$4="All",Data!G1121,IF(Data!K1121=Dashboard!$P$4,Data!G1121,NA()))</f>
        <v>#N/A</v>
      </c>
      <c r="C570" t="str">
        <f t="shared" si="97"/>
        <v/>
      </c>
      <c r="D570" t="str">
        <f t="shared" si="98"/>
        <v/>
      </c>
      <c r="E570" t="str">
        <f t="shared" si="99"/>
        <v/>
      </c>
      <c r="F570" t="str">
        <f>IF(C570&lt;&gt;"",Data!$M1121,"")</f>
        <v/>
      </c>
      <c r="K570" t="e">
        <f>IF(Dashboard!$R$4="All",Data!G1121,IF(Data!K1121=Dashboard!$R$4,Data!G1121,NA()))</f>
        <v>#N/A</v>
      </c>
      <c r="L570" t="str">
        <f t="shared" si="100"/>
        <v/>
      </c>
      <c r="M570" t="str">
        <f t="shared" si="101"/>
        <v/>
      </c>
      <c r="N570" t="str">
        <f t="shared" si="102"/>
        <v/>
      </c>
      <c r="O570" t="str">
        <f>IF(L570&lt;&gt;"",Data!$M1121,"")</f>
        <v/>
      </c>
      <c r="T570">
        <f>IF(OR(Dashboard!$P$4="All",Dashboard!$R$4="All"),NA(),IF(OR(Data!K1121&lt;&gt;Dashboard!$P$4,Data!K1121&lt;&gt;Dashboard!$R$4),Data!G1121,NA()))</f>
        <v>38111.983169748237</v>
      </c>
      <c r="V570" s="9"/>
      <c r="AI570" s="13" t="s">
        <v>3705</v>
      </c>
      <c r="AJ570" s="8">
        <v>36000</v>
      </c>
      <c r="AK570" s="8">
        <v>1</v>
      </c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Q570" s="13" t="s">
        <v>3705</v>
      </c>
      <c r="BR570" s="8"/>
      <c r="BS570" s="8"/>
      <c r="BT570" s="8">
        <v>36000</v>
      </c>
      <c r="BU570" s="8"/>
      <c r="BV570" s="8"/>
    </row>
    <row r="571" spans="2:74">
      <c r="B571" t="e">
        <f>IF(Dashboard!$P$4="All",Data!G1122,IF(Data!K1122=Dashboard!$P$4,Data!G1122,NA()))</f>
        <v>#N/A</v>
      </c>
      <c r="C571" t="str">
        <f t="shared" si="97"/>
        <v/>
      </c>
      <c r="D571" t="str">
        <f t="shared" si="98"/>
        <v/>
      </c>
      <c r="E571" t="str">
        <f t="shared" si="99"/>
        <v/>
      </c>
      <c r="F571" t="str">
        <f>IF(C571&lt;&gt;"",Data!$M1122,"")</f>
        <v/>
      </c>
      <c r="K571" t="e">
        <f>IF(Dashboard!$R$4="All",Data!G1122,IF(Data!K1122=Dashboard!$R$4,Data!G1122,NA()))</f>
        <v>#N/A</v>
      </c>
      <c r="L571" t="str">
        <f t="shared" si="100"/>
        <v/>
      </c>
      <c r="M571" t="str">
        <f t="shared" si="101"/>
        <v/>
      </c>
      <c r="N571" t="str">
        <f t="shared" si="102"/>
        <v/>
      </c>
      <c r="O571" t="str">
        <f>IF(L571&lt;&gt;"",Data!$M1122,"")</f>
        <v/>
      </c>
      <c r="T571">
        <f>IF(OR(Dashboard!$P$4="All",Dashboard!$R$4="All"),NA(),IF(OR(Data!K1122&lt;&gt;Dashboard!$P$4,Data!K1122&lt;&gt;Dashboard!$R$4),Data!G1122,NA()))</f>
        <v>60000</v>
      </c>
      <c r="V571" s="9"/>
      <c r="AI571" s="13" t="s">
        <v>3706</v>
      </c>
      <c r="AJ571" s="8">
        <v>68000</v>
      </c>
      <c r="AK571" s="8">
        <v>1</v>
      </c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Q571" s="13" t="s">
        <v>3706</v>
      </c>
      <c r="BR571" s="8"/>
      <c r="BS571" s="8"/>
      <c r="BT571" s="8">
        <v>68000</v>
      </c>
      <c r="BU571" s="8"/>
      <c r="BV571" s="8"/>
    </row>
    <row r="572" spans="2:74">
      <c r="B572" t="e">
        <f>IF(Dashboard!$P$4="All",Data!G1123,IF(Data!K1123=Dashboard!$P$4,Data!G1123,NA()))</f>
        <v>#N/A</v>
      </c>
      <c r="C572" t="str">
        <f t="shared" si="97"/>
        <v/>
      </c>
      <c r="D572" t="str">
        <f t="shared" si="98"/>
        <v/>
      </c>
      <c r="E572" t="str">
        <f t="shared" si="99"/>
        <v/>
      </c>
      <c r="F572" t="str">
        <f>IF(C572&lt;&gt;"",Data!$M1123,"")</f>
        <v/>
      </c>
      <c r="K572" t="e">
        <f>IF(Dashboard!$R$4="All",Data!G1123,IF(Data!K1123=Dashboard!$R$4,Data!G1123,NA()))</f>
        <v>#N/A</v>
      </c>
      <c r="L572" t="str">
        <f t="shared" si="100"/>
        <v/>
      </c>
      <c r="M572" t="str">
        <f t="shared" si="101"/>
        <v/>
      </c>
      <c r="N572" t="str">
        <f t="shared" si="102"/>
        <v/>
      </c>
      <c r="O572" t="str">
        <f>IF(L572&lt;&gt;"",Data!$M1123,"")</f>
        <v/>
      </c>
      <c r="T572">
        <f>IF(OR(Dashboard!$P$4="All",Dashboard!$R$4="All"),NA(),IF(OR(Data!K1123&lt;&gt;Dashboard!$P$4,Data!K1123&lt;&gt;Dashboard!$R$4),Data!G1123,NA()))</f>
        <v>40000</v>
      </c>
      <c r="V572" s="9"/>
      <c r="AI572" s="13" t="s">
        <v>3707</v>
      </c>
      <c r="AJ572" s="8">
        <v>75000</v>
      </c>
      <c r="AK572" s="8">
        <v>1</v>
      </c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Q572" s="13" t="s">
        <v>3707</v>
      </c>
      <c r="BR572" s="8"/>
      <c r="BS572" s="8"/>
      <c r="BT572" s="8"/>
      <c r="BU572" s="8">
        <v>75000</v>
      </c>
      <c r="BV572" s="8"/>
    </row>
    <row r="573" spans="2:74">
      <c r="B573" t="e">
        <f>IF(Dashboard!$P$4="All",Data!G1124,IF(Data!K1124=Dashboard!$P$4,Data!G1124,NA()))</f>
        <v>#N/A</v>
      </c>
      <c r="C573" t="str">
        <f t="shared" si="97"/>
        <v/>
      </c>
      <c r="D573" t="str">
        <f t="shared" si="98"/>
        <v/>
      </c>
      <c r="E573" t="str">
        <f t="shared" si="99"/>
        <v/>
      </c>
      <c r="F573" t="str">
        <f>IF(C573&lt;&gt;"",Data!$M1124,"")</f>
        <v/>
      </c>
      <c r="K573" t="e">
        <f>IF(Dashboard!$R$4="All",Data!G1124,IF(Data!K1124=Dashboard!$R$4,Data!G1124,NA()))</f>
        <v>#N/A</v>
      </c>
      <c r="L573" t="str">
        <f t="shared" si="100"/>
        <v/>
      </c>
      <c r="M573" t="str">
        <f t="shared" si="101"/>
        <v/>
      </c>
      <c r="N573" t="str">
        <f t="shared" si="102"/>
        <v/>
      </c>
      <c r="O573" t="str">
        <f>IF(L573&lt;&gt;"",Data!$M1124,"")</f>
        <v/>
      </c>
      <c r="T573">
        <f>IF(OR(Dashboard!$P$4="All",Dashboard!$R$4="All"),NA(),IF(OR(Data!K1124&lt;&gt;Dashboard!$P$4,Data!K1124&lt;&gt;Dashboard!$R$4),Data!G1124,NA()))</f>
        <v>15190.15293438851</v>
      </c>
      <c r="V573" s="9"/>
      <c r="AI573" s="13" t="s">
        <v>3708</v>
      </c>
      <c r="AJ573" s="8">
        <v>88000</v>
      </c>
      <c r="AK573" s="8">
        <v>1</v>
      </c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Q573" s="13" t="s">
        <v>3708</v>
      </c>
      <c r="BR573" s="8"/>
      <c r="BS573" s="8"/>
      <c r="BT573" s="8"/>
      <c r="BU573" s="8">
        <v>88000</v>
      </c>
      <c r="BV573" s="8"/>
    </row>
    <row r="574" spans="2:74">
      <c r="B574" t="e">
        <f>IF(Dashboard!$P$4="All",Data!G1125,IF(Data!K1125=Dashboard!$P$4,Data!G1125,NA()))</f>
        <v>#N/A</v>
      </c>
      <c r="C574" t="str">
        <f t="shared" si="97"/>
        <v/>
      </c>
      <c r="D574" t="str">
        <f t="shared" si="98"/>
        <v/>
      </c>
      <c r="E574" t="str">
        <f t="shared" si="99"/>
        <v/>
      </c>
      <c r="F574" t="str">
        <f>IF(C574&lt;&gt;"",Data!$M1125,"")</f>
        <v/>
      </c>
      <c r="K574" t="e">
        <f>IF(Dashboard!$R$4="All",Data!G1125,IF(Data!K1125=Dashboard!$R$4,Data!G1125,NA()))</f>
        <v>#N/A</v>
      </c>
      <c r="L574" t="str">
        <f t="shared" si="100"/>
        <v/>
      </c>
      <c r="M574" t="str">
        <f t="shared" si="101"/>
        <v/>
      </c>
      <c r="N574" t="str">
        <f t="shared" si="102"/>
        <v/>
      </c>
      <c r="O574" t="str">
        <f>IF(L574&lt;&gt;"",Data!$M1125,"")</f>
        <v/>
      </c>
      <c r="T574">
        <f>IF(OR(Dashboard!$P$4="All",Dashboard!$R$4="All"),NA(),IF(OR(Data!K1125&lt;&gt;Dashboard!$P$4,Data!K1125&lt;&gt;Dashboard!$R$4),Data!G1125,NA()))</f>
        <v>114335.9495092447</v>
      </c>
      <c r="V574" s="9"/>
      <c r="AI574" s="13" t="s">
        <v>3710</v>
      </c>
      <c r="AJ574" s="8">
        <v>69000</v>
      </c>
      <c r="AK574" s="8">
        <v>1</v>
      </c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Q574" s="13" t="s">
        <v>3710</v>
      </c>
      <c r="BR574" s="8"/>
      <c r="BS574" s="8"/>
      <c r="BT574" s="8"/>
      <c r="BU574" s="8">
        <v>69000</v>
      </c>
      <c r="BV574" s="8"/>
    </row>
    <row r="575" spans="2:74">
      <c r="B575" t="e">
        <f>IF(Dashboard!$P$4="All",Data!G1126,IF(Data!K1126=Dashboard!$P$4,Data!G1126,NA()))</f>
        <v>#N/A</v>
      </c>
      <c r="C575" t="str">
        <f t="shared" si="97"/>
        <v/>
      </c>
      <c r="D575" t="str">
        <f t="shared" si="98"/>
        <v/>
      </c>
      <c r="E575" t="str">
        <f t="shared" si="99"/>
        <v/>
      </c>
      <c r="F575" t="str">
        <f>IF(C575&lt;&gt;"",Data!$M1126,"")</f>
        <v/>
      </c>
      <c r="K575">
        <f>IF(Dashboard!$R$4="All",Data!G1126,IF(Data!K1126=Dashboard!$R$4,Data!G1126,NA()))</f>
        <v>36252.100257547536</v>
      </c>
      <c r="L575">
        <f t="shared" si="100"/>
        <v>36252.100257547536</v>
      </c>
      <c r="M575" t="str">
        <f t="shared" si="101"/>
        <v/>
      </c>
      <c r="N575" t="str">
        <f t="shared" si="102"/>
        <v/>
      </c>
      <c r="O575">
        <f>IF(L575&lt;&gt;"",Data!$M1126,"")</f>
        <v>10</v>
      </c>
      <c r="T575">
        <f>IF(OR(Dashboard!$P$4="All",Dashboard!$R$4="All"),NA(),IF(OR(Data!K1126&lt;&gt;Dashboard!$P$4,Data!K1126&lt;&gt;Dashboard!$R$4),Data!G1126,NA()))</f>
        <v>36252.100257547536</v>
      </c>
      <c r="V575" s="9"/>
      <c r="AI575" s="13" t="s">
        <v>3711</v>
      </c>
      <c r="AJ575" s="8"/>
      <c r="AK575" s="8"/>
      <c r="AL575" s="8">
        <v>30000</v>
      </c>
      <c r="AM575" s="8">
        <v>1</v>
      </c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Q575" s="13" t="s">
        <v>3711</v>
      </c>
      <c r="BR575" s="8"/>
      <c r="BS575" s="8"/>
      <c r="BT575" s="8">
        <v>30000</v>
      </c>
      <c r="BU575" s="8"/>
      <c r="BV575" s="8"/>
    </row>
    <row r="576" spans="2:74">
      <c r="B576" t="e">
        <f>IF(Dashboard!$P$4="All",Data!G1127,IF(Data!K1127=Dashboard!$P$4,Data!G1127,NA()))</f>
        <v>#N/A</v>
      </c>
      <c r="C576" t="str">
        <f t="shared" si="97"/>
        <v/>
      </c>
      <c r="D576" t="str">
        <f t="shared" si="98"/>
        <v/>
      </c>
      <c r="E576" t="str">
        <f t="shared" si="99"/>
        <v/>
      </c>
      <c r="F576" t="str">
        <f>IF(C576&lt;&gt;"",Data!$M1127,"")</f>
        <v/>
      </c>
      <c r="K576">
        <f>IF(Dashboard!$R$4="All",Data!G1127,IF(Data!K1127=Dashboard!$R$4,Data!G1127,NA()))</f>
        <v>47285.348162018527</v>
      </c>
      <c r="L576">
        <f t="shared" si="100"/>
        <v>47285.348162018527</v>
      </c>
      <c r="M576" t="str">
        <f t="shared" si="101"/>
        <v/>
      </c>
      <c r="N576" t="str">
        <f t="shared" si="102"/>
        <v/>
      </c>
      <c r="O576">
        <f>IF(L576&lt;&gt;"",Data!$M1127,"")</f>
        <v>5</v>
      </c>
      <c r="T576">
        <f>IF(OR(Dashboard!$P$4="All",Dashboard!$R$4="All"),NA(),IF(OR(Data!K1127&lt;&gt;Dashboard!$P$4,Data!K1127&lt;&gt;Dashboard!$R$4),Data!G1127,NA()))</f>
        <v>47285.348162018527</v>
      </c>
      <c r="V576" s="9"/>
      <c r="AI576" s="13" t="s">
        <v>3712</v>
      </c>
      <c r="AJ576" s="8"/>
      <c r="AK576" s="8"/>
      <c r="AL576" s="8">
        <v>80000</v>
      </c>
      <c r="AM576" s="8">
        <v>1</v>
      </c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Q576" s="13" t="s">
        <v>3712</v>
      </c>
      <c r="BR576" s="8"/>
      <c r="BS576" s="8"/>
      <c r="BT576" s="8">
        <v>80000</v>
      </c>
      <c r="BU576" s="8"/>
      <c r="BV576" s="8"/>
    </row>
    <row r="577" spans="2:74">
      <c r="B577" t="e">
        <f>IF(Dashboard!$P$4="All",Data!G1128,IF(Data!K1128=Dashboard!$P$4,Data!G1128,NA()))</f>
        <v>#N/A</v>
      </c>
      <c r="C577" t="str">
        <f t="shared" si="97"/>
        <v/>
      </c>
      <c r="D577" t="str">
        <f t="shared" si="98"/>
        <v/>
      </c>
      <c r="E577" t="str">
        <f t="shared" si="99"/>
        <v/>
      </c>
      <c r="F577" t="str">
        <f>IF(C577&lt;&gt;"",Data!$M1128,"")</f>
        <v/>
      </c>
      <c r="K577" t="e">
        <f>IF(Dashboard!$R$4="All",Data!G1128,IF(Data!K1128=Dashboard!$R$4,Data!G1128,NA()))</f>
        <v>#N/A</v>
      </c>
      <c r="L577" t="str">
        <f t="shared" si="100"/>
        <v/>
      </c>
      <c r="M577" t="str">
        <f t="shared" si="101"/>
        <v/>
      </c>
      <c r="N577" t="str">
        <f t="shared" si="102"/>
        <v/>
      </c>
      <c r="O577" t="str">
        <f>IF(L577&lt;&gt;"",Data!$M1128,"")</f>
        <v/>
      </c>
      <c r="T577">
        <f>IF(OR(Dashboard!$P$4="All",Dashboard!$R$4="All"),NA(),IF(OR(Data!K1128&lt;&gt;Dashboard!$P$4,Data!K1128&lt;&gt;Dashboard!$R$4),Data!G1128,NA()))</f>
        <v>88927.960729412545</v>
      </c>
      <c r="V577" s="9"/>
      <c r="AI577" s="13" t="s">
        <v>3713</v>
      </c>
      <c r="AJ577" s="8"/>
      <c r="AK577" s="8"/>
      <c r="AL577" s="8"/>
      <c r="AM577" s="8"/>
      <c r="AN577" s="8">
        <v>75000</v>
      </c>
      <c r="AO577" s="8">
        <v>1</v>
      </c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Q577" s="13" t="s">
        <v>3713</v>
      </c>
      <c r="BR577" s="8"/>
      <c r="BS577" s="8"/>
      <c r="BT577" s="8"/>
      <c r="BU577" s="8">
        <v>75000</v>
      </c>
      <c r="BV577" s="8"/>
    </row>
    <row r="578" spans="2:74">
      <c r="B578" t="e">
        <f>IF(Dashboard!$P$4="All",Data!G1129,IF(Data!K1129=Dashboard!$P$4,Data!G1129,NA()))</f>
        <v>#N/A</v>
      </c>
      <c r="C578" t="str">
        <f t="shared" si="97"/>
        <v/>
      </c>
      <c r="D578" t="str">
        <f t="shared" si="98"/>
        <v/>
      </c>
      <c r="E578" t="str">
        <f t="shared" si="99"/>
        <v/>
      </c>
      <c r="F578" t="str">
        <f>IF(C578&lt;&gt;"",Data!$M1129,"")</f>
        <v/>
      </c>
      <c r="K578" t="e">
        <f>IF(Dashboard!$R$4="All",Data!G1129,IF(Data!K1129=Dashboard!$R$4,Data!G1129,NA()))</f>
        <v>#N/A</v>
      </c>
      <c r="L578" t="str">
        <f t="shared" si="100"/>
        <v/>
      </c>
      <c r="M578" t="str">
        <f t="shared" si="101"/>
        <v/>
      </c>
      <c r="N578" t="str">
        <f t="shared" si="102"/>
        <v/>
      </c>
      <c r="O578" t="str">
        <f>IF(L578&lt;&gt;"",Data!$M1129,"")</f>
        <v/>
      </c>
      <c r="T578">
        <f>IF(OR(Dashboard!$P$4="All",Dashboard!$R$4="All"),NA(),IF(OR(Data!K1129&lt;&gt;Dashboard!$P$4,Data!K1129&lt;&gt;Dashboard!$R$4),Data!G1129,NA()))</f>
        <v>6000</v>
      </c>
      <c r="V578" s="9"/>
      <c r="AI578" s="13" t="s">
        <v>3715</v>
      </c>
      <c r="AJ578" s="8"/>
      <c r="AK578" s="8"/>
      <c r="AL578" s="8"/>
      <c r="AM578" s="8"/>
      <c r="AN578" s="8">
        <v>85000</v>
      </c>
      <c r="AO578" s="8">
        <v>1</v>
      </c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Q578" s="13" t="s">
        <v>3715</v>
      </c>
      <c r="BR578" s="8"/>
      <c r="BS578" s="8"/>
      <c r="BT578" s="8">
        <v>85000</v>
      </c>
      <c r="BU578" s="8"/>
      <c r="BV578" s="8"/>
    </row>
    <row r="579" spans="2:74">
      <c r="B579" t="e">
        <f>IF(Dashboard!$P$4="All",Data!G1130,IF(Data!K1130=Dashboard!$P$4,Data!G1130,NA()))</f>
        <v>#N/A</v>
      </c>
      <c r="C579" t="str">
        <f t="shared" si="97"/>
        <v/>
      </c>
      <c r="D579" t="str">
        <f t="shared" si="98"/>
        <v/>
      </c>
      <c r="E579" t="str">
        <f t="shared" si="99"/>
        <v/>
      </c>
      <c r="F579" t="str">
        <f>IF(C579&lt;&gt;"",Data!$M1130,"")</f>
        <v/>
      </c>
      <c r="K579" t="e">
        <f>IF(Dashboard!$R$4="All",Data!G1130,IF(Data!K1130=Dashboard!$R$4,Data!G1130,NA()))</f>
        <v>#N/A</v>
      </c>
      <c r="L579" t="str">
        <f t="shared" si="100"/>
        <v/>
      </c>
      <c r="M579" t="str">
        <f t="shared" si="101"/>
        <v/>
      </c>
      <c r="N579" t="str">
        <f t="shared" si="102"/>
        <v/>
      </c>
      <c r="O579" t="str">
        <f>IF(L579&lt;&gt;"",Data!$M1130,"")</f>
        <v/>
      </c>
      <c r="T579">
        <f>IF(OR(Dashboard!$P$4="All",Dashboard!$R$4="All"),NA(),IF(OR(Data!K1130&lt;&gt;Dashboard!$P$4,Data!K1130&lt;&gt;Dashboard!$R$4),Data!G1130,NA()))</f>
        <v>35000</v>
      </c>
      <c r="V579" s="9"/>
      <c r="AI579" s="13" t="s">
        <v>3718</v>
      </c>
      <c r="AJ579" s="8"/>
      <c r="AK579" s="8"/>
      <c r="AL579" s="8">
        <v>60000</v>
      </c>
      <c r="AM579" s="8">
        <v>1</v>
      </c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Q579" s="13" t="s">
        <v>3718</v>
      </c>
      <c r="BR579" s="8"/>
      <c r="BS579" s="8"/>
      <c r="BT579" s="8"/>
      <c r="BU579" s="8">
        <v>60000</v>
      </c>
      <c r="BV579" s="8"/>
    </row>
    <row r="580" spans="2:74">
      <c r="B580" t="e">
        <f>IF(Dashboard!$P$4="All",Data!G1131,IF(Data!K1131=Dashboard!$P$4,Data!G1131,NA()))</f>
        <v>#N/A</v>
      </c>
      <c r="C580" t="str">
        <f t="shared" ref="C580:C643" si="103">IF(ISNA(B580),"",B580)</f>
        <v/>
      </c>
      <c r="D580" t="str">
        <f t="shared" ref="D580:D643" si="104">IF(C580&gt;=PERCENTILE($C$3:$C$1337,0.9),C580,"")</f>
        <v/>
      </c>
      <c r="E580" t="str">
        <f t="shared" ref="E580:E643" si="105">IF(C580&lt;=PERCENTILE($C$3:$C$1337,0.1),C580,"")</f>
        <v/>
      </c>
      <c r="F580" t="str">
        <f>IF(C580&lt;&gt;"",Data!$M1131,"")</f>
        <v/>
      </c>
      <c r="K580">
        <f>IF(Dashboard!$R$4="All",Data!G1131,IF(Data!K1131=Dashboard!$R$4,Data!G1131,NA()))</f>
        <v>55166.239522354947</v>
      </c>
      <c r="L580">
        <f t="shared" ref="L580:L643" si="106">IF(ISNA(K580),"",K580)</f>
        <v>55166.239522354947</v>
      </c>
      <c r="M580" t="str">
        <f t="shared" ref="M580:M643" si="107">IF(L580&gt;=PERCENTILE($L$3:$L$1337,0.9),L580,"")</f>
        <v/>
      </c>
      <c r="N580" t="str">
        <f t="shared" ref="N580:N643" si="108">IF(L580&lt;=PERCENTILE($L$3:$L$1337,0.1),L580,"")</f>
        <v/>
      </c>
      <c r="O580">
        <f>IF(L580&lt;&gt;"",Data!$M1131,"")</f>
        <v>10</v>
      </c>
      <c r="T580">
        <f>IF(OR(Dashboard!$P$4="All",Dashboard!$R$4="All"),NA(),IF(OR(Data!K1131&lt;&gt;Dashboard!$P$4,Data!K1131&lt;&gt;Dashboard!$R$4),Data!G1131,NA()))</f>
        <v>55166.239522354947</v>
      </c>
      <c r="V580" s="9"/>
      <c r="AI580" s="13" t="s">
        <v>3719</v>
      </c>
      <c r="AJ580" s="8"/>
      <c r="AK580" s="8"/>
      <c r="AL580" s="8">
        <v>60000</v>
      </c>
      <c r="AM580" s="8">
        <v>1</v>
      </c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Q580" s="13" t="s">
        <v>3719</v>
      </c>
      <c r="BR580" s="8"/>
      <c r="BS580" s="8"/>
      <c r="BT580" s="8"/>
      <c r="BU580" s="8">
        <v>60000</v>
      </c>
      <c r="BV580" s="8"/>
    </row>
    <row r="581" spans="2:74">
      <c r="B581" t="e">
        <f>IF(Dashboard!$P$4="All",Data!G1132,IF(Data!K1132=Dashboard!$P$4,Data!G1132,NA()))</f>
        <v>#N/A</v>
      </c>
      <c r="C581" t="str">
        <f t="shared" si="103"/>
        <v/>
      </c>
      <c r="D581" t="str">
        <f t="shared" si="104"/>
        <v/>
      </c>
      <c r="E581" t="str">
        <f t="shared" si="105"/>
        <v/>
      </c>
      <c r="F581" t="str">
        <f>IF(C581&lt;&gt;"",Data!$M1132,"")</f>
        <v/>
      </c>
      <c r="K581" t="e">
        <f>IF(Dashboard!$R$4="All",Data!G1132,IF(Data!K1132=Dashboard!$R$4,Data!G1132,NA()))</f>
        <v>#N/A</v>
      </c>
      <c r="L581" t="str">
        <f t="shared" si="106"/>
        <v/>
      </c>
      <c r="M581" t="str">
        <f t="shared" si="107"/>
        <v/>
      </c>
      <c r="N581" t="str">
        <f t="shared" si="108"/>
        <v/>
      </c>
      <c r="O581" t="str">
        <f>IF(L581&lt;&gt;"",Data!$M1132,"")</f>
        <v/>
      </c>
      <c r="T581">
        <f>IF(OR(Dashboard!$P$4="All",Dashboard!$R$4="All"),NA(),IF(OR(Data!K1132&lt;&gt;Dashboard!$P$4,Data!K1132&lt;&gt;Dashboard!$R$4),Data!G1132,NA()))</f>
        <v>1783.166904422254</v>
      </c>
      <c r="V581" s="9"/>
      <c r="AI581" s="13" t="s">
        <v>3726</v>
      </c>
      <c r="AJ581" s="8"/>
      <c r="AK581" s="8"/>
      <c r="AL581" s="8">
        <v>67000</v>
      </c>
      <c r="AM581" s="8">
        <v>1</v>
      </c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Q581" s="13" t="s">
        <v>3726</v>
      </c>
      <c r="BR581" s="8"/>
      <c r="BS581" s="8"/>
      <c r="BT581" s="8">
        <v>67000</v>
      </c>
      <c r="BU581" s="8"/>
      <c r="BV581" s="8"/>
    </row>
    <row r="582" spans="2:74">
      <c r="B582" t="e">
        <f>IF(Dashboard!$P$4="All",Data!G1133,IF(Data!K1133=Dashboard!$P$4,Data!G1133,NA()))</f>
        <v>#N/A</v>
      </c>
      <c r="C582" t="str">
        <f t="shared" si="103"/>
        <v/>
      </c>
      <c r="D582" t="str">
        <f t="shared" si="104"/>
        <v/>
      </c>
      <c r="E582" t="str">
        <f t="shared" si="105"/>
        <v/>
      </c>
      <c r="F582" t="str">
        <f>IF(C582&lt;&gt;"",Data!$M1133,"")</f>
        <v/>
      </c>
      <c r="K582" t="e">
        <f>IF(Dashboard!$R$4="All",Data!G1133,IF(Data!K1133=Dashboard!$R$4,Data!G1133,NA()))</f>
        <v>#N/A</v>
      </c>
      <c r="L582" t="str">
        <f t="shared" si="106"/>
        <v/>
      </c>
      <c r="M582" t="str">
        <f t="shared" si="107"/>
        <v/>
      </c>
      <c r="N582" t="str">
        <f t="shared" si="108"/>
        <v/>
      </c>
      <c r="O582" t="str">
        <f>IF(L582&lt;&gt;"",Data!$M1133,"")</f>
        <v/>
      </c>
      <c r="T582">
        <f>IF(OR(Dashboard!$P$4="All",Dashboard!$R$4="All"),NA(),IF(OR(Data!K1133&lt;&gt;Dashboard!$P$4,Data!K1133&lt;&gt;Dashboard!$R$4),Data!G1133,NA()))</f>
        <v>13500</v>
      </c>
      <c r="V582" s="9"/>
      <c r="AI582" s="13" t="s">
        <v>3727</v>
      </c>
      <c r="AJ582" s="8">
        <v>30000</v>
      </c>
      <c r="AK582" s="8">
        <v>1</v>
      </c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Q582" s="13" t="s">
        <v>3727</v>
      </c>
      <c r="BR582" s="8"/>
      <c r="BS582" s="8">
        <v>30000</v>
      </c>
      <c r="BT582" s="8"/>
      <c r="BU582" s="8"/>
      <c r="BV582" s="8"/>
    </row>
    <row r="583" spans="2:74">
      <c r="B583" t="e">
        <f>IF(Dashboard!$P$4="All",Data!G1134,IF(Data!K1134=Dashboard!$P$4,Data!G1134,NA()))</f>
        <v>#N/A</v>
      </c>
      <c r="C583" t="str">
        <f t="shared" si="103"/>
        <v/>
      </c>
      <c r="D583" t="str">
        <f t="shared" si="104"/>
        <v/>
      </c>
      <c r="E583" t="str">
        <f t="shared" si="105"/>
        <v/>
      </c>
      <c r="F583" t="str">
        <f>IF(C583&lt;&gt;"",Data!$M1134,"")</f>
        <v/>
      </c>
      <c r="K583">
        <f>IF(Dashboard!$R$4="All",Data!G1134,IF(Data!K1134=Dashboard!$R$4,Data!G1134,NA()))</f>
        <v>59106.685202523156</v>
      </c>
      <c r="L583">
        <f t="shared" si="106"/>
        <v>59106.685202523156</v>
      </c>
      <c r="M583" t="str">
        <f t="shared" si="107"/>
        <v/>
      </c>
      <c r="N583" t="str">
        <f t="shared" si="108"/>
        <v/>
      </c>
      <c r="O583">
        <f>IF(L583&lt;&gt;"",Data!$M1134,"")</f>
        <v>5</v>
      </c>
      <c r="T583">
        <f>IF(OR(Dashboard!$P$4="All",Dashboard!$R$4="All"),NA(),IF(OR(Data!K1134&lt;&gt;Dashboard!$P$4,Data!K1134&lt;&gt;Dashboard!$R$4),Data!G1134,NA()))</f>
        <v>59106.685202523156</v>
      </c>
      <c r="V583" s="9"/>
      <c r="AI583" s="13" t="s">
        <v>3729</v>
      </c>
      <c r="AJ583" s="8"/>
      <c r="AK583" s="8"/>
      <c r="AL583" s="8">
        <v>71500</v>
      </c>
      <c r="AM583" s="8">
        <v>1</v>
      </c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Q583" s="13" t="s">
        <v>3729</v>
      </c>
      <c r="BR583" s="8"/>
      <c r="BS583" s="8"/>
      <c r="BT583" s="8"/>
      <c r="BU583" s="8">
        <v>71500</v>
      </c>
      <c r="BV583" s="8"/>
    </row>
    <row r="584" spans="2:74">
      <c r="B584" t="e">
        <f>IF(Dashboard!$P$4="All",Data!G1135,IF(Data!K1135=Dashboard!$P$4,Data!G1135,NA()))</f>
        <v>#N/A</v>
      </c>
      <c r="C584" t="str">
        <f t="shared" si="103"/>
        <v/>
      </c>
      <c r="D584" t="str">
        <f t="shared" si="104"/>
        <v/>
      </c>
      <c r="E584" t="str">
        <f t="shared" si="105"/>
        <v/>
      </c>
      <c r="F584" t="str">
        <f>IF(C584&lt;&gt;"",Data!$M1135,"")</f>
        <v/>
      </c>
      <c r="K584" t="e">
        <f>IF(Dashboard!$R$4="All",Data!G1135,IF(Data!K1135=Dashboard!$R$4,Data!G1135,NA()))</f>
        <v>#N/A</v>
      </c>
      <c r="L584" t="str">
        <f t="shared" si="106"/>
        <v/>
      </c>
      <c r="M584" t="str">
        <f t="shared" si="107"/>
        <v/>
      </c>
      <c r="N584" t="str">
        <f t="shared" si="108"/>
        <v/>
      </c>
      <c r="O584" t="str">
        <f>IF(L584&lt;&gt;"",Data!$M1135,"")</f>
        <v/>
      </c>
      <c r="T584">
        <f>IF(OR(Dashboard!$P$4="All",Dashboard!$R$4="All"),NA(),IF(OR(Data!K1135&lt;&gt;Dashboard!$P$4,Data!K1135&lt;&gt;Dashboard!$R$4),Data!G1135,NA()))</f>
        <v>12608.005014709339</v>
      </c>
      <c r="V584" s="9"/>
      <c r="AI584" s="13" t="s">
        <v>3730</v>
      </c>
      <c r="AJ584" s="8"/>
      <c r="AK584" s="8"/>
      <c r="AL584" s="8">
        <v>67000</v>
      </c>
      <c r="AM584" s="8">
        <v>1</v>
      </c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Q584" s="13" t="s">
        <v>3730</v>
      </c>
      <c r="BR584" s="8"/>
      <c r="BS584" s="8"/>
      <c r="BT584" s="8"/>
      <c r="BU584" s="8"/>
      <c r="BV584" s="8">
        <v>67000</v>
      </c>
    </row>
    <row r="585" spans="2:74">
      <c r="B585" t="e">
        <f>IF(Dashboard!$P$4="All",Data!G1136,IF(Data!K1136=Dashboard!$P$4,Data!G1136,NA()))</f>
        <v>#N/A</v>
      </c>
      <c r="C585" t="str">
        <f t="shared" si="103"/>
        <v/>
      </c>
      <c r="D585" t="str">
        <f t="shared" si="104"/>
        <v/>
      </c>
      <c r="E585" t="str">
        <f t="shared" si="105"/>
        <v/>
      </c>
      <c r="F585" t="str">
        <f>IF(C585&lt;&gt;"",Data!$M1136,"")</f>
        <v/>
      </c>
      <c r="K585" t="e">
        <f>IF(Dashboard!$R$4="All",Data!G1136,IF(Data!K1136=Dashboard!$R$4,Data!G1136,NA()))</f>
        <v>#N/A</v>
      </c>
      <c r="L585" t="str">
        <f t="shared" si="106"/>
        <v/>
      </c>
      <c r="M585" t="str">
        <f t="shared" si="107"/>
        <v/>
      </c>
      <c r="N585" t="str">
        <f t="shared" si="108"/>
        <v/>
      </c>
      <c r="O585" t="str">
        <f>IF(L585&lt;&gt;"",Data!$M1136,"")</f>
        <v/>
      </c>
      <c r="T585">
        <f>IF(OR(Dashboard!$P$4="All",Dashboard!$R$4="All"),NA(),IF(OR(Data!K1136&lt;&gt;Dashboard!$P$4,Data!K1136&lt;&gt;Dashboard!$R$4),Data!G1136,NA()))</f>
        <v>44654.095718350931</v>
      </c>
      <c r="V585" s="9"/>
      <c r="AI585" s="13" t="s">
        <v>3731</v>
      </c>
      <c r="AJ585" s="8">
        <v>40000</v>
      </c>
      <c r="AK585" s="8">
        <v>1</v>
      </c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Q585" s="13" t="s">
        <v>3731</v>
      </c>
      <c r="BR585" s="8"/>
      <c r="BS585" s="8"/>
      <c r="BT585" s="8">
        <v>40000</v>
      </c>
      <c r="BU585" s="8"/>
      <c r="BV585" s="8"/>
    </row>
    <row r="586" spans="2:74">
      <c r="B586" t="e">
        <f>IF(Dashboard!$P$4="All",Data!G1137,IF(Data!K1137=Dashboard!$P$4,Data!G1137,NA()))</f>
        <v>#N/A</v>
      </c>
      <c r="C586" t="str">
        <f t="shared" si="103"/>
        <v/>
      </c>
      <c r="D586" t="str">
        <f t="shared" si="104"/>
        <v/>
      </c>
      <c r="E586" t="str">
        <f t="shared" si="105"/>
        <v/>
      </c>
      <c r="F586" t="str">
        <f>IF(C586&lt;&gt;"",Data!$M1137,"")</f>
        <v/>
      </c>
      <c r="K586" t="e">
        <f>IF(Dashboard!$R$4="All",Data!G1137,IF(Data!K1137=Dashboard!$R$4,Data!G1137,NA()))</f>
        <v>#N/A</v>
      </c>
      <c r="L586" t="str">
        <f t="shared" si="106"/>
        <v/>
      </c>
      <c r="M586" t="str">
        <f t="shared" si="107"/>
        <v/>
      </c>
      <c r="N586" t="str">
        <f t="shared" si="108"/>
        <v/>
      </c>
      <c r="O586" t="str">
        <f>IF(L586&lt;&gt;"",Data!$M1137,"")</f>
        <v/>
      </c>
      <c r="T586">
        <f>IF(OR(Dashboard!$P$4="All",Dashboard!$R$4="All"),NA(),IF(OR(Data!K1137&lt;&gt;Dashboard!$P$4,Data!K1137&lt;&gt;Dashboard!$R$4),Data!G1137,NA()))</f>
        <v>69000</v>
      </c>
      <c r="V586" s="9"/>
      <c r="AI586" s="13" t="s">
        <v>3732</v>
      </c>
      <c r="AJ586" s="8"/>
      <c r="AK586" s="8"/>
      <c r="AL586" s="8">
        <v>65000</v>
      </c>
      <c r="AM586" s="8">
        <v>1</v>
      </c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Q586" s="13" t="s">
        <v>3732</v>
      </c>
      <c r="BR586" s="8"/>
      <c r="BS586" s="8"/>
      <c r="BT586" s="8">
        <v>65000</v>
      </c>
      <c r="BU586" s="8"/>
      <c r="BV586" s="8"/>
    </row>
    <row r="587" spans="2:74">
      <c r="B587" t="e">
        <f>IF(Dashboard!$P$4="All",Data!G1138,IF(Data!K1138=Dashboard!$P$4,Data!G1138,NA()))</f>
        <v>#N/A</v>
      </c>
      <c r="C587" t="str">
        <f t="shared" si="103"/>
        <v/>
      </c>
      <c r="D587" t="str">
        <f t="shared" si="104"/>
        <v/>
      </c>
      <c r="E587" t="str">
        <f t="shared" si="105"/>
        <v/>
      </c>
      <c r="F587" t="str">
        <f>IF(C587&lt;&gt;"",Data!$M1138,"")</f>
        <v/>
      </c>
      <c r="K587" t="e">
        <f>IF(Dashboard!$R$4="All",Data!G1138,IF(Data!K1138=Dashboard!$R$4,Data!G1138,NA()))</f>
        <v>#N/A</v>
      </c>
      <c r="L587" t="str">
        <f t="shared" si="106"/>
        <v/>
      </c>
      <c r="M587" t="str">
        <f t="shared" si="107"/>
        <v/>
      </c>
      <c r="N587" t="str">
        <f t="shared" si="108"/>
        <v/>
      </c>
      <c r="O587" t="str">
        <f>IF(L587&lt;&gt;"",Data!$M1138,"")</f>
        <v/>
      </c>
      <c r="T587">
        <f>IF(OR(Dashboard!$P$4="All",Dashboard!$R$4="All"),NA(),IF(OR(Data!K1138&lt;&gt;Dashboard!$P$4,Data!K1138&lt;&gt;Dashboard!$R$4),Data!G1138,NA()))</f>
        <v>6000</v>
      </c>
      <c r="V587" s="9"/>
      <c r="AI587" s="13" t="s">
        <v>3733</v>
      </c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>
        <v>72000</v>
      </c>
      <c r="AW587" s="8">
        <v>1</v>
      </c>
      <c r="AX587" s="8"/>
      <c r="AY587" s="8"/>
      <c r="AZ587" s="8"/>
      <c r="BA587" s="8"/>
      <c r="BB587" s="8"/>
      <c r="BC587" s="8"/>
      <c r="BQ587" s="13" t="s">
        <v>3733</v>
      </c>
      <c r="BR587" s="8"/>
      <c r="BS587" s="8">
        <v>72000</v>
      </c>
      <c r="BT587" s="8"/>
      <c r="BU587" s="8"/>
      <c r="BV587" s="8"/>
    </row>
    <row r="588" spans="2:74">
      <c r="B588" t="e">
        <f>IF(Dashboard!$P$4="All",Data!G1139,IF(Data!K1139=Dashboard!$P$4,Data!G1139,NA()))</f>
        <v>#N/A</v>
      </c>
      <c r="C588" t="str">
        <f t="shared" si="103"/>
        <v/>
      </c>
      <c r="D588" t="str">
        <f t="shared" si="104"/>
        <v/>
      </c>
      <c r="E588" t="str">
        <f t="shared" si="105"/>
        <v/>
      </c>
      <c r="F588" t="str">
        <f>IF(C588&lt;&gt;"",Data!$M1139,"")</f>
        <v/>
      </c>
      <c r="K588" t="e">
        <f>IF(Dashboard!$R$4="All",Data!G1139,IF(Data!K1139=Dashboard!$R$4,Data!G1139,NA()))</f>
        <v>#N/A</v>
      </c>
      <c r="L588" t="str">
        <f t="shared" si="106"/>
        <v/>
      </c>
      <c r="M588" t="str">
        <f t="shared" si="107"/>
        <v/>
      </c>
      <c r="N588" t="str">
        <f t="shared" si="108"/>
        <v/>
      </c>
      <c r="O588" t="str">
        <f>IF(L588&lt;&gt;"",Data!$M1139,"")</f>
        <v/>
      </c>
      <c r="T588">
        <f>IF(OR(Dashboard!$P$4="All",Dashboard!$R$4="All"),NA(),IF(OR(Data!K1139&lt;&gt;Dashboard!$P$4,Data!K1139&lt;&gt;Dashboard!$R$4),Data!G1139,NA()))</f>
        <v>8903.9583437212841</v>
      </c>
      <c r="V588" s="9"/>
      <c r="AI588" s="13" t="s">
        <v>3734</v>
      </c>
      <c r="AJ588" s="8"/>
      <c r="AK588" s="8"/>
      <c r="AL588" s="8">
        <v>52500</v>
      </c>
      <c r="AM588" s="8">
        <v>1</v>
      </c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Q588" s="13" t="s">
        <v>3734</v>
      </c>
      <c r="BR588" s="8"/>
      <c r="BS588" s="8"/>
      <c r="BT588" s="8"/>
      <c r="BU588" s="8">
        <v>52500</v>
      </c>
      <c r="BV588" s="8"/>
    </row>
    <row r="589" spans="2:74">
      <c r="B589" t="e">
        <f>IF(Dashboard!$P$4="All",Data!G1140,IF(Data!K1140=Dashboard!$P$4,Data!G1140,NA()))</f>
        <v>#N/A</v>
      </c>
      <c r="C589" t="str">
        <f t="shared" si="103"/>
        <v/>
      </c>
      <c r="D589" t="str">
        <f t="shared" si="104"/>
        <v/>
      </c>
      <c r="E589" t="str">
        <f t="shared" si="105"/>
        <v/>
      </c>
      <c r="F589" t="str">
        <f>IF(C589&lt;&gt;"",Data!$M1140,"")</f>
        <v/>
      </c>
      <c r="K589" t="e">
        <f>IF(Dashboard!$R$4="All",Data!G1140,IF(Data!K1140=Dashboard!$R$4,Data!G1140,NA()))</f>
        <v>#N/A</v>
      </c>
      <c r="L589" t="str">
        <f t="shared" si="106"/>
        <v/>
      </c>
      <c r="M589" t="str">
        <f t="shared" si="107"/>
        <v/>
      </c>
      <c r="N589" t="str">
        <f t="shared" si="108"/>
        <v/>
      </c>
      <c r="O589" t="str">
        <f>IF(L589&lt;&gt;"",Data!$M1140,"")</f>
        <v/>
      </c>
      <c r="T589">
        <f>IF(OR(Dashboard!$P$4="All",Dashboard!$R$4="All"),NA(),IF(OR(Data!K1140&lt;&gt;Dashboard!$P$4,Data!K1140&lt;&gt;Dashboard!$R$4),Data!G1140,NA()))</f>
        <v>30000</v>
      </c>
      <c r="V589" s="9"/>
      <c r="AI589" s="13" t="s">
        <v>3739</v>
      </c>
      <c r="AJ589" s="8"/>
      <c r="AK589" s="8"/>
      <c r="AL589" s="8">
        <v>85000</v>
      </c>
      <c r="AM589" s="8">
        <v>1</v>
      </c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Q589" s="13" t="s">
        <v>3739</v>
      </c>
      <c r="BR589" s="8"/>
      <c r="BS589" s="8">
        <v>85000</v>
      </c>
      <c r="BT589" s="8"/>
      <c r="BU589" s="8"/>
      <c r="BV589" s="8"/>
    </row>
    <row r="590" spans="2:74">
      <c r="B590" t="e">
        <f>IF(Dashboard!$P$4="All",Data!G1141,IF(Data!K1141=Dashboard!$P$4,Data!G1141,NA()))</f>
        <v>#N/A</v>
      </c>
      <c r="C590" t="str">
        <f t="shared" si="103"/>
        <v/>
      </c>
      <c r="D590" t="str">
        <f t="shared" si="104"/>
        <v/>
      </c>
      <c r="E590" t="str">
        <f t="shared" si="105"/>
        <v/>
      </c>
      <c r="F590" t="str">
        <f>IF(C590&lt;&gt;"",Data!$M1141,"")</f>
        <v/>
      </c>
      <c r="K590" t="e">
        <f>IF(Dashboard!$R$4="All",Data!G1141,IF(Data!K1141=Dashboard!$R$4,Data!G1141,NA()))</f>
        <v>#N/A</v>
      </c>
      <c r="L590" t="str">
        <f t="shared" si="106"/>
        <v/>
      </c>
      <c r="M590" t="str">
        <f t="shared" si="107"/>
        <v/>
      </c>
      <c r="N590" t="str">
        <f t="shared" si="108"/>
        <v/>
      </c>
      <c r="O590" t="str">
        <f>IF(L590&lt;&gt;"",Data!$M1141,"")</f>
        <v/>
      </c>
      <c r="T590">
        <f>IF(OR(Dashboard!$P$4="All",Dashboard!$R$4="All"),NA(),IF(OR(Data!K1141&lt;&gt;Dashboard!$P$4,Data!K1141&lt;&gt;Dashboard!$R$4),Data!G1141,NA()))</f>
        <v>8600</v>
      </c>
      <c r="V590" s="9"/>
      <c r="AI590" s="13" t="s">
        <v>3742</v>
      </c>
      <c r="AJ590" s="8"/>
      <c r="AK590" s="8"/>
      <c r="AL590" s="8">
        <v>125000</v>
      </c>
      <c r="AM590" s="8">
        <v>1</v>
      </c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Q590" s="13" t="s">
        <v>3742</v>
      </c>
      <c r="BR590" s="8"/>
      <c r="BS590" s="8"/>
      <c r="BT590" s="8"/>
      <c r="BU590" s="8">
        <v>125000</v>
      </c>
      <c r="BV590" s="8"/>
    </row>
    <row r="591" spans="2:74">
      <c r="B591" t="e">
        <f>IF(Dashboard!$P$4="All",Data!G1142,IF(Data!K1142=Dashboard!$P$4,Data!G1142,NA()))</f>
        <v>#N/A</v>
      </c>
      <c r="C591" t="str">
        <f t="shared" si="103"/>
        <v/>
      </c>
      <c r="D591" t="str">
        <f t="shared" si="104"/>
        <v/>
      </c>
      <c r="E591" t="str">
        <f t="shared" si="105"/>
        <v/>
      </c>
      <c r="F591" t="str">
        <f>IF(C591&lt;&gt;"",Data!$M1142,"")</f>
        <v/>
      </c>
      <c r="K591">
        <f>IF(Dashboard!$R$4="All",Data!G1142,IF(Data!K1142=Dashboard!$R$4,Data!G1142,NA()))</f>
        <v>81600</v>
      </c>
      <c r="L591">
        <f t="shared" si="106"/>
        <v>81600</v>
      </c>
      <c r="M591" t="str">
        <f t="shared" si="107"/>
        <v/>
      </c>
      <c r="N591" t="str">
        <f t="shared" si="108"/>
        <v/>
      </c>
      <c r="O591">
        <f>IF(L591&lt;&gt;"",Data!$M1142,"")</f>
        <v>4</v>
      </c>
      <c r="T591">
        <f>IF(OR(Dashboard!$P$4="All",Dashboard!$R$4="All"),NA(),IF(OR(Data!K1142&lt;&gt;Dashboard!$P$4,Data!K1142&lt;&gt;Dashboard!$R$4),Data!G1142,NA()))</f>
        <v>81600</v>
      </c>
      <c r="V591" s="9"/>
      <c r="AI591" s="13" t="s">
        <v>3752</v>
      </c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>
        <v>74461</v>
      </c>
      <c r="BC591" s="8">
        <v>1</v>
      </c>
      <c r="BQ591" s="13" t="s">
        <v>3752</v>
      </c>
      <c r="BR591" s="8">
        <v>74461</v>
      </c>
      <c r="BS591" s="8"/>
      <c r="BT591" s="8"/>
      <c r="BU591" s="8"/>
      <c r="BV591" s="8"/>
    </row>
    <row r="592" spans="2:74">
      <c r="B592" t="e">
        <f>IF(Dashboard!$P$4="All",Data!G1143,IF(Data!K1143=Dashboard!$P$4,Data!G1143,NA()))</f>
        <v>#N/A</v>
      </c>
      <c r="C592" t="str">
        <f t="shared" si="103"/>
        <v/>
      </c>
      <c r="D592" t="str">
        <f t="shared" si="104"/>
        <v/>
      </c>
      <c r="E592" t="str">
        <f t="shared" si="105"/>
        <v/>
      </c>
      <c r="F592" t="str">
        <f>IF(C592&lt;&gt;"",Data!$M1143,"")</f>
        <v/>
      </c>
      <c r="K592" t="e">
        <f>IF(Dashboard!$R$4="All",Data!G1143,IF(Data!K1143=Dashboard!$R$4,Data!G1143,NA()))</f>
        <v>#N/A</v>
      </c>
      <c r="L592" t="str">
        <f t="shared" si="106"/>
        <v/>
      </c>
      <c r="M592" t="str">
        <f t="shared" si="107"/>
        <v/>
      </c>
      <c r="N592" t="str">
        <f t="shared" si="108"/>
        <v/>
      </c>
      <c r="O592" t="str">
        <f>IF(L592&lt;&gt;"",Data!$M1143,"")</f>
        <v/>
      </c>
      <c r="T592">
        <f>IF(OR(Dashboard!$P$4="All",Dashboard!$R$4="All"),NA(),IF(OR(Data!K1143&lt;&gt;Dashboard!$P$4,Data!K1143&lt;&gt;Dashboard!$R$4),Data!G1143,NA()))</f>
        <v>15404.364569961488</v>
      </c>
      <c r="V592" s="9"/>
      <c r="AI592" s="13" t="s">
        <v>3758</v>
      </c>
      <c r="AJ592" s="8">
        <v>40000</v>
      </c>
      <c r="AK592" s="8">
        <v>1</v>
      </c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Q592" s="13" t="s">
        <v>3758</v>
      </c>
      <c r="BR592" s="8"/>
      <c r="BS592" s="8">
        <v>40000</v>
      </c>
      <c r="BT592" s="8"/>
      <c r="BU592" s="8"/>
      <c r="BV592" s="8"/>
    </row>
    <row r="593" spans="2:74">
      <c r="B593" t="e">
        <f>IF(Dashboard!$P$4="All",Data!G1144,IF(Data!K1144=Dashboard!$P$4,Data!G1144,NA()))</f>
        <v>#N/A</v>
      </c>
      <c r="C593" t="str">
        <f t="shared" si="103"/>
        <v/>
      </c>
      <c r="D593" t="str">
        <f t="shared" si="104"/>
        <v/>
      </c>
      <c r="E593" t="str">
        <f t="shared" si="105"/>
        <v/>
      </c>
      <c r="F593" t="str">
        <f>IF(C593&lt;&gt;"",Data!$M1144,"")</f>
        <v/>
      </c>
      <c r="K593" t="e">
        <f>IF(Dashboard!$R$4="All",Data!G1144,IF(Data!K1144=Dashboard!$R$4,Data!G1144,NA()))</f>
        <v>#N/A</v>
      </c>
      <c r="L593" t="str">
        <f t="shared" si="106"/>
        <v/>
      </c>
      <c r="M593" t="str">
        <f t="shared" si="107"/>
        <v/>
      </c>
      <c r="N593" t="str">
        <f t="shared" si="108"/>
        <v/>
      </c>
      <c r="O593" t="str">
        <f>IF(L593&lt;&gt;"",Data!$M1144,"")</f>
        <v/>
      </c>
      <c r="T593">
        <f>IF(OR(Dashboard!$P$4="All",Dashboard!$R$4="All"),NA(),IF(OR(Data!K1144&lt;&gt;Dashboard!$P$4,Data!K1144&lt;&gt;Dashboard!$R$4),Data!G1144,NA()))</f>
        <v>63918.498996971248</v>
      </c>
      <c r="V593" s="9"/>
      <c r="AI593" s="13" t="s">
        <v>3760</v>
      </c>
      <c r="AJ593" s="8"/>
      <c r="AK593" s="8"/>
      <c r="AL593" s="8">
        <v>56600</v>
      </c>
      <c r="AM593" s="8">
        <v>1</v>
      </c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Q593" s="13" t="s">
        <v>3760</v>
      </c>
      <c r="BR593" s="8"/>
      <c r="BS593" s="8"/>
      <c r="BT593" s="8">
        <v>56600</v>
      </c>
      <c r="BU593" s="8"/>
      <c r="BV593" s="8"/>
    </row>
    <row r="594" spans="2:74">
      <c r="B594" t="e">
        <f>IF(Dashboard!$P$4="All",Data!G1145,IF(Data!K1145=Dashboard!$P$4,Data!G1145,NA()))</f>
        <v>#N/A</v>
      </c>
      <c r="C594" t="str">
        <f t="shared" si="103"/>
        <v/>
      </c>
      <c r="D594" t="str">
        <f t="shared" si="104"/>
        <v/>
      </c>
      <c r="E594" t="str">
        <f t="shared" si="105"/>
        <v/>
      </c>
      <c r="F594" t="str">
        <f>IF(C594&lt;&gt;"",Data!$M1145,"")</f>
        <v/>
      </c>
      <c r="K594" t="e">
        <f>IF(Dashboard!$R$4="All",Data!G1145,IF(Data!K1145=Dashboard!$R$4,Data!G1145,NA()))</f>
        <v>#N/A</v>
      </c>
      <c r="L594" t="str">
        <f t="shared" si="106"/>
        <v/>
      </c>
      <c r="M594" t="str">
        <f t="shared" si="107"/>
        <v/>
      </c>
      <c r="N594" t="str">
        <f t="shared" si="108"/>
        <v/>
      </c>
      <c r="O594" t="str">
        <f>IF(L594&lt;&gt;"",Data!$M1145,"")</f>
        <v/>
      </c>
      <c r="T594">
        <f>IF(OR(Dashboard!$P$4="All",Dashboard!$R$4="All"),NA(),IF(OR(Data!K1145&lt;&gt;Dashboard!$P$4,Data!K1145&lt;&gt;Dashboard!$R$4),Data!G1145,NA()))</f>
        <v>75000</v>
      </c>
      <c r="V594" s="9"/>
      <c r="AI594" s="13" t="s">
        <v>3763</v>
      </c>
      <c r="AJ594" s="8">
        <v>100000</v>
      </c>
      <c r="AK594" s="8">
        <v>1</v>
      </c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Q594" s="13" t="s">
        <v>3763</v>
      </c>
      <c r="BR594" s="8"/>
      <c r="BS594" s="8"/>
      <c r="BT594" s="8"/>
      <c r="BU594" s="8">
        <v>100000</v>
      </c>
      <c r="BV594" s="8"/>
    </row>
    <row r="595" spans="2:74">
      <c r="B595" t="e">
        <f>IF(Dashboard!$P$4="All",Data!G1146,IF(Data!K1146=Dashboard!$P$4,Data!G1146,NA()))</f>
        <v>#N/A</v>
      </c>
      <c r="C595" t="str">
        <f t="shared" si="103"/>
        <v/>
      </c>
      <c r="D595" t="str">
        <f t="shared" si="104"/>
        <v/>
      </c>
      <c r="E595" t="str">
        <f t="shared" si="105"/>
        <v/>
      </c>
      <c r="F595" t="str">
        <f>IF(C595&lt;&gt;"",Data!$M1146,"")</f>
        <v/>
      </c>
      <c r="K595" t="e">
        <f>IF(Dashboard!$R$4="All",Data!G1146,IF(Data!K1146=Dashboard!$R$4,Data!G1146,NA()))</f>
        <v>#N/A</v>
      </c>
      <c r="L595" t="str">
        <f t="shared" si="106"/>
        <v/>
      </c>
      <c r="M595" t="str">
        <f t="shared" si="107"/>
        <v/>
      </c>
      <c r="N595" t="str">
        <f t="shared" si="108"/>
        <v/>
      </c>
      <c r="O595" t="str">
        <f>IF(L595&lt;&gt;"",Data!$M1146,"")</f>
        <v/>
      </c>
      <c r="T595">
        <f>IF(OR(Dashboard!$P$4="All",Dashboard!$R$4="All"),NA(),IF(OR(Data!K1146&lt;&gt;Dashboard!$P$4,Data!K1146&lt;&gt;Dashboard!$R$4),Data!G1146,NA()))</f>
        <v>59000</v>
      </c>
      <c r="V595" s="9"/>
      <c r="AI595" s="13" t="s">
        <v>3766</v>
      </c>
      <c r="AJ595" s="8">
        <v>65000</v>
      </c>
      <c r="AK595" s="8">
        <v>1</v>
      </c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Q595" s="13" t="s">
        <v>3766</v>
      </c>
      <c r="BR595" s="8"/>
      <c r="BS595" s="8"/>
      <c r="BT595" s="8">
        <v>65000</v>
      </c>
      <c r="BU595" s="8"/>
      <c r="BV595" s="8"/>
    </row>
    <row r="596" spans="2:74">
      <c r="B596" t="e">
        <f>IF(Dashboard!$P$4="All",Data!G1147,IF(Data!K1147=Dashboard!$P$4,Data!G1147,NA()))</f>
        <v>#N/A</v>
      </c>
      <c r="C596" t="str">
        <f t="shared" si="103"/>
        <v/>
      </c>
      <c r="D596" t="str">
        <f t="shared" si="104"/>
        <v/>
      </c>
      <c r="E596" t="str">
        <f t="shared" si="105"/>
        <v/>
      </c>
      <c r="F596" t="str">
        <f>IF(C596&lt;&gt;"",Data!$M1147,"")</f>
        <v/>
      </c>
      <c r="K596" t="e">
        <f>IF(Dashboard!$R$4="All",Data!G1147,IF(Data!K1147=Dashboard!$R$4,Data!G1147,NA()))</f>
        <v>#N/A</v>
      </c>
      <c r="L596" t="str">
        <f t="shared" si="106"/>
        <v/>
      </c>
      <c r="M596" t="str">
        <f t="shared" si="107"/>
        <v/>
      </c>
      <c r="N596" t="str">
        <f t="shared" si="108"/>
        <v/>
      </c>
      <c r="O596" t="str">
        <f>IF(L596&lt;&gt;"",Data!$M1147,"")</f>
        <v/>
      </c>
      <c r="T596">
        <f>IF(OR(Dashboard!$P$4="All",Dashboard!$R$4="All"),NA(),IF(OR(Data!K1147&lt;&gt;Dashboard!$P$4,Data!K1147&lt;&gt;Dashboard!$R$4),Data!G1147,NA()))</f>
        <v>50000</v>
      </c>
      <c r="V596" s="9"/>
      <c r="AI596" s="13" t="s">
        <v>3767</v>
      </c>
      <c r="AJ596" s="8">
        <v>65000</v>
      </c>
      <c r="AK596" s="8">
        <v>1</v>
      </c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Q596" s="13" t="s">
        <v>3767</v>
      </c>
      <c r="BR596" s="8"/>
      <c r="BS596" s="8">
        <v>65000</v>
      </c>
      <c r="BT596" s="8"/>
      <c r="BU596" s="8"/>
      <c r="BV596" s="8"/>
    </row>
    <row r="597" spans="2:74">
      <c r="B597" t="e">
        <f>IF(Dashboard!$P$4="All",Data!G1148,IF(Data!K1148=Dashboard!$P$4,Data!G1148,NA()))</f>
        <v>#N/A</v>
      </c>
      <c r="C597" t="str">
        <f t="shared" si="103"/>
        <v/>
      </c>
      <c r="D597" t="str">
        <f t="shared" si="104"/>
        <v/>
      </c>
      <c r="E597" t="str">
        <f t="shared" si="105"/>
        <v/>
      </c>
      <c r="F597" t="str">
        <f>IF(C597&lt;&gt;"",Data!$M1148,"")</f>
        <v/>
      </c>
      <c r="K597">
        <f>IF(Dashboard!$R$4="All",Data!G1148,IF(Data!K1148=Dashboard!$R$4,Data!G1148,NA()))</f>
        <v>126094.26176538273</v>
      </c>
      <c r="L597">
        <f t="shared" si="106"/>
        <v>126094.26176538273</v>
      </c>
      <c r="M597">
        <f t="shared" si="107"/>
        <v>126094.26176538273</v>
      </c>
      <c r="N597" t="str">
        <f t="shared" si="108"/>
        <v/>
      </c>
      <c r="O597">
        <f>IF(L597&lt;&gt;"",Data!$M1148,"")</f>
        <v>15</v>
      </c>
      <c r="T597">
        <f>IF(OR(Dashboard!$P$4="All",Dashboard!$R$4="All"),NA(),IF(OR(Data!K1148&lt;&gt;Dashboard!$P$4,Data!K1148&lt;&gt;Dashboard!$R$4),Data!G1148,NA()))</f>
        <v>126094.26176538273</v>
      </c>
      <c r="V597" s="9"/>
      <c r="AI597" s="13" t="s">
        <v>3768</v>
      </c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>
        <v>65000</v>
      </c>
      <c r="AY597" s="8">
        <v>1</v>
      </c>
      <c r="AZ597" s="8"/>
      <c r="BA597" s="8"/>
      <c r="BB597" s="8"/>
      <c r="BC597" s="8"/>
      <c r="BQ597" s="13" t="s">
        <v>3768</v>
      </c>
      <c r="BR597" s="8"/>
      <c r="BS597" s="8">
        <v>65000</v>
      </c>
      <c r="BT597" s="8"/>
      <c r="BU597" s="8"/>
      <c r="BV597" s="8"/>
    </row>
    <row r="598" spans="2:74">
      <c r="B598" t="e">
        <f>IF(Dashboard!$P$4="All",Data!G1149,IF(Data!K1149=Dashboard!$P$4,Data!G1149,NA()))</f>
        <v>#N/A</v>
      </c>
      <c r="C598" t="str">
        <f t="shared" si="103"/>
        <v/>
      </c>
      <c r="D598" t="str">
        <f t="shared" si="104"/>
        <v/>
      </c>
      <c r="E598" t="str">
        <f t="shared" si="105"/>
        <v/>
      </c>
      <c r="F598" t="str">
        <f>IF(C598&lt;&gt;"",Data!$M1149,"")</f>
        <v/>
      </c>
      <c r="K598" t="e">
        <f>IF(Dashboard!$R$4="All",Data!G1149,IF(Data!K1149=Dashboard!$R$4,Data!G1149,NA()))</f>
        <v>#N/A</v>
      </c>
      <c r="L598" t="str">
        <f t="shared" si="106"/>
        <v/>
      </c>
      <c r="M598" t="str">
        <f t="shared" si="107"/>
        <v/>
      </c>
      <c r="N598" t="str">
        <f t="shared" si="108"/>
        <v/>
      </c>
      <c r="O598" t="str">
        <f>IF(L598&lt;&gt;"",Data!$M1149,"")</f>
        <v/>
      </c>
      <c r="T598">
        <f>IF(OR(Dashboard!$P$4="All",Dashboard!$R$4="All"),NA(),IF(OR(Data!K1149&lt;&gt;Dashboard!$P$4,Data!K1149&lt;&gt;Dashboard!$R$4),Data!G1149,NA()))</f>
        <v>26691.183012544854</v>
      </c>
      <c r="V598" s="9"/>
      <c r="AI598" s="13" t="s">
        <v>3770</v>
      </c>
      <c r="AJ598" s="8">
        <v>63000</v>
      </c>
      <c r="AK598" s="8">
        <v>1</v>
      </c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Q598" s="13" t="s">
        <v>3770</v>
      </c>
      <c r="BR598" s="8"/>
      <c r="BS598" s="8"/>
      <c r="BT598" s="8"/>
      <c r="BU598" s="8">
        <v>63000</v>
      </c>
      <c r="BV598" s="8"/>
    </row>
    <row r="599" spans="2:74">
      <c r="B599" t="e">
        <f>IF(Dashboard!$P$4="All",Data!G1150,IF(Data!K1150=Dashboard!$P$4,Data!G1150,NA()))</f>
        <v>#N/A</v>
      </c>
      <c r="C599" t="str">
        <f t="shared" si="103"/>
        <v/>
      </c>
      <c r="D599" t="str">
        <f t="shared" si="104"/>
        <v/>
      </c>
      <c r="E599" t="str">
        <f t="shared" si="105"/>
        <v/>
      </c>
      <c r="F599" t="str">
        <f>IF(C599&lt;&gt;"",Data!$M1150,"")</f>
        <v/>
      </c>
      <c r="K599" t="e">
        <f>IF(Dashboard!$R$4="All",Data!G1150,IF(Data!K1150=Dashboard!$R$4,Data!G1150,NA()))</f>
        <v>#N/A</v>
      </c>
      <c r="L599" t="str">
        <f t="shared" si="106"/>
        <v/>
      </c>
      <c r="M599" t="str">
        <f t="shared" si="107"/>
        <v/>
      </c>
      <c r="N599" t="str">
        <f t="shared" si="108"/>
        <v/>
      </c>
      <c r="O599" t="str">
        <f>IF(L599&lt;&gt;"",Data!$M1150,"")</f>
        <v/>
      </c>
      <c r="T599">
        <f>IF(OR(Dashboard!$P$4="All",Dashboard!$R$4="All"),NA(),IF(OR(Data!K1150&lt;&gt;Dashboard!$P$4,Data!K1150&lt;&gt;Dashboard!$R$4),Data!G1150,NA()))</f>
        <v>8903.9583437212841</v>
      </c>
      <c r="V599" s="9"/>
      <c r="AI599" s="13" t="s">
        <v>3771</v>
      </c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>
        <v>87000</v>
      </c>
      <c r="BC599" s="8">
        <v>1</v>
      </c>
      <c r="BQ599" s="13" t="s">
        <v>3771</v>
      </c>
      <c r="BR599" s="8"/>
      <c r="BS599" s="8"/>
      <c r="BT599" s="8">
        <v>87000</v>
      </c>
      <c r="BU599" s="8"/>
      <c r="BV599" s="8"/>
    </row>
    <row r="600" spans="2:74">
      <c r="B600" t="e">
        <f>IF(Dashboard!$P$4="All",Data!G1151,IF(Data!K1151=Dashboard!$P$4,Data!G1151,NA()))</f>
        <v>#N/A</v>
      </c>
      <c r="C600" t="str">
        <f t="shared" si="103"/>
        <v/>
      </c>
      <c r="D600" t="str">
        <f t="shared" si="104"/>
        <v/>
      </c>
      <c r="E600" t="str">
        <f t="shared" si="105"/>
        <v/>
      </c>
      <c r="F600" t="str">
        <f>IF(C600&lt;&gt;"",Data!$M1151,"")</f>
        <v/>
      </c>
      <c r="K600" t="e">
        <f>IF(Dashboard!$R$4="All",Data!G1151,IF(Data!K1151=Dashboard!$R$4,Data!G1151,NA()))</f>
        <v>#N/A</v>
      </c>
      <c r="L600" t="str">
        <f t="shared" si="106"/>
        <v/>
      </c>
      <c r="M600" t="str">
        <f t="shared" si="107"/>
        <v/>
      </c>
      <c r="N600" t="str">
        <f t="shared" si="108"/>
        <v/>
      </c>
      <c r="O600" t="str">
        <f>IF(L600&lt;&gt;"",Data!$M1151,"")</f>
        <v/>
      </c>
      <c r="T600">
        <f>IF(OR(Dashboard!$P$4="All",Dashboard!$R$4="All"),NA(),IF(OR(Data!K1151&lt;&gt;Dashboard!$P$4,Data!K1151&lt;&gt;Dashboard!$R$4),Data!G1151,NA()))</f>
        <v>8725</v>
      </c>
      <c r="V600" s="9"/>
      <c r="AI600" s="13" t="s">
        <v>3772</v>
      </c>
      <c r="AJ600" s="8">
        <v>45000</v>
      </c>
      <c r="AK600" s="8">
        <v>1</v>
      </c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Q600" s="13" t="s">
        <v>3772</v>
      </c>
      <c r="BR600" s="8"/>
      <c r="BS600" s="8"/>
      <c r="BT600" s="8">
        <v>45000</v>
      </c>
      <c r="BU600" s="8"/>
      <c r="BV600" s="8"/>
    </row>
    <row r="601" spans="2:74">
      <c r="B601" t="e">
        <f>IF(Dashboard!$P$4="All",Data!G1152,IF(Data!K1152=Dashboard!$P$4,Data!G1152,NA()))</f>
        <v>#N/A</v>
      </c>
      <c r="C601" t="str">
        <f t="shared" si="103"/>
        <v/>
      </c>
      <c r="D601" t="str">
        <f t="shared" si="104"/>
        <v/>
      </c>
      <c r="E601" t="str">
        <f t="shared" si="105"/>
        <v/>
      </c>
      <c r="F601" t="str">
        <f>IF(C601&lt;&gt;"",Data!$M1152,"")</f>
        <v/>
      </c>
      <c r="K601">
        <f>IF(Dashboard!$R$4="All",Data!G1152,IF(Data!K1152=Dashboard!$R$4,Data!G1152,NA()))</f>
        <v>50437.70470615309</v>
      </c>
      <c r="L601">
        <f t="shared" si="106"/>
        <v>50437.70470615309</v>
      </c>
      <c r="M601" t="str">
        <f t="shared" si="107"/>
        <v/>
      </c>
      <c r="N601" t="str">
        <f t="shared" si="108"/>
        <v/>
      </c>
      <c r="O601">
        <f>IF(L601&lt;&gt;"",Data!$M1152,"")</f>
        <v>4</v>
      </c>
      <c r="T601">
        <f>IF(OR(Dashboard!$P$4="All",Dashboard!$R$4="All"),NA(),IF(OR(Data!K1152&lt;&gt;Dashboard!$P$4,Data!K1152&lt;&gt;Dashboard!$R$4),Data!G1152,NA()))</f>
        <v>50437.70470615309</v>
      </c>
      <c r="V601" s="9"/>
      <c r="AI601" s="13" t="s">
        <v>3773</v>
      </c>
      <c r="AJ601" s="8">
        <v>85000</v>
      </c>
      <c r="AK601" s="8">
        <v>1</v>
      </c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Q601" s="13" t="s">
        <v>3773</v>
      </c>
      <c r="BR601" s="8"/>
      <c r="BS601" s="8"/>
      <c r="BT601" s="8"/>
      <c r="BU601" s="8">
        <v>85000</v>
      </c>
      <c r="BV601" s="8"/>
    </row>
    <row r="602" spans="2:74">
      <c r="B602" t="e">
        <f>IF(Dashboard!$P$4="All",Data!G1153,IF(Data!K1153=Dashboard!$P$4,Data!G1153,NA()))</f>
        <v>#N/A</v>
      </c>
      <c r="C602" t="str">
        <f t="shared" si="103"/>
        <v/>
      </c>
      <c r="D602" t="str">
        <f t="shared" si="104"/>
        <v/>
      </c>
      <c r="E602" t="str">
        <f t="shared" si="105"/>
        <v/>
      </c>
      <c r="F602" t="str">
        <f>IF(C602&lt;&gt;"",Data!$M1153,"")</f>
        <v/>
      </c>
      <c r="K602">
        <f>IF(Dashboard!$R$4="All",Data!G1153,IF(Data!K1153=Dashboard!$R$4,Data!G1153,NA()))</f>
        <v>67775.665698893223</v>
      </c>
      <c r="L602">
        <f t="shared" si="106"/>
        <v>67775.665698893223</v>
      </c>
      <c r="M602" t="str">
        <f t="shared" si="107"/>
        <v/>
      </c>
      <c r="N602" t="str">
        <f t="shared" si="108"/>
        <v/>
      </c>
      <c r="O602">
        <f>IF(L602&lt;&gt;"",Data!$M1153,"")</f>
        <v>15</v>
      </c>
      <c r="T602">
        <f>IF(OR(Dashboard!$P$4="All",Dashboard!$R$4="All"),NA(),IF(OR(Data!K1153&lt;&gt;Dashboard!$P$4,Data!K1153&lt;&gt;Dashboard!$R$4),Data!G1153,NA()))</f>
        <v>67775.665698893223</v>
      </c>
      <c r="V602" s="9"/>
      <c r="AI602" s="13" t="s">
        <v>3784</v>
      </c>
      <c r="AJ602" s="8"/>
      <c r="AK602" s="8"/>
      <c r="AL602" s="8">
        <v>80000</v>
      </c>
      <c r="AM602" s="8">
        <v>1</v>
      </c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Q602" s="13" t="s">
        <v>3784</v>
      </c>
      <c r="BR602" s="8"/>
      <c r="BS602" s="8"/>
      <c r="BT602" s="8">
        <v>80000</v>
      </c>
      <c r="BU602" s="8"/>
      <c r="BV602" s="8"/>
    </row>
    <row r="603" spans="2:74">
      <c r="B603" t="e">
        <f>IF(Dashboard!$P$4="All",Data!G1154,IF(Data!K1154=Dashboard!$P$4,Data!G1154,NA()))</f>
        <v>#N/A</v>
      </c>
      <c r="C603" t="str">
        <f t="shared" si="103"/>
        <v/>
      </c>
      <c r="D603" t="str">
        <f t="shared" si="104"/>
        <v/>
      </c>
      <c r="E603" t="str">
        <f t="shared" si="105"/>
        <v/>
      </c>
      <c r="F603" t="str">
        <f>IF(C603&lt;&gt;"",Data!$M1154,"")</f>
        <v/>
      </c>
      <c r="K603" t="e">
        <f>IF(Dashboard!$R$4="All",Data!G1154,IF(Data!K1154=Dashboard!$R$4,Data!G1154,NA()))</f>
        <v>#N/A</v>
      </c>
      <c r="L603" t="str">
        <f t="shared" si="106"/>
        <v/>
      </c>
      <c r="M603" t="str">
        <f t="shared" si="107"/>
        <v/>
      </c>
      <c r="N603" t="str">
        <f t="shared" si="108"/>
        <v/>
      </c>
      <c r="O603" t="str">
        <f>IF(L603&lt;&gt;"",Data!$M1154,"")</f>
        <v/>
      </c>
      <c r="T603">
        <f>IF(OR(Dashboard!$P$4="All",Dashboard!$R$4="All"),NA(),IF(OR(Data!K1154&lt;&gt;Dashboard!$P$4,Data!K1154&lt;&gt;Dashboard!$R$4),Data!G1154,NA()))</f>
        <v>52118.160720607324</v>
      </c>
      <c r="V603" s="9"/>
      <c r="AI603" s="13" t="s">
        <v>3787</v>
      </c>
      <c r="AJ603" s="8">
        <v>70000</v>
      </c>
      <c r="AK603" s="8">
        <v>1</v>
      </c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Q603" s="13" t="s">
        <v>3787</v>
      </c>
      <c r="BR603" s="8"/>
      <c r="BS603" s="8">
        <v>70000</v>
      </c>
      <c r="BT603" s="8"/>
      <c r="BU603" s="8"/>
      <c r="BV603" s="8"/>
    </row>
    <row r="604" spans="2:74">
      <c r="B604" t="e">
        <f>IF(Dashboard!$P$4="All",Data!G1155,IF(Data!K1155=Dashboard!$P$4,Data!G1155,NA()))</f>
        <v>#N/A</v>
      </c>
      <c r="C604" t="str">
        <f t="shared" si="103"/>
        <v/>
      </c>
      <c r="D604" t="str">
        <f t="shared" si="104"/>
        <v/>
      </c>
      <c r="E604" t="str">
        <f t="shared" si="105"/>
        <v/>
      </c>
      <c r="F604" t="str">
        <f>IF(C604&lt;&gt;"",Data!$M1155,"")</f>
        <v/>
      </c>
      <c r="K604" t="e">
        <f>IF(Dashboard!$R$4="All",Data!G1155,IF(Data!K1155=Dashboard!$R$4,Data!G1155,NA()))</f>
        <v>#N/A</v>
      </c>
      <c r="L604" t="str">
        <f t="shared" si="106"/>
        <v/>
      </c>
      <c r="M604" t="str">
        <f t="shared" si="107"/>
        <v/>
      </c>
      <c r="N604" t="str">
        <f t="shared" si="108"/>
        <v/>
      </c>
      <c r="O604" t="str">
        <f>IF(L604&lt;&gt;"",Data!$M1155,"")</f>
        <v/>
      </c>
      <c r="T604">
        <f>IF(OR(Dashboard!$P$4="All",Dashboard!$R$4="All"),NA(),IF(OR(Data!K1155&lt;&gt;Dashboard!$P$4,Data!K1155&lt;&gt;Dashboard!$R$4),Data!G1155,NA()))</f>
        <v>3561.5833374885137</v>
      </c>
      <c r="V604" s="9"/>
      <c r="AI604" s="13" t="s">
        <v>3788</v>
      </c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>
        <v>214000</v>
      </c>
      <c r="AY604" s="8">
        <v>1</v>
      </c>
      <c r="AZ604" s="8"/>
      <c r="BA604" s="8"/>
      <c r="BB604" s="8"/>
      <c r="BC604" s="8"/>
      <c r="BQ604" s="13" t="s">
        <v>3788</v>
      </c>
      <c r="BR604" s="8"/>
      <c r="BS604" s="8"/>
      <c r="BT604" s="8"/>
      <c r="BU604" s="8">
        <v>214000</v>
      </c>
      <c r="BV604" s="8"/>
    </row>
    <row r="605" spans="2:74">
      <c r="B605" t="e">
        <f>IF(Dashboard!$P$4="All",Data!G1156,IF(Data!K1156=Dashboard!$P$4,Data!G1156,NA()))</f>
        <v>#N/A</v>
      </c>
      <c r="C605" t="str">
        <f t="shared" si="103"/>
        <v/>
      </c>
      <c r="D605" t="str">
        <f t="shared" si="104"/>
        <v/>
      </c>
      <c r="E605" t="str">
        <f t="shared" si="105"/>
        <v/>
      </c>
      <c r="F605" t="str">
        <f>IF(C605&lt;&gt;"",Data!$M1156,"")</f>
        <v/>
      </c>
      <c r="K605" t="e">
        <f>IF(Dashboard!$R$4="All",Data!G1156,IF(Data!K1156=Dashboard!$R$4,Data!G1156,NA()))</f>
        <v>#N/A</v>
      </c>
      <c r="L605" t="str">
        <f t="shared" si="106"/>
        <v/>
      </c>
      <c r="M605" t="str">
        <f t="shared" si="107"/>
        <v/>
      </c>
      <c r="N605" t="str">
        <f t="shared" si="108"/>
        <v/>
      </c>
      <c r="O605" t="str">
        <f>IF(L605&lt;&gt;"",Data!$M1156,"")</f>
        <v/>
      </c>
      <c r="T605">
        <f>IF(OR(Dashboard!$P$4="All",Dashboard!$R$4="All"),NA(),IF(OR(Data!K1156&lt;&gt;Dashboard!$P$4,Data!K1156&lt;&gt;Dashboard!$R$4),Data!G1156,NA()))</f>
        <v>8013.5625093491553</v>
      </c>
      <c r="V605" s="9"/>
      <c r="AI605" s="13" t="s">
        <v>3789</v>
      </c>
      <c r="AJ605" s="8"/>
      <c r="AK605" s="8"/>
      <c r="AL605" s="8"/>
      <c r="AM605" s="8"/>
      <c r="AN605" s="8"/>
      <c r="AO605" s="8"/>
      <c r="AP605" s="8"/>
      <c r="AQ605" s="8"/>
      <c r="AR605" s="8">
        <v>78000</v>
      </c>
      <c r="AS605" s="8">
        <v>1</v>
      </c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Q605" s="13" t="s">
        <v>3789</v>
      </c>
      <c r="BR605" s="8"/>
      <c r="BS605" s="8"/>
      <c r="BT605" s="8"/>
      <c r="BU605" s="8">
        <v>78000</v>
      </c>
      <c r="BV605" s="8"/>
    </row>
    <row r="606" spans="2:74">
      <c r="B606" t="e">
        <f>IF(Dashboard!$P$4="All",Data!G1157,IF(Data!K1157=Dashboard!$P$4,Data!G1157,NA()))</f>
        <v>#N/A</v>
      </c>
      <c r="C606" t="str">
        <f t="shared" si="103"/>
        <v/>
      </c>
      <c r="D606" t="str">
        <f t="shared" si="104"/>
        <v/>
      </c>
      <c r="E606" t="str">
        <f t="shared" si="105"/>
        <v/>
      </c>
      <c r="F606" t="str">
        <f>IF(C606&lt;&gt;"",Data!$M1157,"")</f>
        <v/>
      </c>
      <c r="K606" t="e">
        <f>IF(Dashboard!$R$4="All",Data!G1157,IF(Data!K1157=Dashboard!$R$4,Data!G1157,NA()))</f>
        <v>#N/A</v>
      </c>
      <c r="L606" t="str">
        <f t="shared" si="106"/>
        <v/>
      </c>
      <c r="M606" t="str">
        <f t="shared" si="107"/>
        <v/>
      </c>
      <c r="N606" t="str">
        <f t="shared" si="108"/>
        <v/>
      </c>
      <c r="O606" t="str">
        <f>IF(L606&lt;&gt;"",Data!$M1157,"")</f>
        <v/>
      </c>
      <c r="T606">
        <f>IF(OR(Dashboard!$P$4="All",Dashboard!$R$4="All"),NA(),IF(OR(Data!K1157&lt;&gt;Dashboard!$P$4,Data!K1157&lt;&gt;Dashboard!$R$4),Data!G1157,NA()))</f>
        <v>28000</v>
      </c>
      <c r="V606" s="9"/>
      <c r="AI606" s="13" t="s">
        <v>3790</v>
      </c>
      <c r="AJ606" s="8">
        <v>42307</v>
      </c>
      <c r="AK606" s="8">
        <v>1</v>
      </c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Q606" s="13" t="s">
        <v>3790</v>
      </c>
      <c r="BR606" s="8"/>
      <c r="BS606" s="8">
        <v>42307</v>
      </c>
      <c r="BT606" s="8"/>
      <c r="BU606" s="8"/>
      <c r="BV606" s="8"/>
    </row>
    <row r="607" spans="2:74">
      <c r="B607" t="e">
        <f>IF(Dashboard!$P$4="All",Data!G1158,IF(Data!K1158=Dashboard!$P$4,Data!G1158,NA()))</f>
        <v>#N/A</v>
      </c>
      <c r="C607" t="str">
        <f t="shared" si="103"/>
        <v/>
      </c>
      <c r="D607" t="str">
        <f t="shared" si="104"/>
        <v/>
      </c>
      <c r="E607" t="str">
        <f t="shared" si="105"/>
        <v/>
      </c>
      <c r="F607" t="str">
        <f>IF(C607&lt;&gt;"",Data!$M1158,"")</f>
        <v/>
      </c>
      <c r="K607">
        <f>IF(Dashboard!$R$4="All",Data!G1158,IF(Data!K1158=Dashboard!$R$4,Data!G1158,NA()))</f>
        <v>50064.150455673145</v>
      </c>
      <c r="L607">
        <f t="shared" si="106"/>
        <v>50064.150455673145</v>
      </c>
      <c r="M607" t="str">
        <f t="shared" si="107"/>
        <v/>
      </c>
      <c r="N607" t="str">
        <f t="shared" si="108"/>
        <v/>
      </c>
      <c r="O607">
        <f>IF(L607&lt;&gt;"",Data!$M1158,"")</f>
        <v>2</v>
      </c>
      <c r="T607">
        <f>IF(OR(Dashboard!$P$4="All",Dashboard!$R$4="All"),NA(),IF(OR(Data!K1158&lt;&gt;Dashboard!$P$4,Data!K1158&lt;&gt;Dashboard!$R$4),Data!G1158,NA()))</f>
        <v>50064.150455673145</v>
      </c>
      <c r="V607" s="9"/>
      <c r="AI607" s="13" t="s">
        <v>3791</v>
      </c>
      <c r="AJ607" s="8"/>
      <c r="AK607" s="8"/>
      <c r="AL607" s="8">
        <v>33250</v>
      </c>
      <c r="AM607" s="8">
        <v>1</v>
      </c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Q607" s="13" t="s">
        <v>3791</v>
      </c>
      <c r="BR607" s="8"/>
      <c r="BS607" s="8"/>
      <c r="BT607" s="8"/>
      <c r="BU607" s="8">
        <v>33250</v>
      </c>
      <c r="BV607" s="8"/>
    </row>
    <row r="608" spans="2:74">
      <c r="B608" t="e">
        <f>IF(Dashboard!$P$4="All",Data!G1159,IF(Data!K1159=Dashboard!$P$4,Data!G1159,NA()))</f>
        <v>#N/A</v>
      </c>
      <c r="C608" t="str">
        <f t="shared" si="103"/>
        <v/>
      </c>
      <c r="D608" t="str">
        <f t="shared" si="104"/>
        <v/>
      </c>
      <c r="E608" t="str">
        <f t="shared" si="105"/>
        <v/>
      </c>
      <c r="F608" t="str">
        <f>IF(C608&lt;&gt;"",Data!$M1159,"")</f>
        <v/>
      </c>
      <c r="K608" t="e">
        <f>IF(Dashboard!$R$4="All",Data!G1159,IF(Data!K1159=Dashboard!$R$4,Data!G1159,NA()))</f>
        <v>#N/A</v>
      </c>
      <c r="L608" t="str">
        <f t="shared" si="106"/>
        <v/>
      </c>
      <c r="M608" t="str">
        <f t="shared" si="107"/>
        <v/>
      </c>
      <c r="N608" t="str">
        <f t="shared" si="108"/>
        <v/>
      </c>
      <c r="O608" t="str">
        <f>IF(L608&lt;&gt;"",Data!$M1159,"")</f>
        <v/>
      </c>
      <c r="T608">
        <f>IF(OR(Dashboard!$P$4="All",Dashboard!$R$4="All"),NA(),IF(OR(Data!K1159&lt;&gt;Dashboard!$P$4,Data!K1159&lt;&gt;Dashboard!$R$4),Data!G1159,NA()))</f>
        <v>50437.70470615309</v>
      </c>
      <c r="V608" s="9"/>
      <c r="AI608" s="13" t="s">
        <v>3793</v>
      </c>
      <c r="AJ608" s="8"/>
      <c r="AK608" s="8"/>
      <c r="AL608" s="8"/>
      <c r="AM608" s="8"/>
      <c r="AN608" s="8">
        <v>120000</v>
      </c>
      <c r="AO608" s="8">
        <v>1</v>
      </c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Q608" s="13" t="s">
        <v>3793</v>
      </c>
      <c r="BR608" s="8"/>
      <c r="BS608" s="8"/>
      <c r="BT608" s="8">
        <v>120000</v>
      </c>
      <c r="BU608" s="8"/>
      <c r="BV608" s="8"/>
    </row>
    <row r="609" spans="2:74">
      <c r="B609" t="e">
        <f>IF(Dashboard!$P$4="All",Data!G1160,IF(Data!K1160=Dashboard!$P$4,Data!G1160,NA()))</f>
        <v>#N/A</v>
      </c>
      <c r="C609" t="str">
        <f t="shared" si="103"/>
        <v/>
      </c>
      <c r="D609" t="str">
        <f t="shared" si="104"/>
        <v/>
      </c>
      <c r="E609" t="str">
        <f t="shared" si="105"/>
        <v/>
      </c>
      <c r="F609" t="str">
        <f>IF(C609&lt;&gt;"",Data!$M1160,"")</f>
        <v/>
      </c>
      <c r="K609" t="e">
        <f>IF(Dashboard!$R$4="All",Data!G1160,IF(Data!K1160=Dashboard!$R$4,Data!G1160,NA()))</f>
        <v>#N/A</v>
      </c>
      <c r="L609" t="str">
        <f t="shared" si="106"/>
        <v/>
      </c>
      <c r="M609" t="str">
        <f t="shared" si="107"/>
        <v/>
      </c>
      <c r="N609" t="str">
        <f t="shared" si="108"/>
        <v/>
      </c>
      <c r="O609" t="str">
        <f>IF(L609&lt;&gt;"",Data!$M1160,"")</f>
        <v/>
      </c>
      <c r="T609">
        <f>IF(OR(Dashboard!$P$4="All",Dashboard!$R$4="All"),NA(),IF(OR(Data!K1160&lt;&gt;Dashboard!$P$4,Data!K1160&lt;&gt;Dashboard!$R$4),Data!G1160,NA()))</f>
        <v>27840</v>
      </c>
      <c r="V609" s="9"/>
      <c r="AI609" s="13" t="s">
        <v>3802</v>
      </c>
      <c r="AJ609" s="8">
        <v>60000</v>
      </c>
      <c r="AK609" s="8">
        <v>1</v>
      </c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Q609" s="13" t="s">
        <v>3802</v>
      </c>
      <c r="BR609" s="8"/>
      <c r="BS609" s="8"/>
      <c r="BT609" s="8">
        <v>60000</v>
      </c>
      <c r="BU609" s="8"/>
      <c r="BV609" s="8"/>
    </row>
    <row r="610" spans="2:74">
      <c r="B610" t="e">
        <f>IF(Dashboard!$P$4="All",Data!G1161,IF(Data!K1161=Dashboard!$P$4,Data!G1161,NA()))</f>
        <v>#N/A</v>
      </c>
      <c r="C610" t="str">
        <f t="shared" si="103"/>
        <v/>
      </c>
      <c r="D610" t="str">
        <f t="shared" si="104"/>
        <v/>
      </c>
      <c r="E610" t="str">
        <f t="shared" si="105"/>
        <v/>
      </c>
      <c r="F610" t="str">
        <f>IF(C610&lt;&gt;"",Data!$M1161,"")</f>
        <v/>
      </c>
      <c r="K610" t="e">
        <f>IF(Dashboard!$R$4="All",Data!G1161,IF(Data!K1161=Dashboard!$R$4,Data!G1161,NA()))</f>
        <v>#N/A</v>
      </c>
      <c r="L610" t="str">
        <f t="shared" si="106"/>
        <v/>
      </c>
      <c r="M610" t="str">
        <f t="shared" si="107"/>
        <v/>
      </c>
      <c r="N610" t="str">
        <f t="shared" si="108"/>
        <v/>
      </c>
      <c r="O610" t="str">
        <f>IF(L610&lt;&gt;"",Data!$M1161,"")</f>
        <v/>
      </c>
      <c r="T610">
        <f>IF(OR(Dashboard!$P$4="All",Dashboard!$R$4="All"),NA(),IF(OR(Data!K1161&lt;&gt;Dashboard!$P$4,Data!K1161&lt;&gt;Dashboard!$R$4),Data!G1161,NA()))</f>
        <v>6232.7708406048987</v>
      </c>
      <c r="V610" s="9"/>
      <c r="AI610" s="13" t="s">
        <v>3803</v>
      </c>
      <c r="AJ610" s="8"/>
      <c r="AK610" s="8"/>
      <c r="AL610" s="8"/>
      <c r="AM610" s="8"/>
      <c r="AN610" s="8">
        <v>57000</v>
      </c>
      <c r="AO610" s="8">
        <v>1</v>
      </c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Q610" s="13" t="s">
        <v>3803</v>
      </c>
      <c r="BR610" s="8"/>
      <c r="BS610" s="8"/>
      <c r="BT610" s="8">
        <v>57000</v>
      </c>
      <c r="BU610" s="8"/>
      <c r="BV610" s="8"/>
    </row>
    <row r="611" spans="2:74">
      <c r="B611" t="e">
        <f>IF(Dashboard!$P$4="All",Data!G1162,IF(Data!K1162=Dashboard!$P$4,Data!G1162,NA()))</f>
        <v>#N/A</v>
      </c>
      <c r="C611" t="str">
        <f t="shared" si="103"/>
        <v/>
      </c>
      <c r="D611" t="str">
        <f t="shared" si="104"/>
        <v/>
      </c>
      <c r="E611" t="str">
        <f t="shared" si="105"/>
        <v/>
      </c>
      <c r="F611" t="str">
        <f>IF(C611&lt;&gt;"",Data!$M1162,"")</f>
        <v/>
      </c>
      <c r="K611" t="e">
        <f>IF(Dashboard!$R$4="All",Data!G1162,IF(Data!K1162=Dashboard!$R$4,Data!G1162,NA()))</f>
        <v>#N/A</v>
      </c>
      <c r="L611" t="str">
        <f t="shared" si="106"/>
        <v/>
      </c>
      <c r="M611" t="str">
        <f t="shared" si="107"/>
        <v/>
      </c>
      <c r="N611" t="str">
        <f t="shared" si="108"/>
        <v/>
      </c>
      <c r="O611" t="str">
        <f>IF(L611&lt;&gt;"",Data!$M1162,"")</f>
        <v/>
      </c>
      <c r="T611">
        <f>IF(OR(Dashboard!$P$4="All",Dashboard!$R$4="All"),NA(),IF(OR(Data!K1162&lt;&gt;Dashboard!$P$4,Data!K1162&lt;&gt;Dashboard!$R$4),Data!G1162,NA()))</f>
        <v>50000</v>
      </c>
      <c r="V611" s="9"/>
      <c r="AI611" s="13" t="s">
        <v>3804</v>
      </c>
      <c r="AJ611" s="8">
        <v>40000</v>
      </c>
      <c r="AK611" s="8">
        <v>1</v>
      </c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Q611" s="13" t="s">
        <v>3804</v>
      </c>
      <c r="BR611" s="8"/>
      <c r="BS611" s="8">
        <v>40000</v>
      </c>
      <c r="BT611" s="8"/>
      <c r="BU611" s="8"/>
      <c r="BV611" s="8"/>
    </row>
    <row r="612" spans="2:74">
      <c r="B612" t="e">
        <f>IF(Dashboard!$P$4="All",Data!G1163,IF(Data!K1163=Dashboard!$P$4,Data!G1163,NA()))</f>
        <v>#N/A</v>
      </c>
      <c r="C612" t="str">
        <f t="shared" si="103"/>
        <v/>
      </c>
      <c r="D612" t="str">
        <f t="shared" si="104"/>
        <v/>
      </c>
      <c r="E612" t="str">
        <f t="shared" si="105"/>
        <v/>
      </c>
      <c r="F612" t="str">
        <f>IF(C612&lt;&gt;"",Data!$M1163,"")</f>
        <v/>
      </c>
      <c r="K612" t="e">
        <f>IF(Dashboard!$R$4="All",Data!G1163,IF(Data!K1163=Dashboard!$R$4,Data!G1163,NA()))</f>
        <v>#N/A</v>
      </c>
      <c r="L612" t="str">
        <f t="shared" si="106"/>
        <v/>
      </c>
      <c r="M612" t="str">
        <f t="shared" si="107"/>
        <v/>
      </c>
      <c r="N612" t="str">
        <f t="shared" si="108"/>
        <v/>
      </c>
      <c r="O612" t="str">
        <f>IF(L612&lt;&gt;"",Data!$M1163,"")</f>
        <v/>
      </c>
      <c r="T612">
        <f>IF(OR(Dashboard!$P$4="All",Dashboard!$R$4="All"),NA(),IF(OR(Data!K1163&lt;&gt;Dashboard!$P$4,Data!K1163&lt;&gt;Dashboard!$R$4),Data!G1163,NA()))</f>
        <v>48000</v>
      </c>
      <c r="V612" s="9"/>
      <c r="AI612" s="13" t="s">
        <v>3805</v>
      </c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>
        <v>80000</v>
      </c>
      <c r="AY612" s="8">
        <v>1</v>
      </c>
      <c r="AZ612" s="8"/>
      <c r="BA612" s="8"/>
      <c r="BB612" s="8"/>
      <c r="BC612" s="8"/>
      <c r="BQ612" s="13" t="s">
        <v>3805</v>
      </c>
      <c r="BR612" s="8"/>
      <c r="BS612" s="8"/>
      <c r="BT612" s="8">
        <v>80000</v>
      </c>
      <c r="BU612" s="8"/>
      <c r="BV612" s="8"/>
    </row>
    <row r="613" spans="2:74">
      <c r="B613" t="e">
        <f>IF(Dashboard!$P$4="All",Data!G1164,IF(Data!K1164=Dashboard!$P$4,Data!G1164,NA()))</f>
        <v>#N/A</v>
      </c>
      <c r="C613" t="str">
        <f t="shared" si="103"/>
        <v/>
      </c>
      <c r="D613" t="str">
        <f t="shared" si="104"/>
        <v/>
      </c>
      <c r="E613" t="str">
        <f t="shared" si="105"/>
        <v/>
      </c>
      <c r="F613" t="str">
        <f>IF(C613&lt;&gt;"",Data!$M1164,"")</f>
        <v/>
      </c>
      <c r="K613" t="e">
        <f>IF(Dashboard!$R$4="All",Data!G1164,IF(Data!K1164=Dashboard!$R$4,Data!G1164,NA()))</f>
        <v>#N/A</v>
      </c>
      <c r="L613" t="str">
        <f t="shared" si="106"/>
        <v/>
      </c>
      <c r="M613" t="str">
        <f t="shared" si="107"/>
        <v/>
      </c>
      <c r="N613" t="str">
        <f t="shared" si="108"/>
        <v/>
      </c>
      <c r="O613" t="str">
        <f>IF(L613&lt;&gt;"",Data!$M1164,"")</f>
        <v/>
      </c>
      <c r="T613">
        <f>IF(OR(Dashboard!$P$4="All",Dashboard!$R$4="All"),NA(),IF(OR(Data!K1164&lt;&gt;Dashboard!$P$4,Data!K1164&lt;&gt;Dashboard!$R$4),Data!G1164,NA()))</f>
        <v>24000</v>
      </c>
      <c r="V613" s="9"/>
      <c r="AI613" s="13" t="s">
        <v>3806</v>
      </c>
      <c r="AJ613" s="8"/>
      <c r="AK613" s="8"/>
      <c r="AL613" s="8"/>
      <c r="AM613" s="8"/>
      <c r="AN613" s="8"/>
      <c r="AO613" s="8"/>
      <c r="AP613" s="8">
        <v>118000</v>
      </c>
      <c r="AQ613" s="8">
        <v>1</v>
      </c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Q613" s="13" t="s">
        <v>3806</v>
      </c>
      <c r="BR613" s="8"/>
      <c r="BS613" s="8"/>
      <c r="BT613" s="8">
        <v>118000</v>
      </c>
      <c r="BU613" s="8"/>
      <c r="BV613" s="8"/>
    </row>
    <row r="614" spans="2:74">
      <c r="B614" t="e">
        <f>IF(Dashboard!$P$4="All",Data!G1165,IF(Data!K1165=Dashboard!$P$4,Data!G1165,NA()))</f>
        <v>#N/A</v>
      </c>
      <c r="C614" t="str">
        <f t="shared" si="103"/>
        <v/>
      </c>
      <c r="D614" t="str">
        <f t="shared" si="104"/>
        <v/>
      </c>
      <c r="E614" t="str">
        <f t="shared" si="105"/>
        <v/>
      </c>
      <c r="F614" t="str">
        <f>IF(C614&lt;&gt;"",Data!$M1165,"")</f>
        <v/>
      </c>
      <c r="K614" t="e">
        <f>IF(Dashboard!$R$4="All",Data!G1165,IF(Data!K1165=Dashboard!$R$4,Data!G1165,NA()))</f>
        <v>#N/A</v>
      </c>
      <c r="L614" t="str">
        <f t="shared" si="106"/>
        <v/>
      </c>
      <c r="M614" t="str">
        <f t="shared" si="107"/>
        <v/>
      </c>
      <c r="N614" t="str">
        <f t="shared" si="108"/>
        <v/>
      </c>
      <c r="O614" t="str">
        <f>IF(L614&lt;&gt;"",Data!$M1165,"")</f>
        <v/>
      </c>
      <c r="T614">
        <f>IF(OR(Dashboard!$P$4="All",Dashboard!$R$4="All"),NA(),IF(OR(Data!K1165&lt;&gt;Dashboard!$P$4,Data!K1165&lt;&gt;Dashboard!$R$4),Data!G1165,NA()))</f>
        <v>75000</v>
      </c>
      <c r="V614" s="9"/>
      <c r="AI614" s="13" t="s">
        <v>3810</v>
      </c>
      <c r="AJ614" s="8">
        <v>50000</v>
      </c>
      <c r="AK614" s="8">
        <v>1</v>
      </c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Q614" s="13" t="s">
        <v>3810</v>
      </c>
      <c r="BR614" s="8"/>
      <c r="BS614" s="8"/>
      <c r="BT614" s="8"/>
      <c r="BU614" s="8">
        <v>50000</v>
      </c>
      <c r="BV614" s="8"/>
    </row>
    <row r="615" spans="2:74">
      <c r="B615" t="e">
        <f>IF(Dashboard!$P$4="All",Data!G1166,IF(Data!K1166=Dashboard!$P$4,Data!G1166,NA()))</f>
        <v>#N/A</v>
      </c>
      <c r="C615" t="str">
        <f t="shared" si="103"/>
        <v/>
      </c>
      <c r="D615" t="str">
        <f t="shared" si="104"/>
        <v/>
      </c>
      <c r="E615" t="str">
        <f t="shared" si="105"/>
        <v/>
      </c>
      <c r="F615" t="str">
        <f>IF(C615&lt;&gt;"",Data!$M1166,"")</f>
        <v/>
      </c>
      <c r="K615" t="e">
        <f>IF(Dashboard!$R$4="All",Data!G1166,IF(Data!K1166=Dashboard!$R$4,Data!G1166,NA()))</f>
        <v>#N/A</v>
      </c>
      <c r="L615" t="str">
        <f t="shared" si="106"/>
        <v/>
      </c>
      <c r="M615" t="str">
        <f t="shared" si="107"/>
        <v/>
      </c>
      <c r="N615" t="str">
        <f t="shared" si="108"/>
        <v/>
      </c>
      <c r="O615" t="str">
        <f>IF(L615&lt;&gt;"",Data!$M1166,"")</f>
        <v/>
      </c>
      <c r="T615">
        <f>IF(OR(Dashboard!$P$4="All",Dashboard!$R$4="All"),NA(),IF(OR(Data!K1166&lt;&gt;Dashboard!$P$4,Data!K1166&lt;&gt;Dashboard!$R$4),Data!G1166,NA()))</f>
        <v>58799.349940520107</v>
      </c>
      <c r="V615" s="9"/>
      <c r="AI615" s="13" t="s">
        <v>3812</v>
      </c>
      <c r="AJ615" s="8">
        <v>60000</v>
      </c>
      <c r="AK615" s="8">
        <v>1</v>
      </c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Q615" s="13" t="s">
        <v>3812</v>
      </c>
      <c r="BR615" s="8"/>
      <c r="BS615" s="8">
        <v>60000</v>
      </c>
      <c r="BT615" s="8"/>
      <c r="BU615" s="8"/>
      <c r="BV615" s="8"/>
    </row>
    <row r="616" spans="2:74">
      <c r="B616" t="e">
        <f>IF(Dashboard!$P$4="All",Data!G1167,IF(Data!K1167=Dashboard!$P$4,Data!G1167,NA()))</f>
        <v>#N/A</v>
      </c>
      <c r="C616" t="str">
        <f t="shared" si="103"/>
        <v/>
      </c>
      <c r="D616" t="str">
        <f t="shared" si="104"/>
        <v/>
      </c>
      <c r="E616" t="str">
        <f t="shared" si="105"/>
        <v/>
      </c>
      <c r="F616" t="str">
        <f>IF(C616&lt;&gt;"",Data!$M1167,"")</f>
        <v/>
      </c>
      <c r="K616" t="e">
        <f>IF(Dashboard!$R$4="All",Data!G1167,IF(Data!K1167=Dashboard!$R$4,Data!G1167,NA()))</f>
        <v>#N/A</v>
      </c>
      <c r="L616" t="str">
        <f t="shared" si="106"/>
        <v/>
      </c>
      <c r="M616" t="str">
        <f t="shared" si="107"/>
        <v/>
      </c>
      <c r="N616" t="str">
        <f t="shared" si="108"/>
        <v/>
      </c>
      <c r="O616" t="str">
        <f>IF(L616&lt;&gt;"",Data!$M1167,"")</f>
        <v/>
      </c>
      <c r="T616">
        <f>IF(OR(Dashboard!$P$4="All",Dashboard!$R$4="All"),NA(),IF(OR(Data!K1167&lt;&gt;Dashboard!$P$4,Data!K1167&lt;&gt;Dashboard!$R$4),Data!G1167,NA()))</f>
        <v>21228.177433598263</v>
      </c>
      <c r="V616" s="9"/>
      <c r="AI616" s="13" t="s">
        <v>3814</v>
      </c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>
        <v>40000</v>
      </c>
      <c r="AU616" s="8">
        <v>1</v>
      </c>
      <c r="AV616" s="8"/>
      <c r="AW616" s="8"/>
      <c r="AX616" s="8"/>
      <c r="AY616" s="8"/>
      <c r="AZ616" s="8"/>
      <c r="BA616" s="8"/>
      <c r="BB616" s="8"/>
      <c r="BC616" s="8"/>
      <c r="BQ616" s="13" t="s">
        <v>3814</v>
      </c>
      <c r="BR616" s="8"/>
      <c r="BS616" s="8"/>
      <c r="BT616" s="8">
        <v>40000</v>
      </c>
      <c r="BU616" s="8"/>
      <c r="BV616" s="8"/>
    </row>
    <row r="617" spans="2:74">
      <c r="B617" t="e">
        <f>IF(Dashboard!$P$4="All",Data!G1168,IF(Data!K1168=Dashboard!$P$4,Data!G1168,NA()))</f>
        <v>#N/A</v>
      </c>
      <c r="C617" t="str">
        <f t="shared" si="103"/>
        <v/>
      </c>
      <c r="D617" t="str">
        <f t="shared" si="104"/>
        <v/>
      </c>
      <c r="E617" t="str">
        <f t="shared" si="105"/>
        <v/>
      </c>
      <c r="F617" t="str">
        <f>IF(C617&lt;&gt;"",Data!$M1168,"")</f>
        <v/>
      </c>
      <c r="K617" t="e">
        <f>IF(Dashboard!$R$4="All",Data!G1168,IF(Data!K1168=Dashboard!$R$4,Data!G1168,NA()))</f>
        <v>#N/A</v>
      </c>
      <c r="L617" t="str">
        <f t="shared" si="106"/>
        <v/>
      </c>
      <c r="M617" t="str">
        <f t="shared" si="107"/>
        <v/>
      </c>
      <c r="N617" t="str">
        <f t="shared" si="108"/>
        <v/>
      </c>
      <c r="O617" t="str">
        <f>IF(L617&lt;&gt;"",Data!$M1168,"")</f>
        <v/>
      </c>
      <c r="T617">
        <f>IF(OR(Dashboard!$P$4="All",Dashboard!$R$4="All"),NA(),IF(OR(Data!K1168&lt;&gt;Dashboard!$P$4,Data!K1168&lt;&gt;Dashboard!$R$4),Data!G1168,NA()))</f>
        <v>60000</v>
      </c>
      <c r="V617" s="9"/>
      <c r="AI617" s="13" t="s">
        <v>3815</v>
      </c>
      <c r="AJ617" s="8"/>
      <c r="AK617" s="8"/>
      <c r="AL617" s="8"/>
      <c r="AM617" s="8"/>
      <c r="AN617" s="8"/>
      <c r="AO617" s="8"/>
      <c r="AP617" s="8">
        <v>85000</v>
      </c>
      <c r="AQ617" s="8">
        <v>1</v>
      </c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Q617" s="13" t="s">
        <v>3815</v>
      </c>
      <c r="BR617" s="8"/>
      <c r="BS617" s="8">
        <v>85000</v>
      </c>
      <c r="BT617" s="8"/>
      <c r="BU617" s="8"/>
      <c r="BV617" s="8"/>
    </row>
    <row r="618" spans="2:74">
      <c r="B618" t="e">
        <f>IF(Dashboard!$P$4="All",Data!G1169,IF(Data!K1169=Dashboard!$P$4,Data!G1169,NA()))</f>
        <v>#N/A</v>
      </c>
      <c r="C618" t="str">
        <f t="shared" si="103"/>
        <v/>
      </c>
      <c r="D618" t="str">
        <f t="shared" si="104"/>
        <v/>
      </c>
      <c r="E618" t="str">
        <f t="shared" si="105"/>
        <v/>
      </c>
      <c r="F618" t="str">
        <f>IF(C618&lt;&gt;"",Data!$M1169,"")</f>
        <v/>
      </c>
      <c r="K618" t="e">
        <f>IF(Dashboard!$R$4="All",Data!G1169,IF(Data!K1169=Dashboard!$R$4,Data!G1169,NA()))</f>
        <v>#N/A</v>
      </c>
      <c r="L618" t="str">
        <f t="shared" si="106"/>
        <v/>
      </c>
      <c r="M618" t="str">
        <f t="shared" si="107"/>
        <v/>
      </c>
      <c r="N618" t="str">
        <f t="shared" si="108"/>
        <v/>
      </c>
      <c r="O618" t="str">
        <f>IF(L618&lt;&gt;"",Data!$M1169,"")</f>
        <v/>
      </c>
      <c r="T618">
        <f>IF(OR(Dashboard!$P$4="All",Dashboard!$R$4="All"),NA(),IF(OR(Data!K1169&lt;&gt;Dashboard!$P$4,Data!K1169&lt;&gt;Dashboard!$R$4),Data!G1169,NA()))</f>
        <v>18018.883790212141</v>
      </c>
      <c r="V618" s="9"/>
      <c r="AI618" s="13" t="s">
        <v>3818</v>
      </c>
      <c r="AJ618" s="8"/>
      <c r="AK618" s="8"/>
      <c r="AL618" s="8"/>
      <c r="AM618" s="8"/>
      <c r="AN618" s="8"/>
      <c r="AO618" s="8"/>
      <c r="AP618" s="8"/>
      <c r="AQ618" s="8"/>
      <c r="AR618" s="8">
        <v>29000</v>
      </c>
      <c r="AS618" s="8">
        <v>1</v>
      </c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Q618" s="13" t="s">
        <v>3818</v>
      </c>
      <c r="BR618" s="8"/>
      <c r="BS618" s="8"/>
      <c r="BT618" s="8"/>
      <c r="BU618" s="8">
        <v>29000</v>
      </c>
      <c r="BV618" s="8"/>
    </row>
    <row r="619" spans="2:74">
      <c r="B619" t="e">
        <f>IF(Dashboard!$P$4="All",Data!G1170,IF(Data!K1170=Dashboard!$P$4,Data!G1170,NA()))</f>
        <v>#N/A</v>
      </c>
      <c r="C619" t="str">
        <f t="shared" si="103"/>
        <v/>
      </c>
      <c r="D619" t="str">
        <f t="shared" si="104"/>
        <v/>
      </c>
      <c r="E619" t="str">
        <f t="shared" si="105"/>
        <v/>
      </c>
      <c r="F619" t="str">
        <f>IF(C619&lt;&gt;"",Data!$M1170,"")</f>
        <v/>
      </c>
      <c r="K619" t="e">
        <f>IF(Dashboard!$R$4="All",Data!G1170,IF(Data!K1170=Dashboard!$R$4,Data!G1170,NA()))</f>
        <v>#N/A</v>
      </c>
      <c r="L619" t="str">
        <f t="shared" si="106"/>
        <v/>
      </c>
      <c r="M619" t="str">
        <f t="shared" si="107"/>
        <v/>
      </c>
      <c r="N619" t="str">
        <f t="shared" si="108"/>
        <v/>
      </c>
      <c r="O619" t="str">
        <f>IF(L619&lt;&gt;"",Data!$M1170,"")</f>
        <v/>
      </c>
      <c r="T619">
        <f>IF(OR(Dashboard!$P$4="All",Dashboard!$R$4="All"),NA(),IF(OR(Data!K1170&lt;&gt;Dashboard!$P$4,Data!K1170&lt;&gt;Dashboard!$R$4),Data!G1170,NA()))</f>
        <v>7200</v>
      </c>
      <c r="V619" s="9"/>
      <c r="AI619" s="13" t="s">
        <v>3819</v>
      </c>
      <c r="AJ619" s="8"/>
      <c r="AK619" s="8"/>
      <c r="AL619" s="8"/>
      <c r="AM619" s="8"/>
      <c r="AN619" s="8">
        <v>48000</v>
      </c>
      <c r="AO619" s="8">
        <v>1</v>
      </c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Q619" s="13" t="s">
        <v>3819</v>
      </c>
      <c r="BR619" s="8"/>
      <c r="BS619" s="8"/>
      <c r="BT619" s="8">
        <v>48000</v>
      </c>
      <c r="BU619" s="8"/>
      <c r="BV619" s="8"/>
    </row>
    <row r="620" spans="2:74">
      <c r="B620" t="e">
        <f>IF(Dashboard!$P$4="All",Data!G1171,IF(Data!K1171=Dashboard!$P$4,Data!G1171,NA()))</f>
        <v>#N/A</v>
      </c>
      <c r="C620" t="str">
        <f t="shared" si="103"/>
        <v/>
      </c>
      <c r="D620" t="str">
        <f t="shared" si="104"/>
        <v/>
      </c>
      <c r="E620" t="str">
        <f t="shared" si="105"/>
        <v/>
      </c>
      <c r="F620" t="str">
        <f>IF(C620&lt;&gt;"",Data!$M1171,"")</f>
        <v/>
      </c>
      <c r="K620" t="e">
        <f>IF(Dashboard!$R$4="All",Data!G1171,IF(Data!K1171=Dashboard!$R$4,Data!G1171,NA()))</f>
        <v>#N/A</v>
      </c>
      <c r="L620" t="str">
        <f t="shared" si="106"/>
        <v/>
      </c>
      <c r="M620" t="str">
        <f t="shared" si="107"/>
        <v/>
      </c>
      <c r="N620" t="str">
        <f t="shared" si="108"/>
        <v/>
      </c>
      <c r="O620" t="str">
        <f>IF(L620&lt;&gt;"",Data!$M1171,"")</f>
        <v/>
      </c>
      <c r="T620">
        <f>IF(OR(Dashboard!$P$4="All",Dashboard!$R$4="All"),NA(),IF(OR(Data!K1171&lt;&gt;Dashboard!$P$4,Data!K1171&lt;&gt;Dashboard!$R$4),Data!G1171,NA()))</f>
        <v>56000</v>
      </c>
      <c r="V620" s="9"/>
      <c r="AI620" s="13" t="s">
        <v>3820</v>
      </c>
      <c r="AJ620" s="8"/>
      <c r="AK620" s="8"/>
      <c r="AL620" s="8"/>
      <c r="AM620" s="8"/>
      <c r="AN620" s="8">
        <v>48000</v>
      </c>
      <c r="AO620" s="8">
        <v>1</v>
      </c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Q620" s="13" t="s">
        <v>3820</v>
      </c>
      <c r="BR620" s="8"/>
      <c r="BS620" s="8"/>
      <c r="BT620" s="8">
        <v>48000</v>
      </c>
      <c r="BU620" s="8"/>
      <c r="BV620" s="8"/>
    </row>
    <row r="621" spans="2:74">
      <c r="B621" t="e">
        <f>IF(Dashboard!$P$4="All",Data!G1172,IF(Data!K1172=Dashboard!$P$4,Data!G1172,NA()))</f>
        <v>#N/A</v>
      </c>
      <c r="C621" t="str">
        <f t="shared" si="103"/>
        <v/>
      </c>
      <c r="D621" t="str">
        <f t="shared" si="104"/>
        <v/>
      </c>
      <c r="E621" t="str">
        <f t="shared" si="105"/>
        <v/>
      </c>
      <c r="F621" t="str">
        <f>IF(C621&lt;&gt;"",Data!$M1172,"")</f>
        <v/>
      </c>
      <c r="K621" t="e">
        <f>IF(Dashboard!$R$4="All",Data!G1172,IF(Data!K1172=Dashboard!$R$4,Data!G1172,NA()))</f>
        <v>#N/A</v>
      </c>
      <c r="L621" t="str">
        <f t="shared" si="106"/>
        <v/>
      </c>
      <c r="M621" t="str">
        <f t="shared" si="107"/>
        <v/>
      </c>
      <c r="N621" t="str">
        <f t="shared" si="108"/>
        <v/>
      </c>
      <c r="O621" t="str">
        <f>IF(L621&lt;&gt;"",Data!$M1172,"")</f>
        <v/>
      </c>
      <c r="T621">
        <f>IF(OR(Dashboard!$P$4="All",Dashboard!$R$4="All"),NA(),IF(OR(Data!K1172&lt;&gt;Dashboard!$P$4,Data!K1172&lt;&gt;Dashboard!$R$4),Data!G1172,NA()))</f>
        <v>9616.275011218986</v>
      </c>
      <c r="V621" s="9"/>
      <c r="AI621" s="13" t="s">
        <v>3827</v>
      </c>
      <c r="AJ621" s="8"/>
      <c r="AK621" s="8"/>
      <c r="AL621" s="8">
        <v>112000</v>
      </c>
      <c r="AM621" s="8">
        <v>1</v>
      </c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Q621" s="13" t="s">
        <v>3827</v>
      </c>
      <c r="BR621" s="8"/>
      <c r="BS621" s="8">
        <v>112000</v>
      </c>
      <c r="BT621" s="8"/>
      <c r="BU621" s="8"/>
      <c r="BV621" s="8"/>
    </row>
    <row r="622" spans="2:74">
      <c r="B622" t="e">
        <f>IF(Dashboard!$P$4="All",Data!G1173,IF(Data!K1173=Dashboard!$P$4,Data!G1173,NA()))</f>
        <v>#N/A</v>
      </c>
      <c r="C622" t="str">
        <f t="shared" si="103"/>
        <v/>
      </c>
      <c r="D622" t="str">
        <f t="shared" si="104"/>
        <v/>
      </c>
      <c r="E622" t="str">
        <f t="shared" si="105"/>
        <v/>
      </c>
      <c r="F622" t="str">
        <f>IF(C622&lt;&gt;"",Data!$M1173,"")</f>
        <v/>
      </c>
      <c r="K622" t="e">
        <f>IF(Dashboard!$R$4="All",Data!G1173,IF(Data!K1173=Dashboard!$R$4,Data!G1173,NA()))</f>
        <v>#N/A</v>
      </c>
      <c r="L622" t="str">
        <f t="shared" si="106"/>
        <v/>
      </c>
      <c r="M622" t="str">
        <f t="shared" si="107"/>
        <v/>
      </c>
      <c r="N622" t="str">
        <f t="shared" si="108"/>
        <v/>
      </c>
      <c r="O622" t="str">
        <f>IF(L622&lt;&gt;"",Data!$M1173,"")</f>
        <v/>
      </c>
      <c r="T622">
        <f>IF(OR(Dashboard!$P$4="All",Dashboard!$R$4="All"),NA(),IF(OR(Data!K1173&lt;&gt;Dashboard!$P$4,Data!K1173&lt;&gt;Dashboard!$R$4),Data!G1173,NA()))</f>
        <v>51497.005988023957</v>
      </c>
      <c r="V622" s="9"/>
      <c r="AI622" s="13" t="s">
        <v>3831</v>
      </c>
      <c r="AJ622" s="8"/>
      <c r="AK622" s="8"/>
      <c r="AL622" s="8">
        <v>72000</v>
      </c>
      <c r="AM622" s="8">
        <v>1</v>
      </c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Q622" s="13" t="s">
        <v>3831</v>
      </c>
      <c r="BR622" s="8"/>
      <c r="BS622" s="8"/>
      <c r="BT622" s="8">
        <v>72000</v>
      </c>
      <c r="BU622" s="8"/>
      <c r="BV622" s="8"/>
    </row>
    <row r="623" spans="2:74">
      <c r="B623">
        <f>IF(Dashboard!$P$4="All",Data!G1174,IF(Data!K1174=Dashboard!$P$4,Data!G1174,NA()))</f>
        <v>104172.75399731184</v>
      </c>
      <c r="C623">
        <f t="shared" si="103"/>
        <v>104172.75399731184</v>
      </c>
      <c r="D623">
        <f t="shared" si="104"/>
        <v>104172.75399731184</v>
      </c>
      <c r="E623" t="str">
        <f t="shared" si="105"/>
        <v/>
      </c>
      <c r="F623">
        <f>IF(C623&lt;&gt;"",Data!$M1174,"")</f>
        <v>25</v>
      </c>
      <c r="K623" t="e">
        <f>IF(Dashboard!$R$4="All",Data!G1174,IF(Data!K1174=Dashboard!$R$4,Data!G1174,NA()))</f>
        <v>#N/A</v>
      </c>
      <c r="L623" t="str">
        <f t="shared" si="106"/>
        <v/>
      </c>
      <c r="M623" t="str">
        <f t="shared" si="107"/>
        <v/>
      </c>
      <c r="N623" t="str">
        <f t="shared" si="108"/>
        <v/>
      </c>
      <c r="O623" t="str">
        <f>IF(L623&lt;&gt;"",Data!$M1174,"")</f>
        <v/>
      </c>
      <c r="T623">
        <f>IF(OR(Dashboard!$P$4="All",Dashboard!$R$4="All"),NA(),IF(OR(Data!K1174&lt;&gt;Dashboard!$P$4,Data!K1174&lt;&gt;Dashboard!$R$4),Data!G1174,NA()))</f>
        <v>104172.75399731184</v>
      </c>
      <c r="V623" s="9"/>
      <c r="AI623" s="13" t="s">
        <v>3832</v>
      </c>
      <c r="AJ623" s="8">
        <v>60000</v>
      </c>
      <c r="AK623" s="8">
        <v>1</v>
      </c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Q623" s="13" t="s">
        <v>3832</v>
      </c>
      <c r="BR623" s="8"/>
      <c r="BS623" s="8"/>
      <c r="BT623" s="8"/>
      <c r="BU623" s="8">
        <v>60000</v>
      </c>
      <c r="BV623" s="8"/>
    </row>
    <row r="624" spans="2:74">
      <c r="B624" t="e">
        <f>IF(Dashboard!$P$4="All",Data!G1175,IF(Data!K1175=Dashboard!$P$4,Data!G1175,NA()))</f>
        <v>#N/A</v>
      </c>
      <c r="C624" t="str">
        <f t="shared" si="103"/>
        <v/>
      </c>
      <c r="D624" t="str">
        <f t="shared" si="104"/>
        <v/>
      </c>
      <c r="E624" t="str">
        <f t="shared" si="105"/>
        <v/>
      </c>
      <c r="F624" t="str">
        <f>IF(C624&lt;&gt;"",Data!$M1175,"")</f>
        <v/>
      </c>
      <c r="K624" t="e">
        <f>IF(Dashboard!$R$4="All",Data!G1175,IF(Data!K1175=Dashboard!$R$4,Data!G1175,NA()))</f>
        <v>#N/A</v>
      </c>
      <c r="L624" t="str">
        <f t="shared" si="106"/>
        <v/>
      </c>
      <c r="M624" t="str">
        <f t="shared" si="107"/>
        <v/>
      </c>
      <c r="N624" t="str">
        <f t="shared" si="108"/>
        <v/>
      </c>
      <c r="O624" t="str">
        <f>IF(L624&lt;&gt;"",Data!$M1175,"")</f>
        <v/>
      </c>
      <c r="T624">
        <f>IF(OR(Dashboard!$P$4="All",Dashboard!$R$4="All"),NA(),IF(OR(Data!K1175&lt;&gt;Dashboard!$P$4,Data!K1175&lt;&gt;Dashboard!$R$4),Data!G1175,NA()))</f>
        <v>88000</v>
      </c>
      <c r="V624" s="9"/>
      <c r="AI624" s="13" t="s">
        <v>3833</v>
      </c>
      <c r="AJ624" s="8">
        <v>67000</v>
      </c>
      <c r="AK624" s="8">
        <v>1</v>
      </c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Q624" s="13" t="s">
        <v>3833</v>
      </c>
      <c r="BR624" s="8"/>
      <c r="BS624" s="8"/>
      <c r="BT624" s="8">
        <v>67000</v>
      </c>
      <c r="BU624" s="8"/>
      <c r="BV624" s="8"/>
    </row>
    <row r="625" spans="2:74">
      <c r="B625" t="e">
        <f>IF(Dashboard!$P$4="All",Data!G1176,IF(Data!K1176=Dashboard!$P$4,Data!G1176,NA()))</f>
        <v>#N/A</v>
      </c>
      <c r="C625" t="str">
        <f t="shared" si="103"/>
        <v/>
      </c>
      <c r="D625" t="str">
        <f t="shared" si="104"/>
        <v/>
      </c>
      <c r="E625" t="str">
        <f t="shared" si="105"/>
        <v/>
      </c>
      <c r="F625" t="str">
        <f>IF(C625&lt;&gt;"",Data!$M1176,"")</f>
        <v/>
      </c>
      <c r="K625" t="e">
        <f>IF(Dashboard!$R$4="All",Data!G1176,IF(Data!K1176=Dashboard!$R$4,Data!G1176,NA()))</f>
        <v>#N/A</v>
      </c>
      <c r="L625" t="str">
        <f t="shared" si="106"/>
        <v/>
      </c>
      <c r="M625" t="str">
        <f t="shared" si="107"/>
        <v/>
      </c>
      <c r="N625" t="str">
        <f t="shared" si="108"/>
        <v/>
      </c>
      <c r="O625" t="str">
        <f>IF(L625&lt;&gt;"",Data!$M1176,"")</f>
        <v/>
      </c>
      <c r="T625">
        <f>IF(OR(Dashboard!$P$4="All",Dashboard!$R$4="All"),NA(),IF(OR(Data!K1176&lt;&gt;Dashboard!$P$4,Data!K1176&lt;&gt;Dashboard!$R$4),Data!G1176,NA()))</f>
        <v>80000</v>
      </c>
      <c r="V625" s="9"/>
      <c r="AI625" s="13" t="s">
        <v>3834</v>
      </c>
      <c r="AJ625" s="8">
        <v>54000</v>
      </c>
      <c r="AK625" s="8">
        <v>1</v>
      </c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Q625" s="13" t="s">
        <v>3834</v>
      </c>
      <c r="BR625" s="8"/>
      <c r="BS625" s="8"/>
      <c r="BT625" s="8">
        <v>54000</v>
      </c>
      <c r="BU625" s="8"/>
      <c r="BV625" s="8"/>
    </row>
    <row r="626" spans="2:74">
      <c r="B626" t="e">
        <f>IF(Dashboard!$P$4="All",Data!G1177,IF(Data!K1177=Dashboard!$P$4,Data!G1177,NA()))</f>
        <v>#N/A</v>
      </c>
      <c r="C626" t="str">
        <f t="shared" si="103"/>
        <v/>
      </c>
      <c r="D626" t="str">
        <f t="shared" si="104"/>
        <v/>
      </c>
      <c r="E626" t="str">
        <f t="shared" si="105"/>
        <v/>
      </c>
      <c r="F626" t="str">
        <f>IF(C626&lt;&gt;"",Data!$M1177,"")</f>
        <v/>
      </c>
      <c r="K626">
        <f>IF(Dashboard!$R$4="All",Data!G1177,IF(Data!K1177=Dashboard!$R$4,Data!G1177,NA()))</f>
        <v>19000</v>
      </c>
      <c r="L626">
        <f t="shared" si="106"/>
        <v>19000</v>
      </c>
      <c r="M626" t="str">
        <f t="shared" si="107"/>
        <v/>
      </c>
      <c r="N626">
        <f t="shared" si="108"/>
        <v>19000</v>
      </c>
      <c r="O626">
        <f>IF(L626&lt;&gt;"",Data!$M1177,"")</f>
        <v>20</v>
      </c>
      <c r="T626">
        <f>IF(OR(Dashboard!$P$4="All",Dashboard!$R$4="All"),NA(),IF(OR(Data!K1177&lt;&gt;Dashboard!$P$4,Data!K1177&lt;&gt;Dashboard!$R$4),Data!G1177,NA()))</f>
        <v>19000</v>
      </c>
      <c r="V626" s="9"/>
      <c r="AI626" s="13" t="s">
        <v>3836</v>
      </c>
      <c r="AJ626" s="8">
        <v>63000</v>
      </c>
      <c r="AK626" s="8">
        <v>1</v>
      </c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Q626" s="13" t="s">
        <v>3836</v>
      </c>
      <c r="BR626" s="8"/>
      <c r="BS626" s="8"/>
      <c r="BT626" s="8">
        <v>63000</v>
      </c>
      <c r="BU626" s="8"/>
      <c r="BV626" s="8"/>
    </row>
    <row r="627" spans="2:74">
      <c r="B627" t="e">
        <f>IF(Dashboard!$P$4="All",Data!G1178,IF(Data!K1178=Dashboard!$P$4,Data!G1178,NA()))</f>
        <v>#N/A</v>
      </c>
      <c r="C627" t="str">
        <f t="shared" si="103"/>
        <v/>
      </c>
      <c r="D627" t="str">
        <f t="shared" si="104"/>
        <v/>
      </c>
      <c r="E627" t="str">
        <f t="shared" si="105"/>
        <v/>
      </c>
      <c r="F627" t="str">
        <f>IF(C627&lt;&gt;"",Data!$M1178,"")</f>
        <v/>
      </c>
      <c r="K627" t="e">
        <f>IF(Dashboard!$R$4="All",Data!G1178,IF(Data!K1178=Dashboard!$R$4,Data!G1178,NA()))</f>
        <v>#N/A</v>
      </c>
      <c r="L627" t="str">
        <f t="shared" si="106"/>
        <v/>
      </c>
      <c r="M627" t="str">
        <f t="shared" si="107"/>
        <v/>
      </c>
      <c r="N627" t="str">
        <f t="shared" si="108"/>
        <v/>
      </c>
      <c r="O627" t="str">
        <f>IF(L627&lt;&gt;"",Data!$M1178,"")</f>
        <v/>
      </c>
      <c r="T627">
        <f>IF(OR(Dashboard!$P$4="All",Dashboard!$R$4="All"),NA(),IF(OR(Data!K1178&lt;&gt;Dashboard!$P$4,Data!K1178&lt;&gt;Dashboard!$R$4),Data!G1178,NA()))</f>
        <v>19055.991584874118</v>
      </c>
      <c r="V627" s="9"/>
      <c r="AI627" s="13" t="s">
        <v>3837</v>
      </c>
      <c r="AJ627" s="8">
        <v>63000</v>
      </c>
      <c r="AK627" s="8">
        <v>1</v>
      </c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Q627" s="13" t="s">
        <v>3837</v>
      </c>
      <c r="BR627" s="8"/>
      <c r="BS627" s="8"/>
      <c r="BT627" s="8"/>
      <c r="BU627" s="8">
        <v>63000</v>
      </c>
      <c r="BV627" s="8"/>
    </row>
    <row r="628" spans="2:74">
      <c r="B628" t="e">
        <f>IF(Dashboard!$P$4="All",Data!G1179,IF(Data!K1179=Dashboard!$P$4,Data!G1179,NA()))</f>
        <v>#N/A</v>
      </c>
      <c r="C628" t="str">
        <f t="shared" si="103"/>
        <v/>
      </c>
      <c r="D628" t="str">
        <f t="shared" si="104"/>
        <v/>
      </c>
      <c r="E628" t="str">
        <f t="shared" si="105"/>
        <v/>
      </c>
      <c r="F628" t="str">
        <f>IF(C628&lt;&gt;"",Data!$M1179,"")</f>
        <v/>
      </c>
      <c r="K628" t="e">
        <f>IF(Dashboard!$R$4="All",Data!G1179,IF(Data!K1179=Dashboard!$R$4,Data!G1179,NA()))</f>
        <v>#N/A</v>
      </c>
      <c r="L628" t="str">
        <f t="shared" si="106"/>
        <v/>
      </c>
      <c r="M628" t="str">
        <f t="shared" si="107"/>
        <v/>
      </c>
      <c r="N628" t="str">
        <f t="shared" si="108"/>
        <v/>
      </c>
      <c r="O628" t="str">
        <f>IF(L628&lt;&gt;"",Data!$M1179,"")</f>
        <v/>
      </c>
      <c r="T628">
        <f>IF(OR(Dashboard!$P$4="All",Dashboard!$R$4="All"),NA(),IF(OR(Data!K1179&lt;&gt;Dashboard!$P$4,Data!K1179&lt;&gt;Dashboard!$R$4),Data!G1179,NA()))</f>
        <v>8547.8000099724322</v>
      </c>
      <c r="V628" s="9"/>
      <c r="AI628" s="13" t="s">
        <v>3853</v>
      </c>
      <c r="AJ628" s="8">
        <v>46000</v>
      </c>
      <c r="AK628" s="8">
        <v>1</v>
      </c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Q628" s="13" t="s">
        <v>3853</v>
      </c>
      <c r="BR628" s="8"/>
      <c r="BS628" s="8"/>
      <c r="BT628" s="8"/>
      <c r="BU628" s="8">
        <v>46000</v>
      </c>
      <c r="BV628" s="8"/>
    </row>
    <row r="629" spans="2:74">
      <c r="B629" t="e">
        <f>IF(Dashboard!$P$4="All",Data!G1180,IF(Data!K1180=Dashboard!$P$4,Data!G1180,NA()))</f>
        <v>#N/A</v>
      </c>
      <c r="C629" t="str">
        <f t="shared" si="103"/>
        <v/>
      </c>
      <c r="D629" t="str">
        <f t="shared" si="104"/>
        <v/>
      </c>
      <c r="E629" t="str">
        <f t="shared" si="105"/>
        <v/>
      </c>
      <c r="F629" t="str">
        <f>IF(C629&lt;&gt;"",Data!$M1180,"")</f>
        <v/>
      </c>
      <c r="K629" t="e">
        <f>IF(Dashboard!$R$4="All",Data!G1180,IF(Data!K1180=Dashboard!$R$4,Data!G1180,NA()))</f>
        <v>#N/A</v>
      </c>
      <c r="L629" t="str">
        <f t="shared" si="106"/>
        <v/>
      </c>
      <c r="M629" t="str">
        <f t="shared" si="107"/>
        <v/>
      </c>
      <c r="N629" t="str">
        <f t="shared" si="108"/>
        <v/>
      </c>
      <c r="O629" t="str">
        <f>IF(L629&lt;&gt;"",Data!$M1180,"")</f>
        <v/>
      </c>
      <c r="T629">
        <f>IF(OR(Dashboard!$P$4="All",Dashboard!$R$4="All"),NA(),IF(OR(Data!K1180&lt;&gt;Dashboard!$P$4,Data!K1180&lt;&gt;Dashboard!$R$4),Data!G1180,NA()))</f>
        <v>19588.708356186824</v>
      </c>
      <c r="V629" s="9"/>
      <c r="AI629" s="13" t="s">
        <v>3858</v>
      </c>
      <c r="AJ629" s="8"/>
      <c r="AK629" s="8"/>
      <c r="AL629" s="8"/>
      <c r="AM629" s="8"/>
      <c r="AN629" s="8">
        <v>45000</v>
      </c>
      <c r="AO629" s="8">
        <v>1</v>
      </c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Q629" s="13" t="s">
        <v>3858</v>
      </c>
      <c r="BR629" s="8"/>
      <c r="BS629" s="8">
        <v>45000</v>
      </c>
      <c r="BT629" s="8"/>
      <c r="BU629" s="8"/>
      <c r="BV629" s="8"/>
    </row>
    <row r="630" spans="2:74">
      <c r="B630" t="e">
        <f>IF(Dashboard!$P$4="All",Data!G1181,IF(Data!K1181=Dashboard!$P$4,Data!G1181,NA()))</f>
        <v>#N/A</v>
      </c>
      <c r="C630" t="str">
        <f t="shared" si="103"/>
        <v/>
      </c>
      <c r="D630" t="str">
        <f t="shared" si="104"/>
        <v/>
      </c>
      <c r="E630" t="str">
        <f t="shared" si="105"/>
        <v/>
      </c>
      <c r="F630" t="str">
        <f>IF(C630&lt;&gt;"",Data!$M1181,"")</f>
        <v/>
      </c>
      <c r="K630" t="e">
        <f>IF(Dashboard!$R$4="All",Data!G1181,IF(Data!K1181=Dashboard!$R$4,Data!G1181,NA()))</f>
        <v>#N/A</v>
      </c>
      <c r="L630" t="str">
        <f t="shared" si="106"/>
        <v/>
      </c>
      <c r="M630" t="str">
        <f t="shared" si="107"/>
        <v/>
      </c>
      <c r="N630" t="str">
        <f t="shared" si="108"/>
        <v/>
      </c>
      <c r="O630" t="str">
        <f>IF(L630&lt;&gt;"",Data!$M1181,"")</f>
        <v/>
      </c>
      <c r="T630">
        <f>IF(OR(Dashboard!$P$4="All",Dashboard!$R$4="All"),NA(),IF(OR(Data!K1181&lt;&gt;Dashboard!$P$4,Data!K1181&lt;&gt;Dashboard!$R$4),Data!G1181,NA()))</f>
        <v>61000</v>
      </c>
      <c r="V630" s="9"/>
      <c r="AI630" s="13" t="s">
        <v>3860</v>
      </c>
      <c r="AJ630" s="8">
        <v>43000</v>
      </c>
      <c r="AK630" s="8">
        <v>1</v>
      </c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Q630" s="13" t="s">
        <v>3860</v>
      </c>
      <c r="BR630" s="8"/>
      <c r="BS630" s="8"/>
      <c r="BT630" s="8">
        <v>43000</v>
      </c>
      <c r="BU630" s="8"/>
      <c r="BV630" s="8"/>
    </row>
    <row r="631" spans="2:74">
      <c r="B631" t="e">
        <f>IF(Dashboard!$P$4="All",Data!G1182,IF(Data!K1182=Dashboard!$P$4,Data!G1182,NA()))</f>
        <v>#N/A</v>
      </c>
      <c r="C631" t="str">
        <f t="shared" si="103"/>
        <v/>
      </c>
      <c r="D631" t="str">
        <f t="shared" si="104"/>
        <v/>
      </c>
      <c r="E631" t="str">
        <f t="shared" si="105"/>
        <v/>
      </c>
      <c r="F631" t="str">
        <f>IF(C631&lt;&gt;"",Data!$M1182,"")</f>
        <v/>
      </c>
      <c r="K631">
        <f>IF(Dashboard!$R$4="All",Data!G1182,IF(Data!K1182=Dashboard!$R$4,Data!G1182,NA()))</f>
        <v>53590.061250287661</v>
      </c>
      <c r="L631">
        <f t="shared" si="106"/>
        <v>53590.061250287661</v>
      </c>
      <c r="M631" t="str">
        <f t="shared" si="107"/>
        <v/>
      </c>
      <c r="N631" t="str">
        <f t="shared" si="108"/>
        <v/>
      </c>
      <c r="O631">
        <f>IF(L631&lt;&gt;"",Data!$M1182,"")</f>
        <v>10</v>
      </c>
      <c r="T631">
        <f>IF(OR(Dashboard!$P$4="All",Dashboard!$R$4="All"),NA(),IF(OR(Data!K1182&lt;&gt;Dashboard!$P$4,Data!K1182&lt;&gt;Dashboard!$R$4),Data!G1182,NA()))</f>
        <v>53590.061250287661</v>
      </c>
      <c r="V631" s="9"/>
      <c r="AI631" s="13" t="s">
        <v>3862</v>
      </c>
      <c r="AJ631" s="8">
        <v>48000</v>
      </c>
      <c r="AK631" s="8">
        <v>1</v>
      </c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Q631" s="13" t="s">
        <v>3862</v>
      </c>
      <c r="BR631" s="8"/>
      <c r="BS631" s="8"/>
      <c r="BT631" s="8">
        <v>48000</v>
      </c>
      <c r="BU631" s="8"/>
      <c r="BV631" s="8"/>
    </row>
    <row r="632" spans="2:74">
      <c r="B632" t="e">
        <f>IF(Dashboard!$P$4="All",Data!G1183,IF(Data!K1183=Dashboard!$P$4,Data!G1183,NA()))</f>
        <v>#N/A</v>
      </c>
      <c r="C632" t="str">
        <f t="shared" si="103"/>
        <v/>
      </c>
      <c r="D632" t="str">
        <f t="shared" si="104"/>
        <v/>
      </c>
      <c r="E632" t="str">
        <f t="shared" si="105"/>
        <v/>
      </c>
      <c r="F632" t="str">
        <f>IF(C632&lt;&gt;"",Data!$M1183,"")</f>
        <v/>
      </c>
      <c r="K632">
        <f>IF(Dashboard!$R$4="All",Data!G1183,IF(Data!K1183=Dashboard!$R$4,Data!G1183,NA()))</f>
        <v>53590.061250287661</v>
      </c>
      <c r="L632">
        <f t="shared" si="106"/>
        <v>53590.061250287661</v>
      </c>
      <c r="M632" t="str">
        <f t="shared" si="107"/>
        <v/>
      </c>
      <c r="N632" t="str">
        <f t="shared" si="108"/>
        <v/>
      </c>
      <c r="O632">
        <f>IF(L632&lt;&gt;"",Data!$M1183,"")</f>
        <v>10</v>
      </c>
      <c r="T632">
        <f>IF(OR(Dashboard!$P$4="All",Dashboard!$R$4="All"),NA(),IF(OR(Data!K1183&lt;&gt;Dashboard!$P$4,Data!K1183&lt;&gt;Dashboard!$R$4),Data!G1183,NA()))</f>
        <v>53590.061250287661</v>
      </c>
      <c r="V632" s="9"/>
      <c r="AI632" s="13" t="s">
        <v>3872</v>
      </c>
      <c r="AJ632" s="8">
        <v>62000</v>
      </c>
      <c r="AK632" s="8">
        <v>1</v>
      </c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Q632" s="13" t="s">
        <v>3872</v>
      </c>
      <c r="BR632" s="8"/>
      <c r="BS632" s="8"/>
      <c r="BT632" s="8">
        <v>62000</v>
      </c>
      <c r="BU632" s="8"/>
      <c r="BV632" s="8"/>
    </row>
    <row r="633" spans="2:74">
      <c r="B633" t="e">
        <f>IF(Dashboard!$P$4="All",Data!G1184,IF(Data!K1184=Dashboard!$P$4,Data!G1184,NA()))</f>
        <v>#N/A</v>
      </c>
      <c r="C633" t="str">
        <f t="shared" si="103"/>
        <v/>
      </c>
      <c r="D633" t="str">
        <f t="shared" si="104"/>
        <v/>
      </c>
      <c r="E633" t="str">
        <f t="shared" si="105"/>
        <v/>
      </c>
      <c r="F633" t="str">
        <f>IF(C633&lt;&gt;"",Data!$M1184,"")</f>
        <v/>
      </c>
      <c r="K633" t="e">
        <f>IF(Dashboard!$R$4="All",Data!G1184,IF(Data!K1184=Dashboard!$R$4,Data!G1184,NA()))</f>
        <v>#N/A</v>
      </c>
      <c r="L633" t="str">
        <f t="shared" si="106"/>
        <v/>
      </c>
      <c r="M633" t="str">
        <f t="shared" si="107"/>
        <v/>
      </c>
      <c r="N633" t="str">
        <f t="shared" si="108"/>
        <v/>
      </c>
      <c r="O633" t="str">
        <f>IF(L633&lt;&gt;"",Data!$M1184,"")</f>
        <v/>
      </c>
      <c r="T633">
        <f>IF(OR(Dashboard!$P$4="All",Dashboard!$R$4="All"),NA(),IF(OR(Data!K1184&lt;&gt;Dashboard!$P$4,Data!K1184&lt;&gt;Dashboard!$R$4),Data!G1184,NA()))</f>
        <v>4451.9791718606421</v>
      </c>
      <c r="V633" s="9"/>
      <c r="AI633" s="13" t="s">
        <v>3873</v>
      </c>
      <c r="AJ633" s="8">
        <v>48000</v>
      </c>
      <c r="AK633" s="8">
        <v>1</v>
      </c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Q633" s="13" t="s">
        <v>3873</v>
      </c>
      <c r="BR633" s="8"/>
      <c r="BS633" s="8"/>
      <c r="BT633" s="8">
        <v>48000</v>
      </c>
      <c r="BU633" s="8"/>
      <c r="BV633" s="8"/>
    </row>
    <row r="634" spans="2:74">
      <c r="B634" t="e">
        <f>IF(Dashboard!$P$4="All",Data!G1185,IF(Data!K1185=Dashboard!$P$4,Data!G1185,NA()))</f>
        <v>#N/A</v>
      </c>
      <c r="C634" t="str">
        <f t="shared" si="103"/>
        <v/>
      </c>
      <c r="D634" t="str">
        <f t="shared" si="104"/>
        <v/>
      </c>
      <c r="E634" t="str">
        <f t="shared" si="105"/>
        <v/>
      </c>
      <c r="F634" t="str">
        <f>IF(C634&lt;&gt;"",Data!$M1185,"")</f>
        <v/>
      </c>
      <c r="K634" t="e">
        <f>IF(Dashboard!$R$4="All",Data!G1185,IF(Data!K1185=Dashboard!$R$4,Data!G1185,NA()))</f>
        <v>#N/A</v>
      </c>
      <c r="L634" t="str">
        <f t="shared" si="106"/>
        <v/>
      </c>
      <c r="M634" t="str">
        <f t="shared" si="107"/>
        <v/>
      </c>
      <c r="N634" t="str">
        <f t="shared" si="108"/>
        <v/>
      </c>
      <c r="O634" t="str">
        <f>IF(L634&lt;&gt;"",Data!$M1185,"")</f>
        <v/>
      </c>
      <c r="T634">
        <f>IF(OR(Dashboard!$P$4="All",Dashboard!$R$4="All"),NA(),IF(OR(Data!K1185&lt;&gt;Dashboard!$P$4,Data!K1185&lt;&gt;Dashboard!$R$4),Data!G1185,NA()))</f>
        <v>25407.988779832154</v>
      </c>
      <c r="V634" s="9"/>
      <c r="AI634" s="13" t="s">
        <v>3876</v>
      </c>
      <c r="AJ634" s="8">
        <v>75000</v>
      </c>
      <c r="AK634" s="8">
        <v>1</v>
      </c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Q634" s="13" t="s">
        <v>3876</v>
      </c>
      <c r="BR634" s="8">
        <v>75000</v>
      </c>
      <c r="BS634" s="8"/>
      <c r="BT634" s="8"/>
      <c r="BU634" s="8"/>
      <c r="BV634" s="8"/>
    </row>
    <row r="635" spans="2:74">
      <c r="B635" t="e">
        <f>IF(Dashboard!$P$4="All",Data!G1186,IF(Data!K1186=Dashboard!$P$4,Data!G1186,NA()))</f>
        <v>#N/A</v>
      </c>
      <c r="C635" t="str">
        <f t="shared" si="103"/>
        <v/>
      </c>
      <c r="D635" t="str">
        <f t="shared" si="104"/>
        <v/>
      </c>
      <c r="E635" t="str">
        <f t="shared" si="105"/>
        <v/>
      </c>
      <c r="F635" t="str">
        <f>IF(C635&lt;&gt;"",Data!$M1186,"")</f>
        <v/>
      </c>
      <c r="K635" t="e">
        <f>IF(Dashboard!$R$4="All",Data!G1186,IF(Data!K1186=Dashboard!$R$4,Data!G1186,NA()))</f>
        <v>#N/A</v>
      </c>
      <c r="L635" t="str">
        <f t="shared" si="106"/>
        <v/>
      </c>
      <c r="M635" t="str">
        <f t="shared" si="107"/>
        <v/>
      </c>
      <c r="N635" t="str">
        <f t="shared" si="108"/>
        <v/>
      </c>
      <c r="O635" t="str">
        <f>IF(L635&lt;&gt;"",Data!$M1186,"")</f>
        <v/>
      </c>
      <c r="T635">
        <f>IF(OR(Dashboard!$P$4="All",Dashboard!$R$4="All"),NA(),IF(OR(Data!K1186&lt;&gt;Dashboard!$P$4,Data!K1186&lt;&gt;Dashboard!$R$4),Data!G1186,NA()))</f>
        <v>23000</v>
      </c>
      <c r="V635" s="9"/>
      <c r="AI635" s="13" t="s">
        <v>3880</v>
      </c>
      <c r="AJ635" s="8"/>
      <c r="AK635" s="8"/>
      <c r="AL635" s="8"/>
      <c r="AM635" s="8"/>
      <c r="AN635" s="8"/>
      <c r="AO635" s="8"/>
      <c r="AP635" s="8">
        <v>110000</v>
      </c>
      <c r="AQ635" s="8">
        <v>1</v>
      </c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Q635" s="13" t="s">
        <v>3880</v>
      </c>
      <c r="BR635" s="8"/>
      <c r="BS635" s="8"/>
      <c r="BT635" s="8">
        <v>110000</v>
      </c>
      <c r="BU635" s="8"/>
      <c r="BV635" s="8"/>
    </row>
    <row r="636" spans="2:74">
      <c r="B636" t="e">
        <f>IF(Dashboard!$P$4="All",Data!G1187,IF(Data!K1187=Dashboard!$P$4,Data!G1187,NA()))</f>
        <v>#N/A</v>
      </c>
      <c r="C636" t="str">
        <f t="shared" si="103"/>
        <v/>
      </c>
      <c r="D636" t="str">
        <f t="shared" si="104"/>
        <v/>
      </c>
      <c r="E636" t="str">
        <f t="shared" si="105"/>
        <v/>
      </c>
      <c r="F636" t="str">
        <f>IF(C636&lt;&gt;"",Data!$M1187,"")</f>
        <v/>
      </c>
      <c r="K636" t="e">
        <f>IF(Dashboard!$R$4="All",Data!G1187,IF(Data!K1187=Dashboard!$R$4,Data!G1187,NA()))</f>
        <v>#N/A</v>
      </c>
      <c r="L636" t="str">
        <f t="shared" si="106"/>
        <v/>
      </c>
      <c r="M636" t="str">
        <f t="shared" si="107"/>
        <v/>
      </c>
      <c r="N636" t="str">
        <f t="shared" si="108"/>
        <v/>
      </c>
      <c r="O636" t="str">
        <f>IF(L636&lt;&gt;"",Data!$M1187,"")</f>
        <v/>
      </c>
      <c r="T636">
        <f>IF(OR(Dashboard!$P$4="All",Dashboard!$R$4="All"),NA(),IF(OR(Data!K1187&lt;&gt;Dashboard!$P$4,Data!K1187&lt;&gt;Dashboard!$R$4),Data!G1187,NA()))</f>
        <v>16027.125018698311</v>
      </c>
      <c r="V636" s="9"/>
      <c r="AI636" s="13" t="s">
        <v>3881</v>
      </c>
      <c r="AJ636" s="8">
        <v>50000</v>
      </c>
      <c r="AK636" s="8">
        <v>1</v>
      </c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Q636" s="13" t="s">
        <v>3881</v>
      </c>
      <c r="BR636" s="8"/>
      <c r="BS636" s="8"/>
      <c r="BT636" s="8"/>
      <c r="BU636" s="8">
        <v>50000</v>
      </c>
      <c r="BV636" s="8"/>
    </row>
    <row r="637" spans="2:74">
      <c r="B637" t="e">
        <f>IF(Dashboard!$P$4="All",Data!G1188,IF(Data!K1188=Dashboard!$P$4,Data!G1188,NA()))</f>
        <v>#N/A</v>
      </c>
      <c r="C637" t="str">
        <f t="shared" si="103"/>
        <v/>
      </c>
      <c r="D637" t="str">
        <f t="shared" si="104"/>
        <v/>
      </c>
      <c r="E637" t="str">
        <f t="shared" si="105"/>
        <v/>
      </c>
      <c r="F637" t="str">
        <f>IF(C637&lt;&gt;"",Data!$M1188,"")</f>
        <v/>
      </c>
      <c r="K637" t="e">
        <f>IF(Dashboard!$R$4="All",Data!G1188,IF(Data!K1188=Dashboard!$R$4,Data!G1188,NA()))</f>
        <v>#N/A</v>
      </c>
      <c r="L637" t="str">
        <f t="shared" si="106"/>
        <v/>
      </c>
      <c r="M637" t="str">
        <f t="shared" si="107"/>
        <v/>
      </c>
      <c r="N637" t="str">
        <f t="shared" si="108"/>
        <v/>
      </c>
      <c r="O637" t="str">
        <f>IF(L637&lt;&gt;"",Data!$M1188,"")</f>
        <v/>
      </c>
      <c r="T637">
        <f>IF(OR(Dashboard!$P$4="All",Dashboard!$R$4="All"),NA(),IF(OR(Data!K1188&lt;&gt;Dashboard!$P$4,Data!K1188&lt;&gt;Dashboard!$R$4),Data!G1188,NA()))</f>
        <v>60000</v>
      </c>
      <c r="V637" s="9"/>
      <c r="AI637" s="13" t="s">
        <v>3882</v>
      </c>
      <c r="AJ637" s="8">
        <v>46000</v>
      </c>
      <c r="AK637" s="8">
        <v>1</v>
      </c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Q637" s="13" t="s">
        <v>3882</v>
      </c>
      <c r="BR637" s="8"/>
      <c r="BS637" s="8"/>
      <c r="BT637" s="8">
        <v>46000</v>
      </c>
      <c r="BU637" s="8"/>
      <c r="BV637" s="8"/>
    </row>
    <row r="638" spans="2:74">
      <c r="B638" t="e">
        <f>IF(Dashboard!$P$4="All",Data!G1189,IF(Data!K1189=Dashboard!$P$4,Data!G1189,NA()))</f>
        <v>#N/A</v>
      </c>
      <c r="C638" t="str">
        <f t="shared" si="103"/>
        <v/>
      </c>
      <c r="D638" t="str">
        <f t="shared" si="104"/>
        <v/>
      </c>
      <c r="E638" t="str">
        <f t="shared" si="105"/>
        <v/>
      </c>
      <c r="F638" t="str">
        <f>IF(C638&lt;&gt;"",Data!$M1189,"")</f>
        <v/>
      </c>
      <c r="K638" t="e">
        <f>IF(Dashboard!$R$4="All",Data!G1189,IF(Data!K1189=Dashboard!$R$4,Data!G1189,NA()))</f>
        <v>#N/A</v>
      </c>
      <c r="L638" t="str">
        <f t="shared" si="106"/>
        <v/>
      </c>
      <c r="M638" t="str">
        <f t="shared" si="107"/>
        <v/>
      </c>
      <c r="N638" t="str">
        <f t="shared" si="108"/>
        <v/>
      </c>
      <c r="O638" t="str">
        <f>IF(L638&lt;&gt;"",Data!$M1189,"")</f>
        <v/>
      </c>
      <c r="T638">
        <f>IF(OR(Dashboard!$P$4="All",Dashboard!$R$4="All"),NA(),IF(OR(Data!K1189&lt;&gt;Dashboard!$P$4,Data!K1189&lt;&gt;Dashboard!$R$4),Data!G1189,NA()))</f>
        <v>4800</v>
      </c>
      <c r="V638" s="9"/>
      <c r="AI638" s="13" t="s">
        <v>3883</v>
      </c>
      <c r="AJ638" s="8">
        <v>115000</v>
      </c>
      <c r="AK638" s="8">
        <v>1</v>
      </c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Q638" s="13" t="s">
        <v>3883</v>
      </c>
      <c r="BR638" s="8"/>
      <c r="BS638" s="8"/>
      <c r="BT638" s="8"/>
      <c r="BU638" s="8">
        <v>115000</v>
      </c>
      <c r="BV638" s="8"/>
    </row>
    <row r="639" spans="2:74">
      <c r="B639" t="e">
        <f>IF(Dashboard!$P$4="All",Data!G1190,IF(Data!K1190=Dashboard!$P$4,Data!G1190,NA()))</f>
        <v>#N/A</v>
      </c>
      <c r="C639" t="str">
        <f t="shared" si="103"/>
        <v/>
      </c>
      <c r="D639" t="str">
        <f t="shared" si="104"/>
        <v/>
      </c>
      <c r="E639" t="str">
        <f t="shared" si="105"/>
        <v/>
      </c>
      <c r="F639" t="str">
        <f>IF(C639&lt;&gt;"",Data!$M1190,"")</f>
        <v/>
      </c>
      <c r="K639" t="e">
        <f>IF(Dashboard!$R$4="All",Data!G1190,IF(Data!K1190=Dashboard!$R$4,Data!G1190,NA()))</f>
        <v>#N/A</v>
      </c>
      <c r="L639" t="str">
        <f t="shared" si="106"/>
        <v/>
      </c>
      <c r="M639" t="str">
        <f t="shared" si="107"/>
        <v/>
      </c>
      <c r="N639" t="str">
        <f t="shared" si="108"/>
        <v/>
      </c>
      <c r="O639" t="str">
        <f>IF(L639&lt;&gt;"",Data!$M1190,"")</f>
        <v/>
      </c>
      <c r="T639">
        <f>IF(OR(Dashboard!$P$4="All",Dashboard!$R$4="All"),NA(),IF(OR(Data!K1190&lt;&gt;Dashboard!$P$4,Data!K1190&lt;&gt;Dashboard!$R$4),Data!G1190,NA()))</f>
        <v>106815.148267971</v>
      </c>
      <c r="V639" s="9"/>
      <c r="AI639" s="13" t="s">
        <v>3889</v>
      </c>
      <c r="AJ639" s="8">
        <v>40000</v>
      </c>
      <c r="AK639" s="8">
        <v>1</v>
      </c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Q639" s="13" t="s">
        <v>3889</v>
      </c>
      <c r="BR639" s="8">
        <v>40000</v>
      </c>
      <c r="BS639" s="8"/>
      <c r="BT639" s="8"/>
      <c r="BU639" s="8"/>
      <c r="BV639" s="8"/>
    </row>
    <row r="640" spans="2:74">
      <c r="B640" t="e">
        <f>IF(Dashboard!$P$4="All",Data!G1191,IF(Data!K1191=Dashboard!$P$4,Data!G1191,NA()))</f>
        <v>#N/A</v>
      </c>
      <c r="C640" t="str">
        <f t="shared" si="103"/>
        <v/>
      </c>
      <c r="D640" t="str">
        <f t="shared" si="104"/>
        <v/>
      </c>
      <c r="E640" t="str">
        <f t="shared" si="105"/>
        <v/>
      </c>
      <c r="F640" t="str">
        <f>IF(C640&lt;&gt;"",Data!$M1191,"")</f>
        <v/>
      </c>
      <c r="K640" t="e">
        <f>IF(Dashboard!$R$4="All",Data!G1191,IF(Data!K1191=Dashboard!$R$4,Data!G1191,NA()))</f>
        <v>#N/A</v>
      </c>
      <c r="L640" t="str">
        <f t="shared" si="106"/>
        <v/>
      </c>
      <c r="M640" t="str">
        <f t="shared" si="107"/>
        <v/>
      </c>
      <c r="N640" t="str">
        <f t="shared" si="108"/>
        <v/>
      </c>
      <c r="O640" t="str">
        <f>IF(L640&lt;&gt;"",Data!$M1191,"")</f>
        <v/>
      </c>
      <c r="T640">
        <f>IF(OR(Dashboard!$P$4="All",Dashboard!$R$4="All"),NA(),IF(OR(Data!K1191&lt;&gt;Dashboard!$P$4,Data!K1191&lt;&gt;Dashboard!$R$4),Data!G1191,NA()))</f>
        <v>8903.9583437212841</v>
      </c>
      <c r="V640" s="9"/>
      <c r="AI640" s="13" t="s">
        <v>3890</v>
      </c>
      <c r="AJ640" s="8">
        <v>46359</v>
      </c>
      <c r="AK640" s="8">
        <v>1</v>
      </c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Q640" s="13" t="s">
        <v>3890</v>
      </c>
      <c r="BR640" s="8"/>
      <c r="BS640" s="8"/>
      <c r="BT640" s="8"/>
      <c r="BU640" s="8">
        <v>46359</v>
      </c>
      <c r="BV640" s="8"/>
    </row>
    <row r="641" spans="2:74">
      <c r="B641" t="e">
        <f>IF(Dashboard!$P$4="All",Data!G1192,IF(Data!K1192=Dashboard!$P$4,Data!G1192,NA()))</f>
        <v>#N/A</v>
      </c>
      <c r="C641" t="str">
        <f t="shared" si="103"/>
        <v/>
      </c>
      <c r="D641" t="str">
        <f t="shared" si="104"/>
        <v/>
      </c>
      <c r="E641" t="str">
        <f t="shared" si="105"/>
        <v/>
      </c>
      <c r="F641" t="str">
        <f>IF(C641&lt;&gt;"",Data!$M1192,"")</f>
        <v/>
      </c>
      <c r="K641" t="e">
        <f>IF(Dashboard!$R$4="All",Data!G1192,IF(Data!K1192=Dashboard!$R$4,Data!G1192,NA()))</f>
        <v>#N/A</v>
      </c>
      <c r="L641" t="str">
        <f t="shared" si="106"/>
        <v/>
      </c>
      <c r="M641" t="str">
        <f t="shared" si="107"/>
        <v/>
      </c>
      <c r="N641" t="str">
        <f t="shared" si="108"/>
        <v/>
      </c>
      <c r="O641" t="str">
        <f>IF(L641&lt;&gt;"",Data!$M1192,"")</f>
        <v/>
      </c>
      <c r="T641">
        <f>IF(OR(Dashboard!$P$4="All",Dashboard!$R$4="All"),NA(),IF(OR(Data!K1192&lt;&gt;Dashboard!$P$4,Data!K1192&lt;&gt;Dashboard!$R$4),Data!G1192,NA()))</f>
        <v>60000</v>
      </c>
      <c r="V641" s="9"/>
      <c r="AI641" s="13" t="s">
        <v>3891</v>
      </c>
      <c r="AJ641" s="8">
        <v>70000</v>
      </c>
      <c r="AK641" s="8">
        <v>1</v>
      </c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Q641" s="13" t="s">
        <v>3891</v>
      </c>
      <c r="BR641" s="8"/>
      <c r="BS641" s="8"/>
      <c r="BT641" s="8">
        <v>70000</v>
      </c>
      <c r="BU641" s="8"/>
      <c r="BV641" s="8"/>
    </row>
    <row r="642" spans="2:74">
      <c r="B642" t="e">
        <f>IF(Dashboard!$P$4="All",Data!G1193,IF(Data!K1193=Dashboard!$P$4,Data!G1193,NA()))</f>
        <v>#N/A</v>
      </c>
      <c r="C642" t="str">
        <f t="shared" si="103"/>
        <v/>
      </c>
      <c r="D642" t="str">
        <f t="shared" si="104"/>
        <v/>
      </c>
      <c r="E642" t="str">
        <f t="shared" si="105"/>
        <v/>
      </c>
      <c r="F642" t="str">
        <f>IF(C642&lt;&gt;"",Data!$M1193,"")</f>
        <v/>
      </c>
      <c r="K642" t="e">
        <f>IF(Dashboard!$R$4="All",Data!G1193,IF(Data!K1193=Dashboard!$R$4,Data!G1193,NA()))</f>
        <v>#N/A</v>
      </c>
      <c r="L642" t="str">
        <f t="shared" si="106"/>
        <v/>
      </c>
      <c r="M642" t="str">
        <f t="shared" si="107"/>
        <v/>
      </c>
      <c r="N642" t="str">
        <f t="shared" si="108"/>
        <v/>
      </c>
      <c r="O642" t="str">
        <f>IF(L642&lt;&gt;"",Data!$M1193,"")</f>
        <v/>
      </c>
      <c r="T642">
        <f>IF(OR(Dashboard!$P$4="All",Dashboard!$R$4="All"),NA(),IF(OR(Data!K1193&lt;&gt;Dashboard!$P$4,Data!K1193&lt;&gt;Dashboard!$R$4),Data!G1193,NA()))</f>
        <v>46300.583387350678</v>
      </c>
      <c r="V642" s="9"/>
    </row>
    <row r="643" spans="2:74">
      <c r="B643" t="e">
        <f>IF(Dashboard!$P$4="All",Data!G1194,IF(Data!K1194=Dashboard!$P$4,Data!G1194,NA()))</f>
        <v>#N/A</v>
      </c>
      <c r="C643" t="str">
        <f t="shared" si="103"/>
        <v/>
      </c>
      <c r="D643" t="str">
        <f t="shared" si="104"/>
        <v/>
      </c>
      <c r="E643" t="str">
        <f t="shared" si="105"/>
        <v/>
      </c>
      <c r="F643" t="str">
        <f>IF(C643&lt;&gt;"",Data!$M1194,"")</f>
        <v/>
      </c>
      <c r="K643" t="e">
        <f>IF(Dashboard!$R$4="All",Data!G1194,IF(Data!K1194=Dashboard!$R$4,Data!G1194,NA()))</f>
        <v>#N/A</v>
      </c>
      <c r="L643" t="str">
        <f t="shared" si="106"/>
        <v/>
      </c>
      <c r="M643" t="str">
        <f t="shared" si="107"/>
        <v/>
      </c>
      <c r="N643" t="str">
        <f t="shared" si="108"/>
        <v/>
      </c>
      <c r="O643" t="str">
        <f>IF(L643&lt;&gt;"",Data!$M1194,"")</f>
        <v/>
      </c>
      <c r="T643">
        <f>IF(OR(Dashboard!$P$4="All",Dashboard!$R$4="All"),NA(),IF(OR(Data!K1194&lt;&gt;Dashboard!$P$4,Data!K1194&lt;&gt;Dashboard!$R$4),Data!G1194,NA()))</f>
        <v>13355.937515581925</v>
      </c>
      <c r="V643" s="9"/>
    </row>
    <row r="644" spans="2:74">
      <c r="B644" t="e">
        <f>IF(Dashboard!$P$4="All",Data!G1195,IF(Data!K1195=Dashboard!$P$4,Data!G1195,NA()))</f>
        <v>#N/A</v>
      </c>
      <c r="C644" t="str">
        <f t="shared" ref="C644:C707" si="109">IF(ISNA(B644),"",B644)</f>
        <v/>
      </c>
      <c r="D644" t="str">
        <f t="shared" ref="D644:D707" si="110">IF(C644&gt;=PERCENTILE($C$3:$C$1337,0.9),C644,"")</f>
        <v/>
      </c>
      <c r="E644" t="str">
        <f t="shared" ref="E644:E707" si="111">IF(C644&lt;=PERCENTILE($C$3:$C$1337,0.1),C644,"")</f>
        <v/>
      </c>
      <c r="F644" t="str">
        <f>IF(C644&lt;&gt;"",Data!$M1195,"")</f>
        <v/>
      </c>
      <c r="K644" t="e">
        <f>IF(Dashboard!$R$4="All",Data!G1195,IF(Data!K1195=Dashboard!$R$4,Data!G1195,NA()))</f>
        <v>#N/A</v>
      </c>
      <c r="L644" t="str">
        <f t="shared" ref="L644:L707" si="112">IF(ISNA(K644),"",K644)</f>
        <v/>
      </c>
      <c r="M644" t="str">
        <f t="shared" ref="M644:M707" si="113">IF(L644&gt;=PERCENTILE($L$3:$L$1337,0.9),L644,"")</f>
        <v/>
      </c>
      <c r="N644" t="str">
        <f t="shared" ref="N644:N707" si="114">IF(L644&lt;=PERCENTILE($L$3:$L$1337,0.1),L644,"")</f>
        <v/>
      </c>
      <c r="O644" t="str">
        <f>IF(L644&lt;&gt;"",Data!$M1195,"")</f>
        <v/>
      </c>
      <c r="T644">
        <f>IF(OR(Dashboard!$P$4="All",Dashboard!$R$4="All"),NA(),IF(OR(Data!K1195&lt;&gt;Dashboard!$P$4,Data!K1195&lt;&gt;Dashboard!$R$4),Data!G1195,NA()))</f>
        <v>74000</v>
      </c>
      <c r="V644" s="9"/>
    </row>
    <row r="645" spans="2:74">
      <c r="B645" t="e">
        <f>IF(Dashboard!$P$4="All",Data!G1196,IF(Data!K1196=Dashboard!$P$4,Data!G1196,NA()))</f>
        <v>#N/A</v>
      </c>
      <c r="C645" t="str">
        <f t="shared" si="109"/>
        <v/>
      </c>
      <c r="D645" t="str">
        <f t="shared" si="110"/>
        <v/>
      </c>
      <c r="E645" t="str">
        <f t="shared" si="111"/>
        <v/>
      </c>
      <c r="F645" t="str">
        <f>IF(C645&lt;&gt;"",Data!$M1196,"")</f>
        <v/>
      </c>
      <c r="K645" t="e">
        <f>IF(Dashboard!$R$4="All",Data!G1196,IF(Data!K1196=Dashboard!$R$4,Data!G1196,NA()))</f>
        <v>#N/A</v>
      </c>
      <c r="L645" t="str">
        <f t="shared" si="112"/>
        <v/>
      </c>
      <c r="M645" t="str">
        <f t="shared" si="113"/>
        <v/>
      </c>
      <c r="N645" t="str">
        <f t="shared" si="114"/>
        <v/>
      </c>
      <c r="O645" t="str">
        <f>IF(L645&lt;&gt;"",Data!$M1196,"")</f>
        <v/>
      </c>
      <c r="T645">
        <f>IF(OR(Dashboard!$P$4="All",Dashboard!$R$4="All"),NA(),IF(OR(Data!K1196&lt;&gt;Dashboard!$P$4,Data!K1196&lt;&gt;Dashboard!$R$4),Data!G1196,NA()))</f>
        <v>95856</v>
      </c>
      <c r="V645" s="9"/>
    </row>
    <row r="646" spans="2:74">
      <c r="B646" t="e">
        <f>IF(Dashboard!$P$4="All",Data!G1197,IF(Data!K1197=Dashboard!$P$4,Data!G1197,NA()))</f>
        <v>#N/A</v>
      </c>
      <c r="C646" t="str">
        <f t="shared" si="109"/>
        <v/>
      </c>
      <c r="D646" t="str">
        <f t="shared" si="110"/>
        <v/>
      </c>
      <c r="E646" t="str">
        <f t="shared" si="111"/>
        <v/>
      </c>
      <c r="F646" t="str">
        <f>IF(C646&lt;&gt;"",Data!$M1197,"")</f>
        <v/>
      </c>
      <c r="K646" t="e">
        <f>IF(Dashboard!$R$4="All",Data!G1197,IF(Data!K1197=Dashboard!$R$4,Data!G1197,NA()))</f>
        <v>#N/A</v>
      </c>
      <c r="L646" t="str">
        <f t="shared" si="112"/>
        <v/>
      </c>
      <c r="M646" t="str">
        <f t="shared" si="113"/>
        <v/>
      </c>
      <c r="N646" t="str">
        <f t="shared" si="114"/>
        <v/>
      </c>
      <c r="O646" t="str">
        <f>IF(L646&lt;&gt;"",Data!$M1197,"")</f>
        <v/>
      </c>
      <c r="T646">
        <f>IF(OR(Dashboard!$P$4="All",Dashboard!$R$4="All"),NA(),IF(OR(Data!K1197&lt;&gt;Dashboard!$P$4,Data!K1197&lt;&gt;Dashboard!$R$4),Data!G1197,NA()))</f>
        <v>40000</v>
      </c>
      <c r="V646" s="9"/>
    </row>
    <row r="647" spans="2:74">
      <c r="B647" t="e">
        <f>IF(Dashboard!$P$4="All",Data!G1198,IF(Data!K1198=Dashboard!$P$4,Data!G1198,NA()))</f>
        <v>#N/A</v>
      </c>
      <c r="C647" t="str">
        <f t="shared" si="109"/>
        <v/>
      </c>
      <c r="D647" t="str">
        <f t="shared" si="110"/>
        <v/>
      </c>
      <c r="E647" t="str">
        <f t="shared" si="111"/>
        <v/>
      </c>
      <c r="F647" t="str">
        <f>IF(C647&lt;&gt;"",Data!$M1198,"")</f>
        <v/>
      </c>
      <c r="K647" t="e">
        <f>IF(Dashboard!$R$4="All",Data!G1198,IF(Data!K1198=Dashboard!$R$4,Data!G1198,NA()))</f>
        <v>#N/A</v>
      </c>
      <c r="L647" t="str">
        <f t="shared" si="112"/>
        <v/>
      </c>
      <c r="M647" t="str">
        <f t="shared" si="113"/>
        <v/>
      </c>
      <c r="N647" t="str">
        <f t="shared" si="114"/>
        <v/>
      </c>
      <c r="O647" t="str">
        <f>IF(L647&lt;&gt;"",Data!$M1198,"")</f>
        <v/>
      </c>
      <c r="T647">
        <f>IF(OR(Dashboard!$P$4="All",Dashboard!$R$4="All"),NA(),IF(OR(Data!K1198&lt;&gt;Dashboard!$P$4,Data!K1198&lt;&gt;Dashboard!$R$4),Data!G1198,NA()))</f>
        <v>4400</v>
      </c>
      <c r="V647" s="9"/>
    </row>
    <row r="648" spans="2:74">
      <c r="B648" t="e">
        <f>IF(Dashboard!$P$4="All",Data!G1199,IF(Data!K1199=Dashboard!$P$4,Data!G1199,NA()))</f>
        <v>#N/A</v>
      </c>
      <c r="C648" t="str">
        <f t="shared" si="109"/>
        <v/>
      </c>
      <c r="D648" t="str">
        <f t="shared" si="110"/>
        <v/>
      </c>
      <c r="E648" t="str">
        <f t="shared" si="111"/>
        <v/>
      </c>
      <c r="F648" t="str">
        <f>IF(C648&lt;&gt;"",Data!$M1199,"")</f>
        <v/>
      </c>
      <c r="K648" t="e">
        <f>IF(Dashboard!$R$4="All",Data!G1199,IF(Data!K1199=Dashboard!$R$4,Data!G1199,NA()))</f>
        <v>#N/A</v>
      </c>
      <c r="L648" t="str">
        <f t="shared" si="112"/>
        <v/>
      </c>
      <c r="M648" t="str">
        <f t="shared" si="113"/>
        <v/>
      </c>
      <c r="N648" t="str">
        <f t="shared" si="114"/>
        <v/>
      </c>
      <c r="O648" t="str">
        <f>IF(L648&lt;&gt;"",Data!$M1199,"")</f>
        <v/>
      </c>
      <c r="T648">
        <f>IF(OR(Dashboard!$P$4="All",Dashboard!$R$4="All"),NA(),IF(OR(Data!K1199&lt;&gt;Dashboard!$P$4,Data!K1199&lt;&gt;Dashboard!$R$4),Data!G1199,NA()))</f>
        <v>90000</v>
      </c>
      <c r="V648" s="9"/>
    </row>
    <row r="649" spans="2:74">
      <c r="B649" t="e">
        <f>IF(Dashboard!$P$4="All",Data!G1200,IF(Data!K1200=Dashboard!$P$4,Data!G1200,NA()))</f>
        <v>#N/A</v>
      </c>
      <c r="C649" t="str">
        <f t="shared" si="109"/>
        <v/>
      </c>
      <c r="D649" t="str">
        <f t="shared" si="110"/>
        <v/>
      </c>
      <c r="E649" t="str">
        <f t="shared" si="111"/>
        <v/>
      </c>
      <c r="F649" t="str">
        <f>IF(C649&lt;&gt;"",Data!$M1200,"")</f>
        <v/>
      </c>
      <c r="K649" t="e">
        <f>IF(Dashboard!$R$4="All",Data!G1200,IF(Data!K1200=Dashboard!$R$4,Data!G1200,NA()))</f>
        <v>#N/A</v>
      </c>
      <c r="L649" t="str">
        <f t="shared" si="112"/>
        <v/>
      </c>
      <c r="M649" t="str">
        <f t="shared" si="113"/>
        <v/>
      </c>
      <c r="N649" t="str">
        <f t="shared" si="114"/>
        <v/>
      </c>
      <c r="O649" t="str">
        <f>IF(L649&lt;&gt;"",Data!$M1200,"")</f>
        <v/>
      </c>
      <c r="T649">
        <f>IF(OR(Dashboard!$P$4="All",Dashboard!$R$4="All"),NA(),IF(OR(Data!K1200&lt;&gt;Dashboard!$P$4,Data!K1200&lt;&gt;Dashboard!$R$4),Data!G1200,NA()))</f>
        <v>8013.5625093491553</v>
      </c>
      <c r="V649" s="9"/>
    </row>
    <row r="650" spans="2:74">
      <c r="B650" t="e">
        <f>IF(Dashboard!$P$4="All",Data!G1201,IF(Data!K1201=Dashboard!$P$4,Data!G1201,NA()))</f>
        <v>#N/A</v>
      </c>
      <c r="C650" t="str">
        <f t="shared" si="109"/>
        <v/>
      </c>
      <c r="D650" t="str">
        <f t="shared" si="110"/>
        <v/>
      </c>
      <c r="E650" t="str">
        <f t="shared" si="111"/>
        <v/>
      </c>
      <c r="F650" t="str">
        <f>IF(C650&lt;&gt;"",Data!$M1201,"")</f>
        <v/>
      </c>
      <c r="K650" t="e">
        <f>IF(Dashboard!$R$4="All",Data!G1201,IF(Data!K1201=Dashboard!$R$4,Data!G1201,NA()))</f>
        <v>#N/A</v>
      </c>
      <c r="L650" t="str">
        <f t="shared" si="112"/>
        <v/>
      </c>
      <c r="M650" t="str">
        <f t="shared" si="113"/>
        <v/>
      </c>
      <c r="N650" t="str">
        <f t="shared" si="114"/>
        <v/>
      </c>
      <c r="O650" t="str">
        <f>IF(L650&lt;&gt;"",Data!$M1201,"")</f>
        <v/>
      </c>
      <c r="T650">
        <f>IF(OR(Dashboard!$P$4="All",Dashboard!$R$4="All"),NA(),IF(OR(Data!K1201&lt;&gt;Dashboard!$P$4,Data!K1201&lt;&gt;Dashboard!$R$4),Data!G1201,NA()))</f>
        <v>17807.916687442568</v>
      </c>
      <c r="V650" s="9"/>
    </row>
    <row r="651" spans="2:74">
      <c r="B651" t="e">
        <f>IF(Dashboard!$P$4="All",Data!G1202,IF(Data!K1202=Dashboard!$P$4,Data!G1202,NA()))</f>
        <v>#N/A</v>
      </c>
      <c r="C651" t="str">
        <f t="shared" si="109"/>
        <v/>
      </c>
      <c r="D651" t="str">
        <f t="shared" si="110"/>
        <v/>
      </c>
      <c r="E651" t="str">
        <f t="shared" si="111"/>
        <v/>
      </c>
      <c r="F651" t="str">
        <f>IF(C651&lt;&gt;"",Data!$M1202,"")</f>
        <v/>
      </c>
      <c r="K651" t="e">
        <f>IF(Dashboard!$R$4="All",Data!G1202,IF(Data!K1202=Dashboard!$R$4,Data!G1202,NA()))</f>
        <v>#N/A</v>
      </c>
      <c r="L651" t="str">
        <f t="shared" si="112"/>
        <v/>
      </c>
      <c r="M651" t="str">
        <f t="shared" si="113"/>
        <v/>
      </c>
      <c r="N651" t="str">
        <f t="shared" si="114"/>
        <v/>
      </c>
      <c r="O651" t="str">
        <f>IF(L651&lt;&gt;"",Data!$M1202,"")</f>
        <v/>
      </c>
      <c r="T651">
        <f>IF(OR(Dashboard!$P$4="All",Dashboard!$R$4="All"),NA(),IF(OR(Data!K1202&lt;&gt;Dashboard!$P$4,Data!K1202&lt;&gt;Dashboard!$R$4),Data!G1202,NA()))</f>
        <v>12465.541681209797</v>
      </c>
      <c r="V651" s="9"/>
    </row>
    <row r="652" spans="2:74">
      <c r="B652" t="e">
        <f>IF(Dashboard!$P$4="All",Data!G1203,IF(Data!K1203=Dashboard!$P$4,Data!G1203,NA()))</f>
        <v>#N/A</v>
      </c>
      <c r="C652" t="str">
        <f t="shared" si="109"/>
        <v/>
      </c>
      <c r="D652" t="str">
        <f t="shared" si="110"/>
        <v/>
      </c>
      <c r="E652" t="str">
        <f t="shared" si="111"/>
        <v/>
      </c>
      <c r="F652" t="str">
        <f>IF(C652&lt;&gt;"",Data!$M1203,"")</f>
        <v/>
      </c>
      <c r="K652" t="e">
        <f>IF(Dashboard!$R$4="All",Data!G1203,IF(Data!K1203=Dashboard!$R$4,Data!G1203,NA()))</f>
        <v>#N/A</v>
      </c>
      <c r="L652" t="str">
        <f t="shared" si="112"/>
        <v/>
      </c>
      <c r="M652" t="str">
        <f t="shared" si="113"/>
        <v/>
      </c>
      <c r="N652" t="str">
        <f t="shared" si="114"/>
        <v/>
      </c>
      <c r="O652" t="str">
        <f>IF(L652&lt;&gt;"",Data!$M1203,"")</f>
        <v/>
      </c>
      <c r="T652">
        <f>IF(OR(Dashboard!$P$4="All",Dashboard!$R$4="All"),NA(),IF(OR(Data!K1203&lt;&gt;Dashboard!$P$4,Data!K1203&lt;&gt;Dashboard!$R$4),Data!G1203,NA()))</f>
        <v>80000</v>
      </c>
      <c r="V652" s="9"/>
    </row>
    <row r="653" spans="2:74">
      <c r="B653" t="e">
        <f>IF(Dashboard!$P$4="All",Data!G1204,IF(Data!K1204=Dashboard!$P$4,Data!G1204,NA()))</f>
        <v>#N/A</v>
      </c>
      <c r="C653" t="str">
        <f t="shared" si="109"/>
        <v/>
      </c>
      <c r="D653" t="str">
        <f t="shared" si="110"/>
        <v/>
      </c>
      <c r="E653" t="str">
        <f t="shared" si="111"/>
        <v/>
      </c>
      <c r="F653" t="str">
        <f>IF(C653&lt;&gt;"",Data!$M1204,"")</f>
        <v/>
      </c>
      <c r="K653" t="e">
        <f>IF(Dashboard!$R$4="All",Data!G1204,IF(Data!K1204=Dashboard!$R$4,Data!G1204,NA()))</f>
        <v>#N/A</v>
      </c>
      <c r="L653" t="str">
        <f t="shared" si="112"/>
        <v/>
      </c>
      <c r="M653" t="str">
        <f t="shared" si="113"/>
        <v/>
      </c>
      <c r="N653" t="str">
        <f t="shared" si="114"/>
        <v/>
      </c>
      <c r="O653" t="str">
        <f>IF(L653&lt;&gt;"",Data!$M1204,"")</f>
        <v/>
      </c>
      <c r="T653">
        <f>IF(OR(Dashboard!$P$4="All",Dashboard!$R$4="All"),NA(),IF(OR(Data!K1204&lt;&gt;Dashboard!$P$4,Data!K1204&lt;&gt;Dashboard!$R$4),Data!G1204,NA()))</f>
        <v>100000</v>
      </c>
      <c r="V653" s="9"/>
    </row>
    <row r="654" spans="2:74">
      <c r="B654" t="e">
        <f>IF(Dashboard!$P$4="All",Data!G1205,IF(Data!K1205=Dashboard!$P$4,Data!G1205,NA()))</f>
        <v>#N/A</v>
      </c>
      <c r="C654" t="str">
        <f t="shared" si="109"/>
        <v/>
      </c>
      <c r="D654" t="str">
        <f t="shared" si="110"/>
        <v/>
      </c>
      <c r="E654" t="str">
        <f t="shared" si="111"/>
        <v/>
      </c>
      <c r="F654" t="str">
        <f>IF(C654&lt;&gt;"",Data!$M1205,"")</f>
        <v/>
      </c>
      <c r="K654" t="e">
        <f>IF(Dashboard!$R$4="All",Data!G1205,IF(Data!K1205=Dashboard!$R$4,Data!G1205,NA()))</f>
        <v>#N/A</v>
      </c>
      <c r="L654" t="str">
        <f t="shared" si="112"/>
        <v/>
      </c>
      <c r="M654" t="str">
        <f t="shared" si="113"/>
        <v/>
      </c>
      <c r="N654" t="str">
        <f t="shared" si="114"/>
        <v/>
      </c>
      <c r="O654" t="str">
        <f>IF(L654&lt;&gt;"",Data!$M1205,"")</f>
        <v/>
      </c>
      <c r="T654">
        <f>IF(OR(Dashboard!$P$4="All",Dashboard!$R$4="All"),NA(),IF(OR(Data!K1205&lt;&gt;Dashboard!$P$4,Data!K1205&lt;&gt;Dashboard!$R$4),Data!G1205,NA()))</f>
        <v>49200</v>
      </c>
      <c r="V654" s="9"/>
    </row>
    <row r="655" spans="2:74">
      <c r="B655" t="e">
        <f>IF(Dashboard!$P$4="All",Data!G1206,IF(Data!K1206=Dashboard!$P$4,Data!G1206,NA()))</f>
        <v>#N/A</v>
      </c>
      <c r="C655" t="str">
        <f t="shared" si="109"/>
        <v/>
      </c>
      <c r="D655" t="str">
        <f t="shared" si="110"/>
        <v/>
      </c>
      <c r="E655" t="str">
        <f t="shared" si="111"/>
        <v/>
      </c>
      <c r="F655" t="str">
        <f>IF(C655&lt;&gt;"",Data!$M1206,"")</f>
        <v/>
      </c>
      <c r="K655" t="e">
        <f>IF(Dashboard!$R$4="All",Data!G1206,IF(Data!K1206=Dashboard!$R$4,Data!G1206,NA()))</f>
        <v>#N/A</v>
      </c>
      <c r="L655" t="str">
        <f t="shared" si="112"/>
        <v/>
      </c>
      <c r="M655" t="str">
        <f t="shared" si="113"/>
        <v/>
      </c>
      <c r="N655" t="str">
        <f t="shared" si="114"/>
        <v/>
      </c>
      <c r="O655" t="str">
        <f>IF(L655&lt;&gt;"",Data!$M1206,"")</f>
        <v/>
      </c>
      <c r="T655">
        <f>IF(OR(Dashboard!$P$4="All",Dashboard!$R$4="All"),NA(),IF(OR(Data!K1206&lt;&gt;Dashboard!$P$4,Data!K1206&lt;&gt;Dashboard!$R$4),Data!G1206,NA()))</f>
        <v>9000</v>
      </c>
      <c r="V655" s="9"/>
    </row>
    <row r="656" spans="2:74">
      <c r="B656" t="e">
        <f>IF(Dashboard!$P$4="All",Data!G1207,IF(Data!K1207=Dashboard!$P$4,Data!G1207,NA()))</f>
        <v>#N/A</v>
      </c>
      <c r="C656" t="str">
        <f t="shared" si="109"/>
        <v/>
      </c>
      <c r="D656" t="str">
        <f t="shared" si="110"/>
        <v/>
      </c>
      <c r="E656" t="str">
        <f t="shared" si="111"/>
        <v/>
      </c>
      <c r="F656" t="str">
        <f>IF(C656&lt;&gt;"",Data!$M1207,"")</f>
        <v/>
      </c>
      <c r="K656" t="e">
        <f>IF(Dashboard!$R$4="All",Data!G1207,IF(Data!K1207=Dashboard!$R$4,Data!G1207,NA()))</f>
        <v>#N/A</v>
      </c>
      <c r="L656" t="str">
        <f t="shared" si="112"/>
        <v/>
      </c>
      <c r="M656" t="str">
        <f t="shared" si="113"/>
        <v/>
      </c>
      <c r="N656" t="str">
        <f t="shared" si="114"/>
        <v/>
      </c>
      <c r="O656" t="str">
        <f>IF(L656&lt;&gt;"",Data!$M1207,"")</f>
        <v/>
      </c>
      <c r="T656">
        <f>IF(OR(Dashboard!$P$4="All",Dashboard!$R$4="All"),NA(),IF(OR(Data!K1207&lt;&gt;Dashboard!$P$4,Data!K1207&lt;&gt;Dashboard!$R$4),Data!G1207,NA()))</f>
        <v>5342.3750062327708</v>
      </c>
      <c r="V656" s="9"/>
    </row>
    <row r="657" spans="2:22">
      <c r="B657" t="e">
        <f>IF(Dashboard!$P$4="All",Data!G1208,IF(Data!K1208=Dashboard!$P$4,Data!G1208,NA()))</f>
        <v>#N/A</v>
      </c>
      <c r="C657" t="str">
        <f t="shared" si="109"/>
        <v/>
      </c>
      <c r="D657" t="str">
        <f t="shared" si="110"/>
        <v/>
      </c>
      <c r="E657" t="str">
        <f t="shared" si="111"/>
        <v/>
      </c>
      <c r="F657" t="str">
        <f>IF(C657&lt;&gt;"",Data!$M1208,"")</f>
        <v/>
      </c>
      <c r="K657" t="e">
        <f>IF(Dashboard!$R$4="All",Data!G1208,IF(Data!K1208=Dashboard!$R$4,Data!G1208,NA()))</f>
        <v>#N/A</v>
      </c>
      <c r="L657" t="str">
        <f t="shared" si="112"/>
        <v/>
      </c>
      <c r="M657" t="str">
        <f t="shared" si="113"/>
        <v/>
      </c>
      <c r="N657" t="str">
        <f t="shared" si="114"/>
        <v/>
      </c>
      <c r="O657" t="str">
        <f>IF(L657&lt;&gt;"",Data!$M1208,"")</f>
        <v/>
      </c>
      <c r="T657">
        <f>IF(OR(Dashboard!$P$4="All",Dashboard!$R$4="All"),NA(),IF(OR(Data!K1208&lt;&gt;Dashboard!$P$4,Data!K1208&lt;&gt;Dashboard!$R$4),Data!G1208,NA()))</f>
        <v>40000</v>
      </c>
      <c r="V657" s="9"/>
    </row>
    <row r="658" spans="2:22">
      <c r="B658" t="e">
        <f>IF(Dashboard!$P$4="All",Data!G1209,IF(Data!K1209=Dashboard!$P$4,Data!G1209,NA()))</f>
        <v>#N/A</v>
      </c>
      <c r="C658" t="str">
        <f t="shared" si="109"/>
        <v/>
      </c>
      <c r="D658" t="str">
        <f t="shared" si="110"/>
        <v/>
      </c>
      <c r="E658" t="str">
        <f t="shared" si="111"/>
        <v/>
      </c>
      <c r="F658" t="str">
        <f>IF(C658&lt;&gt;"",Data!$M1209,"")</f>
        <v/>
      </c>
      <c r="K658">
        <f>IF(Dashboard!$R$4="All",Data!G1209,IF(Data!K1209=Dashboard!$R$4,Data!G1209,NA()))</f>
        <v>40980.635073749385</v>
      </c>
      <c r="L658">
        <f t="shared" si="112"/>
        <v>40980.635073749385</v>
      </c>
      <c r="M658" t="str">
        <f t="shared" si="113"/>
        <v/>
      </c>
      <c r="N658" t="str">
        <f t="shared" si="114"/>
        <v/>
      </c>
      <c r="O658">
        <f>IF(L658&lt;&gt;"",Data!$M1209,"")</f>
        <v>2</v>
      </c>
      <c r="T658">
        <f>IF(OR(Dashboard!$P$4="All",Dashboard!$R$4="All"),NA(),IF(OR(Data!K1209&lt;&gt;Dashboard!$P$4,Data!K1209&lt;&gt;Dashboard!$R$4),Data!G1209,NA()))</f>
        <v>40980.635073749385</v>
      </c>
      <c r="V658" s="9"/>
    </row>
    <row r="659" spans="2:22">
      <c r="B659" t="e">
        <f>IF(Dashboard!$P$4="All",Data!G1210,IF(Data!K1210=Dashboard!$P$4,Data!G1210,NA()))</f>
        <v>#N/A</v>
      </c>
      <c r="C659" t="str">
        <f t="shared" si="109"/>
        <v/>
      </c>
      <c r="D659" t="str">
        <f t="shared" si="110"/>
        <v/>
      </c>
      <c r="E659" t="str">
        <f t="shared" si="111"/>
        <v/>
      </c>
      <c r="F659" t="str">
        <f>IF(C659&lt;&gt;"",Data!$M1210,"")</f>
        <v/>
      </c>
      <c r="K659">
        <f>IF(Dashboard!$R$4="All",Data!G1210,IF(Data!K1210=Dashboard!$R$4,Data!G1210,NA()))</f>
        <v>45709.169889951241</v>
      </c>
      <c r="L659">
        <f t="shared" si="112"/>
        <v>45709.169889951241</v>
      </c>
      <c r="M659" t="str">
        <f t="shared" si="113"/>
        <v/>
      </c>
      <c r="N659" t="str">
        <f t="shared" si="114"/>
        <v/>
      </c>
      <c r="O659">
        <f>IF(L659&lt;&gt;"",Data!$M1210,"")</f>
        <v>8</v>
      </c>
      <c r="T659">
        <f>IF(OR(Dashboard!$P$4="All",Dashboard!$R$4="All"),NA(),IF(OR(Data!K1210&lt;&gt;Dashboard!$P$4,Data!K1210&lt;&gt;Dashboard!$R$4),Data!G1210,NA()))</f>
        <v>45709.169889951241</v>
      </c>
      <c r="V659" s="9"/>
    </row>
    <row r="660" spans="2:22">
      <c r="B660" t="e">
        <f>IF(Dashboard!$P$4="All",Data!G1211,IF(Data!K1211=Dashboard!$P$4,Data!G1211,NA()))</f>
        <v>#N/A</v>
      </c>
      <c r="C660" t="str">
        <f t="shared" si="109"/>
        <v/>
      </c>
      <c r="D660" t="str">
        <f t="shared" si="110"/>
        <v/>
      </c>
      <c r="E660" t="str">
        <f t="shared" si="111"/>
        <v/>
      </c>
      <c r="F660" t="str">
        <f>IF(C660&lt;&gt;"",Data!$M1211,"")</f>
        <v/>
      </c>
      <c r="K660" t="e">
        <f>IF(Dashboard!$R$4="All",Data!G1211,IF(Data!K1211=Dashboard!$R$4,Data!G1211,NA()))</f>
        <v>#N/A</v>
      </c>
      <c r="L660" t="str">
        <f t="shared" si="112"/>
        <v/>
      </c>
      <c r="M660" t="str">
        <f t="shared" si="113"/>
        <v/>
      </c>
      <c r="N660" t="str">
        <f t="shared" si="114"/>
        <v/>
      </c>
      <c r="O660" t="str">
        <f>IF(L660&lt;&gt;"",Data!$M1211,"")</f>
        <v/>
      </c>
      <c r="T660">
        <f>IF(OR(Dashboard!$P$4="All",Dashboard!$R$4="All"),NA(),IF(OR(Data!K1211&lt;&gt;Dashboard!$P$4,Data!K1211&lt;&gt;Dashboard!$R$4),Data!G1211,NA()))</f>
        <v>7123.1666749770275</v>
      </c>
      <c r="V660" s="9"/>
    </row>
    <row r="661" spans="2:22">
      <c r="B661" t="e">
        <f>IF(Dashboard!$P$4="All",Data!G1212,IF(Data!K1212=Dashboard!$P$4,Data!G1212,NA()))</f>
        <v>#N/A</v>
      </c>
      <c r="C661" t="str">
        <f t="shared" si="109"/>
        <v/>
      </c>
      <c r="D661" t="str">
        <f t="shared" si="110"/>
        <v/>
      </c>
      <c r="E661" t="str">
        <f t="shared" si="111"/>
        <v/>
      </c>
      <c r="F661" t="str">
        <f>IF(C661&lt;&gt;"",Data!$M1212,"")</f>
        <v/>
      </c>
      <c r="K661" t="e">
        <f>IF(Dashboard!$R$4="All",Data!G1212,IF(Data!K1212=Dashboard!$R$4,Data!G1212,NA()))</f>
        <v>#N/A</v>
      </c>
      <c r="L661" t="str">
        <f t="shared" si="112"/>
        <v/>
      </c>
      <c r="M661" t="str">
        <f t="shared" si="113"/>
        <v/>
      </c>
      <c r="N661" t="str">
        <f t="shared" si="114"/>
        <v/>
      </c>
      <c r="O661" t="str">
        <f>IF(L661&lt;&gt;"",Data!$M1212,"")</f>
        <v/>
      </c>
      <c r="T661">
        <f>IF(OR(Dashboard!$P$4="All",Dashboard!$R$4="All"),NA(),IF(OR(Data!K1212&lt;&gt;Dashboard!$P$4,Data!K1212&lt;&gt;Dashboard!$R$4),Data!G1212,NA()))</f>
        <v>100000</v>
      </c>
      <c r="V661" s="9"/>
    </row>
    <row r="662" spans="2:22">
      <c r="B662">
        <f>IF(Dashboard!$P$4="All",Data!G1213,IF(Data!K1213=Dashboard!$P$4,Data!G1213,NA()))</f>
        <v>78764.765217479682</v>
      </c>
      <c r="C662">
        <f t="shared" si="109"/>
        <v>78764.765217479682</v>
      </c>
      <c r="D662" t="str">
        <f t="shared" si="110"/>
        <v/>
      </c>
      <c r="E662" t="str">
        <f t="shared" si="111"/>
        <v/>
      </c>
      <c r="F662">
        <f>IF(C662&lt;&gt;"",Data!$M1213,"")</f>
        <v>15</v>
      </c>
      <c r="K662" t="e">
        <f>IF(Dashboard!$R$4="All",Data!G1213,IF(Data!K1213=Dashboard!$R$4,Data!G1213,NA()))</f>
        <v>#N/A</v>
      </c>
      <c r="L662" t="str">
        <f t="shared" si="112"/>
        <v/>
      </c>
      <c r="M662" t="str">
        <f t="shared" si="113"/>
        <v/>
      </c>
      <c r="N662" t="str">
        <f t="shared" si="114"/>
        <v/>
      </c>
      <c r="O662" t="str">
        <f>IF(L662&lt;&gt;"",Data!$M1213,"")</f>
        <v/>
      </c>
      <c r="T662">
        <f>IF(OR(Dashboard!$P$4="All",Dashboard!$R$4="All"),NA(),IF(OR(Data!K1213&lt;&gt;Dashboard!$P$4,Data!K1213&lt;&gt;Dashboard!$R$4),Data!G1213,NA()))</f>
        <v>78764.765217479682</v>
      </c>
      <c r="V662" s="9"/>
    </row>
    <row r="663" spans="2:22">
      <c r="B663" t="e">
        <f>IF(Dashboard!$P$4="All",Data!G1214,IF(Data!K1214=Dashboard!$P$4,Data!G1214,NA()))</f>
        <v>#N/A</v>
      </c>
      <c r="C663" t="str">
        <f t="shared" si="109"/>
        <v/>
      </c>
      <c r="D663" t="str">
        <f t="shared" si="110"/>
        <v/>
      </c>
      <c r="E663" t="str">
        <f t="shared" si="111"/>
        <v/>
      </c>
      <c r="F663" t="str">
        <f>IF(C663&lt;&gt;"",Data!$M1214,"")</f>
        <v/>
      </c>
      <c r="K663" t="e">
        <f>IF(Dashboard!$R$4="All",Data!G1214,IF(Data!K1214=Dashboard!$R$4,Data!G1214,NA()))</f>
        <v>#N/A</v>
      </c>
      <c r="L663" t="str">
        <f t="shared" si="112"/>
        <v/>
      </c>
      <c r="M663" t="str">
        <f t="shared" si="113"/>
        <v/>
      </c>
      <c r="N663" t="str">
        <f t="shared" si="114"/>
        <v/>
      </c>
      <c r="O663" t="str">
        <f>IF(L663&lt;&gt;"",Data!$M1214,"")</f>
        <v/>
      </c>
      <c r="T663">
        <f>IF(OR(Dashboard!$P$4="All",Dashboard!$R$4="All"),NA(),IF(OR(Data!K1214&lt;&gt;Dashboard!$P$4,Data!K1214&lt;&gt;Dashboard!$R$4),Data!G1214,NA()))</f>
        <v>152986.44846039536</v>
      </c>
      <c r="V663" s="9"/>
    </row>
    <row r="664" spans="2:22">
      <c r="B664" t="e">
        <f>IF(Dashboard!$P$4="All",Data!G1215,IF(Data!K1215=Dashboard!$P$4,Data!G1215,NA()))</f>
        <v>#N/A</v>
      </c>
      <c r="C664" t="str">
        <f t="shared" si="109"/>
        <v/>
      </c>
      <c r="D664" t="str">
        <f t="shared" si="110"/>
        <v/>
      </c>
      <c r="E664" t="str">
        <f t="shared" si="111"/>
        <v/>
      </c>
      <c r="F664" t="str">
        <f>IF(C664&lt;&gt;"",Data!$M1215,"")</f>
        <v/>
      </c>
      <c r="K664" t="e">
        <f>IF(Dashboard!$R$4="All",Data!G1215,IF(Data!K1215=Dashboard!$R$4,Data!G1215,NA()))</f>
        <v>#N/A</v>
      </c>
      <c r="L664" t="str">
        <f t="shared" si="112"/>
        <v/>
      </c>
      <c r="M664" t="str">
        <f t="shared" si="113"/>
        <v/>
      </c>
      <c r="N664" t="str">
        <f t="shared" si="114"/>
        <v/>
      </c>
      <c r="O664" t="str">
        <f>IF(L664&lt;&gt;"",Data!$M1215,"")</f>
        <v/>
      </c>
      <c r="T664">
        <f>IF(OR(Dashboard!$P$4="All",Dashboard!$R$4="All"),NA(),IF(OR(Data!K1215&lt;&gt;Dashboard!$P$4,Data!K1215&lt;&gt;Dashboard!$R$4),Data!G1215,NA()))</f>
        <v>44463.980364706273</v>
      </c>
      <c r="V664" s="9"/>
    </row>
    <row r="665" spans="2:22">
      <c r="B665">
        <f>IF(Dashboard!$P$4="All",Data!G1216,IF(Data!K1216=Dashboard!$P$4,Data!G1216,NA()))</f>
        <v>38111.983169748237</v>
      </c>
      <c r="C665">
        <f t="shared" si="109"/>
        <v>38111.983169748237</v>
      </c>
      <c r="D665" t="str">
        <f t="shared" si="110"/>
        <v/>
      </c>
      <c r="E665">
        <f t="shared" si="111"/>
        <v>38111.983169748237</v>
      </c>
      <c r="F665">
        <f>IF(C665&lt;&gt;"",Data!$M1216,"")</f>
        <v>8</v>
      </c>
      <c r="K665" t="e">
        <f>IF(Dashboard!$R$4="All",Data!G1216,IF(Data!K1216=Dashboard!$R$4,Data!G1216,NA()))</f>
        <v>#N/A</v>
      </c>
      <c r="L665" t="str">
        <f t="shared" si="112"/>
        <v/>
      </c>
      <c r="M665" t="str">
        <f t="shared" si="113"/>
        <v/>
      </c>
      <c r="N665" t="str">
        <f t="shared" si="114"/>
        <v/>
      </c>
      <c r="O665" t="str">
        <f>IF(L665&lt;&gt;"",Data!$M1216,"")</f>
        <v/>
      </c>
      <c r="T665">
        <f>IF(OR(Dashboard!$P$4="All",Dashboard!$R$4="All"),NA(),IF(OR(Data!K1216&lt;&gt;Dashboard!$P$4,Data!K1216&lt;&gt;Dashboard!$R$4),Data!G1216,NA()))</f>
        <v>38111.983169748237</v>
      </c>
      <c r="V665" s="9"/>
    </row>
    <row r="666" spans="2:22">
      <c r="B666" t="e">
        <f>IF(Dashboard!$P$4="All",Data!G1217,IF(Data!K1217=Dashboard!$P$4,Data!G1217,NA()))</f>
        <v>#N/A</v>
      </c>
      <c r="C666" t="str">
        <f t="shared" si="109"/>
        <v/>
      </c>
      <c r="D666" t="str">
        <f t="shared" si="110"/>
        <v/>
      </c>
      <c r="E666" t="str">
        <f t="shared" si="111"/>
        <v/>
      </c>
      <c r="F666" t="str">
        <f>IF(C666&lt;&gt;"",Data!$M1217,"")</f>
        <v/>
      </c>
      <c r="K666">
        <f>IF(Dashboard!$R$4="All",Data!G1217,IF(Data!K1217=Dashboard!$R$4,Data!G1217,NA()))</f>
        <v>118213.37040504631</v>
      </c>
      <c r="L666">
        <f t="shared" si="112"/>
        <v>118213.37040504631</v>
      </c>
      <c r="M666">
        <f t="shared" si="113"/>
        <v>118213.37040504631</v>
      </c>
      <c r="N666" t="str">
        <f t="shared" si="114"/>
        <v/>
      </c>
      <c r="O666">
        <f>IF(L666&lt;&gt;"",Data!$M1217,"")</f>
        <v>20</v>
      </c>
      <c r="T666">
        <f>IF(OR(Dashboard!$P$4="All",Dashboard!$R$4="All"),NA(),IF(OR(Data!K1217&lt;&gt;Dashboard!$P$4,Data!K1217&lt;&gt;Dashboard!$R$4),Data!G1217,NA()))</f>
        <v>118213.37040504631</v>
      </c>
      <c r="V666" s="9"/>
    </row>
    <row r="667" spans="2:22">
      <c r="B667" t="e">
        <f>IF(Dashboard!$P$4="All",Data!G1218,IF(Data!K1218=Dashboard!$P$4,Data!G1218,NA()))</f>
        <v>#N/A</v>
      </c>
      <c r="C667" t="str">
        <f t="shared" si="109"/>
        <v/>
      </c>
      <c r="D667" t="str">
        <f t="shared" si="110"/>
        <v/>
      </c>
      <c r="E667" t="str">
        <f t="shared" si="111"/>
        <v/>
      </c>
      <c r="F667" t="str">
        <f>IF(C667&lt;&gt;"",Data!$M1218,"")</f>
        <v/>
      </c>
      <c r="K667">
        <f>IF(Dashboard!$R$4="All",Data!G1218,IF(Data!K1218=Dashboard!$R$4,Data!G1218,NA()))</f>
        <v>39404.456801682099</v>
      </c>
      <c r="L667">
        <f t="shared" si="112"/>
        <v>39404.456801682099</v>
      </c>
      <c r="M667" t="str">
        <f t="shared" si="113"/>
        <v/>
      </c>
      <c r="N667" t="str">
        <f t="shared" si="114"/>
        <v/>
      </c>
      <c r="O667">
        <f>IF(L667&lt;&gt;"",Data!$M1218,"")</f>
        <v>10</v>
      </c>
      <c r="T667">
        <f>IF(OR(Dashboard!$P$4="All",Dashboard!$R$4="All"),NA(),IF(OR(Data!K1218&lt;&gt;Dashboard!$P$4,Data!K1218&lt;&gt;Dashboard!$R$4),Data!G1218,NA()))</f>
        <v>39404.456801682099</v>
      </c>
      <c r="V667" s="9"/>
    </row>
    <row r="668" spans="2:22">
      <c r="B668" t="e">
        <f>IF(Dashboard!$P$4="All",Data!G1219,IF(Data!K1219=Dashboard!$P$4,Data!G1219,NA()))</f>
        <v>#N/A</v>
      </c>
      <c r="C668" t="str">
        <f t="shared" si="109"/>
        <v/>
      </c>
      <c r="D668" t="str">
        <f t="shared" si="110"/>
        <v/>
      </c>
      <c r="E668" t="str">
        <f t="shared" si="111"/>
        <v/>
      </c>
      <c r="F668" t="str">
        <f>IF(C668&lt;&gt;"",Data!$M1219,"")</f>
        <v/>
      </c>
      <c r="K668" t="e">
        <f>IF(Dashboard!$R$4="All",Data!G1219,IF(Data!K1219=Dashboard!$R$4,Data!G1219,NA()))</f>
        <v>#N/A</v>
      </c>
      <c r="L668" t="str">
        <f t="shared" si="112"/>
        <v/>
      </c>
      <c r="M668" t="str">
        <f t="shared" si="113"/>
        <v/>
      </c>
      <c r="N668" t="str">
        <f t="shared" si="114"/>
        <v/>
      </c>
      <c r="O668" t="str">
        <f>IF(L668&lt;&gt;"",Data!$M1219,"")</f>
        <v/>
      </c>
      <c r="T668">
        <f>IF(OR(Dashboard!$P$4="All",Dashboard!$R$4="All"),NA(),IF(OR(Data!K1219&lt;&gt;Dashboard!$P$4,Data!K1219&lt;&gt;Dashboard!$R$4),Data!G1219,NA()))</f>
        <v>90198.36016840415</v>
      </c>
      <c r="V668" s="9"/>
    </row>
    <row r="669" spans="2:22">
      <c r="B669" t="e">
        <f>IF(Dashboard!$P$4="All",Data!G1220,IF(Data!K1220=Dashboard!$P$4,Data!G1220,NA()))</f>
        <v>#N/A</v>
      </c>
      <c r="C669" t="str">
        <f t="shared" si="109"/>
        <v/>
      </c>
      <c r="D669" t="str">
        <f t="shared" si="110"/>
        <v/>
      </c>
      <c r="E669" t="str">
        <f t="shared" si="111"/>
        <v/>
      </c>
      <c r="F669" t="str">
        <f>IF(C669&lt;&gt;"",Data!$M1220,"")</f>
        <v/>
      </c>
      <c r="K669">
        <f>IF(Dashboard!$R$4="All",Data!G1220,IF(Data!K1220=Dashboard!$R$4,Data!G1220,NA()))</f>
        <v>47285.348162018527</v>
      </c>
      <c r="L669">
        <f t="shared" si="112"/>
        <v>47285.348162018527</v>
      </c>
      <c r="M669" t="str">
        <f t="shared" si="113"/>
        <v/>
      </c>
      <c r="N669" t="str">
        <f t="shared" si="114"/>
        <v/>
      </c>
      <c r="O669">
        <f>IF(L669&lt;&gt;"",Data!$M1220,"")</f>
        <v>14</v>
      </c>
      <c r="T669">
        <f>IF(OR(Dashboard!$P$4="All",Dashboard!$R$4="All"),NA(),IF(OR(Data!K1220&lt;&gt;Dashboard!$P$4,Data!K1220&lt;&gt;Dashboard!$R$4),Data!G1220,NA()))</f>
        <v>47285.348162018527</v>
      </c>
      <c r="V669" s="9"/>
    </row>
    <row r="670" spans="2:22">
      <c r="B670" t="e">
        <f>IF(Dashboard!$P$4="All",Data!G1221,IF(Data!K1221=Dashboard!$P$4,Data!G1221,NA()))</f>
        <v>#N/A</v>
      </c>
      <c r="C670" t="str">
        <f t="shared" si="109"/>
        <v/>
      </c>
      <c r="D670" t="str">
        <f t="shared" si="110"/>
        <v/>
      </c>
      <c r="E670" t="str">
        <f t="shared" si="111"/>
        <v/>
      </c>
      <c r="F670" t="str">
        <f>IF(C670&lt;&gt;"",Data!$M1221,"")</f>
        <v/>
      </c>
      <c r="K670" t="e">
        <f>IF(Dashboard!$R$4="All",Data!G1221,IF(Data!K1221=Dashboard!$R$4,Data!G1221,NA()))</f>
        <v>#N/A</v>
      </c>
      <c r="L670" t="str">
        <f t="shared" si="112"/>
        <v/>
      </c>
      <c r="M670" t="str">
        <f t="shared" si="113"/>
        <v/>
      </c>
      <c r="N670" t="str">
        <f t="shared" si="114"/>
        <v/>
      </c>
      <c r="O670" t="str">
        <f>IF(L670&lt;&gt;"",Data!$M1221,"")</f>
        <v/>
      </c>
      <c r="T670">
        <f>IF(OR(Dashboard!$P$4="All",Dashboard!$R$4="All"),NA(),IF(OR(Data!K1221&lt;&gt;Dashboard!$P$4,Data!K1221&lt;&gt;Dashboard!$R$4),Data!G1221,NA()))</f>
        <v>56000</v>
      </c>
      <c r="V670" s="9"/>
    </row>
    <row r="671" spans="2:22">
      <c r="B671" t="e">
        <f>IF(Dashboard!$P$4="All",Data!G1222,IF(Data!K1222=Dashboard!$P$4,Data!G1222,NA()))</f>
        <v>#N/A</v>
      </c>
      <c r="C671" t="str">
        <f t="shared" si="109"/>
        <v/>
      </c>
      <c r="D671" t="str">
        <f t="shared" si="110"/>
        <v/>
      </c>
      <c r="E671" t="str">
        <f t="shared" si="111"/>
        <v/>
      </c>
      <c r="F671" t="str">
        <f>IF(C671&lt;&gt;"",Data!$M1222,"")</f>
        <v/>
      </c>
      <c r="K671" t="e">
        <f>IF(Dashboard!$R$4="All",Data!G1222,IF(Data!K1222=Dashboard!$R$4,Data!G1222,NA()))</f>
        <v>#N/A</v>
      </c>
      <c r="L671" t="str">
        <f t="shared" si="112"/>
        <v/>
      </c>
      <c r="M671" t="str">
        <f t="shared" si="113"/>
        <v/>
      </c>
      <c r="N671" t="str">
        <f t="shared" si="114"/>
        <v/>
      </c>
      <c r="O671" t="str">
        <f>IF(L671&lt;&gt;"",Data!$M1222,"")</f>
        <v/>
      </c>
      <c r="T671">
        <f>IF(OR(Dashboard!$P$4="All",Dashboard!$R$4="All"),NA(),IF(OR(Data!K1222&lt;&gt;Dashboard!$P$4,Data!K1222&lt;&gt;Dashboard!$R$4),Data!G1222,NA()))</f>
        <v>5082.6943786459069</v>
      </c>
      <c r="V671" s="9"/>
    </row>
    <row r="672" spans="2:22">
      <c r="B672" t="e">
        <f>IF(Dashboard!$P$4="All",Data!G1223,IF(Data!K1223=Dashboard!$P$4,Data!G1223,NA()))</f>
        <v>#N/A</v>
      </c>
      <c r="C672" t="str">
        <f t="shared" si="109"/>
        <v/>
      </c>
      <c r="D672" t="str">
        <f t="shared" si="110"/>
        <v/>
      </c>
      <c r="E672" t="str">
        <f t="shared" si="111"/>
        <v/>
      </c>
      <c r="F672" t="str">
        <f>IF(C672&lt;&gt;"",Data!$M1223,"")</f>
        <v/>
      </c>
      <c r="K672">
        <f>IF(Dashboard!$R$4="All",Data!G1223,IF(Data!K1223=Dashboard!$R$4,Data!G1223,NA()))</f>
        <v>53590.061250287661</v>
      </c>
      <c r="L672">
        <f t="shared" si="112"/>
        <v>53590.061250287661</v>
      </c>
      <c r="M672" t="str">
        <f t="shared" si="113"/>
        <v/>
      </c>
      <c r="N672" t="str">
        <f t="shared" si="114"/>
        <v/>
      </c>
      <c r="O672">
        <f>IF(L672&lt;&gt;"",Data!$M1223,"")</f>
        <v>10</v>
      </c>
      <c r="T672">
        <f>IF(OR(Dashboard!$P$4="All",Dashboard!$R$4="All"),NA(),IF(OR(Data!K1223&lt;&gt;Dashboard!$P$4,Data!K1223&lt;&gt;Dashboard!$R$4),Data!G1223,NA()))</f>
        <v>53590.061250287661</v>
      </c>
      <c r="V672" s="9"/>
    </row>
    <row r="673" spans="2:22">
      <c r="B673" t="e">
        <f>IF(Dashboard!$P$4="All",Data!G1224,IF(Data!K1224=Dashboard!$P$4,Data!G1224,NA()))</f>
        <v>#N/A</v>
      </c>
      <c r="C673" t="str">
        <f t="shared" si="109"/>
        <v/>
      </c>
      <c r="D673" t="str">
        <f t="shared" si="110"/>
        <v/>
      </c>
      <c r="E673" t="str">
        <f t="shared" si="111"/>
        <v/>
      </c>
      <c r="F673" t="str">
        <f>IF(C673&lt;&gt;"",Data!$M1224,"")</f>
        <v/>
      </c>
      <c r="K673" t="e">
        <f>IF(Dashboard!$R$4="All",Data!G1224,IF(Data!K1224=Dashboard!$R$4,Data!G1224,NA()))</f>
        <v>#N/A</v>
      </c>
      <c r="L673" t="str">
        <f t="shared" si="112"/>
        <v/>
      </c>
      <c r="M673" t="str">
        <f t="shared" si="113"/>
        <v/>
      </c>
      <c r="N673" t="str">
        <f t="shared" si="114"/>
        <v/>
      </c>
      <c r="O673" t="str">
        <f>IF(L673&lt;&gt;"",Data!$M1224,"")</f>
        <v/>
      </c>
      <c r="T673">
        <f>IF(OR(Dashboard!$P$4="All",Dashboard!$R$4="All"),NA(),IF(OR(Data!K1224&lt;&gt;Dashboard!$P$4,Data!K1224&lt;&gt;Dashboard!$R$4),Data!G1224,NA()))</f>
        <v>76906.906752939132</v>
      </c>
      <c r="V673" s="9"/>
    </row>
    <row r="674" spans="2:22">
      <c r="B674" t="e">
        <f>IF(Dashboard!$P$4="All",Data!G1225,IF(Data!K1225=Dashboard!$P$4,Data!G1225,NA()))</f>
        <v>#N/A</v>
      </c>
      <c r="C674" t="str">
        <f t="shared" si="109"/>
        <v/>
      </c>
      <c r="D674" t="str">
        <f t="shared" si="110"/>
        <v/>
      </c>
      <c r="E674" t="str">
        <f t="shared" si="111"/>
        <v/>
      </c>
      <c r="F674" t="str">
        <f>IF(C674&lt;&gt;"",Data!$M1225,"")</f>
        <v/>
      </c>
      <c r="K674" t="e">
        <f>IF(Dashboard!$R$4="All",Data!G1225,IF(Data!K1225=Dashboard!$R$4,Data!G1225,NA()))</f>
        <v>#N/A</v>
      </c>
      <c r="L674" t="str">
        <f t="shared" si="112"/>
        <v/>
      </c>
      <c r="M674" t="str">
        <f t="shared" si="113"/>
        <v/>
      </c>
      <c r="N674" t="str">
        <f t="shared" si="114"/>
        <v/>
      </c>
      <c r="O674" t="str">
        <f>IF(L674&lt;&gt;"",Data!$M1225,"")</f>
        <v/>
      </c>
      <c r="T674">
        <f>IF(OR(Dashboard!$P$4="All",Dashboard!$R$4="All"),NA(),IF(OR(Data!K1225&lt;&gt;Dashboard!$P$4,Data!K1225&lt;&gt;Dashboard!$R$4),Data!G1225,NA()))</f>
        <v>85000</v>
      </c>
      <c r="V674" s="9"/>
    </row>
    <row r="675" spans="2:22">
      <c r="B675" t="e">
        <f>IF(Dashboard!$P$4="All",Data!G1226,IF(Data!K1226=Dashboard!$P$4,Data!G1226,NA()))</f>
        <v>#N/A</v>
      </c>
      <c r="C675" t="str">
        <f t="shared" si="109"/>
        <v/>
      </c>
      <c r="D675" t="str">
        <f t="shared" si="110"/>
        <v/>
      </c>
      <c r="E675" t="str">
        <f t="shared" si="111"/>
        <v/>
      </c>
      <c r="F675" t="str">
        <f>IF(C675&lt;&gt;"",Data!$M1226,"")</f>
        <v/>
      </c>
      <c r="K675" t="e">
        <f>IF(Dashboard!$R$4="All",Data!G1226,IF(Data!K1226=Dashboard!$R$4,Data!G1226,NA()))</f>
        <v>#N/A</v>
      </c>
      <c r="L675" t="str">
        <f t="shared" si="112"/>
        <v/>
      </c>
      <c r="M675" t="str">
        <f t="shared" si="113"/>
        <v/>
      </c>
      <c r="N675" t="str">
        <f t="shared" si="114"/>
        <v/>
      </c>
      <c r="O675" t="str">
        <f>IF(L675&lt;&gt;"",Data!$M1226,"")</f>
        <v/>
      </c>
      <c r="T675">
        <f>IF(OR(Dashboard!$P$4="All",Dashboard!$R$4="All"),NA(),IF(OR(Data!K1226&lt;&gt;Dashboard!$P$4,Data!K1226&lt;&gt;Dashboard!$R$4),Data!G1226,NA()))</f>
        <v>72000</v>
      </c>
      <c r="V675" s="9"/>
    </row>
    <row r="676" spans="2:22">
      <c r="B676" t="e">
        <f>IF(Dashboard!$P$4="All",Data!G1227,IF(Data!K1227=Dashboard!$P$4,Data!G1227,NA()))</f>
        <v>#N/A</v>
      </c>
      <c r="C676" t="str">
        <f t="shared" si="109"/>
        <v/>
      </c>
      <c r="D676" t="str">
        <f t="shared" si="110"/>
        <v/>
      </c>
      <c r="E676" t="str">
        <f t="shared" si="111"/>
        <v/>
      </c>
      <c r="F676" t="str">
        <f>IF(C676&lt;&gt;"",Data!$M1227,"")</f>
        <v/>
      </c>
      <c r="K676" t="e">
        <f>IF(Dashboard!$R$4="All",Data!G1227,IF(Data!K1227=Dashboard!$R$4,Data!G1227,NA()))</f>
        <v>#N/A</v>
      </c>
      <c r="L676" t="str">
        <f t="shared" si="112"/>
        <v/>
      </c>
      <c r="M676" t="str">
        <f t="shared" si="113"/>
        <v/>
      </c>
      <c r="N676" t="str">
        <f t="shared" si="114"/>
        <v/>
      </c>
      <c r="O676" t="str">
        <f>IF(L676&lt;&gt;"",Data!$M1227,"")</f>
        <v/>
      </c>
      <c r="T676">
        <f>IF(OR(Dashboard!$P$4="All",Dashboard!$R$4="All"),NA(),IF(OR(Data!K1227&lt;&gt;Dashboard!$P$4,Data!K1227&lt;&gt;Dashboard!$R$4),Data!G1227,NA()))</f>
        <v>55000</v>
      </c>
      <c r="V676" s="9"/>
    </row>
    <row r="677" spans="2:22">
      <c r="B677" t="e">
        <f>IF(Dashboard!$P$4="All",Data!G1228,IF(Data!K1228=Dashboard!$P$4,Data!G1228,NA()))</f>
        <v>#N/A</v>
      </c>
      <c r="C677" t="str">
        <f t="shared" si="109"/>
        <v/>
      </c>
      <c r="D677" t="str">
        <f t="shared" si="110"/>
        <v/>
      </c>
      <c r="E677" t="str">
        <f t="shared" si="111"/>
        <v/>
      </c>
      <c r="F677" t="str">
        <f>IF(C677&lt;&gt;"",Data!$M1228,"")</f>
        <v/>
      </c>
      <c r="K677">
        <f>IF(Dashboard!$R$4="All",Data!G1228,IF(Data!K1228=Dashboard!$R$4,Data!G1228,NA()))</f>
        <v>67775.665698893223</v>
      </c>
      <c r="L677">
        <f t="shared" si="112"/>
        <v>67775.665698893223</v>
      </c>
      <c r="M677" t="str">
        <f t="shared" si="113"/>
        <v/>
      </c>
      <c r="N677" t="str">
        <f t="shared" si="114"/>
        <v/>
      </c>
      <c r="O677">
        <f>IF(L677&lt;&gt;"",Data!$M1228,"")</f>
        <v>25</v>
      </c>
      <c r="T677">
        <f>IF(OR(Dashboard!$P$4="All",Dashboard!$R$4="All"),NA(),IF(OR(Data!K1228&lt;&gt;Dashboard!$P$4,Data!K1228&lt;&gt;Dashboard!$R$4),Data!G1228,NA()))</f>
        <v>67775.665698893223</v>
      </c>
      <c r="V677" s="9"/>
    </row>
    <row r="678" spans="2:22">
      <c r="B678" t="e">
        <f>IF(Dashboard!$P$4="All",Data!G1229,IF(Data!K1229=Dashboard!$P$4,Data!G1229,NA()))</f>
        <v>#N/A</v>
      </c>
      <c r="C678" t="str">
        <f t="shared" si="109"/>
        <v/>
      </c>
      <c r="D678" t="str">
        <f t="shared" si="110"/>
        <v/>
      </c>
      <c r="E678" t="str">
        <f t="shared" si="111"/>
        <v/>
      </c>
      <c r="F678" t="str">
        <f>IF(C678&lt;&gt;"",Data!$M1229,"")</f>
        <v/>
      </c>
      <c r="K678">
        <f>IF(Dashboard!$R$4="All",Data!G1229,IF(Data!K1229=Dashboard!$R$4,Data!G1229,NA()))</f>
        <v>40586.590505732565</v>
      </c>
      <c r="L678">
        <f t="shared" si="112"/>
        <v>40586.590505732565</v>
      </c>
      <c r="M678" t="str">
        <f t="shared" si="113"/>
        <v/>
      </c>
      <c r="N678" t="str">
        <f t="shared" si="114"/>
        <v/>
      </c>
      <c r="O678">
        <f>IF(L678&lt;&gt;"",Data!$M1229,"")</f>
        <v>1</v>
      </c>
      <c r="T678">
        <f>IF(OR(Dashboard!$P$4="All",Dashboard!$R$4="All"),NA(),IF(OR(Data!K1229&lt;&gt;Dashboard!$P$4,Data!K1229&lt;&gt;Dashboard!$R$4),Data!G1229,NA()))</f>
        <v>40586.590505732565</v>
      </c>
      <c r="V678" s="9"/>
    </row>
    <row r="679" spans="2:22">
      <c r="B679" t="e">
        <f>IF(Dashboard!$P$4="All",Data!G1230,IF(Data!K1230=Dashboard!$P$4,Data!G1230,NA()))</f>
        <v>#N/A</v>
      </c>
      <c r="C679" t="str">
        <f t="shared" si="109"/>
        <v/>
      </c>
      <c r="D679" t="str">
        <f t="shared" si="110"/>
        <v/>
      </c>
      <c r="E679" t="str">
        <f t="shared" si="111"/>
        <v/>
      </c>
      <c r="F679" t="str">
        <f>IF(C679&lt;&gt;"",Data!$M1230,"")</f>
        <v/>
      </c>
      <c r="K679" t="e">
        <f>IF(Dashboard!$R$4="All",Data!G1230,IF(Data!K1230=Dashboard!$R$4,Data!G1230,NA()))</f>
        <v>#N/A</v>
      </c>
      <c r="L679" t="str">
        <f t="shared" si="112"/>
        <v/>
      </c>
      <c r="M679" t="str">
        <f t="shared" si="113"/>
        <v/>
      </c>
      <c r="N679" t="str">
        <f t="shared" si="114"/>
        <v/>
      </c>
      <c r="O679" t="str">
        <f>IF(L679&lt;&gt;"",Data!$M1230,"")</f>
        <v/>
      </c>
      <c r="T679">
        <f>IF(OR(Dashboard!$P$4="All",Dashboard!$R$4="All"),NA(),IF(OR(Data!K1230&lt;&gt;Dashboard!$P$4,Data!K1230&lt;&gt;Dashboard!$R$4),Data!G1230,NA()))</f>
        <v>50846</v>
      </c>
      <c r="V679" s="9"/>
    </row>
    <row r="680" spans="2:22">
      <c r="B680" t="e">
        <f>IF(Dashboard!$P$4="All",Data!G1231,IF(Data!K1231=Dashboard!$P$4,Data!G1231,NA()))</f>
        <v>#N/A</v>
      </c>
      <c r="C680" t="str">
        <f t="shared" si="109"/>
        <v/>
      </c>
      <c r="D680" t="str">
        <f t="shared" si="110"/>
        <v/>
      </c>
      <c r="E680" t="str">
        <f t="shared" si="111"/>
        <v/>
      </c>
      <c r="F680" t="str">
        <f>IF(C680&lt;&gt;"",Data!$M1231,"")</f>
        <v/>
      </c>
      <c r="K680" t="e">
        <f>IF(Dashboard!$R$4="All",Data!G1231,IF(Data!K1231=Dashboard!$R$4,Data!G1231,NA()))</f>
        <v>#N/A</v>
      </c>
      <c r="L680" t="str">
        <f t="shared" si="112"/>
        <v/>
      </c>
      <c r="M680" t="str">
        <f t="shared" si="113"/>
        <v/>
      </c>
      <c r="N680" t="str">
        <f t="shared" si="114"/>
        <v/>
      </c>
      <c r="O680" t="str">
        <f>IF(L680&lt;&gt;"",Data!$M1231,"")</f>
        <v/>
      </c>
      <c r="T680">
        <f>IF(OR(Dashboard!$P$4="All",Dashboard!$R$4="All"),NA(),IF(OR(Data!K1231&lt;&gt;Dashboard!$P$4,Data!K1231&lt;&gt;Dashboard!$R$4),Data!G1231,NA()))</f>
        <v>63000</v>
      </c>
      <c r="V680" s="9"/>
    </row>
    <row r="681" spans="2:22">
      <c r="B681" t="e">
        <f>IF(Dashboard!$P$4="All",Data!G1232,IF(Data!K1232=Dashboard!$P$4,Data!G1232,NA()))</f>
        <v>#N/A</v>
      </c>
      <c r="C681" t="str">
        <f t="shared" si="109"/>
        <v/>
      </c>
      <c r="D681" t="str">
        <f t="shared" si="110"/>
        <v/>
      </c>
      <c r="E681" t="str">
        <f t="shared" si="111"/>
        <v/>
      </c>
      <c r="F681" t="str">
        <f>IF(C681&lt;&gt;"",Data!$M1232,"")</f>
        <v/>
      </c>
      <c r="K681" t="e">
        <f>IF(Dashboard!$R$4="All",Data!G1232,IF(Data!K1232=Dashboard!$R$4,Data!G1232,NA()))</f>
        <v>#N/A</v>
      </c>
      <c r="L681" t="str">
        <f t="shared" si="112"/>
        <v/>
      </c>
      <c r="M681" t="str">
        <f t="shared" si="113"/>
        <v/>
      </c>
      <c r="N681" t="str">
        <f t="shared" si="114"/>
        <v/>
      </c>
      <c r="O681" t="str">
        <f>IF(L681&lt;&gt;"",Data!$M1232,"")</f>
        <v/>
      </c>
      <c r="T681">
        <f>IF(OR(Dashboard!$P$4="All",Dashboard!$R$4="All"),NA(),IF(OR(Data!K1232&lt;&gt;Dashboard!$P$4,Data!K1232&lt;&gt;Dashboard!$R$4),Data!G1232,NA()))</f>
        <v>81592.772512210868</v>
      </c>
      <c r="V681" s="9"/>
    </row>
    <row r="682" spans="2:22">
      <c r="B682" t="e">
        <f>IF(Dashboard!$P$4="All",Data!G1233,IF(Data!K1233=Dashboard!$P$4,Data!G1233,NA()))</f>
        <v>#N/A</v>
      </c>
      <c r="C682" t="str">
        <f t="shared" si="109"/>
        <v/>
      </c>
      <c r="D682" t="str">
        <f t="shared" si="110"/>
        <v/>
      </c>
      <c r="E682" t="str">
        <f t="shared" si="111"/>
        <v/>
      </c>
      <c r="F682" t="str">
        <f>IF(C682&lt;&gt;"",Data!$M1233,"")</f>
        <v/>
      </c>
      <c r="K682" t="e">
        <f>IF(Dashboard!$R$4="All",Data!G1233,IF(Data!K1233=Dashboard!$R$4,Data!G1233,NA()))</f>
        <v>#N/A</v>
      </c>
      <c r="L682" t="str">
        <f t="shared" si="112"/>
        <v/>
      </c>
      <c r="M682" t="str">
        <f t="shared" si="113"/>
        <v/>
      </c>
      <c r="N682" t="str">
        <f t="shared" si="114"/>
        <v/>
      </c>
      <c r="O682" t="str">
        <f>IF(L682&lt;&gt;"",Data!$M1233,"")</f>
        <v/>
      </c>
      <c r="T682">
        <f>IF(OR(Dashboard!$P$4="All",Dashboard!$R$4="All"),NA(),IF(OR(Data!K1233&lt;&gt;Dashboard!$P$4,Data!K1233&lt;&gt;Dashboard!$R$4),Data!G1233,NA()))</f>
        <v>50700</v>
      </c>
      <c r="V682" s="9"/>
    </row>
    <row r="683" spans="2:22">
      <c r="B683" t="e">
        <f>IF(Dashboard!$P$4="All",Data!G1234,IF(Data!K1234=Dashboard!$P$4,Data!G1234,NA()))</f>
        <v>#N/A</v>
      </c>
      <c r="C683" t="str">
        <f t="shared" si="109"/>
        <v/>
      </c>
      <c r="D683" t="str">
        <f t="shared" si="110"/>
        <v/>
      </c>
      <c r="E683" t="str">
        <f t="shared" si="111"/>
        <v/>
      </c>
      <c r="F683" t="str">
        <f>IF(C683&lt;&gt;"",Data!$M1234,"")</f>
        <v/>
      </c>
      <c r="K683">
        <f>IF(Dashboard!$R$4="All",Data!G1234,IF(Data!K1234=Dashboard!$R$4,Data!G1234,NA()))</f>
        <v>31523.565441345683</v>
      </c>
      <c r="L683">
        <f t="shared" si="112"/>
        <v>31523.565441345683</v>
      </c>
      <c r="M683" t="str">
        <f t="shared" si="113"/>
        <v/>
      </c>
      <c r="N683">
        <f t="shared" si="114"/>
        <v>31523.565441345683</v>
      </c>
      <c r="O683">
        <f>IF(L683&lt;&gt;"",Data!$M1234,"")</f>
        <v>1</v>
      </c>
      <c r="T683">
        <f>IF(OR(Dashboard!$P$4="All",Dashboard!$R$4="All"),NA(),IF(OR(Data!K1234&lt;&gt;Dashboard!$P$4,Data!K1234&lt;&gt;Dashboard!$R$4),Data!G1234,NA()))</f>
        <v>31523.565441345683</v>
      </c>
      <c r="V683" s="9"/>
    </row>
    <row r="684" spans="2:22">
      <c r="B684" t="e">
        <f>IF(Dashboard!$P$4="All",Data!G1235,IF(Data!K1235=Dashboard!$P$4,Data!G1235,NA()))</f>
        <v>#N/A</v>
      </c>
      <c r="C684" t="str">
        <f t="shared" si="109"/>
        <v/>
      </c>
      <c r="D684" t="str">
        <f t="shared" si="110"/>
        <v/>
      </c>
      <c r="E684" t="str">
        <f t="shared" si="111"/>
        <v/>
      </c>
      <c r="F684" t="str">
        <f>IF(C684&lt;&gt;"",Data!$M1235,"")</f>
        <v/>
      </c>
      <c r="K684" t="e">
        <f>IF(Dashboard!$R$4="All",Data!G1235,IF(Data!K1235=Dashboard!$R$4,Data!G1235,NA()))</f>
        <v>#N/A</v>
      </c>
      <c r="L684" t="str">
        <f t="shared" si="112"/>
        <v/>
      </c>
      <c r="M684" t="str">
        <f t="shared" si="113"/>
        <v/>
      </c>
      <c r="N684" t="str">
        <f t="shared" si="114"/>
        <v/>
      </c>
      <c r="O684" t="str">
        <f>IF(L684&lt;&gt;"",Data!$M1235,"")</f>
        <v/>
      </c>
      <c r="T684">
        <f>IF(OR(Dashboard!$P$4="All",Dashboard!$R$4="All"),NA(),IF(OR(Data!K1235&lt;&gt;Dashboard!$P$4,Data!K1235&lt;&gt;Dashboard!$R$4),Data!G1235,NA()))</f>
        <v>70000</v>
      </c>
      <c r="V684" s="9"/>
    </row>
    <row r="685" spans="2:22">
      <c r="B685" t="e">
        <f>IF(Dashboard!$P$4="All",Data!G1236,IF(Data!K1236=Dashboard!$P$4,Data!G1236,NA()))</f>
        <v>#N/A</v>
      </c>
      <c r="C685" t="str">
        <f t="shared" si="109"/>
        <v/>
      </c>
      <c r="D685" t="str">
        <f t="shared" si="110"/>
        <v/>
      </c>
      <c r="E685" t="str">
        <f t="shared" si="111"/>
        <v/>
      </c>
      <c r="F685" t="str">
        <f>IF(C685&lt;&gt;"",Data!$M1236,"")</f>
        <v/>
      </c>
      <c r="K685" t="e">
        <f>IF(Dashboard!$R$4="All",Data!G1236,IF(Data!K1236=Dashboard!$R$4,Data!G1236,NA()))</f>
        <v>#N/A</v>
      </c>
      <c r="L685" t="str">
        <f t="shared" si="112"/>
        <v/>
      </c>
      <c r="M685" t="str">
        <f t="shared" si="113"/>
        <v/>
      </c>
      <c r="N685" t="str">
        <f t="shared" si="114"/>
        <v/>
      </c>
      <c r="O685" t="str">
        <f>IF(L685&lt;&gt;"",Data!$M1236,"")</f>
        <v/>
      </c>
      <c r="T685">
        <f>IF(OR(Dashboard!$P$4="All",Dashboard!$R$4="All"),NA(),IF(OR(Data!K1236&lt;&gt;Dashboard!$P$4,Data!K1236&lt;&gt;Dashboard!$R$4),Data!G1236,NA()))</f>
        <v>63918.498996971248</v>
      </c>
      <c r="V685" s="9"/>
    </row>
    <row r="686" spans="2:22">
      <c r="B686" t="e">
        <f>IF(Dashboard!$P$4="All",Data!G1237,IF(Data!K1237=Dashboard!$P$4,Data!G1237,NA()))</f>
        <v>#N/A</v>
      </c>
      <c r="C686" t="str">
        <f t="shared" si="109"/>
        <v/>
      </c>
      <c r="D686" t="str">
        <f t="shared" si="110"/>
        <v/>
      </c>
      <c r="E686" t="str">
        <f t="shared" si="111"/>
        <v/>
      </c>
      <c r="F686" t="str">
        <f>IF(C686&lt;&gt;"",Data!$M1237,"")</f>
        <v/>
      </c>
      <c r="K686" t="e">
        <f>IF(Dashboard!$R$4="All",Data!G1237,IF(Data!K1237=Dashboard!$R$4,Data!G1237,NA()))</f>
        <v>#N/A</v>
      </c>
      <c r="L686" t="str">
        <f t="shared" si="112"/>
        <v/>
      </c>
      <c r="M686" t="str">
        <f t="shared" si="113"/>
        <v/>
      </c>
      <c r="N686" t="str">
        <f t="shared" si="114"/>
        <v/>
      </c>
      <c r="O686" t="str">
        <f>IF(L686&lt;&gt;"",Data!$M1237,"")</f>
        <v/>
      </c>
      <c r="T686">
        <f>IF(OR(Dashboard!$P$4="All",Dashboard!$R$4="All"),NA(),IF(OR(Data!K1237&lt;&gt;Dashboard!$P$4,Data!K1237&lt;&gt;Dashboard!$R$4),Data!G1237,NA()))</f>
        <v>7261.724659606657</v>
      </c>
      <c r="V686" s="9"/>
    </row>
    <row r="687" spans="2:22">
      <c r="B687" t="e">
        <f>IF(Dashboard!$P$4="All",Data!G1238,IF(Data!K1238=Dashboard!$P$4,Data!G1238,NA()))</f>
        <v>#N/A</v>
      </c>
      <c r="C687" t="str">
        <f t="shared" si="109"/>
        <v/>
      </c>
      <c r="D687" t="str">
        <f t="shared" si="110"/>
        <v/>
      </c>
      <c r="E687" t="str">
        <f t="shared" si="111"/>
        <v/>
      </c>
      <c r="F687" t="str">
        <f>IF(C687&lt;&gt;"",Data!$M1238,"")</f>
        <v/>
      </c>
      <c r="K687" t="e">
        <f>IF(Dashboard!$R$4="All",Data!G1238,IF(Data!K1238=Dashboard!$R$4,Data!G1238,NA()))</f>
        <v>#N/A</v>
      </c>
      <c r="L687" t="str">
        <f t="shared" si="112"/>
        <v/>
      </c>
      <c r="M687" t="str">
        <f t="shared" si="113"/>
        <v/>
      </c>
      <c r="N687" t="str">
        <f t="shared" si="114"/>
        <v/>
      </c>
      <c r="O687" t="str">
        <f>IF(L687&lt;&gt;"",Data!$M1238,"")</f>
        <v/>
      </c>
      <c r="T687">
        <f>IF(OR(Dashboard!$P$4="All",Dashboard!$R$4="All"),NA(),IF(OR(Data!K1238&lt;&gt;Dashboard!$P$4,Data!K1238&lt;&gt;Dashboard!$R$4),Data!G1238,NA()))</f>
        <v>11404.820437438224</v>
      </c>
      <c r="V687" s="9"/>
    </row>
    <row r="688" spans="2:22">
      <c r="B688" t="e">
        <f>IF(Dashboard!$P$4="All",Data!G1239,IF(Data!K1239=Dashboard!$P$4,Data!G1239,NA()))</f>
        <v>#N/A</v>
      </c>
      <c r="C688" t="str">
        <f t="shared" si="109"/>
        <v/>
      </c>
      <c r="D688" t="str">
        <f t="shared" si="110"/>
        <v/>
      </c>
      <c r="E688" t="str">
        <f t="shared" si="111"/>
        <v/>
      </c>
      <c r="F688" t="str">
        <f>IF(C688&lt;&gt;"",Data!$M1239,"")</f>
        <v/>
      </c>
      <c r="K688" t="e">
        <f>IF(Dashboard!$R$4="All",Data!G1239,IF(Data!K1239=Dashboard!$R$4,Data!G1239,NA()))</f>
        <v>#N/A</v>
      </c>
      <c r="L688" t="str">
        <f t="shared" si="112"/>
        <v/>
      </c>
      <c r="M688" t="str">
        <f t="shared" si="113"/>
        <v/>
      </c>
      <c r="N688" t="str">
        <f t="shared" si="114"/>
        <v/>
      </c>
      <c r="O688" t="str">
        <f>IF(L688&lt;&gt;"",Data!$M1239,"")</f>
        <v/>
      </c>
      <c r="T688">
        <f>IF(OR(Dashboard!$P$4="All",Dashboard!$R$4="All"),NA(),IF(OR(Data!K1239&lt;&gt;Dashboard!$P$4,Data!K1239&lt;&gt;Dashboard!$R$4),Data!G1239,NA()))</f>
        <v>120000</v>
      </c>
      <c r="V688" s="9"/>
    </row>
    <row r="689" spans="2:22">
      <c r="B689" t="e">
        <f>IF(Dashboard!$P$4="All",Data!G1240,IF(Data!K1240=Dashboard!$P$4,Data!G1240,NA()))</f>
        <v>#N/A</v>
      </c>
      <c r="C689" t="str">
        <f t="shared" si="109"/>
        <v/>
      </c>
      <c r="D689" t="str">
        <f t="shared" si="110"/>
        <v/>
      </c>
      <c r="E689" t="str">
        <f t="shared" si="111"/>
        <v/>
      </c>
      <c r="F689" t="str">
        <f>IF(C689&lt;&gt;"",Data!$M1240,"")</f>
        <v/>
      </c>
      <c r="K689" t="e">
        <f>IF(Dashboard!$R$4="All",Data!G1240,IF(Data!K1240=Dashboard!$R$4,Data!G1240,NA()))</f>
        <v>#N/A</v>
      </c>
      <c r="L689" t="str">
        <f t="shared" si="112"/>
        <v/>
      </c>
      <c r="M689" t="str">
        <f t="shared" si="113"/>
        <v/>
      </c>
      <c r="N689" t="str">
        <f t="shared" si="114"/>
        <v/>
      </c>
      <c r="O689" t="str">
        <f>IF(L689&lt;&gt;"",Data!$M1240,"")</f>
        <v/>
      </c>
      <c r="T689">
        <f>IF(OR(Dashboard!$P$4="All",Dashboard!$R$4="All"),NA(),IF(OR(Data!K1240&lt;&gt;Dashboard!$P$4,Data!K1240&lt;&gt;Dashboard!$R$4),Data!G1240,NA()))</f>
        <v>91791.869076237213</v>
      </c>
      <c r="V689" s="9"/>
    </row>
    <row r="690" spans="2:22">
      <c r="B690" t="e">
        <f>IF(Dashboard!$P$4="All",Data!G1241,IF(Data!K1241=Dashboard!$P$4,Data!G1241,NA()))</f>
        <v>#N/A</v>
      </c>
      <c r="C690" t="str">
        <f t="shared" si="109"/>
        <v/>
      </c>
      <c r="D690" t="str">
        <f t="shared" si="110"/>
        <v/>
      </c>
      <c r="E690" t="str">
        <f t="shared" si="111"/>
        <v/>
      </c>
      <c r="F690" t="str">
        <f>IF(C690&lt;&gt;"",Data!$M1241,"")</f>
        <v/>
      </c>
      <c r="K690" t="e">
        <f>IF(Dashboard!$R$4="All",Data!G1241,IF(Data!K1241=Dashboard!$R$4,Data!G1241,NA()))</f>
        <v>#N/A</v>
      </c>
      <c r="L690" t="str">
        <f t="shared" si="112"/>
        <v/>
      </c>
      <c r="M690" t="str">
        <f t="shared" si="113"/>
        <v/>
      </c>
      <c r="N690" t="str">
        <f t="shared" si="114"/>
        <v/>
      </c>
      <c r="O690" t="str">
        <f>IF(L690&lt;&gt;"",Data!$M1241,"")</f>
        <v/>
      </c>
      <c r="T690">
        <f>IF(OR(Dashboard!$P$4="All",Dashboard!$R$4="All"),NA(),IF(OR(Data!K1241&lt;&gt;Dashboard!$P$4,Data!K1241&lt;&gt;Dashboard!$R$4),Data!G1241,NA()))</f>
        <v>112190.06220428993</v>
      </c>
      <c r="V690" s="9"/>
    </row>
    <row r="691" spans="2:22">
      <c r="B691" t="e">
        <f>IF(Dashboard!$P$4="All",Data!G1242,IF(Data!K1242=Dashboard!$P$4,Data!G1242,NA()))</f>
        <v>#N/A</v>
      </c>
      <c r="C691" t="str">
        <f t="shared" si="109"/>
        <v/>
      </c>
      <c r="D691" t="str">
        <f t="shared" si="110"/>
        <v/>
      </c>
      <c r="E691" t="str">
        <f t="shared" si="111"/>
        <v/>
      </c>
      <c r="F691" t="str">
        <f>IF(C691&lt;&gt;"",Data!$M1242,"")</f>
        <v/>
      </c>
      <c r="K691" t="e">
        <f>IF(Dashboard!$R$4="All",Data!G1242,IF(Data!K1242=Dashboard!$R$4,Data!G1242,NA()))</f>
        <v>#N/A</v>
      </c>
      <c r="L691" t="str">
        <f t="shared" si="112"/>
        <v/>
      </c>
      <c r="M691" t="str">
        <f t="shared" si="113"/>
        <v/>
      </c>
      <c r="N691" t="str">
        <f t="shared" si="114"/>
        <v/>
      </c>
      <c r="O691" t="str">
        <f>IF(L691&lt;&gt;"",Data!$M1242,"")</f>
        <v/>
      </c>
      <c r="T691">
        <f>IF(OR(Dashboard!$P$4="All",Dashboard!$R$4="All"),NA(),IF(OR(Data!K1242&lt;&gt;Dashboard!$P$4,Data!K1242&lt;&gt;Dashboard!$R$4),Data!G1242,NA()))</f>
        <v>40000</v>
      </c>
      <c r="V691" s="9"/>
    </row>
    <row r="692" spans="2:22">
      <c r="B692" t="e">
        <f>IF(Dashboard!$P$4="All",Data!G1243,IF(Data!K1243=Dashboard!$P$4,Data!G1243,NA()))</f>
        <v>#N/A</v>
      </c>
      <c r="C692" t="str">
        <f t="shared" si="109"/>
        <v/>
      </c>
      <c r="D692" t="str">
        <f t="shared" si="110"/>
        <v/>
      </c>
      <c r="E692" t="str">
        <f t="shared" si="111"/>
        <v/>
      </c>
      <c r="F692" t="str">
        <f>IF(C692&lt;&gt;"",Data!$M1243,"")</f>
        <v/>
      </c>
      <c r="K692" t="e">
        <f>IF(Dashboard!$R$4="All",Data!G1243,IF(Data!K1243=Dashboard!$R$4,Data!G1243,NA()))</f>
        <v>#N/A</v>
      </c>
      <c r="L692" t="str">
        <f t="shared" si="112"/>
        <v/>
      </c>
      <c r="M692" t="str">
        <f t="shared" si="113"/>
        <v/>
      </c>
      <c r="N692" t="str">
        <f t="shared" si="114"/>
        <v/>
      </c>
      <c r="O692" t="str">
        <f>IF(L692&lt;&gt;"",Data!$M1243,"")</f>
        <v/>
      </c>
      <c r="T692">
        <f>IF(OR(Dashboard!$P$4="All",Dashboard!$R$4="All"),NA(),IF(OR(Data!K1243&lt;&gt;Dashboard!$P$4,Data!K1243&lt;&gt;Dashboard!$R$4),Data!G1243,NA()))</f>
        <v>107000</v>
      </c>
      <c r="V692" s="9"/>
    </row>
    <row r="693" spans="2:22">
      <c r="B693" t="e">
        <f>IF(Dashboard!$P$4="All",Data!G1244,IF(Data!K1244=Dashboard!$P$4,Data!G1244,NA()))</f>
        <v>#N/A</v>
      </c>
      <c r="C693" t="str">
        <f t="shared" si="109"/>
        <v/>
      </c>
      <c r="D693" t="str">
        <f t="shared" si="110"/>
        <v/>
      </c>
      <c r="E693" t="str">
        <f t="shared" si="111"/>
        <v/>
      </c>
      <c r="F693" t="str">
        <f>IF(C693&lt;&gt;"",Data!$M1244,"")</f>
        <v/>
      </c>
      <c r="K693" t="e">
        <f>IF(Dashboard!$R$4="All",Data!G1244,IF(Data!K1244=Dashboard!$R$4,Data!G1244,NA()))</f>
        <v>#N/A</v>
      </c>
      <c r="L693" t="str">
        <f t="shared" si="112"/>
        <v/>
      </c>
      <c r="M693" t="str">
        <f t="shared" si="113"/>
        <v/>
      </c>
      <c r="N693" t="str">
        <f t="shared" si="114"/>
        <v/>
      </c>
      <c r="O693" t="str">
        <f>IF(L693&lt;&gt;"",Data!$M1244,"")</f>
        <v/>
      </c>
      <c r="T693">
        <f>IF(OR(Dashboard!$P$4="All",Dashboard!$R$4="All"),NA(),IF(OR(Data!K1244&lt;&gt;Dashboard!$P$4,Data!K1244&lt;&gt;Dashboard!$R$4),Data!G1244,NA()))</f>
        <v>82000</v>
      </c>
      <c r="V693" s="9"/>
    </row>
    <row r="694" spans="2:22">
      <c r="B694" t="e">
        <f>IF(Dashboard!$P$4="All",Data!G1245,IF(Data!K1245=Dashboard!$P$4,Data!G1245,NA()))</f>
        <v>#N/A</v>
      </c>
      <c r="C694" t="str">
        <f t="shared" si="109"/>
        <v/>
      </c>
      <c r="D694" t="str">
        <f t="shared" si="110"/>
        <v/>
      </c>
      <c r="E694" t="str">
        <f t="shared" si="111"/>
        <v/>
      </c>
      <c r="F694" t="str">
        <f>IF(C694&lt;&gt;"",Data!$M1245,"")</f>
        <v/>
      </c>
      <c r="K694" t="e">
        <f>IF(Dashboard!$R$4="All",Data!G1245,IF(Data!K1245=Dashboard!$R$4,Data!G1245,NA()))</f>
        <v>#N/A</v>
      </c>
      <c r="L694" t="str">
        <f t="shared" si="112"/>
        <v/>
      </c>
      <c r="M694" t="str">
        <f t="shared" si="113"/>
        <v/>
      </c>
      <c r="N694" t="str">
        <f t="shared" si="114"/>
        <v/>
      </c>
      <c r="O694" t="str">
        <f>IF(L694&lt;&gt;"",Data!$M1245,"")</f>
        <v/>
      </c>
      <c r="T694">
        <f>IF(OR(Dashboard!$P$4="All",Dashboard!$R$4="All"),NA(),IF(OR(Data!K1245&lt;&gt;Dashboard!$P$4,Data!K1245&lt;&gt;Dashboard!$R$4),Data!G1245,NA()))</f>
        <v>101990.96564026357</v>
      </c>
      <c r="V694" s="9"/>
    </row>
    <row r="695" spans="2:22">
      <c r="B695" t="e">
        <f>IF(Dashboard!$P$4="All",Data!G1246,IF(Data!K1246=Dashboard!$P$4,Data!G1246,NA()))</f>
        <v>#N/A</v>
      </c>
      <c r="C695" t="str">
        <f t="shared" si="109"/>
        <v/>
      </c>
      <c r="D695" t="str">
        <f t="shared" si="110"/>
        <v/>
      </c>
      <c r="E695" t="str">
        <f t="shared" si="111"/>
        <v/>
      </c>
      <c r="F695" t="str">
        <f>IF(C695&lt;&gt;"",Data!$M1246,"")</f>
        <v/>
      </c>
      <c r="K695" t="e">
        <f>IF(Dashboard!$R$4="All",Data!G1246,IF(Data!K1246=Dashboard!$R$4,Data!G1246,NA()))</f>
        <v>#N/A</v>
      </c>
      <c r="L695" t="str">
        <f t="shared" si="112"/>
        <v/>
      </c>
      <c r="M695" t="str">
        <f t="shared" si="113"/>
        <v/>
      </c>
      <c r="N695" t="str">
        <f t="shared" si="114"/>
        <v/>
      </c>
      <c r="O695" t="str">
        <f>IF(L695&lt;&gt;"",Data!$M1246,"")</f>
        <v/>
      </c>
      <c r="T695">
        <f>IF(OR(Dashboard!$P$4="All",Dashboard!$R$4="All"),NA(),IF(OR(Data!K1246&lt;&gt;Dashboard!$P$4,Data!K1246&lt;&gt;Dashboard!$R$4),Data!G1246,NA()))</f>
        <v>43000</v>
      </c>
      <c r="V695" s="9"/>
    </row>
    <row r="696" spans="2:22">
      <c r="B696" t="e">
        <f>IF(Dashboard!$P$4="All",Data!G1247,IF(Data!K1247=Dashboard!$P$4,Data!G1247,NA()))</f>
        <v>#N/A</v>
      </c>
      <c r="C696" t="str">
        <f t="shared" si="109"/>
        <v/>
      </c>
      <c r="D696" t="str">
        <f t="shared" si="110"/>
        <v/>
      </c>
      <c r="E696" t="str">
        <f t="shared" si="111"/>
        <v/>
      </c>
      <c r="F696" t="str">
        <f>IF(C696&lt;&gt;"",Data!$M1247,"")</f>
        <v/>
      </c>
      <c r="K696" t="e">
        <f>IF(Dashboard!$R$4="All",Data!G1247,IF(Data!K1247=Dashboard!$R$4,Data!G1247,NA()))</f>
        <v>#N/A</v>
      </c>
      <c r="L696" t="str">
        <f t="shared" si="112"/>
        <v/>
      </c>
      <c r="M696" t="str">
        <f t="shared" si="113"/>
        <v/>
      </c>
      <c r="N696" t="str">
        <f t="shared" si="114"/>
        <v/>
      </c>
      <c r="O696" t="str">
        <f>IF(L696&lt;&gt;"",Data!$M1247,"")</f>
        <v/>
      </c>
      <c r="T696">
        <f>IF(OR(Dashboard!$P$4="All",Dashboard!$R$4="All"),NA(),IF(OR(Data!K1247&lt;&gt;Dashboard!$P$4,Data!K1247&lt;&gt;Dashboard!$R$4),Data!G1247,NA()))</f>
        <v>69000</v>
      </c>
      <c r="V696" s="9"/>
    </row>
    <row r="697" spans="2:22">
      <c r="B697" t="e">
        <f>IF(Dashboard!$P$4="All",Data!G1248,IF(Data!K1248=Dashboard!$P$4,Data!G1248,NA()))</f>
        <v>#N/A</v>
      </c>
      <c r="C697" t="str">
        <f t="shared" si="109"/>
        <v/>
      </c>
      <c r="D697" t="str">
        <f t="shared" si="110"/>
        <v/>
      </c>
      <c r="E697" t="str">
        <f t="shared" si="111"/>
        <v/>
      </c>
      <c r="F697" t="str">
        <f>IF(C697&lt;&gt;"",Data!$M1248,"")</f>
        <v/>
      </c>
      <c r="K697" t="e">
        <f>IF(Dashboard!$R$4="All",Data!G1248,IF(Data!K1248=Dashboard!$R$4,Data!G1248,NA()))</f>
        <v>#N/A</v>
      </c>
      <c r="L697" t="str">
        <f t="shared" si="112"/>
        <v/>
      </c>
      <c r="M697" t="str">
        <f t="shared" si="113"/>
        <v/>
      </c>
      <c r="N697" t="str">
        <f t="shared" si="114"/>
        <v/>
      </c>
      <c r="O697" t="str">
        <f>IF(L697&lt;&gt;"",Data!$M1248,"")</f>
        <v/>
      </c>
      <c r="T697">
        <f>IF(OR(Dashboard!$P$4="All",Dashboard!$R$4="All"),NA(),IF(OR(Data!K1248&lt;&gt;Dashboard!$P$4,Data!K1248&lt;&gt;Dashboard!$R$4),Data!G1248,NA()))</f>
        <v>30000</v>
      </c>
      <c r="V697" s="9"/>
    </row>
    <row r="698" spans="2:22">
      <c r="B698" t="e">
        <f>IF(Dashboard!$P$4="All",Data!G1249,IF(Data!K1249=Dashboard!$P$4,Data!G1249,NA()))</f>
        <v>#N/A</v>
      </c>
      <c r="C698" t="str">
        <f t="shared" si="109"/>
        <v/>
      </c>
      <c r="D698" t="str">
        <f t="shared" si="110"/>
        <v/>
      </c>
      <c r="E698" t="str">
        <f t="shared" si="111"/>
        <v/>
      </c>
      <c r="F698" t="str">
        <f>IF(C698&lt;&gt;"",Data!$M1249,"")</f>
        <v/>
      </c>
      <c r="K698" t="e">
        <f>IF(Dashboard!$R$4="All",Data!G1249,IF(Data!K1249=Dashboard!$R$4,Data!G1249,NA()))</f>
        <v>#N/A</v>
      </c>
      <c r="L698" t="str">
        <f t="shared" si="112"/>
        <v/>
      </c>
      <c r="M698" t="str">
        <f t="shared" si="113"/>
        <v/>
      </c>
      <c r="N698" t="str">
        <f t="shared" si="114"/>
        <v/>
      </c>
      <c r="O698" t="str">
        <f>IF(L698&lt;&gt;"",Data!$M1249,"")</f>
        <v/>
      </c>
      <c r="T698">
        <f>IF(OR(Dashboard!$P$4="All",Dashboard!$R$4="All"),NA(),IF(OR(Data!K1249&lt;&gt;Dashboard!$P$4,Data!K1249&lt;&gt;Dashboard!$R$4),Data!G1249,NA()))</f>
        <v>48955.663507326513</v>
      </c>
      <c r="V698" s="9"/>
    </row>
    <row r="699" spans="2:22">
      <c r="B699" t="e">
        <f>IF(Dashboard!$P$4="All",Data!G1250,IF(Data!K1250=Dashboard!$P$4,Data!G1250,NA()))</f>
        <v>#N/A</v>
      </c>
      <c r="C699" t="str">
        <f t="shared" si="109"/>
        <v/>
      </c>
      <c r="D699" t="str">
        <f t="shared" si="110"/>
        <v/>
      </c>
      <c r="E699" t="str">
        <f t="shared" si="111"/>
        <v/>
      </c>
      <c r="F699" t="str">
        <f>IF(C699&lt;&gt;"",Data!$M1250,"")</f>
        <v/>
      </c>
      <c r="K699" t="e">
        <f>IF(Dashboard!$R$4="All",Data!G1250,IF(Data!K1250=Dashboard!$R$4,Data!G1250,NA()))</f>
        <v>#N/A</v>
      </c>
      <c r="L699" t="str">
        <f t="shared" si="112"/>
        <v/>
      </c>
      <c r="M699" t="str">
        <f t="shared" si="113"/>
        <v/>
      </c>
      <c r="N699" t="str">
        <f t="shared" si="114"/>
        <v/>
      </c>
      <c r="O699" t="str">
        <f>IF(L699&lt;&gt;"",Data!$M1250,"")</f>
        <v/>
      </c>
      <c r="T699">
        <f>IF(OR(Dashboard!$P$4="All",Dashboard!$R$4="All"),NA(),IF(OR(Data!K1250&lt;&gt;Dashboard!$P$4,Data!K1250&lt;&gt;Dashboard!$R$4),Data!G1250,NA()))</f>
        <v>70000</v>
      </c>
      <c r="V699" s="9"/>
    </row>
    <row r="700" spans="2:22">
      <c r="B700" t="e">
        <f>IF(Dashboard!$P$4="All",Data!G1251,IF(Data!K1251=Dashboard!$P$4,Data!G1251,NA()))</f>
        <v>#N/A</v>
      </c>
      <c r="C700" t="str">
        <f t="shared" si="109"/>
        <v/>
      </c>
      <c r="D700" t="str">
        <f t="shared" si="110"/>
        <v/>
      </c>
      <c r="E700" t="str">
        <f t="shared" si="111"/>
        <v/>
      </c>
      <c r="F700" t="str">
        <f>IF(C700&lt;&gt;"",Data!$M1251,"")</f>
        <v/>
      </c>
      <c r="K700" t="e">
        <f>IF(Dashboard!$R$4="All",Data!G1251,IF(Data!K1251=Dashboard!$R$4,Data!G1251,NA()))</f>
        <v>#N/A</v>
      </c>
      <c r="L700" t="str">
        <f t="shared" si="112"/>
        <v/>
      </c>
      <c r="M700" t="str">
        <f t="shared" si="113"/>
        <v/>
      </c>
      <c r="N700" t="str">
        <f t="shared" si="114"/>
        <v/>
      </c>
      <c r="O700" t="str">
        <f>IF(L700&lt;&gt;"",Data!$M1251,"")</f>
        <v/>
      </c>
      <c r="T700">
        <f>IF(OR(Dashboard!$P$4="All",Dashboard!$R$4="All"),NA(),IF(OR(Data!K1251&lt;&gt;Dashboard!$P$4,Data!K1251&lt;&gt;Dashboard!$R$4),Data!G1251,NA()))</f>
        <v>45000</v>
      </c>
      <c r="V700" s="9"/>
    </row>
    <row r="701" spans="2:22">
      <c r="B701" t="e">
        <f>IF(Dashboard!$P$4="All",Data!G1252,IF(Data!K1252=Dashboard!$P$4,Data!G1252,NA()))</f>
        <v>#N/A</v>
      </c>
      <c r="C701" t="str">
        <f t="shared" si="109"/>
        <v/>
      </c>
      <c r="D701" t="str">
        <f t="shared" si="110"/>
        <v/>
      </c>
      <c r="E701" t="str">
        <f t="shared" si="111"/>
        <v/>
      </c>
      <c r="F701" t="str">
        <f>IF(C701&lt;&gt;"",Data!$M1252,"")</f>
        <v/>
      </c>
      <c r="K701" t="e">
        <f>IF(Dashboard!$R$4="All",Data!G1252,IF(Data!K1252=Dashboard!$R$4,Data!G1252,NA()))</f>
        <v>#N/A</v>
      </c>
      <c r="L701" t="str">
        <f t="shared" si="112"/>
        <v/>
      </c>
      <c r="M701" t="str">
        <f t="shared" si="113"/>
        <v/>
      </c>
      <c r="N701" t="str">
        <f t="shared" si="114"/>
        <v/>
      </c>
      <c r="O701" t="str">
        <f>IF(L701&lt;&gt;"",Data!$M1252,"")</f>
        <v/>
      </c>
      <c r="T701">
        <f>IF(OR(Dashboard!$P$4="All",Dashboard!$R$4="All"),NA(),IF(OR(Data!K1252&lt;&gt;Dashboard!$P$4,Data!K1252&lt;&gt;Dashboard!$R$4),Data!G1252,NA()))</f>
        <v>35000</v>
      </c>
      <c r="V701" s="9"/>
    </row>
    <row r="702" spans="2:22">
      <c r="B702" t="e">
        <f>IF(Dashboard!$P$4="All",Data!G1253,IF(Data!K1253=Dashboard!$P$4,Data!G1253,NA()))</f>
        <v>#N/A</v>
      </c>
      <c r="C702" t="str">
        <f t="shared" si="109"/>
        <v/>
      </c>
      <c r="D702" t="str">
        <f t="shared" si="110"/>
        <v/>
      </c>
      <c r="E702" t="str">
        <f t="shared" si="111"/>
        <v/>
      </c>
      <c r="F702" t="str">
        <f>IF(C702&lt;&gt;"",Data!$M1253,"")</f>
        <v/>
      </c>
      <c r="K702" t="e">
        <f>IF(Dashboard!$R$4="All",Data!G1253,IF(Data!K1253=Dashboard!$R$4,Data!G1253,NA()))</f>
        <v>#N/A</v>
      </c>
      <c r="L702" t="str">
        <f t="shared" si="112"/>
        <v/>
      </c>
      <c r="M702" t="str">
        <f t="shared" si="113"/>
        <v/>
      </c>
      <c r="N702" t="str">
        <f t="shared" si="114"/>
        <v/>
      </c>
      <c r="O702" t="str">
        <f>IF(L702&lt;&gt;"",Data!$M1253,"")</f>
        <v/>
      </c>
      <c r="T702">
        <f>IF(OR(Dashboard!$P$4="All",Dashboard!$R$4="All"),NA(),IF(OR(Data!K1253&lt;&gt;Dashboard!$P$4,Data!K1253&lt;&gt;Dashboard!$R$4),Data!G1253,NA()))</f>
        <v>8903.9583437212841</v>
      </c>
      <c r="V702" s="9"/>
    </row>
    <row r="703" spans="2:22">
      <c r="B703" t="e">
        <f>IF(Dashboard!$P$4="All",Data!G1254,IF(Data!K1254=Dashboard!$P$4,Data!G1254,NA()))</f>
        <v>#N/A</v>
      </c>
      <c r="C703" t="str">
        <f t="shared" si="109"/>
        <v/>
      </c>
      <c r="D703" t="str">
        <f t="shared" si="110"/>
        <v/>
      </c>
      <c r="E703" t="str">
        <f t="shared" si="111"/>
        <v/>
      </c>
      <c r="F703" t="str">
        <f>IF(C703&lt;&gt;"",Data!$M1254,"")</f>
        <v/>
      </c>
      <c r="K703" t="e">
        <f>IF(Dashboard!$R$4="All",Data!G1254,IF(Data!K1254=Dashboard!$R$4,Data!G1254,NA()))</f>
        <v>#N/A</v>
      </c>
      <c r="L703" t="str">
        <f t="shared" si="112"/>
        <v/>
      </c>
      <c r="M703" t="str">
        <f t="shared" si="113"/>
        <v/>
      </c>
      <c r="N703" t="str">
        <f t="shared" si="114"/>
        <v/>
      </c>
      <c r="O703" t="str">
        <f>IF(L703&lt;&gt;"",Data!$M1254,"")</f>
        <v/>
      </c>
      <c r="T703">
        <f>IF(OR(Dashboard!$P$4="All",Dashboard!$R$4="All"),NA(),IF(OR(Data!K1254&lt;&gt;Dashboard!$P$4,Data!K1254&lt;&gt;Dashboard!$R$4),Data!G1254,NA()))</f>
        <v>28353.650809742252</v>
      </c>
      <c r="V703" s="9"/>
    </row>
    <row r="704" spans="2:22">
      <c r="B704" t="e">
        <f>IF(Dashboard!$P$4="All",Data!G1255,IF(Data!K1255=Dashboard!$P$4,Data!G1255,NA()))</f>
        <v>#N/A</v>
      </c>
      <c r="C704" t="str">
        <f t="shared" si="109"/>
        <v/>
      </c>
      <c r="D704" t="str">
        <f t="shared" si="110"/>
        <v/>
      </c>
      <c r="E704" t="str">
        <f t="shared" si="111"/>
        <v/>
      </c>
      <c r="F704" t="str">
        <f>IF(C704&lt;&gt;"",Data!$M1255,"")</f>
        <v/>
      </c>
      <c r="K704" t="e">
        <f>IF(Dashboard!$R$4="All",Data!G1255,IF(Data!K1255=Dashboard!$R$4,Data!G1255,NA()))</f>
        <v>#N/A</v>
      </c>
      <c r="L704" t="str">
        <f t="shared" si="112"/>
        <v/>
      </c>
      <c r="M704" t="str">
        <f t="shared" si="113"/>
        <v/>
      </c>
      <c r="N704" t="str">
        <f t="shared" si="114"/>
        <v/>
      </c>
      <c r="O704" t="str">
        <f>IF(L704&lt;&gt;"",Data!$M1255,"")</f>
        <v/>
      </c>
      <c r="T704">
        <f>IF(OR(Dashboard!$P$4="All",Dashboard!$R$4="All"),NA(),IF(OR(Data!K1255&lt;&gt;Dashboard!$P$4,Data!K1255&lt;&gt;Dashboard!$R$4),Data!G1255,NA()))</f>
        <v>11800</v>
      </c>
      <c r="V704" s="9"/>
    </row>
    <row r="705" spans="2:22">
      <c r="B705" t="e">
        <f>IF(Dashboard!$P$4="All",Data!G1256,IF(Data!K1256=Dashboard!$P$4,Data!G1256,NA()))</f>
        <v>#N/A</v>
      </c>
      <c r="C705" t="str">
        <f t="shared" si="109"/>
        <v/>
      </c>
      <c r="D705" t="str">
        <f t="shared" si="110"/>
        <v/>
      </c>
      <c r="E705" t="str">
        <f t="shared" si="111"/>
        <v/>
      </c>
      <c r="F705" t="str">
        <f>IF(C705&lt;&gt;"",Data!$M1256,"")</f>
        <v/>
      </c>
      <c r="K705" t="e">
        <f>IF(Dashboard!$R$4="All",Data!G1256,IF(Data!K1256=Dashboard!$R$4,Data!G1256,NA()))</f>
        <v>#N/A</v>
      </c>
      <c r="L705" t="str">
        <f t="shared" si="112"/>
        <v/>
      </c>
      <c r="M705" t="str">
        <f t="shared" si="113"/>
        <v/>
      </c>
      <c r="N705" t="str">
        <f t="shared" si="114"/>
        <v/>
      </c>
      <c r="O705" t="str">
        <f>IF(L705&lt;&gt;"",Data!$M1256,"")</f>
        <v/>
      </c>
      <c r="T705">
        <f>IF(OR(Dashboard!$P$4="All",Dashboard!$R$4="All"),NA(),IF(OR(Data!K1256&lt;&gt;Dashboard!$P$4,Data!K1256&lt;&gt;Dashboard!$R$4),Data!G1256,NA()))</f>
        <v>6410.8500074793246</v>
      </c>
      <c r="V705" s="9"/>
    </row>
    <row r="706" spans="2:22">
      <c r="B706" t="e">
        <f>IF(Dashboard!$P$4="All",Data!G1257,IF(Data!K1257=Dashboard!$P$4,Data!G1257,NA()))</f>
        <v>#N/A</v>
      </c>
      <c r="C706" t="str">
        <f t="shared" si="109"/>
        <v/>
      </c>
      <c r="D706" t="str">
        <f t="shared" si="110"/>
        <v/>
      </c>
      <c r="E706" t="str">
        <f t="shared" si="111"/>
        <v/>
      </c>
      <c r="F706" t="str">
        <f>IF(C706&lt;&gt;"",Data!$M1257,"")</f>
        <v/>
      </c>
      <c r="K706" t="e">
        <f>IF(Dashboard!$R$4="All",Data!G1257,IF(Data!K1257=Dashboard!$R$4,Data!G1257,NA()))</f>
        <v>#N/A</v>
      </c>
      <c r="L706" t="str">
        <f t="shared" si="112"/>
        <v/>
      </c>
      <c r="M706" t="str">
        <f t="shared" si="113"/>
        <v/>
      </c>
      <c r="N706" t="str">
        <f t="shared" si="114"/>
        <v/>
      </c>
      <c r="O706" t="str">
        <f>IF(L706&lt;&gt;"",Data!$M1257,"")</f>
        <v/>
      </c>
      <c r="T706">
        <f>IF(OR(Dashboard!$P$4="All",Dashboard!$R$4="All"),NA(),IF(OR(Data!K1257&lt;&gt;Dashboard!$P$4,Data!K1257&lt;&gt;Dashboard!$R$4),Data!G1257,NA()))</f>
        <v>50000</v>
      </c>
      <c r="V706" s="9"/>
    </row>
    <row r="707" spans="2:22">
      <c r="B707" t="e">
        <f>IF(Dashboard!$P$4="All",Data!G1258,IF(Data!K1258=Dashboard!$P$4,Data!G1258,NA()))</f>
        <v>#N/A</v>
      </c>
      <c r="C707" t="str">
        <f t="shared" si="109"/>
        <v/>
      </c>
      <c r="D707" t="str">
        <f t="shared" si="110"/>
        <v/>
      </c>
      <c r="E707" t="str">
        <f t="shared" si="111"/>
        <v/>
      </c>
      <c r="F707" t="str">
        <f>IF(C707&lt;&gt;"",Data!$M1258,"")</f>
        <v/>
      </c>
      <c r="K707" t="e">
        <f>IF(Dashboard!$R$4="All",Data!G1258,IF(Data!K1258=Dashboard!$R$4,Data!G1258,NA()))</f>
        <v>#N/A</v>
      </c>
      <c r="L707" t="str">
        <f t="shared" si="112"/>
        <v/>
      </c>
      <c r="M707" t="str">
        <f t="shared" si="113"/>
        <v/>
      </c>
      <c r="N707" t="str">
        <f t="shared" si="114"/>
        <v/>
      </c>
      <c r="O707" t="str">
        <f>IF(L707&lt;&gt;"",Data!$M1258,"")</f>
        <v/>
      </c>
      <c r="T707">
        <f>IF(OR(Dashboard!$P$4="All",Dashboard!$R$4="All"),NA(),IF(OR(Data!K1258&lt;&gt;Dashboard!$P$4,Data!K1258&lt;&gt;Dashboard!$R$4),Data!G1258,NA()))</f>
        <v>85000</v>
      </c>
      <c r="V707" s="9"/>
    </row>
    <row r="708" spans="2:22">
      <c r="B708" t="e">
        <f>IF(Dashboard!$P$4="All",Data!G1259,IF(Data!K1259=Dashboard!$P$4,Data!G1259,NA()))</f>
        <v>#N/A</v>
      </c>
      <c r="C708" t="str">
        <f t="shared" ref="C708:C771" si="115">IF(ISNA(B708),"",B708)</f>
        <v/>
      </c>
      <c r="D708" t="str">
        <f t="shared" ref="D708:D771" si="116">IF(C708&gt;=PERCENTILE($C$3:$C$1337,0.9),C708,"")</f>
        <v/>
      </c>
      <c r="E708" t="str">
        <f t="shared" ref="E708:E771" si="117">IF(C708&lt;=PERCENTILE($C$3:$C$1337,0.1),C708,"")</f>
        <v/>
      </c>
      <c r="F708" t="str">
        <f>IF(C708&lt;&gt;"",Data!$M1259,"")</f>
        <v/>
      </c>
      <c r="K708" t="e">
        <f>IF(Dashboard!$R$4="All",Data!G1259,IF(Data!K1259=Dashboard!$R$4,Data!G1259,NA()))</f>
        <v>#N/A</v>
      </c>
      <c r="L708" t="str">
        <f t="shared" ref="L708:L771" si="118">IF(ISNA(K708),"",K708)</f>
        <v/>
      </c>
      <c r="M708" t="str">
        <f t="shared" ref="M708:M771" si="119">IF(L708&gt;=PERCENTILE($L$3:$L$1337,0.9),L708,"")</f>
        <v/>
      </c>
      <c r="N708" t="str">
        <f t="shared" ref="N708:N771" si="120">IF(L708&lt;=PERCENTILE($L$3:$L$1337,0.1),L708,"")</f>
        <v/>
      </c>
      <c r="O708" t="str">
        <f>IF(L708&lt;&gt;"",Data!$M1259,"")</f>
        <v/>
      </c>
      <c r="T708">
        <f>IF(OR(Dashboard!$P$4="All",Dashboard!$R$4="All"),NA(),IF(OR(Data!K1259&lt;&gt;Dashboard!$P$4,Data!K1259&lt;&gt;Dashboard!$R$4),Data!G1259,NA()))</f>
        <v>17807.916687442568</v>
      </c>
      <c r="V708" s="9"/>
    </row>
    <row r="709" spans="2:22">
      <c r="B709" t="e">
        <f>IF(Dashboard!$P$4="All",Data!G1260,IF(Data!K1260=Dashboard!$P$4,Data!G1260,NA()))</f>
        <v>#N/A</v>
      </c>
      <c r="C709" t="str">
        <f t="shared" si="115"/>
        <v/>
      </c>
      <c r="D709" t="str">
        <f t="shared" si="116"/>
        <v/>
      </c>
      <c r="E709" t="str">
        <f t="shared" si="117"/>
        <v/>
      </c>
      <c r="F709" t="str">
        <f>IF(C709&lt;&gt;"",Data!$M1260,"")</f>
        <v/>
      </c>
      <c r="K709" t="e">
        <f>IF(Dashboard!$R$4="All",Data!G1260,IF(Data!K1260=Dashboard!$R$4,Data!G1260,NA()))</f>
        <v>#N/A</v>
      </c>
      <c r="L709" t="str">
        <f t="shared" si="118"/>
        <v/>
      </c>
      <c r="M709" t="str">
        <f t="shared" si="119"/>
        <v/>
      </c>
      <c r="N709" t="str">
        <f t="shared" si="120"/>
        <v/>
      </c>
      <c r="O709" t="str">
        <f>IF(L709&lt;&gt;"",Data!$M1260,"")</f>
        <v/>
      </c>
      <c r="T709">
        <f>IF(OR(Dashboard!$P$4="All",Dashboard!$R$4="All"),NA(),IF(OR(Data!K1260&lt;&gt;Dashboard!$P$4,Data!K1260&lt;&gt;Dashboard!$R$4),Data!G1260,NA()))</f>
        <v>16027.125018698311</v>
      </c>
      <c r="V709" s="9"/>
    </row>
    <row r="710" spans="2:22">
      <c r="B710" t="e">
        <f>IF(Dashboard!$P$4="All",Data!G1261,IF(Data!K1261=Dashboard!$P$4,Data!G1261,NA()))</f>
        <v>#N/A</v>
      </c>
      <c r="C710" t="str">
        <f t="shared" si="115"/>
        <v/>
      </c>
      <c r="D710" t="str">
        <f t="shared" si="116"/>
        <v/>
      </c>
      <c r="E710" t="str">
        <f t="shared" si="117"/>
        <v/>
      </c>
      <c r="F710" t="str">
        <f>IF(C710&lt;&gt;"",Data!$M1261,"")</f>
        <v/>
      </c>
      <c r="K710" t="e">
        <f>IF(Dashboard!$R$4="All",Data!G1261,IF(Data!K1261=Dashboard!$R$4,Data!G1261,NA()))</f>
        <v>#N/A</v>
      </c>
      <c r="L710" t="str">
        <f t="shared" si="118"/>
        <v/>
      </c>
      <c r="M710" t="str">
        <f t="shared" si="119"/>
        <v/>
      </c>
      <c r="N710" t="str">
        <f t="shared" si="120"/>
        <v/>
      </c>
      <c r="O710" t="str">
        <f>IF(L710&lt;&gt;"",Data!$M1261,"")</f>
        <v/>
      </c>
      <c r="T710">
        <f>IF(OR(Dashboard!$P$4="All",Dashboard!$R$4="All"),NA(),IF(OR(Data!K1261&lt;&gt;Dashboard!$P$4,Data!K1261&lt;&gt;Dashboard!$R$4),Data!G1261,NA()))</f>
        <v>192000</v>
      </c>
      <c r="V710" s="9"/>
    </row>
    <row r="711" spans="2:22">
      <c r="B711" t="e">
        <f>IF(Dashboard!$P$4="All",Data!G1262,IF(Data!K1262=Dashboard!$P$4,Data!G1262,NA()))</f>
        <v>#N/A</v>
      </c>
      <c r="C711" t="str">
        <f t="shared" si="115"/>
        <v/>
      </c>
      <c r="D711" t="str">
        <f t="shared" si="116"/>
        <v/>
      </c>
      <c r="E711" t="str">
        <f t="shared" si="117"/>
        <v/>
      </c>
      <c r="F711" t="str">
        <f>IF(C711&lt;&gt;"",Data!$M1262,"")</f>
        <v/>
      </c>
      <c r="K711" t="e">
        <f>IF(Dashboard!$R$4="All",Data!G1262,IF(Data!K1262=Dashboard!$R$4,Data!G1262,NA()))</f>
        <v>#N/A</v>
      </c>
      <c r="L711" t="str">
        <f t="shared" si="118"/>
        <v/>
      </c>
      <c r="M711" t="str">
        <f t="shared" si="119"/>
        <v/>
      </c>
      <c r="N711" t="str">
        <f t="shared" si="120"/>
        <v/>
      </c>
      <c r="O711" t="str">
        <f>IF(L711&lt;&gt;"",Data!$M1262,"")</f>
        <v/>
      </c>
      <c r="T711">
        <f>IF(OR(Dashboard!$P$4="All",Dashboard!$R$4="All"),NA(),IF(OR(Data!K1262&lt;&gt;Dashboard!$P$4,Data!K1262&lt;&gt;Dashboard!$R$4),Data!G1262,NA()))</f>
        <v>54000</v>
      </c>
      <c r="V711" s="9"/>
    </row>
    <row r="712" spans="2:22">
      <c r="B712" t="e">
        <f>IF(Dashboard!$P$4="All",Data!G1263,IF(Data!K1263=Dashboard!$P$4,Data!G1263,NA()))</f>
        <v>#N/A</v>
      </c>
      <c r="C712" t="str">
        <f t="shared" si="115"/>
        <v/>
      </c>
      <c r="D712" t="str">
        <f t="shared" si="116"/>
        <v/>
      </c>
      <c r="E712" t="str">
        <f t="shared" si="117"/>
        <v/>
      </c>
      <c r="F712" t="str">
        <f>IF(C712&lt;&gt;"",Data!$M1263,"")</f>
        <v/>
      </c>
      <c r="K712" t="e">
        <f>IF(Dashboard!$R$4="All",Data!G1263,IF(Data!K1263=Dashboard!$R$4,Data!G1263,NA()))</f>
        <v>#N/A</v>
      </c>
      <c r="L712" t="str">
        <f t="shared" si="118"/>
        <v/>
      </c>
      <c r="M712" t="str">
        <f t="shared" si="119"/>
        <v/>
      </c>
      <c r="N712" t="str">
        <f t="shared" si="120"/>
        <v/>
      </c>
      <c r="O712" t="str">
        <f>IF(L712&lt;&gt;"",Data!$M1263,"")</f>
        <v/>
      </c>
      <c r="T712">
        <f>IF(OR(Dashboard!$P$4="All",Dashboard!$R$4="All"),NA(),IF(OR(Data!K1263&lt;&gt;Dashboard!$P$4,Data!K1263&lt;&gt;Dashboard!$R$4),Data!G1263,NA()))</f>
        <v>18000</v>
      </c>
      <c r="V712" s="9"/>
    </row>
    <row r="713" spans="2:22">
      <c r="B713" t="e">
        <f>IF(Dashboard!$P$4="All",Data!G1264,IF(Data!K1264=Dashboard!$P$4,Data!G1264,NA()))</f>
        <v>#N/A</v>
      </c>
      <c r="C713" t="str">
        <f t="shared" si="115"/>
        <v/>
      </c>
      <c r="D713" t="str">
        <f t="shared" si="116"/>
        <v/>
      </c>
      <c r="E713" t="str">
        <f t="shared" si="117"/>
        <v/>
      </c>
      <c r="F713" t="str">
        <f>IF(C713&lt;&gt;"",Data!$M1264,"")</f>
        <v/>
      </c>
      <c r="K713" t="e">
        <f>IF(Dashboard!$R$4="All",Data!G1264,IF(Data!K1264=Dashboard!$R$4,Data!G1264,NA()))</f>
        <v>#N/A</v>
      </c>
      <c r="L713" t="str">
        <f t="shared" si="118"/>
        <v/>
      </c>
      <c r="M713" t="str">
        <f t="shared" si="119"/>
        <v/>
      </c>
      <c r="N713" t="str">
        <f t="shared" si="120"/>
        <v/>
      </c>
      <c r="O713" t="str">
        <f>IF(L713&lt;&gt;"",Data!$M1264,"")</f>
        <v/>
      </c>
      <c r="T713">
        <f>IF(OR(Dashboard!$P$4="All",Dashboard!$R$4="All"),NA(),IF(OR(Data!K1264&lt;&gt;Dashboard!$P$4,Data!K1264&lt;&gt;Dashboard!$R$4),Data!G1264,NA()))</f>
        <v>5342.3750062327708</v>
      </c>
      <c r="V713" s="9"/>
    </row>
    <row r="714" spans="2:22">
      <c r="B714" t="e">
        <f>IF(Dashboard!$P$4="All",Data!G1265,IF(Data!K1265=Dashboard!$P$4,Data!G1265,NA()))</f>
        <v>#N/A</v>
      </c>
      <c r="C714" t="str">
        <f t="shared" si="115"/>
        <v/>
      </c>
      <c r="D714" t="str">
        <f t="shared" si="116"/>
        <v/>
      </c>
      <c r="E714" t="str">
        <f t="shared" si="117"/>
        <v/>
      </c>
      <c r="F714" t="str">
        <f>IF(C714&lt;&gt;"",Data!$M1265,"")</f>
        <v/>
      </c>
      <c r="K714" t="e">
        <f>IF(Dashboard!$R$4="All",Data!G1265,IF(Data!K1265=Dashboard!$R$4,Data!G1265,NA()))</f>
        <v>#N/A</v>
      </c>
      <c r="L714" t="str">
        <f t="shared" si="118"/>
        <v/>
      </c>
      <c r="M714" t="str">
        <f t="shared" si="119"/>
        <v/>
      </c>
      <c r="N714" t="str">
        <f t="shared" si="120"/>
        <v/>
      </c>
      <c r="O714" t="str">
        <f>IF(L714&lt;&gt;"",Data!$M1265,"")</f>
        <v/>
      </c>
      <c r="T714">
        <f>IF(OR(Dashboard!$P$4="All",Dashboard!$R$4="All"),NA(),IF(OR(Data!K1265&lt;&gt;Dashboard!$P$4,Data!K1265&lt;&gt;Dashboard!$R$4),Data!G1265,NA()))</f>
        <v>7123.1666749770275</v>
      </c>
      <c r="V714" s="9"/>
    </row>
    <row r="715" spans="2:22">
      <c r="B715" t="e">
        <f>IF(Dashboard!$P$4="All",Data!G1266,IF(Data!K1266=Dashboard!$P$4,Data!G1266,NA()))</f>
        <v>#N/A</v>
      </c>
      <c r="C715" t="str">
        <f t="shared" si="115"/>
        <v/>
      </c>
      <c r="D715" t="str">
        <f t="shared" si="116"/>
        <v/>
      </c>
      <c r="E715" t="str">
        <f t="shared" si="117"/>
        <v/>
      </c>
      <c r="F715" t="str">
        <f>IF(C715&lt;&gt;"",Data!$M1266,"")</f>
        <v/>
      </c>
      <c r="K715" t="e">
        <f>IF(Dashboard!$R$4="All",Data!G1266,IF(Data!K1266=Dashboard!$R$4,Data!G1266,NA()))</f>
        <v>#N/A</v>
      </c>
      <c r="L715" t="str">
        <f t="shared" si="118"/>
        <v/>
      </c>
      <c r="M715" t="str">
        <f t="shared" si="119"/>
        <v/>
      </c>
      <c r="N715" t="str">
        <f t="shared" si="120"/>
        <v/>
      </c>
      <c r="O715" t="str">
        <f>IF(L715&lt;&gt;"",Data!$M1266,"")</f>
        <v/>
      </c>
      <c r="T715">
        <f>IF(OR(Dashboard!$P$4="All",Dashboard!$R$4="All"),NA(),IF(OR(Data!K1266&lt;&gt;Dashboard!$P$4,Data!K1266&lt;&gt;Dashboard!$R$4),Data!G1266,NA()))</f>
        <v>15000</v>
      </c>
      <c r="V715" s="9"/>
    </row>
    <row r="716" spans="2:22">
      <c r="B716" t="e">
        <f>IF(Dashboard!$P$4="All",Data!G1267,IF(Data!K1267=Dashboard!$P$4,Data!G1267,NA()))</f>
        <v>#N/A</v>
      </c>
      <c r="C716" t="str">
        <f t="shared" si="115"/>
        <v/>
      </c>
      <c r="D716" t="str">
        <f t="shared" si="116"/>
        <v/>
      </c>
      <c r="E716" t="str">
        <f t="shared" si="117"/>
        <v/>
      </c>
      <c r="F716" t="str">
        <f>IF(C716&lt;&gt;"",Data!$M1267,"")</f>
        <v/>
      </c>
      <c r="K716" t="e">
        <f>IF(Dashboard!$R$4="All",Data!G1267,IF(Data!K1267=Dashboard!$R$4,Data!G1267,NA()))</f>
        <v>#N/A</v>
      </c>
      <c r="L716" t="str">
        <f t="shared" si="118"/>
        <v/>
      </c>
      <c r="M716" t="str">
        <f t="shared" si="119"/>
        <v/>
      </c>
      <c r="N716" t="str">
        <f t="shared" si="120"/>
        <v/>
      </c>
      <c r="O716" t="str">
        <f>IF(L716&lt;&gt;"",Data!$M1267,"")</f>
        <v/>
      </c>
      <c r="T716">
        <f>IF(OR(Dashboard!$P$4="All",Dashboard!$R$4="All"),NA(),IF(OR(Data!K1267&lt;&gt;Dashboard!$P$4,Data!K1267&lt;&gt;Dashboard!$R$4),Data!G1267,NA()))</f>
        <v>14000</v>
      </c>
      <c r="V716" s="9"/>
    </row>
    <row r="717" spans="2:22">
      <c r="B717" t="e">
        <f>IF(Dashboard!$P$4="All",Data!G1268,IF(Data!K1268=Dashboard!$P$4,Data!G1268,NA()))</f>
        <v>#N/A</v>
      </c>
      <c r="C717" t="str">
        <f t="shared" si="115"/>
        <v/>
      </c>
      <c r="D717" t="str">
        <f t="shared" si="116"/>
        <v/>
      </c>
      <c r="E717" t="str">
        <f t="shared" si="117"/>
        <v/>
      </c>
      <c r="F717" t="str">
        <f>IF(C717&lt;&gt;"",Data!$M1268,"")</f>
        <v/>
      </c>
      <c r="K717" t="e">
        <f>IF(Dashboard!$R$4="All",Data!G1268,IF(Data!K1268=Dashboard!$R$4,Data!G1268,NA()))</f>
        <v>#N/A</v>
      </c>
      <c r="L717" t="str">
        <f t="shared" si="118"/>
        <v/>
      </c>
      <c r="M717" t="str">
        <f t="shared" si="119"/>
        <v/>
      </c>
      <c r="N717" t="str">
        <f t="shared" si="120"/>
        <v/>
      </c>
      <c r="O717" t="str">
        <f>IF(L717&lt;&gt;"",Data!$M1268,"")</f>
        <v/>
      </c>
      <c r="T717">
        <f>IF(OR(Dashboard!$P$4="All",Dashboard!$R$4="All"),NA(),IF(OR(Data!K1268&lt;&gt;Dashboard!$P$4,Data!K1268&lt;&gt;Dashboard!$R$4),Data!G1268,NA()))</f>
        <v>8000</v>
      </c>
      <c r="V717" s="9"/>
    </row>
    <row r="718" spans="2:22">
      <c r="B718" t="e">
        <f>IF(Dashboard!$P$4="All",Data!G1269,IF(Data!K1269=Dashboard!$P$4,Data!G1269,NA()))</f>
        <v>#N/A</v>
      </c>
      <c r="C718" t="str">
        <f t="shared" si="115"/>
        <v/>
      </c>
      <c r="D718" t="str">
        <f t="shared" si="116"/>
        <v/>
      </c>
      <c r="E718" t="str">
        <f t="shared" si="117"/>
        <v/>
      </c>
      <c r="F718" t="str">
        <f>IF(C718&lt;&gt;"",Data!$M1269,"")</f>
        <v/>
      </c>
      <c r="K718" t="e">
        <f>IF(Dashboard!$R$4="All",Data!G1269,IF(Data!K1269=Dashboard!$R$4,Data!G1269,NA()))</f>
        <v>#N/A</v>
      </c>
      <c r="L718" t="str">
        <f t="shared" si="118"/>
        <v/>
      </c>
      <c r="M718" t="str">
        <f t="shared" si="119"/>
        <v/>
      </c>
      <c r="N718" t="str">
        <f t="shared" si="120"/>
        <v/>
      </c>
      <c r="O718" t="str">
        <f>IF(L718&lt;&gt;"",Data!$M1269,"")</f>
        <v/>
      </c>
      <c r="T718">
        <f>IF(OR(Dashboard!$P$4="All",Dashboard!$R$4="All"),NA(),IF(OR(Data!K1269&lt;&gt;Dashboard!$P$4,Data!K1269&lt;&gt;Dashboard!$R$4),Data!G1269,NA()))</f>
        <v>12500</v>
      </c>
      <c r="V718" s="9"/>
    </row>
    <row r="719" spans="2:22">
      <c r="B719" t="e">
        <f>IF(Dashboard!$P$4="All",Data!G1270,IF(Data!K1270=Dashboard!$P$4,Data!G1270,NA()))</f>
        <v>#N/A</v>
      </c>
      <c r="C719" t="str">
        <f t="shared" si="115"/>
        <v/>
      </c>
      <c r="D719" t="str">
        <f t="shared" si="116"/>
        <v/>
      </c>
      <c r="E719" t="str">
        <f t="shared" si="117"/>
        <v/>
      </c>
      <c r="F719" t="str">
        <f>IF(C719&lt;&gt;"",Data!$M1270,"")</f>
        <v/>
      </c>
      <c r="K719" t="e">
        <f>IF(Dashboard!$R$4="All",Data!G1270,IF(Data!K1270=Dashboard!$R$4,Data!G1270,NA()))</f>
        <v>#N/A</v>
      </c>
      <c r="L719" t="str">
        <f t="shared" si="118"/>
        <v/>
      </c>
      <c r="M719" t="str">
        <f t="shared" si="119"/>
        <v/>
      </c>
      <c r="N719" t="str">
        <f t="shared" si="120"/>
        <v/>
      </c>
      <c r="O719" t="str">
        <f>IF(L719&lt;&gt;"",Data!$M1270,"")</f>
        <v/>
      </c>
      <c r="T719">
        <f>IF(OR(Dashboard!$P$4="All",Dashboard!$R$4="All"),NA(),IF(OR(Data!K1270&lt;&gt;Dashboard!$P$4,Data!K1270&lt;&gt;Dashboard!$R$4),Data!G1270,NA()))</f>
        <v>140000</v>
      </c>
      <c r="V719" s="9"/>
    </row>
    <row r="720" spans="2:22">
      <c r="B720" t="e">
        <f>IF(Dashboard!$P$4="All",Data!G1271,IF(Data!K1271=Dashboard!$P$4,Data!G1271,NA()))</f>
        <v>#N/A</v>
      </c>
      <c r="C720" t="str">
        <f t="shared" si="115"/>
        <v/>
      </c>
      <c r="D720" t="str">
        <f t="shared" si="116"/>
        <v/>
      </c>
      <c r="E720" t="str">
        <f t="shared" si="117"/>
        <v/>
      </c>
      <c r="F720" t="str">
        <f>IF(C720&lt;&gt;"",Data!$M1271,"")</f>
        <v/>
      </c>
      <c r="K720" t="e">
        <f>IF(Dashboard!$R$4="All",Data!G1271,IF(Data!K1271=Dashboard!$R$4,Data!G1271,NA()))</f>
        <v>#N/A</v>
      </c>
      <c r="L720" t="str">
        <f t="shared" si="118"/>
        <v/>
      </c>
      <c r="M720" t="str">
        <f t="shared" si="119"/>
        <v/>
      </c>
      <c r="N720" t="str">
        <f t="shared" si="120"/>
        <v/>
      </c>
      <c r="O720" t="str">
        <f>IF(L720&lt;&gt;"",Data!$M1271,"")</f>
        <v/>
      </c>
      <c r="T720">
        <f>IF(OR(Dashboard!$P$4="All",Dashboard!$R$4="All"),NA(),IF(OR(Data!K1271&lt;&gt;Dashboard!$P$4,Data!K1271&lt;&gt;Dashboard!$R$4),Data!G1271,NA()))</f>
        <v>12000</v>
      </c>
      <c r="V720" s="9"/>
    </row>
    <row r="721" spans="2:22">
      <c r="B721" t="e">
        <f>IF(Dashboard!$P$4="All",Data!G1272,IF(Data!K1272=Dashboard!$P$4,Data!G1272,NA()))</f>
        <v>#N/A</v>
      </c>
      <c r="C721" t="str">
        <f t="shared" si="115"/>
        <v/>
      </c>
      <c r="D721" t="str">
        <f t="shared" si="116"/>
        <v/>
      </c>
      <c r="E721" t="str">
        <f t="shared" si="117"/>
        <v/>
      </c>
      <c r="F721" t="str">
        <f>IF(C721&lt;&gt;"",Data!$M1272,"")</f>
        <v/>
      </c>
      <c r="K721" t="e">
        <f>IF(Dashboard!$R$4="All",Data!G1272,IF(Data!K1272=Dashboard!$R$4,Data!G1272,NA()))</f>
        <v>#N/A</v>
      </c>
      <c r="L721" t="str">
        <f t="shared" si="118"/>
        <v/>
      </c>
      <c r="M721" t="str">
        <f t="shared" si="119"/>
        <v/>
      </c>
      <c r="N721" t="str">
        <f t="shared" si="120"/>
        <v/>
      </c>
      <c r="O721" t="str">
        <f>IF(L721&lt;&gt;"",Data!$M1272,"")</f>
        <v/>
      </c>
      <c r="T721">
        <f>IF(OR(Dashboard!$P$4="All",Dashboard!$R$4="All"),NA(),IF(OR(Data!K1272&lt;&gt;Dashboard!$P$4,Data!K1272&lt;&gt;Dashboard!$R$4),Data!G1272,NA()))</f>
        <v>38111.983169748237</v>
      </c>
      <c r="V721" s="9"/>
    </row>
    <row r="722" spans="2:22">
      <c r="B722" t="e">
        <f>IF(Dashboard!$P$4="All",Data!G1273,IF(Data!K1273=Dashboard!$P$4,Data!G1273,NA()))</f>
        <v>#N/A</v>
      </c>
      <c r="C722" t="str">
        <f t="shared" si="115"/>
        <v/>
      </c>
      <c r="D722" t="str">
        <f t="shared" si="116"/>
        <v/>
      </c>
      <c r="E722" t="str">
        <f t="shared" si="117"/>
        <v/>
      </c>
      <c r="F722" t="str">
        <f>IF(C722&lt;&gt;"",Data!$M1273,"")</f>
        <v/>
      </c>
      <c r="K722" t="e">
        <f>IF(Dashboard!$R$4="All",Data!G1273,IF(Data!K1273=Dashboard!$R$4,Data!G1273,NA()))</f>
        <v>#N/A</v>
      </c>
      <c r="L722" t="str">
        <f t="shared" si="118"/>
        <v/>
      </c>
      <c r="M722" t="str">
        <f t="shared" si="119"/>
        <v/>
      </c>
      <c r="N722" t="str">
        <f t="shared" si="120"/>
        <v/>
      </c>
      <c r="O722" t="str">
        <f>IF(L722&lt;&gt;"",Data!$M1273,"")</f>
        <v/>
      </c>
      <c r="T722">
        <f>IF(OR(Dashboard!$P$4="All",Dashboard!$R$4="All"),NA(),IF(OR(Data!K1273&lt;&gt;Dashboard!$P$4,Data!K1273&lt;&gt;Dashboard!$R$4),Data!G1273,NA()))</f>
        <v>10684.750012465542</v>
      </c>
      <c r="V722" s="9"/>
    </row>
    <row r="723" spans="2:22">
      <c r="B723" t="e">
        <f>IF(Dashboard!$P$4="All",Data!G1274,IF(Data!K1274=Dashboard!$P$4,Data!G1274,NA()))</f>
        <v>#N/A</v>
      </c>
      <c r="C723" t="str">
        <f t="shared" si="115"/>
        <v/>
      </c>
      <c r="D723" t="str">
        <f t="shared" si="116"/>
        <v/>
      </c>
      <c r="E723" t="str">
        <f t="shared" si="117"/>
        <v/>
      </c>
      <c r="F723" t="str">
        <f>IF(C723&lt;&gt;"",Data!$M1274,"")</f>
        <v/>
      </c>
      <c r="K723" t="e">
        <f>IF(Dashboard!$R$4="All",Data!G1274,IF(Data!K1274=Dashboard!$R$4,Data!G1274,NA()))</f>
        <v>#N/A</v>
      </c>
      <c r="L723" t="str">
        <f t="shared" si="118"/>
        <v/>
      </c>
      <c r="M723" t="str">
        <f t="shared" si="119"/>
        <v/>
      </c>
      <c r="N723" t="str">
        <f t="shared" si="120"/>
        <v/>
      </c>
      <c r="O723" t="str">
        <f>IF(L723&lt;&gt;"",Data!$M1274,"")</f>
        <v/>
      </c>
      <c r="T723">
        <f>IF(OR(Dashboard!$P$4="All",Dashboard!$R$4="All"),NA(),IF(OR(Data!K1274&lt;&gt;Dashboard!$P$4,Data!K1274&lt;&gt;Dashboard!$R$4),Data!G1274,NA()))</f>
        <v>6232.7708406048987</v>
      </c>
      <c r="V723" s="9"/>
    </row>
    <row r="724" spans="2:22">
      <c r="B724" t="e">
        <f>IF(Dashboard!$P$4="All",Data!G1275,IF(Data!K1275=Dashboard!$P$4,Data!G1275,NA()))</f>
        <v>#N/A</v>
      </c>
      <c r="C724" t="str">
        <f t="shared" si="115"/>
        <v/>
      </c>
      <c r="D724" t="str">
        <f t="shared" si="116"/>
        <v/>
      </c>
      <c r="E724" t="str">
        <f t="shared" si="117"/>
        <v/>
      </c>
      <c r="F724" t="str">
        <f>IF(C724&lt;&gt;"",Data!$M1275,"")</f>
        <v/>
      </c>
      <c r="K724" t="e">
        <f>IF(Dashboard!$R$4="All",Data!G1275,IF(Data!K1275=Dashboard!$R$4,Data!G1275,NA()))</f>
        <v>#N/A</v>
      </c>
      <c r="L724" t="str">
        <f t="shared" si="118"/>
        <v/>
      </c>
      <c r="M724" t="str">
        <f t="shared" si="119"/>
        <v/>
      </c>
      <c r="N724" t="str">
        <f t="shared" si="120"/>
        <v/>
      </c>
      <c r="O724" t="str">
        <f>IF(L724&lt;&gt;"",Data!$M1275,"")</f>
        <v/>
      </c>
      <c r="T724">
        <f>IF(OR(Dashboard!$P$4="All",Dashboard!$R$4="All"),NA(),IF(OR(Data!K1275&lt;&gt;Dashboard!$P$4,Data!K1275&lt;&gt;Dashboard!$R$4),Data!G1275,NA()))</f>
        <v>45000</v>
      </c>
      <c r="V724" s="9"/>
    </row>
    <row r="725" spans="2:22">
      <c r="B725" t="e">
        <f>IF(Dashboard!$P$4="All",Data!G1276,IF(Data!K1276=Dashboard!$P$4,Data!G1276,NA()))</f>
        <v>#N/A</v>
      </c>
      <c r="C725" t="str">
        <f t="shared" si="115"/>
        <v/>
      </c>
      <c r="D725" t="str">
        <f t="shared" si="116"/>
        <v/>
      </c>
      <c r="E725" t="str">
        <f t="shared" si="117"/>
        <v/>
      </c>
      <c r="F725" t="str">
        <f>IF(C725&lt;&gt;"",Data!$M1276,"")</f>
        <v/>
      </c>
      <c r="K725" t="e">
        <f>IF(Dashboard!$R$4="All",Data!G1276,IF(Data!K1276=Dashboard!$R$4,Data!G1276,NA()))</f>
        <v>#N/A</v>
      </c>
      <c r="L725" t="str">
        <f t="shared" si="118"/>
        <v/>
      </c>
      <c r="M725" t="str">
        <f t="shared" si="119"/>
        <v/>
      </c>
      <c r="N725" t="str">
        <f t="shared" si="120"/>
        <v/>
      </c>
      <c r="O725" t="str">
        <f>IF(L725&lt;&gt;"",Data!$M1276,"")</f>
        <v/>
      </c>
      <c r="T725">
        <f>IF(OR(Dashboard!$P$4="All",Dashboard!$R$4="All"),NA(),IF(OR(Data!K1276&lt;&gt;Dashboard!$P$4,Data!K1276&lt;&gt;Dashboard!$R$4),Data!G1276,NA()))</f>
        <v>80000</v>
      </c>
      <c r="V725" s="9"/>
    </row>
    <row r="726" spans="2:22">
      <c r="B726" t="e">
        <f>IF(Dashboard!$P$4="All",Data!G1277,IF(Data!K1277=Dashboard!$P$4,Data!G1277,NA()))</f>
        <v>#N/A</v>
      </c>
      <c r="C726" t="str">
        <f t="shared" si="115"/>
        <v/>
      </c>
      <c r="D726" t="str">
        <f t="shared" si="116"/>
        <v/>
      </c>
      <c r="E726" t="str">
        <f t="shared" si="117"/>
        <v/>
      </c>
      <c r="F726" t="str">
        <f>IF(C726&lt;&gt;"",Data!$M1277,"")</f>
        <v/>
      </c>
      <c r="K726" t="e">
        <f>IF(Dashboard!$R$4="All",Data!G1277,IF(Data!K1277=Dashboard!$R$4,Data!G1277,NA()))</f>
        <v>#N/A</v>
      </c>
      <c r="L726" t="str">
        <f t="shared" si="118"/>
        <v/>
      </c>
      <c r="M726" t="str">
        <f t="shared" si="119"/>
        <v/>
      </c>
      <c r="N726" t="str">
        <f t="shared" si="120"/>
        <v/>
      </c>
      <c r="O726" t="str">
        <f>IF(L726&lt;&gt;"",Data!$M1277,"")</f>
        <v/>
      </c>
      <c r="T726">
        <f>IF(OR(Dashboard!$P$4="All",Dashboard!$R$4="All"),NA(),IF(OR(Data!K1277&lt;&gt;Dashboard!$P$4,Data!K1277&lt;&gt;Dashboard!$R$4),Data!G1277,NA()))</f>
        <v>26711.875031163851</v>
      </c>
      <c r="V726" s="9"/>
    </row>
    <row r="727" spans="2:22">
      <c r="B727" t="e">
        <f>IF(Dashboard!$P$4="All",Data!G1278,IF(Data!K1278=Dashboard!$P$4,Data!G1278,NA()))</f>
        <v>#N/A</v>
      </c>
      <c r="C727" t="str">
        <f t="shared" si="115"/>
        <v/>
      </c>
      <c r="D727" t="str">
        <f t="shared" si="116"/>
        <v/>
      </c>
      <c r="E727" t="str">
        <f t="shared" si="117"/>
        <v/>
      </c>
      <c r="F727" t="str">
        <f>IF(C727&lt;&gt;"",Data!$M1278,"")</f>
        <v/>
      </c>
      <c r="K727" t="e">
        <f>IF(Dashboard!$R$4="All",Data!G1278,IF(Data!K1278=Dashboard!$R$4,Data!G1278,NA()))</f>
        <v>#N/A</v>
      </c>
      <c r="L727" t="str">
        <f t="shared" si="118"/>
        <v/>
      </c>
      <c r="M727" t="str">
        <f t="shared" si="119"/>
        <v/>
      </c>
      <c r="N727" t="str">
        <f t="shared" si="120"/>
        <v/>
      </c>
      <c r="O727" t="str">
        <f>IF(L727&lt;&gt;"",Data!$M1278,"")</f>
        <v/>
      </c>
      <c r="T727">
        <f>IF(OR(Dashboard!$P$4="All",Dashboard!$R$4="All"),NA(),IF(OR(Data!K1278&lt;&gt;Dashboard!$P$4,Data!K1278&lt;&gt;Dashboard!$R$4),Data!G1278,NA()))</f>
        <v>100000</v>
      </c>
      <c r="V727" s="9"/>
    </row>
    <row r="728" spans="2:22">
      <c r="B728" t="e">
        <f>IF(Dashboard!$P$4="All",Data!G1279,IF(Data!K1279=Dashboard!$P$4,Data!G1279,NA()))</f>
        <v>#N/A</v>
      </c>
      <c r="C728" t="str">
        <f t="shared" si="115"/>
        <v/>
      </c>
      <c r="D728" t="str">
        <f t="shared" si="116"/>
        <v/>
      </c>
      <c r="E728" t="str">
        <f t="shared" si="117"/>
        <v/>
      </c>
      <c r="F728" t="str">
        <f>IF(C728&lt;&gt;"",Data!$M1279,"")</f>
        <v/>
      </c>
      <c r="K728" t="e">
        <f>IF(Dashboard!$R$4="All",Data!G1279,IF(Data!K1279=Dashboard!$R$4,Data!G1279,NA()))</f>
        <v>#N/A</v>
      </c>
      <c r="L728" t="str">
        <f t="shared" si="118"/>
        <v/>
      </c>
      <c r="M728" t="str">
        <f t="shared" si="119"/>
        <v/>
      </c>
      <c r="N728" t="str">
        <f t="shared" si="120"/>
        <v/>
      </c>
      <c r="O728" t="str">
        <f>IF(L728&lt;&gt;"",Data!$M1279,"")</f>
        <v/>
      </c>
      <c r="T728">
        <f>IF(OR(Dashboard!$P$4="All",Dashboard!$R$4="All"),NA(),IF(OR(Data!K1279&lt;&gt;Dashboard!$P$4,Data!K1279&lt;&gt;Dashboard!$R$4),Data!G1279,NA()))</f>
        <v>69353.856635379227</v>
      </c>
      <c r="V728" s="9"/>
    </row>
    <row r="729" spans="2:22">
      <c r="B729" t="e">
        <f>IF(Dashboard!$P$4="All",Data!G1280,IF(Data!K1280=Dashboard!$P$4,Data!G1280,NA()))</f>
        <v>#N/A</v>
      </c>
      <c r="C729" t="str">
        <f t="shared" si="115"/>
        <v/>
      </c>
      <c r="D729" t="str">
        <f t="shared" si="116"/>
        <v/>
      </c>
      <c r="E729" t="str">
        <f t="shared" si="117"/>
        <v/>
      </c>
      <c r="F729" t="str">
        <f>IF(C729&lt;&gt;"",Data!$M1280,"")</f>
        <v/>
      </c>
      <c r="K729" t="e">
        <f>IF(Dashboard!$R$4="All",Data!G1280,IF(Data!K1280=Dashboard!$R$4,Data!G1280,NA()))</f>
        <v>#N/A</v>
      </c>
      <c r="L729" t="str">
        <f t="shared" si="118"/>
        <v/>
      </c>
      <c r="M729" t="str">
        <f t="shared" si="119"/>
        <v/>
      </c>
      <c r="N729" t="str">
        <f t="shared" si="120"/>
        <v/>
      </c>
      <c r="O729" t="str">
        <f>IF(L729&lt;&gt;"",Data!$M1280,"")</f>
        <v/>
      </c>
      <c r="T729">
        <f>IF(OR(Dashboard!$P$4="All",Dashboard!$R$4="All"),NA(),IF(OR(Data!K1280&lt;&gt;Dashboard!$P$4,Data!K1280&lt;&gt;Dashboard!$R$4),Data!G1280,NA()))</f>
        <v>49975.573163729154</v>
      </c>
      <c r="V729" s="9"/>
    </row>
    <row r="730" spans="2:22">
      <c r="B730" t="e">
        <f>IF(Dashboard!$P$4="All",Data!G1281,IF(Data!K1281=Dashboard!$P$4,Data!G1281,NA()))</f>
        <v>#N/A</v>
      </c>
      <c r="C730" t="str">
        <f t="shared" si="115"/>
        <v/>
      </c>
      <c r="D730" t="str">
        <f t="shared" si="116"/>
        <v/>
      </c>
      <c r="E730" t="str">
        <f t="shared" si="117"/>
        <v/>
      </c>
      <c r="F730" t="str">
        <f>IF(C730&lt;&gt;"",Data!$M1281,"")</f>
        <v/>
      </c>
      <c r="K730" t="e">
        <f>IF(Dashboard!$R$4="All",Data!G1281,IF(Data!K1281=Dashboard!$R$4,Data!G1281,NA()))</f>
        <v>#N/A</v>
      </c>
      <c r="L730" t="str">
        <f t="shared" si="118"/>
        <v/>
      </c>
      <c r="M730" t="str">
        <f t="shared" si="119"/>
        <v/>
      </c>
      <c r="N730" t="str">
        <f t="shared" si="120"/>
        <v/>
      </c>
      <c r="O730" t="str">
        <f>IF(L730&lt;&gt;"",Data!$M1281,"")</f>
        <v/>
      </c>
      <c r="T730">
        <f>IF(OR(Dashboard!$P$4="All",Dashboard!$R$4="All"),NA(),IF(OR(Data!K1281&lt;&gt;Dashboard!$P$4,Data!K1281&lt;&gt;Dashboard!$R$4),Data!G1281,NA()))</f>
        <v>10239.552095279476</v>
      </c>
      <c r="V730" s="9"/>
    </row>
    <row r="731" spans="2:22">
      <c r="B731" t="e">
        <f>IF(Dashboard!$P$4="All",Data!G1282,IF(Data!K1282=Dashboard!$P$4,Data!G1282,NA()))</f>
        <v>#N/A</v>
      </c>
      <c r="C731" t="str">
        <f t="shared" si="115"/>
        <v/>
      </c>
      <c r="D731" t="str">
        <f t="shared" si="116"/>
        <v/>
      </c>
      <c r="E731" t="str">
        <f t="shared" si="117"/>
        <v/>
      </c>
      <c r="F731" t="str">
        <f>IF(C731&lt;&gt;"",Data!$M1282,"")</f>
        <v/>
      </c>
      <c r="K731" t="e">
        <f>IF(Dashboard!$R$4="All",Data!G1282,IF(Data!K1282=Dashboard!$R$4,Data!G1282,NA()))</f>
        <v>#N/A</v>
      </c>
      <c r="L731" t="str">
        <f t="shared" si="118"/>
        <v/>
      </c>
      <c r="M731" t="str">
        <f t="shared" si="119"/>
        <v/>
      </c>
      <c r="N731" t="str">
        <f t="shared" si="120"/>
        <v/>
      </c>
      <c r="O731" t="str">
        <f>IF(L731&lt;&gt;"",Data!$M1282,"")</f>
        <v/>
      </c>
      <c r="T731">
        <f>IF(OR(Dashboard!$P$4="All",Dashboard!$R$4="All"),NA(),IF(OR(Data!K1282&lt;&gt;Dashboard!$P$4,Data!K1282&lt;&gt;Dashboard!$R$4),Data!G1282,NA()))</f>
        <v>8903.9583437212841</v>
      </c>
      <c r="V731" s="9"/>
    </row>
    <row r="732" spans="2:22">
      <c r="B732" t="e">
        <f>IF(Dashboard!$P$4="All",Data!G1283,IF(Data!K1283=Dashboard!$P$4,Data!G1283,NA()))</f>
        <v>#N/A</v>
      </c>
      <c r="C732" t="str">
        <f t="shared" si="115"/>
        <v/>
      </c>
      <c r="D732" t="str">
        <f t="shared" si="116"/>
        <v/>
      </c>
      <c r="E732" t="str">
        <f t="shared" si="117"/>
        <v/>
      </c>
      <c r="F732" t="str">
        <f>IF(C732&lt;&gt;"",Data!$M1283,"")</f>
        <v/>
      </c>
      <c r="K732" t="e">
        <f>IF(Dashboard!$R$4="All",Data!G1283,IF(Data!K1283=Dashboard!$R$4,Data!G1283,NA()))</f>
        <v>#N/A</v>
      </c>
      <c r="L732" t="str">
        <f t="shared" si="118"/>
        <v/>
      </c>
      <c r="M732" t="str">
        <f t="shared" si="119"/>
        <v/>
      </c>
      <c r="N732" t="str">
        <f t="shared" si="120"/>
        <v/>
      </c>
      <c r="O732" t="str">
        <f>IF(L732&lt;&gt;"",Data!$M1283,"")</f>
        <v/>
      </c>
      <c r="T732">
        <f>IF(OR(Dashboard!$P$4="All",Dashboard!$R$4="All"),NA(),IF(OR(Data!K1283&lt;&gt;Dashboard!$P$4,Data!K1283&lt;&gt;Dashboard!$R$4),Data!G1283,NA()))</f>
        <v>36000</v>
      </c>
      <c r="V732" s="9"/>
    </row>
    <row r="733" spans="2:22">
      <c r="B733" t="e">
        <f>IF(Dashboard!$P$4="All",Data!G1284,IF(Data!K1284=Dashboard!$P$4,Data!G1284,NA()))</f>
        <v>#N/A</v>
      </c>
      <c r="C733" t="str">
        <f t="shared" si="115"/>
        <v/>
      </c>
      <c r="D733" t="str">
        <f t="shared" si="116"/>
        <v/>
      </c>
      <c r="E733" t="str">
        <f t="shared" si="117"/>
        <v/>
      </c>
      <c r="F733" t="str">
        <f>IF(C733&lt;&gt;"",Data!$M1284,"")</f>
        <v/>
      </c>
      <c r="K733" t="e">
        <f>IF(Dashboard!$R$4="All",Data!G1284,IF(Data!K1284=Dashboard!$R$4,Data!G1284,NA()))</f>
        <v>#N/A</v>
      </c>
      <c r="L733" t="str">
        <f t="shared" si="118"/>
        <v/>
      </c>
      <c r="M733" t="str">
        <f t="shared" si="119"/>
        <v/>
      </c>
      <c r="N733" t="str">
        <f t="shared" si="120"/>
        <v/>
      </c>
      <c r="O733" t="str">
        <f>IF(L733&lt;&gt;"",Data!$M1284,"")</f>
        <v/>
      </c>
      <c r="T733">
        <f>IF(OR(Dashboard!$P$4="All",Dashboard!$R$4="All"),NA(),IF(OR(Data!K1284&lt;&gt;Dashboard!$P$4,Data!K1284&lt;&gt;Dashboard!$R$4),Data!G1284,NA()))</f>
        <v>3739.6625043629392</v>
      </c>
      <c r="V733" s="9"/>
    </row>
    <row r="734" spans="2:22">
      <c r="B734">
        <f>IF(Dashboard!$P$4="All",Data!G1285,IF(Data!K1285=Dashboard!$P$4,Data!G1285,NA()))</f>
        <v>61614.372791092981</v>
      </c>
      <c r="C734">
        <f t="shared" si="115"/>
        <v>61614.372791092981</v>
      </c>
      <c r="D734" t="str">
        <f t="shared" si="116"/>
        <v/>
      </c>
      <c r="E734" t="str">
        <f t="shared" si="117"/>
        <v/>
      </c>
      <c r="F734">
        <f>IF(C734&lt;&gt;"",Data!$M1285,"")</f>
        <v>8</v>
      </c>
      <c r="K734" t="e">
        <f>IF(Dashboard!$R$4="All",Data!G1285,IF(Data!K1285=Dashboard!$R$4,Data!G1285,NA()))</f>
        <v>#N/A</v>
      </c>
      <c r="L734" t="str">
        <f t="shared" si="118"/>
        <v/>
      </c>
      <c r="M734" t="str">
        <f t="shared" si="119"/>
        <v/>
      </c>
      <c r="N734" t="str">
        <f t="shared" si="120"/>
        <v/>
      </c>
      <c r="O734" t="str">
        <f>IF(L734&lt;&gt;"",Data!$M1285,"")</f>
        <v/>
      </c>
      <c r="T734">
        <f>IF(OR(Dashboard!$P$4="All",Dashboard!$R$4="All"),NA(),IF(OR(Data!K1285&lt;&gt;Dashboard!$P$4,Data!K1285&lt;&gt;Dashboard!$R$4),Data!G1285,NA()))</f>
        <v>61614.372791092981</v>
      </c>
      <c r="V734" s="9"/>
    </row>
    <row r="735" spans="2:22">
      <c r="B735" t="e">
        <f>IF(Dashboard!$P$4="All",Data!G1286,IF(Data!K1286=Dashboard!$P$4,Data!G1286,NA()))</f>
        <v>#N/A</v>
      </c>
      <c r="C735" t="str">
        <f t="shared" si="115"/>
        <v/>
      </c>
      <c r="D735" t="str">
        <f t="shared" si="116"/>
        <v/>
      </c>
      <c r="E735" t="str">
        <f t="shared" si="117"/>
        <v/>
      </c>
      <c r="F735" t="str">
        <f>IF(C735&lt;&gt;"",Data!$M1286,"")</f>
        <v/>
      </c>
      <c r="K735" t="e">
        <f>IF(Dashboard!$R$4="All",Data!G1286,IF(Data!K1286=Dashboard!$R$4,Data!G1286,NA()))</f>
        <v>#N/A</v>
      </c>
      <c r="L735" t="str">
        <f t="shared" si="118"/>
        <v/>
      </c>
      <c r="M735" t="str">
        <f t="shared" si="119"/>
        <v/>
      </c>
      <c r="N735" t="str">
        <f t="shared" si="120"/>
        <v/>
      </c>
      <c r="O735" t="str">
        <f>IF(L735&lt;&gt;"",Data!$M1286,"")</f>
        <v/>
      </c>
      <c r="T735">
        <f>IF(OR(Dashboard!$P$4="All",Dashboard!$R$4="All"),NA(),IF(OR(Data!K1286&lt;&gt;Dashboard!$P$4,Data!K1286&lt;&gt;Dashboard!$R$4),Data!G1286,NA()))</f>
        <v>3561.5833374885137</v>
      </c>
      <c r="V735" s="9"/>
    </row>
    <row r="736" spans="2:22">
      <c r="B736" t="e">
        <f>IF(Dashboard!$P$4="All",Data!G1287,IF(Data!K1287=Dashboard!$P$4,Data!G1287,NA()))</f>
        <v>#N/A</v>
      </c>
      <c r="C736" t="str">
        <f t="shared" si="115"/>
        <v/>
      </c>
      <c r="D736" t="str">
        <f t="shared" si="116"/>
        <v/>
      </c>
      <c r="E736" t="str">
        <f t="shared" si="117"/>
        <v/>
      </c>
      <c r="F736" t="str">
        <f>IF(C736&lt;&gt;"",Data!$M1287,"")</f>
        <v/>
      </c>
      <c r="K736" t="e">
        <f>IF(Dashboard!$R$4="All",Data!G1287,IF(Data!K1287=Dashboard!$R$4,Data!G1287,NA()))</f>
        <v>#N/A</v>
      </c>
      <c r="L736" t="str">
        <f t="shared" si="118"/>
        <v/>
      </c>
      <c r="M736" t="str">
        <f t="shared" si="119"/>
        <v/>
      </c>
      <c r="N736" t="str">
        <f t="shared" si="120"/>
        <v/>
      </c>
      <c r="O736" t="str">
        <f>IF(L736&lt;&gt;"",Data!$M1287,"")</f>
        <v/>
      </c>
      <c r="T736">
        <f>IF(OR(Dashboard!$P$4="All",Dashboard!$R$4="All"),NA(),IF(OR(Data!K1287&lt;&gt;Dashboard!$P$4,Data!K1287&lt;&gt;Dashboard!$R$4),Data!G1287,NA()))</f>
        <v>6410.8500074793246</v>
      </c>
      <c r="V736" s="9"/>
    </row>
    <row r="737" spans="2:22">
      <c r="B737">
        <f>IF(Dashboard!$P$4="All",Data!G1288,IF(Data!K1288=Dashboard!$P$4,Data!G1288,NA()))</f>
        <v>36206.384011260823</v>
      </c>
      <c r="C737">
        <f t="shared" si="115"/>
        <v>36206.384011260823</v>
      </c>
      <c r="D737" t="str">
        <f t="shared" si="116"/>
        <v/>
      </c>
      <c r="E737">
        <f t="shared" si="117"/>
        <v>36206.384011260823</v>
      </c>
      <c r="F737">
        <f>IF(C737&lt;&gt;"",Data!$M1288,"")</f>
        <v>5</v>
      </c>
      <c r="K737" t="e">
        <f>IF(Dashboard!$R$4="All",Data!G1288,IF(Data!K1288=Dashboard!$R$4,Data!G1288,NA()))</f>
        <v>#N/A</v>
      </c>
      <c r="L737" t="str">
        <f t="shared" si="118"/>
        <v/>
      </c>
      <c r="M737" t="str">
        <f t="shared" si="119"/>
        <v/>
      </c>
      <c r="N737" t="str">
        <f t="shared" si="120"/>
        <v/>
      </c>
      <c r="O737" t="str">
        <f>IF(L737&lt;&gt;"",Data!$M1288,"")</f>
        <v/>
      </c>
      <c r="T737">
        <f>IF(OR(Dashboard!$P$4="All",Dashboard!$R$4="All"),NA(),IF(OR(Data!K1288&lt;&gt;Dashboard!$P$4,Data!K1288&lt;&gt;Dashboard!$R$4),Data!G1288,NA()))</f>
        <v>36206.384011260823</v>
      </c>
      <c r="V737" s="9"/>
    </row>
    <row r="738" spans="2:22">
      <c r="B738" t="e">
        <f>IF(Dashboard!$P$4="All",Data!G1289,IF(Data!K1289=Dashboard!$P$4,Data!G1289,NA()))</f>
        <v>#N/A</v>
      </c>
      <c r="C738" t="str">
        <f t="shared" si="115"/>
        <v/>
      </c>
      <c r="D738" t="str">
        <f t="shared" si="116"/>
        <v/>
      </c>
      <c r="E738" t="str">
        <f t="shared" si="117"/>
        <v/>
      </c>
      <c r="F738" t="str">
        <f>IF(C738&lt;&gt;"",Data!$M1289,"")</f>
        <v/>
      </c>
      <c r="K738" t="e">
        <f>IF(Dashboard!$R$4="All",Data!G1289,IF(Data!K1289=Dashboard!$R$4,Data!G1289,NA()))</f>
        <v>#N/A</v>
      </c>
      <c r="L738" t="str">
        <f t="shared" si="118"/>
        <v/>
      </c>
      <c r="M738" t="str">
        <f t="shared" si="119"/>
        <v/>
      </c>
      <c r="N738" t="str">
        <f t="shared" si="120"/>
        <v/>
      </c>
      <c r="O738" t="str">
        <f>IF(L738&lt;&gt;"",Data!$M1289,"")</f>
        <v/>
      </c>
      <c r="T738">
        <f>IF(OR(Dashboard!$P$4="All",Dashboard!$R$4="All"),NA(),IF(OR(Data!K1289&lt;&gt;Dashboard!$P$4,Data!K1289&lt;&gt;Dashboard!$R$4),Data!G1289,NA()))</f>
        <v>13500</v>
      </c>
      <c r="V738" s="9"/>
    </row>
    <row r="739" spans="2:22">
      <c r="B739" t="e">
        <f>IF(Dashboard!$P$4="All",Data!G1290,IF(Data!K1290=Dashboard!$P$4,Data!G1290,NA()))</f>
        <v>#N/A</v>
      </c>
      <c r="C739" t="str">
        <f t="shared" si="115"/>
        <v/>
      </c>
      <c r="D739" t="str">
        <f t="shared" si="116"/>
        <v/>
      </c>
      <c r="E739" t="str">
        <f t="shared" si="117"/>
        <v/>
      </c>
      <c r="F739" t="str">
        <f>IF(C739&lt;&gt;"",Data!$M1290,"")</f>
        <v/>
      </c>
      <c r="K739" t="e">
        <f>IF(Dashboard!$R$4="All",Data!G1290,IF(Data!K1290=Dashboard!$R$4,Data!G1290,NA()))</f>
        <v>#N/A</v>
      </c>
      <c r="L739" t="str">
        <f t="shared" si="118"/>
        <v/>
      </c>
      <c r="M739" t="str">
        <f t="shared" si="119"/>
        <v/>
      </c>
      <c r="N739" t="str">
        <f t="shared" si="120"/>
        <v/>
      </c>
      <c r="O739" t="str">
        <f>IF(L739&lt;&gt;"",Data!$M1290,"")</f>
        <v/>
      </c>
      <c r="T739">
        <f>IF(OR(Dashboard!$P$4="All",Dashboard!$R$4="All"),NA(),IF(OR(Data!K1290&lt;&gt;Dashboard!$P$4,Data!K1290&lt;&gt;Dashboard!$R$4),Data!G1290,NA()))</f>
        <v>3000</v>
      </c>
      <c r="V739" s="9"/>
    </row>
    <row r="740" spans="2:22">
      <c r="B740" t="e">
        <f>IF(Dashboard!$P$4="All",Data!G1291,IF(Data!K1291=Dashboard!$P$4,Data!G1291,NA()))</f>
        <v>#N/A</v>
      </c>
      <c r="C740" t="str">
        <f t="shared" si="115"/>
        <v/>
      </c>
      <c r="D740" t="str">
        <f t="shared" si="116"/>
        <v/>
      </c>
      <c r="E740" t="str">
        <f t="shared" si="117"/>
        <v/>
      </c>
      <c r="F740" t="str">
        <f>IF(C740&lt;&gt;"",Data!$M1291,"")</f>
        <v/>
      </c>
      <c r="K740" t="e">
        <f>IF(Dashboard!$R$4="All",Data!G1291,IF(Data!K1291=Dashboard!$R$4,Data!G1291,NA()))</f>
        <v>#N/A</v>
      </c>
      <c r="L740" t="str">
        <f t="shared" si="118"/>
        <v/>
      </c>
      <c r="M740" t="str">
        <f t="shared" si="119"/>
        <v/>
      </c>
      <c r="N740" t="str">
        <f t="shared" si="120"/>
        <v/>
      </c>
      <c r="O740" t="str">
        <f>IF(L740&lt;&gt;"",Data!$M1291,"")</f>
        <v/>
      </c>
      <c r="T740">
        <f>IF(OR(Dashboard!$P$4="All",Dashboard!$R$4="All"),NA(),IF(OR(Data!K1291&lt;&gt;Dashboard!$P$4,Data!K1291&lt;&gt;Dashboard!$R$4),Data!G1291,NA()))</f>
        <v>21369.500024931083</v>
      </c>
      <c r="V740" s="9"/>
    </row>
    <row r="741" spans="2:22">
      <c r="B741" t="e">
        <f>IF(Dashboard!$P$4="All",Data!G1292,IF(Data!K1292=Dashboard!$P$4,Data!G1292,NA()))</f>
        <v>#N/A</v>
      </c>
      <c r="C741" t="str">
        <f t="shared" si="115"/>
        <v/>
      </c>
      <c r="D741" t="str">
        <f t="shared" si="116"/>
        <v/>
      </c>
      <c r="E741" t="str">
        <f t="shared" si="117"/>
        <v/>
      </c>
      <c r="F741" t="str">
        <f>IF(C741&lt;&gt;"",Data!$M1292,"")</f>
        <v/>
      </c>
      <c r="K741" t="e">
        <f>IF(Dashboard!$R$4="All",Data!G1292,IF(Data!K1292=Dashboard!$R$4,Data!G1292,NA()))</f>
        <v>#N/A</v>
      </c>
      <c r="L741" t="str">
        <f t="shared" si="118"/>
        <v/>
      </c>
      <c r="M741" t="str">
        <f t="shared" si="119"/>
        <v/>
      </c>
      <c r="N741" t="str">
        <f t="shared" si="120"/>
        <v/>
      </c>
      <c r="O741" t="str">
        <f>IF(L741&lt;&gt;"",Data!$M1292,"")</f>
        <v/>
      </c>
      <c r="T741">
        <f>IF(OR(Dashboard!$P$4="All",Dashboard!$R$4="All"),NA(),IF(OR(Data!K1292&lt;&gt;Dashboard!$P$4,Data!K1292&lt;&gt;Dashboard!$R$4),Data!G1292,NA()))</f>
        <v>10684.750012465542</v>
      </c>
      <c r="V741" s="9"/>
    </row>
    <row r="742" spans="2:22">
      <c r="B742" t="e">
        <f>IF(Dashboard!$P$4="All",Data!G1293,IF(Data!K1293=Dashboard!$P$4,Data!G1293,NA()))</f>
        <v>#N/A</v>
      </c>
      <c r="C742" t="str">
        <f t="shared" si="115"/>
        <v/>
      </c>
      <c r="D742" t="str">
        <f t="shared" si="116"/>
        <v/>
      </c>
      <c r="E742" t="str">
        <f t="shared" si="117"/>
        <v/>
      </c>
      <c r="F742" t="str">
        <f>IF(C742&lt;&gt;"",Data!$M1293,"")</f>
        <v/>
      </c>
      <c r="K742" t="e">
        <f>IF(Dashboard!$R$4="All",Data!G1293,IF(Data!K1293=Dashboard!$R$4,Data!G1293,NA()))</f>
        <v>#N/A</v>
      </c>
      <c r="L742" t="str">
        <f t="shared" si="118"/>
        <v/>
      </c>
      <c r="M742" t="str">
        <f t="shared" si="119"/>
        <v/>
      </c>
      <c r="N742" t="str">
        <f t="shared" si="120"/>
        <v/>
      </c>
      <c r="O742" t="str">
        <f>IF(L742&lt;&gt;"",Data!$M1293,"")</f>
        <v/>
      </c>
      <c r="T742">
        <f>IF(OR(Dashboard!$P$4="All",Dashboard!$R$4="All"),NA(),IF(OR(Data!K1293&lt;&gt;Dashboard!$P$4,Data!K1293&lt;&gt;Dashboard!$R$4),Data!G1293,NA()))</f>
        <v>176585.52201983347</v>
      </c>
      <c r="V742" s="9"/>
    </row>
    <row r="743" spans="2:22">
      <c r="B743" t="e">
        <f>IF(Dashboard!$P$4="All",Data!G1294,IF(Data!K1294=Dashboard!$P$4,Data!G1294,NA()))</f>
        <v>#N/A</v>
      </c>
      <c r="C743" t="str">
        <f t="shared" si="115"/>
        <v/>
      </c>
      <c r="D743" t="str">
        <f t="shared" si="116"/>
        <v/>
      </c>
      <c r="E743" t="str">
        <f t="shared" si="117"/>
        <v/>
      </c>
      <c r="F743" t="str">
        <f>IF(C743&lt;&gt;"",Data!$M1294,"")</f>
        <v/>
      </c>
      <c r="K743" t="e">
        <f>IF(Dashboard!$R$4="All",Data!G1294,IF(Data!K1294=Dashboard!$R$4,Data!G1294,NA()))</f>
        <v>#N/A</v>
      </c>
      <c r="L743" t="str">
        <f t="shared" si="118"/>
        <v/>
      </c>
      <c r="M743" t="str">
        <f t="shared" si="119"/>
        <v/>
      </c>
      <c r="N743" t="str">
        <f t="shared" si="120"/>
        <v/>
      </c>
      <c r="O743" t="str">
        <f>IF(L743&lt;&gt;"",Data!$M1294,"")</f>
        <v/>
      </c>
      <c r="T743">
        <f>IF(OR(Dashboard!$P$4="All",Dashboard!$R$4="All"),NA(),IF(OR(Data!K1294&lt;&gt;Dashboard!$P$4,Data!K1294&lt;&gt;Dashboard!$R$4),Data!G1294,NA()))</f>
        <v>54627.175876639136</v>
      </c>
      <c r="V743" s="9"/>
    </row>
    <row r="744" spans="2:22">
      <c r="B744" t="e">
        <f>IF(Dashboard!$P$4="All",Data!G1295,IF(Data!K1295=Dashboard!$P$4,Data!G1295,NA()))</f>
        <v>#N/A</v>
      </c>
      <c r="C744" t="str">
        <f t="shared" si="115"/>
        <v/>
      </c>
      <c r="D744" t="str">
        <f t="shared" si="116"/>
        <v/>
      </c>
      <c r="E744" t="str">
        <f t="shared" si="117"/>
        <v/>
      </c>
      <c r="F744" t="str">
        <f>IF(C744&lt;&gt;"",Data!$M1295,"")</f>
        <v/>
      </c>
      <c r="K744" t="e">
        <f>IF(Dashboard!$R$4="All",Data!G1295,IF(Data!K1295=Dashboard!$R$4,Data!G1295,NA()))</f>
        <v>#N/A</v>
      </c>
      <c r="L744" t="str">
        <f t="shared" si="118"/>
        <v/>
      </c>
      <c r="M744" t="str">
        <f t="shared" si="119"/>
        <v/>
      </c>
      <c r="N744" t="str">
        <f t="shared" si="120"/>
        <v/>
      </c>
      <c r="O744" t="str">
        <f>IF(L744&lt;&gt;"",Data!$M1295,"")</f>
        <v/>
      </c>
      <c r="T744">
        <f>IF(OR(Dashboard!$P$4="All",Dashboard!$R$4="All"),NA(),IF(OR(Data!K1295&lt;&gt;Dashboard!$P$4,Data!K1295&lt;&gt;Dashboard!$R$4),Data!G1295,NA()))</f>
        <v>30489.586535798586</v>
      </c>
      <c r="V744" s="9"/>
    </row>
    <row r="745" spans="2:22">
      <c r="B745" t="e">
        <f>IF(Dashboard!$P$4="All",Data!G1296,IF(Data!K1296=Dashboard!$P$4,Data!G1296,NA()))</f>
        <v>#N/A</v>
      </c>
      <c r="C745" t="str">
        <f t="shared" si="115"/>
        <v/>
      </c>
      <c r="D745" t="str">
        <f t="shared" si="116"/>
        <v/>
      </c>
      <c r="E745" t="str">
        <f t="shared" si="117"/>
        <v/>
      </c>
      <c r="F745" t="str">
        <f>IF(C745&lt;&gt;"",Data!$M1296,"")</f>
        <v/>
      </c>
      <c r="K745" t="e">
        <f>IF(Dashboard!$R$4="All",Data!G1296,IF(Data!K1296=Dashboard!$R$4,Data!G1296,NA()))</f>
        <v>#N/A</v>
      </c>
      <c r="L745" t="str">
        <f t="shared" si="118"/>
        <v/>
      </c>
      <c r="M745" t="str">
        <f t="shared" si="119"/>
        <v/>
      </c>
      <c r="N745" t="str">
        <f t="shared" si="120"/>
        <v/>
      </c>
      <c r="O745" t="str">
        <f>IF(L745&lt;&gt;"",Data!$M1296,"")</f>
        <v/>
      </c>
      <c r="T745">
        <f>IF(OR(Dashboard!$P$4="All",Dashboard!$R$4="All"),NA(),IF(OR(Data!K1296&lt;&gt;Dashboard!$P$4,Data!K1296&lt;&gt;Dashboard!$R$4),Data!G1296,NA()))</f>
        <v>5591.6858398569666</v>
      </c>
      <c r="V745" s="9"/>
    </row>
    <row r="746" spans="2:22">
      <c r="B746" t="e">
        <f>IF(Dashboard!$P$4="All",Data!G1297,IF(Data!K1297=Dashboard!$P$4,Data!G1297,NA()))</f>
        <v>#N/A</v>
      </c>
      <c r="C746" t="str">
        <f t="shared" si="115"/>
        <v/>
      </c>
      <c r="D746" t="str">
        <f t="shared" si="116"/>
        <v/>
      </c>
      <c r="E746" t="str">
        <f t="shared" si="117"/>
        <v/>
      </c>
      <c r="F746" t="str">
        <f>IF(C746&lt;&gt;"",Data!$M1297,"")</f>
        <v/>
      </c>
      <c r="K746" t="e">
        <f>IF(Dashboard!$R$4="All",Data!G1297,IF(Data!K1297=Dashboard!$R$4,Data!G1297,NA()))</f>
        <v>#N/A</v>
      </c>
      <c r="L746" t="str">
        <f t="shared" si="118"/>
        <v/>
      </c>
      <c r="M746" t="str">
        <f t="shared" si="119"/>
        <v/>
      </c>
      <c r="N746" t="str">
        <f t="shared" si="120"/>
        <v/>
      </c>
      <c r="O746" t="str">
        <f>IF(L746&lt;&gt;"",Data!$M1297,"")</f>
        <v/>
      </c>
      <c r="T746">
        <f>IF(OR(Dashboard!$P$4="All",Dashboard!$R$4="All"),NA(),IF(OR(Data!K1297&lt;&gt;Dashboard!$P$4,Data!K1297&lt;&gt;Dashboard!$R$4),Data!G1297,NA()))</f>
        <v>82000</v>
      </c>
      <c r="V746" s="9"/>
    </row>
    <row r="747" spans="2:22">
      <c r="B747" t="e">
        <f>IF(Dashboard!$P$4="All",Data!G1298,IF(Data!K1298=Dashboard!$P$4,Data!G1298,NA()))</f>
        <v>#N/A</v>
      </c>
      <c r="C747" t="str">
        <f t="shared" si="115"/>
        <v/>
      </c>
      <c r="D747" t="str">
        <f t="shared" si="116"/>
        <v/>
      </c>
      <c r="E747" t="str">
        <f t="shared" si="117"/>
        <v/>
      </c>
      <c r="F747" t="str">
        <f>IF(C747&lt;&gt;"",Data!$M1298,"")</f>
        <v/>
      </c>
      <c r="K747" t="e">
        <f>IF(Dashboard!$R$4="All",Data!G1298,IF(Data!K1298=Dashboard!$R$4,Data!G1298,NA()))</f>
        <v>#N/A</v>
      </c>
      <c r="L747" t="str">
        <f t="shared" si="118"/>
        <v/>
      </c>
      <c r="M747" t="str">
        <f t="shared" si="119"/>
        <v/>
      </c>
      <c r="N747" t="str">
        <f t="shared" si="120"/>
        <v/>
      </c>
      <c r="O747" t="str">
        <f>IF(L747&lt;&gt;"",Data!$M1298,"")</f>
        <v/>
      </c>
      <c r="T747">
        <f>IF(OR(Dashboard!$P$4="All",Dashboard!$R$4="All"),NA(),IF(OR(Data!K1298&lt;&gt;Dashboard!$P$4,Data!K1298&lt;&gt;Dashboard!$R$4),Data!G1298,NA()))</f>
        <v>10000</v>
      </c>
      <c r="V747" s="9"/>
    </row>
    <row r="748" spans="2:22">
      <c r="B748" t="e">
        <f>IF(Dashboard!$P$4="All",Data!G1299,IF(Data!K1299=Dashboard!$P$4,Data!G1299,NA()))</f>
        <v>#N/A</v>
      </c>
      <c r="C748" t="str">
        <f t="shared" si="115"/>
        <v/>
      </c>
      <c r="D748" t="str">
        <f t="shared" si="116"/>
        <v/>
      </c>
      <c r="E748" t="str">
        <f t="shared" si="117"/>
        <v/>
      </c>
      <c r="F748" t="str">
        <f>IF(C748&lt;&gt;"",Data!$M1299,"")</f>
        <v/>
      </c>
      <c r="K748" t="e">
        <f>IF(Dashboard!$R$4="All",Data!G1299,IF(Data!K1299=Dashboard!$R$4,Data!G1299,NA()))</f>
        <v>#N/A</v>
      </c>
      <c r="L748" t="str">
        <f t="shared" si="118"/>
        <v/>
      </c>
      <c r="M748" t="str">
        <f t="shared" si="119"/>
        <v/>
      </c>
      <c r="N748" t="str">
        <f t="shared" si="120"/>
        <v/>
      </c>
      <c r="O748" t="str">
        <f>IF(L748&lt;&gt;"",Data!$M1299,"")</f>
        <v/>
      </c>
      <c r="T748">
        <f>IF(OR(Dashboard!$P$4="All",Dashboard!$R$4="All"),NA(),IF(OR(Data!K1299&lt;&gt;Dashboard!$P$4,Data!K1299&lt;&gt;Dashboard!$R$4),Data!G1299,NA()))</f>
        <v>9000</v>
      </c>
      <c r="V748" s="9"/>
    </row>
    <row r="749" spans="2:22">
      <c r="B749" t="e">
        <f>IF(Dashboard!$P$4="All",Data!G1300,IF(Data!K1300=Dashboard!$P$4,Data!G1300,NA()))</f>
        <v>#N/A</v>
      </c>
      <c r="C749" t="str">
        <f t="shared" si="115"/>
        <v/>
      </c>
      <c r="D749" t="str">
        <f t="shared" si="116"/>
        <v/>
      </c>
      <c r="E749" t="str">
        <f t="shared" si="117"/>
        <v/>
      </c>
      <c r="F749" t="str">
        <f>IF(C749&lt;&gt;"",Data!$M1300,"")</f>
        <v/>
      </c>
      <c r="K749" t="e">
        <f>IF(Dashboard!$R$4="All",Data!G1300,IF(Data!K1300=Dashboard!$R$4,Data!G1300,NA()))</f>
        <v>#N/A</v>
      </c>
      <c r="L749" t="str">
        <f t="shared" si="118"/>
        <v/>
      </c>
      <c r="M749" t="str">
        <f t="shared" si="119"/>
        <v/>
      </c>
      <c r="N749" t="str">
        <f t="shared" si="120"/>
        <v/>
      </c>
      <c r="O749" t="str">
        <f>IF(L749&lt;&gt;"",Data!$M1300,"")</f>
        <v/>
      </c>
      <c r="T749">
        <f>IF(OR(Dashboard!$P$4="All",Dashboard!$R$4="All"),NA(),IF(OR(Data!K1300&lt;&gt;Dashboard!$P$4,Data!K1300&lt;&gt;Dashboard!$R$4),Data!G1300,NA()))</f>
        <v>9000</v>
      </c>
      <c r="V749" s="9"/>
    </row>
    <row r="750" spans="2:22">
      <c r="B750" t="e">
        <f>IF(Dashboard!$P$4="All",Data!G1301,IF(Data!K1301=Dashboard!$P$4,Data!G1301,NA()))</f>
        <v>#N/A</v>
      </c>
      <c r="C750" t="str">
        <f t="shared" si="115"/>
        <v/>
      </c>
      <c r="D750" t="str">
        <f t="shared" si="116"/>
        <v/>
      </c>
      <c r="E750" t="str">
        <f t="shared" si="117"/>
        <v/>
      </c>
      <c r="F750" t="str">
        <f>IF(C750&lt;&gt;"",Data!$M1301,"")</f>
        <v/>
      </c>
      <c r="K750" t="e">
        <f>IF(Dashboard!$R$4="All",Data!G1301,IF(Data!K1301=Dashboard!$R$4,Data!G1301,NA()))</f>
        <v>#N/A</v>
      </c>
      <c r="L750" t="str">
        <f t="shared" si="118"/>
        <v/>
      </c>
      <c r="M750" t="str">
        <f t="shared" si="119"/>
        <v/>
      </c>
      <c r="N750" t="str">
        <f t="shared" si="120"/>
        <v/>
      </c>
      <c r="O750" t="str">
        <f>IF(L750&lt;&gt;"",Data!$M1301,"")</f>
        <v/>
      </c>
      <c r="T750">
        <f>IF(OR(Dashboard!$P$4="All",Dashboard!$R$4="All"),NA(),IF(OR(Data!K1301&lt;&gt;Dashboard!$P$4,Data!K1301&lt;&gt;Dashboard!$R$4),Data!G1301,NA()))</f>
        <v>11753.225013712095</v>
      </c>
      <c r="V750" s="9"/>
    </row>
    <row r="751" spans="2:22">
      <c r="B751" t="e">
        <f>IF(Dashboard!$P$4="All",Data!G1302,IF(Data!K1302=Dashboard!$P$4,Data!G1302,NA()))</f>
        <v>#N/A</v>
      </c>
      <c r="C751" t="str">
        <f t="shared" si="115"/>
        <v/>
      </c>
      <c r="D751" t="str">
        <f t="shared" si="116"/>
        <v/>
      </c>
      <c r="E751" t="str">
        <f t="shared" si="117"/>
        <v/>
      </c>
      <c r="F751" t="str">
        <f>IF(C751&lt;&gt;"",Data!$M1302,"")</f>
        <v/>
      </c>
      <c r="K751" t="e">
        <f>IF(Dashboard!$R$4="All",Data!G1302,IF(Data!K1302=Dashboard!$R$4,Data!G1302,NA()))</f>
        <v>#N/A</v>
      </c>
      <c r="L751" t="str">
        <f t="shared" si="118"/>
        <v/>
      </c>
      <c r="M751" t="str">
        <f t="shared" si="119"/>
        <v/>
      </c>
      <c r="N751" t="str">
        <f t="shared" si="120"/>
        <v/>
      </c>
      <c r="O751" t="str">
        <f>IF(L751&lt;&gt;"",Data!$M1302,"")</f>
        <v/>
      </c>
      <c r="T751">
        <f>IF(OR(Dashboard!$P$4="All",Dashboard!$R$4="All"),NA(),IF(OR(Data!K1302&lt;&gt;Dashboard!$P$4,Data!K1302&lt;&gt;Dashboard!$R$4),Data!G1302,NA()))</f>
        <v>3632.815004238284</v>
      </c>
      <c r="V751" s="9"/>
    </row>
    <row r="752" spans="2:22">
      <c r="B752">
        <f>IF(Dashboard!$P$4="All",Data!G1303,IF(Data!K1303=Dashboard!$P$4,Data!G1303,NA()))</f>
        <v>95279.957924370581</v>
      </c>
      <c r="C752">
        <f t="shared" si="115"/>
        <v>95279.957924370581</v>
      </c>
      <c r="D752">
        <f t="shared" si="116"/>
        <v>95279.957924370581</v>
      </c>
      <c r="E752" t="str">
        <f t="shared" si="117"/>
        <v/>
      </c>
      <c r="F752">
        <f>IF(C752&lt;&gt;"",Data!$M1303,"")</f>
        <v>16</v>
      </c>
      <c r="K752" t="e">
        <f>IF(Dashboard!$R$4="All",Data!G1303,IF(Data!K1303=Dashboard!$R$4,Data!G1303,NA()))</f>
        <v>#N/A</v>
      </c>
      <c r="L752" t="str">
        <f t="shared" si="118"/>
        <v/>
      </c>
      <c r="M752" t="str">
        <f t="shared" si="119"/>
        <v/>
      </c>
      <c r="N752" t="str">
        <f t="shared" si="120"/>
        <v/>
      </c>
      <c r="O752" t="str">
        <f>IF(L752&lt;&gt;"",Data!$M1303,"")</f>
        <v/>
      </c>
      <c r="T752">
        <f>IF(OR(Dashboard!$P$4="All",Dashboard!$R$4="All"),NA(),IF(OR(Data!K1303&lt;&gt;Dashboard!$P$4,Data!K1303&lt;&gt;Dashboard!$R$4),Data!G1303,NA()))</f>
        <v>95279.957924370581</v>
      </c>
      <c r="V752" s="9"/>
    </row>
    <row r="753" spans="2:22">
      <c r="B753" t="e">
        <f>IF(Dashboard!$P$4="All",Data!G1304,IF(Data!K1304=Dashboard!$P$4,Data!G1304,NA()))</f>
        <v>#N/A</v>
      </c>
      <c r="C753" t="str">
        <f t="shared" si="115"/>
        <v/>
      </c>
      <c r="D753" t="str">
        <f t="shared" si="116"/>
        <v/>
      </c>
      <c r="E753" t="str">
        <f t="shared" si="117"/>
        <v/>
      </c>
      <c r="F753" t="str">
        <f>IF(C753&lt;&gt;"",Data!$M1304,"")</f>
        <v/>
      </c>
      <c r="K753">
        <f>IF(Dashboard!$R$4="All",Data!G1304,IF(Data!K1304=Dashboard!$R$4,Data!G1304,NA()))</f>
        <v>70928.022243027779</v>
      </c>
      <c r="L753">
        <f t="shared" si="118"/>
        <v>70928.022243027779</v>
      </c>
      <c r="M753" t="str">
        <f t="shared" si="119"/>
        <v/>
      </c>
      <c r="N753" t="str">
        <f t="shared" si="120"/>
        <v/>
      </c>
      <c r="O753">
        <f>IF(L753&lt;&gt;"",Data!$M1304,"")</f>
        <v>4</v>
      </c>
      <c r="T753">
        <f>IF(OR(Dashboard!$P$4="All",Dashboard!$R$4="All"),NA(),IF(OR(Data!K1304&lt;&gt;Dashboard!$P$4,Data!K1304&lt;&gt;Dashboard!$R$4),Data!G1304,NA()))</f>
        <v>70928.022243027779</v>
      </c>
      <c r="V753" s="9"/>
    </row>
    <row r="754" spans="2:22">
      <c r="B754" t="e">
        <f>IF(Dashboard!$P$4="All",Data!G1305,IF(Data!K1305=Dashboard!$P$4,Data!G1305,NA()))</f>
        <v>#N/A</v>
      </c>
      <c r="C754" t="str">
        <f t="shared" si="115"/>
        <v/>
      </c>
      <c r="D754" t="str">
        <f t="shared" si="116"/>
        <v/>
      </c>
      <c r="E754" t="str">
        <f t="shared" si="117"/>
        <v/>
      </c>
      <c r="F754" t="str">
        <f>IF(C754&lt;&gt;"",Data!$M1305,"")</f>
        <v/>
      </c>
      <c r="K754" t="e">
        <f>IF(Dashboard!$R$4="All",Data!G1305,IF(Data!K1305=Dashboard!$R$4,Data!G1305,NA()))</f>
        <v>#N/A</v>
      </c>
      <c r="L754" t="str">
        <f t="shared" si="118"/>
        <v/>
      </c>
      <c r="M754" t="str">
        <f t="shared" si="119"/>
        <v/>
      </c>
      <c r="N754" t="str">
        <f t="shared" si="120"/>
        <v/>
      </c>
      <c r="O754" t="str">
        <f>IF(L754&lt;&gt;"",Data!$M1305,"")</f>
        <v/>
      </c>
      <c r="T754">
        <f>IF(OR(Dashboard!$P$4="All",Dashboard!$R$4="All"),NA(),IF(OR(Data!K1305&lt;&gt;Dashboard!$P$4,Data!K1305&lt;&gt;Dashboard!$R$4),Data!G1305,NA()))</f>
        <v>52086.37699865592</v>
      </c>
      <c r="V754" s="9"/>
    </row>
    <row r="755" spans="2:22">
      <c r="B755" t="e">
        <f>IF(Dashboard!$P$4="All",Data!G1306,IF(Data!K1306=Dashboard!$P$4,Data!G1306,NA()))</f>
        <v>#N/A</v>
      </c>
      <c r="C755" t="str">
        <f t="shared" si="115"/>
        <v/>
      </c>
      <c r="D755" t="str">
        <f t="shared" si="116"/>
        <v/>
      </c>
      <c r="E755" t="str">
        <f t="shared" si="117"/>
        <v/>
      </c>
      <c r="F755" t="str">
        <f>IF(C755&lt;&gt;"",Data!$M1306,"")</f>
        <v/>
      </c>
      <c r="K755" t="e">
        <f>IF(Dashboard!$R$4="All",Data!G1306,IF(Data!K1306=Dashboard!$R$4,Data!G1306,NA()))</f>
        <v>#N/A</v>
      </c>
      <c r="L755" t="str">
        <f t="shared" si="118"/>
        <v/>
      </c>
      <c r="M755" t="str">
        <f t="shared" si="119"/>
        <v/>
      </c>
      <c r="N755" t="str">
        <f t="shared" si="120"/>
        <v/>
      </c>
      <c r="O755" t="str">
        <f>IF(L755&lt;&gt;"",Data!$M1306,"")</f>
        <v/>
      </c>
      <c r="T755">
        <f>IF(OR(Dashboard!$P$4="All",Dashboard!$R$4="All"),NA(),IF(OR(Data!K1306&lt;&gt;Dashboard!$P$4,Data!K1306&lt;&gt;Dashboard!$R$4),Data!G1306,NA()))</f>
        <v>4897.177089046706</v>
      </c>
      <c r="V755" s="9"/>
    </row>
    <row r="756" spans="2:22">
      <c r="B756" t="e">
        <f>IF(Dashboard!$P$4="All",Data!G1307,IF(Data!K1307=Dashboard!$P$4,Data!G1307,NA()))</f>
        <v>#N/A</v>
      </c>
      <c r="C756" t="str">
        <f t="shared" si="115"/>
        <v/>
      </c>
      <c r="D756" t="str">
        <f t="shared" si="116"/>
        <v/>
      </c>
      <c r="E756" t="str">
        <f t="shared" si="117"/>
        <v/>
      </c>
      <c r="F756" t="str">
        <f>IF(C756&lt;&gt;"",Data!$M1307,"")</f>
        <v/>
      </c>
      <c r="K756" t="e">
        <f>IF(Dashboard!$R$4="All",Data!G1307,IF(Data!K1307=Dashboard!$R$4,Data!G1307,NA()))</f>
        <v>#N/A</v>
      </c>
      <c r="L756" t="str">
        <f t="shared" si="118"/>
        <v/>
      </c>
      <c r="M756" t="str">
        <f t="shared" si="119"/>
        <v/>
      </c>
      <c r="N756" t="str">
        <f t="shared" si="120"/>
        <v/>
      </c>
      <c r="O756" t="str">
        <f>IF(L756&lt;&gt;"",Data!$M1307,"")</f>
        <v/>
      </c>
      <c r="T756">
        <f>IF(OR(Dashboard!$P$4="All",Dashboard!$R$4="All"),NA(),IF(OR(Data!K1307&lt;&gt;Dashboard!$P$4,Data!K1307&lt;&gt;Dashboard!$R$4),Data!G1307,NA()))</f>
        <v>63807.047488395103</v>
      </c>
      <c r="V756" s="9"/>
    </row>
    <row r="757" spans="2:22">
      <c r="B757" t="e">
        <f>IF(Dashboard!$P$4="All",Data!G1308,IF(Data!K1308=Dashboard!$P$4,Data!G1308,NA()))</f>
        <v>#N/A</v>
      </c>
      <c r="C757" t="str">
        <f t="shared" si="115"/>
        <v/>
      </c>
      <c r="D757" t="str">
        <f t="shared" si="116"/>
        <v/>
      </c>
      <c r="E757" t="str">
        <f t="shared" si="117"/>
        <v/>
      </c>
      <c r="F757" t="str">
        <f>IF(C757&lt;&gt;"",Data!$M1308,"")</f>
        <v/>
      </c>
      <c r="K757" t="e">
        <f>IF(Dashboard!$R$4="All",Data!G1308,IF(Data!K1308=Dashboard!$R$4,Data!G1308,NA()))</f>
        <v>#N/A</v>
      </c>
      <c r="L757" t="str">
        <f t="shared" si="118"/>
        <v/>
      </c>
      <c r="M757" t="str">
        <f t="shared" si="119"/>
        <v/>
      </c>
      <c r="N757" t="str">
        <f t="shared" si="120"/>
        <v/>
      </c>
      <c r="O757" t="str">
        <f>IF(L757&lt;&gt;"",Data!$M1308,"")</f>
        <v/>
      </c>
      <c r="T757">
        <f>IF(OR(Dashboard!$P$4="All",Dashboard!$R$4="All"),NA(),IF(OR(Data!K1308&lt;&gt;Dashboard!$P$4,Data!K1308&lt;&gt;Dashboard!$R$4),Data!G1308,NA()))</f>
        <v>24000</v>
      </c>
      <c r="V757" s="9"/>
    </row>
    <row r="758" spans="2:22">
      <c r="B758" t="e">
        <f>IF(Dashboard!$P$4="All",Data!G1309,IF(Data!K1309=Dashboard!$P$4,Data!G1309,NA()))</f>
        <v>#N/A</v>
      </c>
      <c r="C758" t="str">
        <f t="shared" si="115"/>
        <v/>
      </c>
      <c r="D758" t="str">
        <f t="shared" si="116"/>
        <v/>
      </c>
      <c r="E758" t="str">
        <f t="shared" si="117"/>
        <v/>
      </c>
      <c r="F758" t="str">
        <f>IF(C758&lt;&gt;"",Data!$M1309,"")</f>
        <v/>
      </c>
      <c r="K758" t="e">
        <f>IF(Dashboard!$R$4="All",Data!G1309,IF(Data!K1309=Dashboard!$R$4,Data!G1309,NA()))</f>
        <v>#N/A</v>
      </c>
      <c r="L758" t="str">
        <f t="shared" si="118"/>
        <v/>
      </c>
      <c r="M758" t="str">
        <f t="shared" si="119"/>
        <v/>
      </c>
      <c r="N758" t="str">
        <f t="shared" si="120"/>
        <v/>
      </c>
      <c r="O758" t="str">
        <f>IF(L758&lt;&gt;"",Data!$M1309,"")</f>
        <v/>
      </c>
      <c r="T758">
        <f>IF(OR(Dashboard!$P$4="All",Dashboard!$R$4="All"),NA(),IF(OR(Data!K1309&lt;&gt;Dashboard!$P$4,Data!K1309&lt;&gt;Dashboard!$R$4),Data!G1309,NA()))</f>
        <v>60000</v>
      </c>
      <c r="V758" s="9"/>
    </row>
    <row r="759" spans="2:22">
      <c r="B759" t="e">
        <f>IF(Dashboard!$P$4="All",Data!G1310,IF(Data!K1310=Dashboard!$P$4,Data!G1310,NA()))</f>
        <v>#N/A</v>
      </c>
      <c r="C759" t="str">
        <f t="shared" si="115"/>
        <v/>
      </c>
      <c r="D759" t="str">
        <f t="shared" si="116"/>
        <v/>
      </c>
      <c r="E759" t="str">
        <f t="shared" si="117"/>
        <v/>
      </c>
      <c r="F759" t="str">
        <f>IF(C759&lt;&gt;"",Data!$M1310,"")</f>
        <v/>
      </c>
      <c r="K759" t="e">
        <f>IF(Dashboard!$R$4="All",Data!G1310,IF(Data!K1310=Dashboard!$R$4,Data!G1310,NA()))</f>
        <v>#N/A</v>
      </c>
      <c r="L759" t="str">
        <f t="shared" si="118"/>
        <v/>
      </c>
      <c r="M759" t="str">
        <f t="shared" si="119"/>
        <v/>
      </c>
      <c r="N759" t="str">
        <f t="shared" si="120"/>
        <v/>
      </c>
      <c r="O759" t="str">
        <f>IF(L759&lt;&gt;"",Data!$M1310,"")</f>
        <v/>
      </c>
      <c r="T759">
        <f>IF(OR(Dashboard!$P$4="All",Dashboard!$R$4="All"),NA(),IF(OR(Data!K1310&lt;&gt;Dashboard!$P$4,Data!K1310&lt;&gt;Dashboard!$R$4),Data!G1310,NA()))</f>
        <v>5342.3750062327708</v>
      </c>
      <c r="V759" s="9"/>
    </row>
    <row r="760" spans="2:22">
      <c r="B760" t="e">
        <f>IF(Dashboard!$P$4="All",Data!G1311,IF(Data!K1311=Dashboard!$P$4,Data!G1311,NA()))</f>
        <v>#N/A</v>
      </c>
      <c r="C760" t="str">
        <f t="shared" si="115"/>
        <v/>
      </c>
      <c r="D760" t="str">
        <f t="shared" si="116"/>
        <v/>
      </c>
      <c r="E760" t="str">
        <f t="shared" si="117"/>
        <v/>
      </c>
      <c r="F760" t="str">
        <f>IF(C760&lt;&gt;"",Data!$M1311,"")</f>
        <v/>
      </c>
      <c r="K760" t="e">
        <f>IF(Dashboard!$R$4="All",Data!G1311,IF(Data!K1311=Dashboard!$R$4,Data!G1311,NA()))</f>
        <v>#N/A</v>
      </c>
      <c r="L760" t="str">
        <f t="shared" si="118"/>
        <v/>
      </c>
      <c r="M760" t="str">
        <f t="shared" si="119"/>
        <v/>
      </c>
      <c r="N760" t="str">
        <f t="shared" si="120"/>
        <v/>
      </c>
      <c r="O760" t="str">
        <f>IF(L760&lt;&gt;"",Data!$M1311,"")</f>
        <v/>
      </c>
      <c r="T760">
        <f>IF(OR(Dashboard!$P$4="All",Dashboard!$R$4="All"),NA(),IF(OR(Data!K1311&lt;&gt;Dashboard!$P$4,Data!K1311&lt;&gt;Dashboard!$R$4),Data!G1311,NA()))</f>
        <v>8903.9583437212841</v>
      </c>
      <c r="V760" s="9"/>
    </row>
    <row r="761" spans="2:22">
      <c r="B761" t="e">
        <f>IF(Dashboard!$P$4="All",Data!G1312,IF(Data!K1312=Dashboard!$P$4,Data!G1312,NA()))</f>
        <v>#N/A</v>
      </c>
      <c r="C761" t="str">
        <f t="shared" si="115"/>
        <v/>
      </c>
      <c r="D761" t="str">
        <f t="shared" si="116"/>
        <v/>
      </c>
      <c r="E761" t="str">
        <f t="shared" si="117"/>
        <v/>
      </c>
      <c r="F761" t="str">
        <f>IF(C761&lt;&gt;"",Data!$M1312,"")</f>
        <v/>
      </c>
      <c r="K761">
        <f>IF(Dashboard!$R$4="All",Data!G1312,IF(Data!K1312=Dashboard!$R$4,Data!G1312,NA()))</f>
        <v>40980.635073749385</v>
      </c>
      <c r="L761">
        <f t="shared" si="118"/>
        <v>40980.635073749385</v>
      </c>
      <c r="M761" t="str">
        <f t="shared" si="119"/>
        <v/>
      </c>
      <c r="N761" t="str">
        <f t="shared" si="120"/>
        <v/>
      </c>
      <c r="O761">
        <f>IF(L761&lt;&gt;"",Data!$M1312,"")</f>
        <v>2</v>
      </c>
      <c r="T761">
        <f>IF(OR(Dashboard!$P$4="All",Dashboard!$R$4="All"),NA(),IF(OR(Data!K1312&lt;&gt;Dashboard!$P$4,Data!K1312&lt;&gt;Dashboard!$R$4),Data!G1312,NA()))</f>
        <v>40980.635073749385</v>
      </c>
      <c r="V761" s="9"/>
    </row>
    <row r="762" spans="2:22">
      <c r="B762" t="e">
        <f>IF(Dashboard!$P$4="All",Data!G1313,IF(Data!K1313=Dashboard!$P$4,Data!G1313,NA()))</f>
        <v>#N/A</v>
      </c>
      <c r="C762" t="str">
        <f t="shared" si="115"/>
        <v/>
      </c>
      <c r="D762" t="str">
        <f t="shared" si="116"/>
        <v/>
      </c>
      <c r="E762" t="str">
        <f t="shared" si="117"/>
        <v/>
      </c>
      <c r="F762" t="str">
        <f>IF(C762&lt;&gt;"",Data!$M1313,"")</f>
        <v/>
      </c>
      <c r="K762" t="e">
        <f>IF(Dashboard!$R$4="All",Data!G1313,IF(Data!K1313=Dashboard!$R$4,Data!G1313,NA()))</f>
        <v>#N/A</v>
      </c>
      <c r="L762" t="str">
        <f t="shared" si="118"/>
        <v/>
      </c>
      <c r="M762" t="str">
        <f t="shared" si="119"/>
        <v/>
      </c>
      <c r="N762" t="str">
        <f t="shared" si="120"/>
        <v/>
      </c>
      <c r="O762" t="str">
        <f>IF(L762&lt;&gt;"",Data!$M1313,"")</f>
        <v/>
      </c>
      <c r="T762">
        <f>IF(OR(Dashboard!$P$4="All",Dashboard!$R$4="All"),NA(),IF(OR(Data!K1313&lt;&gt;Dashboard!$P$4,Data!K1313&lt;&gt;Dashboard!$R$4),Data!G1313,NA()))</f>
        <v>10684.750012465542</v>
      </c>
      <c r="V762" s="9"/>
    </row>
    <row r="763" spans="2:22">
      <c r="B763" t="e">
        <f>IF(Dashboard!$P$4="All",Data!G1314,IF(Data!K1314=Dashboard!$P$4,Data!G1314,NA()))</f>
        <v>#N/A</v>
      </c>
      <c r="C763" t="str">
        <f t="shared" si="115"/>
        <v/>
      </c>
      <c r="D763" t="str">
        <f t="shared" si="116"/>
        <v/>
      </c>
      <c r="E763" t="str">
        <f t="shared" si="117"/>
        <v/>
      </c>
      <c r="F763" t="str">
        <f>IF(C763&lt;&gt;"",Data!$M1314,"")</f>
        <v/>
      </c>
      <c r="K763" t="e">
        <f>IF(Dashboard!$R$4="All",Data!G1314,IF(Data!K1314=Dashboard!$R$4,Data!G1314,NA()))</f>
        <v>#N/A</v>
      </c>
      <c r="L763" t="str">
        <f t="shared" si="118"/>
        <v/>
      </c>
      <c r="M763" t="str">
        <f t="shared" si="119"/>
        <v/>
      </c>
      <c r="N763" t="str">
        <f t="shared" si="120"/>
        <v/>
      </c>
      <c r="O763" t="str">
        <f>IF(L763&lt;&gt;"",Data!$M1314,"")</f>
        <v/>
      </c>
      <c r="T763">
        <f>IF(OR(Dashboard!$P$4="All",Dashboard!$R$4="All"),NA(),IF(OR(Data!K1314&lt;&gt;Dashboard!$P$4,Data!K1314&lt;&gt;Dashboard!$R$4),Data!G1314,NA()))</f>
        <v>21369.500024931083</v>
      </c>
      <c r="V763" s="9"/>
    </row>
    <row r="764" spans="2:22">
      <c r="B764" t="e">
        <f>IF(Dashboard!$P$4="All",Data!G1315,IF(Data!K1315=Dashboard!$P$4,Data!G1315,NA()))</f>
        <v>#N/A</v>
      </c>
      <c r="C764" t="str">
        <f t="shared" si="115"/>
        <v/>
      </c>
      <c r="D764" t="str">
        <f t="shared" si="116"/>
        <v/>
      </c>
      <c r="E764" t="str">
        <f t="shared" si="117"/>
        <v/>
      </c>
      <c r="F764" t="str">
        <f>IF(C764&lt;&gt;"",Data!$M1315,"")</f>
        <v/>
      </c>
      <c r="K764" t="e">
        <f>IF(Dashboard!$R$4="All",Data!G1315,IF(Data!K1315=Dashboard!$R$4,Data!G1315,NA()))</f>
        <v>#N/A</v>
      </c>
      <c r="L764" t="str">
        <f t="shared" si="118"/>
        <v/>
      </c>
      <c r="M764" t="str">
        <f t="shared" si="119"/>
        <v/>
      </c>
      <c r="N764" t="str">
        <f t="shared" si="120"/>
        <v/>
      </c>
      <c r="O764" t="str">
        <f>IF(L764&lt;&gt;"",Data!$M1315,"")</f>
        <v/>
      </c>
      <c r="T764">
        <f>IF(OR(Dashboard!$P$4="All",Dashboard!$R$4="All"),NA(),IF(OR(Data!K1315&lt;&gt;Dashboard!$P$4,Data!K1315&lt;&gt;Dashboard!$R$4),Data!G1315,NA()))</f>
        <v>18000</v>
      </c>
      <c r="V764" s="9"/>
    </row>
    <row r="765" spans="2:22">
      <c r="B765" t="e">
        <f>IF(Dashboard!$P$4="All",Data!G1316,IF(Data!K1316=Dashboard!$P$4,Data!G1316,NA()))</f>
        <v>#N/A</v>
      </c>
      <c r="C765" t="str">
        <f t="shared" si="115"/>
        <v/>
      </c>
      <c r="D765" t="str">
        <f t="shared" si="116"/>
        <v/>
      </c>
      <c r="E765" t="str">
        <f t="shared" si="117"/>
        <v/>
      </c>
      <c r="F765" t="str">
        <f>IF(C765&lt;&gt;"",Data!$M1316,"")</f>
        <v/>
      </c>
      <c r="K765" t="e">
        <f>IF(Dashboard!$R$4="All",Data!G1316,IF(Data!K1316=Dashboard!$R$4,Data!G1316,NA()))</f>
        <v>#N/A</v>
      </c>
      <c r="L765" t="str">
        <f t="shared" si="118"/>
        <v/>
      </c>
      <c r="M765" t="str">
        <f t="shared" si="119"/>
        <v/>
      </c>
      <c r="N765" t="str">
        <f t="shared" si="120"/>
        <v/>
      </c>
      <c r="O765" t="str">
        <f>IF(L765&lt;&gt;"",Data!$M1316,"")</f>
        <v/>
      </c>
      <c r="T765">
        <f>IF(OR(Dashboard!$P$4="All",Dashboard!$R$4="All"),NA(),IF(OR(Data!K1316&lt;&gt;Dashboard!$P$4,Data!K1316&lt;&gt;Dashboard!$R$4),Data!G1316,NA()))</f>
        <v>41000</v>
      </c>
      <c r="V765" s="9"/>
    </row>
    <row r="766" spans="2:22">
      <c r="B766" t="e">
        <f>IF(Dashboard!$P$4="All",Data!G1317,IF(Data!K1317=Dashboard!$P$4,Data!G1317,NA()))</f>
        <v>#N/A</v>
      </c>
      <c r="C766" t="str">
        <f t="shared" si="115"/>
        <v/>
      </c>
      <c r="D766" t="str">
        <f t="shared" si="116"/>
        <v/>
      </c>
      <c r="E766" t="str">
        <f t="shared" si="117"/>
        <v/>
      </c>
      <c r="F766" t="str">
        <f>IF(C766&lt;&gt;"",Data!$M1317,"")</f>
        <v/>
      </c>
      <c r="K766" t="e">
        <f>IF(Dashboard!$R$4="All",Data!G1317,IF(Data!K1317=Dashboard!$R$4,Data!G1317,NA()))</f>
        <v>#N/A</v>
      </c>
      <c r="L766" t="str">
        <f t="shared" si="118"/>
        <v/>
      </c>
      <c r="M766" t="str">
        <f t="shared" si="119"/>
        <v/>
      </c>
      <c r="N766" t="str">
        <f t="shared" si="120"/>
        <v/>
      </c>
      <c r="O766" t="str">
        <f>IF(L766&lt;&gt;"",Data!$M1317,"")</f>
        <v/>
      </c>
      <c r="T766">
        <f>IF(OR(Dashboard!$P$4="All",Dashboard!$R$4="All"),NA(),IF(OR(Data!K1317&lt;&gt;Dashboard!$P$4,Data!K1317&lt;&gt;Dashboard!$R$4),Data!G1317,NA()))</f>
        <v>28492.66669990811</v>
      </c>
      <c r="V766" s="9"/>
    </row>
    <row r="767" spans="2:22">
      <c r="B767" t="e">
        <f>IF(Dashboard!$P$4="All",Data!G1318,IF(Data!K1318=Dashboard!$P$4,Data!G1318,NA()))</f>
        <v>#N/A</v>
      </c>
      <c r="C767" t="str">
        <f t="shared" si="115"/>
        <v/>
      </c>
      <c r="D767" t="str">
        <f t="shared" si="116"/>
        <v/>
      </c>
      <c r="E767" t="str">
        <f t="shared" si="117"/>
        <v/>
      </c>
      <c r="F767" t="str">
        <f>IF(C767&lt;&gt;"",Data!$M1318,"")</f>
        <v/>
      </c>
      <c r="K767" t="e">
        <f>IF(Dashboard!$R$4="All",Data!G1318,IF(Data!K1318=Dashboard!$R$4,Data!G1318,NA()))</f>
        <v>#N/A</v>
      </c>
      <c r="L767" t="str">
        <f t="shared" si="118"/>
        <v/>
      </c>
      <c r="M767" t="str">
        <f t="shared" si="119"/>
        <v/>
      </c>
      <c r="N767" t="str">
        <f t="shared" si="120"/>
        <v/>
      </c>
      <c r="O767" t="str">
        <f>IF(L767&lt;&gt;"",Data!$M1318,"")</f>
        <v/>
      </c>
      <c r="T767">
        <f>IF(OR(Dashboard!$P$4="All",Dashboard!$R$4="All"),NA(),IF(OR(Data!K1318&lt;&gt;Dashboard!$P$4,Data!K1318&lt;&gt;Dashboard!$R$4),Data!G1318,NA()))</f>
        <v>49500</v>
      </c>
      <c r="V767" s="9"/>
    </row>
    <row r="768" spans="2:22">
      <c r="B768" t="e">
        <f>IF(Dashboard!$P$4="All",Data!G1319,IF(Data!K1319=Dashboard!$P$4,Data!G1319,NA()))</f>
        <v>#N/A</v>
      </c>
      <c r="C768" t="str">
        <f t="shared" si="115"/>
        <v/>
      </c>
      <c r="D768" t="str">
        <f t="shared" si="116"/>
        <v/>
      </c>
      <c r="E768" t="str">
        <f t="shared" si="117"/>
        <v/>
      </c>
      <c r="F768" t="str">
        <f>IF(C768&lt;&gt;"",Data!$M1319,"")</f>
        <v/>
      </c>
      <c r="K768" t="e">
        <f>IF(Dashboard!$R$4="All",Data!G1319,IF(Data!K1319=Dashboard!$R$4,Data!G1319,NA()))</f>
        <v>#N/A</v>
      </c>
      <c r="L768" t="str">
        <f t="shared" si="118"/>
        <v/>
      </c>
      <c r="M768" t="str">
        <f t="shared" si="119"/>
        <v/>
      </c>
      <c r="N768" t="str">
        <f t="shared" si="120"/>
        <v/>
      </c>
      <c r="O768" t="str">
        <f>IF(L768&lt;&gt;"",Data!$M1319,"")</f>
        <v/>
      </c>
      <c r="T768">
        <f>IF(OR(Dashboard!$P$4="All",Dashboard!$R$4="All"),NA(),IF(OR(Data!K1319&lt;&gt;Dashboard!$P$4,Data!K1319&lt;&gt;Dashboard!$R$4),Data!G1319,NA()))</f>
        <v>6600</v>
      </c>
      <c r="V768" s="9"/>
    </row>
    <row r="769" spans="2:22">
      <c r="B769" t="e">
        <f>IF(Dashboard!$P$4="All",Data!G1320,IF(Data!K1320=Dashboard!$P$4,Data!G1320,NA()))</f>
        <v>#N/A</v>
      </c>
      <c r="C769" t="str">
        <f t="shared" si="115"/>
        <v/>
      </c>
      <c r="D769" t="str">
        <f t="shared" si="116"/>
        <v/>
      </c>
      <c r="E769" t="str">
        <f t="shared" si="117"/>
        <v/>
      </c>
      <c r="F769" t="str">
        <f>IF(C769&lt;&gt;"",Data!$M1320,"")</f>
        <v/>
      </c>
      <c r="K769">
        <f>IF(Dashboard!$R$4="All",Data!G1320,IF(Data!K1320=Dashboard!$R$4,Data!G1320,NA()))</f>
        <v>110332.47904470989</v>
      </c>
      <c r="L769">
        <f t="shared" si="118"/>
        <v>110332.47904470989</v>
      </c>
      <c r="M769">
        <f t="shared" si="119"/>
        <v>110332.47904470989</v>
      </c>
      <c r="N769" t="str">
        <f t="shared" si="120"/>
        <v/>
      </c>
      <c r="O769">
        <f>IF(L769&lt;&gt;"",Data!$M1320,"")</f>
        <v>15</v>
      </c>
      <c r="T769">
        <f>IF(OR(Dashboard!$P$4="All",Dashboard!$R$4="All"),NA(),IF(OR(Data!K1320&lt;&gt;Dashboard!$P$4,Data!K1320&lt;&gt;Dashboard!$R$4),Data!G1320,NA()))</f>
        <v>110332.47904470989</v>
      </c>
      <c r="V769" s="9"/>
    </row>
    <row r="770" spans="2:22">
      <c r="B770" t="e">
        <f>IF(Dashboard!$P$4="All",Data!G1321,IF(Data!K1321=Dashboard!$P$4,Data!G1321,NA()))</f>
        <v>#N/A</v>
      </c>
      <c r="C770" t="str">
        <f t="shared" si="115"/>
        <v/>
      </c>
      <c r="D770" t="str">
        <f t="shared" si="116"/>
        <v/>
      </c>
      <c r="E770" t="str">
        <f t="shared" si="117"/>
        <v/>
      </c>
      <c r="F770" t="str">
        <f>IF(C770&lt;&gt;"",Data!$M1321,"")</f>
        <v/>
      </c>
      <c r="K770">
        <f>IF(Dashboard!$R$4="All",Data!G1321,IF(Data!K1321=Dashboard!$R$4,Data!G1321,NA()))</f>
        <v>47285.348162018527</v>
      </c>
      <c r="L770">
        <f t="shared" si="118"/>
        <v>47285.348162018527</v>
      </c>
      <c r="M770" t="str">
        <f t="shared" si="119"/>
        <v/>
      </c>
      <c r="N770" t="str">
        <f t="shared" si="120"/>
        <v/>
      </c>
      <c r="O770">
        <f>IF(L770&lt;&gt;"",Data!$M1321,"")</f>
        <v>6</v>
      </c>
      <c r="T770">
        <f>IF(OR(Dashboard!$P$4="All",Dashboard!$R$4="All"),NA(),IF(OR(Data!K1321&lt;&gt;Dashboard!$P$4,Data!K1321&lt;&gt;Dashboard!$R$4),Data!G1321,NA()))</f>
        <v>47285.348162018527</v>
      </c>
      <c r="V770" s="9"/>
    </row>
    <row r="771" spans="2:22">
      <c r="B771" t="e">
        <f>IF(Dashboard!$P$4="All",Data!G1322,IF(Data!K1322=Dashboard!$P$4,Data!G1322,NA()))</f>
        <v>#N/A</v>
      </c>
      <c r="C771" t="str">
        <f t="shared" si="115"/>
        <v/>
      </c>
      <c r="D771" t="str">
        <f t="shared" si="116"/>
        <v/>
      </c>
      <c r="E771" t="str">
        <f t="shared" si="117"/>
        <v/>
      </c>
      <c r="F771" t="str">
        <f>IF(C771&lt;&gt;"",Data!$M1322,"")</f>
        <v/>
      </c>
      <c r="K771" t="e">
        <f>IF(Dashboard!$R$4="All",Data!G1322,IF(Data!K1322=Dashboard!$R$4,Data!G1322,NA()))</f>
        <v>#N/A</v>
      </c>
      <c r="L771" t="str">
        <f t="shared" si="118"/>
        <v/>
      </c>
      <c r="M771" t="str">
        <f t="shared" si="119"/>
        <v/>
      </c>
      <c r="N771" t="str">
        <f t="shared" si="120"/>
        <v/>
      </c>
      <c r="O771" t="str">
        <f>IF(L771&lt;&gt;"",Data!$M1322,"")</f>
        <v/>
      </c>
      <c r="T771">
        <f>IF(OR(Dashboard!$P$4="All",Dashboard!$R$4="All"),NA(),IF(OR(Data!K1322&lt;&gt;Dashboard!$P$4,Data!K1322&lt;&gt;Dashboard!$R$4),Data!G1322,NA()))</f>
        <v>5300</v>
      </c>
      <c r="V771" s="9"/>
    </row>
    <row r="772" spans="2:22">
      <c r="B772">
        <f>IF(Dashboard!$P$4="All",Data!G1323,IF(Data!K1323=Dashboard!$P$4,Data!G1323,NA()))</f>
        <v>43828.780645210471</v>
      </c>
      <c r="C772">
        <f t="shared" ref="C772:C835" si="121">IF(ISNA(B772),"",B772)</f>
        <v>43828.780645210471</v>
      </c>
      <c r="D772" t="str">
        <f t="shared" ref="D772:D835" si="122">IF(C772&gt;=PERCENTILE($C$3:$C$1337,0.9),C772,"")</f>
        <v/>
      </c>
      <c r="E772" t="str">
        <f t="shared" ref="E772:E835" si="123">IF(C772&lt;=PERCENTILE($C$3:$C$1337,0.1),C772,"")</f>
        <v/>
      </c>
      <c r="F772">
        <f>IF(C772&lt;&gt;"",Data!$M1323,"")</f>
        <v>15</v>
      </c>
      <c r="K772" t="e">
        <f>IF(Dashboard!$R$4="All",Data!G1323,IF(Data!K1323=Dashboard!$R$4,Data!G1323,NA()))</f>
        <v>#N/A</v>
      </c>
      <c r="L772" t="str">
        <f t="shared" ref="L772:L835" si="124">IF(ISNA(K772),"",K772)</f>
        <v/>
      </c>
      <c r="M772" t="str">
        <f t="shared" ref="M772:M835" si="125">IF(L772&gt;=PERCENTILE($L$3:$L$1337,0.9),L772,"")</f>
        <v/>
      </c>
      <c r="N772" t="str">
        <f t="shared" ref="N772:N835" si="126">IF(L772&lt;=PERCENTILE($L$3:$L$1337,0.1),L772,"")</f>
        <v/>
      </c>
      <c r="O772" t="str">
        <f>IF(L772&lt;&gt;"",Data!$M1323,"")</f>
        <v/>
      </c>
      <c r="T772">
        <f>IF(OR(Dashboard!$P$4="All",Dashboard!$R$4="All"),NA(),IF(OR(Data!K1323&lt;&gt;Dashboard!$P$4,Data!K1323&lt;&gt;Dashboard!$R$4),Data!G1323,NA()))</f>
        <v>43828.780645210471</v>
      </c>
      <c r="V772" s="9"/>
    </row>
    <row r="773" spans="2:22">
      <c r="B773" t="e">
        <f>IF(Dashboard!$P$4="All",Data!G1324,IF(Data!K1324=Dashboard!$P$4,Data!G1324,NA()))</f>
        <v>#N/A</v>
      </c>
      <c r="C773" t="str">
        <f t="shared" si="121"/>
        <v/>
      </c>
      <c r="D773" t="str">
        <f t="shared" si="122"/>
        <v/>
      </c>
      <c r="E773" t="str">
        <f t="shared" si="123"/>
        <v/>
      </c>
      <c r="F773" t="str">
        <f>IF(C773&lt;&gt;"",Data!$M1324,"")</f>
        <v/>
      </c>
      <c r="K773" t="e">
        <f>IF(Dashboard!$R$4="All",Data!G1324,IF(Data!K1324=Dashboard!$R$4,Data!G1324,NA()))</f>
        <v>#N/A</v>
      </c>
      <c r="L773" t="str">
        <f t="shared" si="124"/>
        <v/>
      </c>
      <c r="M773" t="str">
        <f t="shared" si="125"/>
        <v/>
      </c>
      <c r="N773" t="str">
        <f t="shared" si="126"/>
        <v/>
      </c>
      <c r="O773" t="str">
        <f>IF(L773&lt;&gt;"",Data!$M1324,"")</f>
        <v/>
      </c>
      <c r="T773">
        <f>IF(OR(Dashboard!$P$4="All",Dashboard!$R$4="All"),NA(),IF(OR(Data!K1324&lt;&gt;Dashboard!$P$4,Data!K1324&lt;&gt;Dashboard!$R$4),Data!G1324,NA()))</f>
        <v>80000</v>
      </c>
      <c r="V773" s="9"/>
    </row>
    <row r="774" spans="2:22">
      <c r="B774" t="e">
        <f>IF(Dashboard!$P$4="All",Data!G1325,IF(Data!K1325=Dashboard!$P$4,Data!G1325,NA()))</f>
        <v>#N/A</v>
      </c>
      <c r="C774" t="str">
        <f t="shared" si="121"/>
        <v/>
      </c>
      <c r="D774" t="str">
        <f t="shared" si="122"/>
        <v/>
      </c>
      <c r="E774" t="str">
        <f t="shared" si="123"/>
        <v/>
      </c>
      <c r="F774" t="str">
        <f>IF(C774&lt;&gt;"",Data!$M1325,"")</f>
        <v/>
      </c>
      <c r="K774" t="e">
        <f>IF(Dashboard!$R$4="All",Data!G1325,IF(Data!K1325=Dashboard!$R$4,Data!G1325,NA()))</f>
        <v>#N/A</v>
      </c>
      <c r="L774" t="str">
        <f t="shared" si="124"/>
        <v/>
      </c>
      <c r="M774" t="str">
        <f t="shared" si="125"/>
        <v/>
      </c>
      <c r="N774" t="str">
        <f t="shared" si="126"/>
        <v/>
      </c>
      <c r="O774" t="str">
        <f>IF(L774&lt;&gt;"",Data!$M1325,"")</f>
        <v/>
      </c>
      <c r="T774">
        <f>IF(OR(Dashboard!$P$4="All",Dashboard!$R$4="All"),NA(),IF(OR(Data!K1325&lt;&gt;Dashboard!$P$4,Data!K1325&lt;&gt;Dashboard!$R$4),Data!G1325,NA()))</f>
        <v>11518.711713336908</v>
      </c>
      <c r="V774" s="9"/>
    </row>
    <row r="775" spans="2:22">
      <c r="B775" t="e">
        <f>IF(Dashboard!$P$4="All",Data!G1326,IF(Data!K1326=Dashboard!$P$4,Data!G1326,NA()))</f>
        <v>#N/A</v>
      </c>
      <c r="C775" t="str">
        <f t="shared" si="121"/>
        <v/>
      </c>
      <c r="D775" t="str">
        <f t="shared" si="122"/>
        <v/>
      </c>
      <c r="E775" t="str">
        <f t="shared" si="123"/>
        <v/>
      </c>
      <c r="F775" t="str">
        <f>IF(C775&lt;&gt;"",Data!$M1326,"")</f>
        <v/>
      </c>
      <c r="K775" t="e">
        <f>IF(Dashboard!$R$4="All",Data!G1326,IF(Data!K1326=Dashboard!$R$4,Data!G1326,NA()))</f>
        <v>#N/A</v>
      </c>
      <c r="L775" t="str">
        <f t="shared" si="124"/>
        <v/>
      </c>
      <c r="M775" t="str">
        <f t="shared" si="125"/>
        <v/>
      </c>
      <c r="N775" t="str">
        <f t="shared" si="126"/>
        <v/>
      </c>
      <c r="O775" t="str">
        <f>IF(L775&lt;&gt;"",Data!$M1326,"")</f>
        <v/>
      </c>
      <c r="T775">
        <f>IF(OR(Dashboard!$P$4="All",Dashboard!$R$4="All"),NA(),IF(OR(Data!K1326&lt;&gt;Dashboard!$P$4,Data!K1326&lt;&gt;Dashboard!$R$4),Data!G1326,NA()))</f>
        <v>152986.44846039536</v>
      </c>
      <c r="V775" s="9"/>
    </row>
    <row r="776" spans="2:22">
      <c r="B776" t="e">
        <f>IF(Dashboard!$P$4="All",Data!G1327,IF(Data!K1327=Dashboard!$P$4,Data!G1327,NA()))</f>
        <v>#N/A</v>
      </c>
      <c r="C776" t="str">
        <f t="shared" si="121"/>
        <v/>
      </c>
      <c r="D776" t="str">
        <f t="shared" si="122"/>
        <v/>
      </c>
      <c r="E776" t="str">
        <f t="shared" si="123"/>
        <v/>
      </c>
      <c r="F776" t="str">
        <f>IF(C776&lt;&gt;"",Data!$M1327,"")</f>
        <v/>
      </c>
      <c r="K776" t="e">
        <f>IF(Dashboard!$R$4="All",Data!G1327,IF(Data!K1327=Dashboard!$R$4,Data!G1327,NA()))</f>
        <v>#N/A</v>
      </c>
      <c r="L776" t="str">
        <f t="shared" si="124"/>
        <v/>
      </c>
      <c r="M776" t="str">
        <f t="shared" si="125"/>
        <v/>
      </c>
      <c r="N776" t="str">
        <f t="shared" si="126"/>
        <v/>
      </c>
      <c r="O776" t="str">
        <f>IF(L776&lt;&gt;"",Data!$M1327,"")</f>
        <v/>
      </c>
      <c r="T776">
        <f>IF(OR(Dashboard!$P$4="All",Dashboard!$R$4="All"),NA(),IF(OR(Data!K1327&lt;&gt;Dashboard!$P$4,Data!K1327&lt;&gt;Dashboard!$R$4),Data!G1327,NA()))</f>
        <v>125000</v>
      </c>
      <c r="V776" s="9"/>
    </row>
    <row r="777" spans="2:22">
      <c r="B777" t="e">
        <f>IF(Dashboard!$P$4="All",Data!G1328,IF(Data!K1328=Dashboard!$P$4,Data!G1328,NA()))</f>
        <v>#N/A</v>
      </c>
      <c r="C777" t="str">
        <f t="shared" si="121"/>
        <v/>
      </c>
      <c r="D777" t="str">
        <f t="shared" si="122"/>
        <v/>
      </c>
      <c r="E777" t="str">
        <f t="shared" si="123"/>
        <v/>
      </c>
      <c r="F777" t="str">
        <f>IF(C777&lt;&gt;"",Data!$M1328,"")</f>
        <v/>
      </c>
      <c r="K777" t="e">
        <f>IF(Dashboard!$R$4="All",Data!G1328,IF(Data!K1328=Dashboard!$R$4,Data!G1328,NA()))</f>
        <v>#N/A</v>
      </c>
      <c r="L777" t="str">
        <f t="shared" si="124"/>
        <v/>
      </c>
      <c r="M777" t="str">
        <f t="shared" si="125"/>
        <v/>
      </c>
      <c r="N777" t="str">
        <f t="shared" si="126"/>
        <v/>
      </c>
      <c r="O777" t="str">
        <f>IF(L777&lt;&gt;"",Data!$M1328,"")</f>
        <v/>
      </c>
      <c r="T777">
        <f>IF(OR(Dashboard!$P$4="All",Dashboard!$R$4="All"),NA(),IF(OR(Data!K1328&lt;&gt;Dashboard!$P$4,Data!K1328&lt;&gt;Dashboard!$R$4),Data!G1328,NA()))</f>
        <v>101990.96564026357</v>
      </c>
      <c r="V777" s="9"/>
    </row>
    <row r="778" spans="2:22">
      <c r="B778" t="e">
        <f>IF(Dashboard!$P$4="All",Data!G1329,IF(Data!K1329=Dashboard!$P$4,Data!G1329,NA()))</f>
        <v>#N/A</v>
      </c>
      <c r="C778" t="str">
        <f t="shared" si="121"/>
        <v/>
      </c>
      <c r="D778" t="str">
        <f t="shared" si="122"/>
        <v/>
      </c>
      <c r="E778" t="str">
        <f t="shared" si="123"/>
        <v/>
      </c>
      <c r="F778" t="str">
        <f>IF(C778&lt;&gt;"",Data!$M1329,"")</f>
        <v/>
      </c>
      <c r="K778" t="e">
        <f>IF(Dashboard!$R$4="All",Data!G1329,IF(Data!K1329=Dashboard!$R$4,Data!G1329,NA()))</f>
        <v>#N/A</v>
      </c>
      <c r="L778" t="str">
        <f t="shared" si="124"/>
        <v/>
      </c>
      <c r="M778" t="str">
        <f t="shared" si="125"/>
        <v/>
      </c>
      <c r="N778" t="str">
        <f t="shared" si="126"/>
        <v/>
      </c>
      <c r="O778" t="str">
        <f>IF(L778&lt;&gt;"",Data!$M1329,"")</f>
        <v/>
      </c>
      <c r="T778">
        <f>IF(OR(Dashboard!$P$4="All",Dashboard!$R$4="All"),NA(),IF(OR(Data!K1329&lt;&gt;Dashboard!$P$4,Data!K1329&lt;&gt;Dashboard!$R$4),Data!G1329,NA()))</f>
        <v>105000</v>
      </c>
      <c r="V778" s="9"/>
    </row>
    <row r="779" spans="2:22">
      <c r="B779" t="e">
        <f>IF(Dashboard!$P$4="All",Data!G1330,IF(Data!K1330=Dashboard!$P$4,Data!G1330,NA()))</f>
        <v>#N/A</v>
      </c>
      <c r="C779" t="str">
        <f t="shared" si="121"/>
        <v/>
      </c>
      <c r="D779" t="str">
        <f t="shared" si="122"/>
        <v/>
      </c>
      <c r="E779" t="str">
        <f t="shared" si="123"/>
        <v/>
      </c>
      <c r="F779" t="str">
        <f>IF(C779&lt;&gt;"",Data!$M1330,"")</f>
        <v/>
      </c>
      <c r="K779" t="e">
        <f>IF(Dashboard!$R$4="All",Data!G1330,IF(Data!K1330=Dashboard!$R$4,Data!G1330,NA()))</f>
        <v>#N/A</v>
      </c>
      <c r="L779" t="str">
        <f t="shared" si="124"/>
        <v/>
      </c>
      <c r="M779" t="str">
        <f t="shared" si="125"/>
        <v/>
      </c>
      <c r="N779" t="str">
        <f t="shared" si="126"/>
        <v/>
      </c>
      <c r="O779" t="str">
        <f>IF(L779&lt;&gt;"",Data!$M1330,"")</f>
        <v/>
      </c>
      <c r="T779">
        <f>IF(OR(Dashboard!$P$4="All",Dashboard!$R$4="All"),NA(),IF(OR(Data!K1330&lt;&gt;Dashboard!$P$4,Data!K1330&lt;&gt;Dashboard!$R$4),Data!G1330,NA()))</f>
        <v>50815.977559664309</v>
      </c>
      <c r="V779" s="9"/>
    </row>
    <row r="780" spans="2:22">
      <c r="B780" t="e">
        <f>IF(Dashboard!$P$4="All",Data!G1331,IF(Data!K1331=Dashboard!$P$4,Data!G1331,NA()))</f>
        <v>#N/A</v>
      </c>
      <c r="C780" t="str">
        <f t="shared" si="121"/>
        <v/>
      </c>
      <c r="D780" t="str">
        <f t="shared" si="122"/>
        <v/>
      </c>
      <c r="E780" t="str">
        <f t="shared" si="123"/>
        <v/>
      </c>
      <c r="F780" t="str">
        <f>IF(C780&lt;&gt;"",Data!$M1331,"")</f>
        <v/>
      </c>
      <c r="K780" t="e">
        <f>IF(Dashboard!$R$4="All",Data!G1331,IF(Data!K1331=Dashboard!$R$4,Data!G1331,NA()))</f>
        <v>#N/A</v>
      </c>
      <c r="L780" t="str">
        <f t="shared" si="124"/>
        <v/>
      </c>
      <c r="M780" t="str">
        <f t="shared" si="125"/>
        <v/>
      </c>
      <c r="N780" t="str">
        <f t="shared" si="126"/>
        <v/>
      </c>
      <c r="O780" t="str">
        <f>IF(L780&lt;&gt;"",Data!$M1331,"")</f>
        <v/>
      </c>
      <c r="T780">
        <f>IF(OR(Dashboard!$P$4="All",Dashboard!$R$4="All"),NA(),IF(OR(Data!K1331&lt;&gt;Dashboard!$P$4,Data!K1331&lt;&gt;Dashboard!$R$4),Data!G1331,NA()))</f>
        <v>75000</v>
      </c>
      <c r="V780" s="9"/>
    </row>
    <row r="781" spans="2:22">
      <c r="B781" t="e">
        <f>IF(Dashboard!$P$4="All",Data!G1332,IF(Data!K1332=Dashboard!$P$4,Data!G1332,NA()))</f>
        <v>#N/A</v>
      </c>
      <c r="C781" t="str">
        <f t="shared" si="121"/>
        <v/>
      </c>
      <c r="D781" t="str">
        <f t="shared" si="122"/>
        <v/>
      </c>
      <c r="E781" t="str">
        <f t="shared" si="123"/>
        <v/>
      </c>
      <c r="F781" t="str">
        <f>IF(C781&lt;&gt;"",Data!$M1332,"")</f>
        <v/>
      </c>
      <c r="K781" t="e">
        <f>IF(Dashboard!$R$4="All",Data!G1332,IF(Data!K1332=Dashboard!$R$4,Data!G1332,NA()))</f>
        <v>#N/A</v>
      </c>
      <c r="L781" t="str">
        <f t="shared" si="124"/>
        <v/>
      </c>
      <c r="M781" t="str">
        <f t="shared" si="125"/>
        <v/>
      </c>
      <c r="N781" t="str">
        <f t="shared" si="126"/>
        <v/>
      </c>
      <c r="O781" t="str">
        <f>IF(L781&lt;&gt;"",Data!$M1332,"")</f>
        <v/>
      </c>
      <c r="T781">
        <f>IF(OR(Dashboard!$P$4="All",Dashboard!$R$4="All"),NA(),IF(OR(Data!K1332&lt;&gt;Dashboard!$P$4,Data!K1332&lt;&gt;Dashboard!$R$4),Data!G1332,NA()))</f>
        <v>4451.9791718606421</v>
      </c>
      <c r="V781" s="9"/>
    </row>
    <row r="782" spans="2:22">
      <c r="B782" t="e">
        <f>IF(Dashboard!$P$4="All",Data!G1333,IF(Data!K1333=Dashboard!$P$4,Data!G1333,NA()))</f>
        <v>#N/A</v>
      </c>
      <c r="C782" t="str">
        <f t="shared" si="121"/>
        <v/>
      </c>
      <c r="D782" t="str">
        <f t="shared" si="122"/>
        <v/>
      </c>
      <c r="E782" t="str">
        <f t="shared" si="123"/>
        <v/>
      </c>
      <c r="F782" t="str">
        <f>IF(C782&lt;&gt;"",Data!$M1333,"")</f>
        <v/>
      </c>
      <c r="K782" t="e">
        <f>IF(Dashboard!$R$4="All",Data!G1333,IF(Data!K1333=Dashboard!$R$4,Data!G1333,NA()))</f>
        <v>#N/A</v>
      </c>
      <c r="L782" t="str">
        <f t="shared" si="124"/>
        <v/>
      </c>
      <c r="M782" t="str">
        <f t="shared" si="125"/>
        <v/>
      </c>
      <c r="N782" t="str">
        <f t="shared" si="126"/>
        <v/>
      </c>
      <c r="O782" t="str">
        <f>IF(L782&lt;&gt;"",Data!$M1333,"")</f>
        <v/>
      </c>
      <c r="T782">
        <f>IF(OR(Dashboard!$P$4="All",Dashboard!$R$4="All"),NA(),IF(OR(Data!K1333&lt;&gt;Dashboard!$P$4,Data!K1333&lt;&gt;Dashboard!$R$4),Data!G1333,NA()))</f>
        <v>110000</v>
      </c>
      <c r="V782" s="9"/>
    </row>
    <row r="783" spans="2:22">
      <c r="B783" t="e">
        <f>IF(Dashboard!$P$4="All",Data!G1334,IF(Data!K1334=Dashboard!$P$4,Data!G1334,NA()))</f>
        <v>#N/A</v>
      </c>
      <c r="C783" t="str">
        <f t="shared" si="121"/>
        <v/>
      </c>
      <c r="D783" t="str">
        <f t="shared" si="122"/>
        <v/>
      </c>
      <c r="E783" t="str">
        <f t="shared" si="123"/>
        <v/>
      </c>
      <c r="F783" t="str">
        <f>IF(C783&lt;&gt;"",Data!$M1334,"")</f>
        <v/>
      </c>
      <c r="K783">
        <f>IF(Dashboard!$R$4="All",Data!G1334,IF(Data!K1334=Dashboard!$R$4,Data!G1334,NA()))</f>
        <v>42556.81334581667</v>
      </c>
      <c r="L783">
        <f t="shared" si="124"/>
        <v>42556.81334581667</v>
      </c>
      <c r="M783" t="str">
        <f t="shared" si="125"/>
        <v/>
      </c>
      <c r="N783" t="str">
        <f t="shared" si="126"/>
        <v/>
      </c>
      <c r="O783">
        <f>IF(L783&lt;&gt;"",Data!$M1334,"")</f>
        <v>1</v>
      </c>
      <c r="T783">
        <f>IF(OR(Dashboard!$P$4="All",Dashboard!$R$4="All"),NA(),IF(OR(Data!K1334&lt;&gt;Dashboard!$P$4,Data!K1334&lt;&gt;Dashboard!$R$4),Data!G1334,NA()))</f>
        <v>42556.81334581667</v>
      </c>
      <c r="V783" s="9"/>
    </row>
    <row r="784" spans="2:22">
      <c r="B784" t="e">
        <f>IF(Dashboard!$P$4="All",Data!G1335,IF(Data!K1335=Dashboard!$P$4,Data!G1335,NA()))</f>
        <v>#N/A</v>
      </c>
      <c r="C784" t="str">
        <f t="shared" si="121"/>
        <v/>
      </c>
      <c r="D784" t="str">
        <f t="shared" si="122"/>
        <v/>
      </c>
      <c r="E784" t="str">
        <f t="shared" si="123"/>
        <v/>
      </c>
      <c r="F784" t="str">
        <f>IF(C784&lt;&gt;"",Data!$M1335,"")</f>
        <v/>
      </c>
      <c r="K784" t="e">
        <f>IF(Dashboard!$R$4="All",Data!G1335,IF(Data!K1335=Dashboard!$R$4,Data!G1335,NA()))</f>
        <v>#N/A</v>
      </c>
      <c r="L784" t="str">
        <f t="shared" si="124"/>
        <v/>
      </c>
      <c r="M784" t="str">
        <f t="shared" si="125"/>
        <v/>
      </c>
      <c r="N784" t="str">
        <f t="shared" si="126"/>
        <v/>
      </c>
      <c r="O784" t="str">
        <f>IF(L784&lt;&gt;"",Data!$M1335,"")</f>
        <v/>
      </c>
      <c r="T784">
        <f>IF(OR(Dashboard!$P$4="All",Dashboard!$R$4="All"),NA(),IF(OR(Data!K1335&lt;&gt;Dashboard!$P$4,Data!K1335&lt;&gt;Dashboard!$R$4),Data!G1335,NA()))</f>
        <v>8013.5625093491553</v>
      </c>
      <c r="V784" s="9"/>
    </row>
    <row r="785" spans="2:22">
      <c r="B785" t="e">
        <f>IF(Dashboard!$P$4="All",Data!G1336,IF(Data!K1336=Dashboard!$P$4,Data!G1336,NA()))</f>
        <v>#N/A</v>
      </c>
      <c r="C785" t="str">
        <f t="shared" si="121"/>
        <v/>
      </c>
      <c r="D785" t="str">
        <f t="shared" si="122"/>
        <v/>
      </c>
      <c r="E785" t="str">
        <f t="shared" si="123"/>
        <v/>
      </c>
      <c r="F785" t="str">
        <f>IF(C785&lt;&gt;"",Data!$M1336,"")</f>
        <v/>
      </c>
      <c r="K785" t="e">
        <f>IF(Dashboard!$R$4="All",Data!G1336,IF(Data!K1336=Dashboard!$R$4,Data!G1336,NA()))</f>
        <v>#N/A</v>
      </c>
      <c r="L785" t="str">
        <f t="shared" si="124"/>
        <v/>
      </c>
      <c r="M785" t="str">
        <f t="shared" si="125"/>
        <v/>
      </c>
      <c r="N785" t="str">
        <f t="shared" si="126"/>
        <v/>
      </c>
      <c r="O785" t="str">
        <f>IF(L785&lt;&gt;"",Data!$M1336,"")</f>
        <v/>
      </c>
      <c r="T785">
        <f>IF(OR(Dashboard!$P$4="All",Dashboard!$R$4="All"),NA(),IF(OR(Data!K1336&lt;&gt;Dashboard!$P$4,Data!K1336&lt;&gt;Dashboard!$R$4),Data!G1336,NA()))</f>
        <v>125000</v>
      </c>
      <c r="V785" s="9"/>
    </row>
    <row r="786" spans="2:22">
      <c r="B786" t="e">
        <f>IF(Dashboard!$P$4="All",Data!G1337,IF(Data!K1337=Dashboard!$P$4,Data!G1337,NA()))</f>
        <v>#N/A</v>
      </c>
      <c r="C786" t="str">
        <f t="shared" si="121"/>
        <v/>
      </c>
      <c r="D786" t="str">
        <f t="shared" si="122"/>
        <v/>
      </c>
      <c r="E786" t="str">
        <f t="shared" si="123"/>
        <v/>
      </c>
      <c r="F786" t="str">
        <f>IF(C786&lt;&gt;"",Data!$M1337,"")</f>
        <v/>
      </c>
      <c r="K786" t="e">
        <f>IF(Dashboard!$R$4="All",Data!G1337,IF(Data!K1337=Dashboard!$R$4,Data!G1337,NA()))</f>
        <v>#N/A</v>
      </c>
      <c r="L786" t="str">
        <f t="shared" si="124"/>
        <v/>
      </c>
      <c r="M786" t="str">
        <f t="shared" si="125"/>
        <v/>
      </c>
      <c r="N786" t="str">
        <f t="shared" si="126"/>
        <v/>
      </c>
      <c r="O786" t="str">
        <f>IF(L786&lt;&gt;"",Data!$M1337,"")</f>
        <v/>
      </c>
      <c r="T786">
        <f>IF(OR(Dashboard!$P$4="All",Dashboard!$R$4="All"),NA(),IF(OR(Data!K1337&lt;&gt;Dashboard!$P$4,Data!K1337&lt;&gt;Dashboard!$R$4),Data!G1337,NA()))</f>
        <v>60000</v>
      </c>
      <c r="V786" s="9"/>
    </row>
    <row r="787" spans="2:22">
      <c r="B787" t="e">
        <f>IF(Dashboard!$P$4="All",Data!G1338,IF(Data!K1338=Dashboard!$P$4,Data!G1338,NA()))</f>
        <v>#N/A</v>
      </c>
      <c r="C787" t="str">
        <f t="shared" si="121"/>
        <v/>
      </c>
      <c r="D787" t="str">
        <f t="shared" si="122"/>
        <v/>
      </c>
      <c r="E787" t="str">
        <f t="shared" si="123"/>
        <v/>
      </c>
      <c r="F787" t="str">
        <f>IF(C787&lt;&gt;"",Data!$M1338,"")</f>
        <v/>
      </c>
      <c r="K787" t="e">
        <f>IF(Dashboard!$R$4="All",Data!G1338,IF(Data!K1338=Dashboard!$R$4,Data!G1338,NA()))</f>
        <v>#N/A</v>
      </c>
      <c r="L787" t="str">
        <f t="shared" si="124"/>
        <v/>
      </c>
      <c r="M787" t="str">
        <f t="shared" si="125"/>
        <v/>
      </c>
      <c r="N787" t="str">
        <f t="shared" si="126"/>
        <v/>
      </c>
      <c r="O787" t="str">
        <f>IF(L787&lt;&gt;"",Data!$M1338,"")</f>
        <v/>
      </c>
      <c r="T787">
        <f>IF(OR(Dashboard!$P$4="All",Dashboard!$R$4="All"),NA(),IF(OR(Data!K1338&lt;&gt;Dashboard!$P$4,Data!K1338&lt;&gt;Dashboard!$R$4),Data!G1338,NA()))</f>
        <v>39355.495879248076</v>
      </c>
      <c r="V787" s="9"/>
    </row>
    <row r="788" spans="2:22">
      <c r="B788" t="e">
        <f>IF(Dashboard!$P$4="All",Data!G1339,IF(Data!K1339=Dashboard!$P$4,Data!G1339,NA()))</f>
        <v>#N/A</v>
      </c>
      <c r="C788" t="str">
        <f t="shared" si="121"/>
        <v/>
      </c>
      <c r="D788" t="str">
        <f t="shared" si="122"/>
        <v/>
      </c>
      <c r="E788" t="str">
        <f t="shared" si="123"/>
        <v/>
      </c>
      <c r="F788" t="str">
        <f>IF(C788&lt;&gt;"",Data!$M1339,"")</f>
        <v/>
      </c>
      <c r="K788" t="e">
        <f>IF(Dashboard!$R$4="All",Data!G1339,IF(Data!K1339=Dashboard!$R$4,Data!G1339,NA()))</f>
        <v>#N/A</v>
      </c>
      <c r="L788" t="str">
        <f t="shared" si="124"/>
        <v/>
      </c>
      <c r="M788" t="str">
        <f t="shared" si="125"/>
        <v/>
      </c>
      <c r="N788" t="str">
        <f t="shared" si="126"/>
        <v/>
      </c>
      <c r="O788" t="str">
        <f>IF(L788&lt;&gt;"",Data!$M1339,"")</f>
        <v/>
      </c>
      <c r="T788">
        <f>IF(OR(Dashboard!$P$4="All",Dashboard!$R$4="All"),NA(),IF(OR(Data!K1339&lt;&gt;Dashboard!$P$4,Data!K1339&lt;&gt;Dashboard!$R$4),Data!G1339,NA()))</f>
        <v>57167.974754622352</v>
      </c>
      <c r="V788" s="9"/>
    </row>
    <row r="789" spans="2:22">
      <c r="B789" t="e">
        <f>IF(Dashboard!$P$4="All",Data!G1340,IF(Data!K1340=Dashboard!$P$4,Data!G1340,NA()))</f>
        <v>#N/A</v>
      </c>
      <c r="C789" t="str">
        <f t="shared" si="121"/>
        <v/>
      </c>
      <c r="D789" t="str">
        <f t="shared" si="122"/>
        <v/>
      </c>
      <c r="E789" t="str">
        <f t="shared" si="123"/>
        <v/>
      </c>
      <c r="F789" t="str">
        <f>IF(C789&lt;&gt;"",Data!$M1340,"")</f>
        <v/>
      </c>
      <c r="K789" t="e">
        <f>IF(Dashboard!$R$4="All",Data!G1340,IF(Data!K1340=Dashboard!$R$4,Data!G1340,NA()))</f>
        <v>#N/A</v>
      </c>
      <c r="L789" t="str">
        <f t="shared" si="124"/>
        <v/>
      </c>
      <c r="M789" t="str">
        <f t="shared" si="125"/>
        <v/>
      </c>
      <c r="N789" t="str">
        <f t="shared" si="126"/>
        <v/>
      </c>
      <c r="O789" t="str">
        <f>IF(L789&lt;&gt;"",Data!$M1340,"")</f>
        <v/>
      </c>
      <c r="T789">
        <f>IF(OR(Dashboard!$P$4="All",Dashboard!$R$4="All"),NA(),IF(OR(Data!K1340&lt;&gt;Dashboard!$P$4,Data!K1340&lt;&gt;Dashboard!$R$4),Data!G1340,NA()))</f>
        <v>50694.322109187968</v>
      </c>
      <c r="V789" s="9"/>
    </row>
    <row r="790" spans="2:22">
      <c r="B790" t="e">
        <f>IF(Dashboard!$P$4="All",Data!G1341,IF(Data!K1341=Dashboard!$P$4,Data!G1341,NA()))</f>
        <v>#N/A</v>
      </c>
      <c r="C790" t="str">
        <f t="shared" si="121"/>
        <v/>
      </c>
      <c r="D790" t="str">
        <f t="shared" si="122"/>
        <v/>
      </c>
      <c r="E790" t="str">
        <f t="shared" si="123"/>
        <v/>
      </c>
      <c r="F790" t="str">
        <f>IF(C790&lt;&gt;"",Data!$M1341,"")</f>
        <v/>
      </c>
      <c r="K790" t="e">
        <f>IF(Dashboard!$R$4="All",Data!G1341,IF(Data!K1341=Dashboard!$R$4,Data!G1341,NA()))</f>
        <v>#N/A</v>
      </c>
      <c r="L790" t="str">
        <f t="shared" si="124"/>
        <v/>
      </c>
      <c r="M790" t="str">
        <f t="shared" si="125"/>
        <v/>
      </c>
      <c r="N790" t="str">
        <f t="shared" si="126"/>
        <v/>
      </c>
      <c r="O790" t="str">
        <f>IF(L790&lt;&gt;"",Data!$M1341,"")</f>
        <v/>
      </c>
      <c r="T790">
        <f>IF(OR(Dashboard!$P$4="All",Dashboard!$R$4="All"),NA(),IF(OR(Data!K1341&lt;&gt;Dashboard!$P$4,Data!K1341&lt;&gt;Dashboard!$R$4),Data!G1341,NA()))</f>
        <v>57500</v>
      </c>
      <c r="V790" s="9"/>
    </row>
    <row r="791" spans="2:22">
      <c r="B791">
        <f>IF(Dashboard!$P$4="All",Data!G1342,IF(Data!K1342=Dashboard!$P$4,Data!G1342,NA()))</f>
        <v>78764.765217479682</v>
      </c>
      <c r="C791">
        <f t="shared" si="121"/>
        <v>78764.765217479682</v>
      </c>
      <c r="D791" t="str">
        <f t="shared" si="122"/>
        <v/>
      </c>
      <c r="E791" t="str">
        <f t="shared" si="123"/>
        <v/>
      </c>
      <c r="F791">
        <f>IF(C791&lt;&gt;"",Data!$M1342,"")</f>
        <v>15</v>
      </c>
      <c r="K791" t="e">
        <f>IF(Dashboard!$R$4="All",Data!G1342,IF(Data!K1342=Dashboard!$R$4,Data!G1342,NA()))</f>
        <v>#N/A</v>
      </c>
      <c r="L791" t="str">
        <f t="shared" si="124"/>
        <v/>
      </c>
      <c r="M791" t="str">
        <f t="shared" si="125"/>
        <v/>
      </c>
      <c r="N791" t="str">
        <f t="shared" si="126"/>
        <v/>
      </c>
      <c r="O791" t="str">
        <f>IF(L791&lt;&gt;"",Data!$M1342,"")</f>
        <v/>
      </c>
      <c r="T791">
        <f>IF(OR(Dashboard!$P$4="All",Dashboard!$R$4="All"),NA(),IF(OR(Data!K1342&lt;&gt;Dashboard!$P$4,Data!K1342&lt;&gt;Dashboard!$R$4),Data!G1342,NA()))</f>
        <v>78764.765217479682</v>
      </c>
      <c r="V791" s="9"/>
    </row>
    <row r="792" spans="2:22">
      <c r="B792" t="e">
        <f>IF(Dashboard!$P$4="All",Data!G1343,IF(Data!K1343=Dashboard!$P$4,Data!G1343,NA()))</f>
        <v>#N/A</v>
      </c>
      <c r="C792" t="str">
        <f t="shared" si="121"/>
        <v/>
      </c>
      <c r="D792" t="str">
        <f t="shared" si="122"/>
        <v/>
      </c>
      <c r="E792" t="str">
        <f t="shared" si="123"/>
        <v/>
      </c>
      <c r="F792" t="str">
        <f>IF(C792&lt;&gt;"",Data!$M1343,"")</f>
        <v/>
      </c>
      <c r="K792" t="e">
        <f>IF(Dashboard!$R$4="All",Data!G1343,IF(Data!K1343=Dashboard!$R$4,Data!G1343,NA()))</f>
        <v>#N/A</v>
      </c>
      <c r="L792" t="str">
        <f t="shared" si="124"/>
        <v/>
      </c>
      <c r="M792" t="str">
        <f t="shared" si="125"/>
        <v/>
      </c>
      <c r="N792" t="str">
        <f t="shared" si="126"/>
        <v/>
      </c>
      <c r="O792" t="str">
        <f>IF(L792&lt;&gt;"",Data!$M1343,"")</f>
        <v/>
      </c>
      <c r="T792">
        <f>IF(OR(Dashboard!$P$4="All",Dashboard!$R$4="All"),NA(),IF(OR(Data!K1343&lt;&gt;Dashboard!$P$4,Data!K1343&lt;&gt;Dashboard!$R$4),Data!G1343,NA()))</f>
        <v>80000</v>
      </c>
      <c r="V792" s="9"/>
    </row>
    <row r="793" spans="2:22">
      <c r="B793" t="e">
        <f>IF(Dashboard!$P$4="All",Data!G1344,IF(Data!K1344=Dashboard!$P$4,Data!G1344,NA()))</f>
        <v>#N/A</v>
      </c>
      <c r="C793" t="str">
        <f t="shared" si="121"/>
        <v/>
      </c>
      <c r="D793" t="str">
        <f t="shared" si="122"/>
        <v/>
      </c>
      <c r="E793" t="str">
        <f t="shared" si="123"/>
        <v/>
      </c>
      <c r="F793" t="str">
        <f>IF(C793&lt;&gt;"",Data!$M1344,"")</f>
        <v/>
      </c>
      <c r="K793">
        <f>IF(Dashboard!$R$4="All",Data!G1344,IF(Data!K1344=Dashboard!$R$4,Data!G1344,NA()))</f>
        <v>70928.022243027779</v>
      </c>
      <c r="L793">
        <f t="shared" si="124"/>
        <v>70928.022243027779</v>
      </c>
      <c r="M793" t="str">
        <f t="shared" si="125"/>
        <v/>
      </c>
      <c r="N793" t="str">
        <f t="shared" si="126"/>
        <v/>
      </c>
      <c r="O793">
        <f>IF(L793&lt;&gt;"",Data!$M1344,"")</f>
        <v>15</v>
      </c>
      <c r="T793">
        <f>IF(OR(Dashboard!$P$4="All",Dashboard!$R$4="All"),NA(),IF(OR(Data!K1344&lt;&gt;Dashboard!$P$4,Data!K1344&lt;&gt;Dashboard!$R$4),Data!G1344,NA()))</f>
        <v>70928.022243027779</v>
      </c>
      <c r="V793" s="9"/>
    </row>
    <row r="794" spans="2:22">
      <c r="B794" t="e">
        <f>IF(Dashboard!$P$4="All",Data!G1345,IF(Data!K1345=Dashboard!$P$4,Data!G1345,NA()))</f>
        <v>#N/A</v>
      </c>
      <c r="C794" t="str">
        <f t="shared" si="121"/>
        <v/>
      </c>
      <c r="D794" t="str">
        <f t="shared" si="122"/>
        <v/>
      </c>
      <c r="E794" t="str">
        <f t="shared" si="123"/>
        <v/>
      </c>
      <c r="F794" t="str">
        <f>IF(C794&lt;&gt;"",Data!$M1345,"")</f>
        <v/>
      </c>
      <c r="K794" t="e">
        <f>IF(Dashboard!$R$4="All",Data!G1345,IF(Data!K1345=Dashboard!$R$4,Data!G1345,NA()))</f>
        <v>#N/A</v>
      </c>
      <c r="L794" t="str">
        <f t="shared" si="124"/>
        <v/>
      </c>
      <c r="M794" t="str">
        <f t="shared" si="125"/>
        <v/>
      </c>
      <c r="N794" t="str">
        <f t="shared" si="126"/>
        <v/>
      </c>
      <c r="O794" t="str">
        <f>IF(L794&lt;&gt;"",Data!$M1345,"")</f>
        <v/>
      </c>
      <c r="T794">
        <f>IF(OR(Dashboard!$P$4="All",Dashboard!$R$4="All"),NA(),IF(OR(Data!K1345&lt;&gt;Dashboard!$P$4,Data!K1345&lt;&gt;Dashboard!$R$4),Data!G1345,NA()))</f>
        <v>33000</v>
      </c>
      <c r="V794" s="9"/>
    </row>
    <row r="795" spans="2:22">
      <c r="B795" t="e">
        <f>IF(Dashboard!$P$4="All",Data!G1346,IF(Data!K1346=Dashboard!$P$4,Data!G1346,NA()))</f>
        <v>#N/A</v>
      </c>
      <c r="C795" t="str">
        <f t="shared" si="121"/>
        <v/>
      </c>
      <c r="D795" t="str">
        <f t="shared" si="122"/>
        <v/>
      </c>
      <c r="E795" t="str">
        <f t="shared" si="123"/>
        <v/>
      </c>
      <c r="F795" t="str">
        <f>IF(C795&lt;&gt;"",Data!$M1346,"")</f>
        <v/>
      </c>
      <c r="K795" t="e">
        <f>IF(Dashboard!$R$4="All",Data!G1346,IF(Data!K1346=Dashboard!$R$4,Data!G1346,NA()))</f>
        <v>#N/A</v>
      </c>
      <c r="L795" t="str">
        <f t="shared" si="124"/>
        <v/>
      </c>
      <c r="M795" t="str">
        <f t="shared" si="125"/>
        <v/>
      </c>
      <c r="N795" t="str">
        <f t="shared" si="126"/>
        <v/>
      </c>
      <c r="O795" t="str">
        <f>IF(L795&lt;&gt;"",Data!$M1346,"")</f>
        <v/>
      </c>
      <c r="T795">
        <f>IF(OR(Dashboard!$P$4="All",Dashboard!$R$4="All"),NA(),IF(OR(Data!K1346&lt;&gt;Dashboard!$P$4,Data!K1346&lt;&gt;Dashboard!$R$4),Data!G1346,NA()))</f>
        <v>100000</v>
      </c>
      <c r="V795" s="9"/>
    </row>
    <row r="796" spans="2:22">
      <c r="B796" t="e">
        <f>IF(Dashboard!$P$4="All",Data!G1347,IF(Data!K1347=Dashboard!$P$4,Data!G1347,NA()))</f>
        <v>#N/A</v>
      </c>
      <c r="C796" t="str">
        <f t="shared" si="121"/>
        <v/>
      </c>
      <c r="D796" t="str">
        <f t="shared" si="122"/>
        <v/>
      </c>
      <c r="E796" t="str">
        <f t="shared" si="123"/>
        <v/>
      </c>
      <c r="F796" t="str">
        <f>IF(C796&lt;&gt;"",Data!$M1347,"")</f>
        <v/>
      </c>
      <c r="K796" t="e">
        <f>IF(Dashboard!$R$4="All",Data!G1347,IF(Data!K1347=Dashboard!$R$4,Data!G1347,NA()))</f>
        <v>#N/A</v>
      </c>
      <c r="L796" t="str">
        <f t="shared" si="124"/>
        <v/>
      </c>
      <c r="M796" t="str">
        <f t="shared" si="125"/>
        <v/>
      </c>
      <c r="N796" t="str">
        <f t="shared" si="126"/>
        <v/>
      </c>
      <c r="O796" t="str">
        <f>IF(L796&lt;&gt;"",Data!$M1347,"")</f>
        <v/>
      </c>
      <c r="T796">
        <f>IF(OR(Dashboard!$P$4="All",Dashboard!$R$4="All"),NA(),IF(OR(Data!K1347&lt;&gt;Dashboard!$P$4,Data!K1347&lt;&gt;Dashboard!$R$4),Data!G1347,NA()))</f>
        <v>60000</v>
      </c>
      <c r="V796" s="9"/>
    </row>
    <row r="797" spans="2:22">
      <c r="B797" t="e">
        <f>IF(Dashboard!$P$4="All",Data!G1348,IF(Data!K1348=Dashboard!$P$4,Data!G1348,NA()))</f>
        <v>#N/A</v>
      </c>
      <c r="C797" t="str">
        <f t="shared" si="121"/>
        <v/>
      </c>
      <c r="D797" t="str">
        <f t="shared" si="122"/>
        <v/>
      </c>
      <c r="E797" t="str">
        <f t="shared" si="123"/>
        <v/>
      </c>
      <c r="F797" t="str">
        <f>IF(C797&lt;&gt;"",Data!$M1348,"")</f>
        <v/>
      </c>
      <c r="K797" t="e">
        <f>IF(Dashboard!$R$4="All",Data!G1348,IF(Data!K1348=Dashboard!$R$4,Data!G1348,NA()))</f>
        <v>#N/A</v>
      </c>
      <c r="L797" t="str">
        <f t="shared" si="124"/>
        <v/>
      </c>
      <c r="M797" t="str">
        <f t="shared" si="125"/>
        <v/>
      </c>
      <c r="N797" t="str">
        <f t="shared" si="126"/>
        <v/>
      </c>
      <c r="O797" t="str">
        <f>IF(L797&lt;&gt;"",Data!$M1348,"")</f>
        <v/>
      </c>
      <c r="T797">
        <f>IF(OR(Dashboard!$P$4="All",Dashboard!$R$4="All"),NA(),IF(OR(Data!K1348&lt;&gt;Dashboard!$P$4,Data!K1348&lt;&gt;Dashboard!$R$4),Data!G1348,NA()))</f>
        <v>95000</v>
      </c>
      <c r="V797" s="9"/>
    </row>
    <row r="798" spans="2:22">
      <c r="B798" t="e">
        <f>IF(Dashboard!$P$4="All",Data!G1349,IF(Data!K1349=Dashboard!$P$4,Data!G1349,NA()))</f>
        <v>#N/A</v>
      </c>
      <c r="C798" t="str">
        <f t="shared" si="121"/>
        <v/>
      </c>
      <c r="D798" t="str">
        <f t="shared" si="122"/>
        <v/>
      </c>
      <c r="E798" t="str">
        <f t="shared" si="123"/>
        <v/>
      </c>
      <c r="F798" t="str">
        <f>IF(C798&lt;&gt;"",Data!$M1349,"")</f>
        <v/>
      </c>
      <c r="K798" t="e">
        <f>IF(Dashboard!$R$4="All",Data!G1349,IF(Data!K1349=Dashboard!$R$4,Data!G1349,NA()))</f>
        <v>#N/A</v>
      </c>
      <c r="L798" t="str">
        <f t="shared" si="124"/>
        <v/>
      </c>
      <c r="M798" t="str">
        <f t="shared" si="125"/>
        <v/>
      </c>
      <c r="N798" t="str">
        <f t="shared" si="126"/>
        <v/>
      </c>
      <c r="O798" t="str">
        <f>IF(L798&lt;&gt;"",Data!$M1349,"")</f>
        <v/>
      </c>
      <c r="T798">
        <f>IF(OR(Dashboard!$P$4="All",Dashboard!$R$4="All"),NA(),IF(OR(Data!K1349&lt;&gt;Dashboard!$P$4,Data!K1349&lt;&gt;Dashboard!$R$4),Data!G1349,NA()))</f>
        <v>24000</v>
      </c>
      <c r="V798" s="9"/>
    </row>
    <row r="799" spans="2:22">
      <c r="B799" t="e">
        <f>IF(Dashboard!$P$4="All",Data!G1350,IF(Data!K1350=Dashboard!$P$4,Data!G1350,NA()))</f>
        <v>#N/A</v>
      </c>
      <c r="C799" t="str">
        <f t="shared" si="121"/>
        <v/>
      </c>
      <c r="D799" t="str">
        <f t="shared" si="122"/>
        <v/>
      </c>
      <c r="E799" t="str">
        <f t="shared" si="123"/>
        <v/>
      </c>
      <c r="F799" t="str">
        <f>IF(C799&lt;&gt;"",Data!$M1350,"")</f>
        <v/>
      </c>
      <c r="K799" t="e">
        <f>IF(Dashboard!$R$4="All",Data!G1350,IF(Data!K1350=Dashboard!$R$4,Data!G1350,NA()))</f>
        <v>#N/A</v>
      </c>
      <c r="L799" t="str">
        <f t="shared" si="124"/>
        <v/>
      </c>
      <c r="M799" t="str">
        <f t="shared" si="125"/>
        <v/>
      </c>
      <c r="N799" t="str">
        <f t="shared" si="126"/>
        <v/>
      </c>
      <c r="O799" t="str">
        <f>IF(L799&lt;&gt;"",Data!$M1350,"")</f>
        <v/>
      </c>
      <c r="T799">
        <f>IF(OR(Dashboard!$P$4="All",Dashboard!$R$4="All"),NA(),IF(OR(Data!K1350&lt;&gt;Dashboard!$P$4,Data!K1350&lt;&gt;Dashboard!$R$4),Data!G1350,NA()))</f>
        <v>50000</v>
      </c>
      <c r="V799" s="9"/>
    </row>
    <row r="800" spans="2:22">
      <c r="B800" t="e">
        <f>IF(Dashboard!$P$4="All",Data!G1351,IF(Data!K1351=Dashboard!$P$4,Data!G1351,NA()))</f>
        <v>#N/A</v>
      </c>
      <c r="C800" t="str">
        <f t="shared" si="121"/>
        <v/>
      </c>
      <c r="D800" t="str">
        <f t="shared" si="122"/>
        <v/>
      </c>
      <c r="E800" t="str">
        <f t="shared" si="123"/>
        <v/>
      </c>
      <c r="F800" t="str">
        <f>IF(C800&lt;&gt;"",Data!$M1351,"")</f>
        <v/>
      </c>
      <c r="K800" t="e">
        <f>IF(Dashboard!$R$4="All",Data!G1351,IF(Data!K1351=Dashboard!$R$4,Data!G1351,NA()))</f>
        <v>#N/A</v>
      </c>
      <c r="L800" t="str">
        <f t="shared" si="124"/>
        <v/>
      </c>
      <c r="M800" t="str">
        <f t="shared" si="125"/>
        <v/>
      </c>
      <c r="N800" t="str">
        <f t="shared" si="126"/>
        <v/>
      </c>
      <c r="O800" t="str">
        <f>IF(L800&lt;&gt;"",Data!$M1351,"")</f>
        <v/>
      </c>
      <c r="T800">
        <f>IF(OR(Dashboard!$P$4="All",Dashboard!$R$4="All"),NA(),IF(OR(Data!K1351&lt;&gt;Dashboard!$P$4,Data!K1351&lt;&gt;Dashboard!$R$4),Data!G1351,NA()))</f>
        <v>103000</v>
      </c>
      <c r="V800" s="9"/>
    </row>
    <row r="801" spans="2:22">
      <c r="B801" t="e">
        <f>IF(Dashboard!$P$4="All",Data!G1352,IF(Data!K1352=Dashboard!$P$4,Data!G1352,NA()))</f>
        <v>#N/A</v>
      </c>
      <c r="C801" t="str">
        <f t="shared" si="121"/>
        <v/>
      </c>
      <c r="D801" t="str">
        <f t="shared" si="122"/>
        <v/>
      </c>
      <c r="E801" t="str">
        <f t="shared" si="123"/>
        <v/>
      </c>
      <c r="F801" t="str">
        <f>IF(C801&lt;&gt;"",Data!$M1352,"")</f>
        <v/>
      </c>
      <c r="K801" t="e">
        <f>IF(Dashboard!$R$4="All",Data!G1352,IF(Data!K1352=Dashboard!$R$4,Data!G1352,NA()))</f>
        <v>#N/A</v>
      </c>
      <c r="L801" t="str">
        <f t="shared" si="124"/>
        <v/>
      </c>
      <c r="M801" t="str">
        <f t="shared" si="125"/>
        <v/>
      </c>
      <c r="N801" t="str">
        <f t="shared" si="126"/>
        <v/>
      </c>
      <c r="O801" t="str">
        <f>IF(L801&lt;&gt;"",Data!$M1352,"")</f>
        <v/>
      </c>
      <c r="T801">
        <f>IF(OR(Dashboard!$P$4="All",Dashboard!$R$4="All"),NA(),IF(OR(Data!K1352&lt;&gt;Dashboard!$P$4,Data!K1352&lt;&gt;Dashboard!$R$4),Data!G1352,NA()))</f>
        <v>36000</v>
      </c>
      <c r="V801" s="9"/>
    </row>
    <row r="802" spans="2:22">
      <c r="B802" t="e">
        <f>IF(Dashboard!$P$4="All",Data!G1353,IF(Data!K1353=Dashboard!$P$4,Data!G1353,NA()))</f>
        <v>#N/A</v>
      </c>
      <c r="C802" t="str">
        <f t="shared" si="121"/>
        <v/>
      </c>
      <c r="D802" t="str">
        <f t="shared" si="122"/>
        <v/>
      </c>
      <c r="E802" t="str">
        <f t="shared" si="123"/>
        <v/>
      </c>
      <c r="F802" t="str">
        <f>IF(C802&lt;&gt;"",Data!$M1353,"")</f>
        <v/>
      </c>
      <c r="K802" t="e">
        <f>IF(Dashboard!$R$4="All",Data!G1353,IF(Data!K1353=Dashboard!$R$4,Data!G1353,NA()))</f>
        <v>#N/A</v>
      </c>
      <c r="L802" t="str">
        <f t="shared" si="124"/>
        <v/>
      </c>
      <c r="M802" t="str">
        <f t="shared" si="125"/>
        <v/>
      </c>
      <c r="N802" t="str">
        <f t="shared" si="126"/>
        <v/>
      </c>
      <c r="O802" t="str">
        <f>IF(L802&lt;&gt;"",Data!$M1353,"")</f>
        <v/>
      </c>
      <c r="T802">
        <f>IF(OR(Dashboard!$P$4="All",Dashboard!$R$4="All"),NA(),IF(OR(Data!K1353&lt;&gt;Dashboard!$P$4,Data!K1353&lt;&gt;Dashboard!$R$4),Data!G1353,NA()))</f>
        <v>85000</v>
      </c>
      <c r="V802" s="9"/>
    </row>
    <row r="803" spans="2:22">
      <c r="B803" t="e">
        <f>IF(Dashboard!$P$4="All",Data!G1354,IF(Data!K1354=Dashboard!$P$4,Data!G1354,NA()))</f>
        <v>#N/A</v>
      </c>
      <c r="C803" t="str">
        <f t="shared" si="121"/>
        <v/>
      </c>
      <c r="D803" t="str">
        <f t="shared" si="122"/>
        <v/>
      </c>
      <c r="E803" t="str">
        <f t="shared" si="123"/>
        <v/>
      </c>
      <c r="F803" t="str">
        <f>IF(C803&lt;&gt;"",Data!$M1354,"")</f>
        <v/>
      </c>
      <c r="K803" t="e">
        <f>IF(Dashboard!$R$4="All",Data!G1354,IF(Data!K1354=Dashboard!$R$4,Data!G1354,NA()))</f>
        <v>#N/A</v>
      </c>
      <c r="L803" t="str">
        <f t="shared" si="124"/>
        <v/>
      </c>
      <c r="M803" t="str">
        <f t="shared" si="125"/>
        <v/>
      </c>
      <c r="N803" t="str">
        <f t="shared" si="126"/>
        <v/>
      </c>
      <c r="O803" t="str">
        <f>IF(L803&lt;&gt;"",Data!$M1354,"")</f>
        <v/>
      </c>
      <c r="T803">
        <f>IF(OR(Dashboard!$P$4="All",Dashboard!$R$4="All"),NA(),IF(OR(Data!K1354&lt;&gt;Dashboard!$P$4,Data!K1354&lt;&gt;Dashboard!$R$4),Data!G1354,NA()))</f>
        <v>100000</v>
      </c>
      <c r="V803" s="9"/>
    </row>
    <row r="804" spans="2:22">
      <c r="B804" t="e">
        <f>IF(Dashboard!$P$4="All",Data!G1355,IF(Data!K1355=Dashboard!$P$4,Data!G1355,NA()))</f>
        <v>#N/A</v>
      </c>
      <c r="C804" t="str">
        <f t="shared" si="121"/>
        <v/>
      </c>
      <c r="D804" t="str">
        <f t="shared" si="122"/>
        <v/>
      </c>
      <c r="E804" t="str">
        <f t="shared" si="123"/>
        <v/>
      </c>
      <c r="F804" t="str">
        <f>IF(C804&lt;&gt;"",Data!$M1355,"")</f>
        <v/>
      </c>
      <c r="K804" t="e">
        <f>IF(Dashboard!$R$4="All",Data!G1355,IF(Data!K1355=Dashboard!$R$4,Data!G1355,NA()))</f>
        <v>#N/A</v>
      </c>
      <c r="L804" t="str">
        <f t="shared" si="124"/>
        <v/>
      </c>
      <c r="M804" t="str">
        <f t="shared" si="125"/>
        <v/>
      </c>
      <c r="N804" t="str">
        <f t="shared" si="126"/>
        <v/>
      </c>
      <c r="O804" t="str">
        <f>IF(L804&lt;&gt;"",Data!$M1355,"")</f>
        <v/>
      </c>
      <c r="T804">
        <f>IF(OR(Dashboard!$P$4="All",Dashboard!$R$4="All"),NA(),IF(OR(Data!K1355&lt;&gt;Dashboard!$P$4,Data!K1355&lt;&gt;Dashboard!$R$4),Data!G1355,NA()))</f>
        <v>83000</v>
      </c>
      <c r="V804" s="9"/>
    </row>
    <row r="805" spans="2:22">
      <c r="B805" t="e">
        <f>IF(Dashboard!$P$4="All",Data!G1356,IF(Data!K1356=Dashboard!$P$4,Data!G1356,NA()))</f>
        <v>#N/A</v>
      </c>
      <c r="C805" t="str">
        <f t="shared" si="121"/>
        <v/>
      </c>
      <c r="D805" t="str">
        <f t="shared" si="122"/>
        <v/>
      </c>
      <c r="E805" t="str">
        <f t="shared" si="123"/>
        <v/>
      </c>
      <c r="F805" t="str">
        <f>IF(C805&lt;&gt;"",Data!$M1356,"")</f>
        <v/>
      </c>
      <c r="K805" t="e">
        <f>IF(Dashboard!$R$4="All",Data!G1356,IF(Data!K1356=Dashboard!$R$4,Data!G1356,NA()))</f>
        <v>#N/A</v>
      </c>
      <c r="L805" t="str">
        <f t="shared" si="124"/>
        <v/>
      </c>
      <c r="M805" t="str">
        <f t="shared" si="125"/>
        <v/>
      </c>
      <c r="N805" t="str">
        <f t="shared" si="126"/>
        <v/>
      </c>
      <c r="O805" t="str">
        <f>IF(L805&lt;&gt;"",Data!$M1356,"")</f>
        <v/>
      </c>
      <c r="T805">
        <f>IF(OR(Dashboard!$P$4="All",Dashboard!$R$4="All"),NA(),IF(OR(Data!K1356&lt;&gt;Dashboard!$P$4,Data!K1356&lt;&gt;Dashboard!$R$4),Data!G1356,NA()))</f>
        <v>85000</v>
      </c>
      <c r="V805" s="9"/>
    </row>
    <row r="806" spans="2:22">
      <c r="B806" t="e">
        <f>IF(Dashboard!$P$4="All",Data!G1357,IF(Data!K1357=Dashboard!$P$4,Data!G1357,NA()))</f>
        <v>#N/A</v>
      </c>
      <c r="C806" t="str">
        <f t="shared" si="121"/>
        <v/>
      </c>
      <c r="D806" t="str">
        <f t="shared" si="122"/>
        <v/>
      </c>
      <c r="E806" t="str">
        <f t="shared" si="123"/>
        <v/>
      </c>
      <c r="F806" t="str">
        <f>IF(C806&lt;&gt;"",Data!$M1357,"")</f>
        <v/>
      </c>
      <c r="K806" t="e">
        <f>IF(Dashboard!$R$4="All",Data!G1357,IF(Data!K1357=Dashboard!$R$4,Data!G1357,NA()))</f>
        <v>#N/A</v>
      </c>
      <c r="L806" t="str">
        <f t="shared" si="124"/>
        <v/>
      </c>
      <c r="M806" t="str">
        <f t="shared" si="125"/>
        <v/>
      </c>
      <c r="N806" t="str">
        <f t="shared" si="126"/>
        <v/>
      </c>
      <c r="O806" t="str">
        <f>IF(L806&lt;&gt;"",Data!$M1357,"")</f>
        <v/>
      </c>
      <c r="T806">
        <f>IF(OR(Dashboard!$P$4="All",Dashboard!$R$4="All"),NA(),IF(OR(Data!K1357&lt;&gt;Dashboard!$P$4,Data!K1357&lt;&gt;Dashboard!$R$4),Data!G1357,NA()))</f>
        <v>120000</v>
      </c>
      <c r="V806" s="9"/>
    </row>
    <row r="807" spans="2:22">
      <c r="B807" t="e">
        <f>IF(Dashboard!$P$4="All",Data!G1358,IF(Data!K1358=Dashboard!$P$4,Data!G1358,NA()))</f>
        <v>#N/A</v>
      </c>
      <c r="C807" t="str">
        <f t="shared" si="121"/>
        <v/>
      </c>
      <c r="D807" t="str">
        <f t="shared" si="122"/>
        <v/>
      </c>
      <c r="E807" t="str">
        <f t="shared" si="123"/>
        <v/>
      </c>
      <c r="F807" t="str">
        <f>IF(C807&lt;&gt;"",Data!$M1358,"")</f>
        <v/>
      </c>
      <c r="K807" t="e">
        <f>IF(Dashboard!$R$4="All",Data!G1358,IF(Data!K1358=Dashboard!$R$4,Data!G1358,NA()))</f>
        <v>#N/A</v>
      </c>
      <c r="L807" t="str">
        <f t="shared" si="124"/>
        <v/>
      </c>
      <c r="M807" t="str">
        <f t="shared" si="125"/>
        <v/>
      </c>
      <c r="N807" t="str">
        <f t="shared" si="126"/>
        <v/>
      </c>
      <c r="O807" t="str">
        <f>IF(L807&lt;&gt;"",Data!$M1358,"")</f>
        <v/>
      </c>
      <c r="T807">
        <f>IF(OR(Dashboard!$P$4="All",Dashboard!$R$4="All"),NA(),IF(OR(Data!K1358&lt;&gt;Dashboard!$P$4,Data!K1358&lt;&gt;Dashboard!$R$4),Data!G1358,NA()))</f>
        <v>69960</v>
      </c>
      <c r="V807" s="9"/>
    </row>
    <row r="808" spans="2:22">
      <c r="B808" t="e">
        <f>IF(Dashboard!$P$4="All",Data!G1359,IF(Data!K1359=Dashboard!$P$4,Data!G1359,NA()))</f>
        <v>#N/A</v>
      </c>
      <c r="C808" t="str">
        <f t="shared" si="121"/>
        <v/>
      </c>
      <c r="D808" t="str">
        <f t="shared" si="122"/>
        <v/>
      </c>
      <c r="E808" t="str">
        <f t="shared" si="123"/>
        <v/>
      </c>
      <c r="F808" t="str">
        <f>IF(C808&lt;&gt;"",Data!$M1359,"")</f>
        <v/>
      </c>
      <c r="K808" t="e">
        <f>IF(Dashboard!$R$4="All",Data!G1359,IF(Data!K1359=Dashboard!$R$4,Data!G1359,NA()))</f>
        <v>#N/A</v>
      </c>
      <c r="L808" t="str">
        <f t="shared" si="124"/>
        <v/>
      </c>
      <c r="M808" t="str">
        <f t="shared" si="125"/>
        <v/>
      </c>
      <c r="N808" t="str">
        <f t="shared" si="126"/>
        <v/>
      </c>
      <c r="O808" t="str">
        <f>IF(L808&lt;&gt;"",Data!$M1359,"")</f>
        <v/>
      </c>
      <c r="T808">
        <f>IF(OR(Dashboard!$P$4="All",Dashboard!$R$4="All"),NA(),IF(OR(Data!K1359&lt;&gt;Dashboard!$P$4,Data!K1359&lt;&gt;Dashboard!$R$4),Data!G1359,NA()))</f>
        <v>97000</v>
      </c>
      <c r="V808" s="9"/>
    </row>
    <row r="809" spans="2:22">
      <c r="B809" t="e">
        <f>IF(Dashboard!$P$4="All",Data!G1360,IF(Data!K1360=Dashboard!$P$4,Data!G1360,NA()))</f>
        <v>#N/A</v>
      </c>
      <c r="C809" t="str">
        <f t="shared" si="121"/>
        <v/>
      </c>
      <c r="D809" t="str">
        <f t="shared" si="122"/>
        <v/>
      </c>
      <c r="E809" t="str">
        <f t="shared" si="123"/>
        <v/>
      </c>
      <c r="F809" t="str">
        <f>IF(C809&lt;&gt;"",Data!$M1360,"")</f>
        <v/>
      </c>
      <c r="K809">
        <f>IF(Dashboard!$R$4="All",Data!G1360,IF(Data!K1360=Dashboard!$R$4,Data!G1360,NA()))</f>
        <v>94570.696324037053</v>
      </c>
      <c r="L809">
        <f t="shared" si="124"/>
        <v>94570.696324037053</v>
      </c>
      <c r="M809" t="str">
        <f t="shared" si="125"/>
        <v/>
      </c>
      <c r="N809" t="str">
        <f t="shared" si="126"/>
        <v/>
      </c>
      <c r="O809">
        <f>IF(L809&lt;&gt;"",Data!$M1360,"")</f>
        <v>7</v>
      </c>
      <c r="T809">
        <f>IF(OR(Dashboard!$P$4="All",Dashboard!$R$4="All"),NA(),IF(OR(Data!K1360&lt;&gt;Dashboard!$P$4,Data!K1360&lt;&gt;Dashboard!$R$4),Data!G1360,NA()))</f>
        <v>94570.696324037053</v>
      </c>
      <c r="V809" s="9"/>
    </row>
    <row r="810" spans="2:22">
      <c r="B810" t="e">
        <f>IF(Dashboard!$P$4="All",Data!G1361,IF(Data!K1361=Dashboard!$P$4,Data!G1361,NA()))</f>
        <v>#N/A</v>
      </c>
      <c r="C810" t="str">
        <f t="shared" si="121"/>
        <v/>
      </c>
      <c r="D810" t="str">
        <f t="shared" si="122"/>
        <v/>
      </c>
      <c r="E810" t="str">
        <f t="shared" si="123"/>
        <v/>
      </c>
      <c r="F810" t="str">
        <f>IF(C810&lt;&gt;"",Data!$M1361,"")</f>
        <v/>
      </c>
      <c r="K810" t="e">
        <f>IF(Dashboard!$R$4="All",Data!G1361,IF(Data!K1361=Dashboard!$R$4,Data!G1361,NA()))</f>
        <v>#N/A</v>
      </c>
      <c r="L810" t="str">
        <f t="shared" si="124"/>
        <v/>
      </c>
      <c r="M810" t="str">
        <f t="shared" si="125"/>
        <v/>
      </c>
      <c r="N810" t="str">
        <f t="shared" si="126"/>
        <v/>
      </c>
      <c r="O810" t="str">
        <f>IF(L810&lt;&gt;"",Data!$M1361,"")</f>
        <v/>
      </c>
      <c r="T810">
        <f>IF(OR(Dashboard!$P$4="All",Dashboard!$R$4="All"),NA(),IF(OR(Data!K1361&lt;&gt;Dashboard!$P$4,Data!K1361&lt;&gt;Dashboard!$R$4),Data!G1361,NA()))</f>
        <v>39000</v>
      </c>
      <c r="V810" s="9"/>
    </row>
    <row r="811" spans="2:22">
      <c r="B811" t="e">
        <f>IF(Dashboard!$P$4="All",Data!G1362,IF(Data!K1362=Dashboard!$P$4,Data!G1362,NA()))</f>
        <v>#N/A</v>
      </c>
      <c r="C811" t="str">
        <f t="shared" si="121"/>
        <v/>
      </c>
      <c r="D811" t="str">
        <f t="shared" si="122"/>
        <v/>
      </c>
      <c r="E811" t="str">
        <f t="shared" si="123"/>
        <v/>
      </c>
      <c r="F811" t="str">
        <f>IF(C811&lt;&gt;"",Data!$M1362,"")</f>
        <v/>
      </c>
      <c r="K811" t="e">
        <f>IF(Dashboard!$R$4="All",Data!G1362,IF(Data!K1362=Dashboard!$R$4,Data!G1362,NA()))</f>
        <v>#N/A</v>
      </c>
      <c r="L811" t="str">
        <f t="shared" si="124"/>
        <v/>
      </c>
      <c r="M811" t="str">
        <f t="shared" si="125"/>
        <v/>
      </c>
      <c r="N811" t="str">
        <f t="shared" si="126"/>
        <v/>
      </c>
      <c r="O811" t="str">
        <f>IF(L811&lt;&gt;"",Data!$M1362,"")</f>
        <v/>
      </c>
      <c r="T811">
        <f>IF(OR(Dashboard!$P$4="All",Dashboard!$R$4="All"),NA(),IF(OR(Data!K1362&lt;&gt;Dashboard!$P$4,Data!K1362&lt;&gt;Dashboard!$R$4),Data!G1362,NA()))</f>
        <v>4451.9791718606421</v>
      </c>
      <c r="V811" s="9"/>
    </row>
    <row r="812" spans="2:22">
      <c r="B812" t="e">
        <f>IF(Dashboard!$P$4="All",Data!G1363,IF(Data!K1363=Dashboard!$P$4,Data!G1363,NA()))</f>
        <v>#N/A</v>
      </c>
      <c r="C812" t="str">
        <f t="shared" si="121"/>
        <v/>
      </c>
      <c r="D812" t="str">
        <f t="shared" si="122"/>
        <v/>
      </c>
      <c r="E812" t="str">
        <f t="shared" si="123"/>
        <v/>
      </c>
      <c r="F812" t="str">
        <f>IF(C812&lt;&gt;"",Data!$M1363,"")</f>
        <v/>
      </c>
      <c r="K812" t="e">
        <f>IF(Dashboard!$R$4="All",Data!G1363,IF(Data!K1363=Dashboard!$R$4,Data!G1363,NA()))</f>
        <v>#N/A</v>
      </c>
      <c r="L812" t="str">
        <f t="shared" si="124"/>
        <v/>
      </c>
      <c r="M812" t="str">
        <f t="shared" si="125"/>
        <v/>
      </c>
      <c r="N812" t="str">
        <f t="shared" si="126"/>
        <v/>
      </c>
      <c r="O812" t="str">
        <f>IF(L812&lt;&gt;"",Data!$M1363,"")</f>
        <v/>
      </c>
      <c r="T812">
        <f>IF(OR(Dashboard!$P$4="All",Dashboard!$R$4="All"),NA(),IF(OR(Data!K1363&lt;&gt;Dashboard!$P$4,Data!K1363&lt;&gt;Dashboard!$R$4),Data!G1363,NA()))</f>
        <v>62000</v>
      </c>
      <c r="V812" s="9"/>
    </row>
    <row r="813" spans="2:22">
      <c r="B813" t="e">
        <f>IF(Dashboard!$P$4="All",Data!G1364,IF(Data!K1364=Dashboard!$P$4,Data!G1364,NA()))</f>
        <v>#N/A</v>
      </c>
      <c r="C813" t="str">
        <f t="shared" si="121"/>
        <v/>
      </c>
      <c r="D813" t="str">
        <f t="shared" si="122"/>
        <v/>
      </c>
      <c r="E813" t="str">
        <f t="shared" si="123"/>
        <v/>
      </c>
      <c r="F813" t="str">
        <f>IF(C813&lt;&gt;"",Data!$M1364,"")</f>
        <v/>
      </c>
      <c r="K813" t="e">
        <f>IF(Dashboard!$R$4="All",Data!G1364,IF(Data!K1364=Dashboard!$R$4,Data!G1364,NA()))</f>
        <v>#N/A</v>
      </c>
      <c r="L813" t="str">
        <f t="shared" si="124"/>
        <v/>
      </c>
      <c r="M813" t="str">
        <f t="shared" si="125"/>
        <v/>
      </c>
      <c r="N813" t="str">
        <f t="shared" si="126"/>
        <v/>
      </c>
      <c r="O813" t="str">
        <f>IF(L813&lt;&gt;"",Data!$M1364,"")</f>
        <v/>
      </c>
      <c r="T813">
        <f>IF(OR(Dashboard!$P$4="All",Dashboard!$R$4="All"),NA(),IF(OR(Data!K1364&lt;&gt;Dashboard!$P$4,Data!K1364&lt;&gt;Dashboard!$R$4),Data!G1364,NA()))</f>
        <v>44000</v>
      </c>
      <c r="V813" s="9"/>
    </row>
    <row r="814" spans="2:22">
      <c r="B814" t="e">
        <f>IF(Dashboard!$P$4="All",Data!G1365,IF(Data!K1365=Dashboard!$P$4,Data!G1365,NA()))</f>
        <v>#N/A</v>
      </c>
      <c r="C814" t="str">
        <f t="shared" si="121"/>
        <v/>
      </c>
      <c r="D814" t="str">
        <f t="shared" si="122"/>
        <v/>
      </c>
      <c r="E814" t="str">
        <f t="shared" si="123"/>
        <v/>
      </c>
      <c r="F814" t="str">
        <f>IF(C814&lt;&gt;"",Data!$M1365,"")</f>
        <v/>
      </c>
      <c r="K814" t="e">
        <f>IF(Dashboard!$R$4="All",Data!G1365,IF(Data!K1365=Dashboard!$R$4,Data!G1365,NA()))</f>
        <v>#N/A</v>
      </c>
      <c r="L814" t="str">
        <f t="shared" si="124"/>
        <v/>
      </c>
      <c r="M814" t="str">
        <f t="shared" si="125"/>
        <v/>
      </c>
      <c r="N814" t="str">
        <f t="shared" si="126"/>
        <v/>
      </c>
      <c r="O814" t="str">
        <f>IF(L814&lt;&gt;"",Data!$M1365,"")</f>
        <v/>
      </c>
      <c r="T814">
        <f>IF(OR(Dashboard!$P$4="All",Dashboard!$R$4="All"),NA(),IF(OR(Data!K1365&lt;&gt;Dashboard!$P$4,Data!K1365&lt;&gt;Dashboard!$R$4),Data!G1365,NA()))</f>
        <v>150000</v>
      </c>
      <c r="V814" s="9"/>
    </row>
    <row r="815" spans="2:22">
      <c r="B815" t="e">
        <f>IF(Dashboard!$P$4="All",Data!G1366,IF(Data!K1366=Dashboard!$P$4,Data!G1366,NA()))</f>
        <v>#N/A</v>
      </c>
      <c r="C815" t="str">
        <f t="shared" si="121"/>
        <v/>
      </c>
      <c r="D815" t="str">
        <f t="shared" si="122"/>
        <v/>
      </c>
      <c r="E815" t="str">
        <f t="shared" si="123"/>
        <v/>
      </c>
      <c r="F815" t="str">
        <f>IF(C815&lt;&gt;"",Data!$M1366,"")</f>
        <v/>
      </c>
      <c r="K815" t="e">
        <f>IF(Dashboard!$R$4="All",Data!G1366,IF(Data!K1366=Dashboard!$R$4,Data!G1366,NA()))</f>
        <v>#N/A</v>
      </c>
      <c r="L815" t="str">
        <f t="shared" si="124"/>
        <v/>
      </c>
      <c r="M815" t="str">
        <f t="shared" si="125"/>
        <v/>
      </c>
      <c r="N815" t="str">
        <f t="shared" si="126"/>
        <v/>
      </c>
      <c r="O815" t="str">
        <f>IF(L815&lt;&gt;"",Data!$M1366,"")</f>
        <v/>
      </c>
      <c r="T815">
        <f>IF(OR(Dashboard!$P$4="All",Dashboard!$R$4="All"),NA(),IF(OR(Data!K1366&lt;&gt;Dashboard!$P$4,Data!K1366&lt;&gt;Dashboard!$R$4),Data!G1366,NA()))</f>
        <v>228671.89901848941</v>
      </c>
      <c r="V815" s="9"/>
    </row>
    <row r="816" spans="2:22">
      <c r="B816" t="e">
        <f>IF(Dashboard!$P$4="All",Data!G1367,IF(Data!K1367=Dashboard!$P$4,Data!G1367,NA()))</f>
        <v>#N/A</v>
      </c>
      <c r="C816" t="str">
        <f t="shared" si="121"/>
        <v/>
      </c>
      <c r="D816" t="str">
        <f t="shared" si="122"/>
        <v/>
      </c>
      <c r="E816" t="str">
        <f t="shared" si="123"/>
        <v/>
      </c>
      <c r="F816" t="str">
        <f>IF(C816&lt;&gt;"",Data!$M1367,"")</f>
        <v/>
      </c>
      <c r="K816" t="e">
        <f>IF(Dashboard!$R$4="All",Data!G1367,IF(Data!K1367=Dashboard!$R$4,Data!G1367,NA()))</f>
        <v>#N/A</v>
      </c>
      <c r="L816" t="str">
        <f t="shared" si="124"/>
        <v/>
      </c>
      <c r="M816" t="str">
        <f t="shared" si="125"/>
        <v/>
      </c>
      <c r="N816" t="str">
        <f t="shared" si="126"/>
        <v/>
      </c>
      <c r="O816" t="str">
        <f>IF(L816&lt;&gt;"",Data!$M1367,"")</f>
        <v/>
      </c>
      <c r="T816">
        <f>IF(OR(Dashboard!$P$4="All",Dashboard!$R$4="All"),NA(),IF(OR(Data!K1367&lt;&gt;Dashboard!$P$4,Data!K1367&lt;&gt;Dashboard!$R$4),Data!G1367,NA()))</f>
        <v>73500</v>
      </c>
      <c r="V816" s="9"/>
    </row>
    <row r="817" spans="2:22">
      <c r="B817" t="e">
        <f>IF(Dashboard!$P$4="All",Data!G1368,IF(Data!K1368=Dashboard!$P$4,Data!G1368,NA()))</f>
        <v>#N/A</v>
      </c>
      <c r="C817" t="str">
        <f t="shared" si="121"/>
        <v/>
      </c>
      <c r="D817" t="str">
        <f t="shared" si="122"/>
        <v/>
      </c>
      <c r="E817" t="str">
        <f t="shared" si="123"/>
        <v/>
      </c>
      <c r="F817" t="str">
        <f>IF(C817&lt;&gt;"",Data!$M1368,"")</f>
        <v/>
      </c>
      <c r="K817" t="e">
        <f>IF(Dashboard!$R$4="All",Data!G1368,IF(Data!K1368=Dashboard!$R$4,Data!G1368,NA()))</f>
        <v>#N/A</v>
      </c>
      <c r="L817" t="str">
        <f t="shared" si="124"/>
        <v/>
      </c>
      <c r="M817" t="str">
        <f t="shared" si="125"/>
        <v/>
      </c>
      <c r="N817" t="str">
        <f t="shared" si="126"/>
        <v/>
      </c>
      <c r="O817" t="str">
        <f>IF(L817&lt;&gt;"",Data!$M1368,"")</f>
        <v/>
      </c>
      <c r="T817">
        <f>IF(OR(Dashboard!$P$4="All",Dashboard!$R$4="All"),NA(),IF(OR(Data!K1368&lt;&gt;Dashboard!$P$4,Data!K1368&lt;&gt;Dashboard!$R$4),Data!G1368,NA()))</f>
        <v>77500</v>
      </c>
      <c r="V817" s="9"/>
    </row>
    <row r="818" spans="2:22">
      <c r="B818" t="e">
        <f>IF(Dashboard!$P$4="All",Data!G1369,IF(Data!K1369=Dashboard!$P$4,Data!G1369,NA()))</f>
        <v>#N/A</v>
      </c>
      <c r="C818" t="str">
        <f t="shared" si="121"/>
        <v/>
      </c>
      <c r="D818" t="str">
        <f t="shared" si="122"/>
        <v/>
      </c>
      <c r="E818" t="str">
        <f t="shared" si="123"/>
        <v/>
      </c>
      <c r="F818" t="str">
        <f>IF(C818&lt;&gt;"",Data!$M1369,"")</f>
        <v/>
      </c>
      <c r="K818" t="e">
        <f>IF(Dashboard!$R$4="All",Data!G1369,IF(Data!K1369=Dashboard!$R$4,Data!G1369,NA()))</f>
        <v>#N/A</v>
      </c>
      <c r="L818" t="str">
        <f t="shared" si="124"/>
        <v/>
      </c>
      <c r="M818" t="str">
        <f t="shared" si="125"/>
        <v/>
      </c>
      <c r="N818" t="str">
        <f t="shared" si="126"/>
        <v/>
      </c>
      <c r="O818" t="str">
        <f>IF(L818&lt;&gt;"",Data!$M1369,"")</f>
        <v/>
      </c>
      <c r="T818">
        <f>IF(OR(Dashboard!$P$4="All",Dashboard!$R$4="All"),NA(),IF(OR(Data!K1369&lt;&gt;Dashboard!$P$4,Data!K1369&lt;&gt;Dashboard!$R$4),Data!G1369,NA()))</f>
        <v>60800</v>
      </c>
      <c r="V818" s="9"/>
    </row>
    <row r="819" spans="2:22">
      <c r="B819" t="e">
        <f>IF(Dashboard!$P$4="All",Data!G1370,IF(Data!K1370=Dashboard!$P$4,Data!G1370,NA()))</f>
        <v>#N/A</v>
      </c>
      <c r="C819" t="str">
        <f t="shared" si="121"/>
        <v/>
      </c>
      <c r="D819" t="str">
        <f t="shared" si="122"/>
        <v/>
      </c>
      <c r="E819" t="str">
        <f t="shared" si="123"/>
        <v/>
      </c>
      <c r="F819" t="str">
        <f>IF(C819&lt;&gt;"",Data!$M1370,"")</f>
        <v/>
      </c>
      <c r="K819" t="e">
        <f>IF(Dashboard!$R$4="All",Data!G1370,IF(Data!K1370=Dashboard!$R$4,Data!G1370,NA()))</f>
        <v>#N/A</v>
      </c>
      <c r="L819" t="str">
        <f t="shared" si="124"/>
        <v/>
      </c>
      <c r="M819" t="str">
        <f t="shared" si="125"/>
        <v/>
      </c>
      <c r="N819" t="str">
        <f t="shared" si="126"/>
        <v/>
      </c>
      <c r="O819" t="str">
        <f>IF(L819&lt;&gt;"",Data!$M1370,"")</f>
        <v/>
      </c>
      <c r="T819">
        <f>IF(OR(Dashboard!$P$4="All",Dashboard!$R$4="All"),NA(),IF(OR(Data!K1370&lt;&gt;Dashboard!$P$4,Data!K1370&lt;&gt;Dashboard!$R$4),Data!G1370,NA()))</f>
        <v>136000</v>
      </c>
      <c r="V819" s="9"/>
    </row>
    <row r="820" spans="2:22">
      <c r="B820" t="e">
        <f>IF(Dashboard!$P$4="All",Data!G1371,IF(Data!K1371=Dashboard!$P$4,Data!G1371,NA()))</f>
        <v>#N/A</v>
      </c>
      <c r="C820" t="str">
        <f t="shared" si="121"/>
        <v/>
      </c>
      <c r="D820" t="str">
        <f t="shared" si="122"/>
        <v/>
      </c>
      <c r="E820" t="str">
        <f t="shared" si="123"/>
        <v/>
      </c>
      <c r="F820" t="str">
        <f>IF(C820&lt;&gt;"",Data!$M1371,"")</f>
        <v/>
      </c>
      <c r="K820" t="e">
        <f>IF(Dashboard!$R$4="All",Data!G1371,IF(Data!K1371=Dashboard!$R$4,Data!G1371,NA()))</f>
        <v>#N/A</v>
      </c>
      <c r="L820" t="str">
        <f t="shared" si="124"/>
        <v/>
      </c>
      <c r="M820" t="str">
        <f t="shared" si="125"/>
        <v/>
      </c>
      <c r="N820" t="str">
        <f t="shared" si="126"/>
        <v/>
      </c>
      <c r="O820" t="str">
        <f>IF(L820&lt;&gt;"",Data!$M1371,"")</f>
        <v/>
      </c>
      <c r="T820">
        <f>IF(OR(Dashboard!$P$4="All",Dashboard!$R$4="All"),NA(),IF(OR(Data!K1371&lt;&gt;Dashboard!$P$4,Data!K1371&lt;&gt;Dashboard!$R$4),Data!G1371,NA()))</f>
        <v>20000</v>
      </c>
      <c r="V820" s="9"/>
    </row>
    <row r="821" spans="2:22">
      <c r="B821" t="e">
        <f>IF(Dashboard!$P$4="All",Data!G1372,IF(Data!K1372=Dashboard!$P$4,Data!G1372,NA()))</f>
        <v>#N/A</v>
      </c>
      <c r="C821" t="str">
        <f t="shared" si="121"/>
        <v/>
      </c>
      <c r="D821" t="str">
        <f t="shared" si="122"/>
        <v/>
      </c>
      <c r="E821" t="str">
        <f t="shared" si="123"/>
        <v/>
      </c>
      <c r="F821" t="str">
        <f>IF(C821&lt;&gt;"",Data!$M1372,"")</f>
        <v/>
      </c>
      <c r="K821" t="e">
        <f>IF(Dashboard!$R$4="All",Data!G1372,IF(Data!K1372=Dashboard!$R$4,Data!G1372,NA()))</f>
        <v>#N/A</v>
      </c>
      <c r="L821" t="str">
        <f t="shared" si="124"/>
        <v/>
      </c>
      <c r="M821" t="str">
        <f t="shared" si="125"/>
        <v/>
      </c>
      <c r="N821" t="str">
        <f t="shared" si="126"/>
        <v/>
      </c>
      <c r="O821" t="str">
        <f>IF(L821&lt;&gt;"",Data!$M1372,"")</f>
        <v/>
      </c>
      <c r="T821">
        <f>IF(OR(Dashboard!$P$4="All",Dashboard!$R$4="All"),NA(),IF(OR(Data!K1372&lt;&gt;Dashboard!$P$4,Data!K1372&lt;&gt;Dashboard!$R$4),Data!G1372,NA()))</f>
        <v>95000</v>
      </c>
      <c r="V821" s="9"/>
    </row>
    <row r="822" spans="2:22">
      <c r="B822" t="e">
        <f>IF(Dashboard!$P$4="All",Data!G1373,IF(Data!K1373=Dashboard!$P$4,Data!G1373,NA()))</f>
        <v>#N/A</v>
      </c>
      <c r="C822" t="str">
        <f t="shared" si="121"/>
        <v/>
      </c>
      <c r="D822" t="str">
        <f t="shared" si="122"/>
        <v/>
      </c>
      <c r="E822" t="str">
        <f t="shared" si="123"/>
        <v/>
      </c>
      <c r="F822" t="str">
        <f>IF(C822&lt;&gt;"",Data!$M1373,"")</f>
        <v/>
      </c>
      <c r="K822" t="e">
        <f>IF(Dashboard!$R$4="All",Data!G1373,IF(Data!K1373=Dashboard!$R$4,Data!G1373,NA()))</f>
        <v>#N/A</v>
      </c>
      <c r="L822" t="str">
        <f t="shared" si="124"/>
        <v/>
      </c>
      <c r="M822" t="str">
        <f t="shared" si="125"/>
        <v/>
      </c>
      <c r="N822" t="str">
        <f t="shared" si="126"/>
        <v/>
      </c>
      <c r="O822" t="str">
        <f>IF(L822&lt;&gt;"",Data!$M1373,"")</f>
        <v/>
      </c>
      <c r="T822">
        <f>IF(OR(Dashboard!$P$4="All",Dashboard!$R$4="All"),NA(),IF(OR(Data!K1373&lt;&gt;Dashboard!$P$4,Data!K1373&lt;&gt;Dashboard!$R$4),Data!G1373,NA()))</f>
        <v>130000</v>
      </c>
      <c r="V822" s="9"/>
    </row>
    <row r="823" spans="2:22">
      <c r="B823" t="e">
        <f>IF(Dashboard!$P$4="All",Data!G1374,IF(Data!K1374=Dashboard!$P$4,Data!G1374,NA()))</f>
        <v>#N/A</v>
      </c>
      <c r="C823" t="str">
        <f t="shared" si="121"/>
        <v/>
      </c>
      <c r="D823" t="str">
        <f t="shared" si="122"/>
        <v/>
      </c>
      <c r="E823" t="str">
        <f t="shared" si="123"/>
        <v/>
      </c>
      <c r="F823" t="str">
        <f>IF(C823&lt;&gt;"",Data!$M1374,"")</f>
        <v/>
      </c>
      <c r="K823" t="e">
        <f>IF(Dashboard!$R$4="All",Data!G1374,IF(Data!K1374=Dashboard!$R$4,Data!G1374,NA()))</f>
        <v>#N/A</v>
      </c>
      <c r="L823" t="str">
        <f t="shared" si="124"/>
        <v/>
      </c>
      <c r="M823" t="str">
        <f t="shared" si="125"/>
        <v/>
      </c>
      <c r="N823" t="str">
        <f t="shared" si="126"/>
        <v/>
      </c>
      <c r="O823" t="str">
        <f>IF(L823&lt;&gt;"",Data!$M1374,"")</f>
        <v/>
      </c>
      <c r="T823">
        <f>IF(OR(Dashboard!$P$4="All",Dashboard!$R$4="All"),NA(),IF(OR(Data!K1374&lt;&gt;Dashboard!$P$4,Data!K1374&lt;&gt;Dashboard!$R$4),Data!G1374,NA()))</f>
        <v>65000</v>
      </c>
      <c r="V823" s="9"/>
    </row>
    <row r="824" spans="2:22">
      <c r="B824" t="e">
        <f>IF(Dashboard!$P$4="All",Data!G1375,IF(Data!K1375=Dashboard!$P$4,Data!G1375,NA()))</f>
        <v>#N/A</v>
      </c>
      <c r="C824" t="str">
        <f t="shared" si="121"/>
        <v/>
      </c>
      <c r="D824" t="str">
        <f t="shared" si="122"/>
        <v/>
      </c>
      <c r="E824" t="str">
        <f t="shared" si="123"/>
        <v/>
      </c>
      <c r="F824" t="str">
        <f>IF(C824&lt;&gt;"",Data!$M1375,"")</f>
        <v/>
      </c>
      <c r="K824" t="e">
        <f>IF(Dashboard!$R$4="All",Data!G1375,IF(Data!K1375=Dashboard!$R$4,Data!G1375,NA()))</f>
        <v>#N/A</v>
      </c>
      <c r="L824" t="str">
        <f t="shared" si="124"/>
        <v/>
      </c>
      <c r="M824" t="str">
        <f t="shared" si="125"/>
        <v/>
      </c>
      <c r="N824" t="str">
        <f t="shared" si="126"/>
        <v/>
      </c>
      <c r="O824" t="str">
        <f>IF(L824&lt;&gt;"",Data!$M1375,"")</f>
        <v/>
      </c>
      <c r="T824">
        <f>IF(OR(Dashboard!$P$4="All",Dashboard!$R$4="All"),NA(),IF(OR(Data!K1375&lt;&gt;Dashboard!$P$4,Data!K1375&lt;&gt;Dashboard!$R$4),Data!G1375,NA()))</f>
        <v>80000</v>
      </c>
      <c r="V824" s="9"/>
    </row>
    <row r="825" spans="2:22">
      <c r="B825" t="e">
        <f>IF(Dashboard!$P$4="All",Data!G1376,IF(Data!K1376=Dashboard!$P$4,Data!G1376,NA()))</f>
        <v>#N/A</v>
      </c>
      <c r="C825" t="str">
        <f t="shared" si="121"/>
        <v/>
      </c>
      <c r="D825" t="str">
        <f t="shared" si="122"/>
        <v/>
      </c>
      <c r="E825" t="str">
        <f t="shared" si="123"/>
        <v/>
      </c>
      <c r="F825" t="str">
        <f>IF(C825&lt;&gt;"",Data!$M1376,"")</f>
        <v/>
      </c>
      <c r="K825" t="e">
        <f>IF(Dashboard!$R$4="All",Data!G1376,IF(Data!K1376=Dashboard!$R$4,Data!G1376,NA()))</f>
        <v>#N/A</v>
      </c>
      <c r="L825" t="str">
        <f t="shared" si="124"/>
        <v/>
      </c>
      <c r="M825" t="str">
        <f t="shared" si="125"/>
        <v/>
      </c>
      <c r="N825" t="str">
        <f t="shared" si="126"/>
        <v/>
      </c>
      <c r="O825" t="str">
        <f>IF(L825&lt;&gt;"",Data!$M1376,"")</f>
        <v/>
      </c>
      <c r="T825">
        <f>IF(OR(Dashboard!$P$4="All",Dashboard!$R$4="All"),NA(),IF(OR(Data!K1376&lt;&gt;Dashboard!$P$4,Data!K1376&lt;&gt;Dashboard!$R$4),Data!G1376,NA()))</f>
        <v>37000</v>
      </c>
      <c r="V825" s="9"/>
    </row>
    <row r="826" spans="2:22">
      <c r="B826" t="e">
        <f>IF(Dashboard!$P$4="All",Data!G1377,IF(Data!K1377=Dashboard!$P$4,Data!G1377,NA()))</f>
        <v>#N/A</v>
      </c>
      <c r="C826" t="str">
        <f t="shared" si="121"/>
        <v/>
      </c>
      <c r="D826" t="str">
        <f t="shared" si="122"/>
        <v/>
      </c>
      <c r="E826" t="str">
        <f t="shared" si="123"/>
        <v/>
      </c>
      <c r="F826" t="str">
        <f>IF(C826&lt;&gt;"",Data!$M1377,"")</f>
        <v/>
      </c>
      <c r="K826" t="e">
        <f>IF(Dashboard!$R$4="All",Data!G1377,IF(Data!K1377=Dashboard!$R$4,Data!G1377,NA()))</f>
        <v>#N/A</v>
      </c>
      <c r="L826" t="str">
        <f t="shared" si="124"/>
        <v/>
      </c>
      <c r="M826" t="str">
        <f t="shared" si="125"/>
        <v/>
      </c>
      <c r="N826" t="str">
        <f t="shared" si="126"/>
        <v/>
      </c>
      <c r="O826" t="str">
        <f>IF(L826&lt;&gt;"",Data!$M1377,"")</f>
        <v/>
      </c>
      <c r="T826">
        <f>IF(OR(Dashboard!$P$4="All",Dashboard!$R$4="All"),NA(),IF(OR(Data!K1377&lt;&gt;Dashboard!$P$4,Data!K1377&lt;&gt;Dashboard!$R$4),Data!G1377,NA()))</f>
        <v>40000</v>
      </c>
      <c r="V826" s="9"/>
    </row>
    <row r="827" spans="2:22">
      <c r="B827" t="e">
        <f>IF(Dashboard!$P$4="All",Data!G1378,IF(Data!K1378=Dashboard!$P$4,Data!G1378,NA()))</f>
        <v>#N/A</v>
      </c>
      <c r="C827" t="str">
        <f t="shared" si="121"/>
        <v/>
      </c>
      <c r="D827" t="str">
        <f t="shared" si="122"/>
        <v/>
      </c>
      <c r="E827" t="str">
        <f t="shared" si="123"/>
        <v/>
      </c>
      <c r="F827" t="str">
        <f>IF(C827&lt;&gt;"",Data!$M1378,"")</f>
        <v/>
      </c>
      <c r="K827" t="e">
        <f>IF(Dashboard!$R$4="All",Data!G1378,IF(Data!K1378=Dashboard!$R$4,Data!G1378,NA()))</f>
        <v>#N/A</v>
      </c>
      <c r="L827" t="str">
        <f t="shared" si="124"/>
        <v/>
      </c>
      <c r="M827" t="str">
        <f t="shared" si="125"/>
        <v/>
      </c>
      <c r="N827" t="str">
        <f t="shared" si="126"/>
        <v/>
      </c>
      <c r="O827" t="str">
        <f>IF(L827&lt;&gt;"",Data!$M1378,"")</f>
        <v/>
      </c>
      <c r="T827">
        <f>IF(OR(Dashboard!$P$4="All",Dashboard!$R$4="All"),NA(),IF(OR(Data!K1378&lt;&gt;Dashboard!$P$4,Data!K1378&lt;&gt;Dashboard!$R$4),Data!G1378,NA()))</f>
        <v>49000</v>
      </c>
      <c r="V827" s="9"/>
    </row>
    <row r="828" spans="2:22">
      <c r="B828" t="e">
        <f>IF(Dashboard!$P$4="All",Data!G1379,IF(Data!K1379=Dashboard!$P$4,Data!G1379,NA()))</f>
        <v>#N/A</v>
      </c>
      <c r="C828" t="str">
        <f t="shared" si="121"/>
        <v/>
      </c>
      <c r="D828" t="str">
        <f t="shared" si="122"/>
        <v/>
      </c>
      <c r="E828" t="str">
        <f t="shared" si="123"/>
        <v/>
      </c>
      <c r="F828" t="str">
        <f>IF(C828&lt;&gt;"",Data!$M1379,"")</f>
        <v/>
      </c>
      <c r="K828" t="e">
        <f>IF(Dashboard!$R$4="All",Data!G1379,IF(Data!K1379=Dashboard!$R$4,Data!G1379,NA()))</f>
        <v>#N/A</v>
      </c>
      <c r="L828" t="str">
        <f t="shared" si="124"/>
        <v/>
      </c>
      <c r="M828" t="str">
        <f t="shared" si="125"/>
        <v/>
      </c>
      <c r="N828" t="str">
        <f t="shared" si="126"/>
        <v/>
      </c>
      <c r="O828" t="str">
        <f>IF(L828&lt;&gt;"",Data!$M1379,"")</f>
        <v/>
      </c>
      <c r="T828">
        <f>IF(OR(Dashboard!$P$4="All",Dashboard!$R$4="All"),NA(),IF(OR(Data!K1379&lt;&gt;Dashboard!$P$4,Data!K1379&lt;&gt;Dashboard!$R$4),Data!G1379,NA()))</f>
        <v>65000</v>
      </c>
      <c r="V828" s="9"/>
    </row>
    <row r="829" spans="2:22">
      <c r="B829" t="e">
        <f>IF(Dashboard!$P$4="All",Data!G1380,IF(Data!K1380=Dashboard!$P$4,Data!G1380,NA()))</f>
        <v>#N/A</v>
      </c>
      <c r="C829" t="str">
        <f t="shared" si="121"/>
        <v/>
      </c>
      <c r="D829" t="str">
        <f t="shared" si="122"/>
        <v/>
      </c>
      <c r="E829" t="str">
        <f t="shared" si="123"/>
        <v/>
      </c>
      <c r="F829" t="str">
        <f>IF(C829&lt;&gt;"",Data!$M1380,"")</f>
        <v/>
      </c>
      <c r="K829" t="e">
        <f>IF(Dashboard!$R$4="All",Data!G1380,IF(Data!K1380=Dashboard!$R$4,Data!G1380,NA()))</f>
        <v>#N/A</v>
      </c>
      <c r="L829" t="str">
        <f t="shared" si="124"/>
        <v/>
      </c>
      <c r="M829" t="str">
        <f t="shared" si="125"/>
        <v/>
      </c>
      <c r="N829" t="str">
        <f t="shared" si="126"/>
        <v/>
      </c>
      <c r="O829" t="str">
        <f>IF(L829&lt;&gt;"",Data!$M1380,"")</f>
        <v/>
      </c>
      <c r="T829">
        <f>IF(OR(Dashboard!$P$4="All",Dashboard!$R$4="All"),NA(),IF(OR(Data!K1380&lt;&gt;Dashboard!$P$4,Data!K1380&lt;&gt;Dashboard!$R$4),Data!G1380,NA()))</f>
        <v>55000</v>
      </c>
      <c r="V829" s="9"/>
    </row>
    <row r="830" spans="2:22">
      <c r="B830" t="e">
        <f>IF(Dashboard!$P$4="All",Data!G1381,IF(Data!K1381=Dashboard!$P$4,Data!G1381,NA()))</f>
        <v>#N/A</v>
      </c>
      <c r="C830" t="str">
        <f t="shared" si="121"/>
        <v/>
      </c>
      <c r="D830" t="str">
        <f t="shared" si="122"/>
        <v/>
      </c>
      <c r="E830" t="str">
        <f t="shared" si="123"/>
        <v/>
      </c>
      <c r="F830" t="str">
        <f>IF(C830&lt;&gt;"",Data!$M1381,"")</f>
        <v/>
      </c>
      <c r="K830" t="e">
        <f>IF(Dashboard!$R$4="All",Data!G1381,IF(Data!K1381=Dashboard!$R$4,Data!G1381,NA()))</f>
        <v>#N/A</v>
      </c>
      <c r="L830" t="str">
        <f t="shared" si="124"/>
        <v/>
      </c>
      <c r="M830" t="str">
        <f t="shared" si="125"/>
        <v/>
      </c>
      <c r="N830" t="str">
        <f t="shared" si="126"/>
        <v/>
      </c>
      <c r="O830" t="str">
        <f>IF(L830&lt;&gt;"",Data!$M1381,"")</f>
        <v/>
      </c>
      <c r="T830">
        <f>IF(OR(Dashboard!$P$4="All",Dashboard!$R$4="All"),NA(),IF(OR(Data!K1381&lt;&gt;Dashboard!$P$4,Data!K1381&lt;&gt;Dashboard!$R$4),Data!G1381,NA()))</f>
        <v>40000</v>
      </c>
      <c r="V830" s="9"/>
    </row>
    <row r="831" spans="2:22">
      <c r="B831" t="e">
        <f>IF(Dashboard!$P$4="All",Data!G1382,IF(Data!K1382=Dashboard!$P$4,Data!G1382,NA()))</f>
        <v>#N/A</v>
      </c>
      <c r="C831" t="str">
        <f t="shared" si="121"/>
        <v/>
      </c>
      <c r="D831" t="str">
        <f t="shared" si="122"/>
        <v/>
      </c>
      <c r="E831" t="str">
        <f t="shared" si="123"/>
        <v/>
      </c>
      <c r="F831" t="str">
        <f>IF(C831&lt;&gt;"",Data!$M1382,"")</f>
        <v/>
      </c>
      <c r="K831" t="e">
        <f>IF(Dashboard!$R$4="All",Data!G1382,IF(Data!K1382=Dashboard!$R$4,Data!G1382,NA()))</f>
        <v>#N/A</v>
      </c>
      <c r="L831" t="str">
        <f t="shared" si="124"/>
        <v/>
      </c>
      <c r="M831" t="str">
        <f t="shared" si="125"/>
        <v/>
      </c>
      <c r="N831" t="str">
        <f t="shared" si="126"/>
        <v/>
      </c>
      <c r="O831" t="str">
        <f>IF(L831&lt;&gt;"",Data!$M1382,"")</f>
        <v/>
      </c>
      <c r="T831">
        <f>IF(OR(Dashboard!$P$4="All",Dashboard!$R$4="All"),NA(),IF(OR(Data!K1382&lt;&gt;Dashboard!$P$4,Data!K1382&lt;&gt;Dashboard!$R$4),Data!G1382,NA()))</f>
        <v>60000</v>
      </c>
      <c r="V831" s="9"/>
    </row>
    <row r="832" spans="2:22">
      <c r="B832" t="e">
        <f>IF(Dashboard!$P$4="All",Data!G1383,IF(Data!K1383=Dashboard!$P$4,Data!G1383,NA()))</f>
        <v>#N/A</v>
      </c>
      <c r="C832" t="str">
        <f t="shared" si="121"/>
        <v/>
      </c>
      <c r="D832" t="str">
        <f t="shared" si="122"/>
        <v/>
      </c>
      <c r="E832" t="str">
        <f t="shared" si="123"/>
        <v/>
      </c>
      <c r="F832" t="str">
        <f>IF(C832&lt;&gt;"",Data!$M1383,"")</f>
        <v/>
      </c>
      <c r="K832" t="e">
        <f>IF(Dashboard!$R$4="All",Data!G1383,IF(Data!K1383=Dashboard!$R$4,Data!G1383,NA()))</f>
        <v>#N/A</v>
      </c>
      <c r="L832" t="str">
        <f t="shared" si="124"/>
        <v/>
      </c>
      <c r="M832" t="str">
        <f t="shared" si="125"/>
        <v/>
      </c>
      <c r="N832" t="str">
        <f t="shared" si="126"/>
        <v/>
      </c>
      <c r="O832" t="str">
        <f>IF(L832&lt;&gt;"",Data!$M1383,"")</f>
        <v/>
      </c>
      <c r="T832">
        <f>IF(OR(Dashboard!$P$4="All",Dashboard!$R$4="All"),NA(),IF(OR(Data!K1383&lt;&gt;Dashboard!$P$4,Data!K1383&lt;&gt;Dashboard!$R$4),Data!G1383,NA()))</f>
        <v>45734.379803697877</v>
      </c>
      <c r="V832" s="9"/>
    </row>
    <row r="833" spans="2:22">
      <c r="B833" t="e">
        <f>IF(Dashboard!$P$4="All",Data!G1384,IF(Data!K1384=Dashboard!$P$4,Data!G1384,NA()))</f>
        <v>#N/A</v>
      </c>
      <c r="C833" t="str">
        <f t="shared" si="121"/>
        <v/>
      </c>
      <c r="D833" t="str">
        <f t="shared" si="122"/>
        <v/>
      </c>
      <c r="E833" t="str">
        <f t="shared" si="123"/>
        <v/>
      </c>
      <c r="F833" t="str">
        <f>IF(C833&lt;&gt;"",Data!$M1384,"")</f>
        <v/>
      </c>
      <c r="K833" t="e">
        <f>IF(Dashboard!$R$4="All",Data!G1384,IF(Data!K1384=Dashboard!$R$4,Data!G1384,NA()))</f>
        <v>#N/A</v>
      </c>
      <c r="L833" t="str">
        <f t="shared" si="124"/>
        <v/>
      </c>
      <c r="M833" t="str">
        <f t="shared" si="125"/>
        <v/>
      </c>
      <c r="N833" t="str">
        <f t="shared" si="126"/>
        <v/>
      </c>
      <c r="O833" t="str">
        <f>IF(L833&lt;&gt;"",Data!$M1384,"")</f>
        <v/>
      </c>
      <c r="T833">
        <f>IF(OR(Dashboard!$P$4="All",Dashboard!$R$4="All"),NA(),IF(OR(Data!K1384&lt;&gt;Dashboard!$P$4,Data!K1384&lt;&gt;Dashboard!$R$4),Data!G1384,NA()))</f>
        <v>150000</v>
      </c>
      <c r="V833" s="9"/>
    </row>
    <row r="834" spans="2:22">
      <c r="B834" t="e">
        <f>IF(Dashboard!$P$4="All",Data!G1385,IF(Data!K1385=Dashboard!$P$4,Data!G1385,NA()))</f>
        <v>#N/A</v>
      </c>
      <c r="C834" t="str">
        <f t="shared" si="121"/>
        <v/>
      </c>
      <c r="D834" t="str">
        <f t="shared" si="122"/>
        <v/>
      </c>
      <c r="E834" t="str">
        <f t="shared" si="123"/>
        <v/>
      </c>
      <c r="F834" t="str">
        <f>IF(C834&lt;&gt;"",Data!$M1385,"")</f>
        <v/>
      </c>
      <c r="K834" t="e">
        <f>IF(Dashboard!$R$4="All",Data!G1385,IF(Data!K1385=Dashboard!$R$4,Data!G1385,NA()))</f>
        <v>#N/A</v>
      </c>
      <c r="L834" t="str">
        <f t="shared" si="124"/>
        <v/>
      </c>
      <c r="M834" t="str">
        <f t="shared" si="125"/>
        <v/>
      </c>
      <c r="N834" t="str">
        <f t="shared" si="126"/>
        <v/>
      </c>
      <c r="O834" t="str">
        <f>IF(L834&lt;&gt;"",Data!$M1385,"")</f>
        <v/>
      </c>
      <c r="T834">
        <f>IF(OR(Dashboard!$P$4="All",Dashboard!$R$4="All"),NA(),IF(OR(Data!K1385&lt;&gt;Dashboard!$P$4,Data!K1385&lt;&gt;Dashboard!$R$4),Data!G1385,NA()))</f>
        <v>88000</v>
      </c>
      <c r="V834" s="9"/>
    </row>
    <row r="835" spans="2:22">
      <c r="B835" t="e">
        <f>IF(Dashboard!$P$4="All",Data!G1386,IF(Data!K1386=Dashboard!$P$4,Data!G1386,NA()))</f>
        <v>#N/A</v>
      </c>
      <c r="C835" t="str">
        <f t="shared" si="121"/>
        <v/>
      </c>
      <c r="D835" t="str">
        <f t="shared" si="122"/>
        <v/>
      </c>
      <c r="E835" t="str">
        <f t="shared" si="123"/>
        <v/>
      </c>
      <c r="F835" t="str">
        <f>IF(C835&lt;&gt;"",Data!$M1386,"")</f>
        <v/>
      </c>
      <c r="K835" t="e">
        <f>IF(Dashboard!$R$4="All",Data!G1386,IF(Data!K1386=Dashboard!$R$4,Data!G1386,NA()))</f>
        <v>#N/A</v>
      </c>
      <c r="L835" t="str">
        <f t="shared" si="124"/>
        <v/>
      </c>
      <c r="M835" t="str">
        <f t="shared" si="125"/>
        <v/>
      </c>
      <c r="N835" t="str">
        <f t="shared" si="126"/>
        <v/>
      </c>
      <c r="O835" t="str">
        <f>IF(L835&lt;&gt;"",Data!$M1386,"")</f>
        <v/>
      </c>
      <c r="T835">
        <f>IF(OR(Dashboard!$P$4="All",Dashboard!$R$4="All"),NA(),IF(OR(Data!K1386&lt;&gt;Dashboard!$P$4,Data!K1386&lt;&gt;Dashboard!$R$4),Data!G1386,NA()))</f>
        <v>64500</v>
      </c>
      <c r="V835" s="9"/>
    </row>
    <row r="836" spans="2:22">
      <c r="B836" t="e">
        <f>IF(Dashboard!$P$4="All",Data!G1387,IF(Data!K1387=Dashboard!$P$4,Data!G1387,NA()))</f>
        <v>#N/A</v>
      </c>
      <c r="C836" t="str">
        <f t="shared" ref="C836:C899" si="127">IF(ISNA(B836),"",B836)</f>
        <v/>
      </c>
      <c r="D836" t="str">
        <f t="shared" ref="D836:D899" si="128">IF(C836&gt;=PERCENTILE($C$3:$C$1337,0.9),C836,"")</f>
        <v/>
      </c>
      <c r="E836" t="str">
        <f t="shared" ref="E836:E899" si="129">IF(C836&lt;=PERCENTILE($C$3:$C$1337,0.1),C836,"")</f>
        <v/>
      </c>
      <c r="F836" t="str">
        <f>IF(C836&lt;&gt;"",Data!$M1387,"")</f>
        <v/>
      </c>
      <c r="K836" t="e">
        <f>IF(Dashboard!$R$4="All",Data!G1387,IF(Data!K1387=Dashboard!$R$4,Data!G1387,NA()))</f>
        <v>#N/A</v>
      </c>
      <c r="L836" t="str">
        <f t="shared" ref="L836:L899" si="130">IF(ISNA(K836),"",K836)</f>
        <v/>
      </c>
      <c r="M836" t="str">
        <f t="shared" ref="M836:M899" si="131">IF(L836&gt;=PERCENTILE($L$3:$L$1337,0.9),L836,"")</f>
        <v/>
      </c>
      <c r="N836" t="str">
        <f t="shared" ref="N836:N899" si="132">IF(L836&lt;=PERCENTILE($L$3:$L$1337,0.1),L836,"")</f>
        <v/>
      </c>
      <c r="O836" t="str">
        <f>IF(L836&lt;&gt;"",Data!$M1387,"")</f>
        <v/>
      </c>
      <c r="T836">
        <f>IF(OR(Dashboard!$P$4="All",Dashboard!$R$4="All"),NA(),IF(OR(Data!K1387&lt;&gt;Dashboard!$P$4,Data!K1387&lt;&gt;Dashboard!$R$4),Data!G1387,NA()))</f>
        <v>57600</v>
      </c>
      <c r="V836" s="9"/>
    </row>
    <row r="837" spans="2:22">
      <c r="B837" t="e">
        <f>IF(Dashboard!$P$4="All",Data!G1388,IF(Data!K1388=Dashboard!$P$4,Data!G1388,NA()))</f>
        <v>#N/A</v>
      </c>
      <c r="C837" t="str">
        <f t="shared" si="127"/>
        <v/>
      </c>
      <c r="D837" t="str">
        <f t="shared" si="128"/>
        <v/>
      </c>
      <c r="E837" t="str">
        <f t="shared" si="129"/>
        <v/>
      </c>
      <c r="F837" t="str">
        <f>IF(C837&lt;&gt;"",Data!$M1388,"")</f>
        <v/>
      </c>
      <c r="K837" t="e">
        <f>IF(Dashboard!$R$4="All",Data!G1388,IF(Data!K1388=Dashboard!$R$4,Data!G1388,NA()))</f>
        <v>#N/A</v>
      </c>
      <c r="L837" t="str">
        <f t="shared" si="130"/>
        <v/>
      </c>
      <c r="M837" t="str">
        <f t="shared" si="131"/>
        <v/>
      </c>
      <c r="N837" t="str">
        <f t="shared" si="132"/>
        <v/>
      </c>
      <c r="O837" t="str">
        <f>IF(L837&lt;&gt;"",Data!$M1388,"")</f>
        <v/>
      </c>
      <c r="T837">
        <f>IF(OR(Dashboard!$P$4="All",Dashboard!$R$4="All"),NA(),IF(OR(Data!K1388&lt;&gt;Dashboard!$P$4,Data!K1388&lt;&gt;Dashboard!$R$4),Data!G1388,NA()))</f>
        <v>50000</v>
      </c>
      <c r="V837" s="9"/>
    </row>
    <row r="838" spans="2:22">
      <c r="B838" t="e">
        <f>IF(Dashboard!$P$4="All",Data!G1389,IF(Data!K1389=Dashboard!$P$4,Data!G1389,NA()))</f>
        <v>#N/A</v>
      </c>
      <c r="C838" t="str">
        <f t="shared" si="127"/>
        <v/>
      </c>
      <c r="D838" t="str">
        <f t="shared" si="128"/>
        <v/>
      </c>
      <c r="E838" t="str">
        <f t="shared" si="129"/>
        <v/>
      </c>
      <c r="F838" t="str">
        <f>IF(C838&lt;&gt;"",Data!$M1389,"")</f>
        <v/>
      </c>
      <c r="K838" t="e">
        <f>IF(Dashboard!$R$4="All",Data!G1389,IF(Data!K1389=Dashboard!$R$4,Data!G1389,NA()))</f>
        <v>#N/A</v>
      </c>
      <c r="L838" t="str">
        <f t="shared" si="130"/>
        <v/>
      </c>
      <c r="M838" t="str">
        <f t="shared" si="131"/>
        <v/>
      </c>
      <c r="N838" t="str">
        <f t="shared" si="132"/>
        <v/>
      </c>
      <c r="O838" t="str">
        <f>IF(L838&lt;&gt;"",Data!$M1389,"")</f>
        <v/>
      </c>
      <c r="T838">
        <f>IF(OR(Dashboard!$P$4="All",Dashboard!$R$4="All"),NA(),IF(OR(Data!K1389&lt;&gt;Dashboard!$P$4,Data!K1389&lt;&gt;Dashboard!$R$4),Data!G1389,NA()))</f>
        <v>120000</v>
      </c>
      <c r="V838" s="9"/>
    </row>
    <row r="839" spans="2:22">
      <c r="B839" t="e">
        <f>IF(Dashboard!$P$4="All",Data!G1390,IF(Data!K1390=Dashboard!$P$4,Data!G1390,NA()))</f>
        <v>#N/A</v>
      </c>
      <c r="C839" t="str">
        <f t="shared" si="127"/>
        <v/>
      </c>
      <c r="D839" t="str">
        <f t="shared" si="128"/>
        <v/>
      </c>
      <c r="E839" t="str">
        <f t="shared" si="129"/>
        <v/>
      </c>
      <c r="F839" t="str">
        <f>IF(C839&lt;&gt;"",Data!$M1390,"")</f>
        <v/>
      </c>
      <c r="K839" t="e">
        <f>IF(Dashboard!$R$4="All",Data!G1390,IF(Data!K1390=Dashboard!$R$4,Data!G1390,NA()))</f>
        <v>#N/A</v>
      </c>
      <c r="L839" t="str">
        <f t="shared" si="130"/>
        <v/>
      </c>
      <c r="M839" t="str">
        <f t="shared" si="131"/>
        <v/>
      </c>
      <c r="N839" t="str">
        <f t="shared" si="132"/>
        <v/>
      </c>
      <c r="O839" t="str">
        <f>IF(L839&lt;&gt;"",Data!$M1390,"")</f>
        <v/>
      </c>
      <c r="T839">
        <f>IF(OR(Dashboard!$P$4="All",Dashboard!$R$4="All"),NA(),IF(OR(Data!K1390&lt;&gt;Dashboard!$P$4,Data!K1390&lt;&gt;Dashboard!$R$4),Data!G1390,NA()))</f>
        <v>107000</v>
      </c>
      <c r="V839" s="9"/>
    </row>
    <row r="840" spans="2:22">
      <c r="B840" t="e">
        <f>IF(Dashboard!$P$4="All",Data!G1391,IF(Data!K1391=Dashboard!$P$4,Data!G1391,NA()))</f>
        <v>#N/A</v>
      </c>
      <c r="C840" t="str">
        <f t="shared" si="127"/>
        <v/>
      </c>
      <c r="D840" t="str">
        <f t="shared" si="128"/>
        <v/>
      </c>
      <c r="E840" t="str">
        <f t="shared" si="129"/>
        <v/>
      </c>
      <c r="F840" t="str">
        <f>IF(C840&lt;&gt;"",Data!$M1391,"")</f>
        <v/>
      </c>
      <c r="K840" t="e">
        <f>IF(Dashboard!$R$4="All",Data!G1391,IF(Data!K1391=Dashboard!$R$4,Data!G1391,NA()))</f>
        <v>#N/A</v>
      </c>
      <c r="L840" t="str">
        <f t="shared" si="130"/>
        <v/>
      </c>
      <c r="M840" t="str">
        <f t="shared" si="131"/>
        <v/>
      </c>
      <c r="N840" t="str">
        <f t="shared" si="132"/>
        <v/>
      </c>
      <c r="O840" t="str">
        <f>IF(L840&lt;&gt;"",Data!$M1391,"")</f>
        <v/>
      </c>
      <c r="T840">
        <f>IF(OR(Dashboard!$P$4="All",Dashboard!$R$4="All"),NA(),IF(OR(Data!K1391&lt;&gt;Dashboard!$P$4,Data!K1391&lt;&gt;Dashboard!$R$4),Data!G1391,NA()))</f>
        <v>40000</v>
      </c>
      <c r="V840" s="9"/>
    </row>
    <row r="841" spans="2:22">
      <c r="B841" t="e">
        <f>IF(Dashboard!$P$4="All",Data!G1392,IF(Data!K1392=Dashboard!$P$4,Data!G1392,NA()))</f>
        <v>#N/A</v>
      </c>
      <c r="C841" t="str">
        <f t="shared" si="127"/>
        <v/>
      </c>
      <c r="D841" t="str">
        <f t="shared" si="128"/>
        <v/>
      </c>
      <c r="E841" t="str">
        <f t="shared" si="129"/>
        <v/>
      </c>
      <c r="F841" t="str">
        <f>IF(C841&lt;&gt;"",Data!$M1392,"")</f>
        <v/>
      </c>
      <c r="K841" t="e">
        <f>IF(Dashboard!$R$4="All",Data!G1392,IF(Data!K1392=Dashboard!$R$4,Data!G1392,NA()))</f>
        <v>#N/A</v>
      </c>
      <c r="L841" t="str">
        <f t="shared" si="130"/>
        <v/>
      </c>
      <c r="M841" t="str">
        <f t="shared" si="131"/>
        <v/>
      </c>
      <c r="N841" t="str">
        <f t="shared" si="132"/>
        <v/>
      </c>
      <c r="O841" t="str">
        <f>IF(L841&lt;&gt;"",Data!$M1392,"")</f>
        <v/>
      </c>
      <c r="T841">
        <f>IF(OR(Dashboard!$P$4="All",Dashboard!$R$4="All"),NA(),IF(OR(Data!K1392&lt;&gt;Dashboard!$P$4,Data!K1392&lt;&gt;Dashboard!$R$4),Data!G1392,NA()))</f>
        <v>81000</v>
      </c>
      <c r="V841" s="9"/>
    </row>
    <row r="842" spans="2:22">
      <c r="B842" t="e">
        <f>IF(Dashboard!$P$4="All",Data!G1393,IF(Data!K1393=Dashboard!$P$4,Data!G1393,NA()))</f>
        <v>#N/A</v>
      </c>
      <c r="C842" t="str">
        <f t="shared" si="127"/>
        <v/>
      </c>
      <c r="D842" t="str">
        <f t="shared" si="128"/>
        <v/>
      </c>
      <c r="E842" t="str">
        <f t="shared" si="129"/>
        <v/>
      </c>
      <c r="F842" t="str">
        <f>IF(C842&lt;&gt;"",Data!$M1393,"")</f>
        <v/>
      </c>
      <c r="K842" t="e">
        <f>IF(Dashboard!$R$4="All",Data!G1393,IF(Data!K1393=Dashboard!$R$4,Data!G1393,NA()))</f>
        <v>#N/A</v>
      </c>
      <c r="L842" t="str">
        <f t="shared" si="130"/>
        <v/>
      </c>
      <c r="M842" t="str">
        <f t="shared" si="131"/>
        <v/>
      </c>
      <c r="N842" t="str">
        <f t="shared" si="132"/>
        <v/>
      </c>
      <c r="O842" t="str">
        <f>IF(L842&lt;&gt;"",Data!$M1393,"")</f>
        <v/>
      </c>
      <c r="T842">
        <f>IF(OR(Dashboard!$P$4="All",Dashboard!$R$4="All"),NA(),IF(OR(Data!K1393&lt;&gt;Dashboard!$P$4,Data!K1393&lt;&gt;Dashboard!$R$4),Data!G1393,NA()))</f>
        <v>45000</v>
      </c>
      <c r="V842" s="9"/>
    </row>
    <row r="843" spans="2:22">
      <c r="B843" t="e">
        <f>IF(Dashboard!$P$4="All",Data!G1394,IF(Data!K1394=Dashboard!$P$4,Data!G1394,NA()))</f>
        <v>#N/A</v>
      </c>
      <c r="C843" t="str">
        <f t="shared" si="127"/>
        <v/>
      </c>
      <c r="D843" t="str">
        <f t="shared" si="128"/>
        <v/>
      </c>
      <c r="E843" t="str">
        <f t="shared" si="129"/>
        <v/>
      </c>
      <c r="F843" t="str">
        <f>IF(C843&lt;&gt;"",Data!$M1394,"")</f>
        <v/>
      </c>
      <c r="K843" t="e">
        <f>IF(Dashboard!$R$4="All",Data!G1394,IF(Data!K1394=Dashboard!$R$4,Data!G1394,NA()))</f>
        <v>#N/A</v>
      </c>
      <c r="L843" t="str">
        <f t="shared" si="130"/>
        <v/>
      </c>
      <c r="M843" t="str">
        <f t="shared" si="131"/>
        <v/>
      </c>
      <c r="N843" t="str">
        <f t="shared" si="132"/>
        <v/>
      </c>
      <c r="O843" t="str">
        <f>IF(L843&lt;&gt;"",Data!$M1394,"")</f>
        <v/>
      </c>
      <c r="T843">
        <f>IF(OR(Dashboard!$P$4="All",Dashboard!$R$4="All"),NA(),IF(OR(Data!K1394&lt;&gt;Dashboard!$P$4,Data!K1394&lt;&gt;Dashboard!$R$4),Data!G1394,NA()))</f>
        <v>49000</v>
      </c>
      <c r="V843" s="9"/>
    </row>
    <row r="844" spans="2:22">
      <c r="B844" t="e">
        <f>IF(Dashboard!$P$4="All",Data!G1395,IF(Data!K1395=Dashboard!$P$4,Data!G1395,NA()))</f>
        <v>#N/A</v>
      </c>
      <c r="C844" t="str">
        <f t="shared" si="127"/>
        <v/>
      </c>
      <c r="D844" t="str">
        <f t="shared" si="128"/>
        <v/>
      </c>
      <c r="E844" t="str">
        <f t="shared" si="129"/>
        <v/>
      </c>
      <c r="F844" t="str">
        <f>IF(C844&lt;&gt;"",Data!$M1395,"")</f>
        <v/>
      </c>
      <c r="K844" t="e">
        <f>IF(Dashboard!$R$4="All",Data!G1395,IF(Data!K1395=Dashboard!$R$4,Data!G1395,NA()))</f>
        <v>#N/A</v>
      </c>
      <c r="L844" t="str">
        <f t="shared" si="130"/>
        <v/>
      </c>
      <c r="M844" t="str">
        <f t="shared" si="131"/>
        <v/>
      </c>
      <c r="N844" t="str">
        <f t="shared" si="132"/>
        <v/>
      </c>
      <c r="O844" t="str">
        <f>IF(L844&lt;&gt;"",Data!$M1395,"")</f>
        <v/>
      </c>
      <c r="T844">
        <f>IF(OR(Dashboard!$P$4="All",Dashboard!$R$4="All"),NA(),IF(OR(Data!K1395&lt;&gt;Dashboard!$P$4,Data!K1395&lt;&gt;Dashboard!$R$4),Data!G1395,NA()))</f>
        <v>13355.937515581925</v>
      </c>
      <c r="V844" s="9"/>
    </row>
    <row r="845" spans="2:22">
      <c r="B845" t="e">
        <f>IF(Dashboard!$P$4="All",Data!G1396,IF(Data!K1396=Dashboard!$P$4,Data!G1396,NA()))</f>
        <v>#N/A</v>
      </c>
      <c r="C845" t="str">
        <f t="shared" si="127"/>
        <v/>
      </c>
      <c r="D845" t="str">
        <f t="shared" si="128"/>
        <v/>
      </c>
      <c r="E845" t="str">
        <f t="shared" si="129"/>
        <v/>
      </c>
      <c r="F845" t="str">
        <f>IF(C845&lt;&gt;"",Data!$M1396,"")</f>
        <v/>
      </c>
      <c r="K845" t="e">
        <f>IF(Dashboard!$R$4="All",Data!G1396,IF(Data!K1396=Dashboard!$R$4,Data!G1396,NA()))</f>
        <v>#N/A</v>
      </c>
      <c r="L845" t="str">
        <f t="shared" si="130"/>
        <v/>
      </c>
      <c r="M845" t="str">
        <f t="shared" si="131"/>
        <v/>
      </c>
      <c r="N845" t="str">
        <f t="shared" si="132"/>
        <v/>
      </c>
      <c r="O845" t="str">
        <f>IF(L845&lt;&gt;"",Data!$M1396,"")</f>
        <v/>
      </c>
      <c r="T845">
        <f>IF(OR(Dashboard!$P$4="All",Dashboard!$R$4="All"),NA(),IF(OR(Data!K1396&lt;&gt;Dashboard!$P$4,Data!K1396&lt;&gt;Dashboard!$R$4),Data!G1396,NA()))</f>
        <v>72000</v>
      </c>
      <c r="V845" s="9"/>
    </row>
    <row r="846" spans="2:22">
      <c r="B846" t="e">
        <f>IF(Dashboard!$P$4="All",Data!G1397,IF(Data!K1397=Dashboard!$P$4,Data!G1397,NA()))</f>
        <v>#N/A</v>
      </c>
      <c r="C846" t="str">
        <f t="shared" si="127"/>
        <v/>
      </c>
      <c r="D846" t="str">
        <f t="shared" si="128"/>
        <v/>
      </c>
      <c r="E846" t="str">
        <f t="shared" si="129"/>
        <v/>
      </c>
      <c r="F846" t="str">
        <f>IF(C846&lt;&gt;"",Data!$M1397,"")</f>
        <v/>
      </c>
      <c r="K846" t="e">
        <f>IF(Dashboard!$R$4="All",Data!G1397,IF(Data!K1397=Dashboard!$R$4,Data!G1397,NA()))</f>
        <v>#N/A</v>
      </c>
      <c r="L846" t="str">
        <f t="shared" si="130"/>
        <v/>
      </c>
      <c r="M846" t="str">
        <f t="shared" si="131"/>
        <v/>
      </c>
      <c r="N846" t="str">
        <f t="shared" si="132"/>
        <v/>
      </c>
      <c r="O846" t="str">
        <f>IF(L846&lt;&gt;"",Data!$M1397,"")</f>
        <v/>
      </c>
      <c r="T846">
        <f>IF(OR(Dashboard!$P$4="All",Dashboard!$R$4="All"),NA(),IF(OR(Data!K1397&lt;&gt;Dashboard!$P$4,Data!K1397&lt;&gt;Dashboard!$R$4),Data!G1397,NA()))</f>
        <v>50000</v>
      </c>
      <c r="V846" s="9"/>
    </row>
    <row r="847" spans="2:22">
      <c r="B847" t="e">
        <f>IF(Dashboard!$P$4="All",Data!G1398,IF(Data!K1398=Dashboard!$P$4,Data!G1398,NA()))</f>
        <v>#N/A</v>
      </c>
      <c r="C847" t="str">
        <f t="shared" si="127"/>
        <v/>
      </c>
      <c r="D847" t="str">
        <f t="shared" si="128"/>
        <v/>
      </c>
      <c r="E847" t="str">
        <f t="shared" si="129"/>
        <v/>
      </c>
      <c r="F847" t="str">
        <f>IF(C847&lt;&gt;"",Data!$M1398,"")</f>
        <v/>
      </c>
      <c r="K847" t="e">
        <f>IF(Dashboard!$R$4="All",Data!G1398,IF(Data!K1398=Dashboard!$R$4,Data!G1398,NA()))</f>
        <v>#N/A</v>
      </c>
      <c r="L847" t="str">
        <f t="shared" si="130"/>
        <v/>
      </c>
      <c r="M847" t="str">
        <f t="shared" si="131"/>
        <v/>
      </c>
      <c r="N847" t="str">
        <f t="shared" si="132"/>
        <v/>
      </c>
      <c r="O847" t="str">
        <f>IF(L847&lt;&gt;"",Data!$M1398,"")</f>
        <v/>
      </c>
      <c r="T847">
        <f>IF(OR(Dashboard!$P$4="All",Dashboard!$R$4="All"),NA(),IF(OR(Data!K1398&lt;&gt;Dashboard!$P$4,Data!K1398&lt;&gt;Dashboard!$R$4),Data!G1398,NA()))</f>
        <v>57678</v>
      </c>
      <c r="V847" s="9"/>
    </row>
    <row r="848" spans="2:22">
      <c r="B848" t="e">
        <f>IF(Dashboard!$P$4="All",Data!G1399,IF(Data!K1399=Dashboard!$P$4,Data!G1399,NA()))</f>
        <v>#N/A</v>
      </c>
      <c r="C848" t="str">
        <f t="shared" si="127"/>
        <v/>
      </c>
      <c r="D848" t="str">
        <f t="shared" si="128"/>
        <v/>
      </c>
      <c r="E848" t="str">
        <f t="shared" si="129"/>
        <v/>
      </c>
      <c r="F848" t="str">
        <f>IF(C848&lt;&gt;"",Data!$M1399,"")</f>
        <v/>
      </c>
      <c r="K848" t="e">
        <f>IF(Dashboard!$R$4="All",Data!G1399,IF(Data!K1399=Dashboard!$R$4,Data!G1399,NA()))</f>
        <v>#N/A</v>
      </c>
      <c r="L848" t="str">
        <f t="shared" si="130"/>
        <v/>
      </c>
      <c r="M848" t="str">
        <f t="shared" si="131"/>
        <v/>
      </c>
      <c r="N848" t="str">
        <f t="shared" si="132"/>
        <v/>
      </c>
      <c r="O848" t="str">
        <f>IF(L848&lt;&gt;"",Data!$M1399,"")</f>
        <v/>
      </c>
      <c r="T848">
        <f>IF(OR(Dashboard!$P$4="All",Dashboard!$R$4="All"),NA(),IF(OR(Data!K1399&lt;&gt;Dashboard!$P$4,Data!K1399&lt;&gt;Dashboard!$R$4),Data!G1399,NA()))</f>
        <v>80442</v>
      </c>
      <c r="V848" s="9"/>
    </row>
    <row r="849" spans="2:22">
      <c r="B849" t="e">
        <f>IF(Dashboard!$P$4="All",Data!G1400,IF(Data!K1400=Dashboard!$P$4,Data!G1400,NA()))</f>
        <v>#N/A</v>
      </c>
      <c r="C849" t="str">
        <f t="shared" si="127"/>
        <v/>
      </c>
      <c r="D849" t="str">
        <f t="shared" si="128"/>
        <v/>
      </c>
      <c r="E849" t="str">
        <f t="shared" si="129"/>
        <v/>
      </c>
      <c r="F849" t="str">
        <f>IF(C849&lt;&gt;"",Data!$M1400,"")</f>
        <v/>
      </c>
      <c r="K849" t="e">
        <f>IF(Dashboard!$R$4="All",Data!G1400,IF(Data!K1400=Dashboard!$R$4,Data!G1400,NA()))</f>
        <v>#N/A</v>
      </c>
      <c r="L849" t="str">
        <f t="shared" si="130"/>
        <v/>
      </c>
      <c r="M849" t="str">
        <f t="shared" si="131"/>
        <v/>
      </c>
      <c r="N849" t="str">
        <f t="shared" si="132"/>
        <v/>
      </c>
      <c r="O849" t="str">
        <f>IF(L849&lt;&gt;"",Data!$M1400,"")</f>
        <v/>
      </c>
      <c r="T849">
        <f>IF(OR(Dashboard!$P$4="All",Dashboard!$R$4="All"),NA(),IF(OR(Data!K1400&lt;&gt;Dashboard!$P$4,Data!K1400&lt;&gt;Dashboard!$R$4),Data!G1400,NA()))</f>
        <v>75000</v>
      </c>
      <c r="V849" s="9"/>
    </row>
    <row r="850" spans="2:22">
      <c r="B850" t="e">
        <f>IF(Dashboard!$P$4="All",Data!G1401,IF(Data!K1401=Dashboard!$P$4,Data!G1401,NA()))</f>
        <v>#N/A</v>
      </c>
      <c r="C850" t="str">
        <f t="shared" si="127"/>
        <v/>
      </c>
      <c r="D850" t="str">
        <f t="shared" si="128"/>
        <v/>
      </c>
      <c r="E850" t="str">
        <f t="shared" si="129"/>
        <v/>
      </c>
      <c r="F850" t="str">
        <f>IF(C850&lt;&gt;"",Data!$M1401,"")</f>
        <v/>
      </c>
      <c r="K850" t="e">
        <f>IF(Dashboard!$R$4="All",Data!G1401,IF(Data!K1401=Dashboard!$R$4,Data!G1401,NA()))</f>
        <v>#N/A</v>
      </c>
      <c r="L850" t="str">
        <f t="shared" si="130"/>
        <v/>
      </c>
      <c r="M850" t="str">
        <f t="shared" si="131"/>
        <v/>
      </c>
      <c r="N850" t="str">
        <f t="shared" si="132"/>
        <v/>
      </c>
      <c r="O850" t="str">
        <f>IF(L850&lt;&gt;"",Data!$M1401,"")</f>
        <v/>
      </c>
      <c r="T850">
        <f>IF(OR(Dashboard!$P$4="All",Dashboard!$R$4="All"),NA(),IF(OR(Data!K1401&lt;&gt;Dashboard!$P$4,Data!K1401&lt;&gt;Dashboard!$R$4),Data!G1401,NA()))</f>
        <v>61000</v>
      </c>
      <c r="V850" s="9"/>
    </row>
    <row r="851" spans="2:22">
      <c r="B851" t="e">
        <f>IF(Dashboard!$P$4="All",Data!G1402,IF(Data!K1402=Dashboard!$P$4,Data!G1402,NA()))</f>
        <v>#N/A</v>
      </c>
      <c r="C851" t="str">
        <f t="shared" si="127"/>
        <v/>
      </c>
      <c r="D851" t="str">
        <f t="shared" si="128"/>
        <v/>
      </c>
      <c r="E851" t="str">
        <f t="shared" si="129"/>
        <v/>
      </c>
      <c r="F851" t="str">
        <f>IF(C851&lt;&gt;"",Data!$M1402,"")</f>
        <v/>
      </c>
      <c r="K851" t="e">
        <f>IF(Dashboard!$R$4="All",Data!G1402,IF(Data!K1402=Dashboard!$R$4,Data!G1402,NA()))</f>
        <v>#N/A</v>
      </c>
      <c r="L851" t="str">
        <f t="shared" si="130"/>
        <v/>
      </c>
      <c r="M851" t="str">
        <f t="shared" si="131"/>
        <v/>
      </c>
      <c r="N851" t="str">
        <f t="shared" si="132"/>
        <v/>
      </c>
      <c r="O851" t="str">
        <f>IF(L851&lt;&gt;"",Data!$M1402,"")</f>
        <v/>
      </c>
      <c r="T851">
        <f>IF(OR(Dashboard!$P$4="All",Dashboard!$R$4="All"),NA(),IF(OR(Data!K1402&lt;&gt;Dashboard!$P$4,Data!K1402&lt;&gt;Dashboard!$R$4),Data!G1402,NA()))</f>
        <v>77000</v>
      </c>
      <c r="V851" s="9"/>
    </row>
    <row r="852" spans="2:22">
      <c r="B852" t="e">
        <f>IF(Dashboard!$P$4="All",Data!G1403,IF(Data!K1403=Dashboard!$P$4,Data!G1403,NA()))</f>
        <v>#N/A</v>
      </c>
      <c r="C852" t="str">
        <f t="shared" si="127"/>
        <v/>
      </c>
      <c r="D852" t="str">
        <f t="shared" si="128"/>
        <v/>
      </c>
      <c r="E852" t="str">
        <f t="shared" si="129"/>
        <v/>
      </c>
      <c r="F852" t="str">
        <f>IF(C852&lt;&gt;"",Data!$M1403,"")</f>
        <v/>
      </c>
      <c r="K852" t="e">
        <f>IF(Dashboard!$R$4="All",Data!G1403,IF(Data!K1403=Dashboard!$R$4,Data!G1403,NA()))</f>
        <v>#N/A</v>
      </c>
      <c r="L852" t="str">
        <f t="shared" si="130"/>
        <v/>
      </c>
      <c r="M852" t="str">
        <f t="shared" si="131"/>
        <v/>
      </c>
      <c r="N852" t="str">
        <f t="shared" si="132"/>
        <v/>
      </c>
      <c r="O852" t="str">
        <f>IF(L852&lt;&gt;"",Data!$M1403,"")</f>
        <v/>
      </c>
      <c r="T852">
        <f>IF(OR(Dashboard!$P$4="All",Dashboard!$R$4="All"),NA(),IF(OR(Data!K1403&lt;&gt;Dashboard!$P$4,Data!K1403&lt;&gt;Dashboard!$R$4),Data!G1403,NA()))</f>
        <v>92000</v>
      </c>
      <c r="V852" s="9"/>
    </row>
    <row r="853" spans="2:22">
      <c r="B853" t="e">
        <f>IF(Dashboard!$P$4="All",Data!G1404,IF(Data!K1404=Dashboard!$P$4,Data!G1404,NA()))</f>
        <v>#N/A</v>
      </c>
      <c r="C853" t="str">
        <f t="shared" si="127"/>
        <v/>
      </c>
      <c r="D853" t="str">
        <f t="shared" si="128"/>
        <v/>
      </c>
      <c r="E853" t="str">
        <f t="shared" si="129"/>
        <v/>
      </c>
      <c r="F853" t="str">
        <f>IF(C853&lt;&gt;"",Data!$M1404,"")</f>
        <v/>
      </c>
      <c r="K853" t="e">
        <f>IF(Dashboard!$R$4="All",Data!G1404,IF(Data!K1404=Dashboard!$R$4,Data!G1404,NA()))</f>
        <v>#N/A</v>
      </c>
      <c r="L853" t="str">
        <f t="shared" si="130"/>
        <v/>
      </c>
      <c r="M853" t="str">
        <f t="shared" si="131"/>
        <v/>
      </c>
      <c r="N853" t="str">
        <f t="shared" si="132"/>
        <v/>
      </c>
      <c r="O853" t="str">
        <f>IF(L853&lt;&gt;"",Data!$M1404,"")</f>
        <v/>
      </c>
      <c r="T853">
        <f>IF(OR(Dashboard!$P$4="All",Dashboard!$R$4="All"),NA(),IF(OR(Data!K1404&lt;&gt;Dashboard!$P$4,Data!K1404&lt;&gt;Dashboard!$R$4),Data!G1404,NA()))</f>
        <v>72000</v>
      </c>
      <c r="V853" s="9"/>
    </row>
    <row r="854" spans="2:22">
      <c r="B854" t="e">
        <f>IF(Dashboard!$P$4="All",Data!G1405,IF(Data!K1405=Dashboard!$P$4,Data!G1405,NA()))</f>
        <v>#N/A</v>
      </c>
      <c r="C854" t="str">
        <f t="shared" si="127"/>
        <v/>
      </c>
      <c r="D854" t="str">
        <f t="shared" si="128"/>
        <v/>
      </c>
      <c r="E854" t="str">
        <f t="shared" si="129"/>
        <v/>
      </c>
      <c r="F854" t="str">
        <f>IF(C854&lt;&gt;"",Data!$M1405,"")</f>
        <v/>
      </c>
      <c r="K854" t="e">
        <f>IF(Dashboard!$R$4="All",Data!G1405,IF(Data!K1405=Dashboard!$R$4,Data!G1405,NA()))</f>
        <v>#N/A</v>
      </c>
      <c r="L854" t="str">
        <f t="shared" si="130"/>
        <v/>
      </c>
      <c r="M854" t="str">
        <f t="shared" si="131"/>
        <v/>
      </c>
      <c r="N854" t="str">
        <f t="shared" si="132"/>
        <v/>
      </c>
      <c r="O854" t="str">
        <f>IF(L854&lt;&gt;"",Data!$M1405,"")</f>
        <v/>
      </c>
      <c r="T854">
        <f>IF(OR(Dashboard!$P$4="All",Dashboard!$R$4="All"),NA(),IF(OR(Data!K1405&lt;&gt;Dashboard!$P$4,Data!K1405&lt;&gt;Dashboard!$R$4),Data!G1405,NA()))</f>
        <v>14000</v>
      </c>
      <c r="V854" s="9"/>
    </row>
    <row r="855" spans="2:22">
      <c r="B855" t="e">
        <f>IF(Dashboard!$P$4="All",Data!G1406,IF(Data!K1406=Dashboard!$P$4,Data!G1406,NA()))</f>
        <v>#N/A</v>
      </c>
      <c r="C855" t="str">
        <f t="shared" si="127"/>
        <v/>
      </c>
      <c r="D855" t="str">
        <f t="shared" si="128"/>
        <v/>
      </c>
      <c r="E855" t="str">
        <f t="shared" si="129"/>
        <v/>
      </c>
      <c r="F855" t="str">
        <f>IF(C855&lt;&gt;"",Data!$M1406,"")</f>
        <v/>
      </c>
      <c r="K855" t="e">
        <f>IF(Dashboard!$R$4="All",Data!G1406,IF(Data!K1406=Dashboard!$R$4,Data!G1406,NA()))</f>
        <v>#N/A</v>
      </c>
      <c r="L855" t="str">
        <f t="shared" si="130"/>
        <v/>
      </c>
      <c r="M855" t="str">
        <f t="shared" si="131"/>
        <v/>
      </c>
      <c r="N855" t="str">
        <f t="shared" si="132"/>
        <v/>
      </c>
      <c r="O855" t="str">
        <f>IF(L855&lt;&gt;"",Data!$M1406,"")</f>
        <v/>
      </c>
      <c r="T855">
        <f>IF(OR(Dashboard!$P$4="All",Dashboard!$R$4="All"),NA(),IF(OR(Data!K1406&lt;&gt;Dashboard!$P$4,Data!K1406&lt;&gt;Dashboard!$R$4),Data!G1406,NA()))</f>
        <v>111000</v>
      </c>
      <c r="V855" s="9"/>
    </row>
    <row r="856" spans="2:22">
      <c r="B856" t="e">
        <f>IF(Dashboard!$P$4="All",Data!G1407,IF(Data!K1407=Dashboard!$P$4,Data!G1407,NA()))</f>
        <v>#N/A</v>
      </c>
      <c r="C856" t="str">
        <f t="shared" si="127"/>
        <v/>
      </c>
      <c r="D856" t="str">
        <f t="shared" si="128"/>
        <v/>
      </c>
      <c r="E856" t="str">
        <f t="shared" si="129"/>
        <v/>
      </c>
      <c r="F856" t="str">
        <f>IF(C856&lt;&gt;"",Data!$M1407,"")</f>
        <v/>
      </c>
      <c r="K856" t="e">
        <f>IF(Dashboard!$R$4="All",Data!G1407,IF(Data!K1407=Dashboard!$R$4,Data!G1407,NA()))</f>
        <v>#N/A</v>
      </c>
      <c r="L856" t="str">
        <f t="shared" si="130"/>
        <v/>
      </c>
      <c r="M856" t="str">
        <f t="shared" si="131"/>
        <v/>
      </c>
      <c r="N856" t="str">
        <f t="shared" si="132"/>
        <v/>
      </c>
      <c r="O856" t="str">
        <f>IF(L856&lt;&gt;"",Data!$M1407,"")</f>
        <v/>
      </c>
      <c r="T856">
        <f>IF(OR(Dashboard!$P$4="All",Dashboard!$R$4="All"),NA(),IF(OR(Data!K1407&lt;&gt;Dashboard!$P$4,Data!K1407&lt;&gt;Dashboard!$R$4),Data!G1407,NA()))</f>
        <v>80000</v>
      </c>
      <c r="V856" s="9"/>
    </row>
    <row r="857" spans="2:22">
      <c r="B857" t="e">
        <f>IF(Dashboard!$P$4="All",Data!G1408,IF(Data!K1408=Dashboard!$P$4,Data!G1408,NA()))</f>
        <v>#N/A</v>
      </c>
      <c r="C857" t="str">
        <f t="shared" si="127"/>
        <v/>
      </c>
      <c r="D857" t="str">
        <f t="shared" si="128"/>
        <v/>
      </c>
      <c r="E857" t="str">
        <f t="shared" si="129"/>
        <v/>
      </c>
      <c r="F857" t="str">
        <f>IF(C857&lt;&gt;"",Data!$M1408,"")</f>
        <v/>
      </c>
      <c r="K857" t="e">
        <f>IF(Dashboard!$R$4="All",Data!G1408,IF(Data!K1408=Dashboard!$R$4,Data!G1408,NA()))</f>
        <v>#N/A</v>
      </c>
      <c r="L857" t="str">
        <f t="shared" si="130"/>
        <v/>
      </c>
      <c r="M857" t="str">
        <f t="shared" si="131"/>
        <v/>
      </c>
      <c r="N857" t="str">
        <f t="shared" si="132"/>
        <v/>
      </c>
      <c r="O857" t="str">
        <f>IF(L857&lt;&gt;"",Data!$M1408,"")</f>
        <v/>
      </c>
      <c r="T857">
        <f>IF(OR(Dashboard!$P$4="All",Dashboard!$R$4="All"),NA(),IF(OR(Data!K1408&lt;&gt;Dashboard!$P$4,Data!K1408&lt;&gt;Dashboard!$R$4),Data!G1408,NA()))</f>
        <v>57875.729234188344</v>
      </c>
      <c r="V857" s="9"/>
    </row>
    <row r="858" spans="2:22">
      <c r="B858" t="e">
        <f>IF(Dashboard!$P$4="All",Data!G1409,IF(Data!K1409=Dashboard!$P$4,Data!G1409,NA()))</f>
        <v>#N/A</v>
      </c>
      <c r="C858" t="str">
        <f t="shared" si="127"/>
        <v/>
      </c>
      <c r="D858" t="str">
        <f t="shared" si="128"/>
        <v/>
      </c>
      <c r="E858" t="str">
        <f t="shared" si="129"/>
        <v/>
      </c>
      <c r="F858" t="str">
        <f>IF(C858&lt;&gt;"",Data!$M1409,"")</f>
        <v/>
      </c>
      <c r="K858" t="e">
        <f>IF(Dashboard!$R$4="All",Data!G1409,IF(Data!K1409=Dashboard!$R$4,Data!G1409,NA()))</f>
        <v>#N/A</v>
      </c>
      <c r="L858" t="str">
        <f t="shared" si="130"/>
        <v/>
      </c>
      <c r="M858" t="str">
        <f t="shared" si="131"/>
        <v/>
      </c>
      <c r="N858" t="str">
        <f t="shared" si="132"/>
        <v/>
      </c>
      <c r="O858" t="str">
        <f>IF(L858&lt;&gt;"",Data!$M1409,"")</f>
        <v/>
      </c>
      <c r="T858">
        <f>IF(OR(Dashboard!$P$4="All",Dashboard!$R$4="All"),NA(),IF(OR(Data!K1409&lt;&gt;Dashboard!$P$4,Data!K1409&lt;&gt;Dashboard!$R$4),Data!G1409,NA()))</f>
        <v>25000</v>
      </c>
      <c r="V858" s="9"/>
    </row>
    <row r="859" spans="2:22">
      <c r="B859" t="e">
        <f>IF(Dashboard!$P$4="All",Data!G1410,IF(Data!K1410=Dashboard!$P$4,Data!G1410,NA()))</f>
        <v>#N/A</v>
      </c>
      <c r="C859" t="str">
        <f t="shared" si="127"/>
        <v/>
      </c>
      <c r="D859" t="str">
        <f t="shared" si="128"/>
        <v/>
      </c>
      <c r="E859" t="str">
        <f t="shared" si="129"/>
        <v/>
      </c>
      <c r="F859" t="str">
        <f>IF(C859&lt;&gt;"",Data!$M1410,"")</f>
        <v/>
      </c>
      <c r="K859" t="e">
        <f>IF(Dashboard!$R$4="All",Data!G1410,IF(Data!K1410=Dashboard!$R$4,Data!G1410,NA()))</f>
        <v>#N/A</v>
      </c>
      <c r="L859" t="str">
        <f t="shared" si="130"/>
        <v/>
      </c>
      <c r="M859" t="str">
        <f t="shared" si="131"/>
        <v/>
      </c>
      <c r="N859" t="str">
        <f t="shared" si="132"/>
        <v/>
      </c>
      <c r="O859" t="str">
        <f>IF(L859&lt;&gt;"",Data!$M1410,"")</f>
        <v/>
      </c>
      <c r="T859">
        <f>IF(OR(Dashboard!$P$4="All",Dashboard!$R$4="All"),NA(),IF(OR(Data!K1410&lt;&gt;Dashboard!$P$4,Data!K1410&lt;&gt;Dashboard!$R$4),Data!G1410,NA()))</f>
        <v>24000</v>
      </c>
      <c r="V859" s="9"/>
    </row>
    <row r="860" spans="2:22">
      <c r="B860" t="e">
        <f>IF(Dashboard!$P$4="All",Data!G1411,IF(Data!K1411=Dashboard!$P$4,Data!G1411,NA()))</f>
        <v>#N/A</v>
      </c>
      <c r="C860" t="str">
        <f t="shared" si="127"/>
        <v/>
      </c>
      <c r="D860" t="str">
        <f t="shared" si="128"/>
        <v/>
      </c>
      <c r="E860" t="str">
        <f t="shared" si="129"/>
        <v/>
      </c>
      <c r="F860" t="str">
        <f>IF(C860&lt;&gt;"",Data!$M1411,"")</f>
        <v/>
      </c>
      <c r="K860" t="e">
        <f>IF(Dashboard!$R$4="All",Data!G1411,IF(Data!K1411=Dashboard!$R$4,Data!G1411,NA()))</f>
        <v>#N/A</v>
      </c>
      <c r="L860" t="str">
        <f t="shared" si="130"/>
        <v/>
      </c>
      <c r="M860" t="str">
        <f t="shared" si="131"/>
        <v/>
      </c>
      <c r="N860" t="str">
        <f t="shared" si="132"/>
        <v/>
      </c>
      <c r="O860" t="str">
        <f>IF(L860&lt;&gt;"",Data!$M1411,"")</f>
        <v/>
      </c>
      <c r="T860">
        <f>IF(OR(Dashboard!$P$4="All",Dashboard!$R$4="All"),NA(),IF(OR(Data!K1411&lt;&gt;Dashboard!$P$4,Data!K1411&lt;&gt;Dashboard!$R$4),Data!G1411,NA()))</f>
        <v>61000</v>
      </c>
      <c r="V860" s="9"/>
    </row>
    <row r="861" spans="2:22">
      <c r="B861" t="e">
        <f>IF(Dashboard!$P$4="All",Data!G1412,IF(Data!K1412=Dashboard!$P$4,Data!G1412,NA()))</f>
        <v>#N/A</v>
      </c>
      <c r="C861" t="str">
        <f t="shared" si="127"/>
        <v/>
      </c>
      <c r="D861" t="str">
        <f t="shared" si="128"/>
        <v/>
      </c>
      <c r="E861" t="str">
        <f t="shared" si="129"/>
        <v/>
      </c>
      <c r="F861" t="str">
        <f>IF(C861&lt;&gt;"",Data!$M1412,"")</f>
        <v/>
      </c>
      <c r="K861" t="e">
        <f>IF(Dashboard!$R$4="All",Data!G1412,IF(Data!K1412=Dashboard!$R$4,Data!G1412,NA()))</f>
        <v>#N/A</v>
      </c>
      <c r="L861" t="str">
        <f t="shared" si="130"/>
        <v/>
      </c>
      <c r="M861" t="str">
        <f t="shared" si="131"/>
        <v/>
      </c>
      <c r="N861" t="str">
        <f t="shared" si="132"/>
        <v/>
      </c>
      <c r="O861" t="str">
        <f>IF(L861&lt;&gt;"",Data!$M1412,"")</f>
        <v/>
      </c>
      <c r="T861">
        <f>IF(OR(Dashboard!$P$4="All",Dashboard!$R$4="All"),NA(),IF(OR(Data!K1412&lt;&gt;Dashboard!$P$4,Data!K1412&lt;&gt;Dashboard!$R$4),Data!G1412,NA()))</f>
        <v>56095.031102144967</v>
      </c>
      <c r="V861" s="9"/>
    </row>
    <row r="862" spans="2:22">
      <c r="B862" t="e">
        <f>IF(Dashboard!$P$4="All",Data!G1413,IF(Data!K1413=Dashboard!$P$4,Data!G1413,NA()))</f>
        <v>#N/A</v>
      </c>
      <c r="C862" t="str">
        <f t="shared" si="127"/>
        <v/>
      </c>
      <c r="D862" t="str">
        <f t="shared" si="128"/>
        <v/>
      </c>
      <c r="E862" t="str">
        <f t="shared" si="129"/>
        <v/>
      </c>
      <c r="F862" t="str">
        <f>IF(C862&lt;&gt;"",Data!$M1413,"")</f>
        <v/>
      </c>
      <c r="K862" t="e">
        <f>IF(Dashboard!$R$4="All",Data!G1413,IF(Data!K1413=Dashboard!$R$4,Data!G1413,NA()))</f>
        <v>#N/A</v>
      </c>
      <c r="L862" t="str">
        <f t="shared" si="130"/>
        <v/>
      </c>
      <c r="M862" t="str">
        <f t="shared" si="131"/>
        <v/>
      </c>
      <c r="N862" t="str">
        <f t="shared" si="132"/>
        <v/>
      </c>
      <c r="O862" t="str">
        <f>IF(L862&lt;&gt;"",Data!$M1413,"")</f>
        <v/>
      </c>
      <c r="T862">
        <f>IF(OR(Dashboard!$P$4="All",Dashboard!$R$4="All"),NA(),IF(OR(Data!K1413&lt;&gt;Dashboard!$P$4,Data!K1413&lt;&gt;Dashboard!$R$4),Data!G1413,NA()))</f>
        <v>71393.675948184507</v>
      </c>
      <c r="V862" s="9"/>
    </row>
    <row r="863" spans="2:22">
      <c r="B863" t="e">
        <f>IF(Dashboard!$P$4="All",Data!G1414,IF(Data!K1414=Dashboard!$P$4,Data!G1414,NA()))</f>
        <v>#N/A</v>
      </c>
      <c r="C863" t="str">
        <f t="shared" si="127"/>
        <v/>
      </c>
      <c r="D863" t="str">
        <f t="shared" si="128"/>
        <v/>
      </c>
      <c r="E863" t="str">
        <f t="shared" si="129"/>
        <v/>
      </c>
      <c r="F863" t="str">
        <f>IF(C863&lt;&gt;"",Data!$M1414,"")</f>
        <v/>
      </c>
      <c r="K863" t="e">
        <f>IF(Dashboard!$R$4="All",Data!G1414,IF(Data!K1414=Dashboard!$R$4,Data!G1414,NA()))</f>
        <v>#N/A</v>
      </c>
      <c r="L863" t="str">
        <f t="shared" si="130"/>
        <v/>
      </c>
      <c r="M863" t="str">
        <f t="shared" si="131"/>
        <v/>
      </c>
      <c r="N863" t="str">
        <f t="shared" si="132"/>
        <v/>
      </c>
      <c r="O863" t="str">
        <f>IF(L863&lt;&gt;"",Data!$M1414,"")</f>
        <v/>
      </c>
      <c r="T863">
        <f>IF(OR(Dashboard!$P$4="All",Dashboard!$R$4="All"),NA(),IF(OR(Data!K1414&lt;&gt;Dashboard!$P$4,Data!K1414&lt;&gt;Dashboard!$R$4),Data!G1414,NA()))</f>
        <v>96230</v>
      </c>
      <c r="V863" s="9"/>
    </row>
    <row r="864" spans="2:22">
      <c r="B864" t="e">
        <f>IF(Dashboard!$P$4="All",Data!G1415,IF(Data!K1415=Dashboard!$P$4,Data!G1415,NA()))</f>
        <v>#N/A</v>
      </c>
      <c r="C864" t="str">
        <f t="shared" si="127"/>
        <v/>
      </c>
      <c r="D864" t="str">
        <f t="shared" si="128"/>
        <v/>
      </c>
      <c r="E864" t="str">
        <f t="shared" si="129"/>
        <v/>
      </c>
      <c r="F864" t="str">
        <f>IF(C864&lt;&gt;"",Data!$M1415,"")</f>
        <v/>
      </c>
      <c r="K864" t="e">
        <f>IF(Dashboard!$R$4="All",Data!G1415,IF(Data!K1415=Dashboard!$R$4,Data!G1415,NA()))</f>
        <v>#N/A</v>
      </c>
      <c r="L864" t="str">
        <f t="shared" si="130"/>
        <v/>
      </c>
      <c r="M864" t="str">
        <f t="shared" si="131"/>
        <v/>
      </c>
      <c r="N864" t="str">
        <f t="shared" si="132"/>
        <v/>
      </c>
      <c r="O864" t="str">
        <f>IF(L864&lt;&gt;"",Data!$M1415,"")</f>
        <v/>
      </c>
      <c r="T864">
        <f>IF(OR(Dashboard!$P$4="All",Dashboard!$R$4="All"),NA(),IF(OR(Data!K1415&lt;&gt;Dashboard!$P$4,Data!K1415&lt;&gt;Dashboard!$R$4),Data!G1415,NA()))</f>
        <v>75000</v>
      </c>
      <c r="V864" s="9"/>
    </row>
    <row r="865" spans="2:22">
      <c r="B865" t="e">
        <f>IF(Dashboard!$P$4="All",Data!G1416,IF(Data!K1416=Dashboard!$P$4,Data!G1416,NA()))</f>
        <v>#N/A</v>
      </c>
      <c r="C865" t="str">
        <f t="shared" si="127"/>
        <v/>
      </c>
      <c r="D865" t="str">
        <f t="shared" si="128"/>
        <v/>
      </c>
      <c r="E865" t="str">
        <f t="shared" si="129"/>
        <v/>
      </c>
      <c r="F865" t="str">
        <f>IF(C865&lt;&gt;"",Data!$M1416,"")</f>
        <v/>
      </c>
      <c r="K865" t="e">
        <f>IF(Dashboard!$R$4="All",Data!G1416,IF(Data!K1416=Dashboard!$R$4,Data!G1416,NA()))</f>
        <v>#N/A</v>
      </c>
      <c r="L865" t="str">
        <f t="shared" si="130"/>
        <v/>
      </c>
      <c r="M865" t="str">
        <f t="shared" si="131"/>
        <v/>
      </c>
      <c r="N865" t="str">
        <f t="shared" si="132"/>
        <v/>
      </c>
      <c r="O865" t="str">
        <f>IF(L865&lt;&gt;"",Data!$M1416,"")</f>
        <v/>
      </c>
      <c r="T865">
        <f>IF(OR(Dashboard!$P$4="All",Dashboard!$R$4="All"),NA(),IF(OR(Data!K1416&lt;&gt;Dashboard!$P$4,Data!K1416&lt;&gt;Dashboard!$R$4),Data!G1416,NA()))</f>
        <v>102000</v>
      </c>
      <c r="V865" s="9"/>
    </row>
    <row r="866" spans="2:22">
      <c r="B866" t="e">
        <f>IF(Dashboard!$P$4="All",Data!G1417,IF(Data!K1417=Dashboard!$P$4,Data!G1417,NA()))</f>
        <v>#N/A</v>
      </c>
      <c r="C866" t="str">
        <f t="shared" si="127"/>
        <v/>
      </c>
      <c r="D866" t="str">
        <f t="shared" si="128"/>
        <v/>
      </c>
      <c r="E866" t="str">
        <f t="shared" si="129"/>
        <v/>
      </c>
      <c r="F866" t="str">
        <f>IF(C866&lt;&gt;"",Data!$M1417,"")</f>
        <v/>
      </c>
      <c r="K866" t="e">
        <f>IF(Dashboard!$R$4="All",Data!G1417,IF(Data!K1417=Dashboard!$R$4,Data!G1417,NA()))</f>
        <v>#N/A</v>
      </c>
      <c r="L866" t="str">
        <f t="shared" si="130"/>
        <v/>
      </c>
      <c r="M866" t="str">
        <f t="shared" si="131"/>
        <v/>
      </c>
      <c r="N866" t="str">
        <f t="shared" si="132"/>
        <v/>
      </c>
      <c r="O866" t="str">
        <f>IF(L866&lt;&gt;"",Data!$M1417,"")</f>
        <v/>
      </c>
      <c r="T866">
        <f>IF(OR(Dashboard!$P$4="All",Dashboard!$R$4="All"),NA(),IF(OR(Data!K1417&lt;&gt;Dashboard!$P$4,Data!K1417&lt;&gt;Dashboard!$R$4),Data!G1417,NA()))</f>
        <v>19008.034062397041</v>
      </c>
      <c r="V866" s="9"/>
    </row>
    <row r="867" spans="2:22">
      <c r="B867" t="e">
        <f>IF(Dashboard!$P$4="All",Data!G1418,IF(Data!K1418=Dashboard!$P$4,Data!G1418,NA()))</f>
        <v>#N/A</v>
      </c>
      <c r="C867" t="str">
        <f t="shared" si="127"/>
        <v/>
      </c>
      <c r="D867" t="str">
        <f t="shared" si="128"/>
        <v/>
      </c>
      <c r="E867" t="str">
        <f t="shared" si="129"/>
        <v/>
      </c>
      <c r="F867" t="str">
        <f>IF(C867&lt;&gt;"",Data!$M1418,"")</f>
        <v/>
      </c>
      <c r="K867" t="e">
        <f>IF(Dashboard!$R$4="All",Data!G1418,IF(Data!K1418=Dashboard!$R$4,Data!G1418,NA()))</f>
        <v>#N/A</v>
      </c>
      <c r="L867" t="str">
        <f t="shared" si="130"/>
        <v/>
      </c>
      <c r="M867" t="str">
        <f t="shared" si="131"/>
        <v/>
      </c>
      <c r="N867" t="str">
        <f t="shared" si="132"/>
        <v/>
      </c>
      <c r="O867" t="str">
        <f>IF(L867&lt;&gt;"",Data!$M1418,"")</f>
        <v/>
      </c>
      <c r="T867">
        <f>IF(OR(Dashboard!$P$4="All",Dashboard!$R$4="All"),NA(),IF(OR(Data!K1418&lt;&gt;Dashboard!$P$4,Data!K1418&lt;&gt;Dashboard!$R$4),Data!G1418,NA()))</f>
        <v>4356</v>
      </c>
      <c r="V867" s="9"/>
    </row>
    <row r="868" spans="2:22">
      <c r="B868" t="e">
        <f>IF(Dashboard!$P$4="All",Data!G1419,IF(Data!K1419=Dashboard!$P$4,Data!G1419,NA()))</f>
        <v>#N/A</v>
      </c>
      <c r="C868" t="str">
        <f t="shared" si="127"/>
        <v/>
      </c>
      <c r="D868" t="str">
        <f t="shared" si="128"/>
        <v/>
      </c>
      <c r="E868" t="str">
        <f t="shared" si="129"/>
        <v/>
      </c>
      <c r="F868" t="str">
        <f>IF(C868&lt;&gt;"",Data!$M1419,"")</f>
        <v/>
      </c>
      <c r="K868" t="e">
        <f>IF(Dashboard!$R$4="All",Data!G1419,IF(Data!K1419=Dashboard!$R$4,Data!G1419,NA()))</f>
        <v>#N/A</v>
      </c>
      <c r="L868" t="str">
        <f t="shared" si="130"/>
        <v/>
      </c>
      <c r="M868" t="str">
        <f t="shared" si="131"/>
        <v/>
      </c>
      <c r="N868" t="str">
        <f t="shared" si="132"/>
        <v/>
      </c>
      <c r="O868" t="str">
        <f>IF(L868&lt;&gt;"",Data!$M1419,"")</f>
        <v/>
      </c>
      <c r="T868">
        <f>IF(OR(Dashboard!$P$4="All",Dashboard!$R$4="All"),NA(),IF(OR(Data!K1419&lt;&gt;Dashboard!$P$4,Data!K1419&lt;&gt;Dashboard!$R$4),Data!G1419,NA()))</f>
        <v>5342.3750062327708</v>
      </c>
      <c r="V868" s="9"/>
    </row>
    <row r="869" spans="2:22">
      <c r="B869" t="e">
        <f>IF(Dashboard!$P$4="All",Data!G1420,IF(Data!K1420=Dashboard!$P$4,Data!G1420,NA()))</f>
        <v>#N/A</v>
      </c>
      <c r="C869" t="str">
        <f t="shared" si="127"/>
        <v/>
      </c>
      <c r="D869" t="str">
        <f t="shared" si="128"/>
        <v/>
      </c>
      <c r="E869" t="str">
        <f t="shared" si="129"/>
        <v/>
      </c>
      <c r="F869" t="str">
        <f>IF(C869&lt;&gt;"",Data!$M1420,"")</f>
        <v/>
      </c>
      <c r="K869" t="e">
        <f>IF(Dashboard!$R$4="All",Data!G1420,IF(Data!K1420=Dashboard!$R$4,Data!G1420,NA()))</f>
        <v>#N/A</v>
      </c>
      <c r="L869" t="str">
        <f t="shared" si="130"/>
        <v/>
      </c>
      <c r="M869" t="str">
        <f t="shared" si="131"/>
        <v/>
      </c>
      <c r="N869" t="str">
        <f t="shared" si="132"/>
        <v/>
      </c>
      <c r="O869" t="str">
        <f>IF(L869&lt;&gt;"",Data!$M1420,"")</f>
        <v/>
      </c>
      <c r="T869">
        <f>IF(OR(Dashboard!$P$4="All",Dashboard!$R$4="All"),NA(),IF(OR(Data!K1420&lt;&gt;Dashboard!$P$4,Data!K1420&lt;&gt;Dashboard!$R$4),Data!G1420,NA()))</f>
        <v>67000</v>
      </c>
      <c r="V869" s="9"/>
    </row>
    <row r="870" spans="2:22">
      <c r="B870" t="e">
        <f>IF(Dashboard!$P$4="All",Data!G1421,IF(Data!K1421=Dashboard!$P$4,Data!G1421,NA()))</f>
        <v>#N/A</v>
      </c>
      <c r="C870" t="str">
        <f t="shared" si="127"/>
        <v/>
      </c>
      <c r="D870" t="str">
        <f t="shared" si="128"/>
        <v/>
      </c>
      <c r="E870" t="str">
        <f t="shared" si="129"/>
        <v/>
      </c>
      <c r="F870" t="str">
        <f>IF(C870&lt;&gt;"",Data!$M1421,"")</f>
        <v/>
      </c>
      <c r="K870" t="e">
        <f>IF(Dashboard!$R$4="All",Data!G1421,IF(Data!K1421=Dashboard!$R$4,Data!G1421,NA()))</f>
        <v>#N/A</v>
      </c>
      <c r="L870" t="str">
        <f t="shared" si="130"/>
        <v/>
      </c>
      <c r="M870" t="str">
        <f t="shared" si="131"/>
        <v/>
      </c>
      <c r="N870" t="str">
        <f t="shared" si="132"/>
        <v/>
      </c>
      <c r="O870" t="str">
        <f>IF(L870&lt;&gt;"",Data!$M1421,"")</f>
        <v/>
      </c>
      <c r="T870">
        <f>IF(OR(Dashboard!$P$4="All",Dashboard!$R$4="All"),NA(),IF(OR(Data!K1421&lt;&gt;Dashboard!$P$4,Data!K1421&lt;&gt;Dashboard!$R$4),Data!G1421,NA()))</f>
        <v>8547.8000099724322</v>
      </c>
      <c r="V870" s="9"/>
    </row>
    <row r="871" spans="2:22">
      <c r="B871" t="e">
        <f>IF(Dashboard!$P$4="All",Data!G1422,IF(Data!K1422=Dashboard!$P$4,Data!G1422,NA()))</f>
        <v>#N/A</v>
      </c>
      <c r="C871" t="str">
        <f t="shared" si="127"/>
        <v/>
      </c>
      <c r="D871" t="str">
        <f t="shared" si="128"/>
        <v/>
      </c>
      <c r="E871" t="str">
        <f t="shared" si="129"/>
        <v/>
      </c>
      <c r="F871" t="str">
        <f>IF(C871&lt;&gt;"",Data!$M1422,"")</f>
        <v/>
      </c>
      <c r="K871" t="e">
        <f>IF(Dashboard!$R$4="All",Data!G1422,IF(Data!K1422=Dashboard!$R$4,Data!G1422,NA()))</f>
        <v>#N/A</v>
      </c>
      <c r="L871" t="str">
        <f t="shared" si="130"/>
        <v/>
      </c>
      <c r="M871" t="str">
        <f t="shared" si="131"/>
        <v/>
      </c>
      <c r="N871" t="str">
        <f t="shared" si="132"/>
        <v/>
      </c>
      <c r="O871" t="str">
        <f>IF(L871&lt;&gt;"",Data!$M1422,"")</f>
        <v/>
      </c>
      <c r="T871">
        <f>IF(OR(Dashboard!$P$4="All",Dashboard!$R$4="All"),NA(),IF(OR(Data!K1422&lt;&gt;Dashboard!$P$4,Data!K1422&lt;&gt;Dashboard!$R$4),Data!G1422,NA()))</f>
        <v>16027.125018698311</v>
      </c>
      <c r="V871" s="9"/>
    </row>
    <row r="872" spans="2:22">
      <c r="B872" t="e">
        <f>IF(Dashboard!$P$4="All",Data!G1423,IF(Data!K1423=Dashboard!$P$4,Data!G1423,NA()))</f>
        <v>#N/A</v>
      </c>
      <c r="C872" t="str">
        <f t="shared" si="127"/>
        <v/>
      </c>
      <c r="D872" t="str">
        <f t="shared" si="128"/>
        <v/>
      </c>
      <c r="E872" t="str">
        <f t="shared" si="129"/>
        <v/>
      </c>
      <c r="F872" t="str">
        <f>IF(C872&lt;&gt;"",Data!$M1423,"")</f>
        <v/>
      </c>
      <c r="K872" t="e">
        <f>IF(Dashboard!$R$4="All",Data!G1423,IF(Data!K1423=Dashboard!$R$4,Data!G1423,NA()))</f>
        <v>#N/A</v>
      </c>
      <c r="L872" t="str">
        <f t="shared" si="130"/>
        <v/>
      </c>
      <c r="M872" t="str">
        <f t="shared" si="131"/>
        <v/>
      </c>
      <c r="N872" t="str">
        <f t="shared" si="132"/>
        <v/>
      </c>
      <c r="O872" t="str">
        <f>IF(L872&lt;&gt;"",Data!$M1423,"")</f>
        <v/>
      </c>
      <c r="T872">
        <f>IF(OR(Dashboard!$P$4="All",Dashboard!$R$4="All"),NA(),IF(OR(Data!K1423&lt;&gt;Dashboard!$P$4,Data!K1423&lt;&gt;Dashboard!$R$4),Data!G1423,NA()))</f>
        <v>10684.750012465542</v>
      </c>
      <c r="V872" s="9"/>
    </row>
    <row r="873" spans="2:22">
      <c r="B873" t="e">
        <f>IF(Dashboard!$P$4="All",Data!G1424,IF(Data!K1424=Dashboard!$P$4,Data!G1424,NA()))</f>
        <v>#N/A</v>
      </c>
      <c r="C873" t="str">
        <f t="shared" si="127"/>
        <v/>
      </c>
      <c r="D873" t="str">
        <f t="shared" si="128"/>
        <v/>
      </c>
      <c r="E873" t="str">
        <f t="shared" si="129"/>
        <v/>
      </c>
      <c r="F873" t="str">
        <f>IF(C873&lt;&gt;"",Data!$M1424,"")</f>
        <v/>
      </c>
      <c r="K873" t="e">
        <f>IF(Dashboard!$R$4="All",Data!G1424,IF(Data!K1424=Dashboard!$R$4,Data!G1424,NA()))</f>
        <v>#N/A</v>
      </c>
      <c r="L873" t="str">
        <f t="shared" si="130"/>
        <v/>
      </c>
      <c r="M873" t="str">
        <f t="shared" si="131"/>
        <v/>
      </c>
      <c r="N873" t="str">
        <f t="shared" si="132"/>
        <v/>
      </c>
      <c r="O873" t="str">
        <f>IF(L873&lt;&gt;"",Data!$M1424,"")</f>
        <v/>
      </c>
      <c r="T873">
        <f>IF(OR(Dashboard!$P$4="All",Dashboard!$R$4="All"),NA(),IF(OR(Data!K1424&lt;&gt;Dashboard!$P$4,Data!K1424&lt;&gt;Dashboard!$R$4),Data!G1424,NA()))</f>
        <v>30000</v>
      </c>
      <c r="V873" s="9"/>
    </row>
    <row r="874" spans="2:22">
      <c r="B874" t="e">
        <f>IF(Dashboard!$P$4="All",Data!G1425,IF(Data!K1425=Dashboard!$P$4,Data!G1425,NA()))</f>
        <v>#N/A</v>
      </c>
      <c r="C874" t="str">
        <f t="shared" si="127"/>
        <v/>
      </c>
      <c r="D874" t="str">
        <f t="shared" si="128"/>
        <v/>
      </c>
      <c r="E874" t="str">
        <f t="shared" si="129"/>
        <v/>
      </c>
      <c r="F874" t="str">
        <f>IF(C874&lt;&gt;"",Data!$M1425,"")</f>
        <v/>
      </c>
      <c r="K874" t="e">
        <f>IF(Dashboard!$R$4="All",Data!G1425,IF(Data!K1425=Dashboard!$R$4,Data!G1425,NA()))</f>
        <v>#N/A</v>
      </c>
      <c r="L874" t="str">
        <f t="shared" si="130"/>
        <v/>
      </c>
      <c r="M874" t="str">
        <f t="shared" si="131"/>
        <v/>
      </c>
      <c r="N874" t="str">
        <f t="shared" si="132"/>
        <v/>
      </c>
      <c r="O874" t="str">
        <f>IF(L874&lt;&gt;"",Data!$M1425,"")</f>
        <v/>
      </c>
      <c r="T874">
        <f>IF(OR(Dashboard!$P$4="All",Dashboard!$R$4="All"),NA(),IF(OR(Data!K1425&lt;&gt;Dashboard!$P$4,Data!K1425&lt;&gt;Dashboard!$R$4),Data!G1425,NA()))</f>
        <v>8903.9583437212841</v>
      </c>
      <c r="V874" s="9"/>
    </row>
    <row r="875" spans="2:22">
      <c r="B875" t="e">
        <f>IF(Dashboard!$P$4="All",Data!G1426,IF(Data!K1426=Dashboard!$P$4,Data!G1426,NA()))</f>
        <v>#N/A</v>
      </c>
      <c r="C875" t="str">
        <f t="shared" si="127"/>
        <v/>
      </c>
      <c r="D875" t="str">
        <f t="shared" si="128"/>
        <v/>
      </c>
      <c r="E875" t="str">
        <f t="shared" si="129"/>
        <v/>
      </c>
      <c r="F875" t="str">
        <f>IF(C875&lt;&gt;"",Data!$M1426,"")</f>
        <v/>
      </c>
      <c r="K875" t="e">
        <f>IF(Dashboard!$R$4="All",Data!G1426,IF(Data!K1426=Dashboard!$R$4,Data!G1426,NA()))</f>
        <v>#N/A</v>
      </c>
      <c r="L875" t="str">
        <f t="shared" si="130"/>
        <v/>
      </c>
      <c r="M875" t="str">
        <f t="shared" si="131"/>
        <v/>
      </c>
      <c r="N875" t="str">
        <f t="shared" si="132"/>
        <v/>
      </c>
      <c r="O875" t="str">
        <f>IF(L875&lt;&gt;"",Data!$M1426,"")</f>
        <v/>
      </c>
      <c r="T875">
        <f>IF(OR(Dashboard!$P$4="All",Dashboard!$R$4="All"),NA(),IF(OR(Data!K1426&lt;&gt;Dashboard!$P$4,Data!K1426&lt;&gt;Dashboard!$R$4),Data!G1426,NA()))</f>
        <v>20000</v>
      </c>
      <c r="V875" s="9"/>
    </row>
    <row r="876" spans="2:22">
      <c r="B876" t="e">
        <f>IF(Dashboard!$P$4="All",Data!G1427,IF(Data!K1427=Dashboard!$P$4,Data!G1427,NA()))</f>
        <v>#N/A</v>
      </c>
      <c r="C876" t="str">
        <f t="shared" si="127"/>
        <v/>
      </c>
      <c r="D876" t="str">
        <f t="shared" si="128"/>
        <v/>
      </c>
      <c r="E876" t="str">
        <f t="shared" si="129"/>
        <v/>
      </c>
      <c r="F876" t="str">
        <f>IF(C876&lt;&gt;"",Data!$M1427,"")</f>
        <v/>
      </c>
      <c r="K876" t="e">
        <f>IF(Dashboard!$R$4="All",Data!G1427,IF(Data!K1427=Dashboard!$R$4,Data!G1427,NA()))</f>
        <v>#N/A</v>
      </c>
      <c r="L876" t="str">
        <f t="shared" si="130"/>
        <v/>
      </c>
      <c r="M876" t="str">
        <f t="shared" si="131"/>
        <v/>
      </c>
      <c r="N876" t="str">
        <f t="shared" si="132"/>
        <v/>
      </c>
      <c r="O876" t="str">
        <f>IF(L876&lt;&gt;"",Data!$M1427,"")</f>
        <v/>
      </c>
      <c r="T876">
        <f>IF(OR(Dashboard!$P$4="All",Dashboard!$R$4="All"),NA(),IF(OR(Data!K1427&lt;&gt;Dashboard!$P$4,Data!K1427&lt;&gt;Dashboard!$R$4),Data!G1427,NA()))</f>
        <v>87712.230450626681</v>
      </c>
      <c r="V876" s="9"/>
    </row>
    <row r="877" spans="2:22">
      <c r="B877" t="e">
        <f>IF(Dashboard!$P$4="All",Data!G1428,IF(Data!K1428=Dashboard!$P$4,Data!G1428,NA()))</f>
        <v>#N/A</v>
      </c>
      <c r="C877" t="str">
        <f t="shared" si="127"/>
        <v/>
      </c>
      <c r="D877" t="str">
        <f t="shared" si="128"/>
        <v/>
      </c>
      <c r="E877" t="str">
        <f t="shared" si="129"/>
        <v/>
      </c>
      <c r="F877" t="str">
        <f>IF(C877&lt;&gt;"",Data!$M1428,"")</f>
        <v/>
      </c>
      <c r="K877" t="e">
        <f>IF(Dashboard!$R$4="All",Data!G1428,IF(Data!K1428=Dashboard!$R$4,Data!G1428,NA()))</f>
        <v>#N/A</v>
      </c>
      <c r="L877" t="str">
        <f t="shared" si="130"/>
        <v/>
      </c>
      <c r="M877" t="str">
        <f t="shared" si="131"/>
        <v/>
      </c>
      <c r="N877" t="str">
        <f t="shared" si="132"/>
        <v/>
      </c>
      <c r="O877" t="str">
        <f>IF(L877&lt;&gt;"",Data!$M1428,"")</f>
        <v/>
      </c>
      <c r="T877">
        <f>IF(OR(Dashboard!$P$4="All",Dashboard!$R$4="All"),NA(),IF(OR(Data!K1428&lt;&gt;Dashboard!$P$4,Data!K1428&lt;&gt;Dashboard!$R$4),Data!G1428,NA()))</f>
        <v>17807.916687442568</v>
      </c>
      <c r="V877" s="9"/>
    </row>
    <row r="878" spans="2:22">
      <c r="B878" t="e">
        <f>IF(Dashboard!$P$4="All",Data!G1429,IF(Data!K1429=Dashboard!$P$4,Data!G1429,NA()))</f>
        <v>#N/A</v>
      </c>
      <c r="C878" t="str">
        <f t="shared" si="127"/>
        <v/>
      </c>
      <c r="D878" t="str">
        <f t="shared" si="128"/>
        <v/>
      </c>
      <c r="E878" t="str">
        <f t="shared" si="129"/>
        <v/>
      </c>
      <c r="F878" t="str">
        <f>IF(C878&lt;&gt;"",Data!$M1429,"")</f>
        <v/>
      </c>
      <c r="K878" t="e">
        <f>IF(Dashboard!$R$4="All",Data!G1429,IF(Data!K1429=Dashboard!$R$4,Data!G1429,NA()))</f>
        <v>#N/A</v>
      </c>
      <c r="L878" t="str">
        <f t="shared" si="130"/>
        <v/>
      </c>
      <c r="M878" t="str">
        <f t="shared" si="131"/>
        <v/>
      </c>
      <c r="N878" t="str">
        <f t="shared" si="132"/>
        <v/>
      </c>
      <c r="O878" t="str">
        <f>IF(L878&lt;&gt;"",Data!$M1429,"")</f>
        <v/>
      </c>
      <c r="T878">
        <f>IF(OR(Dashboard!$P$4="All",Dashboard!$R$4="All"),NA(),IF(OR(Data!K1429&lt;&gt;Dashboard!$P$4,Data!K1429&lt;&gt;Dashboard!$R$4),Data!G1429,NA()))</f>
        <v>41000</v>
      </c>
      <c r="V878" s="9"/>
    </row>
    <row r="879" spans="2:22">
      <c r="B879" t="e">
        <f>IF(Dashboard!$P$4="All",Data!G1430,IF(Data!K1430=Dashboard!$P$4,Data!G1430,NA()))</f>
        <v>#N/A</v>
      </c>
      <c r="C879" t="str">
        <f t="shared" si="127"/>
        <v/>
      </c>
      <c r="D879" t="str">
        <f t="shared" si="128"/>
        <v/>
      </c>
      <c r="E879" t="str">
        <f t="shared" si="129"/>
        <v/>
      </c>
      <c r="F879" t="str">
        <f>IF(C879&lt;&gt;"",Data!$M1430,"")</f>
        <v/>
      </c>
      <c r="K879" t="e">
        <f>IF(Dashboard!$R$4="All",Data!G1430,IF(Data!K1430=Dashboard!$R$4,Data!G1430,NA()))</f>
        <v>#N/A</v>
      </c>
      <c r="L879" t="str">
        <f t="shared" si="130"/>
        <v/>
      </c>
      <c r="M879" t="str">
        <f t="shared" si="131"/>
        <v/>
      </c>
      <c r="N879" t="str">
        <f t="shared" si="132"/>
        <v/>
      </c>
      <c r="O879" t="str">
        <f>IF(L879&lt;&gt;"",Data!$M1430,"")</f>
        <v/>
      </c>
      <c r="T879">
        <f>IF(OR(Dashboard!$P$4="All",Dashboard!$R$4="All"),NA(),IF(OR(Data!K1430&lt;&gt;Dashboard!$P$4,Data!K1430&lt;&gt;Dashboard!$R$4),Data!G1430,NA()))</f>
        <v>60000</v>
      </c>
      <c r="V879" s="9"/>
    </row>
    <row r="880" spans="2:22">
      <c r="B880" t="e">
        <f>IF(Dashboard!$P$4="All",Data!G1431,IF(Data!K1431=Dashboard!$P$4,Data!G1431,NA()))</f>
        <v>#N/A</v>
      </c>
      <c r="C880" t="str">
        <f t="shared" si="127"/>
        <v/>
      </c>
      <c r="D880" t="str">
        <f t="shared" si="128"/>
        <v/>
      </c>
      <c r="E880" t="str">
        <f t="shared" si="129"/>
        <v/>
      </c>
      <c r="F880" t="str">
        <f>IF(C880&lt;&gt;"",Data!$M1431,"")</f>
        <v/>
      </c>
      <c r="K880" t="e">
        <f>IF(Dashboard!$R$4="All",Data!G1431,IF(Data!K1431=Dashboard!$R$4,Data!G1431,NA()))</f>
        <v>#N/A</v>
      </c>
      <c r="L880" t="str">
        <f t="shared" si="130"/>
        <v/>
      </c>
      <c r="M880" t="str">
        <f t="shared" si="131"/>
        <v/>
      </c>
      <c r="N880" t="str">
        <f t="shared" si="132"/>
        <v/>
      </c>
      <c r="O880" t="str">
        <f>IF(L880&lt;&gt;"",Data!$M1431,"")</f>
        <v/>
      </c>
      <c r="T880">
        <f>IF(OR(Dashboard!$P$4="All",Dashboard!$R$4="All"),NA(),IF(OR(Data!K1431&lt;&gt;Dashboard!$P$4,Data!K1431&lt;&gt;Dashboard!$R$4),Data!G1431,NA()))</f>
        <v>32187.34988380854</v>
      </c>
      <c r="V880" s="9"/>
    </row>
    <row r="881" spans="2:22">
      <c r="B881" t="e">
        <f>IF(Dashboard!$P$4="All",Data!G1432,IF(Data!K1432=Dashboard!$P$4,Data!G1432,NA()))</f>
        <v>#N/A</v>
      </c>
      <c r="C881" t="str">
        <f t="shared" si="127"/>
        <v/>
      </c>
      <c r="D881" t="str">
        <f t="shared" si="128"/>
        <v/>
      </c>
      <c r="E881" t="str">
        <f t="shared" si="129"/>
        <v/>
      </c>
      <c r="F881" t="str">
        <f>IF(C881&lt;&gt;"",Data!$M1432,"")</f>
        <v/>
      </c>
      <c r="K881" t="e">
        <f>IF(Dashboard!$R$4="All",Data!G1432,IF(Data!K1432=Dashboard!$R$4,Data!G1432,NA()))</f>
        <v>#N/A</v>
      </c>
      <c r="L881" t="str">
        <f t="shared" si="130"/>
        <v/>
      </c>
      <c r="M881" t="str">
        <f t="shared" si="131"/>
        <v/>
      </c>
      <c r="N881" t="str">
        <f t="shared" si="132"/>
        <v/>
      </c>
      <c r="O881" t="str">
        <f>IF(L881&lt;&gt;"",Data!$M1432,"")</f>
        <v/>
      </c>
      <c r="T881">
        <f>IF(OR(Dashboard!$P$4="All",Dashboard!$R$4="All"),NA(),IF(OR(Data!K1432&lt;&gt;Dashboard!$P$4,Data!K1432&lt;&gt;Dashboard!$R$4),Data!G1432,NA()))</f>
        <v>39879.404680246938</v>
      </c>
      <c r="V881" s="9"/>
    </row>
    <row r="882" spans="2:22">
      <c r="B882" t="e">
        <f>IF(Dashboard!$P$4="All",Data!G1433,IF(Data!K1433=Dashboard!$P$4,Data!G1433,NA()))</f>
        <v>#N/A</v>
      </c>
      <c r="C882" t="str">
        <f t="shared" si="127"/>
        <v/>
      </c>
      <c r="D882" t="str">
        <f t="shared" si="128"/>
        <v/>
      </c>
      <c r="E882" t="str">
        <f t="shared" si="129"/>
        <v/>
      </c>
      <c r="F882" t="str">
        <f>IF(C882&lt;&gt;"",Data!$M1433,"")</f>
        <v/>
      </c>
      <c r="K882" t="e">
        <f>IF(Dashboard!$R$4="All",Data!G1433,IF(Data!K1433=Dashboard!$R$4,Data!G1433,NA()))</f>
        <v>#N/A</v>
      </c>
      <c r="L882" t="str">
        <f t="shared" si="130"/>
        <v/>
      </c>
      <c r="M882" t="str">
        <f t="shared" si="131"/>
        <v/>
      </c>
      <c r="N882" t="str">
        <f t="shared" si="132"/>
        <v/>
      </c>
      <c r="O882" t="str">
        <f>IF(L882&lt;&gt;"",Data!$M1433,"")</f>
        <v/>
      </c>
      <c r="T882">
        <f>IF(OR(Dashboard!$P$4="All",Dashboard!$R$4="All"),NA(),IF(OR(Data!K1433&lt;&gt;Dashboard!$P$4,Data!K1433&lt;&gt;Dashboard!$R$4),Data!G1433,NA()))</f>
        <v>5698.5333399816218</v>
      </c>
      <c r="V882" s="9"/>
    </row>
    <row r="883" spans="2:22">
      <c r="B883" t="e">
        <f>IF(Dashboard!$P$4="All",Data!G1434,IF(Data!K1434=Dashboard!$P$4,Data!G1434,NA()))</f>
        <v>#N/A</v>
      </c>
      <c r="C883" t="str">
        <f t="shared" si="127"/>
        <v/>
      </c>
      <c r="D883" t="str">
        <f t="shared" si="128"/>
        <v/>
      </c>
      <c r="E883" t="str">
        <f t="shared" si="129"/>
        <v/>
      </c>
      <c r="F883" t="str">
        <f>IF(C883&lt;&gt;"",Data!$M1434,"")</f>
        <v/>
      </c>
      <c r="K883" t="e">
        <f>IF(Dashboard!$R$4="All",Data!G1434,IF(Data!K1434=Dashboard!$R$4,Data!G1434,NA()))</f>
        <v>#N/A</v>
      </c>
      <c r="L883" t="str">
        <f t="shared" si="130"/>
        <v/>
      </c>
      <c r="M883" t="str">
        <f t="shared" si="131"/>
        <v/>
      </c>
      <c r="N883" t="str">
        <f t="shared" si="132"/>
        <v/>
      </c>
      <c r="O883" t="str">
        <f>IF(L883&lt;&gt;"",Data!$M1434,"")</f>
        <v/>
      </c>
      <c r="T883">
        <f>IF(OR(Dashboard!$P$4="All",Dashboard!$R$4="All"),NA(),IF(OR(Data!K1434&lt;&gt;Dashboard!$P$4,Data!K1434&lt;&gt;Dashboard!$R$4),Data!G1434,NA()))</f>
        <v>7123.1666749770275</v>
      </c>
      <c r="V883" s="9"/>
    </row>
    <row r="884" spans="2:22">
      <c r="B884" t="e">
        <f>IF(Dashboard!$P$4="All",Data!G1435,IF(Data!K1435=Dashboard!$P$4,Data!G1435,NA()))</f>
        <v>#N/A</v>
      </c>
      <c r="C884" t="str">
        <f t="shared" si="127"/>
        <v/>
      </c>
      <c r="D884" t="str">
        <f t="shared" si="128"/>
        <v/>
      </c>
      <c r="E884" t="str">
        <f t="shared" si="129"/>
        <v/>
      </c>
      <c r="F884" t="str">
        <f>IF(C884&lt;&gt;"",Data!$M1435,"")</f>
        <v/>
      </c>
      <c r="K884" t="e">
        <f>IF(Dashboard!$R$4="All",Data!G1435,IF(Data!K1435=Dashboard!$R$4,Data!G1435,NA()))</f>
        <v>#N/A</v>
      </c>
      <c r="L884" t="str">
        <f t="shared" si="130"/>
        <v/>
      </c>
      <c r="M884" t="str">
        <f t="shared" si="131"/>
        <v/>
      </c>
      <c r="N884" t="str">
        <f t="shared" si="132"/>
        <v/>
      </c>
      <c r="O884" t="str">
        <f>IF(L884&lt;&gt;"",Data!$M1435,"")</f>
        <v/>
      </c>
      <c r="T884">
        <f>IF(OR(Dashboard!$P$4="All",Dashboard!$R$4="All"),NA(),IF(OR(Data!K1435&lt;&gt;Dashboard!$P$4,Data!K1435&lt;&gt;Dashboard!$R$4),Data!G1435,NA()))</f>
        <v>4451.9791718606421</v>
      </c>
      <c r="V884" s="9"/>
    </row>
    <row r="885" spans="2:22">
      <c r="B885" t="e">
        <f>IF(Dashboard!$P$4="All",Data!G1436,IF(Data!K1436=Dashboard!$P$4,Data!G1436,NA()))</f>
        <v>#N/A</v>
      </c>
      <c r="C885" t="str">
        <f t="shared" si="127"/>
        <v/>
      </c>
      <c r="D885" t="str">
        <f t="shared" si="128"/>
        <v/>
      </c>
      <c r="E885" t="str">
        <f t="shared" si="129"/>
        <v/>
      </c>
      <c r="F885" t="str">
        <f>IF(C885&lt;&gt;"",Data!$M1436,"")</f>
        <v/>
      </c>
      <c r="K885" t="e">
        <f>IF(Dashboard!$R$4="All",Data!G1436,IF(Data!K1436=Dashboard!$R$4,Data!G1436,NA()))</f>
        <v>#N/A</v>
      </c>
      <c r="L885" t="str">
        <f t="shared" si="130"/>
        <v/>
      </c>
      <c r="M885" t="str">
        <f t="shared" si="131"/>
        <v/>
      </c>
      <c r="N885" t="str">
        <f t="shared" si="132"/>
        <v/>
      </c>
      <c r="O885" t="str">
        <f>IF(L885&lt;&gt;"",Data!$M1436,"")</f>
        <v/>
      </c>
      <c r="T885">
        <f>IF(OR(Dashboard!$P$4="All",Dashboard!$R$4="All"),NA(),IF(OR(Data!K1436&lt;&gt;Dashboard!$P$4,Data!K1436&lt;&gt;Dashboard!$R$4),Data!G1436,NA()))</f>
        <v>6410.8500074793246</v>
      </c>
      <c r="V885" s="9"/>
    </row>
    <row r="886" spans="2:22">
      <c r="B886" t="e">
        <f>IF(Dashboard!$P$4="All",Data!G1437,IF(Data!K1437=Dashboard!$P$4,Data!G1437,NA()))</f>
        <v>#N/A</v>
      </c>
      <c r="C886" t="str">
        <f t="shared" si="127"/>
        <v/>
      </c>
      <c r="D886" t="str">
        <f t="shared" si="128"/>
        <v/>
      </c>
      <c r="E886" t="str">
        <f t="shared" si="129"/>
        <v/>
      </c>
      <c r="F886" t="str">
        <f>IF(C886&lt;&gt;"",Data!$M1437,"")</f>
        <v/>
      </c>
      <c r="K886" t="e">
        <f>IF(Dashboard!$R$4="All",Data!G1437,IF(Data!K1437=Dashboard!$R$4,Data!G1437,NA()))</f>
        <v>#N/A</v>
      </c>
      <c r="L886" t="str">
        <f t="shared" si="130"/>
        <v/>
      </c>
      <c r="M886" t="str">
        <f t="shared" si="131"/>
        <v/>
      </c>
      <c r="N886" t="str">
        <f t="shared" si="132"/>
        <v/>
      </c>
      <c r="O886" t="str">
        <f>IF(L886&lt;&gt;"",Data!$M1437,"")</f>
        <v/>
      </c>
      <c r="T886">
        <f>IF(OR(Dashboard!$P$4="All",Dashboard!$R$4="All"),NA(),IF(OR(Data!K1437&lt;&gt;Dashboard!$P$4,Data!K1437&lt;&gt;Dashboard!$R$4),Data!G1437,NA()))</f>
        <v>20479.104190558952</v>
      </c>
      <c r="V886" s="9"/>
    </row>
    <row r="887" spans="2:22">
      <c r="B887" t="e">
        <f>IF(Dashboard!$P$4="All",Data!G1438,IF(Data!K1438=Dashboard!$P$4,Data!G1438,NA()))</f>
        <v>#N/A</v>
      </c>
      <c r="C887" t="str">
        <f t="shared" si="127"/>
        <v/>
      </c>
      <c r="D887" t="str">
        <f t="shared" si="128"/>
        <v/>
      </c>
      <c r="E887" t="str">
        <f t="shared" si="129"/>
        <v/>
      </c>
      <c r="F887" t="str">
        <f>IF(C887&lt;&gt;"",Data!$M1438,"")</f>
        <v/>
      </c>
      <c r="K887" t="e">
        <f>IF(Dashboard!$R$4="All",Data!G1438,IF(Data!K1438=Dashboard!$R$4,Data!G1438,NA()))</f>
        <v>#N/A</v>
      </c>
      <c r="L887" t="str">
        <f t="shared" si="130"/>
        <v/>
      </c>
      <c r="M887" t="str">
        <f t="shared" si="131"/>
        <v/>
      </c>
      <c r="N887" t="str">
        <f t="shared" si="132"/>
        <v/>
      </c>
      <c r="O887" t="str">
        <f>IF(L887&lt;&gt;"",Data!$M1438,"")</f>
        <v/>
      </c>
      <c r="T887">
        <f>IF(OR(Dashboard!$P$4="All",Dashboard!$R$4="All"),NA(),IF(OR(Data!K1438&lt;&gt;Dashboard!$P$4,Data!K1438&lt;&gt;Dashboard!$R$4),Data!G1438,NA()))</f>
        <v>11040.908346214392</v>
      </c>
      <c r="V887" s="9"/>
    </row>
    <row r="888" spans="2:22">
      <c r="B888" t="e">
        <f>IF(Dashboard!$P$4="All",Data!G1439,IF(Data!K1439=Dashboard!$P$4,Data!G1439,NA()))</f>
        <v>#N/A</v>
      </c>
      <c r="C888" t="str">
        <f t="shared" si="127"/>
        <v/>
      </c>
      <c r="D888" t="str">
        <f t="shared" si="128"/>
        <v/>
      </c>
      <c r="E888" t="str">
        <f t="shared" si="129"/>
        <v/>
      </c>
      <c r="F888" t="str">
        <f>IF(C888&lt;&gt;"",Data!$M1439,"")</f>
        <v/>
      </c>
      <c r="K888" t="e">
        <f>IF(Dashboard!$R$4="All",Data!G1439,IF(Data!K1439=Dashboard!$R$4,Data!G1439,NA()))</f>
        <v>#N/A</v>
      </c>
      <c r="L888" t="str">
        <f t="shared" si="130"/>
        <v/>
      </c>
      <c r="M888" t="str">
        <f t="shared" si="131"/>
        <v/>
      </c>
      <c r="N888" t="str">
        <f t="shared" si="132"/>
        <v/>
      </c>
      <c r="O888" t="str">
        <f>IF(L888&lt;&gt;"",Data!$M1439,"")</f>
        <v/>
      </c>
      <c r="T888">
        <f>IF(OR(Dashboard!$P$4="All",Dashboard!$R$4="All"),NA(),IF(OR(Data!K1439&lt;&gt;Dashboard!$P$4,Data!K1439&lt;&gt;Dashboard!$R$4),Data!G1439,NA()))</f>
        <v>17807.916687442568</v>
      </c>
      <c r="V888" s="9"/>
    </row>
    <row r="889" spans="2:22">
      <c r="B889" t="e">
        <f>IF(Dashboard!$P$4="All",Data!G1440,IF(Data!K1440=Dashboard!$P$4,Data!G1440,NA()))</f>
        <v>#N/A</v>
      </c>
      <c r="C889" t="str">
        <f t="shared" si="127"/>
        <v/>
      </c>
      <c r="D889" t="str">
        <f t="shared" si="128"/>
        <v/>
      </c>
      <c r="E889" t="str">
        <f t="shared" si="129"/>
        <v/>
      </c>
      <c r="F889" t="str">
        <f>IF(C889&lt;&gt;"",Data!$M1440,"")</f>
        <v/>
      </c>
      <c r="K889" t="e">
        <f>IF(Dashboard!$R$4="All",Data!G1440,IF(Data!K1440=Dashboard!$R$4,Data!G1440,NA()))</f>
        <v>#N/A</v>
      </c>
      <c r="L889" t="str">
        <f t="shared" si="130"/>
        <v/>
      </c>
      <c r="M889" t="str">
        <f t="shared" si="131"/>
        <v/>
      </c>
      <c r="N889" t="str">
        <f t="shared" si="132"/>
        <v/>
      </c>
      <c r="O889" t="str">
        <f>IF(L889&lt;&gt;"",Data!$M1440,"")</f>
        <v/>
      </c>
      <c r="T889">
        <f>IF(OR(Dashboard!$P$4="All",Dashboard!$R$4="All"),NA(),IF(OR(Data!K1440&lt;&gt;Dashboard!$P$4,Data!K1440&lt;&gt;Dashboard!$R$4),Data!G1440,NA()))</f>
        <v>3561.5833374885137</v>
      </c>
      <c r="V889" s="9"/>
    </row>
    <row r="890" spans="2:22">
      <c r="B890" t="e">
        <f>IF(Dashboard!$P$4="All",Data!G1441,IF(Data!K1441=Dashboard!$P$4,Data!G1441,NA()))</f>
        <v>#N/A</v>
      </c>
      <c r="C890" t="str">
        <f t="shared" si="127"/>
        <v/>
      </c>
      <c r="D890" t="str">
        <f t="shared" si="128"/>
        <v/>
      </c>
      <c r="E890" t="str">
        <f t="shared" si="129"/>
        <v/>
      </c>
      <c r="F890" t="str">
        <f>IF(C890&lt;&gt;"",Data!$M1441,"")</f>
        <v/>
      </c>
      <c r="K890">
        <f>IF(Dashboard!$R$4="All",Data!G1441,IF(Data!K1441=Dashboard!$R$4,Data!G1441,NA()))</f>
        <v>26795.030625143831</v>
      </c>
      <c r="L890">
        <f t="shared" si="130"/>
        <v>26795.030625143831</v>
      </c>
      <c r="M890" t="str">
        <f t="shared" si="131"/>
        <v/>
      </c>
      <c r="N890">
        <f t="shared" si="132"/>
        <v>26795.030625143831</v>
      </c>
      <c r="O890">
        <f>IF(L890&lt;&gt;"",Data!$M1441,"")</f>
        <v>5</v>
      </c>
      <c r="T890">
        <f>IF(OR(Dashboard!$P$4="All",Dashboard!$R$4="All"),NA(),IF(OR(Data!K1441&lt;&gt;Dashboard!$P$4,Data!K1441&lt;&gt;Dashboard!$R$4),Data!G1441,NA()))</f>
        <v>26795.030625143831</v>
      </c>
      <c r="V890" s="9"/>
    </row>
    <row r="891" spans="2:22">
      <c r="B891" t="e">
        <f>IF(Dashboard!$P$4="All",Data!G1442,IF(Data!K1442=Dashboard!$P$4,Data!G1442,NA()))</f>
        <v>#N/A</v>
      </c>
      <c r="C891" t="str">
        <f t="shared" si="127"/>
        <v/>
      </c>
      <c r="D891" t="str">
        <f t="shared" si="128"/>
        <v/>
      </c>
      <c r="E891" t="str">
        <f t="shared" si="129"/>
        <v/>
      </c>
      <c r="F891" t="str">
        <f>IF(C891&lt;&gt;"",Data!$M1442,"")</f>
        <v/>
      </c>
      <c r="K891" t="e">
        <f>IF(Dashboard!$R$4="All",Data!G1442,IF(Data!K1442=Dashboard!$R$4,Data!G1442,NA()))</f>
        <v>#N/A</v>
      </c>
      <c r="L891" t="str">
        <f t="shared" si="130"/>
        <v/>
      </c>
      <c r="M891" t="str">
        <f t="shared" si="131"/>
        <v/>
      </c>
      <c r="N891" t="str">
        <f t="shared" si="132"/>
        <v/>
      </c>
      <c r="O891" t="str">
        <f>IF(L891&lt;&gt;"",Data!$M1442,"")</f>
        <v/>
      </c>
      <c r="T891">
        <f>IF(OR(Dashboard!$P$4="All",Dashboard!$R$4="All"),NA(),IF(OR(Data!K1442&lt;&gt;Dashboard!$P$4,Data!K1442&lt;&gt;Dashboard!$R$4),Data!G1442,NA()))</f>
        <v>20400</v>
      </c>
      <c r="V891" s="9"/>
    </row>
    <row r="892" spans="2:22">
      <c r="B892" t="e">
        <f>IF(Dashboard!$P$4="All",Data!G1443,IF(Data!K1443=Dashboard!$P$4,Data!G1443,NA()))</f>
        <v>#N/A</v>
      </c>
      <c r="C892" t="str">
        <f t="shared" si="127"/>
        <v/>
      </c>
      <c r="D892" t="str">
        <f t="shared" si="128"/>
        <v/>
      </c>
      <c r="E892" t="str">
        <f t="shared" si="129"/>
        <v/>
      </c>
      <c r="F892" t="str">
        <f>IF(C892&lt;&gt;"",Data!$M1443,"")</f>
        <v/>
      </c>
      <c r="K892">
        <f>IF(Dashboard!$R$4="All",Data!G1443,IF(Data!K1443=Dashboard!$R$4,Data!G1443,NA()))</f>
        <v>39404.456801682099</v>
      </c>
      <c r="L892">
        <f t="shared" si="130"/>
        <v>39404.456801682099</v>
      </c>
      <c r="M892" t="str">
        <f t="shared" si="131"/>
        <v/>
      </c>
      <c r="N892" t="str">
        <f t="shared" si="132"/>
        <v/>
      </c>
      <c r="O892">
        <f>IF(L892&lt;&gt;"",Data!$M1443,"")</f>
        <v>35</v>
      </c>
      <c r="T892">
        <f>IF(OR(Dashboard!$P$4="All",Dashboard!$R$4="All"),NA(),IF(OR(Data!K1443&lt;&gt;Dashboard!$P$4,Data!K1443&lt;&gt;Dashboard!$R$4),Data!G1443,NA()))</f>
        <v>39404.456801682099</v>
      </c>
      <c r="V892" s="9"/>
    </row>
    <row r="893" spans="2:22">
      <c r="B893" t="e">
        <f>IF(Dashboard!$P$4="All",Data!G1444,IF(Data!K1444=Dashboard!$P$4,Data!G1444,NA()))</f>
        <v>#N/A</v>
      </c>
      <c r="C893" t="str">
        <f t="shared" si="127"/>
        <v/>
      </c>
      <c r="D893" t="str">
        <f t="shared" si="128"/>
        <v/>
      </c>
      <c r="E893" t="str">
        <f t="shared" si="129"/>
        <v/>
      </c>
      <c r="F893" t="str">
        <f>IF(C893&lt;&gt;"",Data!$M1444,"")</f>
        <v/>
      </c>
      <c r="K893" t="e">
        <f>IF(Dashboard!$R$4="All",Data!G1444,IF(Data!K1444=Dashboard!$R$4,Data!G1444,NA()))</f>
        <v>#N/A</v>
      </c>
      <c r="L893" t="str">
        <f t="shared" si="130"/>
        <v/>
      </c>
      <c r="M893" t="str">
        <f t="shared" si="131"/>
        <v/>
      </c>
      <c r="N893" t="str">
        <f t="shared" si="132"/>
        <v/>
      </c>
      <c r="O893" t="str">
        <f>IF(L893&lt;&gt;"",Data!$M1444,"")</f>
        <v/>
      </c>
      <c r="T893">
        <f>IF(OR(Dashboard!$P$4="All",Dashboard!$R$4="All"),NA(),IF(OR(Data!K1444&lt;&gt;Dashboard!$P$4,Data!K1444&lt;&gt;Dashboard!$R$4),Data!G1444,NA()))</f>
        <v>149907.13380100971</v>
      </c>
      <c r="V893" s="9"/>
    </row>
    <row r="894" spans="2:22">
      <c r="B894" t="e">
        <f>IF(Dashboard!$P$4="All",Data!G1445,IF(Data!K1445=Dashboard!$P$4,Data!G1445,NA()))</f>
        <v>#N/A</v>
      </c>
      <c r="C894" t="str">
        <f t="shared" si="127"/>
        <v/>
      </c>
      <c r="D894" t="str">
        <f t="shared" si="128"/>
        <v/>
      </c>
      <c r="E894" t="str">
        <f t="shared" si="129"/>
        <v/>
      </c>
      <c r="F894" t="str">
        <f>IF(C894&lt;&gt;"",Data!$M1445,"")</f>
        <v/>
      </c>
      <c r="K894" t="e">
        <f>IF(Dashboard!$R$4="All",Data!G1445,IF(Data!K1445=Dashboard!$R$4,Data!G1445,NA()))</f>
        <v>#N/A</v>
      </c>
      <c r="L894" t="str">
        <f t="shared" si="130"/>
        <v/>
      </c>
      <c r="M894" t="str">
        <f t="shared" si="131"/>
        <v/>
      </c>
      <c r="N894" t="str">
        <f t="shared" si="132"/>
        <v/>
      </c>
      <c r="O894" t="str">
        <f>IF(L894&lt;&gt;"",Data!$M1445,"")</f>
        <v/>
      </c>
      <c r="T894">
        <f>IF(OR(Dashboard!$P$4="All",Dashboard!$R$4="All"),NA(),IF(OR(Data!K1445&lt;&gt;Dashboard!$P$4,Data!K1445&lt;&gt;Dashboard!$R$4),Data!G1445,NA()))</f>
        <v>4095.8208381117906</v>
      </c>
      <c r="V894" s="9"/>
    </row>
    <row r="895" spans="2:22">
      <c r="B895" t="e">
        <f>IF(Dashboard!$P$4="All",Data!G1446,IF(Data!K1446=Dashboard!$P$4,Data!G1446,NA()))</f>
        <v>#N/A</v>
      </c>
      <c r="C895" t="str">
        <f t="shared" si="127"/>
        <v/>
      </c>
      <c r="D895" t="str">
        <f t="shared" si="128"/>
        <v/>
      </c>
      <c r="E895" t="str">
        <f t="shared" si="129"/>
        <v/>
      </c>
      <c r="F895" t="str">
        <f>IF(C895&lt;&gt;"",Data!$M1446,"")</f>
        <v/>
      </c>
      <c r="K895" t="e">
        <f>IF(Dashboard!$R$4="All",Data!G1446,IF(Data!K1446=Dashboard!$R$4,Data!G1446,NA()))</f>
        <v>#N/A</v>
      </c>
      <c r="L895" t="str">
        <f t="shared" si="130"/>
        <v/>
      </c>
      <c r="M895" t="str">
        <f t="shared" si="131"/>
        <v/>
      </c>
      <c r="N895" t="str">
        <f t="shared" si="132"/>
        <v/>
      </c>
      <c r="O895" t="str">
        <f>IF(L895&lt;&gt;"",Data!$M1446,"")</f>
        <v/>
      </c>
      <c r="T895">
        <f>IF(OR(Dashboard!$P$4="All",Dashboard!$R$4="All"),NA(),IF(OR(Data!K1446&lt;&gt;Dashboard!$P$4,Data!K1446&lt;&gt;Dashboard!$R$4),Data!G1446,NA()))</f>
        <v>127488.70705032947</v>
      </c>
      <c r="V895" s="9"/>
    </row>
    <row r="896" spans="2:22">
      <c r="B896" t="e">
        <f>IF(Dashboard!$P$4="All",Data!G1447,IF(Data!K1447=Dashboard!$P$4,Data!G1447,NA()))</f>
        <v>#N/A</v>
      </c>
      <c r="C896" t="str">
        <f t="shared" si="127"/>
        <v/>
      </c>
      <c r="D896" t="str">
        <f t="shared" si="128"/>
        <v/>
      </c>
      <c r="E896" t="str">
        <f t="shared" si="129"/>
        <v/>
      </c>
      <c r="F896" t="str">
        <f>IF(C896&lt;&gt;"",Data!$M1447,"")</f>
        <v/>
      </c>
      <c r="K896">
        <f>IF(Dashboard!$R$4="All",Data!G1447,IF(Data!K1447=Dashboard!$R$4,Data!G1447,NA()))</f>
        <v>58318.59606648951</v>
      </c>
      <c r="L896">
        <f t="shared" si="130"/>
        <v>58318.59606648951</v>
      </c>
      <c r="M896" t="str">
        <f t="shared" si="131"/>
        <v/>
      </c>
      <c r="N896" t="str">
        <f t="shared" si="132"/>
        <v/>
      </c>
      <c r="O896">
        <f>IF(L896&lt;&gt;"",Data!$M1447,"")</f>
        <v>20</v>
      </c>
      <c r="T896">
        <f>IF(OR(Dashboard!$P$4="All",Dashboard!$R$4="All"),NA(),IF(OR(Data!K1447&lt;&gt;Dashboard!$P$4,Data!K1447&lt;&gt;Dashboard!$R$4),Data!G1447,NA()))</f>
        <v>58318.59606648951</v>
      </c>
      <c r="V896" s="9"/>
    </row>
    <row r="897" spans="2:22">
      <c r="B897" t="e">
        <f>IF(Dashboard!$P$4="All",Data!G1448,IF(Data!K1448=Dashboard!$P$4,Data!G1448,NA()))</f>
        <v>#N/A</v>
      </c>
      <c r="C897" t="str">
        <f t="shared" si="127"/>
        <v/>
      </c>
      <c r="D897" t="str">
        <f t="shared" si="128"/>
        <v/>
      </c>
      <c r="E897" t="str">
        <f t="shared" si="129"/>
        <v/>
      </c>
      <c r="F897" t="str">
        <f>IF(C897&lt;&gt;"",Data!$M1448,"")</f>
        <v/>
      </c>
      <c r="K897" t="e">
        <f>IF(Dashboard!$R$4="All",Data!G1448,IF(Data!K1448=Dashboard!$R$4,Data!G1448,NA()))</f>
        <v>#N/A</v>
      </c>
      <c r="L897" t="str">
        <f t="shared" si="130"/>
        <v/>
      </c>
      <c r="M897" t="str">
        <f t="shared" si="131"/>
        <v/>
      </c>
      <c r="N897" t="str">
        <f t="shared" si="132"/>
        <v/>
      </c>
      <c r="O897" t="str">
        <f>IF(L897&lt;&gt;"",Data!$M1448,"")</f>
        <v/>
      </c>
      <c r="T897">
        <f>IF(OR(Dashboard!$P$4="All",Dashboard!$R$4="All"),NA(),IF(OR(Data!K1448&lt;&gt;Dashboard!$P$4,Data!K1448&lt;&gt;Dashboard!$R$4),Data!G1448,NA()))</f>
        <v>9509.8988293070688</v>
      </c>
      <c r="V897" s="9"/>
    </row>
    <row r="898" spans="2:22">
      <c r="B898" t="e">
        <f>IF(Dashboard!$P$4="All",Data!G1449,IF(Data!K1449=Dashboard!$P$4,Data!G1449,NA()))</f>
        <v>#N/A</v>
      </c>
      <c r="C898" t="str">
        <f t="shared" si="127"/>
        <v/>
      </c>
      <c r="D898" t="str">
        <f t="shared" si="128"/>
        <v/>
      </c>
      <c r="E898" t="str">
        <f t="shared" si="129"/>
        <v/>
      </c>
      <c r="F898" t="str">
        <f>IF(C898&lt;&gt;"",Data!$M1449,"")</f>
        <v/>
      </c>
      <c r="K898" t="e">
        <f>IF(Dashboard!$R$4="All",Data!G1449,IF(Data!K1449=Dashboard!$R$4,Data!G1449,NA()))</f>
        <v>#N/A</v>
      </c>
      <c r="L898" t="str">
        <f t="shared" si="130"/>
        <v/>
      </c>
      <c r="M898" t="str">
        <f t="shared" si="131"/>
        <v/>
      </c>
      <c r="N898" t="str">
        <f t="shared" si="132"/>
        <v/>
      </c>
      <c r="O898" t="str">
        <f>IF(L898&lt;&gt;"",Data!$M1449,"")</f>
        <v/>
      </c>
      <c r="T898">
        <f>IF(OR(Dashboard!$P$4="All",Dashboard!$R$4="All"),NA(),IF(OR(Data!K1449&lt;&gt;Dashboard!$P$4,Data!K1449&lt;&gt;Dashboard!$R$4),Data!G1449,NA()))</f>
        <v>12821.700014958649</v>
      </c>
      <c r="V898" s="9"/>
    </row>
    <row r="899" spans="2:22">
      <c r="B899" t="e">
        <f>IF(Dashboard!$P$4="All",Data!G1450,IF(Data!K1450=Dashboard!$P$4,Data!G1450,NA()))</f>
        <v>#N/A</v>
      </c>
      <c r="C899" t="str">
        <f t="shared" si="127"/>
        <v/>
      </c>
      <c r="D899" t="str">
        <f t="shared" si="128"/>
        <v/>
      </c>
      <c r="E899" t="str">
        <f t="shared" si="129"/>
        <v/>
      </c>
      <c r="F899" t="str">
        <f>IF(C899&lt;&gt;"",Data!$M1450,"")</f>
        <v/>
      </c>
      <c r="K899" t="e">
        <f>IF(Dashboard!$R$4="All",Data!G1450,IF(Data!K1450=Dashboard!$R$4,Data!G1450,NA()))</f>
        <v>#N/A</v>
      </c>
      <c r="L899" t="str">
        <f t="shared" si="130"/>
        <v/>
      </c>
      <c r="M899" t="str">
        <f t="shared" si="131"/>
        <v/>
      </c>
      <c r="N899" t="str">
        <f t="shared" si="132"/>
        <v/>
      </c>
      <c r="O899" t="str">
        <f>IF(L899&lt;&gt;"",Data!$M1450,"")</f>
        <v/>
      </c>
      <c r="T899">
        <f>IF(OR(Dashboard!$P$4="All",Dashboard!$R$4="All"),NA(),IF(OR(Data!K1450&lt;&gt;Dashboard!$P$4,Data!K1450&lt;&gt;Dashboard!$R$4),Data!G1450,NA()))</f>
        <v>4000</v>
      </c>
      <c r="V899" s="9"/>
    </row>
    <row r="900" spans="2:22">
      <c r="B900" t="e">
        <f>IF(Dashboard!$P$4="All",Data!G1451,IF(Data!K1451=Dashboard!$P$4,Data!G1451,NA()))</f>
        <v>#N/A</v>
      </c>
      <c r="C900" t="str">
        <f t="shared" ref="C900:C963" si="133">IF(ISNA(B900),"",B900)</f>
        <v/>
      </c>
      <c r="D900" t="str">
        <f t="shared" ref="D900:D963" si="134">IF(C900&gt;=PERCENTILE($C$3:$C$1337,0.9),C900,"")</f>
        <v/>
      </c>
      <c r="E900" t="str">
        <f t="shared" ref="E900:E963" si="135">IF(C900&lt;=PERCENTILE($C$3:$C$1337,0.1),C900,"")</f>
        <v/>
      </c>
      <c r="F900" t="str">
        <f>IF(C900&lt;&gt;"",Data!$M1451,"")</f>
        <v/>
      </c>
      <c r="K900" t="e">
        <f>IF(Dashboard!$R$4="All",Data!G1451,IF(Data!K1451=Dashboard!$R$4,Data!G1451,NA()))</f>
        <v>#N/A</v>
      </c>
      <c r="L900" t="str">
        <f t="shared" ref="L900:L963" si="136">IF(ISNA(K900),"",K900)</f>
        <v/>
      </c>
      <c r="M900" t="str">
        <f t="shared" ref="M900:M963" si="137">IF(L900&gt;=PERCENTILE($L$3:$L$1337,0.9),L900,"")</f>
        <v/>
      </c>
      <c r="N900" t="str">
        <f t="shared" ref="N900:N963" si="138">IF(L900&lt;=PERCENTILE($L$3:$L$1337,0.1),L900,"")</f>
        <v/>
      </c>
      <c r="O900" t="str">
        <f>IF(L900&lt;&gt;"",Data!$M1451,"")</f>
        <v/>
      </c>
      <c r="T900">
        <f>IF(OR(Dashboard!$P$4="All",Dashboard!$R$4="All"),NA(),IF(OR(Data!K1451&lt;&gt;Dashboard!$P$4,Data!K1451&lt;&gt;Dashboard!$R$4),Data!G1451,NA()))</f>
        <v>42000</v>
      </c>
      <c r="V900" s="9"/>
    </row>
    <row r="901" spans="2:22">
      <c r="B901" t="e">
        <f>IF(Dashboard!$P$4="All",Data!G1452,IF(Data!K1452=Dashboard!$P$4,Data!G1452,NA()))</f>
        <v>#N/A</v>
      </c>
      <c r="C901" t="str">
        <f t="shared" si="133"/>
        <v/>
      </c>
      <c r="D901" t="str">
        <f t="shared" si="134"/>
        <v/>
      </c>
      <c r="E901" t="str">
        <f t="shared" si="135"/>
        <v/>
      </c>
      <c r="F901" t="str">
        <f>IF(C901&lt;&gt;"",Data!$M1452,"")</f>
        <v/>
      </c>
      <c r="K901" t="e">
        <f>IF(Dashboard!$R$4="All",Data!G1452,IF(Data!K1452=Dashboard!$R$4,Data!G1452,NA()))</f>
        <v>#N/A</v>
      </c>
      <c r="L901" t="str">
        <f t="shared" si="136"/>
        <v/>
      </c>
      <c r="M901" t="str">
        <f t="shared" si="137"/>
        <v/>
      </c>
      <c r="N901" t="str">
        <f t="shared" si="138"/>
        <v/>
      </c>
      <c r="O901" t="str">
        <f>IF(L901&lt;&gt;"",Data!$M1452,"")</f>
        <v/>
      </c>
      <c r="T901">
        <f>IF(OR(Dashboard!$P$4="All",Dashboard!$R$4="All"),NA(),IF(OR(Data!K1452&lt;&gt;Dashboard!$P$4,Data!K1452&lt;&gt;Dashboard!$R$4),Data!G1452,NA()))</f>
        <v>3200</v>
      </c>
      <c r="V901" s="9"/>
    </row>
    <row r="902" spans="2:22">
      <c r="B902" t="e">
        <f>IF(Dashboard!$P$4="All",Data!G1453,IF(Data!K1453=Dashboard!$P$4,Data!G1453,NA()))</f>
        <v>#N/A</v>
      </c>
      <c r="C902" t="str">
        <f t="shared" si="133"/>
        <v/>
      </c>
      <c r="D902" t="str">
        <f t="shared" si="134"/>
        <v/>
      </c>
      <c r="E902" t="str">
        <f t="shared" si="135"/>
        <v/>
      </c>
      <c r="F902" t="str">
        <f>IF(C902&lt;&gt;"",Data!$M1453,"")</f>
        <v/>
      </c>
      <c r="K902" t="e">
        <f>IF(Dashboard!$R$4="All",Data!G1453,IF(Data!K1453=Dashboard!$R$4,Data!G1453,NA()))</f>
        <v>#N/A</v>
      </c>
      <c r="L902" t="str">
        <f t="shared" si="136"/>
        <v/>
      </c>
      <c r="M902" t="str">
        <f t="shared" si="137"/>
        <v/>
      </c>
      <c r="N902" t="str">
        <f t="shared" si="138"/>
        <v/>
      </c>
      <c r="O902" t="str">
        <f>IF(L902&lt;&gt;"",Data!$M1453,"")</f>
        <v/>
      </c>
      <c r="T902">
        <f>IF(OR(Dashboard!$P$4="All",Dashboard!$R$4="All"),NA(),IF(OR(Data!K1453&lt;&gt;Dashboard!$P$4,Data!K1453&lt;&gt;Dashboard!$R$4),Data!G1453,NA()))</f>
        <v>60000</v>
      </c>
      <c r="V902" s="9"/>
    </row>
    <row r="903" spans="2:22">
      <c r="B903" t="e">
        <f>IF(Dashboard!$P$4="All",Data!G1454,IF(Data!K1454=Dashboard!$P$4,Data!G1454,NA()))</f>
        <v>#N/A</v>
      </c>
      <c r="C903" t="str">
        <f t="shared" si="133"/>
        <v/>
      </c>
      <c r="D903" t="str">
        <f t="shared" si="134"/>
        <v/>
      </c>
      <c r="E903" t="str">
        <f t="shared" si="135"/>
        <v/>
      </c>
      <c r="F903" t="str">
        <f>IF(C903&lt;&gt;"",Data!$M1454,"")</f>
        <v/>
      </c>
      <c r="K903" t="e">
        <f>IF(Dashboard!$R$4="All",Data!G1454,IF(Data!K1454=Dashboard!$R$4,Data!G1454,NA()))</f>
        <v>#N/A</v>
      </c>
      <c r="L903" t="str">
        <f t="shared" si="136"/>
        <v/>
      </c>
      <c r="M903" t="str">
        <f t="shared" si="137"/>
        <v/>
      </c>
      <c r="N903" t="str">
        <f t="shared" si="138"/>
        <v/>
      </c>
      <c r="O903" t="str">
        <f>IF(L903&lt;&gt;"",Data!$M1454,"")</f>
        <v/>
      </c>
      <c r="T903">
        <f>IF(OR(Dashboard!$P$4="All",Dashboard!$R$4="All"),NA(),IF(OR(Data!K1454&lt;&gt;Dashboard!$P$4,Data!K1454&lt;&gt;Dashboard!$R$4),Data!G1454,NA()))</f>
        <v>85000</v>
      </c>
      <c r="V903" s="9"/>
    </row>
    <row r="904" spans="2:22">
      <c r="B904" t="e">
        <f>IF(Dashboard!$P$4="All",Data!G1455,IF(Data!K1455=Dashboard!$P$4,Data!G1455,NA()))</f>
        <v>#N/A</v>
      </c>
      <c r="C904" t="str">
        <f t="shared" si="133"/>
        <v/>
      </c>
      <c r="D904" t="str">
        <f t="shared" si="134"/>
        <v/>
      </c>
      <c r="E904" t="str">
        <f t="shared" si="135"/>
        <v/>
      </c>
      <c r="F904" t="str">
        <f>IF(C904&lt;&gt;"",Data!$M1455,"")</f>
        <v/>
      </c>
      <c r="K904" t="e">
        <f>IF(Dashboard!$R$4="All",Data!G1455,IF(Data!K1455=Dashboard!$R$4,Data!G1455,NA()))</f>
        <v>#N/A</v>
      </c>
      <c r="L904" t="str">
        <f t="shared" si="136"/>
        <v/>
      </c>
      <c r="M904" t="str">
        <f t="shared" si="137"/>
        <v/>
      </c>
      <c r="N904" t="str">
        <f t="shared" si="138"/>
        <v/>
      </c>
      <c r="O904" t="str">
        <f>IF(L904&lt;&gt;"",Data!$M1455,"")</f>
        <v/>
      </c>
      <c r="T904">
        <f>IF(OR(Dashboard!$P$4="All",Dashboard!$R$4="All"),NA(),IF(OR(Data!K1455&lt;&gt;Dashboard!$P$4,Data!K1455&lt;&gt;Dashboard!$R$4),Data!G1455,NA()))</f>
        <v>109000</v>
      </c>
      <c r="V904" s="9"/>
    </row>
    <row r="905" spans="2:22">
      <c r="B905" t="e">
        <f>IF(Dashboard!$P$4="All",Data!G1456,IF(Data!K1456=Dashboard!$P$4,Data!G1456,NA()))</f>
        <v>#N/A</v>
      </c>
      <c r="C905" t="str">
        <f t="shared" si="133"/>
        <v/>
      </c>
      <c r="D905" t="str">
        <f t="shared" si="134"/>
        <v/>
      </c>
      <c r="E905" t="str">
        <f t="shared" si="135"/>
        <v/>
      </c>
      <c r="F905" t="str">
        <f>IF(C905&lt;&gt;"",Data!$M1456,"")</f>
        <v/>
      </c>
      <c r="K905" t="e">
        <f>IF(Dashboard!$R$4="All",Data!G1456,IF(Data!K1456=Dashboard!$R$4,Data!G1456,NA()))</f>
        <v>#N/A</v>
      </c>
      <c r="L905" t="str">
        <f t="shared" si="136"/>
        <v/>
      </c>
      <c r="M905" t="str">
        <f t="shared" si="137"/>
        <v/>
      </c>
      <c r="N905" t="str">
        <f t="shared" si="138"/>
        <v/>
      </c>
      <c r="O905" t="str">
        <f>IF(L905&lt;&gt;"",Data!$M1456,"")</f>
        <v/>
      </c>
      <c r="T905">
        <f>IF(OR(Dashboard!$P$4="All",Dashboard!$R$4="All"),NA(),IF(OR(Data!K1456&lt;&gt;Dashboard!$P$4,Data!K1456&lt;&gt;Dashboard!$R$4),Data!G1456,NA()))</f>
        <v>76223.966339496474</v>
      </c>
      <c r="V905" s="9"/>
    </row>
    <row r="906" spans="2:22">
      <c r="B906" t="e">
        <f>IF(Dashboard!$P$4="All",Data!G1457,IF(Data!K1457=Dashboard!$P$4,Data!G1457,NA()))</f>
        <v>#N/A</v>
      </c>
      <c r="C906" t="str">
        <f t="shared" si="133"/>
        <v/>
      </c>
      <c r="D906" t="str">
        <f t="shared" si="134"/>
        <v/>
      </c>
      <c r="E906" t="str">
        <f t="shared" si="135"/>
        <v/>
      </c>
      <c r="F906" t="str">
        <f>IF(C906&lt;&gt;"",Data!$M1457,"")</f>
        <v/>
      </c>
      <c r="K906" t="e">
        <f>IF(Dashboard!$R$4="All",Data!G1457,IF(Data!K1457=Dashboard!$R$4,Data!G1457,NA()))</f>
        <v>#N/A</v>
      </c>
      <c r="L906" t="str">
        <f t="shared" si="136"/>
        <v/>
      </c>
      <c r="M906" t="str">
        <f t="shared" si="137"/>
        <v/>
      </c>
      <c r="N906" t="str">
        <f t="shared" si="138"/>
        <v/>
      </c>
      <c r="O906" t="str">
        <f>IF(L906&lt;&gt;"",Data!$M1457,"")</f>
        <v/>
      </c>
      <c r="T906">
        <f>IF(OR(Dashboard!$P$4="All",Dashboard!$R$4="All"),NA(),IF(OR(Data!K1457&lt;&gt;Dashboard!$P$4,Data!K1457&lt;&gt;Dashboard!$R$4),Data!G1457,NA()))</f>
        <v>77000</v>
      </c>
      <c r="V906" s="9"/>
    </row>
    <row r="907" spans="2:22">
      <c r="B907" t="e">
        <f>IF(Dashboard!$P$4="All",Data!G1458,IF(Data!K1458=Dashboard!$P$4,Data!G1458,NA()))</f>
        <v>#N/A</v>
      </c>
      <c r="C907" t="str">
        <f t="shared" si="133"/>
        <v/>
      </c>
      <c r="D907" t="str">
        <f t="shared" si="134"/>
        <v/>
      </c>
      <c r="E907" t="str">
        <f t="shared" si="135"/>
        <v/>
      </c>
      <c r="F907" t="str">
        <f>IF(C907&lt;&gt;"",Data!$M1458,"")</f>
        <v/>
      </c>
      <c r="K907" t="e">
        <f>IF(Dashboard!$R$4="All",Data!G1458,IF(Data!K1458=Dashboard!$R$4,Data!G1458,NA()))</f>
        <v>#N/A</v>
      </c>
      <c r="L907" t="str">
        <f t="shared" si="136"/>
        <v/>
      </c>
      <c r="M907" t="str">
        <f t="shared" si="137"/>
        <v/>
      </c>
      <c r="N907" t="str">
        <f t="shared" si="138"/>
        <v/>
      </c>
      <c r="O907" t="str">
        <f>IF(L907&lt;&gt;"",Data!$M1458,"")</f>
        <v/>
      </c>
      <c r="T907">
        <f>IF(OR(Dashboard!$P$4="All",Dashboard!$R$4="All"),NA(),IF(OR(Data!K1458&lt;&gt;Dashboard!$P$4,Data!K1458&lt;&gt;Dashboard!$R$4),Data!G1458,NA()))</f>
        <v>25000</v>
      </c>
      <c r="V907" s="9"/>
    </row>
    <row r="908" spans="2:22">
      <c r="B908" t="e">
        <f>IF(Dashboard!$P$4="All",Data!G1459,IF(Data!K1459=Dashboard!$P$4,Data!G1459,NA()))</f>
        <v>#N/A</v>
      </c>
      <c r="C908" t="str">
        <f t="shared" si="133"/>
        <v/>
      </c>
      <c r="D908" t="str">
        <f t="shared" si="134"/>
        <v/>
      </c>
      <c r="E908" t="str">
        <f t="shared" si="135"/>
        <v/>
      </c>
      <c r="F908" t="str">
        <f>IF(C908&lt;&gt;"",Data!$M1459,"")</f>
        <v/>
      </c>
      <c r="K908" t="e">
        <f>IF(Dashboard!$R$4="All",Data!G1459,IF(Data!K1459=Dashboard!$R$4,Data!G1459,NA()))</f>
        <v>#N/A</v>
      </c>
      <c r="L908" t="str">
        <f t="shared" si="136"/>
        <v/>
      </c>
      <c r="M908" t="str">
        <f t="shared" si="137"/>
        <v/>
      </c>
      <c r="N908" t="str">
        <f t="shared" si="138"/>
        <v/>
      </c>
      <c r="O908" t="str">
        <f>IF(L908&lt;&gt;"",Data!$M1459,"")</f>
        <v/>
      </c>
      <c r="T908">
        <f>IF(OR(Dashboard!$P$4="All",Dashboard!$R$4="All"),NA(),IF(OR(Data!K1459&lt;&gt;Dashboard!$P$4,Data!K1459&lt;&gt;Dashboard!$R$4),Data!G1459,NA()))</f>
        <v>64000</v>
      </c>
      <c r="V908" s="9"/>
    </row>
    <row r="909" spans="2:22">
      <c r="B909" t="e">
        <f>IF(Dashboard!$P$4="All",Data!G1460,IF(Data!K1460=Dashboard!$P$4,Data!G1460,NA()))</f>
        <v>#N/A</v>
      </c>
      <c r="C909" t="str">
        <f t="shared" si="133"/>
        <v/>
      </c>
      <c r="D909" t="str">
        <f t="shared" si="134"/>
        <v/>
      </c>
      <c r="E909" t="str">
        <f t="shared" si="135"/>
        <v/>
      </c>
      <c r="F909" t="str">
        <f>IF(C909&lt;&gt;"",Data!$M1460,"")</f>
        <v/>
      </c>
      <c r="K909">
        <f>IF(Dashboard!$R$4="All",Data!G1460,IF(Data!K1460=Dashboard!$R$4,Data!G1460,NA()))</f>
        <v>231119.74856804207</v>
      </c>
      <c r="L909">
        <f t="shared" si="136"/>
        <v>231119.74856804207</v>
      </c>
      <c r="M909">
        <f t="shared" si="137"/>
        <v>231119.74856804207</v>
      </c>
      <c r="N909" t="str">
        <f t="shared" si="138"/>
        <v/>
      </c>
      <c r="O909">
        <f>IF(L909&lt;&gt;"",Data!$M1460,"")</f>
        <v>10</v>
      </c>
      <c r="T909">
        <f>IF(OR(Dashboard!$P$4="All",Dashboard!$R$4="All"),NA(),IF(OR(Data!K1460&lt;&gt;Dashboard!$P$4,Data!K1460&lt;&gt;Dashboard!$R$4),Data!G1460,NA()))</f>
        <v>231119.74856804207</v>
      </c>
      <c r="V909" s="9"/>
    </row>
    <row r="910" spans="2:22">
      <c r="B910" t="e">
        <f>IF(Dashboard!$P$4="All",Data!G1461,IF(Data!K1461=Dashboard!$P$4,Data!G1461,NA()))</f>
        <v>#N/A</v>
      </c>
      <c r="C910" t="str">
        <f t="shared" si="133"/>
        <v/>
      </c>
      <c r="D910" t="str">
        <f t="shared" si="134"/>
        <v/>
      </c>
      <c r="E910" t="str">
        <f t="shared" si="135"/>
        <v/>
      </c>
      <c r="F910" t="str">
        <f>IF(C910&lt;&gt;"",Data!$M1461,"")</f>
        <v/>
      </c>
      <c r="K910" t="e">
        <f>IF(Dashboard!$R$4="All",Data!G1461,IF(Data!K1461=Dashboard!$R$4,Data!G1461,NA()))</f>
        <v>#N/A</v>
      </c>
      <c r="L910" t="str">
        <f t="shared" si="136"/>
        <v/>
      </c>
      <c r="M910" t="str">
        <f t="shared" si="137"/>
        <v/>
      </c>
      <c r="N910" t="str">
        <f t="shared" si="138"/>
        <v/>
      </c>
      <c r="O910" t="str">
        <f>IF(L910&lt;&gt;"",Data!$M1461,"")</f>
        <v/>
      </c>
      <c r="T910">
        <f>IF(OR(Dashboard!$P$4="All",Dashboard!$R$4="All"),NA(),IF(OR(Data!K1461&lt;&gt;Dashboard!$P$4,Data!K1461&lt;&gt;Dashboard!$R$4),Data!G1461,NA()))</f>
        <v>76000</v>
      </c>
      <c r="V910" s="9"/>
    </row>
    <row r="911" spans="2:22">
      <c r="B911" t="e">
        <f>IF(Dashboard!$P$4="All",Data!G1462,IF(Data!K1462=Dashboard!$P$4,Data!G1462,NA()))</f>
        <v>#N/A</v>
      </c>
      <c r="C911" t="str">
        <f t="shared" si="133"/>
        <v/>
      </c>
      <c r="D911" t="str">
        <f t="shared" si="134"/>
        <v/>
      </c>
      <c r="E911" t="str">
        <f t="shared" si="135"/>
        <v/>
      </c>
      <c r="F911" t="str">
        <f>IF(C911&lt;&gt;"",Data!$M1462,"")</f>
        <v/>
      </c>
      <c r="K911">
        <f>IF(Dashboard!$R$4="All",Data!G1462,IF(Data!K1462=Dashboard!$R$4,Data!G1462,NA()))</f>
        <v>15761.782720672842</v>
      </c>
      <c r="L911">
        <f t="shared" si="136"/>
        <v>15761.782720672842</v>
      </c>
      <c r="M911" t="str">
        <f t="shared" si="137"/>
        <v/>
      </c>
      <c r="N911">
        <f t="shared" si="138"/>
        <v>15761.782720672842</v>
      </c>
      <c r="O911">
        <f>IF(L911&lt;&gt;"",Data!$M1462,"")</f>
        <v>8</v>
      </c>
      <c r="T911">
        <f>IF(OR(Dashboard!$P$4="All",Dashboard!$R$4="All"),NA(),IF(OR(Data!K1462&lt;&gt;Dashboard!$P$4,Data!K1462&lt;&gt;Dashboard!$R$4),Data!G1462,NA()))</f>
        <v>15761.782720672842</v>
      </c>
      <c r="V911" s="9"/>
    </row>
    <row r="912" spans="2:22">
      <c r="B912" t="e">
        <f>IF(Dashboard!$P$4="All",Data!G1463,IF(Data!K1463=Dashboard!$P$4,Data!G1463,NA()))</f>
        <v>#N/A</v>
      </c>
      <c r="C912" t="str">
        <f t="shared" si="133"/>
        <v/>
      </c>
      <c r="D912" t="str">
        <f t="shared" si="134"/>
        <v/>
      </c>
      <c r="E912" t="str">
        <f t="shared" si="135"/>
        <v/>
      </c>
      <c r="F912" t="str">
        <f>IF(C912&lt;&gt;"",Data!$M1463,"")</f>
        <v/>
      </c>
      <c r="K912" t="e">
        <f>IF(Dashboard!$R$4="All",Data!G1463,IF(Data!K1463=Dashboard!$R$4,Data!G1463,NA()))</f>
        <v>#N/A</v>
      </c>
      <c r="L912" t="str">
        <f t="shared" si="136"/>
        <v/>
      </c>
      <c r="M912" t="str">
        <f t="shared" si="137"/>
        <v/>
      </c>
      <c r="N912" t="str">
        <f t="shared" si="138"/>
        <v/>
      </c>
      <c r="O912" t="str">
        <f>IF(L912&lt;&gt;"",Data!$M1463,"")</f>
        <v/>
      </c>
      <c r="T912">
        <f>IF(OR(Dashboard!$P$4="All",Dashboard!$R$4="All"),NA(),IF(OR(Data!K1463&lt;&gt;Dashboard!$P$4,Data!K1463&lt;&gt;Dashboard!$R$4),Data!G1463,NA()))</f>
        <v>168285.09330643489</v>
      </c>
      <c r="V912" s="9"/>
    </row>
    <row r="913" spans="2:22">
      <c r="B913" t="e">
        <f>IF(Dashboard!$P$4="All",Data!G1464,IF(Data!K1464=Dashboard!$P$4,Data!G1464,NA()))</f>
        <v>#N/A</v>
      </c>
      <c r="C913" t="str">
        <f t="shared" si="133"/>
        <v/>
      </c>
      <c r="D913" t="str">
        <f t="shared" si="134"/>
        <v/>
      </c>
      <c r="E913" t="str">
        <f t="shared" si="135"/>
        <v/>
      </c>
      <c r="F913" t="str">
        <f>IF(C913&lt;&gt;"",Data!$M1464,"")</f>
        <v/>
      </c>
      <c r="K913" t="e">
        <f>IF(Dashboard!$R$4="All",Data!G1464,IF(Data!K1464=Dashboard!$R$4,Data!G1464,NA()))</f>
        <v>#N/A</v>
      </c>
      <c r="L913" t="str">
        <f t="shared" si="136"/>
        <v/>
      </c>
      <c r="M913" t="str">
        <f t="shared" si="137"/>
        <v/>
      </c>
      <c r="N913" t="str">
        <f t="shared" si="138"/>
        <v/>
      </c>
      <c r="O913" t="str">
        <f>IF(L913&lt;&gt;"",Data!$M1464,"")</f>
        <v/>
      </c>
      <c r="T913">
        <f>IF(OR(Dashboard!$P$4="All",Dashboard!$R$4="All"),NA(),IF(OR(Data!K1464&lt;&gt;Dashboard!$P$4,Data!K1464&lt;&gt;Dashboard!$R$4),Data!G1464,NA()))</f>
        <v>50000</v>
      </c>
      <c r="V913" s="9"/>
    </row>
    <row r="914" spans="2:22">
      <c r="B914" t="e">
        <f>IF(Dashboard!$P$4="All",Data!G1465,IF(Data!K1465=Dashboard!$P$4,Data!G1465,NA()))</f>
        <v>#N/A</v>
      </c>
      <c r="C914" t="str">
        <f t="shared" si="133"/>
        <v/>
      </c>
      <c r="D914" t="str">
        <f t="shared" si="134"/>
        <v/>
      </c>
      <c r="E914" t="str">
        <f t="shared" si="135"/>
        <v/>
      </c>
      <c r="F914" t="str">
        <f>IF(C914&lt;&gt;"",Data!$M1465,"")</f>
        <v/>
      </c>
      <c r="K914" t="e">
        <f>IF(Dashboard!$R$4="All",Data!G1465,IF(Data!K1465=Dashboard!$R$4,Data!G1465,NA()))</f>
        <v>#N/A</v>
      </c>
      <c r="L914" t="str">
        <f t="shared" si="136"/>
        <v/>
      </c>
      <c r="M914" t="str">
        <f t="shared" si="137"/>
        <v/>
      </c>
      <c r="N914" t="str">
        <f t="shared" si="138"/>
        <v/>
      </c>
      <c r="O914" t="str">
        <f>IF(L914&lt;&gt;"",Data!$M1465,"")</f>
        <v/>
      </c>
      <c r="T914">
        <f>IF(OR(Dashboard!$P$4="All",Dashboard!$R$4="All"),NA(),IF(OR(Data!K1465&lt;&gt;Dashboard!$P$4,Data!K1465&lt;&gt;Dashboard!$R$4),Data!G1465,NA()))</f>
        <v>7200</v>
      </c>
      <c r="V914" s="9"/>
    </row>
    <row r="915" spans="2:22">
      <c r="B915" t="e">
        <f>IF(Dashboard!$P$4="All",Data!G1466,IF(Data!K1466=Dashboard!$P$4,Data!G1466,NA()))</f>
        <v>#N/A</v>
      </c>
      <c r="C915" t="str">
        <f t="shared" si="133"/>
        <v/>
      </c>
      <c r="D915" t="str">
        <f t="shared" si="134"/>
        <v/>
      </c>
      <c r="E915" t="str">
        <f t="shared" si="135"/>
        <v/>
      </c>
      <c r="F915" t="str">
        <f>IF(C915&lt;&gt;"",Data!$M1466,"")</f>
        <v/>
      </c>
      <c r="K915" t="e">
        <f>IF(Dashboard!$R$4="All",Data!G1466,IF(Data!K1466=Dashboard!$R$4,Data!G1466,NA()))</f>
        <v>#N/A</v>
      </c>
      <c r="L915" t="str">
        <f t="shared" si="136"/>
        <v/>
      </c>
      <c r="M915" t="str">
        <f t="shared" si="137"/>
        <v/>
      </c>
      <c r="N915" t="str">
        <f t="shared" si="138"/>
        <v/>
      </c>
      <c r="O915" t="str">
        <f>IF(L915&lt;&gt;"",Data!$M1466,"")</f>
        <v/>
      </c>
      <c r="T915">
        <f>IF(OR(Dashboard!$P$4="All",Dashboard!$R$4="All"),NA(),IF(OR(Data!K1466&lt;&gt;Dashboard!$P$4,Data!K1466&lt;&gt;Dashboard!$R$4),Data!G1466,NA()))</f>
        <v>53356.776437647524</v>
      </c>
      <c r="V915" s="9"/>
    </row>
    <row r="916" spans="2:22">
      <c r="B916" t="e">
        <f>IF(Dashboard!$P$4="All",Data!G1467,IF(Data!K1467=Dashboard!$P$4,Data!G1467,NA()))</f>
        <v>#N/A</v>
      </c>
      <c r="C916" t="str">
        <f t="shared" si="133"/>
        <v/>
      </c>
      <c r="D916" t="str">
        <f t="shared" si="134"/>
        <v/>
      </c>
      <c r="E916" t="str">
        <f t="shared" si="135"/>
        <v/>
      </c>
      <c r="F916" t="str">
        <f>IF(C916&lt;&gt;"",Data!$M1467,"")</f>
        <v/>
      </c>
      <c r="K916" t="e">
        <f>IF(Dashboard!$R$4="All",Data!G1467,IF(Data!K1467=Dashboard!$R$4,Data!G1467,NA()))</f>
        <v>#N/A</v>
      </c>
      <c r="L916" t="str">
        <f t="shared" si="136"/>
        <v/>
      </c>
      <c r="M916" t="str">
        <f t="shared" si="137"/>
        <v/>
      </c>
      <c r="N916" t="str">
        <f t="shared" si="138"/>
        <v/>
      </c>
      <c r="O916" t="str">
        <f>IF(L916&lt;&gt;"",Data!$M1467,"")</f>
        <v/>
      </c>
      <c r="T916">
        <f>IF(OR(Dashboard!$P$4="All",Dashboard!$R$4="All"),NA(),IF(OR(Data!K1467&lt;&gt;Dashboard!$P$4,Data!K1467&lt;&gt;Dashboard!$R$4),Data!G1467,NA()))</f>
        <v>45000</v>
      </c>
      <c r="V916" s="9"/>
    </row>
    <row r="917" spans="2:22">
      <c r="B917" t="e">
        <f>IF(Dashboard!$P$4="All",Data!G1468,IF(Data!K1468=Dashboard!$P$4,Data!G1468,NA()))</f>
        <v>#N/A</v>
      </c>
      <c r="C917" t="str">
        <f t="shared" si="133"/>
        <v/>
      </c>
      <c r="D917" t="str">
        <f t="shared" si="134"/>
        <v/>
      </c>
      <c r="E917" t="str">
        <f t="shared" si="135"/>
        <v/>
      </c>
      <c r="F917" t="str">
        <f>IF(C917&lt;&gt;"",Data!$M1468,"")</f>
        <v/>
      </c>
      <c r="K917" t="e">
        <f>IF(Dashboard!$R$4="All",Data!G1468,IF(Data!K1468=Dashboard!$R$4,Data!G1468,NA()))</f>
        <v>#N/A</v>
      </c>
      <c r="L917" t="str">
        <f t="shared" si="136"/>
        <v/>
      </c>
      <c r="M917" t="str">
        <f t="shared" si="137"/>
        <v/>
      </c>
      <c r="N917" t="str">
        <f t="shared" si="138"/>
        <v/>
      </c>
      <c r="O917" t="str">
        <f>IF(L917&lt;&gt;"",Data!$M1468,"")</f>
        <v/>
      </c>
      <c r="T917">
        <f>IF(OR(Dashboard!$P$4="All",Dashboard!$R$4="All"),NA(),IF(OR(Data!K1468&lt;&gt;Dashboard!$P$4,Data!K1468&lt;&gt;Dashboard!$R$4),Data!G1468,NA()))</f>
        <v>5000</v>
      </c>
      <c r="V917" s="9"/>
    </row>
    <row r="918" spans="2:22">
      <c r="B918" t="e">
        <f>IF(Dashboard!$P$4="All",Data!G1469,IF(Data!K1469=Dashboard!$P$4,Data!G1469,NA()))</f>
        <v>#N/A</v>
      </c>
      <c r="C918" t="str">
        <f t="shared" si="133"/>
        <v/>
      </c>
      <c r="D918" t="str">
        <f t="shared" si="134"/>
        <v/>
      </c>
      <c r="E918" t="str">
        <f t="shared" si="135"/>
        <v/>
      </c>
      <c r="F918" t="str">
        <f>IF(C918&lt;&gt;"",Data!$M1469,"")</f>
        <v/>
      </c>
      <c r="K918" t="e">
        <f>IF(Dashboard!$R$4="All",Data!G1469,IF(Data!K1469=Dashboard!$R$4,Data!G1469,NA()))</f>
        <v>#N/A</v>
      </c>
      <c r="L918" t="str">
        <f t="shared" si="136"/>
        <v/>
      </c>
      <c r="M918" t="str">
        <f t="shared" si="137"/>
        <v/>
      </c>
      <c r="N918" t="str">
        <f t="shared" si="138"/>
        <v/>
      </c>
      <c r="O918" t="str">
        <f>IF(L918&lt;&gt;"",Data!$M1469,"")</f>
        <v/>
      </c>
      <c r="T918">
        <f>IF(OR(Dashboard!$P$4="All",Dashboard!$R$4="All"),NA(),IF(OR(Data!K1469&lt;&gt;Dashboard!$P$4,Data!K1469&lt;&gt;Dashboard!$R$4),Data!G1469,NA()))</f>
        <v>75473.31457379504</v>
      </c>
      <c r="V918" s="9"/>
    </row>
    <row r="919" spans="2:22">
      <c r="B919" t="e">
        <f>IF(Dashboard!$P$4="All",Data!G1470,IF(Data!K1470=Dashboard!$P$4,Data!G1470,NA()))</f>
        <v>#N/A</v>
      </c>
      <c r="C919" t="str">
        <f t="shared" si="133"/>
        <v/>
      </c>
      <c r="D919" t="str">
        <f t="shared" si="134"/>
        <v/>
      </c>
      <c r="E919" t="str">
        <f t="shared" si="135"/>
        <v/>
      </c>
      <c r="F919" t="str">
        <f>IF(C919&lt;&gt;"",Data!$M1470,"")</f>
        <v/>
      </c>
      <c r="K919" t="e">
        <f>IF(Dashboard!$R$4="All",Data!G1470,IF(Data!K1470=Dashboard!$R$4,Data!G1470,NA()))</f>
        <v>#N/A</v>
      </c>
      <c r="L919" t="str">
        <f t="shared" si="136"/>
        <v/>
      </c>
      <c r="M919" t="str">
        <f t="shared" si="137"/>
        <v/>
      </c>
      <c r="N919" t="str">
        <f t="shared" si="138"/>
        <v/>
      </c>
      <c r="O919" t="str">
        <f>IF(L919&lt;&gt;"",Data!$M1470,"")</f>
        <v/>
      </c>
      <c r="T919">
        <f>IF(OR(Dashboard!$P$4="All",Dashboard!$R$4="All"),NA(),IF(OR(Data!K1470&lt;&gt;Dashboard!$P$4,Data!K1470&lt;&gt;Dashboard!$R$4),Data!G1470,NA()))</f>
        <v>15000</v>
      </c>
      <c r="V919" s="9"/>
    </row>
    <row r="920" spans="2:22">
      <c r="B920" t="e">
        <f>IF(Dashboard!$P$4="All",Data!G1471,IF(Data!K1471=Dashboard!$P$4,Data!G1471,NA()))</f>
        <v>#N/A</v>
      </c>
      <c r="C920" t="str">
        <f t="shared" si="133"/>
        <v/>
      </c>
      <c r="D920" t="str">
        <f t="shared" si="134"/>
        <v/>
      </c>
      <c r="E920" t="str">
        <f t="shared" si="135"/>
        <v/>
      </c>
      <c r="F920" t="str">
        <f>IF(C920&lt;&gt;"",Data!$M1471,"")</f>
        <v/>
      </c>
      <c r="K920" t="e">
        <f>IF(Dashboard!$R$4="All",Data!G1471,IF(Data!K1471=Dashboard!$R$4,Data!G1471,NA()))</f>
        <v>#N/A</v>
      </c>
      <c r="L920" t="str">
        <f t="shared" si="136"/>
        <v/>
      </c>
      <c r="M920" t="str">
        <f t="shared" si="137"/>
        <v/>
      </c>
      <c r="N920" t="str">
        <f t="shared" si="138"/>
        <v/>
      </c>
      <c r="O920" t="str">
        <f>IF(L920&lt;&gt;"",Data!$M1471,"")</f>
        <v/>
      </c>
      <c r="T920">
        <f>IF(OR(Dashboard!$P$4="All",Dashboard!$R$4="All"),NA(),IF(OR(Data!K1471&lt;&gt;Dashboard!$P$4,Data!K1471&lt;&gt;Dashboard!$R$4),Data!G1471,NA()))</f>
        <v>42558.381206218859</v>
      </c>
      <c r="V920" s="9"/>
    </row>
    <row r="921" spans="2:22">
      <c r="B921" t="e">
        <f>IF(Dashboard!$P$4="All",Data!G1472,IF(Data!K1472=Dashboard!$P$4,Data!G1472,NA()))</f>
        <v>#N/A</v>
      </c>
      <c r="C921" t="str">
        <f t="shared" si="133"/>
        <v/>
      </c>
      <c r="D921" t="str">
        <f t="shared" si="134"/>
        <v/>
      </c>
      <c r="E921" t="str">
        <f t="shared" si="135"/>
        <v/>
      </c>
      <c r="F921" t="str">
        <f>IF(C921&lt;&gt;"",Data!$M1472,"")</f>
        <v/>
      </c>
      <c r="K921" t="e">
        <f>IF(Dashboard!$R$4="All",Data!G1472,IF(Data!K1472=Dashboard!$R$4,Data!G1472,NA()))</f>
        <v>#N/A</v>
      </c>
      <c r="L921" t="str">
        <f t="shared" si="136"/>
        <v/>
      </c>
      <c r="M921" t="str">
        <f t="shared" si="137"/>
        <v/>
      </c>
      <c r="N921" t="str">
        <f t="shared" si="138"/>
        <v/>
      </c>
      <c r="O921" t="str">
        <f>IF(L921&lt;&gt;"",Data!$M1472,"")</f>
        <v/>
      </c>
      <c r="T921">
        <f>IF(OR(Dashboard!$P$4="All",Dashboard!$R$4="All"),NA(),IF(OR(Data!K1472&lt;&gt;Dashboard!$P$4,Data!K1472&lt;&gt;Dashboard!$R$4),Data!G1472,NA()))</f>
        <v>61000</v>
      </c>
    </row>
    <row r="922" spans="2:22">
      <c r="B922" t="e">
        <f>IF(Dashboard!$P$4="All",Data!G1473,IF(Data!K1473=Dashboard!$P$4,Data!G1473,NA()))</f>
        <v>#N/A</v>
      </c>
      <c r="C922" t="str">
        <f t="shared" si="133"/>
        <v/>
      </c>
      <c r="D922" t="str">
        <f t="shared" si="134"/>
        <v/>
      </c>
      <c r="E922" t="str">
        <f t="shared" si="135"/>
        <v/>
      </c>
      <c r="F922" t="str">
        <f>IF(C922&lt;&gt;"",Data!$M1473,"")</f>
        <v/>
      </c>
      <c r="K922" t="e">
        <f>IF(Dashboard!$R$4="All",Data!G1473,IF(Data!K1473=Dashboard!$R$4,Data!G1473,NA()))</f>
        <v>#N/A</v>
      </c>
      <c r="L922" t="str">
        <f t="shared" si="136"/>
        <v/>
      </c>
      <c r="M922" t="str">
        <f t="shared" si="137"/>
        <v/>
      </c>
      <c r="N922" t="str">
        <f t="shared" si="138"/>
        <v/>
      </c>
      <c r="O922" t="str">
        <f>IF(L922&lt;&gt;"",Data!$M1473,"")</f>
        <v/>
      </c>
      <c r="T922">
        <f>IF(OR(Dashboard!$P$4="All",Dashboard!$R$4="All"),NA(),IF(OR(Data!K1473&lt;&gt;Dashboard!$P$4,Data!K1473&lt;&gt;Dashboard!$R$4),Data!G1473,NA()))</f>
        <v>66000</v>
      </c>
    </row>
    <row r="923" spans="2:22">
      <c r="B923" t="e">
        <f>IF(Dashboard!$P$4="All",Data!G1474,IF(Data!K1474=Dashboard!$P$4,Data!G1474,NA()))</f>
        <v>#N/A</v>
      </c>
      <c r="C923" t="str">
        <f t="shared" si="133"/>
        <v/>
      </c>
      <c r="D923" t="str">
        <f t="shared" si="134"/>
        <v/>
      </c>
      <c r="E923" t="str">
        <f t="shared" si="135"/>
        <v/>
      </c>
      <c r="F923" t="str">
        <f>IF(C923&lt;&gt;"",Data!$M1474,"")</f>
        <v/>
      </c>
      <c r="K923" t="e">
        <f>IF(Dashboard!$R$4="All",Data!G1474,IF(Data!K1474=Dashboard!$R$4,Data!G1474,NA()))</f>
        <v>#N/A</v>
      </c>
      <c r="L923" t="str">
        <f t="shared" si="136"/>
        <v/>
      </c>
      <c r="M923" t="str">
        <f t="shared" si="137"/>
        <v/>
      </c>
      <c r="N923" t="str">
        <f t="shared" si="138"/>
        <v/>
      </c>
      <c r="O923" t="str">
        <f>IF(L923&lt;&gt;"",Data!$M1474,"")</f>
        <v/>
      </c>
      <c r="T923">
        <f>IF(OR(Dashboard!$P$4="All",Dashboard!$R$4="All"),NA(),IF(OR(Data!K1474&lt;&gt;Dashboard!$P$4,Data!K1474&lt;&gt;Dashboard!$R$4),Data!G1474,NA()))</f>
        <v>4950.6008391090336</v>
      </c>
    </row>
    <row r="924" spans="2:22">
      <c r="B924" t="e">
        <f>IF(Dashboard!$P$4="All",Data!G1475,IF(Data!K1475=Dashboard!$P$4,Data!G1475,NA()))</f>
        <v>#N/A</v>
      </c>
      <c r="C924" t="str">
        <f t="shared" si="133"/>
        <v/>
      </c>
      <c r="D924" t="str">
        <f t="shared" si="134"/>
        <v/>
      </c>
      <c r="E924" t="str">
        <f t="shared" si="135"/>
        <v/>
      </c>
      <c r="F924" t="str">
        <f>IF(C924&lt;&gt;"",Data!$M1475,"")</f>
        <v/>
      </c>
      <c r="K924" t="e">
        <f>IF(Dashboard!$R$4="All",Data!G1475,IF(Data!K1475=Dashboard!$R$4,Data!G1475,NA()))</f>
        <v>#N/A</v>
      </c>
      <c r="L924" t="str">
        <f t="shared" si="136"/>
        <v/>
      </c>
      <c r="M924" t="str">
        <f t="shared" si="137"/>
        <v/>
      </c>
      <c r="N924" t="str">
        <f t="shared" si="138"/>
        <v/>
      </c>
      <c r="O924" t="str">
        <f>IF(L924&lt;&gt;"",Data!$M1475,"")</f>
        <v/>
      </c>
      <c r="T924">
        <f>IF(OR(Dashboard!$P$4="All",Dashboard!$R$4="All"),NA(),IF(OR(Data!K1475&lt;&gt;Dashboard!$P$4,Data!K1475&lt;&gt;Dashboard!$R$4),Data!G1475,NA()))</f>
        <v>55000</v>
      </c>
    </row>
    <row r="925" spans="2:22">
      <c r="B925" t="e">
        <f>IF(Dashboard!$P$4="All",Data!G1476,IF(Data!K1476=Dashboard!$P$4,Data!G1476,NA()))</f>
        <v>#N/A</v>
      </c>
      <c r="C925" t="str">
        <f t="shared" si="133"/>
        <v/>
      </c>
      <c r="D925" t="str">
        <f t="shared" si="134"/>
        <v/>
      </c>
      <c r="E925" t="str">
        <f t="shared" si="135"/>
        <v/>
      </c>
      <c r="F925" t="str">
        <f>IF(C925&lt;&gt;"",Data!$M1476,"")</f>
        <v/>
      </c>
      <c r="K925" t="e">
        <f>IF(Dashboard!$R$4="All",Data!G1476,IF(Data!K1476=Dashboard!$R$4,Data!G1476,NA()))</f>
        <v>#N/A</v>
      </c>
      <c r="L925" t="str">
        <f t="shared" si="136"/>
        <v/>
      </c>
      <c r="M925" t="str">
        <f t="shared" si="137"/>
        <v/>
      </c>
      <c r="N925" t="str">
        <f t="shared" si="138"/>
        <v/>
      </c>
      <c r="O925" t="str">
        <f>IF(L925&lt;&gt;"",Data!$M1476,"")</f>
        <v/>
      </c>
      <c r="T925">
        <f>IF(OR(Dashboard!$P$4="All",Dashboard!$R$4="All"),NA(),IF(OR(Data!K1476&lt;&gt;Dashboard!$P$4,Data!K1476&lt;&gt;Dashboard!$R$4),Data!G1476,NA()))</f>
        <v>32000</v>
      </c>
    </row>
    <row r="926" spans="2:22">
      <c r="B926" t="e">
        <f>IF(Dashboard!$P$4="All",Data!G1477,IF(Data!K1477=Dashboard!$P$4,Data!G1477,NA()))</f>
        <v>#N/A</v>
      </c>
      <c r="C926" t="str">
        <f t="shared" si="133"/>
        <v/>
      </c>
      <c r="D926" t="str">
        <f t="shared" si="134"/>
        <v/>
      </c>
      <c r="E926" t="str">
        <f t="shared" si="135"/>
        <v/>
      </c>
      <c r="F926" t="str">
        <f>IF(C926&lt;&gt;"",Data!$M1477,"")</f>
        <v/>
      </c>
      <c r="K926" t="e">
        <f>IF(Dashboard!$R$4="All",Data!G1477,IF(Data!K1477=Dashboard!$R$4,Data!G1477,NA()))</f>
        <v>#N/A</v>
      </c>
      <c r="L926" t="str">
        <f t="shared" si="136"/>
        <v/>
      </c>
      <c r="M926" t="str">
        <f t="shared" si="137"/>
        <v/>
      </c>
      <c r="N926" t="str">
        <f t="shared" si="138"/>
        <v/>
      </c>
      <c r="O926" t="str">
        <f>IF(L926&lt;&gt;"",Data!$M1477,"")</f>
        <v/>
      </c>
      <c r="T926">
        <f>IF(OR(Dashboard!$P$4="All",Dashboard!$R$4="All"),NA(),IF(OR(Data!K1477&lt;&gt;Dashboard!$P$4,Data!K1477&lt;&gt;Dashboard!$R$4),Data!G1477,NA()))</f>
        <v>18000</v>
      </c>
    </row>
    <row r="927" spans="2:22">
      <c r="B927" t="e">
        <f>IF(Dashboard!$P$4="All",Data!G1478,IF(Data!K1478=Dashboard!$P$4,Data!G1478,NA()))</f>
        <v>#N/A</v>
      </c>
      <c r="C927" t="str">
        <f t="shared" si="133"/>
        <v/>
      </c>
      <c r="D927" t="str">
        <f t="shared" si="134"/>
        <v/>
      </c>
      <c r="E927" t="str">
        <f t="shared" si="135"/>
        <v/>
      </c>
      <c r="F927" t="str">
        <f>IF(C927&lt;&gt;"",Data!$M1478,"")</f>
        <v/>
      </c>
      <c r="K927" t="e">
        <f>IF(Dashboard!$R$4="All",Data!G1478,IF(Data!K1478=Dashboard!$R$4,Data!G1478,NA()))</f>
        <v>#N/A</v>
      </c>
      <c r="L927" t="str">
        <f t="shared" si="136"/>
        <v/>
      </c>
      <c r="M927" t="str">
        <f t="shared" si="137"/>
        <v/>
      </c>
      <c r="N927" t="str">
        <f t="shared" si="138"/>
        <v/>
      </c>
      <c r="O927" t="str">
        <f>IF(L927&lt;&gt;"",Data!$M1478,"")</f>
        <v/>
      </c>
      <c r="T927">
        <f>IF(OR(Dashboard!$P$4="All",Dashboard!$R$4="All"),NA(),IF(OR(Data!K1478&lt;&gt;Dashboard!$P$4,Data!K1478&lt;&gt;Dashboard!$R$4),Data!G1478,NA()))</f>
        <v>11575.14584683767</v>
      </c>
    </row>
    <row r="928" spans="2:22">
      <c r="B928" t="e">
        <f>IF(Dashboard!$P$4="All",Data!G1479,IF(Data!K1479=Dashboard!$P$4,Data!G1479,NA()))</f>
        <v>#N/A</v>
      </c>
      <c r="C928" t="str">
        <f t="shared" si="133"/>
        <v/>
      </c>
      <c r="D928" t="str">
        <f t="shared" si="134"/>
        <v/>
      </c>
      <c r="E928" t="str">
        <f t="shared" si="135"/>
        <v/>
      </c>
      <c r="F928" t="str">
        <f>IF(C928&lt;&gt;"",Data!$M1479,"")</f>
        <v/>
      </c>
      <c r="K928" t="e">
        <f>IF(Dashboard!$R$4="All",Data!G1479,IF(Data!K1479=Dashboard!$R$4,Data!G1479,NA()))</f>
        <v>#N/A</v>
      </c>
      <c r="L928" t="str">
        <f t="shared" si="136"/>
        <v/>
      </c>
      <c r="M928" t="str">
        <f t="shared" si="137"/>
        <v/>
      </c>
      <c r="N928" t="str">
        <f t="shared" si="138"/>
        <v/>
      </c>
      <c r="O928" t="str">
        <f>IF(L928&lt;&gt;"",Data!$M1479,"")</f>
        <v/>
      </c>
      <c r="T928">
        <f>IF(OR(Dashboard!$P$4="All",Dashboard!$R$4="All"),NA(),IF(OR(Data!K1479&lt;&gt;Dashboard!$P$4,Data!K1479&lt;&gt;Dashboard!$R$4),Data!G1479,NA()))</f>
        <v>63519.971949580387</v>
      </c>
    </row>
    <row r="929" spans="2:21">
      <c r="B929" t="e">
        <f>IF(Dashboard!$P$4="All",Data!G1480,IF(Data!K1480=Dashboard!$P$4,Data!G1480,NA()))</f>
        <v>#N/A</v>
      </c>
      <c r="C929" t="str">
        <f t="shared" si="133"/>
        <v/>
      </c>
      <c r="D929" t="str">
        <f t="shared" si="134"/>
        <v/>
      </c>
      <c r="E929" t="str">
        <f t="shared" si="135"/>
        <v/>
      </c>
      <c r="F929" t="str">
        <f>IF(C929&lt;&gt;"",Data!$M1480,"")</f>
        <v/>
      </c>
      <c r="K929" t="e">
        <f>IF(Dashboard!$R$4="All",Data!G1480,IF(Data!K1480=Dashboard!$R$4,Data!G1480,NA()))</f>
        <v>#N/A</v>
      </c>
      <c r="L929" t="str">
        <f t="shared" si="136"/>
        <v/>
      </c>
      <c r="M929" t="str">
        <f t="shared" si="137"/>
        <v/>
      </c>
      <c r="N929" t="str">
        <f t="shared" si="138"/>
        <v/>
      </c>
      <c r="O929" t="str">
        <f>IF(L929&lt;&gt;"",Data!$M1480,"")</f>
        <v/>
      </c>
      <c r="T929">
        <f>IF(OR(Dashboard!$P$4="All",Dashboard!$R$4="All"),NA(),IF(OR(Data!K1480&lt;&gt;Dashboard!$P$4,Data!K1480&lt;&gt;Dashboard!$R$4),Data!G1480,NA()))</f>
        <v>71231.666749770273</v>
      </c>
      <c r="U929"/>
    </row>
    <row r="930" spans="2:21">
      <c r="B930" t="e">
        <f>IF(Dashboard!$P$4="All",Data!G1481,IF(Data!K1481=Dashboard!$P$4,Data!G1481,NA()))</f>
        <v>#N/A</v>
      </c>
      <c r="C930" t="str">
        <f t="shared" si="133"/>
        <v/>
      </c>
      <c r="D930" t="str">
        <f t="shared" si="134"/>
        <v/>
      </c>
      <c r="E930" t="str">
        <f t="shared" si="135"/>
        <v/>
      </c>
      <c r="F930" t="str">
        <f>IF(C930&lt;&gt;"",Data!$M1481,"")</f>
        <v/>
      </c>
      <c r="K930" t="e">
        <f>IF(Dashboard!$R$4="All",Data!G1481,IF(Data!K1481=Dashboard!$R$4,Data!G1481,NA()))</f>
        <v>#N/A</v>
      </c>
      <c r="L930" t="str">
        <f t="shared" si="136"/>
        <v/>
      </c>
      <c r="M930" t="str">
        <f t="shared" si="137"/>
        <v/>
      </c>
      <c r="N930" t="str">
        <f t="shared" si="138"/>
        <v/>
      </c>
      <c r="O930" t="str">
        <f>IF(L930&lt;&gt;"",Data!$M1481,"")</f>
        <v/>
      </c>
      <c r="T930">
        <f>IF(OR(Dashboard!$P$4="All",Dashboard!$R$4="All"),NA(),IF(OR(Data!K1481&lt;&gt;Dashboard!$P$4,Data!K1481&lt;&gt;Dashboard!$R$4),Data!G1481,NA()))</f>
        <v>10000</v>
      </c>
      <c r="U930"/>
    </row>
    <row r="931" spans="2:21">
      <c r="B931" t="e">
        <f>IF(Dashboard!$P$4="All",Data!G1482,IF(Data!K1482=Dashboard!$P$4,Data!G1482,NA()))</f>
        <v>#N/A</v>
      </c>
      <c r="C931" t="str">
        <f t="shared" si="133"/>
        <v/>
      </c>
      <c r="D931" t="str">
        <f t="shared" si="134"/>
        <v/>
      </c>
      <c r="E931" t="str">
        <f t="shared" si="135"/>
        <v/>
      </c>
      <c r="F931" t="str">
        <f>IF(C931&lt;&gt;"",Data!$M1482,"")</f>
        <v/>
      </c>
      <c r="K931" t="e">
        <f>IF(Dashboard!$R$4="All",Data!G1482,IF(Data!K1482=Dashboard!$R$4,Data!G1482,NA()))</f>
        <v>#N/A</v>
      </c>
      <c r="L931" t="str">
        <f t="shared" si="136"/>
        <v/>
      </c>
      <c r="M931" t="str">
        <f t="shared" si="137"/>
        <v/>
      </c>
      <c r="N931" t="str">
        <f t="shared" si="138"/>
        <v/>
      </c>
      <c r="O931" t="str">
        <f>IF(L931&lt;&gt;"",Data!$M1482,"")</f>
        <v/>
      </c>
      <c r="T931">
        <f>IF(OR(Dashboard!$P$4="All",Dashboard!$R$4="All"),NA(),IF(OR(Data!K1482&lt;&gt;Dashboard!$P$4,Data!K1482&lt;&gt;Dashboard!$R$4),Data!G1482,NA()))</f>
        <v>74300</v>
      </c>
      <c r="U931"/>
    </row>
    <row r="932" spans="2:21">
      <c r="B932" t="e">
        <f>IF(Dashboard!$P$4="All",Data!G1483,IF(Data!K1483=Dashboard!$P$4,Data!G1483,NA()))</f>
        <v>#N/A</v>
      </c>
      <c r="C932" t="str">
        <f t="shared" si="133"/>
        <v/>
      </c>
      <c r="D932" t="str">
        <f t="shared" si="134"/>
        <v/>
      </c>
      <c r="E932" t="str">
        <f t="shared" si="135"/>
        <v/>
      </c>
      <c r="F932" t="str">
        <f>IF(C932&lt;&gt;"",Data!$M1483,"")</f>
        <v/>
      </c>
      <c r="K932" t="e">
        <f>IF(Dashboard!$R$4="All",Data!G1483,IF(Data!K1483=Dashboard!$R$4,Data!G1483,NA()))</f>
        <v>#N/A</v>
      </c>
      <c r="L932" t="str">
        <f t="shared" si="136"/>
        <v/>
      </c>
      <c r="M932" t="str">
        <f t="shared" si="137"/>
        <v/>
      </c>
      <c r="N932" t="str">
        <f t="shared" si="138"/>
        <v/>
      </c>
      <c r="O932" t="str">
        <f>IF(L932&lt;&gt;"",Data!$M1483,"")</f>
        <v/>
      </c>
      <c r="T932">
        <f>IF(OR(Dashboard!$P$4="All",Dashboard!$R$4="All"),NA(),IF(OR(Data!K1483&lt;&gt;Dashboard!$P$4,Data!K1483&lt;&gt;Dashboard!$R$4),Data!G1483,NA()))</f>
        <v>26711.875031163851</v>
      </c>
      <c r="U932"/>
    </row>
    <row r="933" spans="2:21">
      <c r="B933" t="e">
        <f>IF(Dashboard!$P$4="All",Data!G1484,IF(Data!K1484=Dashboard!$P$4,Data!G1484,NA()))</f>
        <v>#N/A</v>
      </c>
      <c r="C933" t="str">
        <f t="shared" si="133"/>
        <v/>
      </c>
      <c r="D933" t="str">
        <f t="shared" si="134"/>
        <v/>
      </c>
      <c r="E933" t="str">
        <f t="shared" si="135"/>
        <v/>
      </c>
      <c r="F933" t="str">
        <f>IF(C933&lt;&gt;"",Data!$M1484,"")</f>
        <v/>
      </c>
      <c r="K933" t="e">
        <f>IF(Dashboard!$R$4="All",Data!G1484,IF(Data!K1484=Dashboard!$R$4,Data!G1484,NA()))</f>
        <v>#N/A</v>
      </c>
      <c r="L933" t="str">
        <f t="shared" si="136"/>
        <v/>
      </c>
      <c r="M933" t="str">
        <f t="shared" si="137"/>
        <v/>
      </c>
      <c r="N933" t="str">
        <f t="shared" si="138"/>
        <v/>
      </c>
      <c r="O933" t="str">
        <f>IF(L933&lt;&gt;"",Data!$M1484,"")</f>
        <v/>
      </c>
      <c r="T933">
        <f>IF(OR(Dashboard!$P$4="All",Dashboard!$R$4="All"),NA(),IF(OR(Data!K1484&lt;&gt;Dashboard!$P$4,Data!K1484&lt;&gt;Dashboard!$R$4),Data!G1484,NA()))</f>
        <v>9545.0433444692171</v>
      </c>
      <c r="U933"/>
    </row>
    <row r="934" spans="2:21">
      <c r="B934" t="e">
        <f>IF(Dashboard!$P$4="All",Data!G1485,IF(Data!K1485=Dashboard!$P$4,Data!G1485,NA()))</f>
        <v>#N/A</v>
      </c>
      <c r="C934" t="str">
        <f t="shared" si="133"/>
        <v/>
      </c>
      <c r="D934" t="str">
        <f t="shared" si="134"/>
        <v/>
      </c>
      <c r="E934" t="str">
        <f t="shared" si="135"/>
        <v/>
      </c>
      <c r="F934" t="str">
        <f>IF(C934&lt;&gt;"",Data!$M1485,"")</f>
        <v/>
      </c>
      <c r="K934" t="e">
        <f>IF(Dashboard!$R$4="All",Data!G1485,IF(Data!K1485=Dashboard!$R$4,Data!G1485,NA()))</f>
        <v>#N/A</v>
      </c>
      <c r="L934" t="str">
        <f t="shared" si="136"/>
        <v/>
      </c>
      <c r="M934" t="str">
        <f t="shared" si="137"/>
        <v/>
      </c>
      <c r="N934" t="str">
        <f t="shared" si="138"/>
        <v/>
      </c>
      <c r="O934" t="str">
        <f>IF(L934&lt;&gt;"",Data!$M1485,"")</f>
        <v/>
      </c>
      <c r="T934">
        <f>IF(OR(Dashboard!$P$4="All",Dashboard!$R$4="All"),NA(),IF(OR(Data!K1485&lt;&gt;Dashboard!$P$4,Data!K1485&lt;&gt;Dashboard!$R$4),Data!G1485,NA()))</f>
        <v>95000</v>
      </c>
      <c r="U934"/>
    </row>
    <row r="935" spans="2:21">
      <c r="B935" t="e">
        <f>IF(Dashboard!$P$4="All",Data!G1486,IF(Data!K1486=Dashboard!$P$4,Data!G1486,NA()))</f>
        <v>#N/A</v>
      </c>
      <c r="C935" t="str">
        <f t="shared" si="133"/>
        <v/>
      </c>
      <c r="D935" t="str">
        <f t="shared" si="134"/>
        <v/>
      </c>
      <c r="E935" t="str">
        <f t="shared" si="135"/>
        <v/>
      </c>
      <c r="F935" t="str">
        <f>IF(C935&lt;&gt;"",Data!$M1486,"")</f>
        <v/>
      </c>
      <c r="K935" t="e">
        <f>IF(Dashboard!$R$4="All",Data!G1486,IF(Data!K1486=Dashboard!$R$4,Data!G1486,NA()))</f>
        <v>#N/A</v>
      </c>
      <c r="L935" t="str">
        <f t="shared" si="136"/>
        <v/>
      </c>
      <c r="M935" t="str">
        <f t="shared" si="137"/>
        <v/>
      </c>
      <c r="N935" t="str">
        <f t="shared" si="138"/>
        <v/>
      </c>
      <c r="O935" t="str">
        <f>IF(L935&lt;&gt;"",Data!$M1486,"")</f>
        <v/>
      </c>
      <c r="T935">
        <f>IF(OR(Dashboard!$P$4="All",Dashboard!$R$4="All"),NA(),IF(OR(Data!K1486&lt;&gt;Dashboard!$P$4,Data!K1486&lt;&gt;Dashboard!$R$4),Data!G1486,NA()))</f>
        <v>64300</v>
      </c>
      <c r="U935"/>
    </row>
    <row r="936" spans="2:21">
      <c r="B936" t="e">
        <f>IF(Dashboard!$P$4="All",Data!G1487,IF(Data!K1487=Dashboard!$P$4,Data!G1487,NA()))</f>
        <v>#N/A</v>
      </c>
      <c r="C936" t="str">
        <f t="shared" si="133"/>
        <v/>
      </c>
      <c r="D936" t="str">
        <f t="shared" si="134"/>
        <v/>
      </c>
      <c r="E936" t="str">
        <f t="shared" si="135"/>
        <v/>
      </c>
      <c r="F936" t="str">
        <f>IF(C936&lt;&gt;"",Data!$M1487,"")</f>
        <v/>
      </c>
      <c r="K936" t="e">
        <f>IF(Dashboard!$R$4="All",Data!G1487,IF(Data!K1487=Dashboard!$R$4,Data!G1487,NA()))</f>
        <v>#N/A</v>
      </c>
      <c r="L936" t="str">
        <f t="shared" si="136"/>
        <v/>
      </c>
      <c r="M936" t="str">
        <f t="shared" si="137"/>
        <v/>
      </c>
      <c r="N936" t="str">
        <f t="shared" si="138"/>
        <v/>
      </c>
      <c r="O936" t="str">
        <f>IF(L936&lt;&gt;"",Data!$M1487,"")</f>
        <v/>
      </c>
      <c r="T936">
        <f>IF(OR(Dashboard!$P$4="All",Dashboard!$R$4="All"),NA(),IF(OR(Data!K1487&lt;&gt;Dashboard!$P$4,Data!K1487&lt;&gt;Dashboard!$R$4),Data!G1487,NA()))</f>
        <v>250000</v>
      </c>
      <c r="U936"/>
    </row>
    <row r="937" spans="2:21">
      <c r="B937" t="e">
        <f>IF(Dashboard!$P$4="All",Data!G1488,IF(Data!K1488=Dashboard!$P$4,Data!G1488,NA()))</f>
        <v>#N/A</v>
      </c>
      <c r="C937" t="str">
        <f t="shared" si="133"/>
        <v/>
      </c>
      <c r="D937" t="str">
        <f t="shared" si="134"/>
        <v/>
      </c>
      <c r="E937" t="str">
        <f t="shared" si="135"/>
        <v/>
      </c>
      <c r="F937" t="str">
        <f>IF(C937&lt;&gt;"",Data!$M1488,"")</f>
        <v/>
      </c>
      <c r="K937" t="e">
        <f>IF(Dashboard!$R$4="All",Data!G1488,IF(Data!K1488=Dashboard!$R$4,Data!G1488,NA()))</f>
        <v>#N/A</v>
      </c>
      <c r="L937" t="str">
        <f t="shared" si="136"/>
        <v/>
      </c>
      <c r="M937" t="str">
        <f t="shared" si="137"/>
        <v/>
      </c>
      <c r="N937" t="str">
        <f t="shared" si="138"/>
        <v/>
      </c>
      <c r="O937" t="str">
        <f>IF(L937&lt;&gt;"",Data!$M1488,"")</f>
        <v/>
      </c>
      <c r="T937">
        <f>IF(OR(Dashboard!$P$4="All",Dashboard!$R$4="All"),NA(),IF(OR(Data!K1488&lt;&gt;Dashboard!$P$4,Data!K1488&lt;&gt;Dashboard!$R$4),Data!G1488,NA()))</f>
        <v>89000</v>
      </c>
      <c r="U937"/>
    </row>
    <row r="938" spans="2:21">
      <c r="B938" t="e">
        <f>IF(Dashboard!$P$4="All",Data!G1489,IF(Data!K1489=Dashboard!$P$4,Data!G1489,NA()))</f>
        <v>#N/A</v>
      </c>
      <c r="C938" t="str">
        <f t="shared" si="133"/>
        <v/>
      </c>
      <c r="D938" t="str">
        <f t="shared" si="134"/>
        <v/>
      </c>
      <c r="E938" t="str">
        <f t="shared" si="135"/>
        <v/>
      </c>
      <c r="F938" t="str">
        <f>IF(C938&lt;&gt;"",Data!$M1489,"")</f>
        <v/>
      </c>
      <c r="K938" t="e">
        <f>IF(Dashboard!$R$4="All",Data!G1489,IF(Data!K1489=Dashboard!$R$4,Data!G1489,NA()))</f>
        <v>#N/A</v>
      </c>
      <c r="L938" t="str">
        <f t="shared" si="136"/>
        <v/>
      </c>
      <c r="M938" t="str">
        <f t="shared" si="137"/>
        <v/>
      </c>
      <c r="N938" t="str">
        <f t="shared" si="138"/>
        <v/>
      </c>
      <c r="O938" t="str">
        <f>IF(L938&lt;&gt;"",Data!$M1489,"")</f>
        <v/>
      </c>
      <c r="T938">
        <f>IF(OR(Dashboard!$P$4="All",Dashboard!$R$4="All"),NA(),IF(OR(Data!K1489&lt;&gt;Dashboard!$P$4,Data!K1489&lt;&gt;Dashboard!$R$4),Data!G1489,NA()))</f>
        <v>75000</v>
      </c>
      <c r="U938"/>
    </row>
    <row r="939" spans="2:21">
      <c r="B939" t="e">
        <f>IF(Dashboard!$P$4="All",Data!G1490,IF(Data!K1490=Dashboard!$P$4,Data!G1490,NA()))</f>
        <v>#N/A</v>
      </c>
      <c r="C939" t="str">
        <f t="shared" si="133"/>
        <v/>
      </c>
      <c r="D939" t="str">
        <f t="shared" si="134"/>
        <v/>
      </c>
      <c r="E939" t="str">
        <f t="shared" si="135"/>
        <v/>
      </c>
      <c r="F939" t="str">
        <f>IF(C939&lt;&gt;"",Data!$M1490,"")</f>
        <v/>
      </c>
      <c r="K939" t="e">
        <f>IF(Dashboard!$R$4="All",Data!G1490,IF(Data!K1490=Dashboard!$R$4,Data!G1490,NA()))</f>
        <v>#N/A</v>
      </c>
      <c r="L939" t="str">
        <f t="shared" si="136"/>
        <v/>
      </c>
      <c r="M939" t="str">
        <f t="shared" si="137"/>
        <v/>
      </c>
      <c r="N939" t="str">
        <f t="shared" si="138"/>
        <v/>
      </c>
      <c r="O939" t="str">
        <f>IF(L939&lt;&gt;"",Data!$M1490,"")</f>
        <v/>
      </c>
      <c r="T939">
        <f>IF(OR(Dashboard!$P$4="All",Dashboard!$R$4="All"),NA(),IF(OR(Data!K1490&lt;&gt;Dashboard!$P$4,Data!K1490&lt;&gt;Dashboard!$R$4),Data!G1490,NA()))</f>
        <v>45000</v>
      </c>
      <c r="U939"/>
    </row>
    <row r="940" spans="2:21">
      <c r="B940" t="e">
        <f>IF(Dashboard!$P$4="All",Data!G1491,IF(Data!K1491=Dashboard!$P$4,Data!G1491,NA()))</f>
        <v>#N/A</v>
      </c>
      <c r="C940" t="str">
        <f t="shared" si="133"/>
        <v/>
      </c>
      <c r="D940" t="str">
        <f t="shared" si="134"/>
        <v/>
      </c>
      <c r="E940" t="str">
        <f t="shared" si="135"/>
        <v/>
      </c>
      <c r="F940" t="str">
        <f>IF(C940&lt;&gt;"",Data!$M1491,"")</f>
        <v/>
      </c>
      <c r="K940" t="e">
        <f>IF(Dashboard!$R$4="All",Data!G1491,IF(Data!K1491=Dashboard!$R$4,Data!G1491,NA()))</f>
        <v>#N/A</v>
      </c>
      <c r="L940" t="str">
        <f t="shared" si="136"/>
        <v/>
      </c>
      <c r="M940" t="str">
        <f t="shared" si="137"/>
        <v/>
      </c>
      <c r="N940" t="str">
        <f t="shared" si="138"/>
        <v/>
      </c>
      <c r="O940" t="str">
        <f>IF(L940&lt;&gt;"",Data!$M1491,"")</f>
        <v/>
      </c>
      <c r="T940">
        <f>IF(OR(Dashboard!$P$4="All",Dashboard!$R$4="All"),NA(),IF(OR(Data!K1491&lt;&gt;Dashboard!$P$4,Data!K1491&lt;&gt;Dashboard!$R$4),Data!G1491,NA()))</f>
        <v>127500</v>
      </c>
      <c r="U940"/>
    </row>
    <row r="941" spans="2:21">
      <c r="B941" t="e">
        <f>IF(Dashboard!$P$4="All",Data!G1492,IF(Data!K1492=Dashboard!$P$4,Data!G1492,NA()))</f>
        <v>#N/A</v>
      </c>
      <c r="C941" t="str">
        <f t="shared" si="133"/>
        <v/>
      </c>
      <c r="D941" t="str">
        <f t="shared" si="134"/>
        <v/>
      </c>
      <c r="E941" t="str">
        <f t="shared" si="135"/>
        <v/>
      </c>
      <c r="F941" t="str">
        <f>IF(C941&lt;&gt;"",Data!$M1492,"")</f>
        <v/>
      </c>
      <c r="K941" t="e">
        <f>IF(Dashboard!$R$4="All",Data!G1492,IF(Data!K1492=Dashboard!$R$4,Data!G1492,NA()))</f>
        <v>#N/A</v>
      </c>
      <c r="L941" t="str">
        <f t="shared" si="136"/>
        <v/>
      </c>
      <c r="M941" t="str">
        <f t="shared" si="137"/>
        <v/>
      </c>
      <c r="N941" t="str">
        <f t="shared" si="138"/>
        <v/>
      </c>
      <c r="O941" t="str">
        <f>IF(L941&lt;&gt;"",Data!$M1492,"")</f>
        <v/>
      </c>
      <c r="T941">
        <f>IF(OR(Dashboard!$P$4="All",Dashboard!$R$4="All"),NA(),IF(OR(Data!K1492&lt;&gt;Dashboard!$P$4,Data!K1492&lt;&gt;Dashboard!$R$4),Data!G1492,NA()))</f>
        <v>170000</v>
      </c>
      <c r="U941"/>
    </row>
    <row r="942" spans="2:21">
      <c r="B942" t="e">
        <f>IF(Dashboard!$P$4="All",Data!G1493,IF(Data!K1493=Dashboard!$P$4,Data!G1493,NA()))</f>
        <v>#N/A</v>
      </c>
      <c r="C942" t="str">
        <f t="shared" si="133"/>
        <v/>
      </c>
      <c r="D942" t="str">
        <f t="shared" si="134"/>
        <v/>
      </c>
      <c r="E942" t="str">
        <f t="shared" si="135"/>
        <v/>
      </c>
      <c r="F942" t="str">
        <f>IF(C942&lt;&gt;"",Data!$M1493,"")</f>
        <v/>
      </c>
      <c r="K942" t="e">
        <f>IF(Dashboard!$R$4="All",Data!G1493,IF(Data!K1493=Dashboard!$R$4,Data!G1493,NA()))</f>
        <v>#N/A</v>
      </c>
      <c r="L942" t="str">
        <f t="shared" si="136"/>
        <v/>
      </c>
      <c r="M942" t="str">
        <f t="shared" si="137"/>
        <v/>
      </c>
      <c r="N942" t="str">
        <f t="shared" si="138"/>
        <v/>
      </c>
      <c r="O942" t="str">
        <f>IF(L942&lt;&gt;"",Data!$M1493,"")</f>
        <v/>
      </c>
      <c r="T942">
        <f>IF(OR(Dashboard!$P$4="All",Dashboard!$R$4="All"),NA(),IF(OR(Data!K1493&lt;&gt;Dashboard!$P$4,Data!K1493&lt;&gt;Dashboard!$R$4),Data!G1493,NA()))</f>
        <v>9600</v>
      </c>
      <c r="U942"/>
    </row>
    <row r="943" spans="2:21">
      <c r="B943" t="e">
        <f>IF(Dashboard!$P$4="All",Data!G1494,IF(Data!K1494=Dashboard!$P$4,Data!G1494,NA()))</f>
        <v>#N/A</v>
      </c>
      <c r="C943" t="str">
        <f t="shared" si="133"/>
        <v/>
      </c>
      <c r="D943" t="str">
        <f t="shared" si="134"/>
        <v/>
      </c>
      <c r="E943" t="str">
        <f t="shared" si="135"/>
        <v/>
      </c>
      <c r="F943" t="str">
        <f>IF(C943&lt;&gt;"",Data!$M1494,"")</f>
        <v/>
      </c>
      <c r="K943" t="e">
        <f>IF(Dashboard!$R$4="All",Data!G1494,IF(Data!K1494=Dashboard!$R$4,Data!G1494,NA()))</f>
        <v>#N/A</v>
      </c>
      <c r="L943" t="str">
        <f t="shared" si="136"/>
        <v/>
      </c>
      <c r="M943" t="str">
        <f t="shared" si="137"/>
        <v/>
      </c>
      <c r="N943" t="str">
        <f t="shared" si="138"/>
        <v/>
      </c>
      <c r="O943" t="str">
        <f>IF(L943&lt;&gt;"",Data!$M1494,"")</f>
        <v/>
      </c>
      <c r="T943">
        <f>IF(OR(Dashboard!$P$4="All",Dashboard!$R$4="All"),NA(),IF(OR(Data!K1494&lt;&gt;Dashboard!$P$4,Data!K1494&lt;&gt;Dashboard!$R$4),Data!G1494,NA()))</f>
        <v>62000</v>
      </c>
      <c r="U943"/>
    </row>
    <row r="944" spans="2:21">
      <c r="B944" t="e">
        <f>IF(Dashboard!$P$4="All",Data!G1495,IF(Data!K1495=Dashboard!$P$4,Data!G1495,NA()))</f>
        <v>#N/A</v>
      </c>
      <c r="C944" t="str">
        <f t="shared" si="133"/>
        <v/>
      </c>
      <c r="D944" t="str">
        <f t="shared" si="134"/>
        <v/>
      </c>
      <c r="E944" t="str">
        <f t="shared" si="135"/>
        <v/>
      </c>
      <c r="F944" t="str">
        <f>IF(C944&lt;&gt;"",Data!$M1495,"")</f>
        <v/>
      </c>
      <c r="K944" t="e">
        <f>IF(Dashboard!$R$4="All",Data!G1495,IF(Data!K1495=Dashboard!$R$4,Data!G1495,NA()))</f>
        <v>#N/A</v>
      </c>
      <c r="L944" t="str">
        <f t="shared" si="136"/>
        <v/>
      </c>
      <c r="M944" t="str">
        <f t="shared" si="137"/>
        <v/>
      </c>
      <c r="N944" t="str">
        <f t="shared" si="138"/>
        <v/>
      </c>
      <c r="O944" t="str">
        <f>IF(L944&lt;&gt;"",Data!$M1495,"")</f>
        <v/>
      </c>
      <c r="T944">
        <f>IF(OR(Dashboard!$P$4="All",Dashboard!$R$4="All"),NA(),IF(OR(Data!K1495&lt;&gt;Dashboard!$P$4,Data!K1495&lt;&gt;Dashboard!$R$4),Data!G1495,NA()))</f>
        <v>22000</v>
      </c>
      <c r="U944"/>
    </row>
    <row r="945" spans="2:21">
      <c r="B945" t="e">
        <f>IF(Dashboard!$P$4="All",Data!G1496,IF(Data!K1496=Dashboard!$P$4,Data!G1496,NA()))</f>
        <v>#N/A</v>
      </c>
      <c r="C945" t="str">
        <f t="shared" si="133"/>
        <v/>
      </c>
      <c r="D945" t="str">
        <f t="shared" si="134"/>
        <v/>
      </c>
      <c r="E945" t="str">
        <f t="shared" si="135"/>
        <v/>
      </c>
      <c r="F945" t="str">
        <f>IF(C945&lt;&gt;"",Data!$M1496,"")</f>
        <v/>
      </c>
      <c r="K945" t="e">
        <f>IF(Dashboard!$R$4="All",Data!G1496,IF(Data!K1496=Dashboard!$R$4,Data!G1496,NA()))</f>
        <v>#N/A</v>
      </c>
      <c r="L945" t="str">
        <f t="shared" si="136"/>
        <v/>
      </c>
      <c r="M945" t="str">
        <f t="shared" si="137"/>
        <v/>
      </c>
      <c r="N945" t="str">
        <f t="shared" si="138"/>
        <v/>
      </c>
      <c r="O945" t="str">
        <f>IF(L945&lt;&gt;"",Data!$M1496,"")</f>
        <v/>
      </c>
      <c r="T945">
        <f>IF(OR(Dashboard!$P$4="All",Dashboard!$R$4="All"),NA(),IF(OR(Data!K1496&lt;&gt;Dashboard!$P$4,Data!K1496&lt;&gt;Dashboard!$R$4),Data!G1496,NA()))</f>
        <v>45000</v>
      </c>
      <c r="U945"/>
    </row>
    <row r="946" spans="2:21">
      <c r="B946" t="e">
        <f>IF(Dashboard!$P$4="All",Data!G1497,IF(Data!K1497=Dashboard!$P$4,Data!G1497,NA()))</f>
        <v>#N/A</v>
      </c>
      <c r="C946" t="str">
        <f t="shared" si="133"/>
        <v/>
      </c>
      <c r="D946" t="str">
        <f t="shared" si="134"/>
        <v/>
      </c>
      <c r="E946" t="str">
        <f t="shared" si="135"/>
        <v/>
      </c>
      <c r="F946" t="str">
        <f>IF(C946&lt;&gt;"",Data!$M1497,"")</f>
        <v/>
      </c>
      <c r="K946" t="e">
        <f>IF(Dashboard!$R$4="All",Data!G1497,IF(Data!K1497=Dashboard!$R$4,Data!G1497,NA()))</f>
        <v>#N/A</v>
      </c>
      <c r="L946" t="str">
        <f t="shared" si="136"/>
        <v/>
      </c>
      <c r="M946" t="str">
        <f t="shared" si="137"/>
        <v/>
      </c>
      <c r="N946" t="str">
        <f t="shared" si="138"/>
        <v/>
      </c>
      <c r="O946" t="str">
        <f>IF(L946&lt;&gt;"",Data!$M1497,"")</f>
        <v/>
      </c>
      <c r="T946">
        <f>IF(OR(Dashboard!$P$4="All",Dashboard!$R$4="All"),NA(),IF(OR(Data!K1497&lt;&gt;Dashboard!$P$4,Data!K1497&lt;&gt;Dashboard!$R$4),Data!G1497,NA()))</f>
        <v>145000</v>
      </c>
      <c r="U946"/>
    </row>
    <row r="947" spans="2:21">
      <c r="B947" t="e">
        <f>IF(Dashboard!$P$4="All",Data!G1498,IF(Data!K1498=Dashboard!$P$4,Data!G1498,NA()))</f>
        <v>#N/A</v>
      </c>
      <c r="C947" t="str">
        <f t="shared" si="133"/>
        <v/>
      </c>
      <c r="D947" t="str">
        <f t="shared" si="134"/>
        <v/>
      </c>
      <c r="E947" t="str">
        <f t="shared" si="135"/>
        <v/>
      </c>
      <c r="F947" t="str">
        <f>IF(C947&lt;&gt;"",Data!$M1498,"")</f>
        <v/>
      </c>
      <c r="K947" t="e">
        <f>IF(Dashboard!$R$4="All",Data!G1498,IF(Data!K1498=Dashboard!$R$4,Data!G1498,NA()))</f>
        <v>#N/A</v>
      </c>
      <c r="L947" t="str">
        <f t="shared" si="136"/>
        <v/>
      </c>
      <c r="M947" t="str">
        <f t="shared" si="137"/>
        <v/>
      </c>
      <c r="N947" t="str">
        <f t="shared" si="138"/>
        <v/>
      </c>
      <c r="O947" t="str">
        <f>IF(L947&lt;&gt;"",Data!$M1498,"")</f>
        <v/>
      </c>
      <c r="T947">
        <f>IF(OR(Dashboard!$P$4="All",Dashboard!$R$4="All"),NA(),IF(OR(Data!K1498&lt;&gt;Dashboard!$P$4,Data!K1498&lt;&gt;Dashboard!$R$4),Data!G1498,NA()))</f>
        <v>89000</v>
      </c>
      <c r="U947"/>
    </row>
    <row r="948" spans="2:21">
      <c r="B948" t="e">
        <f>IF(Dashboard!$P$4="All",Data!G1499,IF(Data!K1499=Dashboard!$P$4,Data!G1499,NA()))</f>
        <v>#N/A</v>
      </c>
      <c r="C948" t="str">
        <f t="shared" si="133"/>
        <v/>
      </c>
      <c r="D948" t="str">
        <f t="shared" si="134"/>
        <v/>
      </c>
      <c r="E948" t="str">
        <f t="shared" si="135"/>
        <v/>
      </c>
      <c r="F948" t="str">
        <f>IF(C948&lt;&gt;"",Data!$M1499,"")</f>
        <v/>
      </c>
      <c r="K948" t="e">
        <f>IF(Dashboard!$R$4="All",Data!G1499,IF(Data!K1499=Dashboard!$R$4,Data!G1499,NA()))</f>
        <v>#N/A</v>
      </c>
      <c r="L948" t="str">
        <f t="shared" si="136"/>
        <v/>
      </c>
      <c r="M948" t="str">
        <f t="shared" si="137"/>
        <v/>
      </c>
      <c r="N948" t="str">
        <f t="shared" si="138"/>
        <v/>
      </c>
      <c r="O948" t="str">
        <f>IF(L948&lt;&gt;"",Data!$M1499,"")</f>
        <v/>
      </c>
      <c r="T948">
        <f>IF(OR(Dashboard!$P$4="All",Dashboard!$R$4="All"),NA(),IF(OR(Data!K1499&lt;&gt;Dashboard!$P$4,Data!K1499&lt;&gt;Dashboard!$R$4),Data!G1499,NA()))</f>
        <v>38000</v>
      </c>
      <c r="U948"/>
    </row>
    <row r="949" spans="2:21">
      <c r="B949" t="e">
        <f>IF(Dashboard!$P$4="All",Data!G1500,IF(Data!K1500=Dashboard!$P$4,Data!G1500,NA()))</f>
        <v>#N/A</v>
      </c>
      <c r="C949" t="str">
        <f t="shared" si="133"/>
        <v/>
      </c>
      <c r="D949" t="str">
        <f t="shared" si="134"/>
        <v/>
      </c>
      <c r="E949" t="str">
        <f t="shared" si="135"/>
        <v/>
      </c>
      <c r="F949" t="str">
        <f>IF(C949&lt;&gt;"",Data!$M1500,"")</f>
        <v/>
      </c>
      <c r="K949" t="e">
        <f>IF(Dashboard!$R$4="All",Data!G1500,IF(Data!K1500=Dashboard!$R$4,Data!G1500,NA()))</f>
        <v>#N/A</v>
      </c>
      <c r="L949" t="str">
        <f t="shared" si="136"/>
        <v/>
      </c>
      <c r="M949" t="str">
        <f t="shared" si="137"/>
        <v/>
      </c>
      <c r="N949" t="str">
        <f t="shared" si="138"/>
        <v/>
      </c>
      <c r="O949" t="str">
        <f>IF(L949&lt;&gt;"",Data!$M1500,"")</f>
        <v/>
      </c>
      <c r="T949">
        <f>IF(OR(Dashboard!$P$4="All",Dashboard!$R$4="All"),NA(),IF(OR(Data!K1500&lt;&gt;Dashboard!$P$4,Data!K1500&lt;&gt;Dashboard!$R$4),Data!G1500,NA()))</f>
        <v>49168.076151516347</v>
      </c>
      <c r="U949"/>
    </row>
    <row r="950" spans="2:21">
      <c r="B950" t="e">
        <f>IF(Dashboard!$P$4="All",Data!G1501,IF(Data!K1501=Dashboard!$P$4,Data!G1501,NA()))</f>
        <v>#N/A</v>
      </c>
      <c r="C950" t="str">
        <f t="shared" si="133"/>
        <v/>
      </c>
      <c r="D950" t="str">
        <f t="shared" si="134"/>
        <v/>
      </c>
      <c r="E950" t="str">
        <f t="shared" si="135"/>
        <v/>
      </c>
      <c r="F950" t="str">
        <f>IF(C950&lt;&gt;"",Data!$M1501,"")</f>
        <v/>
      </c>
      <c r="K950" t="e">
        <f>IF(Dashboard!$R$4="All",Data!G1501,IF(Data!K1501=Dashboard!$R$4,Data!G1501,NA()))</f>
        <v>#N/A</v>
      </c>
      <c r="L950" t="str">
        <f t="shared" si="136"/>
        <v/>
      </c>
      <c r="M950" t="str">
        <f t="shared" si="137"/>
        <v/>
      </c>
      <c r="N950" t="str">
        <f t="shared" si="138"/>
        <v/>
      </c>
      <c r="O950" t="str">
        <f>IF(L950&lt;&gt;"",Data!$M1501,"")</f>
        <v/>
      </c>
      <c r="T950">
        <f>IF(OR(Dashboard!$P$4="All",Dashboard!$R$4="All"),NA(),IF(OR(Data!K1501&lt;&gt;Dashboard!$P$4,Data!K1501&lt;&gt;Dashboard!$R$4),Data!G1501,NA()))</f>
        <v>8903.9583437212841</v>
      </c>
      <c r="U950"/>
    </row>
    <row r="951" spans="2:21">
      <c r="B951" t="e">
        <f>IF(Dashboard!$P$4="All",Data!G1502,IF(Data!K1502=Dashboard!$P$4,Data!G1502,NA()))</f>
        <v>#N/A</v>
      </c>
      <c r="C951" t="str">
        <f t="shared" si="133"/>
        <v/>
      </c>
      <c r="D951" t="str">
        <f t="shared" si="134"/>
        <v/>
      </c>
      <c r="E951" t="str">
        <f t="shared" si="135"/>
        <v/>
      </c>
      <c r="F951" t="str">
        <f>IF(C951&lt;&gt;"",Data!$M1502,"")</f>
        <v/>
      </c>
      <c r="K951" t="e">
        <f>IF(Dashboard!$R$4="All",Data!G1502,IF(Data!K1502=Dashboard!$R$4,Data!G1502,NA()))</f>
        <v>#N/A</v>
      </c>
      <c r="L951" t="str">
        <f t="shared" si="136"/>
        <v/>
      </c>
      <c r="M951" t="str">
        <f t="shared" si="137"/>
        <v/>
      </c>
      <c r="N951" t="str">
        <f t="shared" si="138"/>
        <v/>
      </c>
      <c r="O951" t="str">
        <f>IF(L951&lt;&gt;"",Data!$M1502,"")</f>
        <v/>
      </c>
      <c r="T951">
        <f>IF(OR(Dashboard!$P$4="All",Dashboard!$R$4="All"),NA(),IF(OR(Data!K1502&lt;&gt;Dashboard!$P$4,Data!K1502&lt;&gt;Dashboard!$R$4),Data!G1502,NA()))</f>
        <v>10000</v>
      </c>
      <c r="U951"/>
    </row>
    <row r="952" spans="2:21">
      <c r="B952" t="e">
        <f>IF(Dashboard!$P$4="All",Data!G1503,IF(Data!K1503=Dashboard!$P$4,Data!G1503,NA()))</f>
        <v>#N/A</v>
      </c>
      <c r="C952" t="str">
        <f t="shared" si="133"/>
        <v/>
      </c>
      <c r="D952" t="str">
        <f t="shared" si="134"/>
        <v/>
      </c>
      <c r="E952" t="str">
        <f t="shared" si="135"/>
        <v/>
      </c>
      <c r="F952" t="str">
        <f>IF(C952&lt;&gt;"",Data!$M1503,"")</f>
        <v/>
      </c>
      <c r="K952" t="e">
        <f>IF(Dashboard!$R$4="All",Data!G1503,IF(Data!K1503=Dashboard!$R$4,Data!G1503,NA()))</f>
        <v>#N/A</v>
      </c>
      <c r="L952" t="str">
        <f t="shared" si="136"/>
        <v/>
      </c>
      <c r="M952" t="str">
        <f t="shared" si="137"/>
        <v/>
      </c>
      <c r="N952" t="str">
        <f t="shared" si="138"/>
        <v/>
      </c>
      <c r="O952" t="str">
        <f>IF(L952&lt;&gt;"",Data!$M1503,"")</f>
        <v/>
      </c>
      <c r="T952">
        <f>IF(OR(Dashboard!$P$4="All",Dashboard!$R$4="All"),NA(),IF(OR(Data!K1503&lt;&gt;Dashboard!$P$4,Data!K1503&lt;&gt;Dashboard!$R$4),Data!G1503,NA()))</f>
        <v>105000</v>
      </c>
      <c r="U952"/>
    </row>
    <row r="953" spans="2:21">
      <c r="B953" t="e">
        <f>IF(Dashboard!$P$4="All",Data!G1504,IF(Data!K1504=Dashboard!$P$4,Data!G1504,NA()))</f>
        <v>#N/A</v>
      </c>
      <c r="C953" t="str">
        <f t="shared" si="133"/>
        <v/>
      </c>
      <c r="D953" t="str">
        <f t="shared" si="134"/>
        <v/>
      </c>
      <c r="E953" t="str">
        <f t="shared" si="135"/>
        <v/>
      </c>
      <c r="F953" t="str">
        <f>IF(C953&lt;&gt;"",Data!$M1504,"")</f>
        <v/>
      </c>
      <c r="K953" t="e">
        <f>IF(Dashboard!$R$4="All",Data!G1504,IF(Data!K1504=Dashboard!$R$4,Data!G1504,NA()))</f>
        <v>#N/A</v>
      </c>
      <c r="L953" t="str">
        <f t="shared" si="136"/>
        <v/>
      </c>
      <c r="M953" t="str">
        <f t="shared" si="137"/>
        <v/>
      </c>
      <c r="N953" t="str">
        <f t="shared" si="138"/>
        <v/>
      </c>
      <c r="O953" t="str">
        <f>IF(L953&lt;&gt;"",Data!$M1504,"")</f>
        <v/>
      </c>
      <c r="T953">
        <f>IF(OR(Dashboard!$P$4="All",Dashboard!$R$4="All"),NA(),IF(OR(Data!K1504&lt;&gt;Dashboard!$P$4,Data!K1504&lt;&gt;Dashboard!$R$4),Data!G1504,NA()))</f>
        <v>12000</v>
      </c>
      <c r="U953"/>
    </row>
    <row r="954" spans="2:21">
      <c r="B954" t="e">
        <f>IF(Dashboard!$P$4="All",Data!G1505,IF(Data!K1505=Dashboard!$P$4,Data!G1505,NA()))</f>
        <v>#N/A</v>
      </c>
      <c r="C954" t="str">
        <f t="shared" si="133"/>
        <v/>
      </c>
      <c r="D954" t="str">
        <f t="shared" si="134"/>
        <v/>
      </c>
      <c r="E954" t="str">
        <f t="shared" si="135"/>
        <v/>
      </c>
      <c r="F954" t="str">
        <f>IF(C954&lt;&gt;"",Data!$M1505,"")</f>
        <v/>
      </c>
      <c r="K954" t="e">
        <f>IF(Dashboard!$R$4="All",Data!G1505,IF(Data!K1505=Dashboard!$R$4,Data!G1505,NA()))</f>
        <v>#N/A</v>
      </c>
      <c r="L954" t="str">
        <f t="shared" si="136"/>
        <v/>
      </c>
      <c r="M954" t="str">
        <f t="shared" si="137"/>
        <v/>
      </c>
      <c r="N954" t="str">
        <f t="shared" si="138"/>
        <v/>
      </c>
      <c r="O954" t="str">
        <f>IF(L954&lt;&gt;"",Data!$M1505,"")</f>
        <v/>
      </c>
      <c r="T954">
        <f>IF(OR(Dashboard!$P$4="All",Dashboard!$R$4="All"),NA(),IF(OR(Data!K1505&lt;&gt;Dashboard!$P$4,Data!K1505&lt;&gt;Dashboard!$R$4),Data!G1505,NA()))</f>
        <v>3561.5833374885137</v>
      </c>
      <c r="U954"/>
    </row>
    <row r="955" spans="2:21">
      <c r="B955" t="e">
        <f>IF(Dashboard!$P$4="All",Data!G1506,IF(Data!K1506=Dashboard!$P$4,Data!G1506,NA()))</f>
        <v>#N/A</v>
      </c>
      <c r="C955" t="str">
        <f t="shared" si="133"/>
        <v/>
      </c>
      <c r="D955" t="str">
        <f t="shared" si="134"/>
        <v/>
      </c>
      <c r="E955" t="str">
        <f t="shared" si="135"/>
        <v/>
      </c>
      <c r="F955" t="str">
        <f>IF(C955&lt;&gt;"",Data!$M1506,"")</f>
        <v/>
      </c>
      <c r="K955" t="e">
        <f>IF(Dashboard!$R$4="All",Data!G1506,IF(Data!K1506=Dashboard!$R$4,Data!G1506,NA()))</f>
        <v>#N/A</v>
      </c>
      <c r="L955" t="str">
        <f t="shared" si="136"/>
        <v/>
      </c>
      <c r="M955" t="str">
        <f t="shared" si="137"/>
        <v/>
      </c>
      <c r="N955" t="str">
        <f t="shared" si="138"/>
        <v/>
      </c>
      <c r="O955" t="str">
        <f>IF(L955&lt;&gt;"",Data!$M1506,"")</f>
        <v/>
      </c>
      <c r="T955">
        <f>IF(OR(Dashboard!$P$4="All",Dashboard!$R$4="All"),NA(),IF(OR(Data!K1506&lt;&gt;Dashboard!$P$4,Data!K1506&lt;&gt;Dashboard!$R$4),Data!G1506,NA()))</f>
        <v>86692.320794224041</v>
      </c>
      <c r="U955"/>
    </row>
    <row r="956" spans="2:21">
      <c r="B956" t="e">
        <f>IF(Dashboard!$P$4="All",Data!G1507,IF(Data!K1507=Dashboard!$P$4,Data!G1507,NA()))</f>
        <v>#N/A</v>
      </c>
      <c r="C956" t="str">
        <f t="shared" si="133"/>
        <v/>
      </c>
      <c r="D956" t="str">
        <f t="shared" si="134"/>
        <v/>
      </c>
      <c r="E956" t="str">
        <f t="shared" si="135"/>
        <v/>
      </c>
      <c r="F956" t="str">
        <f>IF(C956&lt;&gt;"",Data!$M1507,"")</f>
        <v/>
      </c>
      <c r="K956" t="e">
        <f>IF(Dashboard!$R$4="All",Data!G1507,IF(Data!K1507=Dashboard!$R$4,Data!G1507,NA()))</f>
        <v>#N/A</v>
      </c>
      <c r="L956" t="str">
        <f t="shared" si="136"/>
        <v/>
      </c>
      <c r="M956" t="str">
        <f t="shared" si="137"/>
        <v/>
      </c>
      <c r="N956" t="str">
        <f t="shared" si="138"/>
        <v/>
      </c>
      <c r="O956" t="str">
        <f>IF(L956&lt;&gt;"",Data!$M1507,"")</f>
        <v/>
      </c>
      <c r="T956">
        <f>IF(OR(Dashboard!$P$4="All",Dashboard!$R$4="All"),NA(),IF(OR(Data!K1507&lt;&gt;Dashboard!$P$4,Data!K1507&lt;&gt;Dashboard!$R$4),Data!G1507,NA()))</f>
        <v>8000</v>
      </c>
      <c r="U956"/>
    </row>
    <row r="957" spans="2:21">
      <c r="B957" t="e">
        <f>IF(Dashboard!$P$4="All",Data!G1508,IF(Data!K1508=Dashboard!$P$4,Data!G1508,NA()))</f>
        <v>#N/A</v>
      </c>
      <c r="C957" t="str">
        <f t="shared" si="133"/>
        <v/>
      </c>
      <c r="D957" t="str">
        <f t="shared" si="134"/>
        <v/>
      </c>
      <c r="E957" t="str">
        <f t="shared" si="135"/>
        <v/>
      </c>
      <c r="F957" t="str">
        <f>IF(C957&lt;&gt;"",Data!$M1508,"")</f>
        <v/>
      </c>
      <c r="K957" t="e">
        <f>IF(Dashboard!$R$4="All",Data!G1508,IF(Data!K1508=Dashboard!$R$4,Data!G1508,NA()))</f>
        <v>#N/A</v>
      </c>
      <c r="L957" t="str">
        <f t="shared" si="136"/>
        <v/>
      </c>
      <c r="M957" t="str">
        <f t="shared" si="137"/>
        <v/>
      </c>
      <c r="N957" t="str">
        <f t="shared" si="138"/>
        <v/>
      </c>
      <c r="O957" t="str">
        <f>IF(L957&lt;&gt;"",Data!$M1508,"")</f>
        <v/>
      </c>
      <c r="T957">
        <f>IF(OR(Dashboard!$P$4="All",Dashboard!$R$4="All"),NA(),IF(OR(Data!K1508&lt;&gt;Dashboard!$P$4,Data!K1508&lt;&gt;Dashboard!$R$4),Data!G1508,NA()))</f>
        <v>6767.0083412281756</v>
      </c>
      <c r="U957"/>
    </row>
    <row r="958" spans="2:21">
      <c r="B958" t="e">
        <f>IF(Dashboard!$P$4="All",Data!G1509,IF(Data!K1509=Dashboard!$P$4,Data!G1509,NA()))</f>
        <v>#N/A</v>
      </c>
      <c r="C958" t="str">
        <f t="shared" si="133"/>
        <v/>
      </c>
      <c r="D958" t="str">
        <f t="shared" si="134"/>
        <v/>
      </c>
      <c r="E958" t="str">
        <f t="shared" si="135"/>
        <v/>
      </c>
      <c r="F958" t="str">
        <f>IF(C958&lt;&gt;"",Data!$M1509,"")</f>
        <v/>
      </c>
      <c r="K958">
        <f>IF(Dashboard!$R$4="All",Data!G1509,IF(Data!K1509=Dashboard!$R$4,Data!G1509,NA()))</f>
        <v>48073.437298052166</v>
      </c>
      <c r="L958">
        <f t="shared" si="136"/>
        <v>48073.437298052166</v>
      </c>
      <c r="M958" t="str">
        <f t="shared" si="137"/>
        <v/>
      </c>
      <c r="N958" t="str">
        <f t="shared" si="138"/>
        <v/>
      </c>
      <c r="O958">
        <f>IF(L958&lt;&gt;"",Data!$M1509,"")</f>
        <v>14</v>
      </c>
      <c r="T958">
        <f>IF(OR(Dashboard!$P$4="All",Dashboard!$R$4="All"),NA(),IF(OR(Data!K1509&lt;&gt;Dashboard!$P$4,Data!K1509&lt;&gt;Dashboard!$R$4),Data!G1509,NA()))</f>
        <v>48073.437298052166</v>
      </c>
      <c r="U958"/>
    </row>
    <row r="959" spans="2:21">
      <c r="B959">
        <f>IF(Dashboard!$P$4="All",Data!G1510,IF(Data!K1510=Dashboard!$P$4,Data!G1510,NA()))</f>
        <v>76223.966339496474</v>
      </c>
      <c r="C959">
        <f t="shared" si="133"/>
        <v>76223.966339496474</v>
      </c>
      <c r="D959" t="str">
        <f t="shared" si="134"/>
        <v/>
      </c>
      <c r="E959" t="str">
        <f t="shared" si="135"/>
        <v/>
      </c>
      <c r="F959">
        <f>IF(C959&lt;&gt;"",Data!$M1510,"")</f>
        <v>15</v>
      </c>
      <c r="K959" t="e">
        <f>IF(Dashboard!$R$4="All",Data!G1510,IF(Data!K1510=Dashboard!$R$4,Data!G1510,NA()))</f>
        <v>#N/A</v>
      </c>
      <c r="L959" t="str">
        <f t="shared" si="136"/>
        <v/>
      </c>
      <c r="M959" t="str">
        <f t="shared" si="137"/>
        <v/>
      </c>
      <c r="N959" t="str">
        <f t="shared" si="138"/>
        <v/>
      </c>
      <c r="O959" t="str">
        <f>IF(L959&lt;&gt;"",Data!$M1510,"")</f>
        <v/>
      </c>
      <c r="T959">
        <f>IF(OR(Dashboard!$P$4="All",Dashboard!$R$4="All"),NA(),IF(OR(Data!K1510&lt;&gt;Dashboard!$P$4,Data!K1510&lt;&gt;Dashboard!$R$4),Data!G1510,NA()))</f>
        <v>76223.966339496474</v>
      </c>
      <c r="U959"/>
    </row>
    <row r="960" spans="2:21">
      <c r="B960" t="e">
        <f>IF(Dashboard!$P$4="All",Data!G1511,IF(Data!K1511=Dashboard!$P$4,Data!G1511,NA()))</f>
        <v>#N/A</v>
      </c>
      <c r="C960" t="str">
        <f t="shared" si="133"/>
        <v/>
      </c>
      <c r="D960" t="str">
        <f t="shared" si="134"/>
        <v/>
      </c>
      <c r="E960" t="str">
        <f t="shared" si="135"/>
        <v/>
      </c>
      <c r="F960" t="str">
        <f>IF(C960&lt;&gt;"",Data!$M1511,"")</f>
        <v/>
      </c>
      <c r="K960" t="e">
        <f>IF(Dashboard!$R$4="All",Data!G1511,IF(Data!K1511=Dashboard!$R$4,Data!G1511,NA()))</f>
        <v>#N/A</v>
      </c>
      <c r="L960" t="str">
        <f t="shared" si="136"/>
        <v/>
      </c>
      <c r="M960" t="str">
        <f t="shared" si="137"/>
        <v/>
      </c>
      <c r="N960" t="str">
        <f t="shared" si="138"/>
        <v/>
      </c>
      <c r="O960" t="str">
        <f>IF(L960&lt;&gt;"",Data!$M1511,"")</f>
        <v/>
      </c>
      <c r="T960">
        <f>IF(OR(Dashboard!$P$4="All",Dashboard!$R$4="All"),NA(),IF(OR(Data!K1511&lt;&gt;Dashboard!$P$4,Data!K1511&lt;&gt;Dashboard!$R$4),Data!G1511,NA()))</f>
        <v>85333.333333333328</v>
      </c>
      <c r="U960"/>
    </row>
    <row r="961" spans="2:21">
      <c r="B961" t="e">
        <f>IF(Dashboard!$P$4="All",Data!G1512,IF(Data!K1512=Dashboard!$P$4,Data!G1512,NA()))</f>
        <v>#N/A</v>
      </c>
      <c r="C961" t="str">
        <f t="shared" si="133"/>
        <v/>
      </c>
      <c r="D961" t="str">
        <f t="shared" si="134"/>
        <v/>
      </c>
      <c r="E961" t="str">
        <f t="shared" si="135"/>
        <v/>
      </c>
      <c r="F961" t="str">
        <f>IF(C961&lt;&gt;"",Data!$M1512,"")</f>
        <v/>
      </c>
      <c r="K961">
        <f>IF(Dashboard!$R$4="All",Data!G1512,IF(Data!K1512=Dashboard!$R$4,Data!G1512,NA()))</f>
        <v>76223.981237173866</v>
      </c>
      <c r="L961">
        <f t="shared" si="136"/>
        <v>76223.981237173866</v>
      </c>
      <c r="M961" t="str">
        <f t="shared" si="137"/>
        <v/>
      </c>
      <c r="N961" t="str">
        <f t="shared" si="138"/>
        <v/>
      </c>
      <c r="O961">
        <f>IF(L961&lt;&gt;"",Data!$M1512,"")</f>
        <v>8</v>
      </c>
      <c r="T961">
        <f>IF(OR(Dashboard!$P$4="All",Dashboard!$R$4="All"),NA(),IF(OR(Data!K1512&lt;&gt;Dashboard!$P$4,Data!K1512&lt;&gt;Dashboard!$R$4),Data!G1512,NA()))</f>
        <v>76223.981237173866</v>
      </c>
      <c r="U961"/>
    </row>
    <row r="962" spans="2:21">
      <c r="B962" t="e">
        <f>IF(Dashboard!$P$4="All",Data!G1513,IF(Data!K1513=Dashboard!$P$4,Data!G1513,NA()))</f>
        <v>#N/A</v>
      </c>
      <c r="C962" t="str">
        <f t="shared" si="133"/>
        <v/>
      </c>
      <c r="D962" t="str">
        <f t="shared" si="134"/>
        <v/>
      </c>
      <c r="E962" t="str">
        <f t="shared" si="135"/>
        <v/>
      </c>
      <c r="F962" t="str">
        <f>IF(C962&lt;&gt;"",Data!$M1513,"")</f>
        <v/>
      </c>
      <c r="K962" t="e">
        <f>IF(Dashboard!$R$4="All",Data!G1513,IF(Data!K1513=Dashboard!$R$4,Data!G1513,NA()))</f>
        <v>#N/A</v>
      </c>
      <c r="L962" t="str">
        <f t="shared" si="136"/>
        <v/>
      </c>
      <c r="M962" t="str">
        <f t="shared" si="137"/>
        <v/>
      </c>
      <c r="N962" t="str">
        <f t="shared" si="138"/>
        <v/>
      </c>
      <c r="O962" t="str">
        <f>IF(L962&lt;&gt;"",Data!$M1513,"")</f>
        <v/>
      </c>
      <c r="T962">
        <f>IF(OR(Dashboard!$P$4="All",Dashboard!$R$4="All"),NA(),IF(OR(Data!K1513&lt;&gt;Dashboard!$P$4,Data!K1513&lt;&gt;Dashboard!$R$4),Data!G1513,NA()))</f>
        <v>30000</v>
      </c>
      <c r="U962"/>
    </row>
    <row r="963" spans="2:21">
      <c r="B963" t="e">
        <f>IF(Dashboard!$P$4="All",Data!G1514,IF(Data!K1514=Dashboard!$P$4,Data!G1514,NA()))</f>
        <v>#N/A</v>
      </c>
      <c r="C963" t="str">
        <f t="shared" si="133"/>
        <v/>
      </c>
      <c r="D963" t="str">
        <f t="shared" si="134"/>
        <v/>
      </c>
      <c r="E963" t="str">
        <f t="shared" si="135"/>
        <v/>
      </c>
      <c r="F963" t="str">
        <f>IF(C963&lt;&gt;"",Data!$M1514,"")</f>
        <v/>
      </c>
      <c r="K963" t="e">
        <f>IF(Dashboard!$R$4="All",Data!G1514,IF(Data!K1514=Dashboard!$R$4,Data!G1514,NA()))</f>
        <v>#N/A</v>
      </c>
      <c r="L963" t="str">
        <f t="shared" si="136"/>
        <v/>
      </c>
      <c r="M963" t="str">
        <f t="shared" si="137"/>
        <v/>
      </c>
      <c r="N963" t="str">
        <f t="shared" si="138"/>
        <v/>
      </c>
      <c r="O963" t="str">
        <f>IF(L963&lt;&gt;"",Data!$M1514,"")</f>
        <v/>
      </c>
      <c r="T963">
        <f>IF(OR(Dashboard!$P$4="All",Dashboard!$R$4="All"),NA(),IF(OR(Data!K1514&lt;&gt;Dashboard!$P$4,Data!K1514&lt;&gt;Dashboard!$R$4),Data!G1514,NA()))</f>
        <v>34000</v>
      </c>
      <c r="U963"/>
    </row>
    <row r="964" spans="2:21">
      <c r="B964" t="e">
        <f>IF(Dashboard!$P$4="All",Data!G1515,IF(Data!K1515=Dashboard!$P$4,Data!G1515,NA()))</f>
        <v>#N/A</v>
      </c>
      <c r="C964" t="str">
        <f t="shared" ref="C964:C1027" si="139">IF(ISNA(B964),"",B964)</f>
        <v/>
      </c>
      <c r="D964" t="str">
        <f t="shared" ref="D964:D1027" si="140">IF(C964&gt;=PERCENTILE($C$3:$C$1337,0.9),C964,"")</f>
        <v/>
      </c>
      <c r="E964" t="str">
        <f t="shared" ref="E964:E1027" si="141">IF(C964&lt;=PERCENTILE($C$3:$C$1337,0.1),C964,"")</f>
        <v/>
      </c>
      <c r="F964" t="str">
        <f>IF(C964&lt;&gt;"",Data!$M1515,"")</f>
        <v/>
      </c>
      <c r="K964" t="e">
        <f>IF(Dashboard!$R$4="All",Data!G1515,IF(Data!K1515=Dashboard!$R$4,Data!G1515,NA()))</f>
        <v>#N/A</v>
      </c>
      <c r="L964" t="str">
        <f t="shared" ref="L964:L1027" si="142">IF(ISNA(K964),"",K964)</f>
        <v/>
      </c>
      <c r="M964" t="str">
        <f t="shared" ref="M964:M1027" si="143">IF(L964&gt;=PERCENTILE($L$3:$L$1337,0.9),L964,"")</f>
        <v/>
      </c>
      <c r="N964" t="str">
        <f t="shared" ref="N964:N1027" si="144">IF(L964&lt;=PERCENTILE($L$3:$L$1337,0.1),L964,"")</f>
        <v/>
      </c>
      <c r="O964" t="str">
        <f>IF(L964&lt;&gt;"",Data!$M1515,"")</f>
        <v/>
      </c>
      <c r="T964">
        <f>IF(OR(Dashboard!$P$4="All",Dashboard!$R$4="All"),NA(),IF(OR(Data!K1515&lt;&gt;Dashboard!$P$4,Data!K1515&lt;&gt;Dashboard!$R$4),Data!G1515,NA()))</f>
        <v>3205.4250037396623</v>
      </c>
      <c r="U964"/>
    </row>
    <row r="965" spans="2:21">
      <c r="B965" t="e">
        <f>IF(Dashboard!$P$4="All",Data!G1516,IF(Data!K1516=Dashboard!$P$4,Data!G1516,NA()))</f>
        <v>#N/A</v>
      </c>
      <c r="C965" t="str">
        <f t="shared" si="139"/>
        <v/>
      </c>
      <c r="D965" t="str">
        <f t="shared" si="140"/>
        <v/>
      </c>
      <c r="E965" t="str">
        <f t="shared" si="141"/>
        <v/>
      </c>
      <c r="F965" t="str">
        <f>IF(C965&lt;&gt;"",Data!$M1516,"")</f>
        <v/>
      </c>
      <c r="K965" t="e">
        <f>IF(Dashboard!$R$4="All",Data!G1516,IF(Data!K1516=Dashboard!$R$4,Data!G1516,NA()))</f>
        <v>#N/A</v>
      </c>
      <c r="L965" t="str">
        <f t="shared" si="142"/>
        <v/>
      </c>
      <c r="M965" t="str">
        <f t="shared" si="143"/>
        <v/>
      </c>
      <c r="N965" t="str">
        <f t="shared" si="144"/>
        <v/>
      </c>
      <c r="O965" t="str">
        <f>IF(L965&lt;&gt;"",Data!$M1516,"")</f>
        <v/>
      </c>
      <c r="T965">
        <f>IF(OR(Dashboard!$P$4="All",Dashboard!$R$4="All"),NA(),IF(OR(Data!K1516&lt;&gt;Dashboard!$P$4,Data!K1516&lt;&gt;Dashboard!$R$4),Data!G1516,NA()))</f>
        <v>45000</v>
      </c>
      <c r="U965"/>
    </row>
    <row r="966" spans="2:21">
      <c r="B966" t="e">
        <f>IF(Dashboard!$P$4="All",Data!G1517,IF(Data!K1517=Dashboard!$P$4,Data!G1517,NA()))</f>
        <v>#N/A</v>
      </c>
      <c r="C966" t="str">
        <f t="shared" si="139"/>
        <v/>
      </c>
      <c r="D966" t="str">
        <f t="shared" si="140"/>
        <v/>
      </c>
      <c r="E966" t="str">
        <f t="shared" si="141"/>
        <v/>
      </c>
      <c r="F966" t="str">
        <f>IF(C966&lt;&gt;"",Data!$M1517,"")</f>
        <v/>
      </c>
      <c r="K966" t="e">
        <f>IF(Dashboard!$R$4="All",Data!G1517,IF(Data!K1517=Dashboard!$R$4,Data!G1517,NA()))</f>
        <v>#N/A</v>
      </c>
      <c r="L966" t="str">
        <f t="shared" si="142"/>
        <v/>
      </c>
      <c r="M966" t="str">
        <f t="shared" si="143"/>
        <v/>
      </c>
      <c r="N966" t="str">
        <f t="shared" si="144"/>
        <v/>
      </c>
      <c r="O966" t="str">
        <f>IF(L966&lt;&gt;"",Data!$M1517,"")</f>
        <v/>
      </c>
      <c r="T966">
        <f>IF(OR(Dashboard!$P$4="All",Dashboard!$R$4="All"),NA(),IF(OR(Data!K1517&lt;&gt;Dashboard!$P$4,Data!K1517&lt;&gt;Dashboard!$R$4),Data!G1517,NA()))</f>
        <v>24864</v>
      </c>
      <c r="U966"/>
    </row>
    <row r="967" spans="2:21">
      <c r="B967" t="e">
        <f>IF(Dashboard!$P$4="All",Data!G1518,IF(Data!K1518=Dashboard!$P$4,Data!G1518,NA()))</f>
        <v>#N/A</v>
      </c>
      <c r="C967" t="str">
        <f t="shared" si="139"/>
        <v/>
      </c>
      <c r="D967" t="str">
        <f t="shared" si="140"/>
        <v/>
      </c>
      <c r="E967" t="str">
        <f t="shared" si="141"/>
        <v/>
      </c>
      <c r="F967" t="str">
        <f>IF(C967&lt;&gt;"",Data!$M1518,"")</f>
        <v/>
      </c>
      <c r="K967">
        <f>IF(Dashboard!$R$4="All",Data!G1518,IF(Data!K1518=Dashboard!$R$4,Data!G1518,NA()))</f>
        <v>47285.348162018527</v>
      </c>
      <c r="L967">
        <f t="shared" si="142"/>
        <v>47285.348162018527</v>
      </c>
      <c r="M967" t="str">
        <f t="shared" si="143"/>
        <v/>
      </c>
      <c r="N967" t="str">
        <f t="shared" si="144"/>
        <v/>
      </c>
      <c r="O967">
        <f>IF(L967&lt;&gt;"",Data!$M1518,"")</f>
        <v>7</v>
      </c>
      <c r="T967">
        <f>IF(OR(Dashboard!$P$4="All",Dashboard!$R$4="All"),NA(),IF(OR(Data!K1518&lt;&gt;Dashboard!$P$4,Data!K1518&lt;&gt;Dashboard!$R$4),Data!G1518,NA()))</f>
        <v>47285.348162018527</v>
      </c>
      <c r="U967"/>
    </row>
    <row r="968" spans="2:21">
      <c r="B968" t="e">
        <f>IF(Dashboard!$P$4="All",Data!G1519,IF(Data!K1519=Dashboard!$P$4,Data!G1519,NA()))</f>
        <v>#N/A</v>
      </c>
      <c r="C968" t="str">
        <f t="shared" si="139"/>
        <v/>
      </c>
      <c r="D968" t="str">
        <f t="shared" si="140"/>
        <v/>
      </c>
      <c r="E968" t="str">
        <f t="shared" si="141"/>
        <v/>
      </c>
      <c r="F968" t="str">
        <f>IF(C968&lt;&gt;"",Data!$M1519,"")</f>
        <v/>
      </c>
      <c r="K968" t="e">
        <f>IF(Dashboard!$R$4="All",Data!G1519,IF(Data!K1519=Dashboard!$R$4,Data!G1519,NA()))</f>
        <v>#N/A</v>
      </c>
      <c r="L968" t="str">
        <f t="shared" si="142"/>
        <v/>
      </c>
      <c r="M968" t="str">
        <f t="shared" si="143"/>
        <v/>
      </c>
      <c r="N968" t="str">
        <f t="shared" si="144"/>
        <v/>
      </c>
      <c r="O968" t="str">
        <f>IF(L968&lt;&gt;"",Data!$M1519,"")</f>
        <v/>
      </c>
      <c r="T968">
        <f>IF(OR(Dashboard!$P$4="All",Dashboard!$R$4="All"),NA(),IF(OR(Data!K1519&lt;&gt;Dashboard!$P$4,Data!K1519&lt;&gt;Dashboard!$R$4),Data!G1519,NA()))</f>
        <v>17807.916687442568</v>
      </c>
      <c r="U968"/>
    </row>
    <row r="969" spans="2:21">
      <c r="B969" t="e">
        <f>IF(Dashboard!$P$4="All",Data!G1520,IF(Data!K1520=Dashboard!$P$4,Data!G1520,NA()))</f>
        <v>#N/A</v>
      </c>
      <c r="C969" t="str">
        <f t="shared" si="139"/>
        <v/>
      </c>
      <c r="D969" t="str">
        <f t="shared" si="140"/>
        <v/>
      </c>
      <c r="E969" t="str">
        <f t="shared" si="141"/>
        <v/>
      </c>
      <c r="F969" t="str">
        <f>IF(C969&lt;&gt;"",Data!$M1520,"")</f>
        <v/>
      </c>
      <c r="K969">
        <f>IF(Dashboard!$R$4="All",Data!G1520,IF(Data!K1520=Dashboard!$R$4,Data!G1520,NA()))</f>
        <v>55166.239522354947</v>
      </c>
      <c r="L969">
        <f t="shared" si="142"/>
        <v>55166.239522354947</v>
      </c>
      <c r="M969" t="str">
        <f t="shared" si="143"/>
        <v/>
      </c>
      <c r="N969" t="str">
        <f t="shared" si="144"/>
        <v/>
      </c>
      <c r="O969">
        <f>IF(L969&lt;&gt;"",Data!$M1520,"")</f>
        <v>3</v>
      </c>
      <c r="T969">
        <f>IF(OR(Dashboard!$P$4="All",Dashboard!$R$4="All"),NA(),IF(OR(Data!K1520&lt;&gt;Dashboard!$P$4,Data!K1520&lt;&gt;Dashboard!$R$4),Data!G1520,NA()))</f>
        <v>55166.239522354947</v>
      </c>
      <c r="U969"/>
    </row>
    <row r="970" spans="2:21">
      <c r="B970">
        <f>IF(Dashboard!$P$4="All",Data!G1521,IF(Data!K1521=Dashboard!$P$4,Data!G1521,NA()))</f>
        <v>69871.969144538423</v>
      </c>
      <c r="C970">
        <f t="shared" si="139"/>
        <v>69871.969144538423</v>
      </c>
      <c r="D970" t="str">
        <f t="shared" si="140"/>
        <v/>
      </c>
      <c r="E970" t="str">
        <f t="shared" si="141"/>
        <v/>
      </c>
      <c r="F970">
        <f>IF(C970&lt;&gt;"",Data!$M1521,"")</f>
        <v>5</v>
      </c>
      <c r="K970" t="e">
        <f>IF(Dashboard!$R$4="All",Data!G1521,IF(Data!K1521=Dashboard!$R$4,Data!G1521,NA()))</f>
        <v>#N/A</v>
      </c>
      <c r="L970" t="str">
        <f t="shared" si="142"/>
        <v/>
      </c>
      <c r="M970" t="str">
        <f t="shared" si="143"/>
        <v/>
      </c>
      <c r="N970" t="str">
        <f t="shared" si="144"/>
        <v/>
      </c>
      <c r="O970" t="str">
        <f>IF(L970&lt;&gt;"",Data!$M1521,"")</f>
        <v/>
      </c>
      <c r="T970">
        <f>IF(OR(Dashboard!$P$4="All",Dashboard!$R$4="All"),NA(),IF(OR(Data!K1521&lt;&gt;Dashboard!$P$4,Data!K1521&lt;&gt;Dashboard!$R$4),Data!G1521,NA()))</f>
        <v>69871.969144538423</v>
      </c>
      <c r="U970"/>
    </row>
    <row r="971" spans="2:21">
      <c r="B971" t="e">
        <f>IF(Dashboard!$P$4="All",Data!G1522,IF(Data!K1522=Dashboard!$P$4,Data!G1522,NA()))</f>
        <v>#N/A</v>
      </c>
      <c r="C971" t="str">
        <f t="shared" si="139"/>
        <v/>
      </c>
      <c r="D971" t="str">
        <f t="shared" si="140"/>
        <v/>
      </c>
      <c r="E971" t="str">
        <f t="shared" si="141"/>
        <v/>
      </c>
      <c r="F971" t="str">
        <f>IF(C971&lt;&gt;"",Data!$M1522,"")</f>
        <v/>
      </c>
      <c r="K971" t="e">
        <f>IF(Dashboard!$R$4="All",Data!G1522,IF(Data!K1522=Dashboard!$R$4,Data!G1522,NA()))</f>
        <v>#N/A</v>
      </c>
      <c r="L971" t="str">
        <f t="shared" si="142"/>
        <v/>
      </c>
      <c r="M971" t="str">
        <f t="shared" si="143"/>
        <v/>
      </c>
      <c r="N971" t="str">
        <f t="shared" si="144"/>
        <v/>
      </c>
      <c r="O971" t="str">
        <f>IF(L971&lt;&gt;"",Data!$M1522,"")</f>
        <v/>
      </c>
      <c r="T971">
        <f>IF(OR(Dashboard!$P$4="All",Dashboard!$R$4="All"),NA(),IF(OR(Data!K1522&lt;&gt;Dashboard!$P$4,Data!K1522&lt;&gt;Dashboard!$R$4),Data!G1522,NA()))</f>
        <v>70970</v>
      </c>
      <c r="U971"/>
    </row>
    <row r="972" spans="2:21">
      <c r="B972">
        <f>IF(Dashboard!$P$4="All",Data!G1523,IF(Data!K1523=Dashboard!$P$4,Data!G1523,NA()))</f>
        <v>76223.966339496474</v>
      </c>
      <c r="C972">
        <f t="shared" si="139"/>
        <v>76223.966339496474</v>
      </c>
      <c r="D972" t="str">
        <f t="shared" si="140"/>
        <v/>
      </c>
      <c r="E972" t="str">
        <f t="shared" si="141"/>
        <v/>
      </c>
      <c r="F972">
        <f>IF(C972&lt;&gt;"",Data!$M1523,"")</f>
        <v>7</v>
      </c>
      <c r="K972" t="e">
        <f>IF(Dashboard!$R$4="All",Data!G1523,IF(Data!K1523=Dashboard!$R$4,Data!G1523,NA()))</f>
        <v>#N/A</v>
      </c>
      <c r="L972" t="str">
        <f t="shared" si="142"/>
        <v/>
      </c>
      <c r="M972" t="str">
        <f t="shared" si="143"/>
        <v/>
      </c>
      <c r="N972" t="str">
        <f t="shared" si="144"/>
        <v/>
      </c>
      <c r="O972" t="str">
        <f>IF(L972&lt;&gt;"",Data!$M1523,"")</f>
        <v/>
      </c>
      <c r="T972">
        <f>IF(OR(Dashboard!$P$4="All",Dashboard!$R$4="All"),NA(),IF(OR(Data!K1523&lt;&gt;Dashboard!$P$4,Data!K1523&lt;&gt;Dashboard!$R$4),Data!G1523,NA()))</f>
        <v>76223.966339496474</v>
      </c>
      <c r="U972"/>
    </row>
    <row r="973" spans="2:21">
      <c r="B973" t="e">
        <f>IF(Dashboard!$P$4="All",Data!G1524,IF(Data!K1524=Dashboard!$P$4,Data!G1524,NA()))</f>
        <v>#N/A</v>
      </c>
      <c r="C973" t="str">
        <f t="shared" si="139"/>
        <v/>
      </c>
      <c r="D973" t="str">
        <f t="shared" si="140"/>
        <v/>
      </c>
      <c r="E973" t="str">
        <f t="shared" si="141"/>
        <v/>
      </c>
      <c r="F973" t="str">
        <f>IF(C973&lt;&gt;"",Data!$M1524,"")</f>
        <v/>
      </c>
      <c r="K973" t="e">
        <f>IF(Dashboard!$R$4="All",Data!G1524,IF(Data!K1524=Dashboard!$R$4,Data!G1524,NA()))</f>
        <v>#N/A</v>
      </c>
      <c r="L973" t="str">
        <f t="shared" si="142"/>
        <v/>
      </c>
      <c r="M973" t="str">
        <f t="shared" si="143"/>
        <v/>
      </c>
      <c r="N973" t="str">
        <f t="shared" si="144"/>
        <v/>
      </c>
      <c r="O973" t="str">
        <f>IF(L973&lt;&gt;"",Data!$M1524,"")</f>
        <v/>
      </c>
      <c r="T973">
        <f>IF(OR(Dashboard!$P$4="All",Dashboard!$R$4="All"),NA(),IF(OR(Data!K1524&lt;&gt;Dashboard!$P$4,Data!K1524&lt;&gt;Dashboard!$R$4),Data!G1524,NA()))</f>
        <v>110000</v>
      </c>
      <c r="U973"/>
    </row>
    <row r="974" spans="2:21">
      <c r="B974" t="e">
        <f>IF(Dashboard!$P$4="All",Data!G1525,IF(Data!K1525=Dashboard!$P$4,Data!G1525,NA()))</f>
        <v>#N/A</v>
      </c>
      <c r="C974" t="str">
        <f t="shared" si="139"/>
        <v/>
      </c>
      <c r="D974" t="str">
        <f t="shared" si="140"/>
        <v/>
      </c>
      <c r="E974" t="str">
        <f t="shared" si="141"/>
        <v/>
      </c>
      <c r="F974" t="str">
        <f>IF(C974&lt;&gt;"",Data!$M1525,"")</f>
        <v/>
      </c>
      <c r="K974" t="e">
        <f>IF(Dashboard!$R$4="All",Data!G1525,IF(Data!K1525=Dashboard!$R$4,Data!G1525,NA()))</f>
        <v>#N/A</v>
      </c>
      <c r="L974" t="str">
        <f t="shared" si="142"/>
        <v/>
      </c>
      <c r="M974" t="str">
        <f t="shared" si="143"/>
        <v/>
      </c>
      <c r="N974" t="str">
        <f t="shared" si="144"/>
        <v/>
      </c>
      <c r="O974" t="str">
        <f>IF(L974&lt;&gt;"",Data!$M1525,"")</f>
        <v/>
      </c>
      <c r="T974">
        <f>IF(OR(Dashboard!$P$4="All",Dashboard!$R$4="All"),NA(),IF(OR(Data!K1525&lt;&gt;Dashboard!$P$4,Data!K1525&lt;&gt;Dashboard!$R$4),Data!G1525,NA()))</f>
        <v>14400</v>
      </c>
      <c r="U974"/>
    </row>
    <row r="975" spans="2:21">
      <c r="B975" t="e">
        <f>IF(Dashboard!$P$4="All",Data!G1526,IF(Data!K1526=Dashboard!$P$4,Data!G1526,NA()))</f>
        <v>#N/A</v>
      </c>
      <c r="C975" t="str">
        <f t="shared" si="139"/>
        <v/>
      </c>
      <c r="D975" t="str">
        <f t="shared" si="140"/>
        <v/>
      </c>
      <c r="E975" t="str">
        <f t="shared" si="141"/>
        <v/>
      </c>
      <c r="F975" t="str">
        <f>IF(C975&lt;&gt;"",Data!$M1526,"")</f>
        <v/>
      </c>
      <c r="K975" t="e">
        <f>IF(Dashboard!$R$4="All",Data!G1526,IF(Data!K1526=Dashboard!$R$4,Data!G1526,NA()))</f>
        <v>#N/A</v>
      </c>
      <c r="L975" t="str">
        <f t="shared" si="142"/>
        <v/>
      </c>
      <c r="M975" t="str">
        <f t="shared" si="143"/>
        <v/>
      </c>
      <c r="N975" t="str">
        <f t="shared" si="144"/>
        <v/>
      </c>
      <c r="O975" t="str">
        <f>IF(L975&lt;&gt;"",Data!$M1526,"")</f>
        <v/>
      </c>
      <c r="T975">
        <f>IF(OR(Dashboard!$P$4="All",Dashboard!$R$4="All"),NA(),IF(OR(Data!K1526&lt;&gt;Dashboard!$P$4,Data!K1526&lt;&gt;Dashboard!$R$4),Data!G1526,NA()))</f>
        <v>125000</v>
      </c>
      <c r="U975"/>
    </row>
    <row r="976" spans="2:21">
      <c r="B976" t="e">
        <f>IF(Dashboard!$P$4="All",Data!G1527,IF(Data!K1527=Dashboard!$P$4,Data!G1527,NA()))</f>
        <v>#N/A</v>
      </c>
      <c r="C976" t="str">
        <f t="shared" si="139"/>
        <v/>
      </c>
      <c r="D976" t="str">
        <f t="shared" si="140"/>
        <v/>
      </c>
      <c r="E976" t="str">
        <f t="shared" si="141"/>
        <v/>
      </c>
      <c r="F976" t="str">
        <f>IF(C976&lt;&gt;"",Data!$M1527,"")</f>
        <v/>
      </c>
      <c r="K976" t="e">
        <f>IF(Dashboard!$R$4="All",Data!G1527,IF(Data!K1527=Dashboard!$R$4,Data!G1527,NA()))</f>
        <v>#N/A</v>
      </c>
      <c r="L976" t="str">
        <f t="shared" si="142"/>
        <v/>
      </c>
      <c r="M976" t="str">
        <f t="shared" si="143"/>
        <v/>
      </c>
      <c r="N976" t="str">
        <f t="shared" si="144"/>
        <v/>
      </c>
      <c r="O976" t="str">
        <f>IF(L976&lt;&gt;"",Data!$M1527,"")</f>
        <v/>
      </c>
      <c r="T976">
        <f>IF(OR(Dashboard!$P$4="All",Dashboard!$R$4="All"),NA(),IF(OR(Data!K1527&lt;&gt;Dashboard!$P$4,Data!K1527&lt;&gt;Dashboard!$R$4),Data!G1527,NA()))</f>
        <v>72768.752704244194</v>
      </c>
      <c r="U976"/>
    </row>
    <row r="977" spans="2:21">
      <c r="B977" t="e">
        <f>IF(Dashboard!$P$4="All",Data!G1528,IF(Data!K1528=Dashboard!$P$4,Data!G1528,NA()))</f>
        <v>#N/A</v>
      </c>
      <c r="C977" t="str">
        <f t="shared" si="139"/>
        <v/>
      </c>
      <c r="D977" t="str">
        <f t="shared" si="140"/>
        <v/>
      </c>
      <c r="E977" t="str">
        <f t="shared" si="141"/>
        <v/>
      </c>
      <c r="F977" t="str">
        <f>IF(C977&lt;&gt;"",Data!$M1528,"")</f>
        <v/>
      </c>
      <c r="K977" t="e">
        <f>IF(Dashboard!$R$4="All",Data!G1528,IF(Data!K1528=Dashboard!$R$4,Data!G1528,NA()))</f>
        <v>#N/A</v>
      </c>
      <c r="L977" t="str">
        <f t="shared" si="142"/>
        <v/>
      </c>
      <c r="M977" t="str">
        <f t="shared" si="143"/>
        <v/>
      </c>
      <c r="N977" t="str">
        <f t="shared" si="144"/>
        <v/>
      </c>
      <c r="O977" t="str">
        <f>IF(L977&lt;&gt;"",Data!$M1528,"")</f>
        <v/>
      </c>
      <c r="T977">
        <f>IF(OR(Dashboard!$P$4="All",Dashboard!$R$4="All"),NA(),IF(OR(Data!K1528&lt;&gt;Dashboard!$P$4,Data!K1528&lt;&gt;Dashboard!$R$4),Data!G1528,NA()))</f>
        <v>59000</v>
      </c>
      <c r="U977"/>
    </row>
    <row r="978" spans="2:21">
      <c r="B978" t="e">
        <f>IF(Dashboard!$P$4="All",Data!G1529,IF(Data!K1529=Dashboard!$P$4,Data!G1529,NA()))</f>
        <v>#N/A</v>
      </c>
      <c r="C978" t="str">
        <f t="shared" si="139"/>
        <v/>
      </c>
      <c r="D978" t="str">
        <f t="shared" si="140"/>
        <v/>
      </c>
      <c r="E978" t="str">
        <f t="shared" si="141"/>
        <v/>
      </c>
      <c r="F978" t="str">
        <f>IF(C978&lt;&gt;"",Data!$M1529,"")</f>
        <v/>
      </c>
      <c r="K978" t="e">
        <f>IF(Dashboard!$R$4="All",Data!G1529,IF(Data!K1529=Dashboard!$R$4,Data!G1529,NA()))</f>
        <v>#N/A</v>
      </c>
      <c r="L978" t="str">
        <f t="shared" si="142"/>
        <v/>
      </c>
      <c r="M978" t="str">
        <f t="shared" si="143"/>
        <v/>
      </c>
      <c r="N978" t="str">
        <f t="shared" si="144"/>
        <v/>
      </c>
      <c r="O978" t="str">
        <f>IF(L978&lt;&gt;"",Data!$M1529,"")</f>
        <v/>
      </c>
      <c r="T978">
        <f>IF(OR(Dashboard!$P$4="All",Dashboard!$R$4="All"),NA(),IF(OR(Data!K1529&lt;&gt;Dashboard!$P$4,Data!K1529&lt;&gt;Dashboard!$R$4),Data!G1529,NA()))</f>
        <v>71500</v>
      </c>
      <c r="U978"/>
    </row>
    <row r="979" spans="2:21">
      <c r="B979" t="e">
        <f>IF(Dashboard!$P$4="All",Data!G1530,IF(Data!K1530=Dashboard!$P$4,Data!G1530,NA()))</f>
        <v>#N/A</v>
      </c>
      <c r="C979" t="str">
        <f t="shared" si="139"/>
        <v/>
      </c>
      <c r="D979" t="str">
        <f t="shared" si="140"/>
        <v/>
      </c>
      <c r="E979" t="str">
        <f t="shared" si="141"/>
        <v/>
      </c>
      <c r="F979" t="str">
        <f>IF(C979&lt;&gt;"",Data!$M1530,"")</f>
        <v/>
      </c>
      <c r="K979">
        <f>IF(Dashboard!$R$4="All",Data!G1530,IF(Data!K1530=Dashboard!$R$4,Data!G1530,NA()))</f>
        <v>39404.456801682099</v>
      </c>
      <c r="L979">
        <f t="shared" si="142"/>
        <v>39404.456801682099</v>
      </c>
      <c r="M979" t="str">
        <f t="shared" si="143"/>
        <v/>
      </c>
      <c r="N979" t="str">
        <f t="shared" si="144"/>
        <v/>
      </c>
      <c r="O979">
        <f>IF(L979&lt;&gt;"",Data!$M1530,"")</f>
        <v>2</v>
      </c>
      <c r="T979">
        <f>IF(OR(Dashboard!$P$4="All",Dashboard!$R$4="All"),NA(),IF(OR(Data!K1530&lt;&gt;Dashboard!$P$4,Data!K1530&lt;&gt;Dashboard!$R$4),Data!G1530,NA()))</f>
        <v>39404.456801682099</v>
      </c>
      <c r="U979"/>
    </row>
    <row r="980" spans="2:21">
      <c r="B980" t="e">
        <f>IF(Dashboard!$P$4="All",Data!G1531,IF(Data!K1531=Dashboard!$P$4,Data!G1531,NA()))</f>
        <v>#N/A</v>
      </c>
      <c r="C980" t="str">
        <f t="shared" si="139"/>
        <v/>
      </c>
      <c r="D980" t="str">
        <f t="shared" si="140"/>
        <v/>
      </c>
      <c r="E980" t="str">
        <f t="shared" si="141"/>
        <v/>
      </c>
      <c r="F980" t="str">
        <f>IF(C980&lt;&gt;"",Data!$M1531,"")</f>
        <v/>
      </c>
      <c r="K980" t="e">
        <f>IF(Dashboard!$R$4="All",Data!G1531,IF(Data!K1531=Dashboard!$R$4,Data!G1531,NA()))</f>
        <v>#N/A</v>
      </c>
      <c r="L980" t="str">
        <f t="shared" si="142"/>
        <v/>
      </c>
      <c r="M980" t="str">
        <f t="shared" si="143"/>
        <v/>
      </c>
      <c r="N980" t="str">
        <f t="shared" si="144"/>
        <v/>
      </c>
      <c r="O980" t="str">
        <f>IF(L980&lt;&gt;"",Data!$M1531,"")</f>
        <v/>
      </c>
      <c r="T980">
        <f>IF(OR(Dashboard!$P$4="All",Dashboard!$R$4="All"),NA(),IF(OR(Data!K1531&lt;&gt;Dashboard!$P$4,Data!K1531&lt;&gt;Dashboard!$R$4),Data!G1531,NA()))</f>
        <v>88927.960729412545</v>
      </c>
      <c r="U980"/>
    </row>
    <row r="981" spans="2:21">
      <c r="B981" t="e">
        <f>IF(Dashboard!$P$4="All",Data!G1532,IF(Data!K1532=Dashboard!$P$4,Data!G1532,NA()))</f>
        <v>#N/A</v>
      </c>
      <c r="C981" t="str">
        <f t="shared" si="139"/>
        <v/>
      </c>
      <c r="D981" t="str">
        <f t="shared" si="140"/>
        <v/>
      </c>
      <c r="E981" t="str">
        <f t="shared" si="141"/>
        <v/>
      </c>
      <c r="F981" t="str">
        <f>IF(C981&lt;&gt;"",Data!$M1532,"")</f>
        <v/>
      </c>
      <c r="K981" t="e">
        <f>IF(Dashboard!$R$4="All",Data!G1532,IF(Data!K1532=Dashboard!$R$4,Data!G1532,NA()))</f>
        <v>#N/A</v>
      </c>
      <c r="L981" t="str">
        <f t="shared" si="142"/>
        <v/>
      </c>
      <c r="M981" t="str">
        <f t="shared" si="143"/>
        <v/>
      </c>
      <c r="N981" t="str">
        <f t="shared" si="144"/>
        <v/>
      </c>
      <c r="O981" t="str">
        <f>IF(L981&lt;&gt;"",Data!$M1532,"")</f>
        <v/>
      </c>
      <c r="T981">
        <f>IF(OR(Dashboard!$P$4="All",Dashboard!$R$4="All"),NA(),IF(OR(Data!K1532&lt;&gt;Dashboard!$P$4,Data!K1532&lt;&gt;Dashboard!$R$4),Data!G1532,NA()))</f>
        <v>90000</v>
      </c>
      <c r="U981"/>
    </row>
    <row r="982" spans="2:21">
      <c r="B982" t="e">
        <f>IF(Dashboard!$P$4="All",Data!G1533,IF(Data!K1533=Dashboard!$P$4,Data!G1533,NA()))</f>
        <v>#N/A</v>
      </c>
      <c r="C982" t="str">
        <f t="shared" si="139"/>
        <v/>
      </c>
      <c r="D982" t="str">
        <f t="shared" si="140"/>
        <v/>
      </c>
      <c r="E982" t="str">
        <f t="shared" si="141"/>
        <v/>
      </c>
      <c r="F982" t="str">
        <f>IF(C982&lt;&gt;"",Data!$M1533,"")</f>
        <v/>
      </c>
      <c r="K982" t="e">
        <f>IF(Dashboard!$R$4="All",Data!G1533,IF(Data!K1533=Dashboard!$R$4,Data!G1533,NA()))</f>
        <v>#N/A</v>
      </c>
      <c r="L982" t="str">
        <f t="shared" si="142"/>
        <v/>
      </c>
      <c r="M982" t="str">
        <f t="shared" si="143"/>
        <v/>
      </c>
      <c r="N982" t="str">
        <f t="shared" si="144"/>
        <v/>
      </c>
      <c r="O982" t="str">
        <f>IF(L982&lt;&gt;"",Data!$M1533,"")</f>
        <v/>
      </c>
      <c r="T982">
        <f>IF(OR(Dashboard!$P$4="All",Dashboard!$R$4="All"),NA(),IF(OR(Data!K1533&lt;&gt;Dashboard!$P$4,Data!K1533&lt;&gt;Dashboard!$R$4),Data!G1533,NA()))</f>
        <v>12465.541681209797</v>
      </c>
      <c r="U982"/>
    </row>
    <row r="983" spans="2:21">
      <c r="B983" t="e">
        <f>IF(Dashboard!$P$4="All",Data!G1534,IF(Data!K1534=Dashboard!$P$4,Data!G1534,NA()))</f>
        <v>#N/A</v>
      </c>
      <c r="C983" t="str">
        <f t="shared" si="139"/>
        <v/>
      </c>
      <c r="D983" t="str">
        <f t="shared" si="140"/>
        <v/>
      </c>
      <c r="E983" t="str">
        <f t="shared" si="141"/>
        <v/>
      </c>
      <c r="F983" t="str">
        <f>IF(C983&lt;&gt;"",Data!$M1534,"")</f>
        <v/>
      </c>
      <c r="K983" t="e">
        <f>IF(Dashboard!$R$4="All",Data!G1534,IF(Data!K1534=Dashboard!$R$4,Data!G1534,NA()))</f>
        <v>#N/A</v>
      </c>
      <c r="L983" t="str">
        <f t="shared" si="142"/>
        <v/>
      </c>
      <c r="M983" t="str">
        <f t="shared" si="143"/>
        <v/>
      </c>
      <c r="N983" t="str">
        <f t="shared" si="144"/>
        <v/>
      </c>
      <c r="O983" t="str">
        <f>IF(L983&lt;&gt;"",Data!$M1534,"")</f>
        <v/>
      </c>
      <c r="T983">
        <f>IF(OR(Dashboard!$P$4="All",Dashboard!$R$4="All"),NA(),IF(OR(Data!K1534&lt;&gt;Dashboard!$P$4,Data!K1534&lt;&gt;Dashboard!$R$4),Data!G1534,NA()))</f>
        <v>40000</v>
      </c>
      <c r="U983"/>
    </row>
    <row r="984" spans="2:21">
      <c r="B984" t="e">
        <f>IF(Dashboard!$P$4="All",Data!G1535,IF(Data!K1535=Dashboard!$P$4,Data!G1535,NA()))</f>
        <v>#N/A</v>
      </c>
      <c r="C984" t="str">
        <f t="shared" si="139"/>
        <v/>
      </c>
      <c r="D984" t="str">
        <f t="shared" si="140"/>
        <v/>
      </c>
      <c r="E984" t="str">
        <f t="shared" si="141"/>
        <v/>
      </c>
      <c r="F984" t="str">
        <f>IF(C984&lt;&gt;"",Data!$M1535,"")</f>
        <v/>
      </c>
      <c r="K984" t="e">
        <f>IF(Dashboard!$R$4="All",Data!G1535,IF(Data!K1535=Dashboard!$R$4,Data!G1535,NA()))</f>
        <v>#N/A</v>
      </c>
      <c r="L984" t="str">
        <f t="shared" si="142"/>
        <v/>
      </c>
      <c r="M984" t="str">
        <f t="shared" si="143"/>
        <v/>
      </c>
      <c r="N984" t="str">
        <f t="shared" si="144"/>
        <v/>
      </c>
      <c r="O984" t="str">
        <f>IF(L984&lt;&gt;"",Data!$M1535,"")</f>
        <v/>
      </c>
      <c r="T984">
        <f>IF(OR(Dashboard!$P$4="All",Dashboard!$R$4="All"),NA(),IF(OR(Data!K1535&lt;&gt;Dashboard!$P$4,Data!K1535&lt;&gt;Dashboard!$R$4),Data!G1535,NA()))</f>
        <v>30000</v>
      </c>
      <c r="U984"/>
    </row>
    <row r="985" spans="2:21">
      <c r="B985" t="e">
        <f>IF(Dashboard!$P$4="All",Data!G1536,IF(Data!K1536=Dashboard!$P$4,Data!G1536,NA()))</f>
        <v>#N/A</v>
      </c>
      <c r="C985" t="str">
        <f t="shared" si="139"/>
        <v/>
      </c>
      <c r="D985" t="str">
        <f t="shared" si="140"/>
        <v/>
      </c>
      <c r="E985" t="str">
        <f t="shared" si="141"/>
        <v/>
      </c>
      <c r="F985" t="str">
        <f>IF(C985&lt;&gt;"",Data!$M1536,"")</f>
        <v/>
      </c>
      <c r="K985" t="e">
        <f>IF(Dashboard!$R$4="All",Data!G1536,IF(Data!K1536=Dashboard!$R$4,Data!G1536,NA()))</f>
        <v>#N/A</v>
      </c>
      <c r="L985" t="str">
        <f t="shared" si="142"/>
        <v/>
      </c>
      <c r="M985" t="str">
        <f t="shared" si="143"/>
        <v/>
      </c>
      <c r="N985" t="str">
        <f t="shared" si="144"/>
        <v/>
      </c>
      <c r="O985" t="str">
        <f>IF(L985&lt;&gt;"",Data!$M1536,"")</f>
        <v/>
      </c>
      <c r="T985">
        <f>IF(OR(Dashboard!$P$4="All",Dashboard!$R$4="All"),NA(),IF(OR(Data!K1536&lt;&gt;Dashboard!$P$4,Data!K1536&lt;&gt;Dashboard!$R$4),Data!G1536,NA()))</f>
        <v>46325</v>
      </c>
      <c r="U985"/>
    </row>
    <row r="986" spans="2:21">
      <c r="B986" t="e">
        <f>IF(Dashboard!$P$4="All",Data!G1537,IF(Data!K1537=Dashboard!$P$4,Data!G1537,NA()))</f>
        <v>#N/A</v>
      </c>
      <c r="C986" t="str">
        <f t="shared" si="139"/>
        <v/>
      </c>
      <c r="D986" t="str">
        <f t="shared" si="140"/>
        <v/>
      </c>
      <c r="E986" t="str">
        <f t="shared" si="141"/>
        <v/>
      </c>
      <c r="F986" t="str">
        <f>IF(C986&lt;&gt;"",Data!$M1537,"")</f>
        <v/>
      </c>
      <c r="K986" t="e">
        <f>IF(Dashboard!$R$4="All",Data!G1537,IF(Data!K1537=Dashboard!$R$4,Data!G1537,NA()))</f>
        <v>#N/A</v>
      </c>
      <c r="L986" t="str">
        <f t="shared" si="142"/>
        <v/>
      </c>
      <c r="M986" t="str">
        <f t="shared" si="143"/>
        <v/>
      </c>
      <c r="N986" t="str">
        <f t="shared" si="144"/>
        <v/>
      </c>
      <c r="O986" t="str">
        <f>IF(L986&lt;&gt;"",Data!$M1537,"")</f>
        <v/>
      </c>
      <c r="T986">
        <f>IF(OR(Dashboard!$P$4="All",Dashboard!$R$4="All"),NA(),IF(OR(Data!K1537&lt;&gt;Dashboard!$P$4,Data!K1537&lt;&gt;Dashboard!$R$4),Data!G1537,NA()))</f>
        <v>15000</v>
      </c>
      <c r="U986"/>
    </row>
    <row r="987" spans="2:21">
      <c r="B987" t="e">
        <f>IF(Dashboard!$P$4="All",Data!G1538,IF(Data!K1538=Dashboard!$P$4,Data!G1538,NA()))</f>
        <v>#N/A</v>
      </c>
      <c r="C987" t="str">
        <f t="shared" si="139"/>
        <v/>
      </c>
      <c r="D987" t="str">
        <f t="shared" si="140"/>
        <v/>
      </c>
      <c r="E987" t="str">
        <f t="shared" si="141"/>
        <v/>
      </c>
      <c r="F987" t="str">
        <f>IF(C987&lt;&gt;"",Data!$M1538,"")</f>
        <v/>
      </c>
      <c r="K987" t="e">
        <f>IF(Dashboard!$R$4="All",Data!G1538,IF(Data!K1538=Dashboard!$R$4,Data!G1538,NA()))</f>
        <v>#N/A</v>
      </c>
      <c r="L987" t="str">
        <f t="shared" si="142"/>
        <v/>
      </c>
      <c r="M987" t="str">
        <f t="shared" si="143"/>
        <v/>
      </c>
      <c r="N987" t="str">
        <f t="shared" si="144"/>
        <v/>
      </c>
      <c r="O987" t="str">
        <f>IF(L987&lt;&gt;"",Data!$M1538,"")</f>
        <v/>
      </c>
      <c r="T987">
        <f>IF(OR(Dashboard!$P$4="All",Dashboard!$R$4="All"),NA(),IF(OR(Data!K1538&lt;&gt;Dashboard!$P$4,Data!K1538&lt;&gt;Dashboard!$R$4),Data!G1538,NA()))</f>
        <v>31200</v>
      </c>
      <c r="U987"/>
    </row>
    <row r="988" spans="2:21">
      <c r="B988" t="e">
        <f>IF(Dashboard!$P$4="All",Data!G1539,IF(Data!K1539=Dashboard!$P$4,Data!G1539,NA()))</f>
        <v>#N/A</v>
      </c>
      <c r="C988" t="str">
        <f t="shared" si="139"/>
        <v/>
      </c>
      <c r="D988" t="str">
        <f t="shared" si="140"/>
        <v/>
      </c>
      <c r="E988" t="str">
        <f t="shared" si="141"/>
        <v/>
      </c>
      <c r="F988" t="str">
        <f>IF(C988&lt;&gt;"",Data!$M1539,"")</f>
        <v/>
      </c>
      <c r="K988" t="e">
        <f>IF(Dashboard!$R$4="All",Data!G1539,IF(Data!K1539=Dashboard!$R$4,Data!G1539,NA()))</f>
        <v>#N/A</v>
      </c>
      <c r="L988" t="str">
        <f t="shared" si="142"/>
        <v/>
      </c>
      <c r="M988" t="str">
        <f t="shared" si="143"/>
        <v/>
      </c>
      <c r="N988" t="str">
        <f t="shared" si="144"/>
        <v/>
      </c>
      <c r="O988" t="str">
        <f>IF(L988&lt;&gt;"",Data!$M1539,"")</f>
        <v/>
      </c>
      <c r="T988">
        <f>IF(OR(Dashboard!$P$4="All",Dashboard!$R$4="All"),NA(),IF(OR(Data!K1539&lt;&gt;Dashboard!$P$4,Data!K1539&lt;&gt;Dashboard!$R$4),Data!G1539,NA()))</f>
        <v>8903.9583437212841</v>
      </c>
      <c r="U988"/>
    </row>
    <row r="989" spans="2:21">
      <c r="B989" t="e">
        <f>IF(Dashboard!$P$4="All",Data!G1540,IF(Data!K1540=Dashboard!$P$4,Data!G1540,NA()))</f>
        <v>#N/A</v>
      </c>
      <c r="C989" t="str">
        <f t="shared" si="139"/>
        <v/>
      </c>
      <c r="D989" t="str">
        <f t="shared" si="140"/>
        <v/>
      </c>
      <c r="E989" t="str">
        <f t="shared" si="141"/>
        <v/>
      </c>
      <c r="F989" t="str">
        <f>IF(C989&lt;&gt;"",Data!$M1540,"")</f>
        <v/>
      </c>
      <c r="K989" t="e">
        <f>IF(Dashboard!$R$4="All",Data!G1540,IF(Data!K1540=Dashboard!$R$4,Data!G1540,NA()))</f>
        <v>#N/A</v>
      </c>
      <c r="L989" t="str">
        <f t="shared" si="142"/>
        <v/>
      </c>
      <c r="M989" t="str">
        <f t="shared" si="143"/>
        <v/>
      </c>
      <c r="N989" t="str">
        <f t="shared" si="144"/>
        <v/>
      </c>
      <c r="O989" t="str">
        <f>IF(L989&lt;&gt;"",Data!$M1540,"")</f>
        <v/>
      </c>
      <c r="T989">
        <f>IF(OR(Dashboard!$P$4="All",Dashboard!$R$4="All"),NA(),IF(OR(Data!K1540&lt;&gt;Dashboard!$P$4,Data!K1540&lt;&gt;Dashboard!$R$4),Data!G1540,NA()))</f>
        <v>15840</v>
      </c>
      <c r="U989"/>
    </row>
    <row r="990" spans="2:21">
      <c r="B990" t="e">
        <f>IF(Dashboard!$P$4="All",Data!G1541,IF(Data!K1541=Dashboard!$P$4,Data!G1541,NA()))</f>
        <v>#N/A</v>
      </c>
      <c r="C990" t="str">
        <f t="shared" si="139"/>
        <v/>
      </c>
      <c r="D990" t="str">
        <f t="shared" si="140"/>
        <v/>
      </c>
      <c r="E990" t="str">
        <f t="shared" si="141"/>
        <v/>
      </c>
      <c r="F990" t="str">
        <f>IF(C990&lt;&gt;"",Data!$M1541,"")</f>
        <v/>
      </c>
      <c r="K990" t="e">
        <f>IF(Dashboard!$R$4="All",Data!G1541,IF(Data!K1541=Dashboard!$R$4,Data!G1541,NA()))</f>
        <v>#N/A</v>
      </c>
      <c r="L990" t="str">
        <f t="shared" si="142"/>
        <v/>
      </c>
      <c r="M990" t="str">
        <f t="shared" si="143"/>
        <v/>
      </c>
      <c r="N990" t="str">
        <f t="shared" si="144"/>
        <v/>
      </c>
      <c r="O990" t="str">
        <f>IF(L990&lt;&gt;"",Data!$M1541,"")</f>
        <v/>
      </c>
      <c r="T990">
        <f>IF(OR(Dashboard!$P$4="All",Dashboard!$R$4="All"),NA(),IF(OR(Data!K1541&lt;&gt;Dashboard!$P$4,Data!K1541&lt;&gt;Dashboard!$R$4),Data!G1541,NA()))</f>
        <v>15136.729184326183</v>
      </c>
      <c r="U990"/>
    </row>
    <row r="991" spans="2:21">
      <c r="B991" t="e">
        <f>IF(Dashboard!$P$4="All",Data!G1542,IF(Data!K1542=Dashboard!$P$4,Data!G1542,NA()))</f>
        <v>#N/A</v>
      </c>
      <c r="C991" t="str">
        <f t="shared" si="139"/>
        <v/>
      </c>
      <c r="D991" t="str">
        <f t="shared" si="140"/>
        <v/>
      </c>
      <c r="E991" t="str">
        <f t="shared" si="141"/>
        <v/>
      </c>
      <c r="F991" t="str">
        <f>IF(C991&lt;&gt;"",Data!$M1542,"")</f>
        <v/>
      </c>
      <c r="K991" t="e">
        <f>IF(Dashboard!$R$4="All",Data!G1542,IF(Data!K1542=Dashboard!$R$4,Data!G1542,NA()))</f>
        <v>#N/A</v>
      </c>
      <c r="L991" t="str">
        <f t="shared" si="142"/>
        <v/>
      </c>
      <c r="M991" t="str">
        <f t="shared" si="143"/>
        <v/>
      </c>
      <c r="N991" t="str">
        <f t="shared" si="144"/>
        <v/>
      </c>
      <c r="O991" t="str">
        <f>IF(L991&lt;&gt;"",Data!$M1542,"")</f>
        <v/>
      </c>
      <c r="T991">
        <f>IF(OR(Dashboard!$P$4="All",Dashboard!$R$4="All"),NA(),IF(OR(Data!K1542&lt;&gt;Dashboard!$P$4,Data!K1542&lt;&gt;Dashboard!$R$4),Data!G1542,NA()))</f>
        <v>41000</v>
      </c>
      <c r="U991"/>
    </row>
    <row r="992" spans="2:21">
      <c r="B992" t="e">
        <f>IF(Dashboard!$P$4="All",Data!G1543,IF(Data!K1543=Dashboard!$P$4,Data!G1543,NA()))</f>
        <v>#N/A</v>
      </c>
      <c r="C992" t="str">
        <f t="shared" si="139"/>
        <v/>
      </c>
      <c r="D992" t="str">
        <f t="shared" si="140"/>
        <v/>
      </c>
      <c r="E992" t="str">
        <f t="shared" si="141"/>
        <v/>
      </c>
      <c r="F992" t="str">
        <f>IF(C992&lt;&gt;"",Data!$M1543,"")</f>
        <v/>
      </c>
      <c r="K992" t="e">
        <f>IF(Dashboard!$R$4="All",Data!G1543,IF(Data!K1543=Dashboard!$R$4,Data!G1543,NA()))</f>
        <v>#N/A</v>
      </c>
      <c r="L992" t="str">
        <f t="shared" si="142"/>
        <v/>
      </c>
      <c r="M992" t="str">
        <f t="shared" si="143"/>
        <v/>
      </c>
      <c r="N992" t="str">
        <f t="shared" si="144"/>
        <v/>
      </c>
      <c r="O992" t="str">
        <f>IF(L992&lt;&gt;"",Data!$M1543,"")</f>
        <v/>
      </c>
      <c r="T992">
        <f>IF(OR(Dashboard!$P$4="All",Dashboard!$R$4="All"),NA(),IF(OR(Data!K1543&lt;&gt;Dashboard!$P$4,Data!K1543&lt;&gt;Dashboard!$R$4),Data!G1543,NA()))</f>
        <v>11000</v>
      </c>
      <c r="U992"/>
    </row>
    <row r="993" spans="2:21">
      <c r="B993" t="e">
        <f>IF(Dashboard!$P$4="All",Data!G1544,IF(Data!K1544=Dashboard!$P$4,Data!G1544,NA()))</f>
        <v>#N/A</v>
      </c>
      <c r="C993" t="str">
        <f t="shared" si="139"/>
        <v/>
      </c>
      <c r="D993" t="str">
        <f t="shared" si="140"/>
        <v/>
      </c>
      <c r="E993" t="str">
        <f t="shared" si="141"/>
        <v/>
      </c>
      <c r="F993" t="str">
        <f>IF(C993&lt;&gt;"",Data!$M1544,"")</f>
        <v/>
      </c>
      <c r="K993">
        <f>IF(Dashboard!$R$4="All",Data!G1544,IF(Data!K1544=Dashboard!$R$4,Data!G1544,NA()))</f>
        <v>55166.239522354947</v>
      </c>
      <c r="L993">
        <f t="shared" si="142"/>
        <v>55166.239522354947</v>
      </c>
      <c r="M993" t="str">
        <f t="shared" si="143"/>
        <v/>
      </c>
      <c r="N993" t="str">
        <f t="shared" si="144"/>
        <v/>
      </c>
      <c r="O993">
        <f>IF(L993&lt;&gt;"",Data!$M1544,"")</f>
        <v>30</v>
      </c>
      <c r="T993">
        <f>IF(OR(Dashboard!$P$4="All",Dashboard!$R$4="All"),NA(),IF(OR(Data!K1544&lt;&gt;Dashboard!$P$4,Data!K1544&lt;&gt;Dashboard!$R$4),Data!G1544,NA()))</f>
        <v>55166.239522354947</v>
      </c>
      <c r="U993"/>
    </row>
    <row r="994" spans="2:21">
      <c r="B994" t="e">
        <f>IF(Dashboard!$P$4="All",Data!G1545,IF(Data!K1545=Dashboard!$P$4,Data!G1545,NA()))</f>
        <v>#N/A</v>
      </c>
      <c r="C994" t="str">
        <f t="shared" si="139"/>
        <v/>
      </c>
      <c r="D994" t="str">
        <f t="shared" si="140"/>
        <v/>
      </c>
      <c r="E994" t="str">
        <f t="shared" si="141"/>
        <v/>
      </c>
      <c r="F994" t="str">
        <f>IF(C994&lt;&gt;"",Data!$M1545,"")</f>
        <v/>
      </c>
      <c r="K994" t="e">
        <f>IF(Dashboard!$R$4="All",Data!G1545,IF(Data!K1545=Dashboard!$R$4,Data!G1545,NA()))</f>
        <v>#N/A</v>
      </c>
      <c r="L994" t="str">
        <f t="shared" si="142"/>
        <v/>
      </c>
      <c r="M994" t="str">
        <f t="shared" si="143"/>
        <v/>
      </c>
      <c r="N994" t="str">
        <f t="shared" si="144"/>
        <v/>
      </c>
      <c r="O994" t="str">
        <f>IF(L994&lt;&gt;"",Data!$M1545,"")</f>
        <v/>
      </c>
      <c r="T994">
        <f>IF(OR(Dashboard!$P$4="All",Dashboard!$R$4="All"),NA(),IF(OR(Data!K1545&lt;&gt;Dashboard!$P$4,Data!K1545&lt;&gt;Dashboard!$R$4),Data!G1545,NA()))</f>
        <v>5689.2125418690484</v>
      </c>
      <c r="U994"/>
    </row>
    <row r="995" spans="2:21">
      <c r="B995" t="e">
        <f>IF(Dashboard!$P$4="All",Data!G1546,IF(Data!K1546=Dashboard!$P$4,Data!G1546,NA()))</f>
        <v>#N/A</v>
      </c>
      <c r="C995" t="str">
        <f t="shared" si="139"/>
        <v/>
      </c>
      <c r="D995" t="str">
        <f t="shared" si="140"/>
        <v/>
      </c>
      <c r="E995" t="str">
        <f t="shared" si="141"/>
        <v/>
      </c>
      <c r="F995" t="str">
        <f>IF(C995&lt;&gt;"",Data!$M1546,"")</f>
        <v/>
      </c>
      <c r="K995" t="e">
        <f>IF(Dashboard!$R$4="All",Data!G1546,IF(Data!K1546=Dashboard!$R$4,Data!G1546,NA()))</f>
        <v>#N/A</v>
      </c>
      <c r="L995" t="str">
        <f t="shared" si="142"/>
        <v/>
      </c>
      <c r="M995" t="str">
        <f t="shared" si="143"/>
        <v/>
      </c>
      <c r="N995" t="str">
        <f t="shared" si="144"/>
        <v/>
      </c>
      <c r="O995" t="str">
        <f>IF(L995&lt;&gt;"",Data!$M1546,"")</f>
        <v/>
      </c>
      <c r="T995">
        <f>IF(OR(Dashboard!$P$4="All",Dashboard!$R$4="All"),NA(),IF(OR(Data!K1546&lt;&gt;Dashboard!$P$4,Data!K1546&lt;&gt;Dashboard!$R$4),Data!G1546,NA()))</f>
        <v>17728</v>
      </c>
      <c r="U995"/>
    </row>
    <row r="996" spans="2:21">
      <c r="B996" t="e">
        <f>IF(Dashboard!$P$4="All",Data!G1547,IF(Data!K1547=Dashboard!$P$4,Data!G1547,NA()))</f>
        <v>#N/A</v>
      </c>
      <c r="C996" t="str">
        <f t="shared" si="139"/>
        <v/>
      </c>
      <c r="D996" t="str">
        <f t="shared" si="140"/>
        <v/>
      </c>
      <c r="E996" t="str">
        <f t="shared" si="141"/>
        <v/>
      </c>
      <c r="F996" t="str">
        <f>IF(C996&lt;&gt;"",Data!$M1547,"")</f>
        <v/>
      </c>
      <c r="K996" t="e">
        <f>IF(Dashboard!$R$4="All",Data!G1547,IF(Data!K1547=Dashboard!$R$4,Data!G1547,NA()))</f>
        <v>#N/A</v>
      </c>
      <c r="L996" t="str">
        <f t="shared" si="142"/>
        <v/>
      </c>
      <c r="M996" t="str">
        <f t="shared" si="143"/>
        <v/>
      </c>
      <c r="N996" t="str">
        <f t="shared" si="144"/>
        <v/>
      </c>
      <c r="O996" t="str">
        <f>IF(L996&lt;&gt;"",Data!$M1547,"")</f>
        <v/>
      </c>
      <c r="T996">
        <f>IF(OR(Dashboard!$P$4="All",Dashboard!$R$4="All"),NA(),IF(OR(Data!K1547&lt;&gt;Dashboard!$P$4,Data!K1547&lt;&gt;Dashboard!$R$4),Data!G1547,NA()))</f>
        <v>13745.704467353951</v>
      </c>
      <c r="U996"/>
    </row>
    <row r="997" spans="2:21">
      <c r="B997" t="e">
        <f>IF(Dashboard!$P$4="All",Data!G1548,IF(Data!K1548=Dashboard!$P$4,Data!G1548,NA()))</f>
        <v>#N/A</v>
      </c>
      <c r="C997" t="str">
        <f t="shared" si="139"/>
        <v/>
      </c>
      <c r="D997" t="str">
        <f t="shared" si="140"/>
        <v/>
      </c>
      <c r="E997" t="str">
        <f t="shared" si="141"/>
        <v/>
      </c>
      <c r="F997" t="str">
        <f>IF(C997&lt;&gt;"",Data!$M1548,"")</f>
        <v/>
      </c>
      <c r="K997" t="e">
        <f>IF(Dashboard!$R$4="All",Data!G1548,IF(Data!K1548=Dashboard!$R$4,Data!G1548,NA()))</f>
        <v>#N/A</v>
      </c>
      <c r="L997" t="str">
        <f t="shared" si="142"/>
        <v/>
      </c>
      <c r="M997" t="str">
        <f t="shared" si="143"/>
        <v/>
      </c>
      <c r="N997" t="str">
        <f t="shared" si="144"/>
        <v/>
      </c>
      <c r="O997" t="str">
        <f>IF(L997&lt;&gt;"",Data!$M1548,"")</f>
        <v/>
      </c>
      <c r="T997">
        <f>IF(OR(Dashboard!$P$4="All",Dashboard!$R$4="All"),NA(),IF(OR(Data!K1548&lt;&gt;Dashboard!$P$4,Data!K1548&lt;&gt;Dashboard!$R$4),Data!G1548,NA()))</f>
        <v>50000</v>
      </c>
      <c r="U997"/>
    </row>
    <row r="998" spans="2:21">
      <c r="B998" t="e">
        <f>IF(Dashboard!$P$4="All",Data!G1549,IF(Data!K1549=Dashboard!$P$4,Data!G1549,NA()))</f>
        <v>#N/A</v>
      </c>
      <c r="C998" t="str">
        <f t="shared" si="139"/>
        <v/>
      </c>
      <c r="D998" t="str">
        <f t="shared" si="140"/>
        <v/>
      </c>
      <c r="E998" t="str">
        <f t="shared" si="141"/>
        <v/>
      </c>
      <c r="F998" t="str">
        <f>IF(C998&lt;&gt;"",Data!$M1549,"")</f>
        <v/>
      </c>
      <c r="K998" t="e">
        <f>IF(Dashboard!$R$4="All",Data!G1549,IF(Data!K1549=Dashboard!$R$4,Data!G1549,NA()))</f>
        <v>#N/A</v>
      </c>
      <c r="L998" t="str">
        <f t="shared" si="142"/>
        <v/>
      </c>
      <c r="M998" t="str">
        <f t="shared" si="143"/>
        <v/>
      </c>
      <c r="N998" t="str">
        <f t="shared" si="144"/>
        <v/>
      </c>
      <c r="O998" t="str">
        <f>IF(L998&lt;&gt;"",Data!$M1549,"")</f>
        <v/>
      </c>
      <c r="T998">
        <f>IF(OR(Dashboard!$P$4="All",Dashboard!$R$4="All"),NA(),IF(OR(Data!K1549&lt;&gt;Dashboard!$P$4,Data!K1549&lt;&gt;Dashboard!$R$4),Data!G1549,NA()))</f>
        <v>78668.921842426149</v>
      </c>
      <c r="U998"/>
    </row>
    <row r="999" spans="2:21">
      <c r="B999" t="e">
        <f>IF(Dashboard!$P$4="All",Data!G1550,IF(Data!K1550=Dashboard!$P$4,Data!G1550,NA()))</f>
        <v>#N/A</v>
      </c>
      <c r="C999" t="str">
        <f t="shared" si="139"/>
        <v/>
      </c>
      <c r="D999" t="str">
        <f t="shared" si="140"/>
        <v/>
      </c>
      <c r="E999" t="str">
        <f t="shared" si="141"/>
        <v/>
      </c>
      <c r="F999" t="str">
        <f>IF(C999&lt;&gt;"",Data!$M1550,"")</f>
        <v/>
      </c>
      <c r="K999" t="e">
        <f>IF(Dashboard!$R$4="All",Data!G1550,IF(Data!K1550=Dashboard!$R$4,Data!G1550,NA()))</f>
        <v>#N/A</v>
      </c>
      <c r="L999" t="str">
        <f t="shared" si="142"/>
        <v/>
      </c>
      <c r="M999" t="str">
        <f t="shared" si="143"/>
        <v/>
      </c>
      <c r="N999" t="str">
        <f t="shared" si="144"/>
        <v/>
      </c>
      <c r="O999" t="str">
        <f>IF(L999&lt;&gt;"",Data!$M1550,"")</f>
        <v/>
      </c>
      <c r="T999">
        <f>IF(OR(Dashboard!$P$4="All",Dashboard!$R$4="All"),NA(),IF(OR(Data!K1550&lt;&gt;Dashboard!$P$4,Data!K1550&lt;&gt;Dashboard!$R$4),Data!G1550,NA()))</f>
        <v>85000</v>
      </c>
      <c r="U999"/>
    </row>
    <row r="1000" spans="2:21">
      <c r="B1000" t="e">
        <f>IF(Dashboard!$P$4="All",Data!G1551,IF(Data!K1551=Dashboard!$P$4,Data!G1551,NA()))</f>
        <v>#N/A</v>
      </c>
      <c r="C1000" t="str">
        <f t="shared" si="139"/>
        <v/>
      </c>
      <c r="D1000" t="str">
        <f t="shared" si="140"/>
        <v/>
      </c>
      <c r="E1000" t="str">
        <f t="shared" si="141"/>
        <v/>
      </c>
      <c r="F1000" t="str">
        <f>IF(C1000&lt;&gt;"",Data!$M1551,"")</f>
        <v/>
      </c>
      <c r="K1000" t="e">
        <f>IF(Dashboard!$R$4="All",Data!G1551,IF(Data!K1551=Dashboard!$R$4,Data!G1551,NA()))</f>
        <v>#N/A</v>
      </c>
      <c r="L1000" t="str">
        <f t="shared" si="142"/>
        <v/>
      </c>
      <c r="M1000" t="str">
        <f t="shared" si="143"/>
        <v/>
      </c>
      <c r="N1000" t="str">
        <f t="shared" si="144"/>
        <v/>
      </c>
      <c r="O1000" t="str">
        <f>IF(L1000&lt;&gt;"",Data!$M1551,"")</f>
        <v/>
      </c>
      <c r="T1000">
        <f>IF(OR(Dashboard!$P$4="All",Dashboard!$R$4="All"),NA(),IF(OR(Data!K1551&lt;&gt;Dashboard!$P$4,Data!K1551&lt;&gt;Dashboard!$R$4),Data!G1551,NA()))</f>
        <v>101990.96564026357</v>
      </c>
      <c r="U1000"/>
    </row>
    <row r="1001" spans="2:21">
      <c r="B1001" t="e">
        <f>IF(Dashboard!$P$4="All",Data!G1552,IF(Data!K1552=Dashboard!$P$4,Data!G1552,NA()))</f>
        <v>#N/A</v>
      </c>
      <c r="C1001" t="str">
        <f t="shared" si="139"/>
        <v/>
      </c>
      <c r="D1001" t="str">
        <f t="shared" si="140"/>
        <v/>
      </c>
      <c r="E1001" t="str">
        <f t="shared" si="141"/>
        <v/>
      </c>
      <c r="F1001" t="str">
        <f>IF(C1001&lt;&gt;"",Data!$M1552,"")</f>
        <v/>
      </c>
      <c r="K1001" t="e">
        <f>IF(Dashboard!$R$4="All",Data!G1552,IF(Data!K1552=Dashboard!$R$4,Data!G1552,NA()))</f>
        <v>#N/A</v>
      </c>
      <c r="L1001" t="str">
        <f t="shared" si="142"/>
        <v/>
      </c>
      <c r="M1001" t="str">
        <f t="shared" si="143"/>
        <v/>
      </c>
      <c r="N1001" t="str">
        <f t="shared" si="144"/>
        <v/>
      </c>
      <c r="O1001" t="str">
        <f>IF(L1001&lt;&gt;"",Data!$M1552,"")</f>
        <v/>
      </c>
      <c r="T1001">
        <f>IF(OR(Dashboard!$P$4="All",Dashboard!$R$4="All"),NA(),IF(OR(Data!K1552&lt;&gt;Dashboard!$P$4,Data!K1552&lt;&gt;Dashboard!$R$4),Data!G1552,NA()))</f>
        <v>100614.72928405051</v>
      </c>
      <c r="U1001"/>
    </row>
    <row r="1002" spans="2:21">
      <c r="B1002" t="e">
        <f>IF(Dashboard!$P$4="All",Data!G1553,IF(Data!K1553=Dashboard!$P$4,Data!G1553,NA()))</f>
        <v>#N/A</v>
      </c>
      <c r="C1002" t="str">
        <f t="shared" si="139"/>
        <v/>
      </c>
      <c r="D1002" t="str">
        <f t="shared" si="140"/>
        <v/>
      </c>
      <c r="E1002" t="str">
        <f t="shared" si="141"/>
        <v/>
      </c>
      <c r="F1002" t="str">
        <f>IF(C1002&lt;&gt;"",Data!$M1553,"")</f>
        <v/>
      </c>
      <c r="K1002" t="e">
        <f>IF(Dashboard!$R$4="All",Data!G1553,IF(Data!K1553=Dashboard!$R$4,Data!G1553,NA()))</f>
        <v>#N/A</v>
      </c>
      <c r="L1002" t="str">
        <f t="shared" si="142"/>
        <v/>
      </c>
      <c r="M1002" t="str">
        <f t="shared" si="143"/>
        <v/>
      </c>
      <c r="N1002" t="str">
        <f t="shared" si="144"/>
        <v/>
      </c>
      <c r="O1002" t="str">
        <f>IF(L1002&lt;&gt;"",Data!$M1553,"")</f>
        <v/>
      </c>
      <c r="T1002">
        <f>IF(OR(Dashboard!$P$4="All",Dashboard!$R$4="All"),NA(),IF(OR(Data!K1553&lt;&gt;Dashboard!$P$4,Data!K1553&lt;&gt;Dashboard!$R$4),Data!G1553,NA()))</f>
        <v>86692.320794224041</v>
      </c>
      <c r="U1002"/>
    </row>
    <row r="1003" spans="2:21">
      <c r="B1003" t="e">
        <f>IF(Dashboard!$P$4="All",Data!G1554,IF(Data!K1554=Dashboard!$P$4,Data!G1554,NA()))</f>
        <v>#N/A</v>
      </c>
      <c r="C1003" t="str">
        <f t="shared" si="139"/>
        <v/>
      </c>
      <c r="D1003" t="str">
        <f t="shared" si="140"/>
        <v/>
      </c>
      <c r="E1003" t="str">
        <f t="shared" si="141"/>
        <v/>
      </c>
      <c r="F1003" t="str">
        <f>IF(C1003&lt;&gt;"",Data!$M1554,"")</f>
        <v/>
      </c>
      <c r="K1003" t="e">
        <f>IF(Dashboard!$R$4="All",Data!G1554,IF(Data!K1554=Dashboard!$R$4,Data!G1554,NA()))</f>
        <v>#N/A</v>
      </c>
      <c r="L1003" t="str">
        <f t="shared" si="142"/>
        <v/>
      </c>
      <c r="M1003" t="str">
        <f t="shared" si="143"/>
        <v/>
      </c>
      <c r="N1003" t="str">
        <f t="shared" si="144"/>
        <v/>
      </c>
      <c r="O1003" t="str">
        <f>IF(L1003&lt;&gt;"",Data!$M1554,"")</f>
        <v/>
      </c>
      <c r="T1003">
        <f>IF(OR(Dashboard!$P$4="All",Dashboard!$R$4="All"),NA(),IF(OR(Data!K1554&lt;&gt;Dashboard!$P$4,Data!K1554&lt;&gt;Dashboard!$R$4),Data!G1554,NA()))</f>
        <v>122389.15876831629</v>
      </c>
      <c r="U1003"/>
    </row>
    <row r="1004" spans="2:21">
      <c r="B1004" t="e">
        <f>IF(Dashboard!$P$4="All",Data!G1555,IF(Data!K1555=Dashboard!$P$4,Data!G1555,NA()))</f>
        <v>#N/A</v>
      </c>
      <c r="C1004" t="str">
        <f t="shared" si="139"/>
        <v/>
      </c>
      <c r="D1004" t="str">
        <f t="shared" si="140"/>
        <v/>
      </c>
      <c r="E1004" t="str">
        <f t="shared" si="141"/>
        <v/>
      </c>
      <c r="F1004" t="str">
        <f>IF(C1004&lt;&gt;"",Data!$M1555,"")</f>
        <v/>
      </c>
      <c r="K1004" t="e">
        <f>IF(Dashboard!$R$4="All",Data!G1555,IF(Data!K1555=Dashboard!$R$4,Data!G1555,NA()))</f>
        <v>#N/A</v>
      </c>
      <c r="L1004" t="str">
        <f t="shared" si="142"/>
        <v/>
      </c>
      <c r="M1004" t="str">
        <f t="shared" si="143"/>
        <v/>
      </c>
      <c r="N1004" t="str">
        <f t="shared" si="144"/>
        <v/>
      </c>
      <c r="O1004" t="str">
        <f>IF(L1004&lt;&gt;"",Data!$M1555,"")</f>
        <v/>
      </c>
      <c r="T1004">
        <f>IF(OR(Dashboard!$P$4="All",Dashboard!$R$4="All"),NA(),IF(OR(Data!K1555&lt;&gt;Dashboard!$P$4,Data!K1555&lt;&gt;Dashboard!$R$4),Data!G1555,NA()))</f>
        <v>6410.8500074793246</v>
      </c>
      <c r="U1004"/>
    </row>
    <row r="1005" spans="2:21">
      <c r="B1005" t="e">
        <f>IF(Dashboard!$P$4="All",Data!G1556,IF(Data!K1556=Dashboard!$P$4,Data!G1556,NA()))</f>
        <v>#N/A</v>
      </c>
      <c r="C1005" t="str">
        <f t="shared" si="139"/>
        <v/>
      </c>
      <c r="D1005" t="str">
        <f t="shared" si="140"/>
        <v/>
      </c>
      <c r="E1005" t="str">
        <f t="shared" si="141"/>
        <v/>
      </c>
      <c r="F1005" t="str">
        <f>IF(C1005&lt;&gt;"",Data!$M1556,"")</f>
        <v/>
      </c>
      <c r="K1005" t="e">
        <f>IF(Dashboard!$R$4="All",Data!G1556,IF(Data!K1556=Dashboard!$R$4,Data!G1556,NA()))</f>
        <v>#N/A</v>
      </c>
      <c r="L1005" t="str">
        <f t="shared" si="142"/>
        <v/>
      </c>
      <c r="M1005" t="str">
        <f t="shared" si="143"/>
        <v/>
      </c>
      <c r="N1005" t="str">
        <f t="shared" si="144"/>
        <v/>
      </c>
      <c r="O1005" t="str">
        <f>IF(L1005&lt;&gt;"",Data!$M1556,"")</f>
        <v/>
      </c>
      <c r="T1005">
        <f>IF(OR(Dashboard!$P$4="All",Dashboard!$R$4="All"),NA(),IF(OR(Data!K1556&lt;&gt;Dashboard!$P$4,Data!K1556&lt;&gt;Dashboard!$R$4),Data!G1556,NA()))</f>
        <v>44000</v>
      </c>
      <c r="U1005"/>
    </row>
    <row r="1006" spans="2:21">
      <c r="B1006" t="e">
        <f>IF(Dashboard!$P$4="All",Data!G1557,IF(Data!K1557=Dashboard!$P$4,Data!G1557,NA()))</f>
        <v>#N/A</v>
      </c>
      <c r="C1006" t="str">
        <f t="shared" si="139"/>
        <v/>
      </c>
      <c r="D1006" t="str">
        <f t="shared" si="140"/>
        <v/>
      </c>
      <c r="E1006" t="str">
        <f t="shared" si="141"/>
        <v/>
      </c>
      <c r="F1006" t="str">
        <f>IF(C1006&lt;&gt;"",Data!$M1557,"")</f>
        <v/>
      </c>
      <c r="K1006" t="e">
        <f>IF(Dashboard!$R$4="All",Data!G1557,IF(Data!K1557=Dashboard!$R$4,Data!G1557,NA()))</f>
        <v>#N/A</v>
      </c>
      <c r="L1006" t="str">
        <f t="shared" si="142"/>
        <v/>
      </c>
      <c r="M1006" t="str">
        <f t="shared" si="143"/>
        <v/>
      </c>
      <c r="N1006" t="str">
        <f t="shared" si="144"/>
        <v/>
      </c>
      <c r="O1006" t="str">
        <f>IF(L1006&lt;&gt;"",Data!$M1557,"")</f>
        <v/>
      </c>
      <c r="T1006">
        <f>IF(OR(Dashboard!$P$4="All",Dashboard!$R$4="All"),NA(),IF(OR(Data!K1557&lt;&gt;Dashboard!$P$4,Data!K1557&lt;&gt;Dashboard!$R$4),Data!G1557,NA()))</f>
        <v>4451.9791718606421</v>
      </c>
      <c r="U1006"/>
    </row>
    <row r="1007" spans="2:21">
      <c r="B1007" t="e">
        <f>IF(Dashboard!$P$4="All",Data!G1558,IF(Data!K1558=Dashboard!$P$4,Data!G1558,NA()))</f>
        <v>#N/A</v>
      </c>
      <c r="C1007" t="str">
        <f t="shared" si="139"/>
        <v/>
      </c>
      <c r="D1007" t="str">
        <f t="shared" si="140"/>
        <v/>
      </c>
      <c r="E1007" t="str">
        <f t="shared" si="141"/>
        <v/>
      </c>
      <c r="F1007" t="str">
        <f>IF(C1007&lt;&gt;"",Data!$M1558,"")</f>
        <v/>
      </c>
      <c r="K1007" t="e">
        <f>IF(Dashboard!$R$4="All",Data!G1558,IF(Data!K1558=Dashboard!$R$4,Data!G1558,NA()))</f>
        <v>#N/A</v>
      </c>
      <c r="L1007" t="str">
        <f t="shared" si="142"/>
        <v/>
      </c>
      <c r="M1007" t="str">
        <f t="shared" si="143"/>
        <v/>
      </c>
      <c r="N1007" t="str">
        <f t="shared" si="144"/>
        <v/>
      </c>
      <c r="O1007" t="str">
        <f>IF(L1007&lt;&gt;"",Data!$M1558,"")</f>
        <v/>
      </c>
      <c r="T1007">
        <f>IF(OR(Dashboard!$P$4="All",Dashboard!$R$4="All"),NA(),IF(OR(Data!K1558&lt;&gt;Dashboard!$P$4,Data!K1558&lt;&gt;Dashboard!$R$4),Data!G1558,NA()))</f>
        <v>4500</v>
      </c>
      <c r="U1007"/>
    </row>
    <row r="1008" spans="2:21">
      <c r="B1008" t="e">
        <f>IF(Dashboard!$P$4="All",Data!G1559,IF(Data!K1559=Dashboard!$P$4,Data!G1559,NA()))</f>
        <v>#N/A</v>
      </c>
      <c r="C1008" t="str">
        <f t="shared" si="139"/>
        <v/>
      </c>
      <c r="D1008" t="str">
        <f t="shared" si="140"/>
        <v/>
      </c>
      <c r="E1008" t="str">
        <f t="shared" si="141"/>
        <v/>
      </c>
      <c r="F1008" t="str">
        <f>IF(C1008&lt;&gt;"",Data!$M1559,"")</f>
        <v/>
      </c>
      <c r="K1008" t="e">
        <f>IF(Dashboard!$R$4="All",Data!G1559,IF(Data!K1559=Dashboard!$R$4,Data!G1559,NA()))</f>
        <v>#N/A</v>
      </c>
      <c r="L1008" t="str">
        <f t="shared" si="142"/>
        <v/>
      </c>
      <c r="M1008" t="str">
        <f t="shared" si="143"/>
        <v/>
      </c>
      <c r="N1008" t="str">
        <f t="shared" si="144"/>
        <v/>
      </c>
      <c r="O1008" t="str">
        <f>IF(L1008&lt;&gt;"",Data!$M1559,"")</f>
        <v/>
      </c>
      <c r="T1008">
        <f>IF(OR(Dashboard!$P$4="All",Dashboard!$R$4="All"),NA(),IF(OR(Data!K1559&lt;&gt;Dashboard!$P$4,Data!K1559&lt;&gt;Dashboard!$R$4),Data!G1559,NA()))</f>
        <v>30273.458368652366</v>
      </c>
      <c r="U1008"/>
    </row>
    <row r="1009" spans="2:21">
      <c r="B1009" t="e">
        <f>IF(Dashboard!$P$4="All",Data!G1560,IF(Data!K1560=Dashboard!$P$4,Data!G1560,NA()))</f>
        <v>#N/A</v>
      </c>
      <c r="C1009" t="str">
        <f t="shared" si="139"/>
        <v/>
      </c>
      <c r="D1009" t="str">
        <f t="shared" si="140"/>
        <v/>
      </c>
      <c r="E1009" t="str">
        <f t="shared" si="141"/>
        <v/>
      </c>
      <c r="F1009" t="str">
        <f>IF(C1009&lt;&gt;"",Data!$M1560,"")</f>
        <v/>
      </c>
      <c r="K1009" t="e">
        <f>IF(Dashboard!$R$4="All",Data!G1560,IF(Data!K1560=Dashboard!$R$4,Data!G1560,NA()))</f>
        <v>#N/A</v>
      </c>
      <c r="L1009" t="str">
        <f t="shared" si="142"/>
        <v/>
      </c>
      <c r="M1009" t="str">
        <f t="shared" si="143"/>
        <v/>
      </c>
      <c r="N1009" t="str">
        <f t="shared" si="144"/>
        <v/>
      </c>
      <c r="O1009" t="str">
        <f>IF(L1009&lt;&gt;"",Data!$M1560,"")</f>
        <v/>
      </c>
      <c r="T1009">
        <f>IF(OR(Dashboard!$P$4="All",Dashboard!$R$4="All"),NA(),IF(OR(Data!K1560&lt;&gt;Dashboard!$P$4,Data!K1560&lt;&gt;Dashboard!$R$4),Data!G1560,NA()))</f>
        <v>52000</v>
      </c>
      <c r="U1009"/>
    </row>
    <row r="1010" spans="2:21">
      <c r="B1010" t="e">
        <f>IF(Dashboard!$P$4="All",Data!G1561,IF(Data!K1561=Dashboard!$P$4,Data!G1561,NA()))</f>
        <v>#N/A</v>
      </c>
      <c r="C1010" t="str">
        <f t="shared" si="139"/>
        <v/>
      </c>
      <c r="D1010" t="str">
        <f t="shared" si="140"/>
        <v/>
      </c>
      <c r="E1010" t="str">
        <f t="shared" si="141"/>
        <v/>
      </c>
      <c r="F1010" t="str">
        <f>IF(C1010&lt;&gt;"",Data!$M1561,"")</f>
        <v/>
      </c>
      <c r="K1010" t="e">
        <f>IF(Dashboard!$R$4="All",Data!G1561,IF(Data!K1561=Dashboard!$R$4,Data!G1561,NA()))</f>
        <v>#N/A</v>
      </c>
      <c r="L1010" t="str">
        <f t="shared" si="142"/>
        <v/>
      </c>
      <c r="M1010" t="str">
        <f t="shared" si="143"/>
        <v/>
      </c>
      <c r="N1010" t="str">
        <f t="shared" si="144"/>
        <v/>
      </c>
      <c r="O1010" t="str">
        <f>IF(L1010&lt;&gt;"",Data!$M1561,"")</f>
        <v/>
      </c>
      <c r="T1010">
        <f>IF(OR(Dashboard!$P$4="All",Dashboard!$R$4="All"),NA(),IF(OR(Data!K1561&lt;&gt;Dashboard!$P$4,Data!K1561&lt;&gt;Dashboard!$R$4),Data!G1561,NA()))</f>
        <v>75000</v>
      </c>
      <c r="U1010"/>
    </row>
    <row r="1011" spans="2:21">
      <c r="B1011" t="e">
        <f>IF(Dashboard!$P$4="All",Data!G1562,IF(Data!K1562=Dashboard!$P$4,Data!G1562,NA()))</f>
        <v>#N/A</v>
      </c>
      <c r="C1011" t="str">
        <f t="shared" si="139"/>
        <v/>
      </c>
      <c r="D1011" t="str">
        <f t="shared" si="140"/>
        <v/>
      </c>
      <c r="E1011" t="str">
        <f t="shared" si="141"/>
        <v/>
      </c>
      <c r="F1011" t="str">
        <f>IF(C1011&lt;&gt;"",Data!$M1562,"")</f>
        <v/>
      </c>
      <c r="K1011" t="e">
        <f>IF(Dashboard!$R$4="All",Data!G1562,IF(Data!K1562=Dashboard!$R$4,Data!G1562,NA()))</f>
        <v>#N/A</v>
      </c>
      <c r="L1011" t="str">
        <f t="shared" si="142"/>
        <v/>
      </c>
      <c r="M1011" t="str">
        <f t="shared" si="143"/>
        <v/>
      </c>
      <c r="N1011" t="str">
        <f t="shared" si="144"/>
        <v/>
      </c>
      <c r="O1011" t="str">
        <f>IF(L1011&lt;&gt;"",Data!$M1562,"")</f>
        <v/>
      </c>
      <c r="T1011">
        <f>IF(OR(Dashboard!$P$4="All",Dashboard!$R$4="All"),NA(),IF(OR(Data!K1562&lt;&gt;Dashboard!$P$4,Data!K1562&lt;&gt;Dashboard!$R$4),Data!G1562,NA()))</f>
        <v>17807.916687442568</v>
      </c>
      <c r="U1011"/>
    </row>
    <row r="1012" spans="2:21">
      <c r="B1012" t="e">
        <f>IF(Dashboard!$P$4="All",Data!G1563,IF(Data!K1563=Dashboard!$P$4,Data!G1563,NA()))</f>
        <v>#N/A</v>
      </c>
      <c r="C1012" t="str">
        <f t="shared" si="139"/>
        <v/>
      </c>
      <c r="D1012" t="str">
        <f t="shared" si="140"/>
        <v/>
      </c>
      <c r="E1012" t="str">
        <f t="shared" si="141"/>
        <v/>
      </c>
      <c r="F1012" t="str">
        <f>IF(C1012&lt;&gt;"",Data!$M1563,"")</f>
        <v/>
      </c>
      <c r="K1012" t="e">
        <f>IF(Dashboard!$R$4="All",Data!G1563,IF(Data!K1563=Dashboard!$R$4,Data!G1563,NA()))</f>
        <v>#N/A</v>
      </c>
      <c r="L1012" t="str">
        <f t="shared" si="142"/>
        <v/>
      </c>
      <c r="M1012" t="str">
        <f t="shared" si="143"/>
        <v/>
      </c>
      <c r="N1012" t="str">
        <f t="shared" si="144"/>
        <v/>
      </c>
      <c r="O1012" t="str">
        <f>IF(L1012&lt;&gt;"",Data!$M1563,"")</f>
        <v/>
      </c>
      <c r="T1012">
        <f>IF(OR(Dashboard!$P$4="All",Dashboard!$R$4="All"),NA(),IF(OR(Data!K1563&lt;&gt;Dashboard!$P$4,Data!K1563&lt;&gt;Dashboard!$R$4),Data!G1563,NA()))</f>
        <v>177600</v>
      </c>
      <c r="U1012"/>
    </row>
    <row r="1013" spans="2:21">
      <c r="B1013" t="e">
        <f>IF(Dashboard!$P$4="All",Data!G1564,IF(Data!K1564=Dashboard!$P$4,Data!G1564,NA()))</f>
        <v>#N/A</v>
      </c>
      <c r="C1013" t="str">
        <f t="shared" si="139"/>
        <v/>
      </c>
      <c r="D1013" t="str">
        <f t="shared" si="140"/>
        <v/>
      </c>
      <c r="E1013" t="str">
        <f t="shared" si="141"/>
        <v/>
      </c>
      <c r="F1013" t="str">
        <f>IF(C1013&lt;&gt;"",Data!$M1564,"")</f>
        <v/>
      </c>
      <c r="K1013" t="e">
        <f>IF(Dashboard!$R$4="All",Data!G1564,IF(Data!K1564=Dashboard!$R$4,Data!G1564,NA()))</f>
        <v>#N/A</v>
      </c>
      <c r="L1013" t="str">
        <f t="shared" si="142"/>
        <v/>
      </c>
      <c r="M1013" t="str">
        <f t="shared" si="143"/>
        <v/>
      </c>
      <c r="N1013" t="str">
        <f t="shared" si="144"/>
        <v/>
      </c>
      <c r="O1013" t="str">
        <f>IF(L1013&lt;&gt;"",Data!$M1564,"")</f>
        <v/>
      </c>
      <c r="T1013">
        <f>IF(OR(Dashboard!$P$4="All",Dashboard!$R$4="All"),NA(),IF(OR(Data!K1564&lt;&gt;Dashboard!$P$4,Data!K1564&lt;&gt;Dashboard!$R$4),Data!G1564,NA()))</f>
        <v>11575.14584683767</v>
      </c>
      <c r="U1013"/>
    </row>
    <row r="1014" spans="2:21">
      <c r="B1014" t="e">
        <f>IF(Dashboard!$P$4="All",Data!G1565,IF(Data!K1565=Dashboard!$P$4,Data!G1565,NA()))</f>
        <v>#N/A</v>
      </c>
      <c r="C1014" t="str">
        <f t="shared" si="139"/>
        <v/>
      </c>
      <c r="D1014" t="str">
        <f t="shared" si="140"/>
        <v/>
      </c>
      <c r="E1014" t="str">
        <f t="shared" si="141"/>
        <v/>
      </c>
      <c r="F1014" t="str">
        <f>IF(C1014&lt;&gt;"",Data!$M1565,"")</f>
        <v/>
      </c>
      <c r="K1014" t="e">
        <f>IF(Dashboard!$R$4="All",Data!G1565,IF(Data!K1565=Dashboard!$R$4,Data!G1565,NA()))</f>
        <v>#N/A</v>
      </c>
      <c r="L1014" t="str">
        <f t="shared" si="142"/>
        <v/>
      </c>
      <c r="M1014" t="str">
        <f t="shared" si="143"/>
        <v/>
      </c>
      <c r="N1014" t="str">
        <f t="shared" si="144"/>
        <v/>
      </c>
      <c r="O1014" t="str">
        <f>IF(L1014&lt;&gt;"",Data!$M1565,"")</f>
        <v/>
      </c>
      <c r="T1014">
        <f>IF(OR(Dashboard!$P$4="All",Dashboard!$R$4="All"),NA(),IF(OR(Data!K1565&lt;&gt;Dashboard!$P$4,Data!K1565&lt;&gt;Dashboard!$R$4),Data!G1565,NA()))</f>
        <v>26678.388218823762</v>
      </c>
      <c r="U1014"/>
    </row>
    <row r="1015" spans="2:21">
      <c r="B1015" t="e">
        <f>IF(Dashboard!$P$4="All",Data!G1566,IF(Data!K1566=Dashboard!$P$4,Data!G1566,NA()))</f>
        <v>#N/A</v>
      </c>
      <c r="C1015" t="str">
        <f t="shared" si="139"/>
        <v/>
      </c>
      <c r="D1015" t="str">
        <f t="shared" si="140"/>
        <v/>
      </c>
      <c r="E1015" t="str">
        <f t="shared" si="141"/>
        <v/>
      </c>
      <c r="F1015" t="str">
        <f>IF(C1015&lt;&gt;"",Data!$M1566,"")</f>
        <v/>
      </c>
      <c r="K1015">
        <f>IF(Dashboard!$R$4="All",Data!G1566,IF(Data!K1566=Dashboard!$R$4,Data!G1566,NA()))</f>
        <v>126094.26176538273</v>
      </c>
      <c r="L1015">
        <f t="shared" si="142"/>
        <v>126094.26176538273</v>
      </c>
      <c r="M1015">
        <f t="shared" si="143"/>
        <v>126094.26176538273</v>
      </c>
      <c r="N1015" t="str">
        <f t="shared" si="144"/>
        <v/>
      </c>
      <c r="O1015">
        <f>IF(L1015&lt;&gt;"",Data!$M1566,"")</f>
        <v>12</v>
      </c>
      <c r="T1015">
        <f>IF(OR(Dashboard!$P$4="All",Dashboard!$R$4="All"),NA(),IF(OR(Data!K1566&lt;&gt;Dashboard!$P$4,Data!K1566&lt;&gt;Dashboard!$R$4),Data!G1566,NA()))</f>
        <v>126094.26176538273</v>
      </c>
      <c r="U1015"/>
    </row>
    <row r="1016" spans="2:21">
      <c r="B1016" t="e">
        <f>IF(Dashboard!$P$4="All",Data!G1567,IF(Data!K1567=Dashboard!$P$4,Data!G1567,NA()))</f>
        <v>#N/A</v>
      </c>
      <c r="C1016" t="str">
        <f t="shared" si="139"/>
        <v/>
      </c>
      <c r="D1016" t="str">
        <f t="shared" si="140"/>
        <v/>
      </c>
      <c r="E1016" t="str">
        <f t="shared" si="141"/>
        <v/>
      </c>
      <c r="F1016" t="str">
        <f>IF(C1016&lt;&gt;"",Data!$M1567,"")</f>
        <v/>
      </c>
      <c r="K1016" t="e">
        <f>IF(Dashboard!$R$4="All",Data!G1567,IF(Data!K1567=Dashboard!$R$4,Data!G1567,NA()))</f>
        <v>#N/A</v>
      </c>
      <c r="L1016" t="str">
        <f t="shared" si="142"/>
        <v/>
      </c>
      <c r="M1016" t="str">
        <f t="shared" si="143"/>
        <v/>
      </c>
      <c r="N1016" t="str">
        <f t="shared" si="144"/>
        <v/>
      </c>
      <c r="O1016" t="str">
        <f>IF(L1016&lt;&gt;"",Data!$M1567,"")</f>
        <v/>
      </c>
      <c r="T1016">
        <f>IF(OR(Dashboard!$P$4="All",Dashboard!$R$4="All"),NA(),IF(OR(Data!K1567&lt;&gt;Dashboard!$P$4,Data!K1567&lt;&gt;Dashboard!$R$4),Data!G1567,NA()))</f>
        <v>6000</v>
      </c>
      <c r="U1016"/>
    </row>
    <row r="1017" spans="2:21">
      <c r="B1017" t="e">
        <f>IF(Dashboard!$P$4="All",Data!G1568,IF(Data!K1568=Dashboard!$P$4,Data!G1568,NA()))</f>
        <v>#N/A</v>
      </c>
      <c r="C1017" t="str">
        <f t="shared" si="139"/>
        <v/>
      </c>
      <c r="D1017" t="str">
        <f t="shared" si="140"/>
        <v/>
      </c>
      <c r="E1017" t="str">
        <f t="shared" si="141"/>
        <v/>
      </c>
      <c r="F1017" t="str">
        <f>IF(C1017&lt;&gt;"",Data!$M1568,"")</f>
        <v/>
      </c>
      <c r="K1017" t="e">
        <f>IF(Dashboard!$R$4="All",Data!G1568,IF(Data!K1568=Dashboard!$R$4,Data!G1568,NA()))</f>
        <v>#N/A</v>
      </c>
      <c r="L1017" t="str">
        <f t="shared" si="142"/>
        <v/>
      </c>
      <c r="M1017" t="str">
        <f t="shared" si="143"/>
        <v/>
      </c>
      <c r="N1017" t="str">
        <f t="shared" si="144"/>
        <v/>
      </c>
      <c r="O1017" t="str">
        <f>IF(L1017&lt;&gt;"",Data!$M1568,"")</f>
        <v/>
      </c>
      <c r="T1017">
        <f>IF(OR(Dashboard!$P$4="All",Dashboard!$R$4="All"),NA(),IF(OR(Data!K1568&lt;&gt;Dashboard!$P$4,Data!K1568&lt;&gt;Dashboard!$R$4),Data!G1568,NA()))</f>
        <v>10000</v>
      </c>
      <c r="U1017"/>
    </row>
    <row r="1018" spans="2:21">
      <c r="B1018" t="e">
        <f>IF(Dashboard!$P$4="All",Data!G1569,IF(Data!K1569=Dashboard!$P$4,Data!G1569,NA()))</f>
        <v>#N/A</v>
      </c>
      <c r="C1018" t="str">
        <f t="shared" si="139"/>
        <v/>
      </c>
      <c r="D1018" t="str">
        <f t="shared" si="140"/>
        <v/>
      </c>
      <c r="E1018" t="str">
        <f t="shared" si="141"/>
        <v/>
      </c>
      <c r="F1018" t="str">
        <f>IF(C1018&lt;&gt;"",Data!$M1569,"")</f>
        <v/>
      </c>
      <c r="K1018" t="e">
        <f>IF(Dashboard!$R$4="All",Data!G1569,IF(Data!K1569=Dashboard!$R$4,Data!G1569,NA()))</f>
        <v>#N/A</v>
      </c>
      <c r="L1018" t="str">
        <f t="shared" si="142"/>
        <v/>
      </c>
      <c r="M1018" t="str">
        <f t="shared" si="143"/>
        <v/>
      </c>
      <c r="N1018" t="str">
        <f t="shared" si="144"/>
        <v/>
      </c>
      <c r="O1018" t="str">
        <f>IF(L1018&lt;&gt;"",Data!$M1569,"")</f>
        <v/>
      </c>
      <c r="T1018">
        <f>IF(OR(Dashboard!$P$4="All",Dashboard!$R$4="All"),NA(),IF(OR(Data!K1569&lt;&gt;Dashboard!$P$4,Data!K1569&lt;&gt;Dashboard!$R$4),Data!G1569,NA()))</f>
        <v>50000</v>
      </c>
      <c r="U1018"/>
    </row>
    <row r="1019" spans="2:21">
      <c r="B1019" t="e">
        <f>IF(Dashboard!$P$4="All",Data!G1570,IF(Data!K1570=Dashboard!$P$4,Data!G1570,NA()))</f>
        <v>#N/A</v>
      </c>
      <c r="C1019" t="str">
        <f t="shared" si="139"/>
        <v/>
      </c>
      <c r="D1019" t="str">
        <f t="shared" si="140"/>
        <v/>
      </c>
      <c r="E1019" t="str">
        <f t="shared" si="141"/>
        <v/>
      </c>
      <c r="F1019" t="str">
        <f>IF(C1019&lt;&gt;"",Data!$M1570,"")</f>
        <v/>
      </c>
      <c r="K1019" t="e">
        <f>IF(Dashboard!$R$4="All",Data!G1570,IF(Data!K1570=Dashboard!$R$4,Data!G1570,NA()))</f>
        <v>#N/A</v>
      </c>
      <c r="L1019" t="str">
        <f t="shared" si="142"/>
        <v/>
      </c>
      <c r="M1019" t="str">
        <f t="shared" si="143"/>
        <v/>
      </c>
      <c r="N1019" t="str">
        <f t="shared" si="144"/>
        <v/>
      </c>
      <c r="O1019" t="str">
        <f>IF(L1019&lt;&gt;"",Data!$M1570,"")</f>
        <v/>
      </c>
      <c r="T1019">
        <f>IF(OR(Dashboard!$P$4="All",Dashboard!$R$4="All"),NA(),IF(OR(Data!K1570&lt;&gt;Dashboard!$P$4,Data!K1570&lt;&gt;Dashboard!$R$4),Data!G1570,NA()))</f>
        <v>10000</v>
      </c>
      <c r="U1019"/>
    </row>
    <row r="1020" spans="2:21">
      <c r="B1020" t="e">
        <f>IF(Dashboard!$P$4="All",Data!G1571,IF(Data!K1571=Dashboard!$P$4,Data!G1571,NA()))</f>
        <v>#N/A</v>
      </c>
      <c r="C1020" t="str">
        <f t="shared" si="139"/>
        <v/>
      </c>
      <c r="D1020" t="str">
        <f t="shared" si="140"/>
        <v/>
      </c>
      <c r="E1020" t="str">
        <f t="shared" si="141"/>
        <v/>
      </c>
      <c r="F1020" t="str">
        <f>IF(C1020&lt;&gt;"",Data!$M1571,"")</f>
        <v/>
      </c>
      <c r="K1020" t="e">
        <f>IF(Dashboard!$R$4="All",Data!G1571,IF(Data!K1571=Dashboard!$R$4,Data!G1571,NA()))</f>
        <v>#N/A</v>
      </c>
      <c r="L1020" t="str">
        <f t="shared" si="142"/>
        <v/>
      </c>
      <c r="M1020" t="str">
        <f t="shared" si="143"/>
        <v/>
      </c>
      <c r="N1020" t="str">
        <f t="shared" si="144"/>
        <v/>
      </c>
      <c r="O1020" t="str">
        <f>IF(L1020&lt;&gt;"",Data!$M1571,"")</f>
        <v/>
      </c>
      <c r="T1020">
        <f>IF(OR(Dashboard!$P$4="All",Dashboard!$R$4="All"),NA(),IF(OR(Data!K1571&lt;&gt;Dashboard!$P$4,Data!K1571&lt;&gt;Dashboard!$R$4),Data!G1571,NA()))</f>
        <v>50000</v>
      </c>
      <c r="U1020"/>
    </row>
    <row r="1021" spans="2:21">
      <c r="B1021" t="e">
        <f>IF(Dashboard!$P$4="All",Data!G1572,IF(Data!K1572=Dashboard!$P$4,Data!G1572,NA()))</f>
        <v>#N/A</v>
      </c>
      <c r="C1021" t="str">
        <f t="shared" si="139"/>
        <v/>
      </c>
      <c r="D1021" t="str">
        <f t="shared" si="140"/>
        <v/>
      </c>
      <c r="E1021" t="str">
        <f t="shared" si="141"/>
        <v/>
      </c>
      <c r="F1021" t="str">
        <f>IF(C1021&lt;&gt;"",Data!$M1572,"")</f>
        <v/>
      </c>
      <c r="K1021" t="e">
        <f>IF(Dashboard!$R$4="All",Data!G1572,IF(Data!K1572=Dashboard!$R$4,Data!G1572,NA()))</f>
        <v>#N/A</v>
      </c>
      <c r="L1021" t="str">
        <f t="shared" si="142"/>
        <v/>
      </c>
      <c r="M1021" t="str">
        <f t="shared" si="143"/>
        <v/>
      </c>
      <c r="N1021" t="str">
        <f t="shared" si="144"/>
        <v/>
      </c>
      <c r="O1021" t="str">
        <f>IF(L1021&lt;&gt;"",Data!$M1572,"")</f>
        <v/>
      </c>
      <c r="T1021">
        <f>IF(OR(Dashboard!$P$4="All",Dashboard!$R$4="All"),NA(),IF(OR(Data!K1572&lt;&gt;Dashboard!$P$4,Data!K1572&lt;&gt;Dashboard!$R$4),Data!G1572,NA()))</f>
        <v>20000</v>
      </c>
      <c r="U1021"/>
    </row>
    <row r="1022" spans="2:21">
      <c r="B1022" t="e">
        <f>IF(Dashboard!$P$4="All",Data!G1573,IF(Data!K1573=Dashboard!$P$4,Data!G1573,NA()))</f>
        <v>#N/A</v>
      </c>
      <c r="C1022" t="str">
        <f t="shared" si="139"/>
        <v/>
      </c>
      <c r="D1022" t="str">
        <f t="shared" si="140"/>
        <v/>
      </c>
      <c r="E1022" t="str">
        <f t="shared" si="141"/>
        <v/>
      </c>
      <c r="F1022" t="str">
        <f>IF(C1022&lt;&gt;"",Data!$M1573,"")</f>
        <v/>
      </c>
      <c r="K1022">
        <f>IF(Dashboard!$R$4="All",Data!G1573,IF(Data!K1573=Dashboard!$R$4,Data!G1573,NA()))</f>
        <v>31523.565441345683</v>
      </c>
      <c r="L1022">
        <f t="shared" si="142"/>
        <v>31523.565441345683</v>
      </c>
      <c r="M1022" t="str">
        <f t="shared" si="143"/>
        <v/>
      </c>
      <c r="N1022">
        <f t="shared" si="144"/>
        <v>31523.565441345683</v>
      </c>
      <c r="O1022">
        <f>IF(L1022&lt;&gt;"",Data!$M1573,"")</f>
        <v>3</v>
      </c>
      <c r="T1022">
        <f>IF(OR(Dashboard!$P$4="All",Dashboard!$R$4="All"),NA(),IF(OR(Data!K1573&lt;&gt;Dashboard!$P$4,Data!K1573&lt;&gt;Dashboard!$R$4),Data!G1573,NA()))</f>
        <v>31523.565441345683</v>
      </c>
      <c r="U1022"/>
    </row>
    <row r="1023" spans="2:21">
      <c r="B1023">
        <f>IF(Dashboard!$P$4="All",Data!G1574,IF(Data!K1574=Dashboard!$P$4,Data!G1574,NA()))</f>
        <v>63519.971949580387</v>
      </c>
      <c r="C1023">
        <f t="shared" si="139"/>
        <v>63519.971949580387</v>
      </c>
      <c r="D1023" t="str">
        <f t="shared" si="140"/>
        <v/>
      </c>
      <c r="E1023" t="str">
        <f t="shared" si="141"/>
        <v/>
      </c>
      <c r="F1023">
        <f>IF(C1023&lt;&gt;"",Data!$M1574,"")</f>
        <v>10</v>
      </c>
      <c r="K1023" t="e">
        <f>IF(Dashboard!$R$4="All",Data!G1574,IF(Data!K1574=Dashboard!$R$4,Data!G1574,NA()))</f>
        <v>#N/A</v>
      </c>
      <c r="L1023" t="str">
        <f t="shared" si="142"/>
        <v/>
      </c>
      <c r="M1023" t="str">
        <f t="shared" si="143"/>
        <v/>
      </c>
      <c r="N1023" t="str">
        <f t="shared" si="144"/>
        <v/>
      </c>
      <c r="O1023" t="str">
        <f>IF(L1023&lt;&gt;"",Data!$M1574,"")</f>
        <v/>
      </c>
      <c r="T1023">
        <f>IF(OR(Dashboard!$P$4="All",Dashboard!$R$4="All"),NA(),IF(OR(Data!K1574&lt;&gt;Dashboard!$P$4,Data!K1574&lt;&gt;Dashboard!$R$4),Data!G1574,NA()))</f>
        <v>63519.971949580387</v>
      </c>
      <c r="U1023"/>
    </row>
    <row r="1024" spans="2:21">
      <c r="B1024" t="e">
        <f>IF(Dashboard!$P$4="All",Data!G1575,IF(Data!K1575=Dashboard!$P$4,Data!G1575,NA()))</f>
        <v>#N/A</v>
      </c>
      <c r="C1024" t="str">
        <f t="shared" si="139"/>
        <v/>
      </c>
      <c r="D1024" t="str">
        <f t="shared" si="140"/>
        <v/>
      </c>
      <c r="E1024" t="str">
        <f t="shared" si="141"/>
        <v/>
      </c>
      <c r="F1024" t="str">
        <f>IF(C1024&lt;&gt;"",Data!$M1575,"")</f>
        <v/>
      </c>
      <c r="K1024" t="e">
        <f>IF(Dashboard!$R$4="All",Data!G1575,IF(Data!K1575=Dashboard!$R$4,Data!G1575,NA()))</f>
        <v>#N/A</v>
      </c>
      <c r="L1024" t="str">
        <f t="shared" si="142"/>
        <v/>
      </c>
      <c r="M1024" t="str">
        <f t="shared" si="143"/>
        <v/>
      </c>
      <c r="N1024" t="str">
        <f t="shared" si="144"/>
        <v/>
      </c>
      <c r="O1024" t="str">
        <f>IF(L1024&lt;&gt;"",Data!$M1575,"")</f>
        <v/>
      </c>
      <c r="T1024">
        <f>IF(OR(Dashboard!$P$4="All",Dashboard!$R$4="All"),NA(),IF(OR(Data!K1575&lt;&gt;Dashboard!$P$4,Data!K1575&lt;&gt;Dashboard!$R$4),Data!G1575,NA()))</f>
        <v>35063.024516168378</v>
      </c>
      <c r="U1024"/>
    </row>
    <row r="1025" spans="2:21">
      <c r="B1025" t="e">
        <f>IF(Dashboard!$P$4="All",Data!G1576,IF(Data!K1576=Dashboard!$P$4,Data!G1576,NA()))</f>
        <v>#N/A</v>
      </c>
      <c r="C1025" t="str">
        <f t="shared" si="139"/>
        <v/>
      </c>
      <c r="D1025" t="str">
        <f t="shared" si="140"/>
        <v/>
      </c>
      <c r="E1025" t="str">
        <f t="shared" si="141"/>
        <v/>
      </c>
      <c r="F1025" t="str">
        <f>IF(C1025&lt;&gt;"",Data!$M1576,"")</f>
        <v/>
      </c>
      <c r="K1025" t="e">
        <f>IF(Dashboard!$R$4="All",Data!G1576,IF(Data!K1576=Dashboard!$R$4,Data!G1576,NA()))</f>
        <v>#N/A</v>
      </c>
      <c r="L1025" t="str">
        <f t="shared" si="142"/>
        <v/>
      </c>
      <c r="M1025" t="str">
        <f t="shared" si="143"/>
        <v/>
      </c>
      <c r="N1025" t="str">
        <f t="shared" si="144"/>
        <v/>
      </c>
      <c r="O1025" t="str">
        <f>IF(L1025&lt;&gt;"",Data!$M1576,"")</f>
        <v/>
      </c>
      <c r="T1025">
        <f>IF(OR(Dashboard!$P$4="All",Dashboard!$R$4="All"),NA(),IF(OR(Data!K1576&lt;&gt;Dashboard!$P$4,Data!K1576&lt;&gt;Dashboard!$R$4),Data!G1576,NA()))</f>
        <v>55000</v>
      </c>
      <c r="U1025"/>
    </row>
    <row r="1026" spans="2:21">
      <c r="B1026" t="e">
        <f>IF(Dashboard!$P$4="All",Data!G1577,IF(Data!K1577=Dashboard!$P$4,Data!G1577,NA()))</f>
        <v>#N/A</v>
      </c>
      <c r="C1026" t="str">
        <f t="shared" si="139"/>
        <v/>
      </c>
      <c r="D1026" t="str">
        <f t="shared" si="140"/>
        <v/>
      </c>
      <c r="E1026" t="str">
        <f t="shared" si="141"/>
        <v/>
      </c>
      <c r="F1026" t="str">
        <f>IF(C1026&lt;&gt;"",Data!$M1577,"")</f>
        <v/>
      </c>
      <c r="K1026" t="e">
        <f>IF(Dashboard!$R$4="All",Data!G1577,IF(Data!K1577=Dashboard!$R$4,Data!G1577,NA()))</f>
        <v>#N/A</v>
      </c>
      <c r="L1026" t="str">
        <f t="shared" si="142"/>
        <v/>
      </c>
      <c r="M1026" t="str">
        <f t="shared" si="143"/>
        <v/>
      </c>
      <c r="N1026" t="str">
        <f t="shared" si="144"/>
        <v/>
      </c>
      <c r="O1026" t="str">
        <f>IF(L1026&lt;&gt;"",Data!$M1577,"")</f>
        <v/>
      </c>
      <c r="T1026">
        <f>IF(OR(Dashboard!$P$4="All",Dashboard!$R$4="All"),NA(),IF(OR(Data!K1577&lt;&gt;Dashboard!$P$4,Data!K1577&lt;&gt;Dashboard!$R$4),Data!G1577,NA()))</f>
        <v>38000</v>
      </c>
      <c r="U1026"/>
    </row>
    <row r="1027" spans="2:21">
      <c r="B1027" t="e">
        <f>IF(Dashboard!$P$4="All",Data!G1578,IF(Data!K1578=Dashboard!$P$4,Data!G1578,NA()))</f>
        <v>#N/A</v>
      </c>
      <c r="C1027" t="str">
        <f t="shared" si="139"/>
        <v/>
      </c>
      <c r="D1027" t="str">
        <f t="shared" si="140"/>
        <v/>
      </c>
      <c r="E1027" t="str">
        <f t="shared" si="141"/>
        <v/>
      </c>
      <c r="F1027" t="str">
        <f>IF(C1027&lt;&gt;"",Data!$M1578,"")</f>
        <v/>
      </c>
      <c r="K1027" t="e">
        <f>IF(Dashboard!$R$4="All",Data!G1578,IF(Data!K1578=Dashboard!$R$4,Data!G1578,NA()))</f>
        <v>#N/A</v>
      </c>
      <c r="L1027" t="str">
        <f t="shared" si="142"/>
        <v/>
      </c>
      <c r="M1027" t="str">
        <f t="shared" si="143"/>
        <v/>
      </c>
      <c r="N1027" t="str">
        <f t="shared" si="144"/>
        <v/>
      </c>
      <c r="O1027" t="str">
        <f>IF(L1027&lt;&gt;"",Data!$M1578,"")</f>
        <v/>
      </c>
      <c r="T1027">
        <f>IF(OR(Dashboard!$P$4="All",Dashboard!$R$4="All"),NA(),IF(OR(Data!K1578&lt;&gt;Dashboard!$P$4,Data!K1578&lt;&gt;Dashboard!$R$4),Data!G1578,NA()))</f>
        <v>32054.250037396621</v>
      </c>
      <c r="U1027"/>
    </row>
    <row r="1028" spans="2:21">
      <c r="B1028" t="e">
        <f>IF(Dashboard!$P$4="All",Data!G1579,IF(Data!K1579=Dashboard!$P$4,Data!G1579,NA()))</f>
        <v>#N/A</v>
      </c>
      <c r="C1028" t="str">
        <f t="shared" ref="C1028:C1091" si="145">IF(ISNA(B1028),"",B1028)</f>
        <v/>
      </c>
      <c r="D1028" t="str">
        <f t="shared" ref="D1028:D1091" si="146">IF(C1028&gt;=PERCENTILE($C$3:$C$1337,0.9),C1028,"")</f>
        <v/>
      </c>
      <c r="E1028" t="str">
        <f t="shared" ref="E1028:E1091" si="147">IF(C1028&lt;=PERCENTILE($C$3:$C$1337,0.1),C1028,"")</f>
        <v/>
      </c>
      <c r="F1028" t="str">
        <f>IF(C1028&lt;&gt;"",Data!$M1579,"")</f>
        <v/>
      </c>
      <c r="K1028" t="e">
        <f>IF(Dashboard!$R$4="All",Data!G1579,IF(Data!K1579=Dashboard!$R$4,Data!G1579,NA()))</f>
        <v>#N/A</v>
      </c>
      <c r="L1028" t="str">
        <f t="shared" ref="L1028:L1091" si="148">IF(ISNA(K1028),"",K1028)</f>
        <v/>
      </c>
      <c r="M1028" t="str">
        <f t="shared" ref="M1028:M1091" si="149">IF(L1028&gt;=PERCENTILE($L$3:$L$1337,0.9),L1028,"")</f>
        <v/>
      </c>
      <c r="N1028" t="str">
        <f t="shared" ref="N1028:N1091" si="150">IF(L1028&lt;=PERCENTILE($L$3:$L$1337,0.1),L1028,"")</f>
        <v/>
      </c>
      <c r="O1028" t="str">
        <f>IF(L1028&lt;&gt;"",Data!$M1579,"")</f>
        <v/>
      </c>
      <c r="T1028">
        <f>IF(OR(Dashboard!$P$4="All",Dashboard!$R$4="All"),NA(),IF(OR(Data!K1579&lt;&gt;Dashboard!$P$4,Data!K1579&lt;&gt;Dashboard!$R$4),Data!G1579,NA()))</f>
        <v>35500</v>
      </c>
      <c r="U1028"/>
    </row>
    <row r="1029" spans="2:21">
      <c r="B1029" t="e">
        <f>IF(Dashboard!$P$4="All",Data!G1580,IF(Data!K1580=Dashboard!$P$4,Data!G1580,NA()))</f>
        <v>#N/A</v>
      </c>
      <c r="C1029" t="str">
        <f t="shared" si="145"/>
        <v/>
      </c>
      <c r="D1029" t="str">
        <f t="shared" si="146"/>
        <v/>
      </c>
      <c r="E1029" t="str">
        <f t="shared" si="147"/>
        <v/>
      </c>
      <c r="F1029" t="str">
        <f>IF(C1029&lt;&gt;"",Data!$M1580,"")</f>
        <v/>
      </c>
      <c r="K1029" t="e">
        <f>IF(Dashboard!$R$4="All",Data!G1580,IF(Data!K1580=Dashboard!$R$4,Data!G1580,NA()))</f>
        <v>#N/A</v>
      </c>
      <c r="L1029" t="str">
        <f t="shared" si="148"/>
        <v/>
      </c>
      <c r="M1029" t="str">
        <f t="shared" si="149"/>
        <v/>
      </c>
      <c r="N1029" t="str">
        <f t="shared" si="150"/>
        <v/>
      </c>
      <c r="O1029" t="str">
        <f>IF(L1029&lt;&gt;"",Data!$M1580,"")</f>
        <v/>
      </c>
      <c r="T1029">
        <f>IF(OR(Dashboard!$P$4="All",Dashboard!$R$4="All"),NA(),IF(OR(Data!K1580&lt;&gt;Dashboard!$P$4,Data!K1580&lt;&gt;Dashboard!$R$4),Data!G1580,NA()))</f>
        <v>62000</v>
      </c>
      <c r="U1029"/>
    </row>
    <row r="1030" spans="2:21">
      <c r="B1030" t="e">
        <f>IF(Dashboard!$P$4="All",Data!G1581,IF(Data!K1581=Dashboard!$P$4,Data!G1581,NA()))</f>
        <v>#N/A</v>
      </c>
      <c r="C1030" t="str">
        <f t="shared" si="145"/>
        <v/>
      </c>
      <c r="D1030" t="str">
        <f t="shared" si="146"/>
        <v/>
      </c>
      <c r="E1030" t="str">
        <f t="shared" si="147"/>
        <v/>
      </c>
      <c r="F1030" t="str">
        <f>IF(C1030&lt;&gt;"",Data!$M1581,"")</f>
        <v/>
      </c>
      <c r="K1030">
        <f>IF(Dashboard!$R$4="All",Data!G1581,IF(Data!K1581=Dashboard!$R$4,Data!G1581,NA()))</f>
        <v>33887.832849446611</v>
      </c>
      <c r="L1030">
        <f t="shared" si="148"/>
        <v>33887.832849446611</v>
      </c>
      <c r="M1030" t="str">
        <f t="shared" si="149"/>
        <v/>
      </c>
      <c r="N1030" t="str">
        <f t="shared" si="150"/>
        <v/>
      </c>
      <c r="O1030">
        <f>IF(L1030&lt;&gt;"",Data!$M1581,"")</f>
        <v>1</v>
      </c>
      <c r="T1030">
        <f>IF(OR(Dashboard!$P$4="All",Dashboard!$R$4="All"),NA(),IF(OR(Data!K1581&lt;&gt;Dashboard!$P$4,Data!K1581&lt;&gt;Dashboard!$R$4),Data!G1581,NA()))</f>
        <v>33887.832849446611</v>
      </c>
      <c r="U1030"/>
    </row>
    <row r="1031" spans="2:21">
      <c r="B1031" t="e">
        <f>IF(Dashboard!$P$4="All",Data!G1582,IF(Data!K1582=Dashboard!$P$4,Data!G1582,NA()))</f>
        <v>#N/A</v>
      </c>
      <c r="C1031" t="str">
        <f t="shared" si="145"/>
        <v/>
      </c>
      <c r="D1031" t="str">
        <f t="shared" si="146"/>
        <v/>
      </c>
      <c r="E1031" t="str">
        <f t="shared" si="147"/>
        <v/>
      </c>
      <c r="F1031" t="str">
        <f>IF(C1031&lt;&gt;"",Data!$M1582,"")</f>
        <v/>
      </c>
      <c r="K1031" t="e">
        <f>IF(Dashboard!$R$4="All",Data!G1582,IF(Data!K1582=Dashboard!$R$4,Data!G1582,NA()))</f>
        <v>#N/A</v>
      </c>
      <c r="L1031" t="str">
        <f t="shared" si="148"/>
        <v/>
      </c>
      <c r="M1031" t="str">
        <f t="shared" si="149"/>
        <v/>
      </c>
      <c r="N1031" t="str">
        <f t="shared" si="150"/>
        <v/>
      </c>
      <c r="O1031" t="str">
        <f>IF(L1031&lt;&gt;"",Data!$M1582,"")</f>
        <v/>
      </c>
      <c r="T1031">
        <f>IF(OR(Dashboard!$P$4="All",Dashboard!$R$4="All"),NA(),IF(OR(Data!K1582&lt;&gt;Dashboard!$P$4,Data!K1582&lt;&gt;Dashboard!$R$4),Data!G1582,NA()))</f>
        <v>60000</v>
      </c>
      <c r="U1031"/>
    </row>
    <row r="1032" spans="2:21">
      <c r="B1032" t="e">
        <f>IF(Dashboard!$P$4="All",Data!G1583,IF(Data!K1583=Dashboard!$P$4,Data!G1583,NA()))</f>
        <v>#N/A</v>
      </c>
      <c r="C1032" t="str">
        <f t="shared" si="145"/>
        <v/>
      </c>
      <c r="D1032" t="str">
        <f t="shared" si="146"/>
        <v/>
      </c>
      <c r="E1032" t="str">
        <f t="shared" si="147"/>
        <v/>
      </c>
      <c r="F1032" t="str">
        <f>IF(C1032&lt;&gt;"",Data!$M1583,"")</f>
        <v/>
      </c>
      <c r="K1032" t="e">
        <f>IF(Dashboard!$R$4="All",Data!G1583,IF(Data!K1583=Dashboard!$R$4,Data!G1583,NA()))</f>
        <v>#N/A</v>
      </c>
      <c r="L1032" t="str">
        <f t="shared" si="148"/>
        <v/>
      </c>
      <c r="M1032" t="str">
        <f t="shared" si="149"/>
        <v/>
      </c>
      <c r="N1032" t="str">
        <f t="shared" si="150"/>
        <v/>
      </c>
      <c r="O1032" t="str">
        <f>IF(L1032&lt;&gt;"",Data!$M1583,"")</f>
        <v/>
      </c>
      <c r="T1032">
        <f>IF(OR(Dashboard!$P$4="All",Dashboard!$R$4="All"),NA(),IF(OR(Data!K1583&lt;&gt;Dashboard!$P$4,Data!K1583&lt;&gt;Dashboard!$R$4),Data!G1583,NA()))</f>
        <v>32884</v>
      </c>
      <c r="U1032"/>
    </row>
    <row r="1033" spans="2:21">
      <c r="B1033" t="e">
        <f>IF(Dashboard!$P$4="All",Data!G1584,IF(Data!K1584=Dashboard!$P$4,Data!G1584,NA()))</f>
        <v>#N/A</v>
      </c>
      <c r="C1033" t="str">
        <f t="shared" si="145"/>
        <v/>
      </c>
      <c r="D1033" t="str">
        <f t="shared" si="146"/>
        <v/>
      </c>
      <c r="E1033" t="str">
        <f t="shared" si="147"/>
        <v/>
      </c>
      <c r="F1033" t="str">
        <f>IF(C1033&lt;&gt;"",Data!$M1584,"")</f>
        <v/>
      </c>
      <c r="K1033" t="e">
        <f>IF(Dashboard!$R$4="All",Data!G1584,IF(Data!K1584=Dashboard!$R$4,Data!G1584,NA()))</f>
        <v>#N/A</v>
      </c>
      <c r="L1033" t="str">
        <f t="shared" si="148"/>
        <v/>
      </c>
      <c r="M1033" t="str">
        <f t="shared" si="149"/>
        <v/>
      </c>
      <c r="N1033" t="str">
        <f t="shared" si="150"/>
        <v/>
      </c>
      <c r="O1033" t="str">
        <f>IF(L1033&lt;&gt;"",Data!$M1584,"")</f>
        <v/>
      </c>
      <c r="T1033">
        <f>IF(OR(Dashboard!$P$4="All",Dashboard!$R$4="All"),NA(),IF(OR(Data!K1584&lt;&gt;Dashboard!$P$4,Data!K1584&lt;&gt;Dashboard!$R$4),Data!G1584,NA()))</f>
        <v>42000</v>
      </c>
      <c r="U1033"/>
    </row>
    <row r="1034" spans="2:21">
      <c r="B1034" t="e">
        <f>IF(Dashboard!$P$4="All",Data!G1585,IF(Data!K1585=Dashboard!$P$4,Data!G1585,NA()))</f>
        <v>#N/A</v>
      </c>
      <c r="C1034" t="str">
        <f t="shared" si="145"/>
        <v/>
      </c>
      <c r="D1034" t="str">
        <f t="shared" si="146"/>
        <v/>
      </c>
      <c r="E1034" t="str">
        <f t="shared" si="147"/>
        <v/>
      </c>
      <c r="F1034" t="str">
        <f>IF(C1034&lt;&gt;"",Data!$M1585,"")</f>
        <v/>
      </c>
      <c r="K1034" t="e">
        <f>IF(Dashboard!$R$4="All",Data!G1585,IF(Data!K1585=Dashboard!$R$4,Data!G1585,NA()))</f>
        <v>#N/A</v>
      </c>
      <c r="L1034" t="str">
        <f t="shared" si="148"/>
        <v/>
      </c>
      <c r="M1034" t="str">
        <f t="shared" si="149"/>
        <v/>
      </c>
      <c r="N1034" t="str">
        <f t="shared" si="150"/>
        <v/>
      </c>
      <c r="O1034" t="str">
        <f>IF(L1034&lt;&gt;"",Data!$M1585,"")</f>
        <v/>
      </c>
      <c r="T1034">
        <f>IF(OR(Dashboard!$P$4="All",Dashboard!$R$4="All"),NA(),IF(OR(Data!K1585&lt;&gt;Dashboard!$P$4,Data!K1585&lt;&gt;Dashboard!$R$4),Data!G1585,NA()))</f>
        <v>68000</v>
      </c>
      <c r="U1034"/>
    </row>
    <row r="1035" spans="2:21">
      <c r="B1035" t="e">
        <f>IF(Dashboard!$P$4="All",Data!G1586,IF(Data!K1586=Dashboard!$P$4,Data!G1586,NA()))</f>
        <v>#N/A</v>
      </c>
      <c r="C1035" t="str">
        <f t="shared" si="145"/>
        <v/>
      </c>
      <c r="D1035" t="str">
        <f t="shared" si="146"/>
        <v/>
      </c>
      <c r="E1035" t="str">
        <f t="shared" si="147"/>
        <v/>
      </c>
      <c r="F1035" t="str">
        <f>IF(C1035&lt;&gt;"",Data!$M1586,"")</f>
        <v/>
      </c>
      <c r="K1035" t="e">
        <f>IF(Dashboard!$R$4="All",Data!G1586,IF(Data!K1586=Dashboard!$R$4,Data!G1586,NA()))</f>
        <v>#N/A</v>
      </c>
      <c r="L1035" t="str">
        <f t="shared" si="148"/>
        <v/>
      </c>
      <c r="M1035" t="str">
        <f t="shared" si="149"/>
        <v/>
      </c>
      <c r="N1035" t="str">
        <f t="shared" si="150"/>
        <v/>
      </c>
      <c r="O1035" t="str">
        <f>IF(L1035&lt;&gt;"",Data!$M1586,"")</f>
        <v/>
      </c>
      <c r="T1035">
        <f>IF(OR(Dashboard!$P$4="All",Dashboard!$R$4="All"),NA(),IF(OR(Data!K1586&lt;&gt;Dashboard!$P$4,Data!K1586&lt;&gt;Dashboard!$R$4),Data!G1586,NA()))</f>
        <v>85000</v>
      </c>
      <c r="U1035"/>
    </row>
    <row r="1036" spans="2:21">
      <c r="B1036" t="e">
        <f>IF(Dashboard!$P$4="All",Data!G1587,IF(Data!K1587=Dashboard!$P$4,Data!G1587,NA()))</f>
        <v>#N/A</v>
      </c>
      <c r="C1036" t="str">
        <f t="shared" si="145"/>
        <v/>
      </c>
      <c r="D1036" t="str">
        <f t="shared" si="146"/>
        <v/>
      </c>
      <c r="E1036" t="str">
        <f t="shared" si="147"/>
        <v/>
      </c>
      <c r="F1036" t="str">
        <f>IF(C1036&lt;&gt;"",Data!$M1587,"")</f>
        <v/>
      </c>
      <c r="K1036" t="e">
        <f>IF(Dashboard!$R$4="All",Data!G1587,IF(Data!K1587=Dashboard!$R$4,Data!G1587,NA()))</f>
        <v>#N/A</v>
      </c>
      <c r="L1036" t="str">
        <f t="shared" si="148"/>
        <v/>
      </c>
      <c r="M1036" t="str">
        <f t="shared" si="149"/>
        <v/>
      </c>
      <c r="N1036" t="str">
        <f t="shared" si="150"/>
        <v/>
      </c>
      <c r="O1036" t="str">
        <f>IF(L1036&lt;&gt;"",Data!$M1587,"")</f>
        <v/>
      </c>
      <c r="T1036">
        <f>IF(OR(Dashboard!$P$4="All",Dashboard!$R$4="All"),NA(),IF(OR(Data!K1587&lt;&gt;Dashboard!$P$4,Data!K1587&lt;&gt;Dashboard!$R$4),Data!G1587,NA()))</f>
        <v>13000</v>
      </c>
      <c r="U1036"/>
    </row>
    <row r="1037" spans="2:21">
      <c r="B1037" t="e">
        <f>IF(Dashboard!$P$4="All",Data!G1588,IF(Data!K1588=Dashboard!$P$4,Data!G1588,NA()))</f>
        <v>#N/A</v>
      </c>
      <c r="C1037" t="str">
        <f t="shared" si="145"/>
        <v/>
      </c>
      <c r="D1037" t="str">
        <f t="shared" si="146"/>
        <v/>
      </c>
      <c r="E1037" t="str">
        <f t="shared" si="147"/>
        <v/>
      </c>
      <c r="F1037" t="str">
        <f>IF(C1037&lt;&gt;"",Data!$M1588,"")</f>
        <v/>
      </c>
      <c r="K1037" t="e">
        <f>IF(Dashboard!$R$4="All",Data!G1588,IF(Data!K1588=Dashboard!$R$4,Data!G1588,NA()))</f>
        <v>#N/A</v>
      </c>
      <c r="L1037" t="str">
        <f t="shared" si="148"/>
        <v/>
      </c>
      <c r="M1037" t="str">
        <f t="shared" si="149"/>
        <v/>
      </c>
      <c r="N1037" t="str">
        <f t="shared" si="150"/>
        <v/>
      </c>
      <c r="O1037" t="str">
        <f>IF(L1037&lt;&gt;"",Data!$M1588,"")</f>
        <v/>
      </c>
      <c r="T1037">
        <f>IF(OR(Dashboard!$P$4="All",Dashboard!$R$4="All"),NA(),IF(OR(Data!K1588&lt;&gt;Dashboard!$P$4,Data!K1588&lt;&gt;Dashboard!$R$4),Data!G1588,NA()))</f>
        <v>15000</v>
      </c>
      <c r="U1037"/>
    </row>
    <row r="1038" spans="2:21">
      <c r="B1038" t="e">
        <f>IF(Dashboard!$P$4="All",Data!G1589,IF(Data!K1589=Dashboard!$P$4,Data!G1589,NA()))</f>
        <v>#N/A</v>
      </c>
      <c r="C1038" t="str">
        <f t="shared" si="145"/>
        <v/>
      </c>
      <c r="D1038" t="str">
        <f t="shared" si="146"/>
        <v/>
      </c>
      <c r="E1038" t="str">
        <f t="shared" si="147"/>
        <v/>
      </c>
      <c r="F1038" t="str">
        <f>IF(C1038&lt;&gt;"",Data!$M1589,"")</f>
        <v/>
      </c>
      <c r="K1038" t="e">
        <f>IF(Dashboard!$R$4="All",Data!G1589,IF(Data!K1589=Dashboard!$R$4,Data!G1589,NA()))</f>
        <v>#N/A</v>
      </c>
      <c r="L1038" t="str">
        <f t="shared" si="148"/>
        <v/>
      </c>
      <c r="M1038" t="str">
        <f t="shared" si="149"/>
        <v/>
      </c>
      <c r="N1038" t="str">
        <f t="shared" si="150"/>
        <v/>
      </c>
      <c r="O1038" t="str">
        <f>IF(L1038&lt;&gt;"",Data!$M1589,"")</f>
        <v/>
      </c>
      <c r="T1038">
        <f>IF(OR(Dashboard!$P$4="All",Dashboard!$R$4="All"),NA(),IF(OR(Data!K1589&lt;&gt;Dashboard!$P$4,Data!K1589&lt;&gt;Dashboard!$R$4),Data!G1589,NA()))</f>
        <v>50000</v>
      </c>
      <c r="U1038"/>
    </row>
    <row r="1039" spans="2:21">
      <c r="B1039" t="e">
        <f>IF(Dashboard!$P$4="All",Data!G1590,IF(Data!K1590=Dashboard!$P$4,Data!G1590,NA()))</f>
        <v>#N/A</v>
      </c>
      <c r="C1039" t="str">
        <f t="shared" si="145"/>
        <v/>
      </c>
      <c r="D1039" t="str">
        <f t="shared" si="146"/>
        <v/>
      </c>
      <c r="E1039" t="str">
        <f t="shared" si="147"/>
        <v/>
      </c>
      <c r="F1039" t="str">
        <f>IF(C1039&lt;&gt;"",Data!$M1590,"")</f>
        <v/>
      </c>
      <c r="K1039" t="e">
        <f>IF(Dashboard!$R$4="All",Data!G1590,IF(Data!K1590=Dashboard!$R$4,Data!G1590,NA()))</f>
        <v>#N/A</v>
      </c>
      <c r="L1039" t="str">
        <f t="shared" si="148"/>
        <v/>
      </c>
      <c r="M1039" t="str">
        <f t="shared" si="149"/>
        <v/>
      </c>
      <c r="N1039" t="str">
        <f t="shared" si="150"/>
        <v/>
      </c>
      <c r="O1039" t="str">
        <f>IF(L1039&lt;&gt;"",Data!$M1590,"")</f>
        <v/>
      </c>
      <c r="T1039">
        <f>IF(OR(Dashboard!$P$4="All",Dashboard!$R$4="All"),NA(),IF(OR(Data!K1590&lt;&gt;Dashboard!$P$4,Data!K1590&lt;&gt;Dashboard!$R$4),Data!G1590,NA()))</f>
        <v>7000</v>
      </c>
      <c r="U1039"/>
    </row>
    <row r="1040" spans="2:21">
      <c r="B1040" t="e">
        <f>IF(Dashboard!$P$4="All",Data!G1591,IF(Data!K1591=Dashboard!$P$4,Data!G1591,NA()))</f>
        <v>#N/A</v>
      </c>
      <c r="C1040" t="str">
        <f t="shared" si="145"/>
        <v/>
      </c>
      <c r="D1040" t="str">
        <f t="shared" si="146"/>
        <v/>
      </c>
      <c r="E1040" t="str">
        <f t="shared" si="147"/>
        <v/>
      </c>
      <c r="F1040" t="str">
        <f>IF(C1040&lt;&gt;"",Data!$M1591,"")</f>
        <v/>
      </c>
      <c r="K1040" t="e">
        <f>IF(Dashboard!$R$4="All",Data!G1591,IF(Data!K1591=Dashboard!$R$4,Data!G1591,NA()))</f>
        <v>#N/A</v>
      </c>
      <c r="L1040" t="str">
        <f t="shared" si="148"/>
        <v/>
      </c>
      <c r="M1040" t="str">
        <f t="shared" si="149"/>
        <v/>
      </c>
      <c r="N1040" t="str">
        <f t="shared" si="150"/>
        <v/>
      </c>
      <c r="O1040" t="str">
        <f>IF(L1040&lt;&gt;"",Data!$M1591,"")</f>
        <v/>
      </c>
      <c r="T1040">
        <f>IF(OR(Dashboard!$P$4="All",Dashboard!$R$4="All"),NA(),IF(OR(Data!K1591&lt;&gt;Dashboard!$P$4,Data!K1591&lt;&gt;Dashboard!$R$4),Data!G1591,NA()))</f>
        <v>140000</v>
      </c>
      <c r="U1040"/>
    </row>
    <row r="1041" spans="2:21">
      <c r="B1041" t="e">
        <f>IF(Dashboard!$P$4="All",Data!G1592,IF(Data!K1592=Dashboard!$P$4,Data!G1592,NA()))</f>
        <v>#N/A</v>
      </c>
      <c r="C1041" t="str">
        <f t="shared" si="145"/>
        <v/>
      </c>
      <c r="D1041" t="str">
        <f t="shared" si="146"/>
        <v/>
      </c>
      <c r="E1041" t="str">
        <f t="shared" si="147"/>
        <v/>
      </c>
      <c r="F1041" t="str">
        <f>IF(C1041&lt;&gt;"",Data!$M1592,"")</f>
        <v/>
      </c>
      <c r="K1041" t="e">
        <f>IF(Dashboard!$R$4="All",Data!G1592,IF(Data!K1592=Dashboard!$R$4,Data!G1592,NA()))</f>
        <v>#N/A</v>
      </c>
      <c r="L1041" t="str">
        <f t="shared" si="148"/>
        <v/>
      </c>
      <c r="M1041" t="str">
        <f t="shared" si="149"/>
        <v/>
      </c>
      <c r="N1041" t="str">
        <f t="shared" si="150"/>
        <v/>
      </c>
      <c r="O1041" t="str">
        <f>IF(L1041&lt;&gt;"",Data!$M1592,"")</f>
        <v/>
      </c>
      <c r="T1041">
        <f>IF(OR(Dashboard!$P$4="All",Dashboard!$R$4="All"),NA(),IF(OR(Data!K1592&lt;&gt;Dashboard!$P$4,Data!K1592&lt;&gt;Dashboard!$R$4),Data!G1592,NA()))</f>
        <v>7123.1666749770275</v>
      </c>
      <c r="U1041"/>
    </row>
    <row r="1042" spans="2:21">
      <c r="B1042" t="e">
        <f>IF(Dashboard!$P$4="All",Data!G1593,IF(Data!K1593=Dashboard!$P$4,Data!G1593,NA()))</f>
        <v>#N/A</v>
      </c>
      <c r="C1042" t="str">
        <f t="shared" si="145"/>
        <v/>
      </c>
      <c r="D1042" t="str">
        <f t="shared" si="146"/>
        <v/>
      </c>
      <c r="E1042" t="str">
        <f t="shared" si="147"/>
        <v/>
      </c>
      <c r="F1042" t="str">
        <f>IF(C1042&lt;&gt;"",Data!$M1593,"")</f>
        <v/>
      </c>
      <c r="K1042">
        <f>IF(Dashboard!$R$4="All",Data!G1593,IF(Data!K1593=Dashboard!$R$4,Data!G1593,NA()))</f>
        <v>58318.59606648951</v>
      </c>
      <c r="L1042">
        <f t="shared" si="148"/>
        <v>58318.59606648951</v>
      </c>
      <c r="M1042" t="str">
        <f t="shared" si="149"/>
        <v/>
      </c>
      <c r="N1042" t="str">
        <f t="shared" si="150"/>
        <v/>
      </c>
      <c r="O1042">
        <f>IF(L1042&lt;&gt;"",Data!$M1593,"")</f>
        <v>9</v>
      </c>
      <c r="T1042">
        <f>IF(OR(Dashboard!$P$4="All",Dashboard!$R$4="All"),NA(),IF(OR(Data!K1593&lt;&gt;Dashboard!$P$4,Data!K1593&lt;&gt;Dashboard!$R$4),Data!G1593,NA()))</f>
        <v>58318.59606648951</v>
      </c>
      <c r="U1042"/>
    </row>
    <row r="1043" spans="2:21">
      <c r="B1043" t="e">
        <f>IF(Dashboard!$P$4="All",Data!G1594,IF(Data!K1594=Dashboard!$P$4,Data!G1594,NA()))</f>
        <v>#N/A</v>
      </c>
      <c r="C1043" t="str">
        <f t="shared" si="145"/>
        <v/>
      </c>
      <c r="D1043" t="str">
        <f t="shared" si="146"/>
        <v/>
      </c>
      <c r="E1043" t="str">
        <f t="shared" si="147"/>
        <v/>
      </c>
      <c r="F1043" t="str">
        <f>IF(C1043&lt;&gt;"",Data!$M1594,"")</f>
        <v/>
      </c>
      <c r="K1043" t="e">
        <f>IF(Dashboard!$R$4="All",Data!G1594,IF(Data!K1594=Dashboard!$R$4,Data!G1594,NA()))</f>
        <v>#N/A</v>
      </c>
      <c r="L1043" t="str">
        <f t="shared" si="148"/>
        <v/>
      </c>
      <c r="M1043" t="str">
        <f t="shared" si="149"/>
        <v/>
      </c>
      <c r="N1043" t="str">
        <f t="shared" si="150"/>
        <v/>
      </c>
      <c r="O1043" t="str">
        <f>IF(L1043&lt;&gt;"",Data!$M1594,"")</f>
        <v/>
      </c>
      <c r="T1043">
        <f>IF(OR(Dashboard!$P$4="All",Dashboard!$R$4="All"),NA(),IF(OR(Data!K1594&lt;&gt;Dashboard!$P$4,Data!K1594&lt;&gt;Dashboard!$R$4),Data!G1594,NA()))</f>
        <v>12109.383347460946</v>
      </c>
      <c r="U1043"/>
    </row>
    <row r="1044" spans="2:21">
      <c r="B1044" t="e">
        <f>IF(Dashboard!$P$4="All",Data!G1595,IF(Data!K1595=Dashboard!$P$4,Data!G1595,NA()))</f>
        <v>#N/A</v>
      </c>
      <c r="C1044" t="str">
        <f t="shared" si="145"/>
        <v/>
      </c>
      <c r="D1044" t="str">
        <f t="shared" si="146"/>
        <v/>
      </c>
      <c r="E1044" t="str">
        <f t="shared" si="147"/>
        <v/>
      </c>
      <c r="F1044" t="str">
        <f>IF(C1044&lt;&gt;"",Data!$M1595,"")</f>
        <v/>
      </c>
      <c r="K1044" t="e">
        <f>IF(Dashboard!$R$4="All",Data!G1595,IF(Data!K1595=Dashboard!$R$4,Data!G1595,NA()))</f>
        <v>#N/A</v>
      </c>
      <c r="L1044" t="str">
        <f t="shared" si="148"/>
        <v/>
      </c>
      <c r="M1044" t="str">
        <f t="shared" si="149"/>
        <v/>
      </c>
      <c r="N1044" t="str">
        <f t="shared" si="150"/>
        <v/>
      </c>
      <c r="O1044" t="str">
        <f>IF(L1044&lt;&gt;"",Data!$M1595,"")</f>
        <v/>
      </c>
      <c r="T1044">
        <f>IF(OR(Dashboard!$P$4="All",Dashboard!$R$4="All"),NA(),IF(OR(Data!K1595&lt;&gt;Dashboard!$P$4,Data!K1595&lt;&gt;Dashboard!$R$4),Data!G1595,NA()))</f>
        <v>55000</v>
      </c>
      <c r="U1044"/>
    </row>
    <row r="1045" spans="2:21">
      <c r="B1045" t="e">
        <f>IF(Dashboard!$P$4="All",Data!G1596,IF(Data!K1596=Dashboard!$P$4,Data!G1596,NA()))</f>
        <v>#N/A</v>
      </c>
      <c r="C1045" t="str">
        <f t="shared" si="145"/>
        <v/>
      </c>
      <c r="D1045" t="str">
        <f t="shared" si="146"/>
        <v/>
      </c>
      <c r="E1045" t="str">
        <f t="shared" si="147"/>
        <v/>
      </c>
      <c r="F1045" t="str">
        <f>IF(C1045&lt;&gt;"",Data!$M1596,"")</f>
        <v/>
      </c>
      <c r="K1045" t="e">
        <f>IF(Dashboard!$R$4="All",Data!G1596,IF(Data!K1596=Dashboard!$R$4,Data!G1596,NA()))</f>
        <v>#N/A</v>
      </c>
      <c r="L1045" t="str">
        <f t="shared" si="148"/>
        <v/>
      </c>
      <c r="M1045" t="str">
        <f t="shared" si="149"/>
        <v/>
      </c>
      <c r="N1045" t="str">
        <f t="shared" si="150"/>
        <v/>
      </c>
      <c r="O1045" t="str">
        <f>IF(L1045&lt;&gt;"",Data!$M1596,"")</f>
        <v/>
      </c>
      <c r="T1045">
        <f>IF(OR(Dashboard!$P$4="All",Dashboard!$R$4="All"),NA(),IF(OR(Data!K1596&lt;&gt;Dashboard!$P$4,Data!K1596&lt;&gt;Dashboard!$R$4),Data!G1596,NA()))</f>
        <v>60000</v>
      </c>
      <c r="U1045"/>
    </row>
    <row r="1046" spans="2:21">
      <c r="B1046" t="e">
        <f>IF(Dashboard!$P$4="All",Data!G1597,IF(Data!K1597=Dashboard!$P$4,Data!G1597,NA()))</f>
        <v>#N/A</v>
      </c>
      <c r="C1046" t="str">
        <f t="shared" si="145"/>
        <v/>
      </c>
      <c r="D1046" t="str">
        <f t="shared" si="146"/>
        <v/>
      </c>
      <c r="E1046" t="str">
        <f t="shared" si="147"/>
        <v/>
      </c>
      <c r="F1046" t="str">
        <f>IF(C1046&lt;&gt;"",Data!$M1597,"")</f>
        <v/>
      </c>
      <c r="K1046" t="e">
        <f>IF(Dashboard!$R$4="All",Data!G1597,IF(Data!K1597=Dashboard!$R$4,Data!G1597,NA()))</f>
        <v>#N/A</v>
      </c>
      <c r="L1046" t="str">
        <f t="shared" si="148"/>
        <v/>
      </c>
      <c r="M1046" t="str">
        <f t="shared" si="149"/>
        <v/>
      </c>
      <c r="N1046" t="str">
        <f t="shared" si="150"/>
        <v/>
      </c>
      <c r="O1046" t="str">
        <f>IF(L1046&lt;&gt;"",Data!$M1597,"")</f>
        <v/>
      </c>
      <c r="T1046">
        <f>IF(OR(Dashboard!$P$4="All",Dashboard!$R$4="All"),NA(),IF(OR(Data!K1597&lt;&gt;Dashboard!$P$4,Data!K1597&lt;&gt;Dashboard!$R$4),Data!G1597,NA()))</f>
        <v>5698.5333399816218</v>
      </c>
      <c r="U1046"/>
    </row>
    <row r="1047" spans="2:21">
      <c r="B1047" t="e">
        <f>IF(Dashboard!$P$4="All",Data!G1598,IF(Data!K1598=Dashboard!$P$4,Data!G1598,NA()))</f>
        <v>#N/A</v>
      </c>
      <c r="C1047" t="str">
        <f t="shared" si="145"/>
        <v/>
      </c>
      <c r="D1047" t="str">
        <f t="shared" si="146"/>
        <v/>
      </c>
      <c r="E1047" t="str">
        <f t="shared" si="147"/>
        <v/>
      </c>
      <c r="F1047" t="str">
        <f>IF(C1047&lt;&gt;"",Data!$M1598,"")</f>
        <v/>
      </c>
      <c r="K1047" t="e">
        <f>IF(Dashboard!$R$4="All",Data!G1598,IF(Data!K1598=Dashboard!$R$4,Data!G1598,NA()))</f>
        <v>#N/A</v>
      </c>
      <c r="L1047" t="str">
        <f t="shared" si="148"/>
        <v/>
      </c>
      <c r="M1047" t="str">
        <f t="shared" si="149"/>
        <v/>
      </c>
      <c r="N1047" t="str">
        <f t="shared" si="150"/>
        <v/>
      </c>
      <c r="O1047" t="str">
        <f>IF(L1047&lt;&gt;"",Data!$M1598,"")</f>
        <v/>
      </c>
      <c r="T1047">
        <f>IF(OR(Dashboard!$P$4="All",Dashboard!$R$4="All"),NA(),IF(OR(Data!K1598&lt;&gt;Dashboard!$P$4,Data!K1598&lt;&gt;Dashboard!$R$4),Data!G1598,NA()))</f>
        <v>9376.2513877177607</v>
      </c>
      <c r="U1047"/>
    </row>
    <row r="1048" spans="2:21">
      <c r="B1048" t="e">
        <f>IF(Dashboard!$P$4="All",Data!G1599,IF(Data!K1599=Dashboard!$P$4,Data!G1599,NA()))</f>
        <v>#N/A</v>
      </c>
      <c r="C1048" t="str">
        <f t="shared" si="145"/>
        <v/>
      </c>
      <c r="D1048" t="str">
        <f t="shared" si="146"/>
        <v/>
      </c>
      <c r="E1048" t="str">
        <f t="shared" si="147"/>
        <v/>
      </c>
      <c r="F1048" t="str">
        <f>IF(C1048&lt;&gt;"",Data!$M1599,"")</f>
        <v/>
      </c>
      <c r="K1048">
        <f>IF(Dashboard!$R$4="All",Data!G1599,IF(Data!K1599=Dashboard!$R$4,Data!G1599,NA()))</f>
        <v>94570.696324037053</v>
      </c>
      <c r="L1048">
        <f t="shared" si="148"/>
        <v>94570.696324037053</v>
      </c>
      <c r="M1048" t="str">
        <f t="shared" si="149"/>
        <v/>
      </c>
      <c r="N1048" t="str">
        <f t="shared" si="150"/>
        <v/>
      </c>
      <c r="O1048">
        <f>IF(L1048&lt;&gt;"",Data!$M1599,"")</f>
        <v>5</v>
      </c>
      <c r="T1048">
        <f>IF(OR(Dashboard!$P$4="All",Dashboard!$R$4="All"),NA(),IF(OR(Data!K1599&lt;&gt;Dashboard!$P$4,Data!K1599&lt;&gt;Dashboard!$R$4),Data!G1599,NA()))</f>
        <v>94570.696324037053</v>
      </c>
      <c r="U1048"/>
    </row>
    <row r="1049" spans="2:21">
      <c r="B1049" t="e">
        <f>IF(Dashboard!$P$4="All",Data!G1600,IF(Data!K1600=Dashboard!$P$4,Data!G1600,NA()))</f>
        <v>#N/A</v>
      </c>
      <c r="C1049" t="str">
        <f t="shared" si="145"/>
        <v/>
      </c>
      <c r="D1049" t="str">
        <f t="shared" si="146"/>
        <v/>
      </c>
      <c r="E1049" t="str">
        <f t="shared" si="147"/>
        <v/>
      </c>
      <c r="F1049" t="str">
        <f>IF(C1049&lt;&gt;"",Data!$M1600,"")</f>
        <v/>
      </c>
      <c r="K1049" t="e">
        <f>IF(Dashboard!$R$4="All",Data!G1600,IF(Data!K1600=Dashboard!$R$4,Data!G1600,NA()))</f>
        <v>#N/A</v>
      </c>
      <c r="L1049" t="str">
        <f t="shared" si="148"/>
        <v/>
      </c>
      <c r="M1049" t="str">
        <f t="shared" si="149"/>
        <v/>
      </c>
      <c r="N1049" t="str">
        <f t="shared" si="150"/>
        <v/>
      </c>
      <c r="O1049" t="str">
        <f>IF(L1049&lt;&gt;"",Data!$M1600,"")</f>
        <v/>
      </c>
      <c r="T1049">
        <f>IF(OR(Dashboard!$P$4="All",Dashboard!$R$4="All"),NA(),IF(OR(Data!K1600&lt;&gt;Dashboard!$P$4,Data!K1600&lt;&gt;Dashboard!$R$4),Data!G1600,NA()))</f>
        <v>36000</v>
      </c>
      <c r="U1049"/>
    </row>
    <row r="1050" spans="2:21">
      <c r="B1050" t="e">
        <f>IF(Dashboard!$P$4="All",Data!G1601,IF(Data!K1601=Dashboard!$P$4,Data!G1601,NA()))</f>
        <v>#N/A</v>
      </c>
      <c r="C1050" t="str">
        <f t="shared" si="145"/>
        <v/>
      </c>
      <c r="D1050" t="str">
        <f t="shared" si="146"/>
        <v/>
      </c>
      <c r="E1050" t="str">
        <f t="shared" si="147"/>
        <v/>
      </c>
      <c r="F1050" t="str">
        <f>IF(C1050&lt;&gt;"",Data!$M1601,"")</f>
        <v/>
      </c>
      <c r="K1050" t="e">
        <f>IF(Dashboard!$R$4="All",Data!G1601,IF(Data!K1601=Dashboard!$R$4,Data!G1601,NA()))</f>
        <v>#N/A</v>
      </c>
      <c r="L1050" t="str">
        <f t="shared" si="148"/>
        <v/>
      </c>
      <c r="M1050" t="str">
        <f t="shared" si="149"/>
        <v/>
      </c>
      <c r="N1050" t="str">
        <f t="shared" si="150"/>
        <v/>
      </c>
      <c r="O1050" t="str">
        <f>IF(L1050&lt;&gt;"",Data!$M1601,"")</f>
        <v/>
      </c>
      <c r="T1050">
        <f>IF(OR(Dashboard!$P$4="All",Dashboard!$R$4="All"),NA(),IF(OR(Data!K1601&lt;&gt;Dashboard!$P$4,Data!K1601&lt;&gt;Dashboard!$R$4),Data!G1601,NA()))</f>
        <v>65889.291743537498</v>
      </c>
      <c r="U1050"/>
    </row>
    <row r="1051" spans="2:21">
      <c r="B1051" t="e">
        <f>IF(Dashboard!$P$4="All",Data!G1602,IF(Data!K1602=Dashboard!$P$4,Data!G1602,NA()))</f>
        <v>#N/A</v>
      </c>
      <c r="C1051" t="str">
        <f t="shared" si="145"/>
        <v/>
      </c>
      <c r="D1051" t="str">
        <f t="shared" si="146"/>
        <v/>
      </c>
      <c r="E1051" t="str">
        <f t="shared" si="147"/>
        <v/>
      </c>
      <c r="F1051" t="str">
        <f>IF(C1051&lt;&gt;"",Data!$M1602,"")</f>
        <v/>
      </c>
      <c r="K1051" t="e">
        <f>IF(Dashboard!$R$4="All",Data!G1602,IF(Data!K1602=Dashboard!$R$4,Data!G1602,NA()))</f>
        <v>#N/A</v>
      </c>
      <c r="L1051" t="str">
        <f t="shared" si="148"/>
        <v/>
      </c>
      <c r="M1051" t="str">
        <f t="shared" si="149"/>
        <v/>
      </c>
      <c r="N1051" t="str">
        <f t="shared" si="150"/>
        <v/>
      </c>
      <c r="O1051" t="str">
        <f>IF(L1051&lt;&gt;"",Data!$M1602,"")</f>
        <v/>
      </c>
      <c r="T1051">
        <f>IF(OR(Dashboard!$P$4="All",Dashboard!$R$4="All"),NA(),IF(OR(Data!K1602&lt;&gt;Dashboard!$P$4,Data!K1602&lt;&gt;Dashboard!$R$4),Data!G1602,NA()))</f>
        <v>106000</v>
      </c>
      <c r="U1051"/>
    </row>
    <row r="1052" spans="2:21">
      <c r="B1052" t="e">
        <f>IF(Dashboard!$P$4="All",Data!G1603,IF(Data!K1603=Dashboard!$P$4,Data!G1603,NA()))</f>
        <v>#N/A</v>
      </c>
      <c r="C1052" t="str">
        <f t="shared" si="145"/>
        <v/>
      </c>
      <c r="D1052" t="str">
        <f t="shared" si="146"/>
        <v/>
      </c>
      <c r="E1052" t="str">
        <f t="shared" si="147"/>
        <v/>
      </c>
      <c r="F1052" t="str">
        <f>IF(C1052&lt;&gt;"",Data!$M1603,"")</f>
        <v/>
      </c>
      <c r="K1052" t="e">
        <f>IF(Dashboard!$R$4="All",Data!G1603,IF(Data!K1603=Dashboard!$R$4,Data!G1603,NA()))</f>
        <v>#N/A</v>
      </c>
      <c r="L1052" t="str">
        <f t="shared" si="148"/>
        <v/>
      </c>
      <c r="M1052" t="str">
        <f t="shared" si="149"/>
        <v/>
      </c>
      <c r="N1052" t="str">
        <f t="shared" si="150"/>
        <v/>
      </c>
      <c r="O1052" t="str">
        <f>IF(L1052&lt;&gt;"",Data!$M1603,"")</f>
        <v/>
      </c>
      <c r="T1052">
        <f>IF(OR(Dashboard!$P$4="All",Dashboard!$R$4="All"),NA(),IF(OR(Data!K1603&lt;&gt;Dashboard!$P$4,Data!K1603&lt;&gt;Dashboard!$R$4),Data!G1603,NA()))</f>
        <v>82888.5550559455</v>
      </c>
      <c r="U1052"/>
    </row>
    <row r="1053" spans="2:21">
      <c r="B1053" t="e">
        <f>IF(Dashboard!$P$4="All",Data!G1604,IF(Data!K1604=Dashboard!$P$4,Data!G1604,NA()))</f>
        <v>#N/A</v>
      </c>
      <c r="C1053" t="str">
        <f t="shared" si="145"/>
        <v/>
      </c>
      <c r="D1053" t="str">
        <f t="shared" si="146"/>
        <v/>
      </c>
      <c r="E1053" t="str">
        <f t="shared" si="147"/>
        <v/>
      </c>
      <c r="F1053" t="str">
        <f>IF(C1053&lt;&gt;"",Data!$M1604,"")</f>
        <v/>
      </c>
      <c r="K1053" t="e">
        <f>IF(Dashboard!$R$4="All",Data!G1604,IF(Data!K1604=Dashboard!$R$4,Data!G1604,NA()))</f>
        <v>#N/A</v>
      </c>
      <c r="L1053" t="str">
        <f t="shared" si="148"/>
        <v/>
      </c>
      <c r="M1053" t="str">
        <f t="shared" si="149"/>
        <v/>
      </c>
      <c r="N1053" t="str">
        <f t="shared" si="150"/>
        <v/>
      </c>
      <c r="O1053" t="str">
        <f>IF(L1053&lt;&gt;"",Data!$M1604,"")</f>
        <v/>
      </c>
      <c r="T1053">
        <f>IF(OR(Dashboard!$P$4="All",Dashboard!$R$4="All"),NA(),IF(OR(Data!K1604&lt;&gt;Dashboard!$P$4,Data!K1604&lt;&gt;Dashboard!$R$4),Data!G1604,NA()))</f>
        <v>59819.107020370408</v>
      </c>
      <c r="U1053"/>
    </row>
    <row r="1054" spans="2:21">
      <c r="B1054" t="e">
        <f>IF(Dashboard!$P$4="All",Data!G1605,IF(Data!K1605=Dashboard!$P$4,Data!G1605,NA()))</f>
        <v>#N/A</v>
      </c>
      <c r="C1054" t="str">
        <f t="shared" si="145"/>
        <v/>
      </c>
      <c r="D1054" t="str">
        <f t="shared" si="146"/>
        <v/>
      </c>
      <c r="E1054" t="str">
        <f t="shared" si="147"/>
        <v/>
      </c>
      <c r="F1054" t="str">
        <f>IF(C1054&lt;&gt;"",Data!$M1605,"")</f>
        <v/>
      </c>
      <c r="K1054" t="e">
        <f>IF(Dashboard!$R$4="All",Data!G1605,IF(Data!K1605=Dashboard!$R$4,Data!G1605,NA()))</f>
        <v>#N/A</v>
      </c>
      <c r="L1054" t="str">
        <f t="shared" si="148"/>
        <v/>
      </c>
      <c r="M1054" t="str">
        <f t="shared" si="149"/>
        <v/>
      </c>
      <c r="N1054" t="str">
        <f t="shared" si="150"/>
        <v/>
      </c>
      <c r="O1054" t="str">
        <f>IF(L1054&lt;&gt;"",Data!$M1605,"")</f>
        <v/>
      </c>
      <c r="T1054">
        <f>IF(OR(Dashboard!$P$4="All",Dashboard!$R$4="All"),NA(),IF(OR(Data!K1605&lt;&gt;Dashboard!$P$4,Data!K1605&lt;&gt;Dashboard!$R$4),Data!G1605,NA()))</f>
        <v>6545</v>
      </c>
      <c r="U1054"/>
    </row>
    <row r="1055" spans="2:21">
      <c r="B1055" t="e">
        <f>IF(Dashboard!$P$4="All",Data!G1606,IF(Data!K1606=Dashboard!$P$4,Data!G1606,NA()))</f>
        <v>#N/A</v>
      </c>
      <c r="C1055" t="str">
        <f t="shared" si="145"/>
        <v/>
      </c>
      <c r="D1055" t="str">
        <f t="shared" si="146"/>
        <v/>
      </c>
      <c r="E1055" t="str">
        <f t="shared" si="147"/>
        <v/>
      </c>
      <c r="F1055" t="str">
        <f>IF(C1055&lt;&gt;"",Data!$M1606,"")</f>
        <v/>
      </c>
      <c r="K1055" t="e">
        <f>IF(Dashboard!$R$4="All",Data!G1606,IF(Data!K1606=Dashboard!$R$4,Data!G1606,NA()))</f>
        <v>#N/A</v>
      </c>
      <c r="L1055" t="str">
        <f t="shared" si="148"/>
        <v/>
      </c>
      <c r="M1055" t="str">
        <f t="shared" si="149"/>
        <v/>
      </c>
      <c r="N1055" t="str">
        <f t="shared" si="150"/>
        <v/>
      </c>
      <c r="O1055" t="str">
        <f>IF(L1055&lt;&gt;"",Data!$M1606,"")</f>
        <v/>
      </c>
      <c r="T1055">
        <f>IF(OR(Dashboard!$P$4="All",Dashboard!$R$4="All"),NA(),IF(OR(Data!K1606&lt;&gt;Dashboard!$P$4,Data!K1606&lt;&gt;Dashboard!$R$4),Data!G1606,NA()))</f>
        <v>17807.916687442568</v>
      </c>
      <c r="U1055"/>
    </row>
    <row r="1056" spans="2:21">
      <c r="B1056" t="e">
        <f>IF(Dashboard!$P$4="All",Data!G1607,IF(Data!K1607=Dashboard!$P$4,Data!G1607,NA()))</f>
        <v>#N/A</v>
      </c>
      <c r="C1056" t="str">
        <f t="shared" si="145"/>
        <v/>
      </c>
      <c r="D1056" t="str">
        <f t="shared" si="146"/>
        <v/>
      </c>
      <c r="E1056" t="str">
        <f t="shared" si="147"/>
        <v/>
      </c>
      <c r="F1056" t="str">
        <f>IF(C1056&lt;&gt;"",Data!$M1607,"")</f>
        <v/>
      </c>
      <c r="K1056" t="e">
        <f>IF(Dashboard!$R$4="All",Data!G1607,IF(Data!K1607=Dashboard!$R$4,Data!G1607,NA()))</f>
        <v>#N/A</v>
      </c>
      <c r="L1056" t="str">
        <f t="shared" si="148"/>
        <v/>
      </c>
      <c r="M1056" t="str">
        <f t="shared" si="149"/>
        <v/>
      </c>
      <c r="N1056" t="str">
        <f t="shared" si="150"/>
        <v/>
      </c>
      <c r="O1056" t="str">
        <f>IF(L1056&lt;&gt;"",Data!$M1607,"")</f>
        <v/>
      </c>
      <c r="T1056">
        <f>IF(OR(Dashboard!$P$4="All",Dashboard!$R$4="All"),NA(),IF(OR(Data!K1607&lt;&gt;Dashboard!$P$4,Data!K1607&lt;&gt;Dashboard!$R$4),Data!G1607,NA()))</f>
        <v>54000</v>
      </c>
      <c r="U1056"/>
    </row>
    <row r="1057" spans="2:21">
      <c r="B1057" t="e">
        <f>IF(Dashboard!$P$4="All",Data!G1608,IF(Data!K1608=Dashboard!$P$4,Data!G1608,NA()))</f>
        <v>#N/A</v>
      </c>
      <c r="C1057" t="str">
        <f t="shared" si="145"/>
        <v/>
      </c>
      <c r="D1057" t="str">
        <f t="shared" si="146"/>
        <v/>
      </c>
      <c r="E1057" t="str">
        <f t="shared" si="147"/>
        <v/>
      </c>
      <c r="F1057" t="str">
        <f>IF(C1057&lt;&gt;"",Data!$M1608,"")</f>
        <v/>
      </c>
      <c r="K1057" t="e">
        <f>IF(Dashboard!$R$4="All",Data!G1608,IF(Data!K1608=Dashboard!$R$4,Data!G1608,NA()))</f>
        <v>#N/A</v>
      </c>
      <c r="L1057" t="str">
        <f t="shared" si="148"/>
        <v/>
      </c>
      <c r="M1057" t="str">
        <f t="shared" si="149"/>
        <v/>
      </c>
      <c r="N1057" t="str">
        <f t="shared" si="150"/>
        <v/>
      </c>
      <c r="O1057" t="str">
        <f>IF(L1057&lt;&gt;"",Data!$M1608,"")</f>
        <v/>
      </c>
      <c r="T1057">
        <f>IF(OR(Dashboard!$P$4="All",Dashboard!$R$4="All"),NA(),IF(OR(Data!K1608&lt;&gt;Dashboard!$P$4,Data!K1608&lt;&gt;Dashboard!$R$4),Data!G1608,NA()))</f>
        <v>100000</v>
      </c>
      <c r="U1057"/>
    </row>
    <row r="1058" spans="2:21">
      <c r="B1058" t="e">
        <f>IF(Dashboard!$P$4="All",Data!G1609,IF(Data!K1609=Dashboard!$P$4,Data!G1609,NA()))</f>
        <v>#N/A</v>
      </c>
      <c r="C1058" t="str">
        <f t="shared" si="145"/>
        <v/>
      </c>
      <c r="D1058" t="str">
        <f t="shared" si="146"/>
        <v/>
      </c>
      <c r="E1058" t="str">
        <f t="shared" si="147"/>
        <v/>
      </c>
      <c r="F1058" t="str">
        <f>IF(C1058&lt;&gt;"",Data!$M1609,"")</f>
        <v/>
      </c>
      <c r="K1058" t="e">
        <f>IF(Dashboard!$R$4="All",Data!G1609,IF(Data!K1609=Dashboard!$R$4,Data!G1609,NA()))</f>
        <v>#N/A</v>
      </c>
      <c r="L1058" t="str">
        <f t="shared" si="148"/>
        <v/>
      </c>
      <c r="M1058" t="str">
        <f t="shared" si="149"/>
        <v/>
      </c>
      <c r="N1058" t="str">
        <f t="shared" si="150"/>
        <v/>
      </c>
      <c r="O1058" t="str">
        <f>IF(L1058&lt;&gt;"",Data!$M1609,"")</f>
        <v/>
      </c>
      <c r="T1058">
        <f>IF(OR(Dashboard!$P$4="All",Dashboard!$R$4="All"),NA(),IF(OR(Data!K1609&lt;&gt;Dashboard!$P$4,Data!K1609&lt;&gt;Dashboard!$R$4),Data!G1609,NA()))</f>
        <v>49168.076151516347</v>
      </c>
      <c r="U1058"/>
    </row>
    <row r="1059" spans="2:21">
      <c r="B1059" t="e">
        <f>IF(Dashboard!$P$4="All",Data!G1610,IF(Data!K1610=Dashboard!$P$4,Data!G1610,NA()))</f>
        <v>#N/A</v>
      </c>
      <c r="C1059" t="str">
        <f t="shared" si="145"/>
        <v/>
      </c>
      <c r="D1059" t="str">
        <f t="shared" si="146"/>
        <v/>
      </c>
      <c r="E1059" t="str">
        <f t="shared" si="147"/>
        <v/>
      </c>
      <c r="F1059" t="str">
        <f>IF(C1059&lt;&gt;"",Data!$M1610,"")</f>
        <v/>
      </c>
      <c r="K1059" t="e">
        <f>IF(Dashboard!$R$4="All",Data!G1610,IF(Data!K1610=Dashboard!$R$4,Data!G1610,NA()))</f>
        <v>#N/A</v>
      </c>
      <c r="L1059" t="str">
        <f t="shared" si="148"/>
        <v/>
      </c>
      <c r="M1059" t="str">
        <f t="shared" si="149"/>
        <v/>
      </c>
      <c r="N1059" t="str">
        <f t="shared" si="150"/>
        <v/>
      </c>
      <c r="O1059" t="str">
        <f>IF(L1059&lt;&gt;"",Data!$M1610,"")</f>
        <v/>
      </c>
      <c r="T1059">
        <f>IF(OR(Dashboard!$P$4="All",Dashboard!$R$4="All"),NA(),IF(OR(Data!K1610&lt;&gt;Dashboard!$P$4,Data!K1610&lt;&gt;Dashboard!$R$4),Data!G1610,NA()))</f>
        <v>4019</v>
      </c>
      <c r="U1059"/>
    </row>
    <row r="1060" spans="2:21">
      <c r="B1060" t="e">
        <f>IF(Dashboard!$P$4="All",Data!G1611,IF(Data!K1611=Dashboard!$P$4,Data!G1611,NA()))</f>
        <v>#N/A</v>
      </c>
      <c r="C1060" t="str">
        <f t="shared" si="145"/>
        <v/>
      </c>
      <c r="D1060" t="str">
        <f t="shared" si="146"/>
        <v/>
      </c>
      <c r="E1060" t="str">
        <f t="shared" si="147"/>
        <v/>
      </c>
      <c r="F1060" t="str">
        <f>IF(C1060&lt;&gt;"",Data!$M1611,"")</f>
        <v/>
      </c>
      <c r="K1060" t="e">
        <f>IF(Dashboard!$R$4="All",Data!G1611,IF(Data!K1611=Dashboard!$R$4,Data!G1611,NA()))</f>
        <v>#N/A</v>
      </c>
      <c r="L1060" t="str">
        <f t="shared" si="148"/>
        <v/>
      </c>
      <c r="M1060" t="str">
        <f t="shared" si="149"/>
        <v/>
      </c>
      <c r="N1060" t="str">
        <f t="shared" si="150"/>
        <v/>
      </c>
      <c r="O1060" t="str">
        <f>IF(L1060&lt;&gt;"",Data!$M1611,"")</f>
        <v/>
      </c>
      <c r="T1060">
        <f>IF(OR(Dashboard!$P$4="All",Dashboard!$R$4="All"),NA(),IF(OR(Data!K1611&lt;&gt;Dashboard!$P$4,Data!K1611&lt;&gt;Dashboard!$R$4),Data!G1611,NA()))</f>
        <v>15000</v>
      </c>
      <c r="U1060"/>
    </row>
    <row r="1061" spans="2:21">
      <c r="B1061" t="e">
        <f>IF(Dashboard!$P$4="All",Data!G1612,IF(Data!K1612=Dashboard!$P$4,Data!G1612,NA()))</f>
        <v>#N/A</v>
      </c>
      <c r="C1061" t="str">
        <f t="shared" si="145"/>
        <v/>
      </c>
      <c r="D1061" t="str">
        <f t="shared" si="146"/>
        <v/>
      </c>
      <c r="E1061" t="str">
        <f t="shared" si="147"/>
        <v/>
      </c>
      <c r="F1061" t="str">
        <f>IF(C1061&lt;&gt;"",Data!$M1612,"")</f>
        <v/>
      </c>
      <c r="K1061" t="e">
        <f>IF(Dashboard!$R$4="All",Data!G1612,IF(Data!K1612=Dashboard!$R$4,Data!G1612,NA()))</f>
        <v>#N/A</v>
      </c>
      <c r="L1061" t="str">
        <f t="shared" si="148"/>
        <v/>
      </c>
      <c r="M1061" t="str">
        <f t="shared" si="149"/>
        <v/>
      </c>
      <c r="N1061" t="str">
        <f t="shared" si="150"/>
        <v/>
      </c>
      <c r="O1061" t="str">
        <f>IF(L1061&lt;&gt;"",Data!$M1612,"")</f>
        <v/>
      </c>
      <c r="T1061">
        <f>IF(OR(Dashboard!$P$4="All",Dashboard!$R$4="All"),NA(),IF(OR(Data!K1612&lt;&gt;Dashboard!$P$4,Data!K1612&lt;&gt;Dashboard!$R$4),Data!G1612,NA()))</f>
        <v>17807.916687442568</v>
      </c>
      <c r="U1061"/>
    </row>
    <row r="1062" spans="2:21">
      <c r="B1062" t="e">
        <f>IF(Dashboard!$P$4="All",Data!G1613,IF(Data!K1613=Dashboard!$P$4,Data!G1613,NA()))</f>
        <v>#N/A</v>
      </c>
      <c r="C1062" t="str">
        <f t="shared" si="145"/>
        <v/>
      </c>
      <c r="D1062" t="str">
        <f t="shared" si="146"/>
        <v/>
      </c>
      <c r="E1062" t="str">
        <f t="shared" si="147"/>
        <v/>
      </c>
      <c r="F1062" t="str">
        <f>IF(C1062&lt;&gt;"",Data!$M1613,"")</f>
        <v/>
      </c>
      <c r="K1062" t="e">
        <f>IF(Dashboard!$R$4="All",Data!G1613,IF(Data!K1613=Dashboard!$R$4,Data!G1613,NA()))</f>
        <v>#N/A</v>
      </c>
      <c r="L1062" t="str">
        <f t="shared" si="148"/>
        <v/>
      </c>
      <c r="M1062" t="str">
        <f t="shared" si="149"/>
        <v/>
      </c>
      <c r="N1062" t="str">
        <f t="shared" si="150"/>
        <v/>
      </c>
      <c r="O1062" t="str">
        <f>IF(L1062&lt;&gt;"",Data!$M1613,"")</f>
        <v/>
      </c>
      <c r="T1062">
        <f>IF(OR(Dashboard!$P$4="All",Dashboard!$R$4="All"),NA(),IF(OR(Data!K1613&lt;&gt;Dashboard!$P$4,Data!K1613&lt;&gt;Dashboard!$R$4),Data!G1613,NA()))</f>
        <v>12000</v>
      </c>
      <c r="U1062"/>
    </row>
    <row r="1063" spans="2:21">
      <c r="B1063" t="e">
        <f>IF(Dashboard!$P$4="All",Data!G1614,IF(Data!K1614=Dashboard!$P$4,Data!G1614,NA()))</f>
        <v>#N/A</v>
      </c>
      <c r="C1063" t="str">
        <f t="shared" si="145"/>
        <v/>
      </c>
      <c r="D1063" t="str">
        <f t="shared" si="146"/>
        <v/>
      </c>
      <c r="E1063" t="str">
        <f t="shared" si="147"/>
        <v/>
      </c>
      <c r="F1063" t="str">
        <f>IF(C1063&lt;&gt;"",Data!$M1614,"")</f>
        <v/>
      </c>
      <c r="K1063" t="e">
        <f>IF(Dashboard!$R$4="All",Data!G1614,IF(Data!K1614=Dashboard!$R$4,Data!G1614,NA()))</f>
        <v>#N/A</v>
      </c>
      <c r="L1063" t="str">
        <f t="shared" si="148"/>
        <v/>
      </c>
      <c r="M1063" t="str">
        <f t="shared" si="149"/>
        <v/>
      </c>
      <c r="N1063" t="str">
        <f t="shared" si="150"/>
        <v/>
      </c>
      <c r="O1063" t="str">
        <f>IF(L1063&lt;&gt;"",Data!$M1614,"")</f>
        <v/>
      </c>
      <c r="T1063">
        <f>IF(OR(Dashboard!$P$4="All",Dashboard!$R$4="All"),NA(),IF(OR(Data!K1614&lt;&gt;Dashboard!$P$4,Data!K1614&lt;&gt;Dashboard!$R$4),Data!G1614,NA()))</f>
        <v>2225.989585930321</v>
      </c>
      <c r="U1063"/>
    </row>
    <row r="1064" spans="2:21">
      <c r="B1064" t="e">
        <f>IF(Dashboard!$P$4="All",Data!G1615,IF(Data!K1615=Dashboard!$P$4,Data!G1615,NA()))</f>
        <v>#N/A</v>
      </c>
      <c r="C1064" t="str">
        <f t="shared" si="145"/>
        <v/>
      </c>
      <c r="D1064" t="str">
        <f t="shared" si="146"/>
        <v/>
      </c>
      <c r="E1064" t="str">
        <f t="shared" si="147"/>
        <v/>
      </c>
      <c r="F1064" t="str">
        <f>IF(C1064&lt;&gt;"",Data!$M1615,"")</f>
        <v/>
      </c>
      <c r="K1064" t="e">
        <f>IF(Dashboard!$R$4="All",Data!G1615,IF(Data!K1615=Dashboard!$R$4,Data!G1615,NA()))</f>
        <v>#N/A</v>
      </c>
      <c r="L1064" t="str">
        <f t="shared" si="148"/>
        <v/>
      </c>
      <c r="M1064" t="str">
        <f t="shared" si="149"/>
        <v/>
      </c>
      <c r="N1064" t="str">
        <f t="shared" si="150"/>
        <v/>
      </c>
      <c r="O1064" t="str">
        <f>IF(L1064&lt;&gt;"",Data!$M1615,"")</f>
        <v/>
      </c>
      <c r="T1064">
        <f>IF(OR(Dashboard!$P$4="All",Dashboard!$R$4="All"),NA(),IF(OR(Data!K1615&lt;&gt;Dashboard!$P$4,Data!K1615&lt;&gt;Dashboard!$R$4),Data!G1615,NA()))</f>
        <v>86000</v>
      </c>
      <c r="U1064"/>
    </row>
    <row r="1065" spans="2:21">
      <c r="B1065" t="e">
        <f>IF(Dashboard!$P$4="All",Data!G1616,IF(Data!K1616=Dashboard!$P$4,Data!G1616,NA()))</f>
        <v>#N/A</v>
      </c>
      <c r="C1065" t="str">
        <f t="shared" si="145"/>
        <v/>
      </c>
      <c r="D1065" t="str">
        <f t="shared" si="146"/>
        <v/>
      </c>
      <c r="E1065" t="str">
        <f t="shared" si="147"/>
        <v/>
      </c>
      <c r="F1065" t="str">
        <f>IF(C1065&lt;&gt;"",Data!$M1616,"")</f>
        <v/>
      </c>
      <c r="K1065" t="e">
        <f>IF(Dashboard!$R$4="All",Data!G1616,IF(Data!K1616=Dashboard!$R$4,Data!G1616,NA()))</f>
        <v>#N/A</v>
      </c>
      <c r="L1065" t="str">
        <f t="shared" si="148"/>
        <v/>
      </c>
      <c r="M1065" t="str">
        <f t="shared" si="149"/>
        <v/>
      </c>
      <c r="N1065" t="str">
        <f t="shared" si="150"/>
        <v/>
      </c>
      <c r="O1065" t="str">
        <f>IF(L1065&lt;&gt;"",Data!$M1616,"")</f>
        <v/>
      </c>
      <c r="T1065">
        <f>IF(OR(Dashboard!$P$4="All",Dashboard!$R$4="All"),NA(),IF(OR(Data!K1616&lt;&gt;Dashboard!$P$4,Data!K1616&lt;&gt;Dashboard!$R$4),Data!G1616,NA()))</f>
        <v>6054.6916737304728</v>
      </c>
      <c r="U1065"/>
    </row>
    <row r="1066" spans="2:21">
      <c r="B1066" t="e">
        <f>IF(Dashboard!$P$4="All",Data!G1617,IF(Data!K1617=Dashboard!$P$4,Data!G1617,NA()))</f>
        <v>#N/A</v>
      </c>
      <c r="C1066" t="str">
        <f t="shared" si="145"/>
        <v/>
      </c>
      <c r="D1066" t="str">
        <f t="shared" si="146"/>
        <v/>
      </c>
      <c r="E1066" t="str">
        <f t="shared" si="147"/>
        <v/>
      </c>
      <c r="F1066" t="str">
        <f>IF(C1066&lt;&gt;"",Data!$M1617,"")</f>
        <v/>
      </c>
      <c r="K1066" t="e">
        <f>IF(Dashboard!$R$4="All",Data!G1617,IF(Data!K1617=Dashboard!$R$4,Data!G1617,NA()))</f>
        <v>#N/A</v>
      </c>
      <c r="L1066" t="str">
        <f t="shared" si="148"/>
        <v/>
      </c>
      <c r="M1066" t="str">
        <f t="shared" si="149"/>
        <v/>
      </c>
      <c r="N1066" t="str">
        <f t="shared" si="150"/>
        <v/>
      </c>
      <c r="O1066" t="str">
        <f>IF(L1066&lt;&gt;"",Data!$M1617,"")</f>
        <v/>
      </c>
      <c r="T1066">
        <f>IF(OR(Dashboard!$P$4="All",Dashboard!$R$4="All"),NA(),IF(OR(Data!K1617&lt;&gt;Dashboard!$P$4,Data!K1617&lt;&gt;Dashboard!$R$4),Data!G1617,NA()))</f>
        <v>3360</v>
      </c>
      <c r="U1066"/>
    </row>
    <row r="1067" spans="2:21">
      <c r="B1067" t="e">
        <f>IF(Dashboard!$P$4="All",Data!G1618,IF(Data!K1618=Dashboard!$P$4,Data!G1618,NA()))</f>
        <v>#N/A</v>
      </c>
      <c r="C1067" t="str">
        <f t="shared" si="145"/>
        <v/>
      </c>
      <c r="D1067" t="str">
        <f t="shared" si="146"/>
        <v/>
      </c>
      <c r="E1067" t="str">
        <f t="shared" si="147"/>
        <v/>
      </c>
      <c r="F1067" t="str">
        <f>IF(C1067&lt;&gt;"",Data!$M1618,"")</f>
        <v/>
      </c>
      <c r="K1067" t="e">
        <f>IF(Dashboard!$R$4="All",Data!G1618,IF(Data!K1618=Dashboard!$R$4,Data!G1618,NA()))</f>
        <v>#N/A</v>
      </c>
      <c r="L1067" t="str">
        <f t="shared" si="148"/>
        <v/>
      </c>
      <c r="M1067" t="str">
        <f t="shared" si="149"/>
        <v/>
      </c>
      <c r="N1067" t="str">
        <f t="shared" si="150"/>
        <v/>
      </c>
      <c r="O1067" t="str">
        <f>IF(L1067&lt;&gt;"",Data!$M1618,"")</f>
        <v/>
      </c>
      <c r="T1067">
        <f>IF(OR(Dashboard!$P$4="All",Dashboard!$R$4="All"),NA(),IF(OR(Data!K1618&lt;&gt;Dashboard!$P$4,Data!K1618&lt;&gt;Dashboard!$R$4),Data!G1618,NA()))</f>
        <v>10000</v>
      </c>
      <c r="U1067"/>
    </row>
    <row r="1068" spans="2:21">
      <c r="B1068" t="e">
        <f>IF(Dashboard!$P$4="All",Data!G1619,IF(Data!K1619=Dashboard!$P$4,Data!G1619,NA()))</f>
        <v>#N/A</v>
      </c>
      <c r="C1068" t="str">
        <f t="shared" si="145"/>
        <v/>
      </c>
      <c r="D1068" t="str">
        <f t="shared" si="146"/>
        <v/>
      </c>
      <c r="E1068" t="str">
        <f t="shared" si="147"/>
        <v/>
      </c>
      <c r="F1068" t="str">
        <f>IF(C1068&lt;&gt;"",Data!$M1619,"")</f>
        <v/>
      </c>
      <c r="K1068" t="e">
        <f>IF(Dashboard!$R$4="All",Data!G1619,IF(Data!K1619=Dashboard!$R$4,Data!G1619,NA()))</f>
        <v>#N/A</v>
      </c>
      <c r="L1068" t="str">
        <f t="shared" si="148"/>
        <v/>
      </c>
      <c r="M1068" t="str">
        <f t="shared" si="149"/>
        <v/>
      </c>
      <c r="N1068" t="str">
        <f t="shared" si="150"/>
        <v/>
      </c>
      <c r="O1068" t="str">
        <f>IF(L1068&lt;&gt;"",Data!$M1619,"")</f>
        <v/>
      </c>
      <c r="T1068">
        <f>IF(OR(Dashboard!$P$4="All",Dashboard!$R$4="All"),NA(),IF(OR(Data!K1619&lt;&gt;Dashboard!$P$4,Data!K1619&lt;&gt;Dashboard!$R$4),Data!G1619,NA()))</f>
        <v>70000</v>
      </c>
      <c r="U1068"/>
    </row>
    <row r="1069" spans="2:21">
      <c r="B1069" t="e">
        <f>IF(Dashboard!$P$4="All",Data!G1620,IF(Data!K1620=Dashboard!$P$4,Data!G1620,NA()))</f>
        <v>#N/A</v>
      </c>
      <c r="C1069" t="str">
        <f t="shared" si="145"/>
        <v/>
      </c>
      <c r="D1069" t="str">
        <f t="shared" si="146"/>
        <v/>
      </c>
      <c r="E1069" t="str">
        <f t="shared" si="147"/>
        <v/>
      </c>
      <c r="F1069" t="str">
        <f>IF(C1069&lt;&gt;"",Data!$M1620,"")</f>
        <v/>
      </c>
      <c r="K1069" t="e">
        <f>IF(Dashboard!$R$4="All",Data!G1620,IF(Data!K1620=Dashboard!$R$4,Data!G1620,NA()))</f>
        <v>#N/A</v>
      </c>
      <c r="L1069" t="str">
        <f t="shared" si="148"/>
        <v/>
      </c>
      <c r="M1069" t="str">
        <f t="shared" si="149"/>
        <v/>
      </c>
      <c r="N1069" t="str">
        <f t="shared" si="150"/>
        <v/>
      </c>
      <c r="O1069" t="str">
        <f>IF(L1069&lt;&gt;"",Data!$M1620,"")</f>
        <v/>
      </c>
      <c r="T1069">
        <f>IF(OR(Dashboard!$P$4="All",Dashboard!$R$4="All"),NA(),IF(OR(Data!K1620&lt;&gt;Dashboard!$P$4,Data!K1620&lt;&gt;Dashboard!$R$4),Data!G1620,NA()))</f>
        <v>155000</v>
      </c>
      <c r="U1069"/>
    </row>
    <row r="1070" spans="2:21">
      <c r="B1070" t="e">
        <f>IF(Dashboard!$P$4="All",Data!G1621,IF(Data!K1621=Dashboard!$P$4,Data!G1621,NA()))</f>
        <v>#N/A</v>
      </c>
      <c r="C1070" t="str">
        <f t="shared" si="145"/>
        <v/>
      </c>
      <c r="D1070" t="str">
        <f t="shared" si="146"/>
        <v/>
      </c>
      <c r="E1070" t="str">
        <f t="shared" si="147"/>
        <v/>
      </c>
      <c r="F1070" t="str">
        <f>IF(C1070&lt;&gt;"",Data!$M1621,"")</f>
        <v/>
      </c>
      <c r="K1070" t="e">
        <f>IF(Dashboard!$R$4="All",Data!G1621,IF(Data!K1621=Dashboard!$R$4,Data!G1621,NA()))</f>
        <v>#N/A</v>
      </c>
      <c r="L1070" t="str">
        <f t="shared" si="148"/>
        <v/>
      </c>
      <c r="M1070" t="str">
        <f t="shared" si="149"/>
        <v/>
      </c>
      <c r="N1070" t="str">
        <f t="shared" si="150"/>
        <v/>
      </c>
      <c r="O1070" t="str">
        <f>IF(L1070&lt;&gt;"",Data!$M1621,"")</f>
        <v/>
      </c>
      <c r="T1070">
        <f>IF(OR(Dashboard!$P$4="All",Dashboard!$R$4="All"),NA(),IF(OR(Data!K1621&lt;&gt;Dashboard!$P$4,Data!K1621&lt;&gt;Dashboard!$R$4),Data!G1621,NA()))</f>
        <v>225000</v>
      </c>
      <c r="U1070"/>
    </row>
    <row r="1071" spans="2:21">
      <c r="B1071" t="e">
        <f>IF(Dashboard!$P$4="All",Data!G1622,IF(Data!K1622=Dashboard!$P$4,Data!G1622,NA()))</f>
        <v>#N/A</v>
      </c>
      <c r="C1071" t="str">
        <f t="shared" si="145"/>
        <v/>
      </c>
      <c r="D1071" t="str">
        <f t="shared" si="146"/>
        <v/>
      </c>
      <c r="E1071" t="str">
        <f t="shared" si="147"/>
        <v/>
      </c>
      <c r="F1071" t="str">
        <f>IF(C1071&lt;&gt;"",Data!$M1622,"")</f>
        <v/>
      </c>
      <c r="K1071" t="e">
        <f>IF(Dashboard!$R$4="All",Data!G1622,IF(Data!K1622=Dashboard!$R$4,Data!G1622,NA()))</f>
        <v>#N/A</v>
      </c>
      <c r="L1071" t="str">
        <f t="shared" si="148"/>
        <v/>
      </c>
      <c r="M1071" t="str">
        <f t="shared" si="149"/>
        <v/>
      </c>
      <c r="N1071" t="str">
        <f t="shared" si="150"/>
        <v/>
      </c>
      <c r="O1071" t="str">
        <f>IF(L1071&lt;&gt;"",Data!$M1622,"")</f>
        <v/>
      </c>
      <c r="T1071">
        <f>IF(OR(Dashboard!$P$4="All",Dashboard!$R$4="All"),NA(),IF(OR(Data!K1622&lt;&gt;Dashboard!$P$4,Data!K1622&lt;&gt;Dashboard!$R$4),Data!G1622,NA()))</f>
        <v>10000</v>
      </c>
      <c r="U1071"/>
    </row>
    <row r="1072" spans="2:21">
      <c r="B1072" t="e">
        <f>IF(Dashboard!$P$4="All",Data!G1623,IF(Data!K1623=Dashboard!$P$4,Data!G1623,NA()))</f>
        <v>#N/A</v>
      </c>
      <c r="C1072" t="str">
        <f t="shared" si="145"/>
        <v/>
      </c>
      <c r="D1072" t="str">
        <f t="shared" si="146"/>
        <v/>
      </c>
      <c r="E1072" t="str">
        <f t="shared" si="147"/>
        <v/>
      </c>
      <c r="F1072" t="str">
        <f>IF(C1072&lt;&gt;"",Data!$M1623,"")</f>
        <v/>
      </c>
      <c r="K1072" t="e">
        <f>IF(Dashboard!$R$4="All",Data!G1623,IF(Data!K1623=Dashboard!$R$4,Data!G1623,NA()))</f>
        <v>#N/A</v>
      </c>
      <c r="L1072" t="str">
        <f t="shared" si="148"/>
        <v/>
      </c>
      <c r="M1072" t="str">
        <f t="shared" si="149"/>
        <v/>
      </c>
      <c r="N1072" t="str">
        <f t="shared" si="150"/>
        <v/>
      </c>
      <c r="O1072" t="str">
        <f>IF(L1072&lt;&gt;"",Data!$M1623,"")</f>
        <v/>
      </c>
      <c r="T1072">
        <f>IF(OR(Dashboard!$P$4="All",Dashboard!$R$4="All"),NA(),IF(OR(Data!K1623&lt;&gt;Dashboard!$P$4,Data!K1623&lt;&gt;Dashboard!$R$4),Data!G1623,NA()))</f>
        <v>5342.3750062327708</v>
      </c>
      <c r="U1072"/>
    </row>
    <row r="1073" spans="2:21">
      <c r="B1073" t="e">
        <f>IF(Dashboard!$P$4="All",Data!G1624,IF(Data!K1624=Dashboard!$P$4,Data!G1624,NA()))</f>
        <v>#N/A</v>
      </c>
      <c r="C1073" t="str">
        <f t="shared" si="145"/>
        <v/>
      </c>
      <c r="D1073" t="str">
        <f t="shared" si="146"/>
        <v/>
      </c>
      <c r="E1073" t="str">
        <f t="shared" si="147"/>
        <v/>
      </c>
      <c r="F1073" t="str">
        <f>IF(C1073&lt;&gt;"",Data!$M1624,"")</f>
        <v/>
      </c>
      <c r="K1073" t="e">
        <f>IF(Dashboard!$R$4="All",Data!G1624,IF(Data!K1624=Dashboard!$R$4,Data!G1624,NA()))</f>
        <v>#N/A</v>
      </c>
      <c r="L1073" t="str">
        <f t="shared" si="148"/>
        <v/>
      </c>
      <c r="M1073" t="str">
        <f t="shared" si="149"/>
        <v/>
      </c>
      <c r="N1073" t="str">
        <f t="shared" si="150"/>
        <v/>
      </c>
      <c r="O1073" t="str">
        <f>IF(L1073&lt;&gt;"",Data!$M1624,"")</f>
        <v/>
      </c>
      <c r="T1073">
        <f>IF(OR(Dashboard!$P$4="All",Dashboard!$R$4="All"),NA(),IF(OR(Data!K1624&lt;&gt;Dashboard!$P$4,Data!K1624&lt;&gt;Dashboard!$R$4),Data!G1624,NA()))</f>
        <v>85672.4111378214</v>
      </c>
      <c r="U1073"/>
    </row>
    <row r="1074" spans="2:21">
      <c r="B1074" t="e">
        <f>IF(Dashboard!$P$4="All",Data!G1625,IF(Data!K1625=Dashboard!$P$4,Data!G1625,NA()))</f>
        <v>#N/A</v>
      </c>
      <c r="C1074" t="str">
        <f t="shared" si="145"/>
        <v/>
      </c>
      <c r="D1074" t="str">
        <f t="shared" si="146"/>
        <v/>
      </c>
      <c r="E1074" t="str">
        <f t="shared" si="147"/>
        <v/>
      </c>
      <c r="F1074" t="str">
        <f>IF(C1074&lt;&gt;"",Data!$M1625,"")</f>
        <v/>
      </c>
      <c r="K1074" t="e">
        <f>IF(Dashboard!$R$4="All",Data!G1625,IF(Data!K1625=Dashboard!$R$4,Data!G1625,NA()))</f>
        <v>#N/A</v>
      </c>
      <c r="L1074" t="str">
        <f t="shared" si="148"/>
        <v/>
      </c>
      <c r="M1074" t="str">
        <f t="shared" si="149"/>
        <v/>
      </c>
      <c r="N1074" t="str">
        <f t="shared" si="150"/>
        <v/>
      </c>
      <c r="O1074" t="str">
        <f>IF(L1074&lt;&gt;"",Data!$M1625,"")</f>
        <v/>
      </c>
      <c r="T1074">
        <f>IF(OR(Dashboard!$P$4="All",Dashboard!$R$4="All"),NA(),IF(OR(Data!K1625&lt;&gt;Dashboard!$P$4,Data!K1625&lt;&gt;Dashboard!$R$4),Data!G1625,NA()))</f>
        <v>4273.9000049862161</v>
      </c>
      <c r="U1074"/>
    </row>
    <row r="1075" spans="2:21">
      <c r="B1075" t="e">
        <f>IF(Dashboard!$P$4="All",Data!G1626,IF(Data!K1626=Dashboard!$P$4,Data!G1626,NA()))</f>
        <v>#N/A</v>
      </c>
      <c r="C1075" t="str">
        <f t="shared" si="145"/>
        <v/>
      </c>
      <c r="D1075" t="str">
        <f t="shared" si="146"/>
        <v/>
      </c>
      <c r="E1075" t="str">
        <f t="shared" si="147"/>
        <v/>
      </c>
      <c r="F1075" t="str">
        <f>IF(C1075&lt;&gt;"",Data!$M1626,"")</f>
        <v/>
      </c>
      <c r="K1075" t="e">
        <f>IF(Dashboard!$R$4="All",Data!G1626,IF(Data!K1626=Dashboard!$R$4,Data!G1626,NA()))</f>
        <v>#N/A</v>
      </c>
      <c r="L1075" t="str">
        <f t="shared" si="148"/>
        <v/>
      </c>
      <c r="M1075" t="str">
        <f t="shared" si="149"/>
        <v/>
      </c>
      <c r="N1075" t="str">
        <f t="shared" si="150"/>
        <v/>
      </c>
      <c r="O1075" t="str">
        <f>IF(L1075&lt;&gt;"",Data!$M1626,"")</f>
        <v/>
      </c>
      <c r="T1075">
        <f>IF(OR(Dashboard!$P$4="All",Dashboard!$R$4="All"),NA(),IF(OR(Data!K1626&lt;&gt;Dashboard!$P$4,Data!K1626&lt;&gt;Dashboard!$R$4),Data!G1626,NA()))</f>
        <v>8903.9583437212841</v>
      </c>
      <c r="U1075"/>
    </row>
    <row r="1076" spans="2:21">
      <c r="B1076" t="e">
        <f>IF(Dashboard!$P$4="All",Data!G1627,IF(Data!K1627=Dashboard!$P$4,Data!G1627,NA()))</f>
        <v>#N/A</v>
      </c>
      <c r="C1076" t="str">
        <f t="shared" si="145"/>
        <v/>
      </c>
      <c r="D1076" t="str">
        <f t="shared" si="146"/>
        <v/>
      </c>
      <c r="E1076" t="str">
        <f t="shared" si="147"/>
        <v/>
      </c>
      <c r="F1076" t="str">
        <f>IF(C1076&lt;&gt;"",Data!$M1627,"")</f>
        <v/>
      </c>
      <c r="K1076">
        <f>IF(Dashboard!$R$4="All",Data!G1627,IF(Data!K1627=Dashboard!$R$4,Data!G1627,NA()))</f>
        <v>66199.48742682593</v>
      </c>
      <c r="L1076">
        <f t="shared" si="148"/>
        <v>66199.48742682593</v>
      </c>
      <c r="M1076" t="str">
        <f t="shared" si="149"/>
        <v/>
      </c>
      <c r="N1076" t="str">
        <f t="shared" si="150"/>
        <v/>
      </c>
      <c r="O1076">
        <f>IF(L1076&lt;&gt;"",Data!$M1627,"")</f>
        <v>23</v>
      </c>
      <c r="T1076">
        <f>IF(OR(Dashboard!$P$4="All",Dashboard!$R$4="All"),NA(),IF(OR(Data!K1627&lt;&gt;Dashboard!$P$4,Data!K1627&lt;&gt;Dashboard!$R$4),Data!G1627,NA()))</f>
        <v>66199.48742682593</v>
      </c>
      <c r="U1076"/>
    </row>
    <row r="1077" spans="2:21">
      <c r="B1077" t="e">
        <f>IF(Dashboard!$P$4="All",Data!G1628,IF(Data!K1628=Dashboard!$P$4,Data!G1628,NA()))</f>
        <v>#N/A</v>
      </c>
      <c r="C1077" t="str">
        <f t="shared" si="145"/>
        <v/>
      </c>
      <c r="D1077" t="str">
        <f t="shared" si="146"/>
        <v/>
      </c>
      <c r="E1077" t="str">
        <f t="shared" si="147"/>
        <v/>
      </c>
      <c r="F1077" t="str">
        <f>IF(C1077&lt;&gt;"",Data!$M1628,"")</f>
        <v/>
      </c>
      <c r="K1077" t="e">
        <f>IF(Dashboard!$R$4="All",Data!G1628,IF(Data!K1628=Dashboard!$R$4,Data!G1628,NA()))</f>
        <v>#N/A</v>
      </c>
      <c r="L1077" t="str">
        <f t="shared" si="148"/>
        <v/>
      </c>
      <c r="M1077" t="str">
        <f t="shared" si="149"/>
        <v/>
      </c>
      <c r="N1077" t="str">
        <f t="shared" si="150"/>
        <v/>
      </c>
      <c r="O1077" t="str">
        <f>IF(L1077&lt;&gt;"",Data!$M1628,"")</f>
        <v/>
      </c>
      <c r="T1077">
        <f>IF(OR(Dashboard!$P$4="All",Dashboard!$R$4="All"),NA(),IF(OR(Data!K1628&lt;&gt;Dashboard!$P$4,Data!K1628&lt;&gt;Dashboard!$R$4),Data!G1628,NA()))</f>
        <v>5698.5333399816218</v>
      </c>
      <c r="U1077"/>
    </row>
    <row r="1078" spans="2:21">
      <c r="B1078" t="e">
        <f>IF(Dashboard!$P$4="All",Data!G1629,IF(Data!K1629=Dashboard!$P$4,Data!G1629,NA()))</f>
        <v>#N/A</v>
      </c>
      <c r="C1078" t="str">
        <f t="shared" si="145"/>
        <v/>
      </c>
      <c r="D1078" t="str">
        <f t="shared" si="146"/>
        <v/>
      </c>
      <c r="E1078" t="str">
        <f t="shared" si="147"/>
        <v/>
      </c>
      <c r="F1078" t="str">
        <f>IF(C1078&lt;&gt;"",Data!$M1629,"")</f>
        <v/>
      </c>
      <c r="K1078">
        <f>IF(Dashboard!$R$4="All",Data!G1629,IF(Data!K1629=Dashboard!$R$4,Data!G1629,NA()))</f>
        <v>34675.92198548025</v>
      </c>
      <c r="L1078">
        <f t="shared" si="148"/>
        <v>34675.92198548025</v>
      </c>
      <c r="M1078" t="str">
        <f t="shared" si="149"/>
        <v/>
      </c>
      <c r="N1078" t="str">
        <f t="shared" si="150"/>
        <v/>
      </c>
      <c r="O1078">
        <f>IF(L1078&lt;&gt;"",Data!$M1629,"")</f>
        <v>17</v>
      </c>
      <c r="T1078">
        <f>IF(OR(Dashboard!$P$4="All",Dashboard!$R$4="All"),NA(),IF(OR(Data!K1629&lt;&gt;Dashboard!$P$4,Data!K1629&lt;&gt;Dashboard!$R$4),Data!G1629,NA()))</f>
        <v>34675.92198548025</v>
      </c>
      <c r="U1078"/>
    </row>
    <row r="1079" spans="2:21">
      <c r="B1079" t="e">
        <f>IF(Dashboard!$P$4="All",Data!G1630,IF(Data!K1630=Dashboard!$P$4,Data!G1630,NA()))</f>
        <v>#N/A</v>
      </c>
      <c r="C1079" t="str">
        <f t="shared" si="145"/>
        <v/>
      </c>
      <c r="D1079" t="str">
        <f t="shared" si="146"/>
        <v/>
      </c>
      <c r="E1079" t="str">
        <f t="shared" si="147"/>
        <v/>
      </c>
      <c r="F1079" t="str">
        <f>IF(C1079&lt;&gt;"",Data!$M1630,"")</f>
        <v/>
      </c>
      <c r="K1079" t="e">
        <f>IF(Dashboard!$R$4="All",Data!G1630,IF(Data!K1630=Dashboard!$R$4,Data!G1630,NA()))</f>
        <v>#N/A</v>
      </c>
      <c r="L1079" t="str">
        <f t="shared" si="148"/>
        <v/>
      </c>
      <c r="M1079" t="str">
        <f t="shared" si="149"/>
        <v/>
      </c>
      <c r="N1079" t="str">
        <f t="shared" si="150"/>
        <v/>
      </c>
      <c r="O1079" t="str">
        <f>IF(L1079&lt;&gt;"",Data!$M1630,"")</f>
        <v/>
      </c>
      <c r="T1079">
        <f>IF(OR(Dashboard!$P$4="All",Dashboard!$R$4="All"),NA(),IF(OR(Data!K1630&lt;&gt;Dashboard!$P$4,Data!K1630&lt;&gt;Dashboard!$R$4),Data!G1630,NA()))</f>
        <v>31200</v>
      </c>
      <c r="U1079"/>
    </row>
    <row r="1080" spans="2:21">
      <c r="B1080" t="e">
        <f>IF(Dashboard!$P$4="All",Data!G1631,IF(Data!K1631=Dashboard!$P$4,Data!G1631,NA()))</f>
        <v>#N/A</v>
      </c>
      <c r="C1080" t="str">
        <f t="shared" si="145"/>
        <v/>
      </c>
      <c r="D1080" t="str">
        <f t="shared" si="146"/>
        <v/>
      </c>
      <c r="E1080" t="str">
        <f t="shared" si="147"/>
        <v/>
      </c>
      <c r="F1080" t="str">
        <f>IF(C1080&lt;&gt;"",Data!$M1631,"")</f>
        <v/>
      </c>
      <c r="K1080" t="e">
        <f>IF(Dashboard!$R$4="All",Data!G1631,IF(Data!K1631=Dashboard!$R$4,Data!G1631,NA()))</f>
        <v>#N/A</v>
      </c>
      <c r="L1080" t="str">
        <f t="shared" si="148"/>
        <v/>
      </c>
      <c r="M1080" t="str">
        <f t="shared" si="149"/>
        <v/>
      </c>
      <c r="N1080" t="str">
        <f t="shared" si="150"/>
        <v/>
      </c>
      <c r="O1080" t="str">
        <f>IF(L1080&lt;&gt;"",Data!$M1631,"")</f>
        <v/>
      </c>
      <c r="T1080">
        <f>IF(OR(Dashboard!$P$4="All",Dashboard!$R$4="All"),NA(),IF(OR(Data!K1631&lt;&gt;Dashboard!$P$4,Data!K1631&lt;&gt;Dashboard!$R$4),Data!G1631,NA()))</f>
        <v>55068.245289698301</v>
      </c>
      <c r="U1080"/>
    </row>
    <row r="1081" spans="2:21">
      <c r="B1081" t="e">
        <f>IF(Dashboard!$P$4="All",Data!G1632,IF(Data!K1632=Dashboard!$P$4,Data!G1632,NA()))</f>
        <v>#N/A</v>
      </c>
      <c r="C1081" t="str">
        <f t="shared" si="145"/>
        <v/>
      </c>
      <c r="D1081" t="str">
        <f t="shared" si="146"/>
        <v/>
      </c>
      <c r="E1081" t="str">
        <f t="shared" si="147"/>
        <v/>
      </c>
      <c r="F1081" t="str">
        <f>IF(C1081&lt;&gt;"",Data!$M1632,"")</f>
        <v/>
      </c>
      <c r="K1081" t="e">
        <f>IF(Dashboard!$R$4="All",Data!G1632,IF(Data!K1632=Dashboard!$R$4,Data!G1632,NA()))</f>
        <v>#N/A</v>
      </c>
      <c r="L1081" t="str">
        <f t="shared" si="148"/>
        <v/>
      </c>
      <c r="M1081" t="str">
        <f t="shared" si="149"/>
        <v/>
      </c>
      <c r="N1081" t="str">
        <f t="shared" si="150"/>
        <v/>
      </c>
      <c r="O1081" t="str">
        <f>IF(L1081&lt;&gt;"",Data!$M1632,"")</f>
        <v/>
      </c>
      <c r="T1081">
        <f>IF(OR(Dashboard!$P$4="All",Dashboard!$R$4="All"),NA(),IF(OR(Data!K1632&lt;&gt;Dashboard!$P$4,Data!K1632&lt;&gt;Dashboard!$R$4),Data!G1632,NA()))</f>
        <v>13000</v>
      </c>
      <c r="U1081"/>
    </row>
    <row r="1082" spans="2:21">
      <c r="B1082" t="e">
        <f>IF(Dashboard!$P$4="All",Data!G1633,IF(Data!K1633=Dashboard!$P$4,Data!G1633,NA()))</f>
        <v>#N/A</v>
      </c>
      <c r="C1082" t="str">
        <f t="shared" si="145"/>
        <v/>
      </c>
      <c r="D1082" t="str">
        <f t="shared" si="146"/>
        <v/>
      </c>
      <c r="E1082" t="str">
        <f t="shared" si="147"/>
        <v/>
      </c>
      <c r="F1082" t="str">
        <f>IF(C1082&lt;&gt;"",Data!$M1633,"")</f>
        <v/>
      </c>
      <c r="K1082" t="e">
        <f>IF(Dashboard!$R$4="All",Data!G1633,IF(Data!K1633=Dashboard!$R$4,Data!G1633,NA()))</f>
        <v>#N/A</v>
      </c>
      <c r="L1082" t="str">
        <f t="shared" si="148"/>
        <v/>
      </c>
      <c r="M1082" t="str">
        <f t="shared" si="149"/>
        <v/>
      </c>
      <c r="N1082" t="str">
        <f t="shared" si="150"/>
        <v/>
      </c>
      <c r="O1082" t="str">
        <f>IF(L1082&lt;&gt;"",Data!$M1633,"")</f>
        <v/>
      </c>
      <c r="T1082">
        <f>IF(OR(Dashboard!$P$4="All",Dashboard!$R$4="All"),NA(),IF(OR(Data!K1633&lt;&gt;Dashboard!$P$4,Data!K1633&lt;&gt;Dashboard!$R$4),Data!G1633,NA()))</f>
        <v>92000</v>
      </c>
      <c r="U1082"/>
    </row>
    <row r="1083" spans="2:21">
      <c r="B1083" t="e">
        <f>IF(Dashboard!$P$4="All",Data!G1634,IF(Data!K1634=Dashboard!$P$4,Data!G1634,NA()))</f>
        <v>#N/A</v>
      </c>
      <c r="C1083" t="str">
        <f t="shared" si="145"/>
        <v/>
      </c>
      <c r="D1083" t="str">
        <f t="shared" si="146"/>
        <v/>
      </c>
      <c r="E1083" t="str">
        <f t="shared" si="147"/>
        <v/>
      </c>
      <c r="F1083" t="str">
        <f>IF(C1083&lt;&gt;"",Data!$M1634,"")</f>
        <v/>
      </c>
      <c r="K1083" t="e">
        <f>IF(Dashboard!$R$4="All",Data!G1634,IF(Data!K1634=Dashboard!$R$4,Data!G1634,NA()))</f>
        <v>#N/A</v>
      </c>
      <c r="L1083" t="str">
        <f t="shared" si="148"/>
        <v/>
      </c>
      <c r="M1083" t="str">
        <f t="shared" si="149"/>
        <v/>
      </c>
      <c r="N1083" t="str">
        <f t="shared" si="150"/>
        <v/>
      </c>
      <c r="O1083" t="str">
        <f>IF(L1083&lt;&gt;"",Data!$M1634,"")</f>
        <v/>
      </c>
      <c r="T1083">
        <f>IF(OR(Dashboard!$P$4="All",Dashboard!$R$4="All"),NA(),IF(OR(Data!K1634&lt;&gt;Dashboard!$P$4,Data!K1634&lt;&gt;Dashboard!$R$4),Data!G1634,NA()))</f>
        <v>85000</v>
      </c>
      <c r="U1083"/>
    </row>
    <row r="1084" spans="2:21">
      <c r="B1084" t="e">
        <f>IF(Dashboard!$P$4="All",Data!G1635,IF(Data!K1635=Dashboard!$P$4,Data!G1635,NA()))</f>
        <v>#N/A</v>
      </c>
      <c r="C1084" t="str">
        <f t="shared" si="145"/>
        <v/>
      </c>
      <c r="D1084" t="str">
        <f t="shared" si="146"/>
        <v/>
      </c>
      <c r="E1084" t="str">
        <f t="shared" si="147"/>
        <v/>
      </c>
      <c r="F1084" t="str">
        <f>IF(C1084&lt;&gt;"",Data!$M1635,"")</f>
        <v/>
      </c>
      <c r="K1084" t="e">
        <f>IF(Dashboard!$R$4="All",Data!G1635,IF(Data!K1635=Dashboard!$R$4,Data!G1635,NA()))</f>
        <v>#N/A</v>
      </c>
      <c r="L1084" t="str">
        <f t="shared" si="148"/>
        <v/>
      </c>
      <c r="M1084" t="str">
        <f t="shared" si="149"/>
        <v/>
      </c>
      <c r="N1084" t="str">
        <f t="shared" si="150"/>
        <v/>
      </c>
      <c r="O1084" t="str">
        <f>IF(L1084&lt;&gt;"",Data!$M1635,"")</f>
        <v/>
      </c>
      <c r="T1084">
        <f>IF(OR(Dashboard!$P$4="All",Dashboard!$R$4="All"),NA(),IF(OR(Data!K1635&lt;&gt;Dashboard!$P$4,Data!K1635&lt;&gt;Dashboard!$R$4),Data!G1635,NA()))</f>
        <v>11000</v>
      </c>
      <c r="U1084"/>
    </row>
    <row r="1085" spans="2:21">
      <c r="B1085" t="e">
        <f>IF(Dashboard!$P$4="All",Data!G1636,IF(Data!K1636=Dashboard!$P$4,Data!G1636,NA()))</f>
        <v>#N/A</v>
      </c>
      <c r="C1085" t="str">
        <f t="shared" si="145"/>
        <v/>
      </c>
      <c r="D1085" t="str">
        <f t="shared" si="146"/>
        <v/>
      </c>
      <c r="E1085" t="str">
        <f t="shared" si="147"/>
        <v/>
      </c>
      <c r="F1085" t="str">
        <f>IF(C1085&lt;&gt;"",Data!$M1636,"")</f>
        <v/>
      </c>
      <c r="K1085" t="e">
        <f>IF(Dashboard!$R$4="All",Data!G1636,IF(Data!K1636=Dashboard!$R$4,Data!G1636,NA()))</f>
        <v>#N/A</v>
      </c>
      <c r="L1085" t="str">
        <f t="shared" si="148"/>
        <v/>
      </c>
      <c r="M1085" t="str">
        <f t="shared" si="149"/>
        <v/>
      </c>
      <c r="N1085" t="str">
        <f t="shared" si="150"/>
        <v/>
      </c>
      <c r="O1085" t="str">
        <f>IF(L1085&lt;&gt;"",Data!$M1636,"")</f>
        <v/>
      </c>
      <c r="T1085">
        <f>IF(OR(Dashboard!$P$4="All",Dashboard!$R$4="All"),NA(),IF(OR(Data!K1636&lt;&gt;Dashboard!$P$4,Data!K1636&lt;&gt;Dashboard!$R$4),Data!G1636,NA()))</f>
        <v>38111.983169748237</v>
      </c>
      <c r="U1085"/>
    </row>
    <row r="1086" spans="2:21">
      <c r="B1086" t="e">
        <f>IF(Dashboard!$P$4="All",Data!G1637,IF(Data!K1637=Dashboard!$P$4,Data!G1637,NA()))</f>
        <v>#N/A</v>
      </c>
      <c r="C1086" t="str">
        <f t="shared" si="145"/>
        <v/>
      </c>
      <c r="D1086" t="str">
        <f t="shared" si="146"/>
        <v/>
      </c>
      <c r="E1086" t="str">
        <f t="shared" si="147"/>
        <v/>
      </c>
      <c r="F1086" t="str">
        <f>IF(C1086&lt;&gt;"",Data!$M1637,"")</f>
        <v/>
      </c>
      <c r="K1086" t="e">
        <f>IF(Dashboard!$R$4="All",Data!G1637,IF(Data!K1637=Dashboard!$R$4,Data!G1637,NA()))</f>
        <v>#N/A</v>
      </c>
      <c r="L1086" t="str">
        <f t="shared" si="148"/>
        <v/>
      </c>
      <c r="M1086" t="str">
        <f t="shared" si="149"/>
        <v/>
      </c>
      <c r="N1086" t="str">
        <f t="shared" si="150"/>
        <v/>
      </c>
      <c r="O1086" t="str">
        <f>IF(L1086&lt;&gt;"",Data!$M1637,"")</f>
        <v/>
      </c>
      <c r="T1086">
        <f>IF(OR(Dashboard!$P$4="All",Dashboard!$R$4="All"),NA(),IF(OR(Data!K1637&lt;&gt;Dashboard!$P$4,Data!K1637&lt;&gt;Dashboard!$R$4),Data!G1637,NA()))</f>
        <v>49000</v>
      </c>
      <c r="U1086"/>
    </row>
    <row r="1087" spans="2:21">
      <c r="B1087" t="e">
        <f>IF(Dashboard!$P$4="All",Data!G1638,IF(Data!K1638=Dashboard!$P$4,Data!G1638,NA()))</f>
        <v>#N/A</v>
      </c>
      <c r="C1087" t="str">
        <f t="shared" si="145"/>
        <v/>
      </c>
      <c r="D1087" t="str">
        <f t="shared" si="146"/>
        <v/>
      </c>
      <c r="E1087" t="str">
        <f t="shared" si="147"/>
        <v/>
      </c>
      <c r="F1087" t="str">
        <f>IF(C1087&lt;&gt;"",Data!$M1638,"")</f>
        <v/>
      </c>
      <c r="K1087" t="e">
        <f>IF(Dashboard!$R$4="All",Data!G1638,IF(Data!K1638=Dashboard!$R$4,Data!G1638,NA()))</f>
        <v>#N/A</v>
      </c>
      <c r="L1087" t="str">
        <f t="shared" si="148"/>
        <v/>
      </c>
      <c r="M1087" t="str">
        <f t="shared" si="149"/>
        <v/>
      </c>
      <c r="N1087" t="str">
        <f t="shared" si="150"/>
        <v/>
      </c>
      <c r="O1087" t="str">
        <f>IF(L1087&lt;&gt;"",Data!$M1638,"")</f>
        <v/>
      </c>
      <c r="T1087">
        <f>IF(OR(Dashboard!$P$4="All",Dashboard!$R$4="All"),NA(),IF(OR(Data!K1638&lt;&gt;Dashboard!$P$4,Data!K1638&lt;&gt;Dashboard!$R$4),Data!G1638,NA()))</f>
        <v>59000</v>
      </c>
      <c r="U1087"/>
    </row>
    <row r="1088" spans="2:21">
      <c r="B1088" t="e">
        <f>IF(Dashboard!$P$4="All",Data!G1639,IF(Data!K1639=Dashboard!$P$4,Data!G1639,NA()))</f>
        <v>#N/A</v>
      </c>
      <c r="C1088" t="str">
        <f t="shared" si="145"/>
        <v/>
      </c>
      <c r="D1088" t="str">
        <f t="shared" si="146"/>
        <v/>
      </c>
      <c r="E1088" t="str">
        <f t="shared" si="147"/>
        <v/>
      </c>
      <c r="F1088" t="str">
        <f>IF(C1088&lt;&gt;"",Data!$M1639,"")</f>
        <v/>
      </c>
      <c r="K1088" t="e">
        <f>IF(Dashboard!$R$4="All",Data!G1639,IF(Data!K1639=Dashboard!$R$4,Data!G1639,NA()))</f>
        <v>#N/A</v>
      </c>
      <c r="L1088" t="str">
        <f t="shared" si="148"/>
        <v/>
      </c>
      <c r="M1088" t="str">
        <f t="shared" si="149"/>
        <v/>
      </c>
      <c r="N1088" t="str">
        <f t="shared" si="150"/>
        <v/>
      </c>
      <c r="O1088" t="str">
        <f>IF(L1088&lt;&gt;"",Data!$M1639,"")</f>
        <v/>
      </c>
      <c r="T1088">
        <f>IF(OR(Dashboard!$P$4="All",Dashboard!$R$4="All"),NA(),IF(OR(Data!K1639&lt;&gt;Dashboard!$P$4,Data!K1639&lt;&gt;Dashboard!$R$4),Data!G1639,NA()))</f>
        <v>55000</v>
      </c>
      <c r="U1088"/>
    </row>
    <row r="1089" spans="2:21">
      <c r="B1089" t="e">
        <f>IF(Dashboard!$P$4="All",Data!G1640,IF(Data!K1640=Dashboard!$P$4,Data!G1640,NA()))</f>
        <v>#N/A</v>
      </c>
      <c r="C1089" t="str">
        <f t="shared" si="145"/>
        <v/>
      </c>
      <c r="D1089" t="str">
        <f t="shared" si="146"/>
        <v/>
      </c>
      <c r="E1089" t="str">
        <f t="shared" si="147"/>
        <v/>
      </c>
      <c r="F1089" t="str">
        <f>IF(C1089&lt;&gt;"",Data!$M1640,"")</f>
        <v/>
      </c>
      <c r="K1089" t="e">
        <f>IF(Dashboard!$R$4="All",Data!G1640,IF(Data!K1640=Dashboard!$R$4,Data!G1640,NA()))</f>
        <v>#N/A</v>
      </c>
      <c r="L1089" t="str">
        <f t="shared" si="148"/>
        <v/>
      </c>
      <c r="M1089" t="str">
        <f t="shared" si="149"/>
        <v/>
      </c>
      <c r="N1089" t="str">
        <f t="shared" si="150"/>
        <v/>
      </c>
      <c r="O1089" t="str">
        <f>IF(L1089&lt;&gt;"",Data!$M1640,"")</f>
        <v/>
      </c>
      <c r="T1089">
        <f>IF(OR(Dashboard!$P$4="All",Dashboard!$R$4="All"),NA(),IF(OR(Data!K1640&lt;&gt;Dashboard!$P$4,Data!K1640&lt;&gt;Dashboard!$R$4),Data!G1640,NA()))</f>
        <v>75000</v>
      </c>
      <c r="U1089"/>
    </row>
    <row r="1090" spans="2:21">
      <c r="B1090" t="e">
        <f>IF(Dashboard!$P$4="All",Data!G1641,IF(Data!K1641=Dashboard!$P$4,Data!G1641,NA()))</f>
        <v>#N/A</v>
      </c>
      <c r="C1090" t="str">
        <f t="shared" si="145"/>
        <v/>
      </c>
      <c r="D1090" t="str">
        <f t="shared" si="146"/>
        <v/>
      </c>
      <c r="E1090" t="str">
        <f t="shared" si="147"/>
        <v/>
      </c>
      <c r="F1090" t="str">
        <f>IF(C1090&lt;&gt;"",Data!$M1641,"")</f>
        <v/>
      </c>
      <c r="K1090" t="e">
        <f>IF(Dashboard!$R$4="All",Data!G1641,IF(Data!K1641=Dashboard!$R$4,Data!G1641,NA()))</f>
        <v>#N/A</v>
      </c>
      <c r="L1090" t="str">
        <f t="shared" si="148"/>
        <v/>
      </c>
      <c r="M1090" t="str">
        <f t="shared" si="149"/>
        <v/>
      </c>
      <c r="N1090" t="str">
        <f t="shared" si="150"/>
        <v/>
      </c>
      <c r="O1090" t="str">
        <f>IF(L1090&lt;&gt;"",Data!$M1641,"")</f>
        <v/>
      </c>
      <c r="T1090">
        <f>IF(OR(Dashboard!$P$4="All",Dashboard!$R$4="All"),NA(),IF(OR(Data!K1641&lt;&gt;Dashboard!$P$4,Data!K1641&lt;&gt;Dashboard!$R$4),Data!G1641,NA()))</f>
        <v>50307.817784067665</v>
      </c>
      <c r="U1090"/>
    </row>
    <row r="1091" spans="2:21">
      <c r="B1091" t="e">
        <f>IF(Dashboard!$P$4="All",Data!G1642,IF(Data!K1642=Dashboard!$P$4,Data!G1642,NA()))</f>
        <v>#N/A</v>
      </c>
      <c r="C1091" t="str">
        <f t="shared" si="145"/>
        <v/>
      </c>
      <c r="D1091" t="str">
        <f t="shared" si="146"/>
        <v/>
      </c>
      <c r="E1091" t="str">
        <f t="shared" si="147"/>
        <v/>
      </c>
      <c r="F1091" t="str">
        <f>IF(C1091&lt;&gt;"",Data!$M1642,"")</f>
        <v/>
      </c>
      <c r="K1091" t="e">
        <f>IF(Dashboard!$R$4="All",Data!G1642,IF(Data!K1642=Dashboard!$R$4,Data!G1642,NA()))</f>
        <v>#N/A</v>
      </c>
      <c r="L1091" t="str">
        <f t="shared" si="148"/>
        <v/>
      </c>
      <c r="M1091" t="str">
        <f t="shared" si="149"/>
        <v/>
      </c>
      <c r="N1091" t="str">
        <f t="shared" si="150"/>
        <v/>
      </c>
      <c r="O1091" t="str">
        <f>IF(L1091&lt;&gt;"",Data!$M1642,"")</f>
        <v/>
      </c>
      <c r="T1091">
        <f>IF(OR(Dashboard!$P$4="All",Dashboard!$R$4="All"),NA(),IF(OR(Data!K1642&lt;&gt;Dashboard!$P$4,Data!K1642&lt;&gt;Dashboard!$R$4),Data!G1642,NA()))</f>
        <v>30500</v>
      </c>
      <c r="U1091"/>
    </row>
    <row r="1092" spans="2:21">
      <c r="B1092" t="e">
        <f>IF(Dashboard!$P$4="All",Data!G1643,IF(Data!K1643=Dashboard!$P$4,Data!G1643,NA()))</f>
        <v>#N/A</v>
      </c>
      <c r="C1092" t="str">
        <f t="shared" ref="C1092:C1155" si="151">IF(ISNA(B1092),"",B1092)</f>
        <v/>
      </c>
      <c r="D1092" t="str">
        <f t="shared" ref="D1092:D1155" si="152">IF(C1092&gt;=PERCENTILE($C$3:$C$1337,0.9),C1092,"")</f>
        <v/>
      </c>
      <c r="E1092" t="str">
        <f t="shared" ref="E1092:E1155" si="153">IF(C1092&lt;=PERCENTILE($C$3:$C$1337,0.1),C1092,"")</f>
        <v/>
      </c>
      <c r="F1092" t="str">
        <f>IF(C1092&lt;&gt;"",Data!$M1643,"")</f>
        <v/>
      </c>
      <c r="K1092" t="e">
        <f>IF(Dashboard!$R$4="All",Data!G1643,IF(Data!K1643=Dashboard!$R$4,Data!G1643,NA()))</f>
        <v>#N/A</v>
      </c>
      <c r="L1092" t="str">
        <f t="shared" ref="L1092:L1155" si="154">IF(ISNA(K1092),"",K1092)</f>
        <v/>
      </c>
      <c r="M1092" t="str">
        <f t="shared" ref="M1092:M1155" si="155">IF(L1092&gt;=PERCENTILE($L$3:$L$1337,0.9),L1092,"")</f>
        <v/>
      </c>
      <c r="N1092" t="str">
        <f t="shared" ref="N1092:N1155" si="156">IF(L1092&lt;=PERCENTILE($L$3:$L$1337,0.1),L1092,"")</f>
        <v/>
      </c>
      <c r="O1092" t="str">
        <f>IF(L1092&lt;&gt;"",Data!$M1643,"")</f>
        <v/>
      </c>
      <c r="T1092">
        <f>IF(OR(Dashboard!$P$4="All",Dashboard!$R$4="All"),NA(),IF(OR(Data!K1643&lt;&gt;Dashboard!$P$4,Data!K1643&lt;&gt;Dashboard!$R$4),Data!G1643,NA()))</f>
        <v>80000</v>
      </c>
      <c r="U1092"/>
    </row>
    <row r="1093" spans="2:21">
      <c r="B1093" t="e">
        <f>IF(Dashboard!$P$4="All",Data!G1644,IF(Data!K1644=Dashboard!$P$4,Data!G1644,NA()))</f>
        <v>#N/A</v>
      </c>
      <c r="C1093" t="str">
        <f t="shared" si="151"/>
        <v/>
      </c>
      <c r="D1093" t="str">
        <f t="shared" si="152"/>
        <v/>
      </c>
      <c r="E1093" t="str">
        <f t="shared" si="153"/>
        <v/>
      </c>
      <c r="F1093" t="str">
        <f>IF(C1093&lt;&gt;"",Data!$M1644,"")</f>
        <v/>
      </c>
      <c r="K1093" t="e">
        <f>IF(Dashboard!$R$4="All",Data!G1644,IF(Data!K1644=Dashboard!$R$4,Data!G1644,NA()))</f>
        <v>#N/A</v>
      </c>
      <c r="L1093" t="str">
        <f t="shared" si="154"/>
        <v/>
      </c>
      <c r="M1093" t="str">
        <f t="shared" si="155"/>
        <v/>
      </c>
      <c r="N1093" t="str">
        <f t="shared" si="156"/>
        <v/>
      </c>
      <c r="O1093" t="str">
        <f>IF(L1093&lt;&gt;"",Data!$M1644,"")</f>
        <v/>
      </c>
      <c r="T1093">
        <f>IF(OR(Dashboard!$P$4="All",Dashboard!$R$4="All"),NA(),IF(OR(Data!K1644&lt;&gt;Dashboard!$P$4,Data!K1644&lt;&gt;Dashboard!$R$4),Data!G1644,NA()))</f>
        <v>12000</v>
      </c>
      <c r="U1093"/>
    </row>
    <row r="1094" spans="2:21">
      <c r="B1094" t="e">
        <f>IF(Dashboard!$P$4="All",Data!G1645,IF(Data!K1645=Dashboard!$P$4,Data!G1645,NA()))</f>
        <v>#N/A</v>
      </c>
      <c r="C1094" t="str">
        <f t="shared" si="151"/>
        <v/>
      </c>
      <c r="D1094" t="str">
        <f t="shared" si="152"/>
        <v/>
      </c>
      <c r="E1094" t="str">
        <f t="shared" si="153"/>
        <v/>
      </c>
      <c r="F1094" t="str">
        <f>IF(C1094&lt;&gt;"",Data!$M1645,"")</f>
        <v/>
      </c>
      <c r="K1094" t="e">
        <f>IF(Dashboard!$R$4="All",Data!G1645,IF(Data!K1645=Dashboard!$R$4,Data!G1645,NA()))</f>
        <v>#N/A</v>
      </c>
      <c r="L1094" t="str">
        <f t="shared" si="154"/>
        <v/>
      </c>
      <c r="M1094" t="str">
        <f t="shared" si="155"/>
        <v/>
      </c>
      <c r="N1094" t="str">
        <f t="shared" si="156"/>
        <v/>
      </c>
      <c r="O1094" t="str">
        <f>IF(L1094&lt;&gt;"",Data!$M1645,"")</f>
        <v/>
      </c>
      <c r="T1094">
        <f>IF(OR(Dashboard!$P$4="All",Dashboard!$R$4="All"),NA(),IF(OR(Data!K1645&lt;&gt;Dashboard!$P$4,Data!K1645&lt;&gt;Dashboard!$R$4),Data!G1645,NA()))</f>
        <v>48500</v>
      </c>
      <c r="U1094"/>
    </row>
    <row r="1095" spans="2:21">
      <c r="B1095" t="e">
        <f>IF(Dashboard!$P$4="All",Data!G1646,IF(Data!K1646=Dashboard!$P$4,Data!G1646,NA()))</f>
        <v>#N/A</v>
      </c>
      <c r="C1095" t="str">
        <f t="shared" si="151"/>
        <v/>
      </c>
      <c r="D1095" t="str">
        <f t="shared" si="152"/>
        <v/>
      </c>
      <c r="E1095" t="str">
        <f t="shared" si="153"/>
        <v/>
      </c>
      <c r="F1095" t="str">
        <f>IF(C1095&lt;&gt;"",Data!$M1646,"")</f>
        <v/>
      </c>
      <c r="K1095">
        <f>IF(Dashboard!$R$4="All",Data!G1646,IF(Data!K1646=Dashboard!$R$4,Data!G1646,NA()))</f>
        <v>63047.130882691366</v>
      </c>
      <c r="L1095">
        <f t="shared" si="154"/>
        <v>63047.130882691366</v>
      </c>
      <c r="M1095" t="str">
        <f t="shared" si="155"/>
        <v/>
      </c>
      <c r="N1095" t="str">
        <f t="shared" si="156"/>
        <v/>
      </c>
      <c r="O1095">
        <f>IF(L1095&lt;&gt;"",Data!$M1646,"")</f>
        <v>25</v>
      </c>
      <c r="T1095">
        <f>IF(OR(Dashboard!$P$4="All",Dashboard!$R$4="All"),NA(),IF(OR(Data!K1646&lt;&gt;Dashboard!$P$4,Data!K1646&lt;&gt;Dashboard!$R$4),Data!G1646,NA()))</f>
        <v>63047.130882691366</v>
      </c>
      <c r="U1095"/>
    </row>
    <row r="1096" spans="2:21">
      <c r="B1096" t="e">
        <f>IF(Dashboard!$P$4="All",Data!G1647,IF(Data!K1647=Dashboard!$P$4,Data!G1647,NA()))</f>
        <v>#N/A</v>
      </c>
      <c r="C1096" t="str">
        <f t="shared" si="151"/>
        <v/>
      </c>
      <c r="D1096" t="str">
        <f t="shared" si="152"/>
        <v/>
      </c>
      <c r="E1096" t="str">
        <f t="shared" si="153"/>
        <v/>
      </c>
      <c r="F1096" t="str">
        <f>IF(C1096&lt;&gt;"",Data!$M1647,"")</f>
        <v/>
      </c>
      <c r="K1096" t="e">
        <f>IF(Dashboard!$R$4="All",Data!G1647,IF(Data!K1647=Dashboard!$R$4,Data!G1647,NA()))</f>
        <v>#N/A</v>
      </c>
      <c r="L1096" t="str">
        <f t="shared" si="154"/>
        <v/>
      </c>
      <c r="M1096" t="str">
        <f t="shared" si="155"/>
        <v/>
      </c>
      <c r="N1096" t="str">
        <f t="shared" si="156"/>
        <v/>
      </c>
      <c r="O1096" t="str">
        <f>IF(L1096&lt;&gt;"",Data!$M1647,"")</f>
        <v/>
      </c>
      <c r="T1096">
        <f>IF(OR(Dashboard!$P$4="All",Dashboard!$R$4="All"),NA(),IF(OR(Data!K1647&lt;&gt;Dashboard!$P$4,Data!K1647&lt;&gt;Dashboard!$R$4),Data!G1647,NA()))</f>
        <v>3419.1200039889732</v>
      </c>
      <c r="U1096"/>
    </row>
    <row r="1097" spans="2:21">
      <c r="B1097" t="e">
        <f>IF(Dashboard!$P$4="All",Data!G1648,IF(Data!K1648=Dashboard!$P$4,Data!G1648,NA()))</f>
        <v>#N/A</v>
      </c>
      <c r="C1097" t="str">
        <f t="shared" si="151"/>
        <v/>
      </c>
      <c r="D1097" t="str">
        <f t="shared" si="152"/>
        <v/>
      </c>
      <c r="E1097" t="str">
        <f t="shared" si="153"/>
        <v/>
      </c>
      <c r="F1097" t="str">
        <f>IF(C1097&lt;&gt;"",Data!$M1648,"")</f>
        <v/>
      </c>
      <c r="K1097" t="e">
        <f>IF(Dashboard!$R$4="All",Data!G1648,IF(Data!K1648=Dashboard!$R$4,Data!G1648,NA()))</f>
        <v>#N/A</v>
      </c>
      <c r="L1097" t="str">
        <f t="shared" si="154"/>
        <v/>
      </c>
      <c r="M1097" t="str">
        <f t="shared" si="155"/>
        <v/>
      </c>
      <c r="N1097" t="str">
        <f t="shared" si="156"/>
        <v/>
      </c>
      <c r="O1097" t="str">
        <f>IF(L1097&lt;&gt;"",Data!$M1648,"")</f>
        <v/>
      </c>
      <c r="T1097">
        <f>IF(OR(Dashboard!$P$4="All",Dashboard!$R$4="All"),NA(),IF(OR(Data!K1648&lt;&gt;Dashboard!$P$4,Data!K1648&lt;&gt;Dashboard!$R$4),Data!G1648,NA()))</f>
        <v>87734.690296543267</v>
      </c>
      <c r="U1097"/>
    </row>
    <row r="1098" spans="2:21">
      <c r="B1098" t="e">
        <f>IF(Dashboard!$P$4="All",Data!G1649,IF(Data!K1649=Dashboard!$P$4,Data!G1649,NA()))</f>
        <v>#N/A</v>
      </c>
      <c r="C1098" t="str">
        <f t="shared" si="151"/>
        <v/>
      </c>
      <c r="D1098" t="str">
        <f t="shared" si="152"/>
        <v/>
      </c>
      <c r="E1098" t="str">
        <f t="shared" si="153"/>
        <v/>
      </c>
      <c r="F1098" t="str">
        <f>IF(C1098&lt;&gt;"",Data!$M1649,"")</f>
        <v/>
      </c>
      <c r="K1098" t="e">
        <f>IF(Dashboard!$R$4="All",Data!G1649,IF(Data!K1649=Dashboard!$R$4,Data!G1649,NA()))</f>
        <v>#N/A</v>
      </c>
      <c r="L1098" t="str">
        <f t="shared" si="154"/>
        <v/>
      </c>
      <c r="M1098" t="str">
        <f t="shared" si="155"/>
        <v/>
      </c>
      <c r="N1098" t="str">
        <f t="shared" si="156"/>
        <v/>
      </c>
      <c r="O1098" t="str">
        <f>IF(L1098&lt;&gt;"",Data!$M1649,"")</f>
        <v/>
      </c>
      <c r="T1098">
        <f>IF(OR(Dashboard!$P$4="All",Dashboard!$R$4="All"),NA(),IF(OR(Data!K1649&lt;&gt;Dashboard!$P$4,Data!K1649&lt;&gt;Dashboard!$R$4),Data!G1649,NA()))</f>
        <v>56628.754645950656</v>
      </c>
      <c r="U1098"/>
    </row>
    <row r="1099" spans="2:21">
      <c r="B1099" t="e">
        <f>IF(Dashboard!$P$4="All",Data!G1650,IF(Data!K1650=Dashboard!$P$4,Data!G1650,NA()))</f>
        <v>#N/A</v>
      </c>
      <c r="C1099" t="str">
        <f t="shared" si="151"/>
        <v/>
      </c>
      <c r="D1099" t="str">
        <f t="shared" si="152"/>
        <v/>
      </c>
      <c r="E1099" t="str">
        <f t="shared" si="153"/>
        <v/>
      </c>
      <c r="F1099" t="str">
        <f>IF(C1099&lt;&gt;"",Data!$M1650,"")</f>
        <v/>
      </c>
      <c r="K1099" t="e">
        <f>IF(Dashboard!$R$4="All",Data!G1650,IF(Data!K1650=Dashboard!$R$4,Data!G1650,NA()))</f>
        <v>#N/A</v>
      </c>
      <c r="L1099" t="str">
        <f t="shared" si="154"/>
        <v/>
      </c>
      <c r="M1099" t="str">
        <f t="shared" si="155"/>
        <v/>
      </c>
      <c r="N1099" t="str">
        <f t="shared" si="156"/>
        <v/>
      </c>
      <c r="O1099" t="str">
        <f>IF(L1099&lt;&gt;"",Data!$M1650,"")</f>
        <v/>
      </c>
      <c r="T1099">
        <f>IF(OR(Dashboard!$P$4="All",Dashboard!$R$4="All"),NA(),IF(OR(Data!K1650&lt;&gt;Dashboard!$P$4,Data!K1650&lt;&gt;Dashboard!$R$4),Data!G1650,NA()))</f>
        <v>8013.5625093491553</v>
      </c>
      <c r="U1099"/>
    </row>
    <row r="1100" spans="2:21">
      <c r="B1100" t="e">
        <f>IF(Dashboard!$P$4="All",Data!G1651,IF(Data!K1651=Dashboard!$P$4,Data!G1651,NA()))</f>
        <v>#N/A</v>
      </c>
      <c r="C1100" t="str">
        <f t="shared" si="151"/>
        <v/>
      </c>
      <c r="D1100" t="str">
        <f t="shared" si="152"/>
        <v/>
      </c>
      <c r="E1100" t="str">
        <f t="shared" si="153"/>
        <v/>
      </c>
      <c r="F1100" t="str">
        <f>IF(C1100&lt;&gt;"",Data!$M1651,"")</f>
        <v/>
      </c>
      <c r="K1100" t="e">
        <f>IF(Dashboard!$R$4="All",Data!G1651,IF(Data!K1651=Dashboard!$R$4,Data!G1651,NA()))</f>
        <v>#N/A</v>
      </c>
      <c r="L1100" t="str">
        <f t="shared" si="154"/>
        <v/>
      </c>
      <c r="M1100" t="str">
        <f t="shared" si="155"/>
        <v/>
      </c>
      <c r="N1100" t="str">
        <f t="shared" si="156"/>
        <v/>
      </c>
      <c r="O1100" t="str">
        <f>IF(L1100&lt;&gt;"",Data!$M1651,"")</f>
        <v/>
      </c>
      <c r="T1100">
        <f>IF(OR(Dashboard!$P$4="All",Dashboard!$R$4="All"),NA(),IF(OR(Data!K1651&lt;&gt;Dashboard!$P$4,Data!K1651&lt;&gt;Dashboard!$R$4),Data!G1651,NA()))</f>
        <v>3561.5833374885137</v>
      </c>
      <c r="U1100"/>
    </row>
    <row r="1101" spans="2:21">
      <c r="B1101" t="e">
        <f>IF(Dashboard!$P$4="All",Data!G1652,IF(Data!K1652=Dashboard!$P$4,Data!G1652,NA()))</f>
        <v>#N/A</v>
      </c>
      <c r="C1101" t="str">
        <f t="shared" si="151"/>
        <v/>
      </c>
      <c r="D1101" t="str">
        <f t="shared" si="152"/>
        <v/>
      </c>
      <c r="E1101" t="str">
        <f t="shared" si="153"/>
        <v/>
      </c>
      <c r="F1101" t="str">
        <f>IF(C1101&lt;&gt;"",Data!$M1652,"")</f>
        <v/>
      </c>
      <c r="K1101" t="e">
        <f>IF(Dashboard!$R$4="All",Data!G1652,IF(Data!K1652=Dashboard!$R$4,Data!G1652,NA()))</f>
        <v>#N/A</v>
      </c>
      <c r="L1101" t="str">
        <f t="shared" si="154"/>
        <v/>
      </c>
      <c r="M1101" t="str">
        <f t="shared" si="155"/>
        <v/>
      </c>
      <c r="N1101" t="str">
        <f t="shared" si="156"/>
        <v/>
      </c>
      <c r="O1101" t="str">
        <f>IF(L1101&lt;&gt;"",Data!$M1652,"")</f>
        <v/>
      </c>
      <c r="T1101">
        <f>IF(OR(Dashboard!$P$4="All",Dashboard!$R$4="All"),NA(),IF(OR(Data!K1652&lt;&gt;Dashboard!$P$4,Data!K1652&lt;&gt;Dashboard!$R$4),Data!G1652,NA()))</f>
        <v>62000</v>
      </c>
      <c r="U1101"/>
    </row>
    <row r="1102" spans="2:21">
      <c r="B1102" t="e">
        <f>IF(Dashboard!$P$4="All",Data!G1653,IF(Data!K1653=Dashboard!$P$4,Data!G1653,NA()))</f>
        <v>#N/A</v>
      </c>
      <c r="C1102" t="str">
        <f t="shared" si="151"/>
        <v/>
      </c>
      <c r="D1102" t="str">
        <f t="shared" si="152"/>
        <v/>
      </c>
      <c r="E1102" t="str">
        <f t="shared" si="153"/>
        <v/>
      </c>
      <c r="F1102" t="str">
        <f>IF(C1102&lt;&gt;"",Data!$M1653,"")</f>
        <v/>
      </c>
      <c r="K1102" t="e">
        <f>IF(Dashboard!$R$4="All",Data!G1653,IF(Data!K1653=Dashboard!$R$4,Data!G1653,NA()))</f>
        <v>#N/A</v>
      </c>
      <c r="L1102" t="str">
        <f t="shared" si="154"/>
        <v/>
      </c>
      <c r="M1102" t="str">
        <f t="shared" si="155"/>
        <v/>
      </c>
      <c r="N1102" t="str">
        <f t="shared" si="156"/>
        <v/>
      </c>
      <c r="O1102" t="str">
        <f>IF(L1102&lt;&gt;"",Data!$M1653,"")</f>
        <v/>
      </c>
      <c r="T1102">
        <f>IF(OR(Dashboard!$P$4="All",Dashboard!$R$4="All"),NA(),IF(OR(Data!K1653&lt;&gt;Dashboard!$P$4,Data!K1653&lt;&gt;Dashboard!$R$4),Data!G1653,NA()))</f>
        <v>26678.388218823762</v>
      </c>
      <c r="U1102"/>
    </row>
    <row r="1103" spans="2:21">
      <c r="B1103" t="e">
        <f>IF(Dashboard!$P$4="All",Data!G1654,IF(Data!K1654=Dashboard!$P$4,Data!G1654,NA()))</f>
        <v>#N/A</v>
      </c>
      <c r="C1103" t="str">
        <f t="shared" si="151"/>
        <v/>
      </c>
      <c r="D1103" t="str">
        <f t="shared" si="152"/>
        <v/>
      </c>
      <c r="E1103" t="str">
        <f t="shared" si="153"/>
        <v/>
      </c>
      <c r="F1103" t="str">
        <f>IF(C1103&lt;&gt;"",Data!$M1654,"")</f>
        <v/>
      </c>
      <c r="K1103">
        <f>IF(Dashboard!$R$4="All",Data!G1654,IF(Data!K1654=Dashboard!$R$4,Data!G1654,NA()))</f>
        <v>70928.022243027779</v>
      </c>
      <c r="L1103">
        <f t="shared" si="154"/>
        <v>70928.022243027779</v>
      </c>
      <c r="M1103" t="str">
        <f t="shared" si="155"/>
        <v/>
      </c>
      <c r="N1103" t="str">
        <f t="shared" si="156"/>
        <v/>
      </c>
      <c r="O1103">
        <f>IF(L1103&lt;&gt;"",Data!$M1654,"")</f>
        <v>5</v>
      </c>
      <c r="T1103">
        <f>IF(OR(Dashboard!$P$4="All",Dashboard!$R$4="All"),NA(),IF(OR(Data!K1654&lt;&gt;Dashboard!$P$4,Data!K1654&lt;&gt;Dashboard!$R$4),Data!G1654,NA()))</f>
        <v>70928.022243027779</v>
      </c>
      <c r="U1103"/>
    </row>
    <row r="1104" spans="2:21">
      <c r="B1104" t="e">
        <f>IF(Dashboard!$P$4="All",Data!G1655,IF(Data!K1655=Dashboard!$P$4,Data!G1655,NA()))</f>
        <v>#N/A</v>
      </c>
      <c r="C1104" t="str">
        <f t="shared" si="151"/>
        <v/>
      </c>
      <c r="D1104" t="str">
        <f t="shared" si="152"/>
        <v/>
      </c>
      <c r="E1104" t="str">
        <f t="shared" si="153"/>
        <v/>
      </c>
      <c r="F1104" t="str">
        <f>IF(C1104&lt;&gt;"",Data!$M1655,"")</f>
        <v/>
      </c>
      <c r="K1104" t="e">
        <f>IF(Dashboard!$R$4="All",Data!G1655,IF(Data!K1655=Dashboard!$R$4,Data!G1655,NA()))</f>
        <v>#N/A</v>
      </c>
      <c r="L1104" t="str">
        <f t="shared" si="154"/>
        <v/>
      </c>
      <c r="M1104" t="str">
        <f t="shared" si="155"/>
        <v/>
      </c>
      <c r="N1104" t="str">
        <f t="shared" si="156"/>
        <v/>
      </c>
      <c r="O1104" t="str">
        <f>IF(L1104&lt;&gt;"",Data!$M1655,"")</f>
        <v/>
      </c>
      <c r="T1104">
        <f>IF(OR(Dashboard!$P$4="All",Dashboard!$R$4="All"),NA(),IF(OR(Data!K1655&lt;&gt;Dashboard!$P$4,Data!K1655&lt;&gt;Dashboard!$R$4),Data!G1655,NA()))</f>
        <v>41923.181486723057</v>
      </c>
      <c r="U1104"/>
    </row>
    <row r="1105" spans="2:21">
      <c r="B1105" t="e">
        <f>IF(Dashboard!$P$4="All",Data!G1656,IF(Data!K1656=Dashboard!$P$4,Data!G1656,NA()))</f>
        <v>#N/A</v>
      </c>
      <c r="C1105" t="str">
        <f t="shared" si="151"/>
        <v/>
      </c>
      <c r="D1105" t="str">
        <f t="shared" si="152"/>
        <v/>
      </c>
      <c r="E1105" t="str">
        <f t="shared" si="153"/>
        <v/>
      </c>
      <c r="F1105" t="str">
        <f>IF(C1105&lt;&gt;"",Data!$M1656,"")</f>
        <v/>
      </c>
      <c r="K1105" t="e">
        <f>IF(Dashboard!$R$4="All",Data!G1656,IF(Data!K1656=Dashboard!$R$4,Data!G1656,NA()))</f>
        <v>#N/A</v>
      </c>
      <c r="L1105" t="str">
        <f t="shared" si="154"/>
        <v/>
      </c>
      <c r="M1105" t="str">
        <f t="shared" si="155"/>
        <v/>
      </c>
      <c r="N1105" t="str">
        <f t="shared" si="156"/>
        <v/>
      </c>
      <c r="O1105" t="str">
        <f>IF(L1105&lt;&gt;"",Data!$M1656,"")</f>
        <v/>
      </c>
      <c r="T1105">
        <f>IF(OR(Dashboard!$P$4="All",Dashboard!$R$4="All"),NA(),IF(OR(Data!K1656&lt;&gt;Dashboard!$P$4,Data!K1656&lt;&gt;Dashboard!$R$4),Data!G1656,NA()))</f>
        <v>90000</v>
      </c>
      <c r="U1105"/>
    </row>
    <row r="1106" spans="2:21">
      <c r="B1106" t="e">
        <f>IF(Dashboard!$P$4="All",Data!G1657,IF(Data!K1657=Dashboard!$P$4,Data!G1657,NA()))</f>
        <v>#N/A</v>
      </c>
      <c r="C1106" t="str">
        <f t="shared" si="151"/>
        <v/>
      </c>
      <c r="D1106" t="str">
        <f t="shared" si="152"/>
        <v/>
      </c>
      <c r="E1106" t="str">
        <f t="shared" si="153"/>
        <v/>
      </c>
      <c r="F1106" t="str">
        <f>IF(C1106&lt;&gt;"",Data!$M1657,"")</f>
        <v/>
      </c>
      <c r="K1106" t="e">
        <f>IF(Dashboard!$R$4="All",Data!G1657,IF(Data!K1657=Dashboard!$R$4,Data!G1657,NA()))</f>
        <v>#N/A</v>
      </c>
      <c r="L1106" t="str">
        <f t="shared" si="154"/>
        <v/>
      </c>
      <c r="M1106" t="str">
        <f t="shared" si="155"/>
        <v/>
      </c>
      <c r="N1106" t="str">
        <f t="shared" si="156"/>
        <v/>
      </c>
      <c r="O1106" t="str">
        <f>IF(L1106&lt;&gt;"",Data!$M1657,"")</f>
        <v/>
      </c>
      <c r="T1106">
        <f>IF(OR(Dashboard!$P$4="All",Dashboard!$R$4="All"),NA(),IF(OR(Data!K1657&lt;&gt;Dashboard!$P$4,Data!K1657&lt;&gt;Dashboard!$R$4),Data!G1657,NA()))</f>
        <v>67700.452577525488</v>
      </c>
      <c r="U1106"/>
    </row>
    <row r="1107" spans="2:21">
      <c r="B1107" t="e">
        <f>IF(Dashboard!$P$4="All",Data!G1658,IF(Data!K1658=Dashboard!$P$4,Data!G1658,NA()))</f>
        <v>#N/A</v>
      </c>
      <c r="C1107" t="str">
        <f t="shared" si="151"/>
        <v/>
      </c>
      <c r="D1107" t="str">
        <f t="shared" si="152"/>
        <v/>
      </c>
      <c r="E1107" t="str">
        <f t="shared" si="153"/>
        <v/>
      </c>
      <c r="F1107" t="str">
        <f>IF(C1107&lt;&gt;"",Data!$M1658,"")</f>
        <v/>
      </c>
      <c r="K1107" t="e">
        <f>IF(Dashboard!$R$4="All",Data!G1658,IF(Data!K1658=Dashboard!$R$4,Data!G1658,NA()))</f>
        <v>#N/A</v>
      </c>
      <c r="L1107" t="str">
        <f t="shared" si="154"/>
        <v/>
      </c>
      <c r="M1107" t="str">
        <f t="shared" si="155"/>
        <v/>
      </c>
      <c r="N1107" t="str">
        <f t="shared" si="156"/>
        <v/>
      </c>
      <c r="O1107" t="str">
        <f>IF(L1107&lt;&gt;"",Data!$M1658,"")</f>
        <v/>
      </c>
      <c r="T1107">
        <f>IF(OR(Dashboard!$P$4="All",Dashboard!$R$4="All"),NA(),IF(OR(Data!K1658&lt;&gt;Dashboard!$P$4,Data!K1658&lt;&gt;Dashboard!$R$4),Data!G1658,NA()))</f>
        <v>85000</v>
      </c>
      <c r="U1107"/>
    </row>
    <row r="1108" spans="2:21">
      <c r="B1108" t="e">
        <f>IF(Dashboard!$P$4="All",Data!G1659,IF(Data!K1659=Dashboard!$P$4,Data!G1659,NA()))</f>
        <v>#N/A</v>
      </c>
      <c r="C1108" t="str">
        <f t="shared" si="151"/>
        <v/>
      </c>
      <c r="D1108" t="str">
        <f t="shared" si="152"/>
        <v/>
      </c>
      <c r="E1108" t="str">
        <f t="shared" si="153"/>
        <v/>
      </c>
      <c r="F1108" t="str">
        <f>IF(C1108&lt;&gt;"",Data!$M1659,"")</f>
        <v/>
      </c>
      <c r="K1108">
        <f>IF(Dashboard!$R$4="All",Data!G1659,IF(Data!K1659=Dashboard!$R$4,Data!G1659,NA()))</f>
        <v>78808.913603364199</v>
      </c>
      <c r="L1108">
        <f t="shared" si="154"/>
        <v>78808.913603364199</v>
      </c>
      <c r="M1108" t="str">
        <f t="shared" si="155"/>
        <v/>
      </c>
      <c r="N1108" t="str">
        <f t="shared" si="156"/>
        <v/>
      </c>
      <c r="O1108">
        <f>IF(L1108&lt;&gt;"",Data!$M1659,"")</f>
        <v>10</v>
      </c>
      <c r="T1108">
        <f>IF(OR(Dashboard!$P$4="All",Dashboard!$R$4="All"),NA(),IF(OR(Data!K1659&lt;&gt;Dashboard!$P$4,Data!K1659&lt;&gt;Dashboard!$R$4),Data!G1659,NA()))</f>
        <v>78808.913603364199</v>
      </c>
      <c r="U1108"/>
    </row>
    <row r="1109" spans="2:21">
      <c r="B1109" t="e">
        <f>IF(Dashboard!$P$4="All",Data!G1660,IF(Data!K1660=Dashboard!$P$4,Data!G1660,NA()))</f>
        <v>#N/A</v>
      </c>
      <c r="C1109" t="str">
        <f t="shared" si="151"/>
        <v/>
      </c>
      <c r="D1109" t="str">
        <f t="shared" si="152"/>
        <v/>
      </c>
      <c r="E1109" t="str">
        <f t="shared" si="153"/>
        <v/>
      </c>
      <c r="F1109" t="str">
        <f>IF(C1109&lt;&gt;"",Data!$M1660,"")</f>
        <v/>
      </c>
      <c r="K1109" t="e">
        <f>IF(Dashboard!$R$4="All",Data!G1660,IF(Data!K1660=Dashboard!$R$4,Data!G1660,NA()))</f>
        <v>#N/A</v>
      </c>
      <c r="L1109" t="str">
        <f t="shared" si="154"/>
        <v/>
      </c>
      <c r="M1109" t="str">
        <f t="shared" si="155"/>
        <v/>
      </c>
      <c r="N1109" t="str">
        <f t="shared" si="156"/>
        <v/>
      </c>
      <c r="O1109" t="str">
        <f>IF(L1109&lt;&gt;"",Data!$M1660,"")</f>
        <v/>
      </c>
      <c r="T1109">
        <f>IF(OR(Dashboard!$P$4="All",Dashboard!$R$4="All"),NA(),IF(OR(Data!K1660&lt;&gt;Dashboard!$P$4,Data!K1660&lt;&gt;Dashboard!$R$4),Data!G1660,NA()))</f>
        <v>65000</v>
      </c>
      <c r="U1109"/>
    </row>
    <row r="1110" spans="2:21">
      <c r="B1110" t="e">
        <f>IF(Dashboard!$P$4="All",Data!G1661,IF(Data!K1661=Dashboard!$P$4,Data!G1661,NA()))</f>
        <v>#N/A</v>
      </c>
      <c r="C1110" t="str">
        <f t="shared" si="151"/>
        <v/>
      </c>
      <c r="D1110" t="str">
        <f t="shared" si="152"/>
        <v/>
      </c>
      <c r="E1110" t="str">
        <f t="shared" si="153"/>
        <v/>
      </c>
      <c r="F1110" t="str">
        <f>IF(C1110&lt;&gt;"",Data!$M1661,"")</f>
        <v/>
      </c>
      <c r="K1110" t="e">
        <f>IF(Dashboard!$R$4="All",Data!G1661,IF(Data!K1661=Dashboard!$R$4,Data!G1661,NA()))</f>
        <v>#N/A</v>
      </c>
      <c r="L1110" t="str">
        <f t="shared" si="154"/>
        <v/>
      </c>
      <c r="M1110" t="str">
        <f t="shared" si="155"/>
        <v/>
      </c>
      <c r="N1110" t="str">
        <f t="shared" si="156"/>
        <v/>
      </c>
      <c r="O1110" t="str">
        <f>IF(L1110&lt;&gt;"",Data!$M1661,"")</f>
        <v/>
      </c>
      <c r="T1110">
        <f>IF(OR(Dashboard!$P$4="All",Dashboard!$R$4="All"),NA(),IF(OR(Data!K1661&lt;&gt;Dashboard!$P$4,Data!K1661&lt;&gt;Dashboard!$R$4),Data!G1661,NA()))</f>
        <v>75000</v>
      </c>
      <c r="U1110"/>
    </row>
    <row r="1111" spans="2:21">
      <c r="B1111" t="e">
        <f>IF(Dashboard!$P$4="All",Data!G1662,IF(Data!K1662=Dashboard!$P$4,Data!G1662,NA()))</f>
        <v>#N/A</v>
      </c>
      <c r="C1111" t="str">
        <f t="shared" si="151"/>
        <v/>
      </c>
      <c r="D1111" t="str">
        <f t="shared" si="152"/>
        <v/>
      </c>
      <c r="E1111" t="str">
        <f t="shared" si="153"/>
        <v/>
      </c>
      <c r="F1111" t="str">
        <f>IF(C1111&lt;&gt;"",Data!$M1662,"")</f>
        <v/>
      </c>
      <c r="K1111" t="e">
        <f>IF(Dashboard!$R$4="All",Data!G1662,IF(Data!K1662=Dashboard!$R$4,Data!G1662,NA()))</f>
        <v>#N/A</v>
      </c>
      <c r="L1111" t="str">
        <f t="shared" si="154"/>
        <v/>
      </c>
      <c r="M1111" t="str">
        <f t="shared" si="155"/>
        <v/>
      </c>
      <c r="N1111" t="str">
        <f t="shared" si="156"/>
        <v/>
      </c>
      <c r="O1111" t="str">
        <f>IF(L1111&lt;&gt;"",Data!$M1662,"")</f>
        <v/>
      </c>
      <c r="T1111">
        <f>IF(OR(Dashboard!$P$4="All",Dashboard!$R$4="All"),NA(),IF(OR(Data!K1662&lt;&gt;Dashboard!$P$4,Data!K1662&lt;&gt;Dashboard!$R$4),Data!G1662,NA()))</f>
        <v>92000</v>
      </c>
      <c r="U1111"/>
    </row>
    <row r="1112" spans="2:21">
      <c r="B1112" t="e">
        <f>IF(Dashboard!$P$4="All",Data!G1663,IF(Data!K1663=Dashboard!$P$4,Data!G1663,NA()))</f>
        <v>#N/A</v>
      </c>
      <c r="C1112" t="str">
        <f t="shared" si="151"/>
        <v/>
      </c>
      <c r="D1112" t="str">
        <f t="shared" si="152"/>
        <v/>
      </c>
      <c r="E1112" t="str">
        <f t="shared" si="153"/>
        <v/>
      </c>
      <c r="F1112" t="str">
        <f>IF(C1112&lt;&gt;"",Data!$M1663,"")</f>
        <v/>
      </c>
      <c r="K1112" t="e">
        <f>IF(Dashboard!$R$4="All",Data!G1663,IF(Data!K1663=Dashboard!$R$4,Data!G1663,NA()))</f>
        <v>#N/A</v>
      </c>
      <c r="L1112" t="str">
        <f t="shared" si="154"/>
        <v/>
      </c>
      <c r="M1112" t="str">
        <f t="shared" si="155"/>
        <v/>
      </c>
      <c r="N1112" t="str">
        <f t="shared" si="156"/>
        <v/>
      </c>
      <c r="O1112" t="str">
        <f>IF(L1112&lt;&gt;"",Data!$M1663,"")</f>
        <v/>
      </c>
      <c r="T1112">
        <f>IF(OR(Dashboard!$P$4="All",Dashboard!$R$4="All"),NA(),IF(OR(Data!K1663&lt;&gt;Dashboard!$P$4,Data!K1663&lt;&gt;Dashboard!$R$4),Data!G1663,NA()))</f>
        <v>50815.977559664309</v>
      </c>
      <c r="U1112"/>
    </row>
    <row r="1113" spans="2:21">
      <c r="B1113" t="e">
        <f>IF(Dashboard!$P$4="All",Data!G1664,IF(Data!K1664=Dashboard!$P$4,Data!G1664,NA()))</f>
        <v>#N/A</v>
      </c>
      <c r="C1113" t="str">
        <f t="shared" si="151"/>
        <v/>
      </c>
      <c r="D1113" t="str">
        <f t="shared" si="152"/>
        <v/>
      </c>
      <c r="E1113" t="str">
        <f t="shared" si="153"/>
        <v/>
      </c>
      <c r="F1113" t="str">
        <f>IF(C1113&lt;&gt;"",Data!$M1664,"")</f>
        <v/>
      </c>
      <c r="K1113">
        <f>IF(Dashboard!$R$4="All",Data!G1664,IF(Data!K1664=Dashboard!$R$4,Data!G1664,NA()))</f>
        <v>55954.328658388586</v>
      </c>
      <c r="L1113">
        <f t="shared" si="154"/>
        <v>55954.328658388586</v>
      </c>
      <c r="M1113" t="str">
        <f t="shared" si="155"/>
        <v/>
      </c>
      <c r="N1113" t="str">
        <f t="shared" si="156"/>
        <v/>
      </c>
      <c r="O1113">
        <f>IF(L1113&lt;&gt;"",Data!$M1664,"")</f>
        <v>8</v>
      </c>
      <c r="T1113">
        <f>IF(OR(Dashboard!$P$4="All",Dashboard!$R$4="All"),NA(),IF(OR(Data!K1664&lt;&gt;Dashboard!$P$4,Data!K1664&lt;&gt;Dashboard!$R$4),Data!G1664,NA()))</f>
        <v>55954.328658388586</v>
      </c>
      <c r="U1113"/>
    </row>
    <row r="1114" spans="2:21">
      <c r="B1114" t="e">
        <f>IF(Dashboard!$P$4="All",Data!G1665,IF(Data!K1665=Dashboard!$P$4,Data!G1665,NA()))</f>
        <v>#N/A</v>
      </c>
      <c r="C1114" t="str">
        <f t="shared" si="151"/>
        <v/>
      </c>
      <c r="D1114" t="str">
        <f t="shared" si="152"/>
        <v/>
      </c>
      <c r="E1114" t="str">
        <f t="shared" si="153"/>
        <v/>
      </c>
      <c r="F1114" t="str">
        <f>IF(C1114&lt;&gt;"",Data!$M1665,"")</f>
        <v/>
      </c>
      <c r="K1114" t="e">
        <f>IF(Dashboard!$R$4="All",Data!G1665,IF(Data!K1665=Dashboard!$R$4,Data!G1665,NA()))</f>
        <v>#N/A</v>
      </c>
      <c r="L1114" t="str">
        <f t="shared" si="154"/>
        <v/>
      </c>
      <c r="M1114" t="str">
        <f t="shared" si="155"/>
        <v/>
      </c>
      <c r="N1114" t="str">
        <f t="shared" si="156"/>
        <v/>
      </c>
      <c r="O1114" t="str">
        <f>IF(L1114&lt;&gt;"",Data!$M1665,"")</f>
        <v/>
      </c>
      <c r="T1114">
        <f>IF(OR(Dashboard!$P$4="All",Dashboard!$R$4="All"),NA(),IF(OR(Data!K1665&lt;&gt;Dashboard!$P$4,Data!K1665&lt;&gt;Dashboard!$R$4),Data!G1665,NA()))</f>
        <v>45000</v>
      </c>
      <c r="U1114"/>
    </row>
    <row r="1115" spans="2:21">
      <c r="B1115" t="e">
        <f>IF(Dashboard!$P$4="All",Data!G1666,IF(Data!K1666=Dashboard!$P$4,Data!G1666,NA()))</f>
        <v>#N/A</v>
      </c>
      <c r="C1115" t="str">
        <f t="shared" si="151"/>
        <v/>
      </c>
      <c r="D1115" t="str">
        <f t="shared" si="152"/>
        <v/>
      </c>
      <c r="E1115" t="str">
        <f t="shared" si="153"/>
        <v/>
      </c>
      <c r="F1115" t="str">
        <f>IF(C1115&lt;&gt;"",Data!$M1666,"")</f>
        <v/>
      </c>
      <c r="K1115" t="e">
        <f>IF(Dashboard!$R$4="All",Data!G1666,IF(Data!K1666=Dashboard!$R$4,Data!G1666,NA()))</f>
        <v>#N/A</v>
      </c>
      <c r="L1115" t="str">
        <f t="shared" si="154"/>
        <v/>
      </c>
      <c r="M1115" t="str">
        <f t="shared" si="155"/>
        <v/>
      </c>
      <c r="N1115" t="str">
        <f t="shared" si="156"/>
        <v/>
      </c>
      <c r="O1115" t="str">
        <f>IF(L1115&lt;&gt;"",Data!$M1666,"")</f>
        <v/>
      </c>
      <c r="T1115">
        <f>IF(OR(Dashboard!$P$4="All",Dashboard!$R$4="All"),NA(),IF(OR(Data!K1666&lt;&gt;Dashboard!$P$4,Data!K1666&lt;&gt;Dashboard!$R$4),Data!G1666,NA()))</f>
        <v>7123.1666749770275</v>
      </c>
      <c r="U1115"/>
    </row>
    <row r="1116" spans="2:21">
      <c r="B1116" t="e">
        <f>IF(Dashboard!$P$4="All",Data!G1667,IF(Data!K1667=Dashboard!$P$4,Data!G1667,NA()))</f>
        <v>#N/A</v>
      </c>
      <c r="C1116" t="str">
        <f t="shared" si="151"/>
        <v/>
      </c>
      <c r="D1116" t="str">
        <f t="shared" si="152"/>
        <v/>
      </c>
      <c r="E1116" t="str">
        <f t="shared" si="153"/>
        <v/>
      </c>
      <c r="F1116" t="str">
        <f>IF(C1116&lt;&gt;"",Data!$M1667,"")</f>
        <v/>
      </c>
      <c r="K1116" t="e">
        <f>IF(Dashboard!$R$4="All",Data!G1667,IF(Data!K1667=Dashboard!$R$4,Data!G1667,NA()))</f>
        <v>#N/A</v>
      </c>
      <c r="L1116" t="str">
        <f t="shared" si="154"/>
        <v/>
      </c>
      <c r="M1116" t="str">
        <f t="shared" si="155"/>
        <v/>
      </c>
      <c r="N1116" t="str">
        <f t="shared" si="156"/>
        <v/>
      </c>
      <c r="O1116" t="str">
        <f>IF(L1116&lt;&gt;"",Data!$M1667,"")</f>
        <v/>
      </c>
      <c r="T1116">
        <f>IF(OR(Dashboard!$P$4="All",Dashboard!$R$4="All"),NA(),IF(OR(Data!K1667&lt;&gt;Dashboard!$P$4,Data!K1667&lt;&gt;Dashboard!$R$4),Data!G1667,NA()))</f>
        <v>49443.946165553374</v>
      </c>
      <c r="U1116"/>
    </row>
    <row r="1117" spans="2:21">
      <c r="B1117" t="e">
        <f>IF(Dashboard!$P$4="All",Data!G1668,IF(Data!K1668=Dashboard!$P$4,Data!G1668,NA()))</f>
        <v>#N/A</v>
      </c>
      <c r="C1117" t="str">
        <f t="shared" si="151"/>
        <v/>
      </c>
      <c r="D1117" t="str">
        <f t="shared" si="152"/>
        <v/>
      </c>
      <c r="E1117" t="str">
        <f t="shared" si="153"/>
        <v/>
      </c>
      <c r="F1117" t="str">
        <f>IF(C1117&lt;&gt;"",Data!$M1668,"")</f>
        <v/>
      </c>
      <c r="K1117" t="e">
        <f>IF(Dashboard!$R$4="All",Data!G1668,IF(Data!K1668=Dashboard!$R$4,Data!G1668,NA()))</f>
        <v>#N/A</v>
      </c>
      <c r="L1117" t="str">
        <f t="shared" si="154"/>
        <v/>
      </c>
      <c r="M1117" t="str">
        <f t="shared" si="155"/>
        <v/>
      </c>
      <c r="N1117" t="str">
        <f t="shared" si="156"/>
        <v/>
      </c>
      <c r="O1117" t="str">
        <f>IF(L1117&lt;&gt;"",Data!$M1668,"")</f>
        <v/>
      </c>
      <c r="T1117">
        <f>IF(OR(Dashboard!$P$4="All",Dashboard!$R$4="All"),NA(),IF(OR(Data!K1668&lt;&gt;Dashboard!$P$4,Data!K1668&lt;&gt;Dashboard!$R$4),Data!G1668,NA()))</f>
        <v>45000</v>
      </c>
      <c r="U1117"/>
    </row>
    <row r="1118" spans="2:21">
      <c r="B1118" t="e">
        <f>IF(Dashboard!$P$4="All",Data!G1669,IF(Data!K1669=Dashboard!$P$4,Data!G1669,NA()))</f>
        <v>#N/A</v>
      </c>
      <c r="C1118" t="str">
        <f t="shared" si="151"/>
        <v/>
      </c>
      <c r="D1118" t="str">
        <f t="shared" si="152"/>
        <v/>
      </c>
      <c r="E1118" t="str">
        <f t="shared" si="153"/>
        <v/>
      </c>
      <c r="F1118" t="str">
        <f>IF(C1118&lt;&gt;"",Data!$M1669,"")</f>
        <v/>
      </c>
      <c r="K1118" t="e">
        <f>IF(Dashboard!$R$4="All",Data!G1669,IF(Data!K1669=Dashboard!$R$4,Data!G1669,NA()))</f>
        <v>#N/A</v>
      </c>
      <c r="L1118" t="str">
        <f t="shared" si="154"/>
        <v/>
      </c>
      <c r="M1118" t="str">
        <f t="shared" si="155"/>
        <v/>
      </c>
      <c r="N1118" t="str">
        <f t="shared" si="156"/>
        <v/>
      </c>
      <c r="O1118" t="str">
        <f>IF(L1118&lt;&gt;"",Data!$M1669,"")</f>
        <v/>
      </c>
      <c r="T1118">
        <f>IF(OR(Dashboard!$P$4="All",Dashboard!$R$4="All"),NA(),IF(OR(Data!K1669&lt;&gt;Dashboard!$P$4,Data!K1669&lt;&gt;Dashboard!$R$4),Data!G1669,NA()))</f>
        <v>60000</v>
      </c>
      <c r="U1118"/>
    </row>
    <row r="1119" spans="2:21">
      <c r="B1119" t="e">
        <f>IF(Dashboard!$P$4="All",Data!G1670,IF(Data!K1670=Dashboard!$P$4,Data!G1670,NA()))</f>
        <v>#N/A</v>
      </c>
      <c r="C1119" t="str">
        <f t="shared" si="151"/>
        <v/>
      </c>
      <c r="D1119" t="str">
        <f t="shared" si="152"/>
        <v/>
      </c>
      <c r="E1119" t="str">
        <f t="shared" si="153"/>
        <v/>
      </c>
      <c r="F1119" t="str">
        <f>IF(C1119&lt;&gt;"",Data!$M1670,"")</f>
        <v/>
      </c>
      <c r="K1119" t="e">
        <f>IF(Dashboard!$R$4="All",Data!G1670,IF(Data!K1670=Dashboard!$R$4,Data!G1670,NA()))</f>
        <v>#N/A</v>
      </c>
      <c r="L1119" t="str">
        <f t="shared" si="154"/>
        <v/>
      </c>
      <c r="M1119" t="str">
        <f t="shared" si="155"/>
        <v/>
      </c>
      <c r="N1119" t="str">
        <f t="shared" si="156"/>
        <v/>
      </c>
      <c r="O1119" t="str">
        <f>IF(L1119&lt;&gt;"",Data!$M1670,"")</f>
        <v/>
      </c>
      <c r="T1119">
        <f>IF(OR(Dashboard!$P$4="All",Dashboard!$R$4="All"),NA(),IF(OR(Data!K1670&lt;&gt;Dashboard!$P$4,Data!K1670&lt;&gt;Dashboard!$R$4),Data!G1670,NA()))</f>
        <v>65000</v>
      </c>
      <c r="U1119"/>
    </row>
    <row r="1120" spans="2:21">
      <c r="B1120" t="e">
        <f>IF(Dashboard!$P$4="All",Data!G1671,IF(Data!K1671=Dashboard!$P$4,Data!G1671,NA()))</f>
        <v>#N/A</v>
      </c>
      <c r="C1120" t="str">
        <f t="shared" si="151"/>
        <v/>
      </c>
      <c r="D1120" t="str">
        <f t="shared" si="152"/>
        <v/>
      </c>
      <c r="E1120" t="str">
        <f t="shared" si="153"/>
        <v/>
      </c>
      <c r="F1120" t="str">
        <f>IF(C1120&lt;&gt;"",Data!$M1671,"")</f>
        <v/>
      </c>
      <c r="K1120" t="e">
        <f>IF(Dashboard!$R$4="All",Data!G1671,IF(Data!K1671=Dashboard!$R$4,Data!G1671,NA()))</f>
        <v>#N/A</v>
      </c>
      <c r="L1120" t="str">
        <f t="shared" si="154"/>
        <v/>
      </c>
      <c r="M1120" t="str">
        <f t="shared" si="155"/>
        <v/>
      </c>
      <c r="N1120" t="str">
        <f t="shared" si="156"/>
        <v/>
      </c>
      <c r="O1120" t="str">
        <f>IF(L1120&lt;&gt;"",Data!$M1671,"")</f>
        <v/>
      </c>
      <c r="T1120">
        <f>IF(OR(Dashboard!$P$4="All",Dashboard!$R$4="All"),NA(),IF(OR(Data!K1671&lt;&gt;Dashboard!$P$4,Data!K1671&lt;&gt;Dashboard!$R$4),Data!G1671,NA()))</f>
        <v>73000</v>
      </c>
      <c r="U1120"/>
    </row>
    <row r="1121" spans="2:21">
      <c r="B1121" t="e">
        <f>IF(Dashboard!$P$4="All",Data!G1672,IF(Data!K1672=Dashboard!$P$4,Data!G1672,NA()))</f>
        <v>#N/A</v>
      </c>
      <c r="C1121" t="str">
        <f t="shared" si="151"/>
        <v/>
      </c>
      <c r="D1121" t="str">
        <f t="shared" si="152"/>
        <v/>
      </c>
      <c r="E1121" t="str">
        <f t="shared" si="153"/>
        <v/>
      </c>
      <c r="F1121" t="str">
        <f>IF(C1121&lt;&gt;"",Data!$M1672,"")</f>
        <v/>
      </c>
      <c r="K1121" t="e">
        <f>IF(Dashboard!$R$4="All",Data!G1672,IF(Data!K1672=Dashboard!$R$4,Data!G1672,NA()))</f>
        <v>#N/A</v>
      </c>
      <c r="L1121" t="str">
        <f t="shared" si="154"/>
        <v/>
      </c>
      <c r="M1121" t="str">
        <f t="shared" si="155"/>
        <v/>
      </c>
      <c r="N1121" t="str">
        <f t="shared" si="156"/>
        <v/>
      </c>
      <c r="O1121" t="str">
        <f>IF(L1121&lt;&gt;"",Data!$M1672,"")</f>
        <v/>
      </c>
      <c r="T1121">
        <f>IF(OR(Dashboard!$P$4="All",Dashboard!$R$4="All"),NA(),IF(OR(Data!K1672&lt;&gt;Dashboard!$P$4,Data!K1672&lt;&gt;Dashboard!$R$4),Data!G1672,NA()))</f>
        <v>54000</v>
      </c>
      <c r="U1121"/>
    </row>
    <row r="1122" spans="2:21">
      <c r="B1122" t="e">
        <f>IF(Dashboard!$P$4="All",Data!G1673,IF(Data!K1673=Dashboard!$P$4,Data!G1673,NA()))</f>
        <v>#N/A</v>
      </c>
      <c r="C1122" t="str">
        <f t="shared" si="151"/>
        <v/>
      </c>
      <c r="D1122" t="str">
        <f t="shared" si="152"/>
        <v/>
      </c>
      <c r="E1122" t="str">
        <f t="shared" si="153"/>
        <v/>
      </c>
      <c r="F1122" t="str">
        <f>IF(C1122&lt;&gt;"",Data!$M1673,"")</f>
        <v/>
      </c>
      <c r="K1122" t="e">
        <f>IF(Dashboard!$R$4="All",Data!G1673,IF(Data!K1673=Dashboard!$R$4,Data!G1673,NA()))</f>
        <v>#N/A</v>
      </c>
      <c r="L1122" t="str">
        <f t="shared" si="154"/>
        <v/>
      </c>
      <c r="M1122" t="str">
        <f t="shared" si="155"/>
        <v/>
      </c>
      <c r="N1122" t="str">
        <f t="shared" si="156"/>
        <v/>
      </c>
      <c r="O1122" t="str">
        <f>IF(L1122&lt;&gt;"",Data!$M1673,"")</f>
        <v/>
      </c>
      <c r="T1122">
        <f>IF(OR(Dashboard!$P$4="All",Dashboard!$R$4="All"),NA(),IF(OR(Data!K1673&lt;&gt;Dashboard!$P$4,Data!K1673&lt;&gt;Dashboard!$R$4),Data!G1673,NA()))</f>
        <v>81000</v>
      </c>
      <c r="U1122"/>
    </row>
    <row r="1123" spans="2:21">
      <c r="B1123" t="e">
        <f>IF(Dashboard!$P$4="All",Data!G1674,IF(Data!K1674=Dashboard!$P$4,Data!G1674,NA()))</f>
        <v>#N/A</v>
      </c>
      <c r="C1123" t="str">
        <f t="shared" si="151"/>
        <v/>
      </c>
      <c r="D1123" t="str">
        <f t="shared" si="152"/>
        <v/>
      </c>
      <c r="E1123" t="str">
        <f t="shared" si="153"/>
        <v/>
      </c>
      <c r="F1123" t="str">
        <f>IF(C1123&lt;&gt;"",Data!$M1674,"")</f>
        <v/>
      </c>
      <c r="K1123" t="e">
        <f>IF(Dashboard!$R$4="All",Data!G1674,IF(Data!K1674=Dashboard!$R$4,Data!G1674,NA()))</f>
        <v>#N/A</v>
      </c>
      <c r="L1123" t="str">
        <f t="shared" si="154"/>
        <v/>
      </c>
      <c r="M1123" t="str">
        <f t="shared" si="155"/>
        <v/>
      </c>
      <c r="N1123" t="str">
        <f t="shared" si="156"/>
        <v/>
      </c>
      <c r="O1123" t="str">
        <f>IF(L1123&lt;&gt;"",Data!$M1674,"")</f>
        <v/>
      </c>
      <c r="T1123">
        <f>IF(OR(Dashboard!$P$4="All",Dashboard!$R$4="All"),NA(),IF(OR(Data!K1674&lt;&gt;Dashboard!$P$4,Data!K1674&lt;&gt;Dashboard!$R$4),Data!G1674,NA()))</f>
        <v>10000</v>
      </c>
      <c r="U1123"/>
    </row>
    <row r="1124" spans="2:21">
      <c r="B1124" t="e">
        <f>IF(Dashboard!$P$4="All",Data!G1675,IF(Data!K1675=Dashboard!$P$4,Data!G1675,NA()))</f>
        <v>#N/A</v>
      </c>
      <c r="C1124" t="str">
        <f t="shared" si="151"/>
        <v/>
      </c>
      <c r="D1124" t="str">
        <f t="shared" si="152"/>
        <v/>
      </c>
      <c r="E1124" t="str">
        <f t="shared" si="153"/>
        <v/>
      </c>
      <c r="F1124" t="str">
        <f>IF(C1124&lt;&gt;"",Data!$M1675,"")</f>
        <v/>
      </c>
      <c r="K1124" t="e">
        <f>IF(Dashboard!$R$4="All",Data!G1675,IF(Data!K1675=Dashboard!$R$4,Data!G1675,NA()))</f>
        <v>#N/A</v>
      </c>
      <c r="L1124" t="str">
        <f t="shared" si="154"/>
        <v/>
      </c>
      <c r="M1124" t="str">
        <f t="shared" si="155"/>
        <v/>
      </c>
      <c r="N1124" t="str">
        <f t="shared" si="156"/>
        <v/>
      </c>
      <c r="O1124" t="str">
        <f>IF(L1124&lt;&gt;"",Data!$M1675,"")</f>
        <v/>
      </c>
      <c r="T1124">
        <f>IF(OR(Dashboard!$P$4="All",Dashboard!$R$4="All"),NA(),IF(OR(Data!K1675&lt;&gt;Dashboard!$P$4,Data!K1675&lt;&gt;Dashboard!$R$4),Data!G1675,NA()))</f>
        <v>42000</v>
      </c>
      <c r="U1124"/>
    </row>
    <row r="1125" spans="2:21">
      <c r="B1125" t="e">
        <f>IF(Dashboard!$P$4="All",Data!G1676,IF(Data!K1676=Dashboard!$P$4,Data!G1676,NA()))</f>
        <v>#N/A</v>
      </c>
      <c r="C1125" t="str">
        <f t="shared" si="151"/>
        <v/>
      </c>
      <c r="D1125" t="str">
        <f t="shared" si="152"/>
        <v/>
      </c>
      <c r="E1125" t="str">
        <f t="shared" si="153"/>
        <v/>
      </c>
      <c r="F1125" t="str">
        <f>IF(C1125&lt;&gt;"",Data!$M1676,"")</f>
        <v/>
      </c>
      <c r="K1125" t="e">
        <f>IF(Dashboard!$R$4="All",Data!G1676,IF(Data!K1676=Dashboard!$R$4,Data!G1676,NA()))</f>
        <v>#N/A</v>
      </c>
      <c r="L1125" t="str">
        <f t="shared" si="154"/>
        <v/>
      </c>
      <c r="M1125" t="str">
        <f t="shared" si="155"/>
        <v/>
      </c>
      <c r="N1125" t="str">
        <f t="shared" si="156"/>
        <v/>
      </c>
      <c r="O1125" t="str">
        <f>IF(L1125&lt;&gt;"",Data!$M1676,"")</f>
        <v/>
      </c>
      <c r="T1125">
        <f>IF(OR(Dashboard!$P$4="All",Dashboard!$R$4="All"),NA(),IF(OR(Data!K1676&lt;&gt;Dashboard!$P$4,Data!K1676&lt;&gt;Dashboard!$R$4),Data!G1676,NA()))</f>
        <v>81592.772512210868</v>
      </c>
      <c r="U1125"/>
    </row>
    <row r="1126" spans="2:21">
      <c r="B1126" t="e">
        <f>IF(Dashboard!$P$4="All",Data!G1677,IF(Data!K1677=Dashboard!$P$4,Data!G1677,NA()))</f>
        <v>#N/A</v>
      </c>
      <c r="C1126" t="str">
        <f t="shared" si="151"/>
        <v/>
      </c>
      <c r="D1126" t="str">
        <f t="shared" si="152"/>
        <v/>
      </c>
      <c r="E1126" t="str">
        <f t="shared" si="153"/>
        <v/>
      </c>
      <c r="F1126" t="str">
        <f>IF(C1126&lt;&gt;"",Data!$M1677,"")</f>
        <v/>
      </c>
      <c r="K1126" t="e">
        <f>IF(Dashboard!$R$4="All",Data!G1677,IF(Data!K1677=Dashboard!$R$4,Data!G1677,NA()))</f>
        <v>#N/A</v>
      </c>
      <c r="L1126" t="str">
        <f t="shared" si="154"/>
        <v/>
      </c>
      <c r="M1126" t="str">
        <f t="shared" si="155"/>
        <v/>
      </c>
      <c r="N1126" t="str">
        <f t="shared" si="156"/>
        <v/>
      </c>
      <c r="O1126" t="str">
        <f>IF(L1126&lt;&gt;"",Data!$M1677,"")</f>
        <v/>
      </c>
      <c r="T1126">
        <f>IF(OR(Dashboard!$P$4="All",Dashboard!$R$4="All"),NA(),IF(OR(Data!K1677&lt;&gt;Dashboard!$P$4,Data!K1677&lt;&gt;Dashboard!$R$4),Data!G1677,NA()))</f>
        <v>35401.014829091764</v>
      </c>
      <c r="U1126"/>
    </row>
    <row r="1127" spans="2:21">
      <c r="B1127" t="e">
        <f>IF(Dashboard!$P$4="All",Data!G1678,IF(Data!K1678=Dashboard!$P$4,Data!G1678,NA()))</f>
        <v>#N/A</v>
      </c>
      <c r="C1127" t="str">
        <f t="shared" si="151"/>
        <v/>
      </c>
      <c r="D1127" t="str">
        <f t="shared" si="152"/>
        <v/>
      </c>
      <c r="E1127" t="str">
        <f t="shared" si="153"/>
        <v/>
      </c>
      <c r="F1127" t="str">
        <f>IF(C1127&lt;&gt;"",Data!$M1678,"")</f>
        <v/>
      </c>
      <c r="K1127" t="e">
        <f>IF(Dashboard!$R$4="All",Data!G1678,IF(Data!K1678=Dashboard!$R$4,Data!G1678,NA()))</f>
        <v>#N/A</v>
      </c>
      <c r="L1127" t="str">
        <f t="shared" si="154"/>
        <v/>
      </c>
      <c r="M1127" t="str">
        <f t="shared" si="155"/>
        <v/>
      </c>
      <c r="N1127" t="str">
        <f t="shared" si="156"/>
        <v/>
      </c>
      <c r="O1127" t="str">
        <f>IF(L1127&lt;&gt;"",Data!$M1678,"")</f>
        <v/>
      </c>
      <c r="T1127">
        <f>IF(OR(Dashboard!$P$4="All",Dashboard!$R$4="All"),NA(),IF(OR(Data!K1678&lt;&gt;Dashboard!$P$4,Data!K1678&lt;&gt;Dashboard!$R$4),Data!G1678,NA()))</f>
        <v>8903.9583437212841</v>
      </c>
      <c r="U1127"/>
    </row>
    <row r="1128" spans="2:21">
      <c r="B1128" t="e">
        <f>IF(Dashboard!$P$4="All",Data!G1679,IF(Data!K1679=Dashboard!$P$4,Data!G1679,NA()))</f>
        <v>#N/A</v>
      </c>
      <c r="C1128" t="str">
        <f t="shared" si="151"/>
        <v/>
      </c>
      <c r="D1128" t="str">
        <f t="shared" si="152"/>
        <v/>
      </c>
      <c r="E1128" t="str">
        <f t="shared" si="153"/>
        <v/>
      </c>
      <c r="F1128" t="str">
        <f>IF(C1128&lt;&gt;"",Data!$M1679,"")</f>
        <v/>
      </c>
      <c r="K1128" t="e">
        <f>IF(Dashboard!$R$4="All",Data!G1679,IF(Data!K1679=Dashboard!$R$4,Data!G1679,NA()))</f>
        <v>#N/A</v>
      </c>
      <c r="L1128" t="str">
        <f t="shared" si="154"/>
        <v/>
      </c>
      <c r="M1128" t="str">
        <f t="shared" si="155"/>
        <v/>
      </c>
      <c r="N1128" t="str">
        <f t="shared" si="156"/>
        <v/>
      </c>
      <c r="O1128" t="str">
        <f>IF(L1128&lt;&gt;"",Data!$M1679,"")</f>
        <v/>
      </c>
      <c r="T1128">
        <f>IF(OR(Dashboard!$P$4="All",Dashboard!$R$4="All"),NA(),IF(OR(Data!K1679&lt;&gt;Dashboard!$P$4,Data!K1679&lt;&gt;Dashboard!$R$4),Data!G1679,NA()))</f>
        <v>10684.750012465542</v>
      </c>
      <c r="U1128"/>
    </row>
    <row r="1129" spans="2:21">
      <c r="B1129" t="e">
        <f>IF(Dashboard!$P$4="All",Data!G1680,IF(Data!K1680=Dashboard!$P$4,Data!G1680,NA()))</f>
        <v>#N/A</v>
      </c>
      <c r="C1129" t="str">
        <f t="shared" si="151"/>
        <v/>
      </c>
      <c r="D1129" t="str">
        <f t="shared" si="152"/>
        <v/>
      </c>
      <c r="E1129" t="str">
        <f t="shared" si="153"/>
        <v/>
      </c>
      <c r="F1129" t="str">
        <f>IF(C1129&lt;&gt;"",Data!$M1680,"")</f>
        <v/>
      </c>
      <c r="K1129" t="e">
        <f>IF(Dashboard!$R$4="All",Data!G1680,IF(Data!K1680=Dashboard!$R$4,Data!G1680,NA()))</f>
        <v>#N/A</v>
      </c>
      <c r="L1129" t="str">
        <f t="shared" si="154"/>
        <v/>
      </c>
      <c r="M1129" t="str">
        <f t="shared" si="155"/>
        <v/>
      </c>
      <c r="N1129" t="str">
        <f t="shared" si="156"/>
        <v/>
      </c>
      <c r="O1129" t="str">
        <f>IF(L1129&lt;&gt;"",Data!$M1680,"")</f>
        <v/>
      </c>
      <c r="T1129">
        <f>IF(OR(Dashboard!$P$4="All",Dashboard!$R$4="All"),NA(),IF(OR(Data!K1680&lt;&gt;Dashboard!$P$4,Data!K1680&lt;&gt;Dashboard!$R$4),Data!G1680,NA()))</f>
        <v>8400</v>
      </c>
      <c r="U1129"/>
    </row>
    <row r="1130" spans="2:21">
      <c r="B1130" t="e">
        <f>IF(Dashboard!$P$4="All",Data!G1681,IF(Data!K1681=Dashboard!$P$4,Data!G1681,NA()))</f>
        <v>#N/A</v>
      </c>
      <c r="C1130" t="str">
        <f t="shared" si="151"/>
        <v/>
      </c>
      <c r="D1130" t="str">
        <f t="shared" si="152"/>
        <v/>
      </c>
      <c r="E1130" t="str">
        <f t="shared" si="153"/>
        <v/>
      </c>
      <c r="F1130" t="str">
        <f>IF(C1130&lt;&gt;"",Data!$M1681,"")</f>
        <v/>
      </c>
      <c r="K1130" t="e">
        <f>IF(Dashboard!$R$4="All",Data!G1681,IF(Data!K1681=Dashboard!$R$4,Data!G1681,NA()))</f>
        <v>#N/A</v>
      </c>
      <c r="L1130" t="str">
        <f t="shared" si="154"/>
        <v/>
      </c>
      <c r="M1130" t="str">
        <f t="shared" si="155"/>
        <v/>
      </c>
      <c r="N1130" t="str">
        <f t="shared" si="156"/>
        <v/>
      </c>
      <c r="O1130" t="str">
        <f>IF(L1130&lt;&gt;"",Data!$M1681,"")</f>
        <v/>
      </c>
      <c r="T1130">
        <f>IF(OR(Dashboard!$P$4="All",Dashboard!$R$4="All"),NA(),IF(OR(Data!K1681&lt;&gt;Dashboard!$P$4,Data!K1681&lt;&gt;Dashboard!$R$4),Data!G1681,NA()))</f>
        <v>9794.354178093412</v>
      </c>
      <c r="U1130"/>
    </row>
    <row r="1131" spans="2:21">
      <c r="B1131" t="e">
        <f>IF(Dashboard!$P$4="All",Data!G1682,IF(Data!K1682=Dashboard!$P$4,Data!G1682,NA()))</f>
        <v>#N/A</v>
      </c>
      <c r="C1131" t="str">
        <f t="shared" si="151"/>
        <v/>
      </c>
      <c r="D1131" t="str">
        <f t="shared" si="152"/>
        <v/>
      </c>
      <c r="E1131" t="str">
        <f t="shared" si="153"/>
        <v/>
      </c>
      <c r="F1131" t="str">
        <f>IF(C1131&lt;&gt;"",Data!$M1682,"")</f>
        <v/>
      </c>
      <c r="K1131" t="e">
        <f>IF(Dashboard!$R$4="All",Data!G1682,IF(Data!K1682=Dashboard!$R$4,Data!G1682,NA()))</f>
        <v>#N/A</v>
      </c>
      <c r="L1131" t="str">
        <f t="shared" si="154"/>
        <v/>
      </c>
      <c r="M1131" t="str">
        <f t="shared" si="155"/>
        <v/>
      </c>
      <c r="N1131" t="str">
        <f t="shared" si="156"/>
        <v/>
      </c>
      <c r="O1131" t="str">
        <f>IF(L1131&lt;&gt;"",Data!$M1682,"")</f>
        <v/>
      </c>
      <c r="T1131">
        <f>IF(OR(Dashboard!$P$4="All",Dashboard!$R$4="All"),NA(),IF(OR(Data!K1682&lt;&gt;Dashboard!$P$4,Data!K1682&lt;&gt;Dashboard!$R$4),Data!G1682,NA()))</f>
        <v>14400</v>
      </c>
      <c r="U1131"/>
    </row>
    <row r="1132" spans="2:21">
      <c r="B1132" t="e">
        <f>IF(Dashboard!$P$4="All",Data!G1683,IF(Data!K1683=Dashboard!$P$4,Data!G1683,NA()))</f>
        <v>#N/A</v>
      </c>
      <c r="C1132" t="str">
        <f t="shared" si="151"/>
        <v/>
      </c>
      <c r="D1132" t="str">
        <f t="shared" si="152"/>
        <v/>
      </c>
      <c r="E1132" t="str">
        <f t="shared" si="153"/>
        <v/>
      </c>
      <c r="F1132" t="str">
        <f>IF(C1132&lt;&gt;"",Data!$M1683,"")</f>
        <v/>
      </c>
      <c r="K1132" t="e">
        <f>IF(Dashboard!$R$4="All",Data!G1683,IF(Data!K1683=Dashboard!$R$4,Data!G1683,NA()))</f>
        <v>#N/A</v>
      </c>
      <c r="L1132" t="str">
        <f t="shared" si="154"/>
        <v/>
      </c>
      <c r="M1132" t="str">
        <f t="shared" si="155"/>
        <v/>
      </c>
      <c r="N1132" t="str">
        <f t="shared" si="156"/>
        <v/>
      </c>
      <c r="O1132" t="str">
        <f>IF(L1132&lt;&gt;"",Data!$M1683,"")</f>
        <v/>
      </c>
      <c r="T1132">
        <f>IF(OR(Dashboard!$P$4="All",Dashboard!$R$4="All"),NA(),IF(OR(Data!K1683&lt;&gt;Dashboard!$P$4,Data!K1683&lt;&gt;Dashboard!$R$4),Data!G1683,NA()))</f>
        <v>2671.1875031163854</v>
      </c>
      <c r="U1132"/>
    </row>
    <row r="1133" spans="2:21">
      <c r="B1133" t="e">
        <f>IF(Dashboard!$P$4="All",Data!G1684,IF(Data!K1684=Dashboard!$P$4,Data!G1684,NA()))</f>
        <v>#N/A</v>
      </c>
      <c r="C1133" t="str">
        <f t="shared" si="151"/>
        <v/>
      </c>
      <c r="D1133" t="str">
        <f t="shared" si="152"/>
        <v/>
      </c>
      <c r="E1133" t="str">
        <f t="shared" si="153"/>
        <v/>
      </c>
      <c r="F1133" t="str">
        <f>IF(C1133&lt;&gt;"",Data!$M1684,"")</f>
        <v/>
      </c>
      <c r="K1133" t="e">
        <f>IF(Dashboard!$R$4="All",Data!G1684,IF(Data!K1684=Dashboard!$R$4,Data!G1684,NA()))</f>
        <v>#N/A</v>
      </c>
      <c r="L1133" t="str">
        <f t="shared" si="154"/>
        <v/>
      </c>
      <c r="M1133" t="str">
        <f t="shared" si="155"/>
        <v/>
      </c>
      <c r="N1133" t="str">
        <f t="shared" si="156"/>
        <v/>
      </c>
      <c r="O1133" t="str">
        <f>IF(L1133&lt;&gt;"",Data!$M1684,"")</f>
        <v/>
      </c>
      <c r="T1133">
        <f>IF(OR(Dashboard!$P$4="All",Dashboard!$R$4="All"),NA(),IF(OR(Data!K1684&lt;&gt;Dashboard!$P$4,Data!K1684&lt;&gt;Dashboard!$R$4),Data!G1684,NA()))</f>
        <v>22000</v>
      </c>
      <c r="U1133"/>
    </row>
    <row r="1134" spans="2:21">
      <c r="B1134" t="e">
        <f>IF(Dashboard!$P$4="All",Data!G1685,IF(Data!K1685=Dashboard!$P$4,Data!G1685,NA()))</f>
        <v>#N/A</v>
      </c>
      <c r="C1134" t="str">
        <f t="shared" si="151"/>
        <v/>
      </c>
      <c r="D1134" t="str">
        <f t="shared" si="152"/>
        <v/>
      </c>
      <c r="E1134" t="str">
        <f t="shared" si="153"/>
        <v/>
      </c>
      <c r="F1134" t="str">
        <f>IF(C1134&lt;&gt;"",Data!$M1685,"")</f>
        <v/>
      </c>
      <c r="K1134" t="e">
        <f>IF(Dashboard!$R$4="All",Data!G1685,IF(Data!K1685=Dashboard!$R$4,Data!G1685,NA()))</f>
        <v>#N/A</v>
      </c>
      <c r="L1134" t="str">
        <f t="shared" si="154"/>
        <v/>
      </c>
      <c r="M1134" t="str">
        <f t="shared" si="155"/>
        <v/>
      </c>
      <c r="N1134" t="str">
        <f t="shared" si="156"/>
        <v/>
      </c>
      <c r="O1134" t="str">
        <f>IF(L1134&lt;&gt;"",Data!$M1685,"")</f>
        <v/>
      </c>
      <c r="T1134">
        <f>IF(OR(Dashboard!$P$4="All",Dashboard!$R$4="All"),NA(),IF(OR(Data!K1685&lt;&gt;Dashboard!$P$4,Data!K1685&lt;&gt;Dashboard!$R$4),Data!G1685,NA()))</f>
        <v>100000</v>
      </c>
      <c r="U1134"/>
    </row>
    <row r="1135" spans="2:21">
      <c r="B1135" t="e">
        <f>IF(Dashboard!$P$4="All",Data!G1686,IF(Data!K1686=Dashboard!$P$4,Data!G1686,NA()))</f>
        <v>#N/A</v>
      </c>
      <c r="C1135" t="str">
        <f t="shared" si="151"/>
        <v/>
      </c>
      <c r="D1135" t="str">
        <f t="shared" si="152"/>
        <v/>
      </c>
      <c r="E1135" t="str">
        <f t="shared" si="153"/>
        <v/>
      </c>
      <c r="F1135" t="str">
        <f>IF(C1135&lt;&gt;"",Data!$M1686,"")</f>
        <v/>
      </c>
      <c r="K1135">
        <f>IF(Dashboard!$R$4="All",Data!G1686,IF(Data!K1686=Dashboard!$R$4,Data!G1686,NA()))</f>
        <v>63047.130882691366</v>
      </c>
      <c r="L1135">
        <f t="shared" si="154"/>
        <v>63047.130882691366</v>
      </c>
      <c r="M1135" t="str">
        <f t="shared" si="155"/>
        <v/>
      </c>
      <c r="N1135" t="str">
        <f t="shared" si="156"/>
        <v/>
      </c>
      <c r="O1135">
        <f>IF(L1135&lt;&gt;"",Data!$M1686,"")</f>
        <v>15</v>
      </c>
      <c r="T1135">
        <f>IF(OR(Dashboard!$P$4="All",Dashboard!$R$4="All"),NA(),IF(OR(Data!K1686&lt;&gt;Dashboard!$P$4,Data!K1686&lt;&gt;Dashboard!$R$4),Data!G1686,NA()))</f>
        <v>63047.130882691366</v>
      </c>
      <c r="U1135"/>
    </row>
    <row r="1136" spans="2:21">
      <c r="B1136" t="e">
        <f>IF(Dashboard!$P$4="All",Data!G1687,IF(Data!K1687=Dashboard!$P$4,Data!G1687,NA()))</f>
        <v>#N/A</v>
      </c>
      <c r="C1136" t="str">
        <f t="shared" si="151"/>
        <v/>
      </c>
      <c r="D1136" t="str">
        <f t="shared" si="152"/>
        <v/>
      </c>
      <c r="E1136" t="str">
        <f t="shared" si="153"/>
        <v/>
      </c>
      <c r="F1136" t="str">
        <f>IF(C1136&lt;&gt;"",Data!$M1687,"")</f>
        <v/>
      </c>
      <c r="K1136">
        <f>IF(Dashboard!$R$4="All",Data!G1687,IF(Data!K1687=Dashboard!$R$4,Data!G1687,NA()))</f>
        <v>56742.417794422225</v>
      </c>
      <c r="L1136">
        <f t="shared" si="154"/>
        <v>56742.417794422225</v>
      </c>
      <c r="M1136" t="str">
        <f t="shared" si="155"/>
        <v/>
      </c>
      <c r="N1136" t="str">
        <f t="shared" si="156"/>
        <v/>
      </c>
      <c r="O1136">
        <f>IF(L1136&lt;&gt;"",Data!$M1687,"")</f>
        <v>25</v>
      </c>
      <c r="T1136">
        <f>IF(OR(Dashboard!$P$4="All",Dashboard!$R$4="All"),NA(),IF(OR(Data!K1687&lt;&gt;Dashboard!$P$4,Data!K1687&lt;&gt;Dashboard!$R$4),Data!G1687,NA()))</f>
        <v>56742.417794422225</v>
      </c>
      <c r="U1136"/>
    </row>
    <row r="1137" spans="2:21">
      <c r="B1137" t="e">
        <f>IF(Dashboard!$P$4="All",Data!G1688,IF(Data!K1688=Dashboard!$P$4,Data!G1688,NA()))</f>
        <v>#N/A</v>
      </c>
      <c r="C1137" t="str">
        <f t="shared" si="151"/>
        <v/>
      </c>
      <c r="D1137" t="str">
        <f t="shared" si="152"/>
        <v/>
      </c>
      <c r="E1137" t="str">
        <f t="shared" si="153"/>
        <v/>
      </c>
      <c r="F1137" t="str">
        <f>IF(C1137&lt;&gt;"",Data!$M1688,"")</f>
        <v/>
      </c>
      <c r="K1137" t="e">
        <f>IF(Dashboard!$R$4="All",Data!G1688,IF(Data!K1688=Dashboard!$R$4,Data!G1688,NA()))</f>
        <v>#N/A</v>
      </c>
      <c r="L1137" t="str">
        <f t="shared" si="154"/>
        <v/>
      </c>
      <c r="M1137" t="str">
        <f t="shared" si="155"/>
        <v/>
      </c>
      <c r="N1137" t="str">
        <f t="shared" si="156"/>
        <v/>
      </c>
      <c r="O1137" t="str">
        <f>IF(L1137&lt;&gt;"",Data!$M1688,"")</f>
        <v/>
      </c>
      <c r="T1137">
        <f>IF(OR(Dashboard!$P$4="All",Dashboard!$R$4="All"),NA(),IF(OR(Data!K1688&lt;&gt;Dashboard!$P$4,Data!K1688&lt;&gt;Dashboard!$R$4),Data!G1688,NA()))</f>
        <v>25000</v>
      </c>
      <c r="U1137"/>
    </row>
    <row r="1138" spans="2:21">
      <c r="B1138" t="e">
        <f>IF(Dashboard!$P$4="All",Data!G1689,IF(Data!K1689=Dashboard!$P$4,Data!G1689,NA()))</f>
        <v>#N/A</v>
      </c>
      <c r="C1138" t="str">
        <f t="shared" si="151"/>
        <v/>
      </c>
      <c r="D1138" t="str">
        <f t="shared" si="152"/>
        <v/>
      </c>
      <c r="E1138" t="str">
        <f t="shared" si="153"/>
        <v/>
      </c>
      <c r="F1138" t="str">
        <f>IF(C1138&lt;&gt;"",Data!$M1689,"")</f>
        <v/>
      </c>
      <c r="K1138" t="e">
        <f>IF(Dashboard!$R$4="All",Data!G1689,IF(Data!K1689=Dashboard!$R$4,Data!G1689,NA()))</f>
        <v>#N/A</v>
      </c>
      <c r="L1138" t="str">
        <f t="shared" si="154"/>
        <v/>
      </c>
      <c r="M1138" t="str">
        <f t="shared" si="155"/>
        <v/>
      </c>
      <c r="N1138" t="str">
        <f t="shared" si="156"/>
        <v/>
      </c>
      <c r="O1138" t="str">
        <f>IF(L1138&lt;&gt;"",Data!$M1689,"")</f>
        <v/>
      </c>
      <c r="T1138">
        <f>IF(OR(Dashboard!$P$4="All",Dashboard!$R$4="All"),NA(),IF(OR(Data!K1689&lt;&gt;Dashboard!$P$4,Data!K1689&lt;&gt;Dashboard!$R$4),Data!G1689,NA()))</f>
        <v>8903.9583437212841</v>
      </c>
      <c r="U1138"/>
    </row>
    <row r="1139" spans="2:21">
      <c r="B1139" t="e">
        <f>IF(Dashboard!$P$4="All",Data!G1690,IF(Data!K1690=Dashboard!$P$4,Data!G1690,NA()))</f>
        <v>#N/A</v>
      </c>
      <c r="C1139" t="str">
        <f t="shared" si="151"/>
        <v/>
      </c>
      <c r="D1139" t="str">
        <f t="shared" si="152"/>
        <v/>
      </c>
      <c r="E1139" t="str">
        <f t="shared" si="153"/>
        <v/>
      </c>
      <c r="F1139" t="str">
        <f>IF(C1139&lt;&gt;"",Data!$M1690,"")</f>
        <v/>
      </c>
      <c r="K1139">
        <f>IF(Dashboard!$R$4="All",Data!G1690,IF(Data!K1690=Dashboard!$R$4,Data!G1690,NA()))</f>
        <v>42556.81334581667</v>
      </c>
      <c r="L1139">
        <f t="shared" si="154"/>
        <v>42556.81334581667</v>
      </c>
      <c r="M1139" t="str">
        <f t="shared" si="155"/>
        <v/>
      </c>
      <c r="N1139" t="str">
        <f t="shared" si="156"/>
        <v/>
      </c>
      <c r="O1139">
        <f>IF(L1139&lt;&gt;"",Data!$M1690,"")</f>
        <v>2</v>
      </c>
      <c r="T1139">
        <f>IF(OR(Dashboard!$P$4="All",Dashboard!$R$4="All"),NA(),IF(OR(Data!K1690&lt;&gt;Dashboard!$P$4,Data!K1690&lt;&gt;Dashboard!$R$4),Data!G1690,NA()))</f>
        <v>42556.81334581667</v>
      </c>
      <c r="U1139"/>
    </row>
    <row r="1140" spans="2:21">
      <c r="B1140" t="e">
        <f>IF(Dashboard!$P$4="All",Data!G1691,IF(Data!K1691=Dashboard!$P$4,Data!G1691,NA()))</f>
        <v>#N/A</v>
      </c>
      <c r="C1140" t="str">
        <f t="shared" si="151"/>
        <v/>
      </c>
      <c r="D1140" t="str">
        <f t="shared" si="152"/>
        <v/>
      </c>
      <c r="E1140" t="str">
        <f t="shared" si="153"/>
        <v/>
      </c>
      <c r="F1140" t="str">
        <f>IF(C1140&lt;&gt;"",Data!$M1691,"")</f>
        <v/>
      </c>
      <c r="K1140" t="e">
        <f>IF(Dashboard!$R$4="All",Data!G1691,IF(Data!K1691=Dashboard!$R$4,Data!G1691,NA()))</f>
        <v>#N/A</v>
      </c>
      <c r="L1140" t="str">
        <f t="shared" si="154"/>
        <v/>
      </c>
      <c r="M1140" t="str">
        <f t="shared" si="155"/>
        <v/>
      </c>
      <c r="N1140" t="str">
        <f t="shared" si="156"/>
        <v/>
      </c>
      <c r="O1140" t="str">
        <f>IF(L1140&lt;&gt;"",Data!$M1691,"")</f>
        <v/>
      </c>
      <c r="T1140">
        <f>IF(OR(Dashboard!$P$4="All",Dashboard!$R$4="All"),NA(),IF(OR(Data!K1691&lt;&gt;Dashboard!$P$4,Data!K1691&lt;&gt;Dashboard!$R$4),Data!G1691,NA()))</f>
        <v>131770.4440860638</v>
      </c>
      <c r="U1140"/>
    </row>
    <row r="1141" spans="2:21">
      <c r="B1141" t="e">
        <f>IF(Dashboard!$P$4="All",Data!G1692,IF(Data!K1692=Dashboard!$P$4,Data!G1692,NA()))</f>
        <v>#N/A</v>
      </c>
      <c r="C1141" t="str">
        <f t="shared" si="151"/>
        <v/>
      </c>
      <c r="D1141" t="str">
        <f t="shared" si="152"/>
        <v/>
      </c>
      <c r="E1141" t="str">
        <f t="shared" si="153"/>
        <v/>
      </c>
      <c r="F1141" t="str">
        <f>IF(C1141&lt;&gt;"",Data!$M1692,"")</f>
        <v/>
      </c>
      <c r="K1141" t="e">
        <f>IF(Dashboard!$R$4="All",Data!G1692,IF(Data!K1692=Dashboard!$R$4,Data!G1692,NA()))</f>
        <v>#N/A</v>
      </c>
      <c r="L1141" t="str">
        <f t="shared" si="154"/>
        <v/>
      </c>
      <c r="M1141" t="str">
        <f t="shared" si="155"/>
        <v/>
      </c>
      <c r="N1141" t="str">
        <f t="shared" si="156"/>
        <v/>
      </c>
      <c r="O1141" t="str">
        <f>IF(L1141&lt;&gt;"",Data!$M1692,"")</f>
        <v/>
      </c>
      <c r="T1141">
        <f>IF(OR(Dashboard!$P$4="All",Dashboard!$R$4="All"),NA(),IF(OR(Data!K1692&lt;&gt;Dashboard!$P$4,Data!K1692&lt;&gt;Dashboard!$R$4),Data!G1692,NA()))</f>
        <v>68835.306612122877</v>
      </c>
      <c r="U1141"/>
    </row>
    <row r="1142" spans="2:21">
      <c r="B1142" t="e">
        <f>IF(Dashboard!$P$4="All",Data!G1693,IF(Data!K1693=Dashboard!$P$4,Data!G1693,NA()))</f>
        <v>#N/A</v>
      </c>
      <c r="C1142" t="str">
        <f t="shared" si="151"/>
        <v/>
      </c>
      <c r="D1142" t="str">
        <f t="shared" si="152"/>
        <v/>
      </c>
      <c r="E1142" t="str">
        <f t="shared" si="153"/>
        <v/>
      </c>
      <c r="F1142" t="str">
        <f>IF(C1142&lt;&gt;"",Data!$M1693,"")</f>
        <v/>
      </c>
      <c r="K1142" t="e">
        <f>IF(Dashboard!$R$4="All",Data!G1693,IF(Data!K1693=Dashboard!$R$4,Data!G1693,NA()))</f>
        <v>#N/A</v>
      </c>
      <c r="L1142" t="str">
        <f t="shared" si="154"/>
        <v/>
      </c>
      <c r="M1142" t="str">
        <f t="shared" si="155"/>
        <v/>
      </c>
      <c r="N1142" t="str">
        <f t="shared" si="156"/>
        <v/>
      </c>
      <c r="O1142" t="str">
        <f>IF(L1142&lt;&gt;"",Data!$M1693,"")</f>
        <v/>
      </c>
      <c r="T1142">
        <f>IF(OR(Dashboard!$P$4="All",Dashboard!$R$4="All"),NA(),IF(OR(Data!K1693&lt;&gt;Dashboard!$P$4,Data!K1693&lt;&gt;Dashboard!$R$4),Data!G1693,NA()))</f>
        <v>6000</v>
      </c>
      <c r="U1142"/>
    </row>
    <row r="1143" spans="2:21">
      <c r="B1143" t="e">
        <f>IF(Dashboard!$P$4="All",Data!G1694,IF(Data!K1694=Dashboard!$P$4,Data!G1694,NA()))</f>
        <v>#N/A</v>
      </c>
      <c r="C1143" t="str">
        <f t="shared" si="151"/>
        <v/>
      </c>
      <c r="D1143" t="str">
        <f t="shared" si="152"/>
        <v/>
      </c>
      <c r="E1143" t="str">
        <f t="shared" si="153"/>
        <v/>
      </c>
      <c r="F1143" t="str">
        <f>IF(C1143&lt;&gt;"",Data!$M1694,"")</f>
        <v/>
      </c>
      <c r="K1143">
        <f>IF(Dashboard!$R$4="All",Data!G1694,IF(Data!K1694=Dashboard!$R$4,Data!G1694,NA()))</f>
        <v>78808.913603364199</v>
      </c>
      <c r="L1143">
        <f t="shared" si="154"/>
        <v>78808.913603364199</v>
      </c>
      <c r="M1143" t="str">
        <f t="shared" si="155"/>
        <v/>
      </c>
      <c r="N1143" t="str">
        <f t="shared" si="156"/>
        <v/>
      </c>
      <c r="O1143">
        <f>IF(L1143&lt;&gt;"",Data!$M1694,"")</f>
        <v>2</v>
      </c>
      <c r="T1143">
        <f>IF(OR(Dashboard!$P$4="All",Dashboard!$R$4="All"),NA(),IF(OR(Data!K1694&lt;&gt;Dashboard!$P$4,Data!K1694&lt;&gt;Dashboard!$R$4),Data!G1694,NA()))</f>
        <v>78808.913603364199</v>
      </c>
      <c r="U1143"/>
    </row>
    <row r="1144" spans="2:21">
      <c r="B1144" t="e">
        <f>IF(Dashboard!$P$4="All",Data!G1695,IF(Data!K1695=Dashboard!$P$4,Data!G1695,NA()))</f>
        <v>#N/A</v>
      </c>
      <c r="C1144" t="str">
        <f t="shared" si="151"/>
        <v/>
      </c>
      <c r="D1144" t="str">
        <f t="shared" si="152"/>
        <v/>
      </c>
      <c r="E1144" t="str">
        <f t="shared" si="153"/>
        <v/>
      </c>
      <c r="F1144" t="str">
        <f>IF(C1144&lt;&gt;"",Data!$M1695,"")</f>
        <v/>
      </c>
      <c r="K1144" t="e">
        <f>IF(Dashboard!$R$4="All",Data!G1695,IF(Data!K1695=Dashboard!$R$4,Data!G1695,NA()))</f>
        <v>#N/A</v>
      </c>
      <c r="L1144" t="str">
        <f t="shared" si="154"/>
        <v/>
      </c>
      <c r="M1144" t="str">
        <f t="shared" si="155"/>
        <v/>
      </c>
      <c r="N1144" t="str">
        <f t="shared" si="156"/>
        <v/>
      </c>
      <c r="O1144" t="str">
        <f>IF(L1144&lt;&gt;"",Data!$M1695,"")</f>
        <v/>
      </c>
      <c r="T1144">
        <f>IF(OR(Dashboard!$P$4="All",Dashboard!$R$4="All"),NA(),IF(OR(Data!K1695&lt;&gt;Dashboard!$P$4,Data!K1695&lt;&gt;Dashboard!$R$4),Data!G1695,NA()))</f>
        <v>7497.1329254133216</v>
      </c>
      <c r="U1144"/>
    </row>
    <row r="1145" spans="2:21">
      <c r="B1145" t="e">
        <f>IF(Dashboard!$P$4="All",Data!G1696,IF(Data!K1696=Dashboard!$P$4,Data!G1696,NA()))</f>
        <v>#N/A</v>
      </c>
      <c r="C1145" t="str">
        <f t="shared" si="151"/>
        <v/>
      </c>
      <c r="D1145" t="str">
        <f t="shared" si="152"/>
        <v/>
      </c>
      <c r="E1145" t="str">
        <f t="shared" si="153"/>
        <v/>
      </c>
      <c r="F1145" t="str">
        <f>IF(C1145&lt;&gt;"",Data!$M1696,"")</f>
        <v/>
      </c>
      <c r="K1145" t="e">
        <f>IF(Dashboard!$R$4="All",Data!G1696,IF(Data!K1696=Dashboard!$R$4,Data!G1696,NA()))</f>
        <v>#N/A</v>
      </c>
      <c r="L1145" t="str">
        <f t="shared" si="154"/>
        <v/>
      </c>
      <c r="M1145" t="str">
        <f t="shared" si="155"/>
        <v/>
      </c>
      <c r="N1145" t="str">
        <f t="shared" si="156"/>
        <v/>
      </c>
      <c r="O1145" t="str">
        <f>IF(L1145&lt;&gt;"",Data!$M1696,"")</f>
        <v/>
      </c>
      <c r="T1145">
        <f>IF(OR(Dashboard!$P$4="All",Dashboard!$R$4="All"),NA(),IF(OR(Data!K1696&lt;&gt;Dashboard!$P$4,Data!K1696&lt;&gt;Dashboard!$R$4),Data!G1696,NA()))</f>
        <v>10000</v>
      </c>
      <c r="U1145"/>
    </row>
    <row r="1146" spans="2:21">
      <c r="B1146" t="e">
        <f>IF(Dashboard!$P$4="All",Data!G1697,IF(Data!K1697=Dashboard!$P$4,Data!G1697,NA()))</f>
        <v>#N/A</v>
      </c>
      <c r="C1146" t="str">
        <f t="shared" si="151"/>
        <v/>
      </c>
      <c r="D1146" t="str">
        <f t="shared" si="152"/>
        <v/>
      </c>
      <c r="E1146" t="str">
        <f t="shared" si="153"/>
        <v/>
      </c>
      <c r="F1146" t="str">
        <f>IF(C1146&lt;&gt;"",Data!$M1697,"")</f>
        <v/>
      </c>
      <c r="K1146" t="e">
        <f>IF(Dashboard!$R$4="All",Data!G1697,IF(Data!K1697=Dashboard!$R$4,Data!G1697,NA()))</f>
        <v>#N/A</v>
      </c>
      <c r="L1146" t="str">
        <f t="shared" si="154"/>
        <v/>
      </c>
      <c r="M1146" t="str">
        <f t="shared" si="155"/>
        <v/>
      </c>
      <c r="N1146" t="str">
        <f t="shared" si="156"/>
        <v/>
      </c>
      <c r="O1146" t="str">
        <f>IF(L1146&lt;&gt;"",Data!$M1697,"")</f>
        <v/>
      </c>
      <c r="T1146">
        <f>IF(OR(Dashboard!$P$4="All",Dashboard!$R$4="All"),NA(),IF(OR(Data!K1697&lt;&gt;Dashboard!$P$4,Data!K1697&lt;&gt;Dashboard!$R$4),Data!G1697,NA()))</f>
        <v>6410.8500074793246</v>
      </c>
      <c r="U1146"/>
    </row>
    <row r="1147" spans="2:21">
      <c r="B1147" t="e">
        <f>IF(Dashboard!$P$4="All",Data!G1698,IF(Data!K1698=Dashboard!$P$4,Data!G1698,NA()))</f>
        <v>#N/A</v>
      </c>
      <c r="C1147" t="str">
        <f t="shared" si="151"/>
        <v/>
      </c>
      <c r="D1147" t="str">
        <f t="shared" si="152"/>
        <v/>
      </c>
      <c r="E1147" t="str">
        <f t="shared" si="153"/>
        <v/>
      </c>
      <c r="F1147" t="str">
        <f>IF(C1147&lt;&gt;"",Data!$M1698,"")</f>
        <v/>
      </c>
      <c r="K1147">
        <f>IF(Dashboard!$R$4="All",Data!G1698,IF(Data!K1698=Dashboard!$R$4,Data!G1698,NA()))</f>
        <v>63047.130882691366</v>
      </c>
      <c r="L1147">
        <f t="shared" si="154"/>
        <v>63047.130882691366</v>
      </c>
      <c r="M1147" t="str">
        <f t="shared" si="155"/>
        <v/>
      </c>
      <c r="N1147" t="str">
        <f t="shared" si="156"/>
        <v/>
      </c>
      <c r="O1147">
        <f>IF(L1147&lt;&gt;"",Data!$M1698,"")</f>
        <v>5</v>
      </c>
      <c r="T1147">
        <f>IF(OR(Dashboard!$P$4="All",Dashboard!$R$4="All"),NA(),IF(OR(Data!K1698&lt;&gt;Dashboard!$P$4,Data!K1698&lt;&gt;Dashboard!$R$4),Data!G1698,NA()))</f>
        <v>63047.130882691366</v>
      </c>
      <c r="U1147"/>
    </row>
    <row r="1148" spans="2:21">
      <c r="B1148" t="e">
        <f>IF(Dashboard!$P$4="All",Data!G1699,IF(Data!K1699=Dashboard!$P$4,Data!G1699,NA()))</f>
        <v>#N/A</v>
      </c>
      <c r="C1148" t="str">
        <f t="shared" si="151"/>
        <v/>
      </c>
      <c r="D1148" t="str">
        <f t="shared" si="152"/>
        <v/>
      </c>
      <c r="E1148" t="str">
        <f t="shared" si="153"/>
        <v/>
      </c>
      <c r="F1148" t="str">
        <f>IF(C1148&lt;&gt;"",Data!$M1699,"")</f>
        <v/>
      </c>
      <c r="K1148" t="e">
        <f>IF(Dashboard!$R$4="All",Data!G1699,IF(Data!K1699=Dashboard!$R$4,Data!G1699,NA()))</f>
        <v>#N/A</v>
      </c>
      <c r="L1148" t="str">
        <f t="shared" si="154"/>
        <v/>
      </c>
      <c r="M1148" t="str">
        <f t="shared" si="155"/>
        <v/>
      </c>
      <c r="N1148" t="str">
        <f t="shared" si="156"/>
        <v/>
      </c>
      <c r="O1148" t="str">
        <f>IF(L1148&lt;&gt;"",Data!$M1699,"")</f>
        <v/>
      </c>
      <c r="T1148">
        <f>IF(OR(Dashboard!$P$4="All",Dashboard!$R$4="All"),NA(),IF(OR(Data!K1699&lt;&gt;Dashboard!$P$4,Data!K1699&lt;&gt;Dashboard!$R$4),Data!G1699,NA()))</f>
        <v>61194.579384158147</v>
      </c>
      <c r="U1148"/>
    </row>
    <row r="1149" spans="2:21">
      <c r="B1149" t="e">
        <f>IF(Dashboard!$P$4="All",Data!G1700,IF(Data!K1700=Dashboard!$P$4,Data!G1700,NA()))</f>
        <v>#N/A</v>
      </c>
      <c r="C1149" t="str">
        <f t="shared" si="151"/>
        <v/>
      </c>
      <c r="D1149" t="str">
        <f t="shared" si="152"/>
        <v/>
      </c>
      <c r="E1149" t="str">
        <f t="shared" si="153"/>
        <v/>
      </c>
      <c r="F1149" t="str">
        <f>IF(C1149&lt;&gt;"",Data!$M1700,"")</f>
        <v/>
      </c>
      <c r="K1149">
        <f>IF(Dashboard!$R$4="All",Data!G1700,IF(Data!K1700=Dashboard!$R$4,Data!G1700,NA()))</f>
        <v>115061.01386091174</v>
      </c>
      <c r="L1149">
        <f t="shared" si="154"/>
        <v>115061.01386091174</v>
      </c>
      <c r="M1149">
        <f t="shared" si="155"/>
        <v>115061.01386091174</v>
      </c>
      <c r="N1149" t="str">
        <f t="shared" si="156"/>
        <v/>
      </c>
      <c r="O1149">
        <f>IF(L1149&lt;&gt;"",Data!$M1700,"")</f>
        <v>8</v>
      </c>
      <c r="T1149">
        <f>IF(OR(Dashboard!$P$4="All",Dashboard!$R$4="All"),NA(),IF(OR(Data!K1700&lt;&gt;Dashboard!$P$4,Data!K1700&lt;&gt;Dashboard!$R$4),Data!G1700,NA()))</f>
        <v>115061.01386091174</v>
      </c>
      <c r="U1149"/>
    </row>
    <row r="1150" spans="2:21">
      <c r="B1150" t="e">
        <f>IF(Dashboard!$P$4="All",Data!G1701,IF(Data!K1701=Dashboard!$P$4,Data!G1701,NA()))</f>
        <v>#N/A</v>
      </c>
      <c r="C1150" t="str">
        <f t="shared" si="151"/>
        <v/>
      </c>
      <c r="D1150" t="str">
        <f t="shared" si="152"/>
        <v/>
      </c>
      <c r="E1150" t="str">
        <f t="shared" si="153"/>
        <v/>
      </c>
      <c r="F1150" t="str">
        <f>IF(C1150&lt;&gt;"",Data!$M1701,"")</f>
        <v/>
      </c>
      <c r="K1150" t="e">
        <f>IF(Dashboard!$R$4="All",Data!G1701,IF(Data!K1701=Dashboard!$R$4,Data!G1701,NA()))</f>
        <v>#N/A</v>
      </c>
      <c r="L1150" t="str">
        <f t="shared" si="154"/>
        <v/>
      </c>
      <c r="M1150" t="str">
        <f t="shared" si="155"/>
        <v/>
      </c>
      <c r="N1150" t="str">
        <f t="shared" si="156"/>
        <v/>
      </c>
      <c r="O1150" t="str">
        <f>IF(L1150&lt;&gt;"",Data!$M1701,"")</f>
        <v/>
      </c>
      <c r="T1150">
        <f>IF(OR(Dashboard!$P$4="All",Dashboard!$R$4="All"),NA(),IF(OR(Data!K1701&lt;&gt;Dashboard!$P$4,Data!K1701&lt;&gt;Dashboard!$R$4),Data!G1701,NA()))</f>
        <v>45000</v>
      </c>
      <c r="U1150"/>
    </row>
    <row r="1151" spans="2:21">
      <c r="B1151" t="e">
        <f>IF(Dashboard!$P$4="All",Data!G1702,IF(Data!K1702=Dashboard!$P$4,Data!G1702,NA()))</f>
        <v>#N/A</v>
      </c>
      <c r="C1151" t="str">
        <f t="shared" si="151"/>
        <v/>
      </c>
      <c r="D1151" t="str">
        <f t="shared" si="152"/>
        <v/>
      </c>
      <c r="E1151" t="str">
        <f t="shared" si="153"/>
        <v/>
      </c>
      <c r="F1151" t="str">
        <f>IF(C1151&lt;&gt;"",Data!$M1702,"")</f>
        <v/>
      </c>
      <c r="K1151" t="e">
        <f>IF(Dashboard!$R$4="All",Data!G1702,IF(Data!K1702=Dashboard!$R$4,Data!G1702,NA()))</f>
        <v>#N/A</v>
      </c>
      <c r="L1151" t="str">
        <f t="shared" si="154"/>
        <v/>
      </c>
      <c r="M1151" t="str">
        <f t="shared" si="155"/>
        <v/>
      </c>
      <c r="N1151" t="str">
        <f t="shared" si="156"/>
        <v/>
      </c>
      <c r="O1151" t="str">
        <f>IF(L1151&lt;&gt;"",Data!$M1702,"")</f>
        <v/>
      </c>
      <c r="T1151">
        <f>IF(OR(Dashboard!$P$4="All",Dashboard!$R$4="All"),NA(),IF(OR(Data!K1702&lt;&gt;Dashboard!$P$4,Data!K1702&lt;&gt;Dashboard!$R$4),Data!G1702,NA()))</f>
        <v>36000</v>
      </c>
      <c r="U1151"/>
    </row>
    <row r="1152" spans="2:21">
      <c r="B1152" t="e">
        <f>IF(Dashboard!$P$4="All",Data!G1703,IF(Data!K1703=Dashboard!$P$4,Data!G1703,NA()))</f>
        <v>#N/A</v>
      </c>
      <c r="C1152" t="str">
        <f t="shared" si="151"/>
        <v/>
      </c>
      <c r="D1152" t="str">
        <f t="shared" si="152"/>
        <v/>
      </c>
      <c r="E1152" t="str">
        <f t="shared" si="153"/>
        <v/>
      </c>
      <c r="F1152" t="str">
        <f>IF(C1152&lt;&gt;"",Data!$M1703,"")</f>
        <v/>
      </c>
      <c r="K1152" t="e">
        <f>IF(Dashboard!$R$4="All",Data!G1703,IF(Data!K1703=Dashboard!$R$4,Data!G1703,NA()))</f>
        <v>#N/A</v>
      </c>
      <c r="L1152" t="str">
        <f t="shared" si="154"/>
        <v/>
      </c>
      <c r="M1152" t="str">
        <f t="shared" si="155"/>
        <v/>
      </c>
      <c r="N1152" t="str">
        <f t="shared" si="156"/>
        <v/>
      </c>
      <c r="O1152" t="str">
        <f>IF(L1152&lt;&gt;"",Data!$M1703,"")</f>
        <v/>
      </c>
      <c r="T1152">
        <f>IF(OR(Dashboard!$P$4="All",Dashboard!$R$4="All"),NA(),IF(OR(Data!K1703&lt;&gt;Dashboard!$P$4,Data!K1703&lt;&gt;Dashboard!$R$4),Data!G1703,NA()))</f>
        <v>68000</v>
      </c>
      <c r="U1152"/>
    </row>
    <row r="1153" spans="2:21">
      <c r="B1153" t="e">
        <f>IF(Dashboard!$P$4="All",Data!G1704,IF(Data!K1704=Dashboard!$P$4,Data!G1704,NA()))</f>
        <v>#N/A</v>
      </c>
      <c r="C1153" t="str">
        <f t="shared" si="151"/>
        <v/>
      </c>
      <c r="D1153" t="str">
        <f t="shared" si="152"/>
        <v/>
      </c>
      <c r="E1153" t="str">
        <f t="shared" si="153"/>
        <v/>
      </c>
      <c r="F1153" t="str">
        <f>IF(C1153&lt;&gt;"",Data!$M1704,"")</f>
        <v/>
      </c>
      <c r="K1153" t="e">
        <f>IF(Dashboard!$R$4="All",Data!G1704,IF(Data!K1704=Dashboard!$R$4,Data!G1704,NA()))</f>
        <v>#N/A</v>
      </c>
      <c r="L1153" t="str">
        <f t="shared" si="154"/>
        <v/>
      </c>
      <c r="M1153" t="str">
        <f t="shared" si="155"/>
        <v/>
      </c>
      <c r="N1153" t="str">
        <f t="shared" si="156"/>
        <v/>
      </c>
      <c r="O1153" t="str">
        <f>IF(L1153&lt;&gt;"",Data!$M1704,"")</f>
        <v/>
      </c>
      <c r="T1153">
        <f>IF(OR(Dashboard!$P$4="All",Dashboard!$R$4="All"),NA(),IF(OR(Data!K1704&lt;&gt;Dashboard!$P$4,Data!K1704&lt;&gt;Dashboard!$R$4),Data!G1704,NA()))</f>
        <v>75000</v>
      </c>
      <c r="U1153"/>
    </row>
    <row r="1154" spans="2:21">
      <c r="B1154" t="e">
        <f>IF(Dashboard!$P$4="All",Data!G1705,IF(Data!K1705=Dashboard!$P$4,Data!G1705,NA()))</f>
        <v>#N/A</v>
      </c>
      <c r="C1154" t="str">
        <f t="shared" si="151"/>
        <v/>
      </c>
      <c r="D1154" t="str">
        <f t="shared" si="152"/>
        <v/>
      </c>
      <c r="E1154" t="str">
        <f t="shared" si="153"/>
        <v/>
      </c>
      <c r="F1154" t="str">
        <f>IF(C1154&lt;&gt;"",Data!$M1705,"")</f>
        <v/>
      </c>
      <c r="K1154" t="e">
        <f>IF(Dashboard!$R$4="All",Data!G1705,IF(Data!K1705=Dashboard!$R$4,Data!G1705,NA()))</f>
        <v>#N/A</v>
      </c>
      <c r="L1154" t="str">
        <f t="shared" si="154"/>
        <v/>
      </c>
      <c r="M1154" t="str">
        <f t="shared" si="155"/>
        <v/>
      </c>
      <c r="N1154" t="str">
        <f t="shared" si="156"/>
        <v/>
      </c>
      <c r="O1154" t="str">
        <f>IF(L1154&lt;&gt;"",Data!$M1705,"")</f>
        <v/>
      </c>
      <c r="T1154">
        <f>IF(OR(Dashboard!$P$4="All",Dashboard!$R$4="All"),NA(),IF(OR(Data!K1705&lt;&gt;Dashboard!$P$4,Data!K1705&lt;&gt;Dashboard!$R$4),Data!G1705,NA()))</f>
        <v>88000</v>
      </c>
      <c r="U1154"/>
    </row>
    <row r="1155" spans="2:21">
      <c r="B1155" t="e">
        <f>IF(Dashboard!$P$4="All",Data!G1706,IF(Data!K1706=Dashboard!$P$4,Data!G1706,NA()))</f>
        <v>#N/A</v>
      </c>
      <c r="C1155" t="str">
        <f t="shared" si="151"/>
        <v/>
      </c>
      <c r="D1155" t="str">
        <f t="shared" si="152"/>
        <v/>
      </c>
      <c r="E1155" t="str">
        <f t="shared" si="153"/>
        <v/>
      </c>
      <c r="F1155" t="str">
        <f>IF(C1155&lt;&gt;"",Data!$M1706,"")</f>
        <v/>
      </c>
      <c r="K1155" t="e">
        <f>IF(Dashboard!$R$4="All",Data!G1706,IF(Data!K1706=Dashboard!$R$4,Data!G1706,NA()))</f>
        <v>#N/A</v>
      </c>
      <c r="L1155" t="str">
        <f t="shared" si="154"/>
        <v/>
      </c>
      <c r="M1155" t="str">
        <f t="shared" si="155"/>
        <v/>
      </c>
      <c r="N1155" t="str">
        <f t="shared" si="156"/>
        <v/>
      </c>
      <c r="O1155" t="str">
        <f>IF(L1155&lt;&gt;"",Data!$M1706,"")</f>
        <v/>
      </c>
      <c r="T1155">
        <f>IF(OR(Dashboard!$P$4="All",Dashboard!$R$4="All"),NA(),IF(OR(Data!K1706&lt;&gt;Dashboard!$P$4,Data!K1706&lt;&gt;Dashboard!$R$4),Data!G1706,NA()))</f>
        <v>4594.4425053601826</v>
      </c>
      <c r="U1155"/>
    </row>
    <row r="1156" spans="2:21">
      <c r="B1156" t="e">
        <f>IF(Dashboard!$P$4="All",Data!G1707,IF(Data!K1707=Dashboard!$P$4,Data!G1707,NA()))</f>
        <v>#N/A</v>
      </c>
      <c r="C1156" t="str">
        <f t="shared" ref="C1156:C1219" si="157">IF(ISNA(B1156),"",B1156)</f>
        <v/>
      </c>
      <c r="D1156" t="str">
        <f t="shared" ref="D1156:D1219" si="158">IF(C1156&gt;=PERCENTILE($C$3:$C$1337,0.9),C1156,"")</f>
        <v/>
      </c>
      <c r="E1156" t="str">
        <f t="shared" ref="E1156:E1219" si="159">IF(C1156&lt;=PERCENTILE($C$3:$C$1337,0.1),C1156,"")</f>
        <v/>
      </c>
      <c r="F1156" t="str">
        <f>IF(C1156&lt;&gt;"",Data!$M1707,"")</f>
        <v/>
      </c>
      <c r="K1156" t="e">
        <f>IF(Dashboard!$R$4="All",Data!G1707,IF(Data!K1707=Dashboard!$R$4,Data!G1707,NA()))</f>
        <v>#N/A</v>
      </c>
      <c r="L1156" t="str">
        <f t="shared" ref="L1156:L1219" si="160">IF(ISNA(K1156),"",K1156)</f>
        <v/>
      </c>
      <c r="M1156" t="str">
        <f t="shared" ref="M1156:M1219" si="161">IF(L1156&gt;=PERCENTILE($L$3:$L$1337,0.9),L1156,"")</f>
        <v/>
      </c>
      <c r="N1156" t="str">
        <f t="shared" ref="N1156:N1219" si="162">IF(L1156&lt;=PERCENTILE($L$3:$L$1337,0.1),L1156,"")</f>
        <v/>
      </c>
      <c r="O1156" t="str">
        <f>IF(L1156&lt;&gt;"",Data!$M1707,"")</f>
        <v/>
      </c>
      <c r="T1156">
        <f>IF(OR(Dashboard!$P$4="All",Dashboard!$R$4="All"),NA(),IF(OR(Data!K1707&lt;&gt;Dashboard!$P$4,Data!K1707&lt;&gt;Dashboard!$R$4),Data!G1707,NA()))</f>
        <v>69000</v>
      </c>
      <c r="U1156"/>
    </row>
    <row r="1157" spans="2:21">
      <c r="B1157" t="e">
        <f>IF(Dashboard!$P$4="All",Data!G1708,IF(Data!K1708=Dashboard!$P$4,Data!G1708,NA()))</f>
        <v>#N/A</v>
      </c>
      <c r="C1157" t="str">
        <f t="shared" si="157"/>
        <v/>
      </c>
      <c r="D1157" t="str">
        <f t="shared" si="158"/>
        <v/>
      </c>
      <c r="E1157" t="str">
        <f t="shared" si="159"/>
        <v/>
      </c>
      <c r="F1157" t="str">
        <f>IF(C1157&lt;&gt;"",Data!$M1708,"")</f>
        <v/>
      </c>
      <c r="K1157" t="e">
        <f>IF(Dashboard!$R$4="All",Data!G1708,IF(Data!K1708=Dashboard!$R$4,Data!G1708,NA()))</f>
        <v>#N/A</v>
      </c>
      <c r="L1157" t="str">
        <f t="shared" si="160"/>
        <v/>
      </c>
      <c r="M1157" t="str">
        <f t="shared" si="161"/>
        <v/>
      </c>
      <c r="N1157" t="str">
        <f t="shared" si="162"/>
        <v/>
      </c>
      <c r="O1157" t="str">
        <f>IF(L1157&lt;&gt;"",Data!$M1708,"")</f>
        <v/>
      </c>
      <c r="T1157">
        <f>IF(OR(Dashboard!$P$4="All",Dashboard!$R$4="All"),NA(),IF(OR(Data!K1708&lt;&gt;Dashboard!$P$4,Data!K1708&lt;&gt;Dashboard!$R$4),Data!G1708,NA()))</f>
        <v>30000</v>
      </c>
      <c r="U1157"/>
    </row>
    <row r="1158" spans="2:21">
      <c r="B1158" t="e">
        <f>IF(Dashboard!$P$4="All",Data!G1709,IF(Data!K1709=Dashboard!$P$4,Data!G1709,NA()))</f>
        <v>#N/A</v>
      </c>
      <c r="C1158" t="str">
        <f t="shared" si="157"/>
        <v/>
      </c>
      <c r="D1158" t="str">
        <f t="shared" si="158"/>
        <v/>
      </c>
      <c r="E1158" t="str">
        <f t="shared" si="159"/>
        <v/>
      </c>
      <c r="F1158" t="str">
        <f>IF(C1158&lt;&gt;"",Data!$M1709,"")</f>
        <v/>
      </c>
      <c r="K1158" t="e">
        <f>IF(Dashboard!$R$4="All",Data!G1709,IF(Data!K1709=Dashboard!$R$4,Data!G1709,NA()))</f>
        <v>#N/A</v>
      </c>
      <c r="L1158" t="str">
        <f t="shared" si="160"/>
        <v/>
      </c>
      <c r="M1158" t="str">
        <f t="shared" si="161"/>
        <v/>
      </c>
      <c r="N1158" t="str">
        <f t="shared" si="162"/>
        <v/>
      </c>
      <c r="O1158" t="str">
        <f>IF(L1158&lt;&gt;"",Data!$M1709,"")</f>
        <v/>
      </c>
      <c r="T1158">
        <f>IF(OR(Dashboard!$P$4="All",Dashboard!$R$4="All"),NA(),IF(OR(Data!K1709&lt;&gt;Dashboard!$P$4,Data!K1709&lt;&gt;Dashboard!$R$4),Data!G1709,NA()))</f>
        <v>80000</v>
      </c>
      <c r="U1158"/>
    </row>
    <row r="1159" spans="2:21">
      <c r="B1159" t="e">
        <f>IF(Dashboard!$P$4="All",Data!G1710,IF(Data!K1710=Dashboard!$P$4,Data!G1710,NA()))</f>
        <v>#N/A</v>
      </c>
      <c r="C1159" t="str">
        <f t="shared" si="157"/>
        <v/>
      </c>
      <c r="D1159" t="str">
        <f t="shared" si="158"/>
        <v/>
      </c>
      <c r="E1159" t="str">
        <f t="shared" si="159"/>
        <v/>
      </c>
      <c r="F1159" t="str">
        <f>IF(C1159&lt;&gt;"",Data!$M1710,"")</f>
        <v/>
      </c>
      <c r="K1159" t="e">
        <f>IF(Dashboard!$R$4="All",Data!G1710,IF(Data!K1710=Dashboard!$R$4,Data!G1710,NA()))</f>
        <v>#N/A</v>
      </c>
      <c r="L1159" t="str">
        <f t="shared" si="160"/>
        <v/>
      </c>
      <c r="M1159" t="str">
        <f t="shared" si="161"/>
        <v/>
      </c>
      <c r="N1159" t="str">
        <f t="shared" si="162"/>
        <v/>
      </c>
      <c r="O1159" t="str">
        <f>IF(L1159&lt;&gt;"",Data!$M1710,"")</f>
        <v/>
      </c>
      <c r="T1159">
        <f>IF(OR(Dashboard!$P$4="All",Dashboard!$R$4="All"),NA(),IF(OR(Data!K1710&lt;&gt;Dashboard!$P$4,Data!K1710&lt;&gt;Dashboard!$R$4),Data!G1710,NA()))</f>
        <v>75000</v>
      </c>
      <c r="U1159"/>
    </row>
    <row r="1160" spans="2:21">
      <c r="B1160" t="e">
        <f>IF(Dashboard!$P$4="All",Data!G1711,IF(Data!K1711=Dashboard!$P$4,Data!G1711,NA()))</f>
        <v>#N/A</v>
      </c>
      <c r="C1160" t="str">
        <f t="shared" si="157"/>
        <v/>
      </c>
      <c r="D1160" t="str">
        <f t="shared" si="158"/>
        <v/>
      </c>
      <c r="E1160" t="str">
        <f t="shared" si="159"/>
        <v/>
      </c>
      <c r="F1160" t="str">
        <f>IF(C1160&lt;&gt;"",Data!$M1711,"")</f>
        <v/>
      </c>
      <c r="K1160" t="e">
        <f>IF(Dashboard!$R$4="All",Data!G1711,IF(Data!K1711=Dashboard!$R$4,Data!G1711,NA()))</f>
        <v>#N/A</v>
      </c>
      <c r="L1160" t="str">
        <f t="shared" si="160"/>
        <v/>
      </c>
      <c r="M1160" t="str">
        <f t="shared" si="161"/>
        <v/>
      </c>
      <c r="N1160" t="str">
        <f t="shared" si="162"/>
        <v/>
      </c>
      <c r="O1160" t="str">
        <f>IF(L1160&lt;&gt;"",Data!$M1711,"")</f>
        <v/>
      </c>
      <c r="T1160">
        <f>IF(OR(Dashboard!$P$4="All",Dashboard!$R$4="All"),NA(),IF(OR(Data!K1711&lt;&gt;Dashboard!$P$4,Data!K1711&lt;&gt;Dashboard!$R$4),Data!G1711,NA()))</f>
        <v>31200</v>
      </c>
      <c r="U1160"/>
    </row>
    <row r="1161" spans="2:21">
      <c r="B1161" t="e">
        <f>IF(Dashboard!$P$4="All",Data!G1712,IF(Data!K1712=Dashboard!$P$4,Data!G1712,NA()))</f>
        <v>#N/A</v>
      </c>
      <c r="C1161" t="str">
        <f t="shared" si="157"/>
        <v/>
      </c>
      <c r="D1161" t="str">
        <f t="shared" si="158"/>
        <v/>
      </c>
      <c r="E1161" t="str">
        <f t="shared" si="159"/>
        <v/>
      </c>
      <c r="F1161" t="str">
        <f>IF(C1161&lt;&gt;"",Data!$M1712,"")</f>
        <v/>
      </c>
      <c r="K1161" t="e">
        <f>IF(Dashboard!$R$4="All",Data!G1712,IF(Data!K1712=Dashboard!$R$4,Data!G1712,NA()))</f>
        <v>#N/A</v>
      </c>
      <c r="L1161" t="str">
        <f t="shared" si="160"/>
        <v/>
      </c>
      <c r="M1161" t="str">
        <f t="shared" si="161"/>
        <v/>
      </c>
      <c r="N1161" t="str">
        <f t="shared" si="162"/>
        <v/>
      </c>
      <c r="O1161" t="str">
        <f>IF(L1161&lt;&gt;"",Data!$M1712,"")</f>
        <v/>
      </c>
      <c r="T1161">
        <f>IF(OR(Dashboard!$P$4="All",Dashboard!$R$4="All"),NA(),IF(OR(Data!K1712&lt;&gt;Dashboard!$P$4,Data!K1712&lt;&gt;Dashboard!$R$4),Data!G1712,NA()))</f>
        <v>85000</v>
      </c>
      <c r="U1161"/>
    </row>
    <row r="1162" spans="2:21">
      <c r="B1162" t="e">
        <f>IF(Dashboard!$P$4="All",Data!G1713,IF(Data!K1713=Dashboard!$P$4,Data!G1713,NA()))</f>
        <v>#N/A</v>
      </c>
      <c r="C1162" t="str">
        <f t="shared" si="157"/>
        <v/>
      </c>
      <c r="D1162" t="str">
        <f t="shared" si="158"/>
        <v/>
      </c>
      <c r="E1162" t="str">
        <f t="shared" si="159"/>
        <v/>
      </c>
      <c r="F1162" t="str">
        <f>IF(C1162&lt;&gt;"",Data!$M1713,"")</f>
        <v/>
      </c>
      <c r="K1162" t="e">
        <f>IF(Dashboard!$R$4="All",Data!G1713,IF(Data!K1713=Dashboard!$R$4,Data!G1713,NA()))</f>
        <v>#N/A</v>
      </c>
      <c r="L1162" t="str">
        <f t="shared" si="160"/>
        <v/>
      </c>
      <c r="M1162" t="str">
        <f t="shared" si="161"/>
        <v/>
      </c>
      <c r="N1162" t="str">
        <f t="shared" si="162"/>
        <v/>
      </c>
      <c r="O1162" t="str">
        <f>IF(L1162&lt;&gt;"",Data!$M1713,"")</f>
        <v/>
      </c>
      <c r="T1162">
        <f>IF(OR(Dashboard!$P$4="All",Dashboard!$R$4="All"),NA(),IF(OR(Data!K1713&lt;&gt;Dashboard!$P$4,Data!K1713&lt;&gt;Dashboard!$R$4),Data!G1713,NA()))</f>
        <v>16917.52085307044</v>
      </c>
      <c r="U1162"/>
    </row>
    <row r="1163" spans="2:21">
      <c r="B1163" t="e">
        <f>IF(Dashboard!$P$4="All",Data!G1714,IF(Data!K1714=Dashboard!$P$4,Data!G1714,NA()))</f>
        <v>#N/A</v>
      </c>
      <c r="C1163" t="str">
        <f t="shared" si="157"/>
        <v/>
      </c>
      <c r="D1163" t="str">
        <f t="shared" si="158"/>
        <v/>
      </c>
      <c r="E1163" t="str">
        <f t="shared" si="159"/>
        <v/>
      </c>
      <c r="F1163" t="str">
        <f>IF(C1163&lt;&gt;"",Data!$M1714,"")</f>
        <v/>
      </c>
      <c r="K1163" t="e">
        <f>IF(Dashboard!$R$4="All",Data!G1714,IF(Data!K1714=Dashboard!$R$4,Data!G1714,NA()))</f>
        <v>#N/A</v>
      </c>
      <c r="L1163" t="str">
        <f t="shared" si="160"/>
        <v/>
      </c>
      <c r="M1163" t="str">
        <f t="shared" si="161"/>
        <v/>
      </c>
      <c r="N1163" t="str">
        <f t="shared" si="162"/>
        <v/>
      </c>
      <c r="O1163" t="str">
        <f>IF(L1163&lt;&gt;"",Data!$M1714,"")</f>
        <v/>
      </c>
      <c r="T1163">
        <f>IF(OR(Dashboard!$P$4="All",Dashboard!$R$4="All"),NA(),IF(OR(Data!K1714&lt;&gt;Dashboard!$P$4,Data!K1714&lt;&gt;Dashboard!$R$4),Data!G1714,NA()))</f>
        <v>3205.4250037396623</v>
      </c>
      <c r="U1163"/>
    </row>
    <row r="1164" spans="2:21">
      <c r="B1164" t="e">
        <f>IF(Dashboard!$P$4="All",Data!G1715,IF(Data!K1715=Dashboard!$P$4,Data!G1715,NA()))</f>
        <v>#N/A</v>
      </c>
      <c r="C1164" t="str">
        <f t="shared" si="157"/>
        <v/>
      </c>
      <c r="D1164" t="str">
        <f t="shared" si="158"/>
        <v/>
      </c>
      <c r="E1164" t="str">
        <f t="shared" si="159"/>
        <v/>
      </c>
      <c r="F1164" t="str">
        <f>IF(C1164&lt;&gt;"",Data!$M1715,"")</f>
        <v/>
      </c>
      <c r="K1164" t="e">
        <f>IF(Dashboard!$R$4="All",Data!G1715,IF(Data!K1715=Dashboard!$R$4,Data!G1715,NA()))</f>
        <v>#N/A</v>
      </c>
      <c r="L1164" t="str">
        <f t="shared" si="160"/>
        <v/>
      </c>
      <c r="M1164" t="str">
        <f t="shared" si="161"/>
        <v/>
      </c>
      <c r="N1164" t="str">
        <f t="shared" si="162"/>
        <v/>
      </c>
      <c r="O1164" t="str">
        <f>IF(L1164&lt;&gt;"",Data!$M1715,"")</f>
        <v/>
      </c>
      <c r="T1164">
        <f>IF(OR(Dashboard!$P$4="All",Dashboard!$R$4="All"),NA(),IF(OR(Data!K1715&lt;&gt;Dashboard!$P$4,Data!K1715&lt;&gt;Dashboard!$R$4),Data!G1715,NA()))</f>
        <v>60000</v>
      </c>
      <c r="U1164"/>
    </row>
    <row r="1165" spans="2:21">
      <c r="B1165" t="e">
        <f>IF(Dashboard!$P$4="All",Data!G1716,IF(Data!K1716=Dashboard!$P$4,Data!G1716,NA()))</f>
        <v>#N/A</v>
      </c>
      <c r="C1165" t="str">
        <f t="shared" si="157"/>
        <v/>
      </c>
      <c r="D1165" t="str">
        <f t="shared" si="158"/>
        <v/>
      </c>
      <c r="E1165" t="str">
        <f t="shared" si="159"/>
        <v/>
      </c>
      <c r="F1165" t="str">
        <f>IF(C1165&lt;&gt;"",Data!$M1716,"")</f>
        <v/>
      </c>
      <c r="K1165" t="e">
        <f>IF(Dashboard!$R$4="All",Data!G1716,IF(Data!K1716=Dashboard!$R$4,Data!G1716,NA()))</f>
        <v>#N/A</v>
      </c>
      <c r="L1165" t="str">
        <f t="shared" si="160"/>
        <v/>
      </c>
      <c r="M1165" t="str">
        <f t="shared" si="161"/>
        <v/>
      </c>
      <c r="N1165" t="str">
        <f t="shared" si="162"/>
        <v/>
      </c>
      <c r="O1165" t="str">
        <f>IF(L1165&lt;&gt;"",Data!$M1716,"")</f>
        <v/>
      </c>
      <c r="T1165">
        <f>IF(OR(Dashboard!$P$4="All",Dashboard!$R$4="All"),NA(),IF(OR(Data!K1716&lt;&gt;Dashboard!$P$4,Data!K1716&lt;&gt;Dashboard!$R$4),Data!G1716,NA()))</f>
        <v>60000</v>
      </c>
      <c r="U1165"/>
    </row>
    <row r="1166" spans="2:21">
      <c r="B1166" t="e">
        <f>IF(Dashboard!$P$4="All",Data!G1717,IF(Data!K1717=Dashboard!$P$4,Data!G1717,NA()))</f>
        <v>#N/A</v>
      </c>
      <c r="C1166" t="str">
        <f t="shared" si="157"/>
        <v/>
      </c>
      <c r="D1166" t="str">
        <f t="shared" si="158"/>
        <v/>
      </c>
      <c r="E1166" t="str">
        <f t="shared" si="159"/>
        <v/>
      </c>
      <c r="F1166" t="str">
        <f>IF(C1166&lt;&gt;"",Data!$M1717,"")</f>
        <v/>
      </c>
      <c r="K1166" t="e">
        <f>IF(Dashboard!$R$4="All",Data!G1717,IF(Data!K1717=Dashboard!$R$4,Data!G1717,NA()))</f>
        <v>#N/A</v>
      </c>
      <c r="L1166" t="str">
        <f t="shared" si="160"/>
        <v/>
      </c>
      <c r="M1166" t="str">
        <f t="shared" si="161"/>
        <v/>
      </c>
      <c r="N1166" t="str">
        <f t="shared" si="162"/>
        <v/>
      </c>
      <c r="O1166" t="str">
        <f>IF(L1166&lt;&gt;"",Data!$M1717,"")</f>
        <v/>
      </c>
      <c r="T1166">
        <f>IF(OR(Dashboard!$P$4="All",Dashboard!$R$4="All"),NA(),IF(OR(Data!K1717&lt;&gt;Dashboard!$P$4,Data!K1717&lt;&gt;Dashboard!$R$4),Data!G1717,NA()))</f>
        <v>14246.333349954055</v>
      </c>
      <c r="U1166"/>
    </row>
    <row r="1167" spans="2:21">
      <c r="B1167" t="e">
        <f>IF(Dashboard!$P$4="All",Data!G1718,IF(Data!K1718=Dashboard!$P$4,Data!G1718,NA()))</f>
        <v>#N/A</v>
      </c>
      <c r="C1167" t="str">
        <f t="shared" si="157"/>
        <v/>
      </c>
      <c r="D1167" t="str">
        <f t="shared" si="158"/>
        <v/>
      </c>
      <c r="E1167" t="str">
        <f t="shared" si="159"/>
        <v/>
      </c>
      <c r="F1167" t="str">
        <f>IF(C1167&lt;&gt;"",Data!$M1718,"")</f>
        <v/>
      </c>
      <c r="K1167" t="e">
        <f>IF(Dashboard!$R$4="All",Data!G1718,IF(Data!K1718=Dashboard!$R$4,Data!G1718,NA()))</f>
        <v>#N/A</v>
      </c>
      <c r="L1167" t="str">
        <f t="shared" si="160"/>
        <v/>
      </c>
      <c r="M1167" t="str">
        <f t="shared" si="161"/>
        <v/>
      </c>
      <c r="N1167" t="str">
        <f t="shared" si="162"/>
        <v/>
      </c>
      <c r="O1167" t="str">
        <f>IF(L1167&lt;&gt;"",Data!$M1718,"")</f>
        <v/>
      </c>
      <c r="T1167">
        <f>IF(OR(Dashboard!$P$4="All",Dashboard!$R$4="All"),NA(),IF(OR(Data!K1718&lt;&gt;Dashboard!$P$4,Data!K1718&lt;&gt;Dashboard!$R$4),Data!G1718,NA()))</f>
        <v>14246.333349954055</v>
      </c>
      <c r="U1167"/>
    </row>
    <row r="1168" spans="2:21">
      <c r="B1168" t="e">
        <f>IF(Dashboard!$P$4="All",Data!G1719,IF(Data!K1719=Dashboard!$P$4,Data!G1719,NA()))</f>
        <v>#N/A</v>
      </c>
      <c r="C1168" t="str">
        <f t="shared" si="157"/>
        <v/>
      </c>
      <c r="D1168" t="str">
        <f t="shared" si="158"/>
        <v/>
      </c>
      <c r="E1168" t="str">
        <f t="shared" si="159"/>
        <v/>
      </c>
      <c r="F1168" t="str">
        <f>IF(C1168&lt;&gt;"",Data!$M1719,"")</f>
        <v/>
      </c>
      <c r="K1168" t="e">
        <f>IF(Dashboard!$R$4="All",Data!G1719,IF(Data!K1719=Dashboard!$R$4,Data!G1719,NA()))</f>
        <v>#N/A</v>
      </c>
      <c r="L1168" t="str">
        <f t="shared" si="160"/>
        <v/>
      </c>
      <c r="M1168" t="str">
        <f t="shared" si="161"/>
        <v/>
      </c>
      <c r="N1168" t="str">
        <f t="shared" si="162"/>
        <v/>
      </c>
      <c r="O1168" t="str">
        <f>IF(L1168&lt;&gt;"",Data!$M1719,"")</f>
        <v/>
      </c>
      <c r="T1168">
        <f>IF(OR(Dashboard!$P$4="All",Dashboard!$R$4="All"),NA(),IF(OR(Data!K1719&lt;&gt;Dashboard!$P$4,Data!K1719&lt;&gt;Dashboard!$R$4),Data!G1719,NA()))</f>
        <v>28995</v>
      </c>
      <c r="U1168"/>
    </row>
    <row r="1169" spans="2:21">
      <c r="B1169" t="e">
        <f>IF(Dashboard!$P$4="All",Data!G1720,IF(Data!K1720=Dashboard!$P$4,Data!G1720,NA()))</f>
        <v>#N/A</v>
      </c>
      <c r="C1169" t="str">
        <f t="shared" si="157"/>
        <v/>
      </c>
      <c r="D1169" t="str">
        <f t="shared" si="158"/>
        <v/>
      </c>
      <c r="E1169" t="str">
        <f t="shared" si="159"/>
        <v/>
      </c>
      <c r="F1169" t="str">
        <f>IF(C1169&lt;&gt;"",Data!$M1720,"")</f>
        <v/>
      </c>
      <c r="K1169" t="e">
        <f>IF(Dashboard!$R$4="All",Data!G1720,IF(Data!K1720=Dashboard!$R$4,Data!G1720,NA()))</f>
        <v>#N/A</v>
      </c>
      <c r="L1169" t="str">
        <f t="shared" si="160"/>
        <v/>
      </c>
      <c r="M1169" t="str">
        <f t="shared" si="161"/>
        <v/>
      </c>
      <c r="N1169" t="str">
        <f t="shared" si="162"/>
        <v/>
      </c>
      <c r="O1169" t="str">
        <f>IF(L1169&lt;&gt;"",Data!$M1720,"")</f>
        <v/>
      </c>
      <c r="T1169">
        <f>IF(OR(Dashboard!$P$4="All",Dashboard!$R$4="All"),NA(),IF(OR(Data!K1720&lt;&gt;Dashboard!$P$4,Data!K1720&lt;&gt;Dashboard!$R$4),Data!G1720,NA()))</f>
        <v>21903.737525554359</v>
      </c>
      <c r="U1169"/>
    </row>
    <row r="1170" spans="2:21">
      <c r="B1170" t="e">
        <f>IF(Dashboard!$P$4="All",Data!G1721,IF(Data!K1721=Dashboard!$P$4,Data!G1721,NA()))</f>
        <v>#N/A</v>
      </c>
      <c r="C1170" t="str">
        <f t="shared" si="157"/>
        <v/>
      </c>
      <c r="D1170" t="str">
        <f t="shared" si="158"/>
        <v/>
      </c>
      <c r="E1170" t="str">
        <f t="shared" si="159"/>
        <v/>
      </c>
      <c r="F1170" t="str">
        <f>IF(C1170&lt;&gt;"",Data!$M1721,"")</f>
        <v/>
      </c>
      <c r="K1170" t="e">
        <f>IF(Dashboard!$R$4="All",Data!G1721,IF(Data!K1721=Dashboard!$R$4,Data!G1721,NA()))</f>
        <v>#N/A</v>
      </c>
      <c r="L1170" t="str">
        <f t="shared" si="160"/>
        <v/>
      </c>
      <c r="M1170" t="str">
        <f t="shared" si="161"/>
        <v/>
      </c>
      <c r="N1170" t="str">
        <f t="shared" si="162"/>
        <v/>
      </c>
      <c r="O1170" t="str">
        <f>IF(L1170&lt;&gt;"",Data!$M1721,"")</f>
        <v/>
      </c>
      <c r="T1170">
        <f>IF(OR(Dashboard!$P$4="All",Dashboard!$R$4="All"),NA(),IF(OR(Data!K1721&lt;&gt;Dashboard!$P$4,Data!K1721&lt;&gt;Dashboard!$R$4),Data!G1721,NA()))</f>
        <v>20122.945856810104</v>
      </c>
      <c r="U1170"/>
    </row>
    <row r="1171" spans="2:21">
      <c r="B1171" t="e">
        <f>IF(Dashboard!$P$4="All",Data!G1722,IF(Data!K1722=Dashboard!$P$4,Data!G1722,NA()))</f>
        <v>#N/A</v>
      </c>
      <c r="C1171" t="str">
        <f t="shared" si="157"/>
        <v/>
      </c>
      <c r="D1171" t="str">
        <f t="shared" si="158"/>
        <v/>
      </c>
      <c r="E1171" t="str">
        <f t="shared" si="159"/>
        <v/>
      </c>
      <c r="F1171" t="str">
        <f>IF(C1171&lt;&gt;"",Data!$M1722,"")</f>
        <v/>
      </c>
      <c r="K1171">
        <f>IF(Dashboard!$R$4="All",Data!G1722,IF(Data!K1722=Dashboard!$R$4,Data!G1722,NA()))</f>
        <v>70928.022243027779</v>
      </c>
      <c r="L1171">
        <f t="shared" si="160"/>
        <v>70928.022243027779</v>
      </c>
      <c r="M1171" t="str">
        <f t="shared" si="161"/>
        <v/>
      </c>
      <c r="N1171" t="str">
        <f t="shared" si="162"/>
        <v/>
      </c>
      <c r="O1171">
        <f>IF(L1171&lt;&gt;"",Data!$M1722,"")</f>
        <v>20</v>
      </c>
      <c r="T1171">
        <f>IF(OR(Dashboard!$P$4="All",Dashboard!$R$4="All"),NA(),IF(OR(Data!K1722&lt;&gt;Dashboard!$P$4,Data!K1722&lt;&gt;Dashboard!$R$4),Data!G1722,NA()))</f>
        <v>70928.022243027779</v>
      </c>
      <c r="U1171"/>
    </row>
    <row r="1172" spans="2:21">
      <c r="B1172" t="e">
        <f>IF(Dashboard!$P$4="All",Data!G1723,IF(Data!K1723=Dashboard!$P$4,Data!G1723,NA()))</f>
        <v>#N/A</v>
      </c>
      <c r="C1172" t="str">
        <f t="shared" si="157"/>
        <v/>
      </c>
      <c r="D1172" t="str">
        <f t="shared" si="158"/>
        <v/>
      </c>
      <c r="E1172" t="str">
        <f t="shared" si="159"/>
        <v/>
      </c>
      <c r="F1172" t="str">
        <f>IF(C1172&lt;&gt;"",Data!$M1723,"")</f>
        <v/>
      </c>
      <c r="K1172" t="e">
        <f>IF(Dashboard!$R$4="All",Data!G1723,IF(Data!K1723=Dashboard!$R$4,Data!G1723,NA()))</f>
        <v>#N/A</v>
      </c>
      <c r="L1172" t="str">
        <f t="shared" si="160"/>
        <v/>
      </c>
      <c r="M1172" t="str">
        <f t="shared" si="161"/>
        <v/>
      </c>
      <c r="N1172" t="str">
        <f t="shared" si="162"/>
        <v/>
      </c>
      <c r="O1172" t="str">
        <f>IF(L1172&lt;&gt;"",Data!$M1723,"")</f>
        <v/>
      </c>
      <c r="T1172">
        <f>IF(OR(Dashboard!$P$4="All",Dashboard!$R$4="All"),NA(),IF(OR(Data!K1723&lt;&gt;Dashboard!$P$4,Data!K1723&lt;&gt;Dashboard!$R$4),Data!G1723,NA()))</f>
        <v>67000</v>
      </c>
      <c r="U1172"/>
    </row>
    <row r="1173" spans="2:21">
      <c r="B1173" t="e">
        <f>IF(Dashboard!$P$4="All",Data!G1724,IF(Data!K1724=Dashboard!$P$4,Data!G1724,NA()))</f>
        <v>#N/A</v>
      </c>
      <c r="C1173" t="str">
        <f t="shared" si="157"/>
        <v/>
      </c>
      <c r="D1173" t="str">
        <f t="shared" si="158"/>
        <v/>
      </c>
      <c r="E1173" t="str">
        <f t="shared" si="159"/>
        <v/>
      </c>
      <c r="F1173" t="str">
        <f>IF(C1173&lt;&gt;"",Data!$M1724,"")</f>
        <v/>
      </c>
      <c r="K1173" t="e">
        <f>IF(Dashboard!$R$4="All",Data!G1724,IF(Data!K1724=Dashboard!$R$4,Data!G1724,NA()))</f>
        <v>#N/A</v>
      </c>
      <c r="L1173" t="str">
        <f t="shared" si="160"/>
        <v/>
      </c>
      <c r="M1173" t="str">
        <f t="shared" si="161"/>
        <v/>
      </c>
      <c r="N1173" t="str">
        <f t="shared" si="162"/>
        <v/>
      </c>
      <c r="O1173" t="str">
        <f>IF(L1173&lt;&gt;"",Data!$M1724,"")</f>
        <v/>
      </c>
      <c r="T1173">
        <f>IF(OR(Dashboard!$P$4="All",Dashboard!$R$4="All"),NA(),IF(OR(Data!K1724&lt;&gt;Dashboard!$P$4,Data!K1724&lt;&gt;Dashboard!$R$4),Data!G1724,NA()))</f>
        <v>30000</v>
      </c>
      <c r="U1173"/>
    </row>
    <row r="1174" spans="2:21">
      <c r="B1174" t="e">
        <f>IF(Dashboard!$P$4="All",Data!G1725,IF(Data!K1725=Dashboard!$P$4,Data!G1725,NA()))</f>
        <v>#N/A</v>
      </c>
      <c r="C1174" t="str">
        <f t="shared" si="157"/>
        <v/>
      </c>
      <c r="D1174" t="str">
        <f t="shared" si="158"/>
        <v/>
      </c>
      <c r="E1174" t="str">
        <f t="shared" si="159"/>
        <v/>
      </c>
      <c r="F1174" t="str">
        <f>IF(C1174&lt;&gt;"",Data!$M1725,"")</f>
        <v/>
      </c>
      <c r="K1174" t="e">
        <f>IF(Dashboard!$R$4="All",Data!G1725,IF(Data!K1725=Dashboard!$R$4,Data!G1725,NA()))</f>
        <v>#N/A</v>
      </c>
      <c r="L1174" t="str">
        <f t="shared" si="160"/>
        <v/>
      </c>
      <c r="M1174" t="str">
        <f t="shared" si="161"/>
        <v/>
      </c>
      <c r="N1174" t="str">
        <f t="shared" si="162"/>
        <v/>
      </c>
      <c r="O1174" t="str">
        <f>IF(L1174&lt;&gt;"",Data!$M1725,"")</f>
        <v/>
      </c>
      <c r="T1174">
        <f>IF(OR(Dashboard!$P$4="All",Dashboard!$R$4="All"),NA(),IF(OR(Data!K1725&lt;&gt;Dashboard!$P$4,Data!K1725&lt;&gt;Dashboard!$R$4),Data!G1725,NA()))</f>
        <v>148102.22862117883</v>
      </c>
      <c r="U1174"/>
    </row>
    <row r="1175" spans="2:21">
      <c r="B1175" t="e">
        <f>IF(Dashboard!$P$4="All",Data!G1726,IF(Data!K1726=Dashboard!$P$4,Data!G1726,NA()))</f>
        <v>#N/A</v>
      </c>
      <c r="C1175" t="str">
        <f t="shared" si="157"/>
        <v/>
      </c>
      <c r="D1175" t="str">
        <f t="shared" si="158"/>
        <v/>
      </c>
      <c r="E1175" t="str">
        <f t="shared" si="159"/>
        <v/>
      </c>
      <c r="F1175" t="str">
        <f>IF(C1175&lt;&gt;"",Data!$M1726,"")</f>
        <v/>
      </c>
      <c r="K1175" t="e">
        <f>IF(Dashboard!$R$4="All",Data!G1726,IF(Data!K1726=Dashboard!$R$4,Data!G1726,NA()))</f>
        <v>#N/A</v>
      </c>
      <c r="L1175" t="str">
        <f t="shared" si="160"/>
        <v/>
      </c>
      <c r="M1175" t="str">
        <f t="shared" si="161"/>
        <v/>
      </c>
      <c r="N1175" t="str">
        <f t="shared" si="162"/>
        <v/>
      </c>
      <c r="O1175" t="str">
        <f>IF(L1175&lt;&gt;"",Data!$M1726,"")</f>
        <v/>
      </c>
      <c r="T1175">
        <f>IF(OR(Dashboard!$P$4="All",Dashboard!$R$4="All"),NA(),IF(OR(Data!K1726&lt;&gt;Dashboard!$P$4,Data!K1726&lt;&gt;Dashboard!$R$4),Data!G1726,NA()))</f>
        <v>71500</v>
      </c>
      <c r="U1175"/>
    </row>
    <row r="1176" spans="2:21">
      <c r="B1176" t="e">
        <f>IF(Dashboard!$P$4="All",Data!G1727,IF(Data!K1727=Dashboard!$P$4,Data!G1727,NA()))</f>
        <v>#N/A</v>
      </c>
      <c r="C1176" t="str">
        <f t="shared" si="157"/>
        <v/>
      </c>
      <c r="D1176" t="str">
        <f t="shared" si="158"/>
        <v/>
      </c>
      <c r="E1176" t="str">
        <f t="shared" si="159"/>
        <v/>
      </c>
      <c r="F1176" t="str">
        <f>IF(C1176&lt;&gt;"",Data!$M1727,"")</f>
        <v/>
      </c>
      <c r="K1176" t="e">
        <f>IF(Dashboard!$R$4="All",Data!G1727,IF(Data!K1727=Dashboard!$R$4,Data!G1727,NA()))</f>
        <v>#N/A</v>
      </c>
      <c r="L1176" t="str">
        <f t="shared" si="160"/>
        <v/>
      </c>
      <c r="M1176" t="str">
        <f t="shared" si="161"/>
        <v/>
      </c>
      <c r="N1176" t="str">
        <f t="shared" si="162"/>
        <v/>
      </c>
      <c r="O1176" t="str">
        <f>IF(L1176&lt;&gt;"",Data!$M1727,"")</f>
        <v/>
      </c>
      <c r="T1176">
        <f>IF(OR(Dashboard!$P$4="All",Dashboard!$R$4="All"),NA(),IF(OR(Data!K1727&lt;&gt;Dashboard!$P$4,Data!K1727&lt;&gt;Dashboard!$R$4),Data!G1727,NA()))</f>
        <v>67000</v>
      </c>
      <c r="U1176"/>
    </row>
    <row r="1177" spans="2:21">
      <c r="B1177" t="e">
        <f>IF(Dashboard!$P$4="All",Data!G1728,IF(Data!K1728=Dashboard!$P$4,Data!G1728,NA()))</f>
        <v>#N/A</v>
      </c>
      <c r="C1177" t="str">
        <f t="shared" si="157"/>
        <v/>
      </c>
      <c r="D1177" t="str">
        <f t="shared" si="158"/>
        <v/>
      </c>
      <c r="E1177" t="str">
        <f t="shared" si="159"/>
        <v/>
      </c>
      <c r="F1177" t="str">
        <f>IF(C1177&lt;&gt;"",Data!$M1728,"")</f>
        <v/>
      </c>
      <c r="K1177" t="e">
        <f>IF(Dashboard!$R$4="All",Data!G1728,IF(Data!K1728=Dashboard!$R$4,Data!G1728,NA()))</f>
        <v>#N/A</v>
      </c>
      <c r="L1177" t="str">
        <f t="shared" si="160"/>
        <v/>
      </c>
      <c r="M1177" t="str">
        <f t="shared" si="161"/>
        <v/>
      </c>
      <c r="N1177" t="str">
        <f t="shared" si="162"/>
        <v/>
      </c>
      <c r="O1177" t="str">
        <f>IF(L1177&lt;&gt;"",Data!$M1728,"")</f>
        <v/>
      </c>
      <c r="T1177">
        <f>IF(OR(Dashboard!$P$4="All",Dashboard!$R$4="All"),NA(),IF(OR(Data!K1728&lt;&gt;Dashboard!$P$4,Data!K1728&lt;&gt;Dashboard!$R$4),Data!G1728,NA()))</f>
        <v>40000</v>
      </c>
      <c r="U1177"/>
    </row>
    <row r="1178" spans="2:21">
      <c r="B1178" t="e">
        <f>IF(Dashboard!$P$4="All",Data!G1729,IF(Data!K1729=Dashboard!$P$4,Data!G1729,NA()))</f>
        <v>#N/A</v>
      </c>
      <c r="C1178" t="str">
        <f t="shared" si="157"/>
        <v/>
      </c>
      <c r="D1178" t="str">
        <f t="shared" si="158"/>
        <v/>
      </c>
      <c r="E1178" t="str">
        <f t="shared" si="159"/>
        <v/>
      </c>
      <c r="F1178" t="str">
        <f>IF(C1178&lt;&gt;"",Data!$M1729,"")</f>
        <v/>
      </c>
      <c r="K1178" t="e">
        <f>IF(Dashboard!$R$4="All",Data!G1729,IF(Data!K1729=Dashboard!$R$4,Data!G1729,NA()))</f>
        <v>#N/A</v>
      </c>
      <c r="L1178" t="str">
        <f t="shared" si="160"/>
        <v/>
      </c>
      <c r="M1178" t="str">
        <f t="shared" si="161"/>
        <v/>
      </c>
      <c r="N1178" t="str">
        <f t="shared" si="162"/>
        <v/>
      </c>
      <c r="O1178" t="str">
        <f>IF(L1178&lt;&gt;"",Data!$M1729,"")</f>
        <v/>
      </c>
      <c r="T1178">
        <f>IF(OR(Dashboard!$P$4="All",Dashboard!$R$4="All"),NA(),IF(OR(Data!K1729&lt;&gt;Dashboard!$P$4,Data!K1729&lt;&gt;Dashboard!$R$4),Data!G1729,NA()))</f>
        <v>65000</v>
      </c>
      <c r="U1178"/>
    </row>
    <row r="1179" spans="2:21">
      <c r="B1179" t="e">
        <f>IF(Dashboard!$P$4="All",Data!G1730,IF(Data!K1730=Dashboard!$P$4,Data!G1730,NA()))</f>
        <v>#N/A</v>
      </c>
      <c r="C1179" t="str">
        <f t="shared" si="157"/>
        <v/>
      </c>
      <c r="D1179" t="str">
        <f t="shared" si="158"/>
        <v/>
      </c>
      <c r="E1179" t="str">
        <f t="shared" si="159"/>
        <v/>
      </c>
      <c r="F1179" t="str">
        <f>IF(C1179&lt;&gt;"",Data!$M1730,"")</f>
        <v/>
      </c>
      <c r="K1179" t="e">
        <f>IF(Dashboard!$R$4="All",Data!G1730,IF(Data!K1730=Dashboard!$R$4,Data!G1730,NA()))</f>
        <v>#N/A</v>
      </c>
      <c r="L1179" t="str">
        <f t="shared" si="160"/>
        <v/>
      </c>
      <c r="M1179" t="str">
        <f t="shared" si="161"/>
        <v/>
      </c>
      <c r="N1179" t="str">
        <f t="shared" si="162"/>
        <v/>
      </c>
      <c r="O1179" t="str">
        <f>IF(L1179&lt;&gt;"",Data!$M1730,"")</f>
        <v/>
      </c>
      <c r="T1179">
        <f>IF(OR(Dashboard!$P$4="All",Dashboard!$R$4="All"),NA(),IF(OR(Data!K1730&lt;&gt;Dashboard!$P$4,Data!K1730&lt;&gt;Dashboard!$R$4),Data!G1730,NA()))</f>
        <v>72000</v>
      </c>
      <c r="U1179"/>
    </row>
    <row r="1180" spans="2:21">
      <c r="B1180" t="e">
        <f>IF(Dashboard!$P$4="All",Data!G1731,IF(Data!K1731=Dashboard!$P$4,Data!G1731,NA()))</f>
        <v>#N/A</v>
      </c>
      <c r="C1180" t="str">
        <f t="shared" si="157"/>
        <v/>
      </c>
      <c r="D1180" t="str">
        <f t="shared" si="158"/>
        <v/>
      </c>
      <c r="E1180" t="str">
        <f t="shared" si="159"/>
        <v/>
      </c>
      <c r="F1180" t="str">
        <f>IF(C1180&lt;&gt;"",Data!$M1731,"")</f>
        <v/>
      </c>
      <c r="K1180" t="e">
        <f>IF(Dashboard!$R$4="All",Data!G1731,IF(Data!K1731=Dashboard!$R$4,Data!G1731,NA()))</f>
        <v>#N/A</v>
      </c>
      <c r="L1180" t="str">
        <f t="shared" si="160"/>
        <v/>
      </c>
      <c r="M1180" t="str">
        <f t="shared" si="161"/>
        <v/>
      </c>
      <c r="N1180" t="str">
        <f t="shared" si="162"/>
        <v/>
      </c>
      <c r="O1180" t="str">
        <f>IF(L1180&lt;&gt;"",Data!$M1731,"")</f>
        <v/>
      </c>
      <c r="T1180">
        <f>IF(OR(Dashboard!$P$4="All",Dashboard!$R$4="All"),NA(),IF(OR(Data!K1731&lt;&gt;Dashboard!$P$4,Data!K1731&lt;&gt;Dashboard!$R$4),Data!G1731,NA()))</f>
        <v>52500</v>
      </c>
      <c r="U1180"/>
    </row>
    <row r="1181" spans="2:21">
      <c r="B1181" t="e">
        <f>IF(Dashboard!$P$4="All",Data!G1732,IF(Data!K1732=Dashboard!$P$4,Data!G1732,NA()))</f>
        <v>#N/A</v>
      </c>
      <c r="C1181" t="str">
        <f t="shared" si="157"/>
        <v/>
      </c>
      <c r="D1181" t="str">
        <f t="shared" si="158"/>
        <v/>
      </c>
      <c r="E1181" t="str">
        <f t="shared" si="159"/>
        <v/>
      </c>
      <c r="F1181" t="str">
        <f>IF(C1181&lt;&gt;"",Data!$M1732,"")</f>
        <v/>
      </c>
      <c r="K1181" t="e">
        <f>IF(Dashboard!$R$4="All",Data!G1732,IF(Data!K1732=Dashboard!$R$4,Data!G1732,NA()))</f>
        <v>#N/A</v>
      </c>
      <c r="L1181" t="str">
        <f t="shared" si="160"/>
        <v/>
      </c>
      <c r="M1181" t="str">
        <f t="shared" si="161"/>
        <v/>
      </c>
      <c r="N1181" t="str">
        <f t="shared" si="162"/>
        <v/>
      </c>
      <c r="O1181" t="str">
        <f>IF(L1181&lt;&gt;"",Data!$M1732,"")</f>
        <v/>
      </c>
      <c r="T1181">
        <f>IF(OR(Dashboard!$P$4="All",Dashboard!$R$4="All"),NA(),IF(OR(Data!K1732&lt;&gt;Dashboard!$P$4,Data!K1732&lt;&gt;Dashboard!$R$4),Data!G1732,NA()))</f>
        <v>5320</v>
      </c>
      <c r="U1181"/>
    </row>
    <row r="1182" spans="2:21">
      <c r="B1182" t="e">
        <f>IF(Dashboard!$P$4="All",Data!G1733,IF(Data!K1733=Dashboard!$P$4,Data!G1733,NA()))</f>
        <v>#N/A</v>
      </c>
      <c r="C1182" t="str">
        <f t="shared" si="157"/>
        <v/>
      </c>
      <c r="D1182" t="str">
        <f t="shared" si="158"/>
        <v/>
      </c>
      <c r="E1182" t="str">
        <f t="shared" si="159"/>
        <v/>
      </c>
      <c r="F1182" t="str">
        <f>IF(C1182&lt;&gt;"",Data!$M1733,"")</f>
        <v/>
      </c>
      <c r="K1182" t="e">
        <f>IF(Dashboard!$R$4="All",Data!G1733,IF(Data!K1733=Dashboard!$R$4,Data!G1733,NA()))</f>
        <v>#N/A</v>
      </c>
      <c r="L1182" t="str">
        <f t="shared" si="160"/>
        <v/>
      </c>
      <c r="M1182" t="str">
        <f t="shared" si="161"/>
        <v/>
      </c>
      <c r="N1182" t="str">
        <f t="shared" si="162"/>
        <v/>
      </c>
      <c r="O1182" t="str">
        <f>IF(L1182&lt;&gt;"",Data!$M1733,"")</f>
        <v/>
      </c>
      <c r="T1182">
        <f>IF(OR(Dashboard!$P$4="All",Dashboard!$R$4="All"),NA(),IF(OR(Data!K1733&lt;&gt;Dashboard!$P$4,Data!K1733&lt;&gt;Dashboard!$R$4),Data!G1733,NA()))</f>
        <v>18000</v>
      </c>
      <c r="U1182"/>
    </row>
    <row r="1183" spans="2:21">
      <c r="B1183" t="e">
        <f>IF(Dashboard!$P$4="All",Data!G1734,IF(Data!K1734=Dashboard!$P$4,Data!G1734,NA()))</f>
        <v>#N/A</v>
      </c>
      <c r="C1183" t="str">
        <f t="shared" si="157"/>
        <v/>
      </c>
      <c r="D1183" t="str">
        <f t="shared" si="158"/>
        <v/>
      </c>
      <c r="E1183" t="str">
        <f t="shared" si="159"/>
        <v/>
      </c>
      <c r="F1183" t="str">
        <f>IF(C1183&lt;&gt;"",Data!$M1734,"")</f>
        <v/>
      </c>
      <c r="K1183" t="e">
        <f>IF(Dashboard!$R$4="All",Data!G1734,IF(Data!K1734=Dashboard!$R$4,Data!G1734,NA()))</f>
        <v>#N/A</v>
      </c>
      <c r="L1183" t="str">
        <f t="shared" si="160"/>
        <v/>
      </c>
      <c r="M1183" t="str">
        <f t="shared" si="161"/>
        <v/>
      </c>
      <c r="N1183" t="str">
        <f t="shared" si="162"/>
        <v/>
      </c>
      <c r="O1183" t="str">
        <f>IF(L1183&lt;&gt;"",Data!$M1734,"")</f>
        <v/>
      </c>
      <c r="T1183">
        <f>IF(OR(Dashboard!$P$4="All",Dashboard!$R$4="All"),NA(),IF(OR(Data!K1734&lt;&gt;Dashboard!$P$4,Data!K1734&lt;&gt;Dashboard!$R$4),Data!G1734,NA()))</f>
        <v>2493.1083362419595</v>
      </c>
      <c r="U1183"/>
    </row>
    <row r="1184" spans="2:21">
      <c r="B1184" t="e">
        <f>IF(Dashboard!$P$4="All",Data!G1735,IF(Data!K1735=Dashboard!$P$4,Data!G1735,NA()))</f>
        <v>#N/A</v>
      </c>
      <c r="C1184" t="str">
        <f t="shared" si="157"/>
        <v/>
      </c>
      <c r="D1184" t="str">
        <f t="shared" si="158"/>
        <v/>
      </c>
      <c r="E1184" t="str">
        <f t="shared" si="159"/>
        <v/>
      </c>
      <c r="F1184" t="str">
        <f>IF(C1184&lt;&gt;"",Data!$M1735,"")</f>
        <v/>
      </c>
      <c r="K1184" t="e">
        <f>IF(Dashboard!$R$4="All",Data!G1735,IF(Data!K1735=Dashboard!$R$4,Data!G1735,NA()))</f>
        <v>#N/A</v>
      </c>
      <c r="L1184" t="str">
        <f t="shared" si="160"/>
        <v/>
      </c>
      <c r="M1184" t="str">
        <f t="shared" si="161"/>
        <v/>
      </c>
      <c r="N1184" t="str">
        <f t="shared" si="162"/>
        <v/>
      </c>
      <c r="O1184" t="str">
        <f>IF(L1184&lt;&gt;"",Data!$M1735,"")</f>
        <v/>
      </c>
      <c r="T1184">
        <f>IF(OR(Dashboard!$P$4="All",Dashboard!$R$4="All"),NA(),IF(OR(Data!K1735&lt;&gt;Dashboard!$P$4,Data!K1735&lt;&gt;Dashboard!$R$4),Data!G1735,NA()))</f>
        <v>21342.710575059013</v>
      </c>
      <c r="U1184"/>
    </row>
    <row r="1185" spans="2:21">
      <c r="B1185" t="e">
        <f>IF(Dashboard!$P$4="All",Data!G1736,IF(Data!K1736=Dashboard!$P$4,Data!G1736,NA()))</f>
        <v>#N/A</v>
      </c>
      <c r="C1185" t="str">
        <f t="shared" si="157"/>
        <v/>
      </c>
      <c r="D1185" t="str">
        <f t="shared" si="158"/>
        <v/>
      </c>
      <c r="E1185" t="str">
        <f t="shared" si="159"/>
        <v/>
      </c>
      <c r="F1185" t="str">
        <f>IF(C1185&lt;&gt;"",Data!$M1736,"")</f>
        <v/>
      </c>
      <c r="K1185" t="e">
        <f>IF(Dashboard!$R$4="All",Data!G1736,IF(Data!K1736=Dashboard!$R$4,Data!G1736,NA()))</f>
        <v>#N/A</v>
      </c>
      <c r="L1185" t="str">
        <f t="shared" si="160"/>
        <v/>
      </c>
      <c r="M1185" t="str">
        <f t="shared" si="161"/>
        <v/>
      </c>
      <c r="N1185" t="str">
        <f t="shared" si="162"/>
        <v/>
      </c>
      <c r="O1185" t="str">
        <f>IF(L1185&lt;&gt;"",Data!$M1736,"")</f>
        <v/>
      </c>
      <c r="T1185">
        <f>IF(OR(Dashboard!$P$4="All",Dashboard!$R$4="All"),NA(),IF(OR(Data!K1736&lt;&gt;Dashboard!$P$4,Data!K1736&lt;&gt;Dashboard!$R$4),Data!G1736,NA()))</f>
        <v>85000</v>
      </c>
      <c r="U1185"/>
    </row>
    <row r="1186" spans="2:21">
      <c r="B1186" t="e">
        <f>IF(Dashboard!$P$4="All",Data!G1737,IF(Data!K1737=Dashboard!$P$4,Data!G1737,NA()))</f>
        <v>#N/A</v>
      </c>
      <c r="C1186" t="str">
        <f t="shared" si="157"/>
        <v/>
      </c>
      <c r="D1186" t="str">
        <f t="shared" si="158"/>
        <v/>
      </c>
      <c r="E1186" t="str">
        <f t="shared" si="159"/>
        <v/>
      </c>
      <c r="F1186" t="str">
        <f>IF(C1186&lt;&gt;"",Data!$M1737,"")</f>
        <v/>
      </c>
      <c r="K1186" t="e">
        <f>IF(Dashboard!$R$4="All",Data!G1737,IF(Data!K1737=Dashboard!$R$4,Data!G1737,NA()))</f>
        <v>#N/A</v>
      </c>
      <c r="L1186" t="str">
        <f t="shared" si="160"/>
        <v/>
      </c>
      <c r="M1186" t="str">
        <f t="shared" si="161"/>
        <v/>
      </c>
      <c r="N1186" t="str">
        <f t="shared" si="162"/>
        <v/>
      </c>
      <c r="O1186" t="str">
        <f>IF(L1186&lt;&gt;"",Data!$M1737,"")</f>
        <v/>
      </c>
      <c r="T1186">
        <f>IF(OR(Dashboard!$P$4="All",Dashboard!$R$4="All"),NA(),IF(OR(Data!K1737&lt;&gt;Dashboard!$P$4,Data!K1737&lt;&gt;Dashboard!$R$4),Data!G1737,NA()))</f>
        <v>80000</v>
      </c>
      <c r="U1186"/>
    </row>
    <row r="1187" spans="2:21">
      <c r="B1187" t="e">
        <f>IF(Dashboard!$P$4="All",Data!G1738,IF(Data!K1738=Dashboard!$P$4,Data!G1738,NA()))</f>
        <v>#N/A</v>
      </c>
      <c r="C1187" t="str">
        <f t="shared" si="157"/>
        <v/>
      </c>
      <c r="D1187" t="str">
        <f t="shared" si="158"/>
        <v/>
      </c>
      <c r="E1187" t="str">
        <f t="shared" si="159"/>
        <v/>
      </c>
      <c r="F1187" t="str">
        <f>IF(C1187&lt;&gt;"",Data!$M1738,"")</f>
        <v/>
      </c>
      <c r="K1187" t="e">
        <f>IF(Dashboard!$R$4="All",Data!G1738,IF(Data!K1738=Dashboard!$R$4,Data!G1738,NA()))</f>
        <v>#N/A</v>
      </c>
      <c r="L1187" t="str">
        <f t="shared" si="160"/>
        <v/>
      </c>
      <c r="M1187" t="str">
        <f t="shared" si="161"/>
        <v/>
      </c>
      <c r="N1187" t="str">
        <f t="shared" si="162"/>
        <v/>
      </c>
      <c r="O1187" t="str">
        <f>IF(L1187&lt;&gt;"",Data!$M1738,"")</f>
        <v/>
      </c>
      <c r="T1187">
        <f>IF(OR(Dashboard!$P$4="All",Dashboard!$R$4="All"),NA(),IF(OR(Data!K1738&lt;&gt;Dashboard!$P$4,Data!K1738&lt;&gt;Dashboard!$R$4),Data!G1738,NA()))</f>
        <v>8903.9583437212841</v>
      </c>
      <c r="U1187"/>
    </row>
    <row r="1188" spans="2:21">
      <c r="B1188" t="e">
        <f>IF(Dashboard!$P$4="All",Data!G1739,IF(Data!K1739=Dashboard!$P$4,Data!G1739,NA()))</f>
        <v>#N/A</v>
      </c>
      <c r="C1188" t="str">
        <f t="shared" si="157"/>
        <v/>
      </c>
      <c r="D1188" t="str">
        <f t="shared" si="158"/>
        <v/>
      </c>
      <c r="E1188" t="str">
        <f t="shared" si="159"/>
        <v/>
      </c>
      <c r="F1188" t="str">
        <f>IF(C1188&lt;&gt;"",Data!$M1739,"")</f>
        <v/>
      </c>
      <c r="K1188" t="e">
        <f>IF(Dashboard!$R$4="All",Data!G1739,IF(Data!K1739=Dashboard!$R$4,Data!G1739,NA()))</f>
        <v>#N/A</v>
      </c>
      <c r="L1188" t="str">
        <f t="shared" si="160"/>
        <v/>
      </c>
      <c r="M1188" t="str">
        <f t="shared" si="161"/>
        <v/>
      </c>
      <c r="N1188" t="str">
        <f t="shared" si="162"/>
        <v/>
      </c>
      <c r="O1188" t="str">
        <f>IF(L1188&lt;&gt;"",Data!$M1739,"")</f>
        <v/>
      </c>
      <c r="T1188">
        <f>IF(OR(Dashboard!$P$4="All",Dashboard!$R$4="All"),NA(),IF(OR(Data!K1739&lt;&gt;Dashboard!$P$4,Data!K1739&lt;&gt;Dashboard!$R$4),Data!G1739,NA()))</f>
        <v>125000</v>
      </c>
      <c r="U1188"/>
    </row>
    <row r="1189" spans="2:21">
      <c r="B1189" t="e">
        <f>IF(Dashboard!$P$4="All",Data!G1740,IF(Data!K1740=Dashboard!$P$4,Data!G1740,NA()))</f>
        <v>#N/A</v>
      </c>
      <c r="C1189" t="str">
        <f t="shared" si="157"/>
        <v/>
      </c>
      <c r="D1189" t="str">
        <f t="shared" si="158"/>
        <v/>
      </c>
      <c r="E1189" t="str">
        <f t="shared" si="159"/>
        <v/>
      </c>
      <c r="F1189" t="str">
        <f>IF(C1189&lt;&gt;"",Data!$M1740,"")</f>
        <v/>
      </c>
      <c r="K1189" t="e">
        <f>IF(Dashboard!$R$4="All",Data!G1740,IF(Data!K1740=Dashboard!$R$4,Data!G1740,NA()))</f>
        <v>#N/A</v>
      </c>
      <c r="L1189" t="str">
        <f t="shared" si="160"/>
        <v/>
      </c>
      <c r="M1189" t="str">
        <f t="shared" si="161"/>
        <v/>
      </c>
      <c r="N1189" t="str">
        <f t="shared" si="162"/>
        <v/>
      </c>
      <c r="O1189" t="str">
        <f>IF(L1189&lt;&gt;"",Data!$M1740,"")</f>
        <v/>
      </c>
      <c r="T1189">
        <f>IF(OR(Dashboard!$P$4="All",Dashboard!$R$4="All"),NA(),IF(OR(Data!K1740&lt;&gt;Dashboard!$P$4,Data!K1740&lt;&gt;Dashboard!$R$4),Data!G1740,NA()))</f>
        <v>23150.291693675339</v>
      </c>
      <c r="U1189"/>
    </row>
    <row r="1190" spans="2:21">
      <c r="B1190" t="e">
        <f>IF(Dashboard!$P$4="All",Data!G1741,IF(Data!K1741=Dashboard!$P$4,Data!G1741,NA()))</f>
        <v>#N/A</v>
      </c>
      <c r="C1190" t="str">
        <f t="shared" si="157"/>
        <v/>
      </c>
      <c r="D1190" t="str">
        <f t="shared" si="158"/>
        <v/>
      </c>
      <c r="E1190" t="str">
        <f t="shared" si="159"/>
        <v/>
      </c>
      <c r="F1190" t="str">
        <f>IF(C1190&lt;&gt;"",Data!$M1741,"")</f>
        <v/>
      </c>
      <c r="K1190" t="e">
        <f>IF(Dashboard!$R$4="All",Data!G1741,IF(Data!K1741=Dashboard!$R$4,Data!G1741,NA()))</f>
        <v>#N/A</v>
      </c>
      <c r="L1190" t="str">
        <f t="shared" si="160"/>
        <v/>
      </c>
      <c r="M1190" t="str">
        <f t="shared" si="161"/>
        <v/>
      </c>
      <c r="N1190" t="str">
        <f t="shared" si="162"/>
        <v/>
      </c>
      <c r="O1190" t="str">
        <f>IF(L1190&lt;&gt;"",Data!$M1741,"")</f>
        <v/>
      </c>
      <c r="T1190">
        <f>IF(OR(Dashboard!$P$4="All",Dashboard!$R$4="All"),NA(),IF(OR(Data!K1741&lt;&gt;Dashboard!$P$4,Data!K1741&lt;&gt;Dashboard!$R$4),Data!G1741,NA()))</f>
        <v>12000</v>
      </c>
      <c r="U1190"/>
    </row>
    <row r="1191" spans="2:21">
      <c r="B1191" t="e">
        <f>IF(Dashboard!$P$4="All",Data!G1742,IF(Data!K1742=Dashboard!$P$4,Data!G1742,NA()))</f>
        <v>#N/A</v>
      </c>
      <c r="C1191" t="str">
        <f t="shared" si="157"/>
        <v/>
      </c>
      <c r="D1191" t="str">
        <f t="shared" si="158"/>
        <v/>
      </c>
      <c r="E1191" t="str">
        <f t="shared" si="159"/>
        <v/>
      </c>
      <c r="F1191" t="str">
        <f>IF(C1191&lt;&gt;"",Data!$M1742,"")</f>
        <v/>
      </c>
      <c r="K1191" t="e">
        <f>IF(Dashboard!$R$4="All",Data!G1742,IF(Data!K1742=Dashboard!$R$4,Data!G1742,NA()))</f>
        <v>#N/A</v>
      </c>
      <c r="L1191" t="str">
        <f t="shared" si="160"/>
        <v/>
      </c>
      <c r="M1191" t="str">
        <f t="shared" si="161"/>
        <v/>
      </c>
      <c r="N1191" t="str">
        <f t="shared" si="162"/>
        <v/>
      </c>
      <c r="O1191" t="str">
        <f>IF(L1191&lt;&gt;"",Data!$M1742,"")</f>
        <v/>
      </c>
      <c r="T1191">
        <f>IF(OR(Dashboard!$P$4="All",Dashboard!$R$4="All"),NA(),IF(OR(Data!K1742&lt;&gt;Dashboard!$P$4,Data!K1742&lt;&gt;Dashboard!$R$4),Data!G1742,NA()))</f>
        <v>30000</v>
      </c>
      <c r="U1191"/>
    </row>
    <row r="1192" spans="2:21">
      <c r="B1192" t="e">
        <f>IF(Dashboard!$P$4="All",Data!G1743,IF(Data!K1743=Dashboard!$P$4,Data!G1743,NA()))</f>
        <v>#N/A</v>
      </c>
      <c r="C1192" t="str">
        <f t="shared" si="157"/>
        <v/>
      </c>
      <c r="D1192" t="str">
        <f t="shared" si="158"/>
        <v/>
      </c>
      <c r="E1192" t="str">
        <f t="shared" si="159"/>
        <v/>
      </c>
      <c r="F1192" t="str">
        <f>IF(C1192&lt;&gt;"",Data!$M1743,"")</f>
        <v/>
      </c>
      <c r="K1192" t="e">
        <f>IF(Dashboard!$R$4="All",Data!G1743,IF(Data!K1743=Dashboard!$R$4,Data!G1743,NA()))</f>
        <v>#N/A</v>
      </c>
      <c r="L1192" t="str">
        <f t="shared" si="160"/>
        <v/>
      </c>
      <c r="M1192" t="str">
        <f t="shared" si="161"/>
        <v/>
      </c>
      <c r="N1192" t="str">
        <f t="shared" si="162"/>
        <v/>
      </c>
      <c r="O1192" t="str">
        <f>IF(L1192&lt;&gt;"",Data!$M1743,"")</f>
        <v/>
      </c>
      <c r="T1192">
        <f>IF(OR(Dashboard!$P$4="All",Dashboard!$R$4="All"),NA(),IF(OR(Data!K1743&lt;&gt;Dashboard!$P$4,Data!K1743&lt;&gt;Dashboard!$R$4),Data!G1743,NA()))</f>
        <v>91468.759607395754</v>
      </c>
      <c r="U1192"/>
    </row>
    <row r="1193" spans="2:21">
      <c r="B1193" t="e">
        <f>IF(Dashboard!$P$4="All",Data!G1744,IF(Data!K1744=Dashboard!$P$4,Data!G1744,NA()))</f>
        <v>#N/A</v>
      </c>
      <c r="C1193" t="str">
        <f t="shared" si="157"/>
        <v/>
      </c>
      <c r="D1193" t="str">
        <f t="shared" si="158"/>
        <v/>
      </c>
      <c r="E1193" t="str">
        <f t="shared" si="159"/>
        <v/>
      </c>
      <c r="F1193" t="str">
        <f>IF(C1193&lt;&gt;"",Data!$M1744,"")</f>
        <v/>
      </c>
      <c r="K1193">
        <f>IF(Dashboard!$R$4="All",Data!G1744,IF(Data!K1744=Dashboard!$R$4,Data!G1744,NA()))</f>
        <v>35148.775467100437</v>
      </c>
      <c r="L1193">
        <f t="shared" si="160"/>
        <v>35148.775467100437</v>
      </c>
      <c r="M1193" t="str">
        <f t="shared" si="161"/>
        <v/>
      </c>
      <c r="N1193" t="str">
        <f t="shared" si="162"/>
        <v/>
      </c>
      <c r="O1193">
        <f>IF(L1193&lt;&gt;"",Data!$M1744,"")</f>
        <v>4</v>
      </c>
      <c r="T1193">
        <f>IF(OR(Dashboard!$P$4="All",Dashboard!$R$4="All"),NA(),IF(OR(Data!K1744&lt;&gt;Dashboard!$P$4,Data!K1744&lt;&gt;Dashboard!$R$4),Data!G1744,NA()))</f>
        <v>35148.775467100437</v>
      </c>
      <c r="U1193"/>
    </row>
    <row r="1194" spans="2:21">
      <c r="B1194" t="e">
        <f>IF(Dashboard!$P$4="All",Data!G1745,IF(Data!K1745=Dashboard!$P$4,Data!G1745,NA()))</f>
        <v>#N/A</v>
      </c>
      <c r="C1194" t="str">
        <f t="shared" si="157"/>
        <v/>
      </c>
      <c r="D1194" t="str">
        <f t="shared" si="158"/>
        <v/>
      </c>
      <c r="E1194" t="str">
        <f t="shared" si="159"/>
        <v/>
      </c>
      <c r="F1194" t="str">
        <f>IF(C1194&lt;&gt;"",Data!$M1745,"")</f>
        <v/>
      </c>
      <c r="K1194">
        <f>IF(Dashboard!$R$4="All",Data!G1745,IF(Data!K1745=Dashboard!$R$4,Data!G1745,NA()))</f>
        <v>49153.119414418252</v>
      </c>
      <c r="L1194">
        <f t="shared" si="160"/>
        <v>49153.119414418252</v>
      </c>
      <c r="M1194" t="str">
        <f t="shared" si="161"/>
        <v/>
      </c>
      <c r="N1194" t="str">
        <f t="shared" si="162"/>
        <v/>
      </c>
      <c r="O1194">
        <f>IF(L1194&lt;&gt;"",Data!$M1745,"")</f>
        <v>7</v>
      </c>
      <c r="T1194">
        <f>IF(OR(Dashboard!$P$4="All",Dashboard!$R$4="All"),NA(),IF(OR(Data!K1745&lt;&gt;Dashboard!$P$4,Data!K1745&lt;&gt;Dashboard!$R$4),Data!G1745,NA()))</f>
        <v>49153.119414418252</v>
      </c>
      <c r="U1194"/>
    </row>
    <row r="1195" spans="2:21">
      <c r="B1195" t="e">
        <f>IF(Dashboard!$P$4="All",Data!G1746,IF(Data!K1746=Dashboard!$P$4,Data!G1746,NA()))</f>
        <v>#N/A</v>
      </c>
      <c r="C1195" t="str">
        <f t="shared" si="157"/>
        <v/>
      </c>
      <c r="D1195" t="str">
        <f t="shared" si="158"/>
        <v/>
      </c>
      <c r="E1195" t="str">
        <f t="shared" si="159"/>
        <v/>
      </c>
      <c r="F1195" t="str">
        <f>IF(C1195&lt;&gt;"",Data!$M1746,"")</f>
        <v/>
      </c>
      <c r="K1195" t="e">
        <f>IF(Dashboard!$R$4="All",Data!G1746,IF(Data!K1746=Dashboard!$R$4,Data!G1746,NA()))</f>
        <v>#N/A</v>
      </c>
      <c r="L1195" t="str">
        <f t="shared" si="160"/>
        <v/>
      </c>
      <c r="M1195" t="str">
        <f t="shared" si="161"/>
        <v/>
      </c>
      <c r="N1195" t="str">
        <f t="shared" si="162"/>
        <v/>
      </c>
      <c r="O1195" t="str">
        <f>IF(L1195&lt;&gt;"",Data!$M1746,"")</f>
        <v/>
      </c>
      <c r="T1195">
        <f>IF(OR(Dashboard!$P$4="All",Dashboard!$R$4="All"),NA(),IF(OR(Data!K1746&lt;&gt;Dashboard!$P$4,Data!K1746&lt;&gt;Dashboard!$R$4),Data!G1746,NA()))</f>
        <v>2671.1875031163854</v>
      </c>
      <c r="U1195"/>
    </row>
    <row r="1196" spans="2:21">
      <c r="B1196" t="e">
        <f>IF(Dashboard!$P$4="All",Data!G1747,IF(Data!K1747=Dashboard!$P$4,Data!G1747,NA()))</f>
        <v>#N/A</v>
      </c>
      <c r="C1196" t="str">
        <f t="shared" si="157"/>
        <v/>
      </c>
      <c r="D1196" t="str">
        <f t="shared" si="158"/>
        <v/>
      </c>
      <c r="E1196" t="str">
        <f t="shared" si="159"/>
        <v/>
      </c>
      <c r="F1196" t="str">
        <f>IF(C1196&lt;&gt;"",Data!$M1747,"")</f>
        <v/>
      </c>
      <c r="K1196">
        <f>IF(Dashboard!$R$4="All",Data!G1747,IF(Data!K1747=Dashboard!$R$4,Data!G1747,NA()))</f>
        <v>42556.81334581667</v>
      </c>
      <c r="L1196">
        <f t="shared" si="160"/>
        <v>42556.81334581667</v>
      </c>
      <c r="M1196" t="str">
        <f t="shared" si="161"/>
        <v/>
      </c>
      <c r="N1196" t="str">
        <f t="shared" si="162"/>
        <v/>
      </c>
      <c r="O1196">
        <f>IF(L1196&lt;&gt;"",Data!$M1747,"")</f>
        <v>3</v>
      </c>
      <c r="T1196">
        <f>IF(OR(Dashboard!$P$4="All",Dashboard!$R$4="All"),NA(),IF(OR(Data!K1747&lt;&gt;Dashboard!$P$4,Data!K1747&lt;&gt;Dashboard!$R$4),Data!G1747,NA()))</f>
        <v>42556.81334581667</v>
      </c>
      <c r="U1196"/>
    </row>
    <row r="1197" spans="2:21">
      <c r="B1197" t="e">
        <f>IF(Dashboard!$P$4="All",Data!G1748,IF(Data!K1748=Dashboard!$P$4,Data!G1748,NA()))</f>
        <v>#N/A</v>
      </c>
      <c r="C1197" t="str">
        <f t="shared" si="157"/>
        <v/>
      </c>
      <c r="D1197" t="str">
        <f t="shared" si="158"/>
        <v/>
      </c>
      <c r="E1197" t="str">
        <f t="shared" si="159"/>
        <v/>
      </c>
      <c r="F1197" t="str">
        <f>IF(C1197&lt;&gt;"",Data!$M1748,"")</f>
        <v/>
      </c>
      <c r="K1197">
        <f>IF(Dashboard!$R$4="All",Data!G1748,IF(Data!K1748=Dashboard!$R$4,Data!G1748,NA()))</f>
        <v>42556.81334581667</v>
      </c>
      <c r="L1197">
        <f t="shared" si="160"/>
        <v>42556.81334581667</v>
      </c>
      <c r="M1197" t="str">
        <f t="shared" si="161"/>
        <v/>
      </c>
      <c r="N1197" t="str">
        <f t="shared" si="162"/>
        <v/>
      </c>
      <c r="O1197">
        <f>IF(L1197&lt;&gt;"",Data!$M1748,"")</f>
        <v>3</v>
      </c>
      <c r="T1197">
        <f>IF(OR(Dashboard!$P$4="All",Dashboard!$R$4="All"),NA(),IF(OR(Data!K1748&lt;&gt;Dashboard!$P$4,Data!K1748&lt;&gt;Dashboard!$R$4),Data!G1748,NA()))</f>
        <v>42556.81334581667</v>
      </c>
      <c r="U1197"/>
    </row>
    <row r="1198" spans="2:21">
      <c r="B1198" t="e">
        <f>IF(Dashboard!$P$4="All",Data!G1749,IF(Data!K1749=Dashboard!$P$4,Data!G1749,NA()))</f>
        <v>#N/A</v>
      </c>
      <c r="C1198" t="str">
        <f t="shared" si="157"/>
        <v/>
      </c>
      <c r="D1198" t="str">
        <f t="shared" si="158"/>
        <v/>
      </c>
      <c r="E1198" t="str">
        <f t="shared" si="159"/>
        <v/>
      </c>
      <c r="F1198" t="str">
        <f>IF(C1198&lt;&gt;"",Data!$M1749,"")</f>
        <v/>
      </c>
      <c r="K1198" t="e">
        <f>IF(Dashboard!$R$4="All",Data!G1749,IF(Data!K1749=Dashboard!$R$4,Data!G1749,NA()))</f>
        <v>#N/A</v>
      </c>
      <c r="L1198" t="str">
        <f t="shared" si="160"/>
        <v/>
      </c>
      <c r="M1198" t="str">
        <f t="shared" si="161"/>
        <v/>
      </c>
      <c r="N1198" t="str">
        <f t="shared" si="162"/>
        <v/>
      </c>
      <c r="O1198" t="str">
        <f>IF(L1198&lt;&gt;"",Data!$M1749,"")</f>
        <v/>
      </c>
      <c r="T1198">
        <f>IF(OR(Dashboard!$P$4="All",Dashboard!$R$4="All"),NA(),IF(OR(Data!K1749&lt;&gt;Dashboard!$P$4,Data!K1749&lt;&gt;Dashboard!$R$4),Data!G1749,NA()))</f>
        <v>74461</v>
      </c>
      <c r="U1198"/>
    </row>
    <row r="1199" spans="2:21">
      <c r="B1199" t="e">
        <f>IF(Dashboard!$P$4="All",Data!G1750,IF(Data!K1750=Dashboard!$P$4,Data!G1750,NA()))</f>
        <v>#N/A</v>
      </c>
      <c r="C1199" t="str">
        <f t="shared" si="157"/>
        <v/>
      </c>
      <c r="D1199" t="str">
        <f t="shared" si="158"/>
        <v/>
      </c>
      <c r="E1199" t="str">
        <f t="shared" si="159"/>
        <v/>
      </c>
      <c r="F1199" t="str">
        <f>IF(C1199&lt;&gt;"",Data!$M1750,"")</f>
        <v/>
      </c>
      <c r="K1199">
        <f>IF(Dashboard!$R$4="All",Data!G1750,IF(Data!K1750=Dashboard!$R$4,Data!G1750,NA()))</f>
        <v>41768.724209783031</v>
      </c>
      <c r="L1199">
        <f t="shared" si="160"/>
        <v>41768.724209783031</v>
      </c>
      <c r="M1199" t="str">
        <f t="shared" si="161"/>
        <v/>
      </c>
      <c r="N1199" t="str">
        <f t="shared" si="162"/>
        <v/>
      </c>
      <c r="O1199">
        <f>IF(L1199&lt;&gt;"",Data!$M1750,"")</f>
        <v>16</v>
      </c>
      <c r="T1199">
        <f>IF(OR(Dashboard!$P$4="All",Dashboard!$R$4="All"),NA(),IF(OR(Data!K1750&lt;&gt;Dashboard!$P$4,Data!K1750&lt;&gt;Dashboard!$R$4),Data!G1750,NA()))</f>
        <v>41768.724209783031</v>
      </c>
      <c r="U1199"/>
    </row>
    <row r="1200" spans="2:21">
      <c r="B1200" t="e">
        <f>IF(Dashboard!$P$4="All",Data!G1751,IF(Data!K1751=Dashboard!$P$4,Data!G1751,NA()))</f>
        <v>#N/A</v>
      </c>
      <c r="C1200" t="str">
        <f t="shared" si="157"/>
        <v/>
      </c>
      <c r="D1200" t="str">
        <f t="shared" si="158"/>
        <v/>
      </c>
      <c r="E1200" t="str">
        <f t="shared" si="159"/>
        <v/>
      </c>
      <c r="F1200" t="str">
        <f>IF(C1200&lt;&gt;"",Data!$M1751,"")</f>
        <v/>
      </c>
      <c r="K1200" t="e">
        <f>IF(Dashboard!$R$4="All",Data!G1751,IF(Data!K1751=Dashboard!$R$4,Data!G1751,NA()))</f>
        <v>#N/A</v>
      </c>
      <c r="L1200" t="str">
        <f t="shared" si="160"/>
        <v/>
      </c>
      <c r="M1200" t="str">
        <f t="shared" si="161"/>
        <v/>
      </c>
      <c r="N1200" t="str">
        <f t="shared" si="162"/>
        <v/>
      </c>
      <c r="O1200" t="str">
        <f>IF(L1200&lt;&gt;"",Data!$M1751,"")</f>
        <v/>
      </c>
      <c r="T1200">
        <f>IF(OR(Dashboard!$P$4="All",Dashboard!$R$4="All"),NA(),IF(OR(Data!K1751&lt;&gt;Dashboard!$P$4,Data!K1751&lt;&gt;Dashboard!$R$4),Data!G1751,NA()))</f>
        <v>8547.8000099724322</v>
      </c>
      <c r="U1200"/>
    </row>
    <row r="1201" spans="2:21">
      <c r="B1201" t="e">
        <f>IF(Dashboard!$P$4="All",Data!G1752,IF(Data!K1752=Dashboard!$P$4,Data!G1752,NA()))</f>
        <v>#N/A</v>
      </c>
      <c r="C1201" t="str">
        <f t="shared" si="157"/>
        <v/>
      </c>
      <c r="D1201" t="str">
        <f t="shared" si="158"/>
        <v/>
      </c>
      <c r="E1201" t="str">
        <f t="shared" si="159"/>
        <v/>
      </c>
      <c r="F1201" t="str">
        <f>IF(C1201&lt;&gt;"",Data!$M1752,"")</f>
        <v/>
      </c>
      <c r="K1201" t="e">
        <f>IF(Dashboard!$R$4="All",Data!G1752,IF(Data!K1752=Dashboard!$R$4,Data!G1752,NA()))</f>
        <v>#N/A</v>
      </c>
      <c r="L1201" t="str">
        <f t="shared" si="160"/>
        <v/>
      </c>
      <c r="M1201" t="str">
        <f t="shared" si="161"/>
        <v/>
      </c>
      <c r="N1201" t="str">
        <f t="shared" si="162"/>
        <v/>
      </c>
      <c r="O1201" t="str">
        <f>IF(L1201&lt;&gt;"",Data!$M1752,"")</f>
        <v/>
      </c>
      <c r="T1201">
        <f>IF(OR(Dashboard!$P$4="All",Dashboard!$R$4="All"),NA(),IF(OR(Data!K1752&lt;&gt;Dashboard!$P$4,Data!K1752&lt;&gt;Dashboard!$R$4),Data!G1752,NA()))</f>
        <v>2400</v>
      </c>
      <c r="U1201"/>
    </row>
    <row r="1202" spans="2:21">
      <c r="B1202" t="e">
        <f>IF(Dashboard!$P$4="All",Data!G1753,IF(Data!K1753=Dashboard!$P$4,Data!G1753,NA()))</f>
        <v>#N/A</v>
      </c>
      <c r="C1202" t="str">
        <f t="shared" si="157"/>
        <v/>
      </c>
      <c r="D1202" t="str">
        <f t="shared" si="158"/>
        <v/>
      </c>
      <c r="E1202" t="str">
        <f t="shared" si="159"/>
        <v/>
      </c>
      <c r="F1202" t="str">
        <f>IF(C1202&lt;&gt;"",Data!$M1753,"")</f>
        <v/>
      </c>
      <c r="K1202" t="e">
        <f>IF(Dashboard!$R$4="All",Data!G1753,IF(Data!K1753=Dashboard!$R$4,Data!G1753,NA()))</f>
        <v>#N/A</v>
      </c>
      <c r="L1202" t="str">
        <f t="shared" si="160"/>
        <v/>
      </c>
      <c r="M1202" t="str">
        <f t="shared" si="161"/>
        <v/>
      </c>
      <c r="N1202" t="str">
        <f t="shared" si="162"/>
        <v/>
      </c>
      <c r="O1202" t="str">
        <f>IF(L1202&lt;&gt;"",Data!$M1753,"")</f>
        <v/>
      </c>
      <c r="T1202">
        <f>IF(OR(Dashboard!$P$4="All",Dashboard!$R$4="All"),NA(),IF(OR(Data!K1753&lt;&gt;Dashboard!$P$4,Data!K1753&lt;&gt;Dashboard!$R$4),Data!G1753,NA()))</f>
        <v>3000</v>
      </c>
      <c r="U1202"/>
    </row>
    <row r="1203" spans="2:21">
      <c r="B1203" t="e">
        <f>IF(Dashboard!$P$4="All",Data!G1754,IF(Data!K1754=Dashboard!$P$4,Data!G1754,NA()))</f>
        <v>#N/A</v>
      </c>
      <c r="C1203" t="str">
        <f t="shared" si="157"/>
        <v/>
      </c>
      <c r="D1203" t="str">
        <f t="shared" si="158"/>
        <v/>
      </c>
      <c r="E1203" t="str">
        <f t="shared" si="159"/>
        <v/>
      </c>
      <c r="F1203" t="str">
        <f>IF(C1203&lt;&gt;"",Data!$M1754,"")</f>
        <v/>
      </c>
      <c r="K1203" t="e">
        <f>IF(Dashboard!$R$4="All",Data!G1754,IF(Data!K1754=Dashboard!$R$4,Data!G1754,NA()))</f>
        <v>#N/A</v>
      </c>
      <c r="L1203" t="str">
        <f t="shared" si="160"/>
        <v/>
      </c>
      <c r="M1203" t="str">
        <f t="shared" si="161"/>
        <v/>
      </c>
      <c r="N1203" t="str">
        <f t="shared" si="162"/>
        <v/>
      </c>
      <c r="O1203" t="str">
        <f>IF(L1203&lt;&gt;"",Data!$M1754,"")</f>
        <v/>
      </c>
      <c r="T1203">
        <f>IF(OR(Dashboard!$P$4="All",Dashboard!$R$4="All"),NA(),IF(OR(Data!K1754&lt;&gt;Dashboard!$P$4,Data!K1754&lt;&gt;Dashboard!$R$4),Data!G1754,NA()))</f>
        <v>11000</v>
      </c>
      <c r="U1203"/>
    </row>
    <row r="1204" spans="2:21">
      <c r="B1204" t="e">
        <f>IF(Dashboard!$P$4="All",Data!G1755,IF(Data!K1755=Dashboard!$P$4,Data!G1755,NA()))</f>
        <v>#N/A</v>
      </c>
      <c r="C1204" t="str">
        <f t="shared" si="157"/>
        <v/>
      </c>
      <c r="D1204" t="str">
        <f t="shared" si="158"/>
        <v/>
      </c>
      <c r="E1204" t="str">
        <f t="shared" si="159"/>
        <v/>
      </c>
      <c r="F1204" t="str">
        <f>IF(C1204&lt;&gt;"",Data!$M1755,"")</f>
        <v/>
      </c>
      <c r="K1204" t="e">
        <f>IF(Dashboard!$R$4="All",Data!G1755,IF(Data!K1755=Dashboard!$R$4,Data!G1755,NA()))</f>
        <v>#N/A</v>
      </c>
      <c r="L1204" t="str">
        <f t="shared" si="160"/>
        <v/>
      </c>
      <c r="M1204" t="str">
        <f t="shared" si="161"/>
        <v/>
      </c>
      <c r="N1204" t="str">
        <f t="shared" si="162"/>
        <v/>
      </c>
      <c r="O1204" t="str">
        <f>IF(L1204&lt;&gt;"",Data!$M1755,"")</f>
        <v/>
      </c>
      <c r="T1204">
        <f>IF(OR(Dashboard!$P$4="All",Dashboard!$R$4="All"),NA(),IF(OR(Data!K1755&lt;&gt;Dashboard!$P$4,Data!K1755&lt;&gt;Dashboard!$R$4),Data!G1755,NA()))</f>
        <v>40000</v>
      </c>
      <c r="U1204"/>
    </row>
    <row r="1205" spans="2:21">
      <c r="B1205" t="e">
        <f>IF(Dashboard!$P$4="All",Data!G1756,IF(Data!K1756=Dashboard!$P$4,Data!G1756,NA()))</f>
        <v>#N/A</v>
      </c>
      <c r="C1205" t="str">
        <f t="shared" si="157"/>
        <v/>
      </c>
      <c r="D1205" t="str">
        <f t="shared" si="158"/>
        <v/>
      </c>
      <c r="E1205" t="str">
        <f t="shared" si="159"/>
        <v/>
      </c>
      <c r="F1205" t="str">
        <f>IF(C1205&lt;&gt;"",Data!$M1756,"")</f>
        <v/>
      </c>
      <c r="K1205" t="e">
        <f>IF(Dashboard!$R$4="All",Data!G1756,IF(Data!K1756=Dashboard!$R$4,Data!G1756,NA()))</f>
        <v>#N/A</v>
      </c>
      <c r="L1205" t="str">
        <f t="shared" si="160"/>
        <v/>
      </c>
      <c r="M1205" t="str">
        <f t="shared" si="161"/>
        <v/>
      </c>
      <c r="N1205" t="str">
        <f t="shared" si="162"/>
        <v/>
      </c>
      <c r="O1205" t="str">
        <f>IF(L1205&lt;&gt;"",Data!$M1756,"")</f>
        <v/>
      </c>
      <c r="T1205">
        <f>IF(OR(Dashboard!$P$4="All",Dashboard!$R$4="All"),NA(),IF(OR(Data!K1756&lt;&gt;Dashboard!$P$4,Data!K1756&lt;&gt;Dashboard!$R$4),Data!G1756,NA()))</f>
        <v>3600</v>
      </c>
      <c r="U1205"/>
    </row>
    <row r="1206" spans="2:21">
      <c r="B1206" t="e">
        <f>IF(Dashboard!$P$4="All",Data!G1757,IF(Data!K1757=Dashboard!$P$4,Data!G1757,NA()))</f>
        <v>#N/A</v>
      </c>
      <c r="C1206" t="str">
        <f t="shared" si="157"/>
        <v/>
      </c>
      <c r="D1206" t="str">
        <f t="shared" si="158"/>
        <v/>
      </c>
      <c r="E1206" t="str">
        <f t="shared" si="159"/>
        <v/>
      </c>
      <c r="F1206" t="str">
        <f>IF(C1206&lt;&gt;"",Data!$M1757,"")</f>
        <v/>
      </c>
      <c r="K1206" t="e">
        <f>IF(Dashboard!$R$4="All",Data!G1757,IF(Data!K1757=Dashboard!$R$4,Data!G1757,NA()))</f>
        <v>#N/A</v>
      </c>
      <c r="L1206" t="str">
        <f t="shared" si="160"/>
        <v/>
      </c>
      <c r="M1206" t="str">
        <f t="shared" si="161"/>
        <v/>
      </c>
      <c r="N1206" t="str">
        <f t="shared" si="162"/>
        <v/>
      </c>
      <c r="O1206" t="str">
        <f>IF(L1206&lt;&gt;"",Data!$M1757,"")</f>
        <v/>
      </c>
      <c r="T1206">
        <f>IF(OR(Dashboard!$P$4="All",Dashboard!$R$4="All"),NA(),IF(OR(Data!K1757&lt;&gt;Dashboard!$P$4,Data!K1757&lt;&gt;Dashboard!$R$4),Data!G1757,NA()))</f>
        <v>56600</v>
      </c>
      <c r="U1206"/>
    </row>
    <row r="1207" spans="2:21">
      <c r="B1207" t="e">
        <f>IF(Dashboard!$P$4="All",Data!G1758,IF(Data!K1758=Dashboard!$P$4,Data!G1758,NA()))</f>
        <v>#N/A</v>
      </c>
      <c r="C1207" t="str">
        <f t="shared" si="157"/>
        <v/>
      </c>
      <c r="D1207" t="str">
        <f t="shared" si="158"/>
        <v/>
      </c>
      <c r="E1207" t="str">
        <f t="shared" si="159"/>
        <v/>
      </c>
      <c r="F1207" t="str">
        <f>IF(C1207&lt;&gt;"",Data!$M1758,"")</f>
        <v/>
      </c>
      <c r="K1207" t="e">
        <f>IF(Dashboard!$R$4="All",Data!G1758,IF(Data!K1758=Dashboard!$R$4,Data!G1758,NA()))</f>
        <v>#N/A</v>
      </c>
      <c r="L1207" t="str">
        <f t="shared" si="160"/>
        <v/>
      </c>
      <c r="M1207" t="str">
        <f t="shared" si="161"/>
        <v/>
      </c>
      <c r="N1207" t="str">
        <f t="shared" si="162"/>
        <v/>
      </c>
      <c r="O1207" t="str">
        <f>IF(L1207&lt;&gt;"",Data!$M1758,"")</f>
        <v/>
      </c>
      <c r="T1207">
        <f>IF(OR(Dashboard!$P$4="All",Dashboard!$R$4="All"),NA(),IF(OR(Data!K1758&lt;&gt;Dashboard!$P$4,Data!K1758&lt;&gt;Dashboard!$R$4),Data!G1758,NA()))</f>
        <v>33600</v>
      </c>
      <c r="U1207"/>
    </row>
    <row r="1208" spans="2:21">
      <c r="B1208" t="e">
        <f>IF(Dashboard!$P$4="All",Data!G1759,IF(Data!K1759=Dashboard!$P$4,Data!G1759,NA()))</f>
        <v>#N/A</v>
      </c>
      <c r="C1208" t="str">
        <f t="shared" si="157"/>
        <v/>
      </c>
      <c r="D1208" t="str">
        <f t="shared" si="158"/>
        <v/>
      </c>
      <c r="E1208" t="str">
        <f t="shared" si="159"/>
        <v/>
      </c>
      <c r="F1208" t="str">
        <f>IF(C1208&lt;&gt;"",Data!$M1759,"")</f>
        <v/>
      </c>
      <c r="K1208" t="e">
        <f>IF(Dashboard!$R$4="All",Data!G1759,IF(Data!K1759=Dashboard!$R$4,Data!G1759,NA()))</f>
        <v>#N/A</v>
      </c>
      <c r="L1208" t="str">
        <f t="shared" si="160"/>
        <v/>
      </c>
      <c r="M1208" t="str">
        <f t="shared" si="161"/>
        <v/>
      </c>
      <c r="N1208" t="str">
        <f t="shared" si="162"/>
        <v/>
      </c>
      <c r="O1208" t="str">
        <f>IF(L1208&lt;&gt;"",Data!$M1759,"")</f>
        <v/>
      </c>
      <c r="T1208">
        <f>IF(OR(Dashboard!$P$4="All",Dashboard!$R$4="All"),NA(),IF(OR(Data!K1759&lt;&gt;Dashboard!$P$4,Data!K1759&lt;&gt;Dashboard!$R$4),Data!G1759,NA()))</f>
        <v>33600</v>
      </c>
      <c r="U1208"/>
    </row>
    <row r="1209" spans="2:21">
      <c r="B1209" t="e">
        <f>IF(Dashboard!$P$4="All",Data!G1760,IF(Data!K1760=Dashboard!$P$4,Data!G1760,NA()))</f>
        <v>#N/A</v>
      </c>
      <c r="C1209" t="str">
        <f t="shared" si="157"/>
        <v/>
      </c>
      <c r="D1209" t="str">
        <f t="shared" si="158"/>
        <v/>
      </c>
      <c r="E1209" t="str">
        <f t="shared" si="159"/>
        <v/>
      </c>
      <c r="F1209" t="str">
        <f>IF(C1209&lt;&gt;"",Data!$M1760,"")</f>
        <v/>
      </c>
      <c r="K1209" t="e">
        <f>IF(Dashboard!$R$4="All",Data!G1760,IF(Data!K1760=Dashboard!$R$4,Data!G1760,NA()))</f>
        <v>#N/A</v>
      </c>
      <c r="L1209" t="str">
        <f t="shared" si="160"/>
        <v/>
      </c>
      <c r="M1209" t="str">
        <f t="shared" si="161"/>
        <v/>
      </c>
      <c r="N1209" t="str">
        <f t="shared" si="162"/>
        <v/>
      </c>
      <c r="O1209" t="str">
        <f>IF(L1209&lt;&gt;"",Data!$M1760,"")</f>
        <v/>
      </c>
      <c r="T1209">
        <f>IF(OR(Dashboard!$P$4="All",Dashboard!$R$4="All"),NA(),IF(OR(Data!K1760&lt;&gt;Dashboard!$P$4,Data!K1760&lt;&gt;Dashboard!$R$4),Data!G1760,NA()))</f>
        <v>100000</v>
      </c>
      <c r="U1209"/>
    </row>
    <row r="1210" spans="2:21">
      <c r="B1210" t="e">
        <f>IF(Dashboard!$P$4="All",Data!G1761,IF(Data!K1761=Dashboard!$P$4,Data!G1761,NA()))</f>
        <v>#N/A</v>
      </c>
      <c r="C1210" t="str">
        <f t="shared" si="157"/>
        <v/>
      </c>
      <c r="D1210" t="str">
        <f t="shared" si="158"/>
        <v/>
      </c>
      <c r="E1210" t="str">
        <f t="shared" si="159"/>
        <v/>
      </c>
      <c r="F1210" t="str">
        <f>IF(C1210&lt;&gt;"",Data!$M1761,"")</f>
        <v/>
      </c>
      <c r="K1210" t="e">
        <f>IF(Dashboard!$R$4="All",Data!G1761,IF(Data!K1761=Dashboard!$R$4,Data!G1761,NA()))</f>
        <v>#N/A</v>
      </c>
      <c r="L1210" t="str">
        <f t="shared" si="160"/>
        <v/>
      </c>
      <c r="M1210" t="str">
        <f t="shared" si="161"/>
        <v/>
      </c>
      <c r="N1210" t="str">
        <f t="shared" si="162"/>
        <v/>
      </c>
      <c r="O1210" t="str">
        <f>IF(L1210&lt;&gt;"",Data!$M1761,"")</f>
        <v/>
      </c>
      <c r="T1210">
        <f>IF(OR(Dashboard!$P$4="All",Dashboard!$R$4="All"),NA(),IF(OR(Data!K1761&lt;&gt;Dashboard!$P$4,Data!K1761&lt;&gt;Dashboard!$R$4),Data!G1761,NA()))</f>
        <v>39334.460921213074</v>
      </c>
      <c r="U1210"/>
    </row>
    <row r="1211" spans="2:21">
      <c r="B1211" t="e">
        <f>IF(Dashboard!$P$4="All",Data!G1762,IF(Data!K1762=Dashboard!$P$4,Data!G1762,NA()))</f>
        <v>#N/A</v>
      </c>
      <c r="C1211" t="str">
        <f t="shared" si="157"/>
        <v/>
      </c>
      <c r="D1211" t="str">
        <f t="shared" si="158"/>
        <v/>
      </c>
      <c r="E1211" t="str">
        <f t="shared" si="159"/>
        <v/>
      </c>
      <c r="F1211" t="str">
        <f>IF(C1211&lt;&gt;"",Data!$M1762,"")</f>
        <v/>
      </c>
      <c r="K1211" t="e">
        <f>IF(Dashboard!$R$4="All",Data!G1762,IF(Data!K1762=Dashboard!$R$4,Data!G1762,NA()))</f>
        <v>#N/A</v>
      </c>
      <c r="L1211" t="str">
        <f t="shared" si="160"/>
        <v/>
      </c>
      <c r="M1211" t="str">
        <f t="shared" si="161"/>
        <v/>
      </c>
      <c r="N1211" t="str">
        <f t="shared" si="162"/>
        <v/>
      </c>
      <c r="O1211" t="str">
        <f>IF(L1211&lt;&gt;"",Data!$M1762,"")</f>
        <v/>
      </c>
      <c r="T1211">
        <f>IF(OR(Dashboard!$P$4="All",Dashboard!$R$4="All"),NA(),IF(OR(Data!K1762&lt;&gt;Dashboard!$P$4,Data!K1762&lt;&gt;Dashboard!$R$4),Data!G1762,NA()))</f>
        <v>7123.1666749770275</v>
      </c>
      <c r="U1211"/>
    </row>
    <row r="1212" spans="2:21">
      <c r="B1212" t="e">
        <f>IF(Dashboard!$P$4="All",Data!G1763,IF(Data!K1763=Dashboard!$P$4,Data!G1763,NA()))</f>
        <v>#N/A</v>
      </c>
      <c r="C1212" t="str">
        <f t="shared" si="157"/>
        <v/>
      </c>
      <c r="D1212" t="str">
        <f t="shared" si="158"/>
        <v/>
      </c>
      <c r="E1212" t="str">
        <f t="shared" si="159"/>
        <v/>
      </c>
      <c r="F1212" t="str">
        <f>IF(C1212&lt;&gt;"",Data!$M1763,"")</f>
        <v/>
      </c>
      <c r="K1212" t="e">
        <f>IF(Dashboard!$R$4="All",Data!G1763,IF(Data!K1763=Dashboard!$R$4,Data!G1763,NA()))</f>
        <v>#N/A</v>
      </c>
      <c r="L1212" t="str">
        <f t="shared" si="160"/>
        <v/>
      </c>
      <c r="M1212" t="str">
        <f t="shared" si="161"/>
        <v/>
      </c>
      <c r="N1212" t="str">
        <f t="shared" si="162"/>
        <v/>
      </c>
      <c r="O1212" t="str">
        <f>IF(L1212&lt;&gt;"",Data!$M1763,"")</f>
        <v/>
      </c>
      <c r="T1212">
        <f>IF(OR(Dashboard!$P$4="All",Dashboard!$R$4="All"),NA(),IF(OR(Data!K1763&lt;&gt;Dashboard!$P$4,Data!K1763&lt;&gt;Dashboard!$R$4),Data!G1763,NA()))</f>
        <v>65000</v>
      </c>
      <c r="U1212"/>
    </row>
    <row r="1213" spans="2:21">
      <c r="B1213" t="e">
        <f>IF(Dashboard!$P$4="All",Data!G1764,IF(Data!K1764=Dashboard!$P$4,Data!G1764,NA()))</f>
        <v>#N/A</v>
      </c>
      <c r="C1213" t="str">
        <f t="shared" si="157"/>
        <v/>
      </c>
      <c r="D1213" t="str">
        <f t="shared" si="158"/>
        <v/>
      </c>
      <c r="E1213" t="str">
        <f t="shared" si="159"/>
        <v/>
      </c>
      <c r="F1213" t="str">
        <f>IF(C1213&lt;&gt;"",Data!$M1764,"")</f>
        <v/>
      </c>
      <c r="K1213" t="e">
        <f>IF(Dashboard!$R$4="All",Data!G1764,IF(Data!K1764=Dashboard!$R$4,Data!G1764,NA()))</f>
        <v>#N/A</v>
      </c>
      <c r="L1213" t="str">
        <f t="shared" si="160"/>
        <v/>
      </c>
      <c r="M1213" t="str">
        <f t="shared" si="161"/>
        <v/>
      </c>
      <c r="N1213" t="str">
        <f t="shared" si="162"/>
        <v/>
      </c>
      <c r="O1213" t="str">
        <f>IF(L1213&lt;&gt;"",Data!$M1764,"")</f>
        <v/>
      </c>
      <c r="T1213">
        <f>IF(OR(Dashboard!$P$4="All",Dashboard!$R$4="All"),NA(),IF(OR(Data!K1764&lt;&gt;Dashboard!$P$4,Data!K1764&lt;&gt;Dashboard!$R$4),Data!G1764,NA()))</f>
        <v>65000</v>
      </c>
      <c r="U1213"/>
    </row>
    <row r="1214" spans="2:21">
      <c r="B1214" t="e">
        <f>IF(Dashboard!$P$4="All",Data!G1765,IF(Data!K1765=Dashboard!$P$4,Data!G1765,NA()))</f>
        <v>#N/A</v>
      </c>
      <c r="C1214" t="str">
        <f t="shared" si="157"/>
        <v/>
      </c>
      <c r="D1214" t="str">
        <f t="shared" si="158"/>
        <v/>
      </c>
      <c r="E1214" t="str">
        <f t="shared" si="159"/>
        <v/>
      </c>
      <c r="F1214" t="str">
        <f>IF(C1214&lt;&gt;"",Data!$M1765,"")</f>
        <v/>
      </c>
      <c r="K1214" t="e">
        <f>IF(Dashboard!$R$4="All",Data!G1765,IF(Data!K1765=Dashboard!$R$4,Data!G1765,NA()))</f>
        <v>#N/A</v>
      </c>
      <c r="L1214" t="str">
        <f t="shared" si="160"/>
        <v/>
      </c>
      <c r="M1214" t="str">
        <f t="shared" si="161"/>
        <v/>
      </c>
      <c r="N1214" t="str">
        <f t="shared" si="162"/>
        <v/>
      </c>
      <c r="O1214" t="str">
        <f>IF(L1214&lt;&gt;"",Data!$M1765,"")</f>
        <v/>
      </c>
      <c r="T1214">
        <f>IF(OR(Dashboard!$P$4="All",Dashboard!$R$4="All"),NA(),IF(OR(Data!K1765&lt;&gt;Dashboard!$P$4,Data!K1765&lt;&gt;Dashboard!$R$4),Data!G1765,NA()))</f>
        <v>65000</v>
      </c>
      <c r="U1214"/>
    </row>
    <row r="1215" spans="2:21">
      <c r="B1215" t="e">
        <f>IF(Dashboard!$P$4="All",Data!G1766,IF(Data!K1766=Dashboard!$P$4,Data!G1766,NA()))</f>
        <v>#N/A</v>
      </c>
      <c r="C1215" t="str">
        <f t="shared" si="157"/>
        <v/>
      </c>
      <c r="D1215" t="str">
        <f t="shared" si="158"/>
        <v/>
      </c>
      <c r="E1215" t="str">
        <f t="shared" si="159"/>
        <v/>
      </c>
      <c r="F1215" t="str">
        <f>IF(C1215&lt;&gt;"",Data!$M1766,"")</f>
        <v/>
      </c>
      <c r="K1215" t="e">
        <f>IF(Dashboard!$R$4="All",Data!G1766,IF(Data!K1766=Dashboard!$R$4,Data!G1766,NA()))</f>
        <v>#N/A</v>
      </c>
      <c r="L1215" t="str">
        <f t="shared" si="160"/>
        <v/>
      </c>
      <c r="M1215" t="str">
        <f t="shared" si="161"/>
        <v/>
      </c>
      <c r="N1215" t="str">
        <f t="shared" si="162"/>
        <v/>
      </c>
      <c r="O1215" t="str">
        <f>IF(L1215&lt;&gt;"",Data!$M1766,"")</f>
        <v/>
      </c>
      <c r="T1215">
        <f>IF(OR(Dashboard!$P$4="All",Dashboard!$R$4="All"),NA(),IF(OR(Data!K1766&lt;&gt;Dashboard!$P$4,Data!K1766&lt;&gt;Dashboard!$R$4),Data!G1766,NA()))</f>
        <v>76702.198796365497</v>
      </c>
      <c r="U1215"/>
    </row>
    <row r="1216" spans="2:21">
      <c r="B1216" t="e">
        <f>IF(Dashboard!$P$4="All",Data!G1767,IF(Data!K1767=Dashboard!$P$4,Data!G1767,NA()))</f>
        <v>#N/A</v>
      </c>
      <c r="C1216" t="str">
        <f t="shared" si="157"/>
        <v/>
      </c>
      <c r="D1216" t="str">
        <f t="shared" si="158"/>
        <v/>
      </c>
      <c r="E1216" t="str">
        <f t="shared" si="159"/>
        <v/>
      </c>
      <c r="F1216" t="str">
        <f>IF(C1216&lt;&gt;"",Data!$M1767,"")</f>
        <v/>
      </c>
      <c r="K1216" t="e">
        <f>IF(Dashboard!$R$4="All",Data!G1767,IF(Data!K1767=Dashboard!$R$4,Data!G1767,NA()))</f>
        <v>#N/A</v>
      </c>
      <c r="L1216" t="str">
        <f t="shared" si="160"/>
        <v/>
      </c>
      <c r="M1216" t="str">
        <f t="shared" si="161"/>
        <v/>
      </c>
      <c r="N1216" t="str">
        <f t="shared" si="162"/>
        <v/>
      </c>
      <c r="O1216" t="str">
        <f>IF(L1216&lt;&gt;"",Data!$M1767,"")</f>
        <v/>
      </c>
      <c r="T1216">
        <f>IF(OR(Dashboard!$P$4="All",Dashboard!$R$4="All"),NA(),IF(OR(Data!K1767&lt;&gt;Dashboard!$P$4,Data!K1767&lt;&gt;Dashboard!$R$4),Data!G1767,NA()))</f>
        <v>63000</v>
      </c>
      <c r="U1216"/>
    </row>
    <row r="1217" spans="2:21">
      <c r="B1217" t="e">
        <f>IF(Dashboard!$P$4="All",Data!G1768,IF(Data!K1768=Dashboard!$P$4,Data!G1768,NA()))</f>
        <v>#N/A</v>
      </c>
      <c r="C1217" t="str">
        <f t="shared" si="157"/>
        <v/>
      </c>
      <c r="D1217" t="str">
        <f t="shared" si="158"/>
        <v/>
      </c>
      <c r="E1217" t="str">
        <f t="shared" si="159"/>
        <v/>
      </c>
      <c r="F1217" t="str">
        <f>IF(C1217&lt;&gt;"",Data!$M1768,"")</f>
        <v/>
      </c>
      <c r="K1217" t="e">
        <f>IF(Dashboard!$R$4="All",Data!G1768,IF(Data!K1768=Dashboard!$R$4,Data!G1768,NA()))</f>
        <v>#N/A</v>
      </c>
      <c r="L1217" t="str">
        <f t="shared" si="160"/>
        <v/>
      </c>
      <c r="M1217" t="str">
        <f t="shared" si="161"/>
        <v/>
      </c>
      <c r="N1217" t="str">
        <f t="shared" si="162"/>
        <v/>
      </c>
      <c r="O1217" t="str">
        <f>IF(L1217&lt;&gt;"",Data!$M1768,"")</f>
        <v/>
      </c>
      <c r="T1217">
        <f>IF(OR(Dashboard!$P$4="All",Dashboard!$R$4="All"),NA(),IF(OR(Data!K1768&lt;&gt;Dashboard!$P$4,Data!K1768&lt;&gt;Dashboard!$R$4),Data!G1768,NA()))</f>
        <v>87000</v>
      </c>
      <c r="U1217"/>
    </row>
    <row r="1218" spans="2:21">
      <c r="B1218" t="e">
        <f>IF(Dashboard!$P$4="All",Data!G1769,IF(Data!K1769=Dashboard!$P$4,Data!G1769,NA()))</f>
        <v>#N/A</v>
      </c>
      <c r="C1218" t="str">
        <f t="shared" si="157"/>
        <v/>
      </c>
      <c r="D1218" t="str">
        <f t="shared" si="158"/>
        <v/>
      </c>
      <c r="E1218" t="str">
        <f t="shared" si="159"/>
        <v/>
      </c>
      <c r="F1218" t="str">
        <f>IF(C1218&lt;&gt;"",Data!$M1769,"")</f>
        <v/>
      </c>
      <c r="K1218" t="e">
        <f>IF(Dashboard!$R$4="All",Data!G1769,IF(Data!K1769=Dashboard!$R$4,Data!G1769,NA()))</f>
        <v>#N/A</v>
      </c>
      <c r="L1218" t="str">
        <f t="shared" si="160"/>
        <v/>
      </c>
      <c r="M1218" t="str">
        <f t="shared" si="161"/>
        <v/>
      </c>
      <c r="N1218" t="str">
        <f t="shared" si="162"/>
        <v/>
      </c>
      <c r="O1218" t="str">
        <f>IF(L1218&lt;&gt;"",Data!$M1769,"")</f>
        <v/>
      </c>
      <c r="T1218">
        <f>IF(OR(Dashboard!$P$4="All",Dashboard!$R$4="All"),NA(),IF(OR(Data!K1769&lt;&gt;Dashboard!$P$4,Data!K1769&lt;&gt;Dashboard!$R$4),Data!G1769,NA()))</f>
        <v>45000</v>
      </c>
      <c r="U1218"/>
    </row>
    <row r="1219" spans="2:21">
      <c r="B1219" t="e">
        <f>IF(Dashboard!$P$4="All",Data!G1770,IF(Data!K1770=Dashboard!$P$4,Data!G1770,NA()))</f>
        <v>#N/A</v>
      </c>
      <c r="C1219" t="str">
        <f t="shared" si="157"/>
        <v/>
      </c>
      <c r="D1219" t="str">
        <f t="shared" si="158"/>
        <v/>
      </c>
      <c r="E1219" t="str">
        <f t="shared" si="159"/>
        <v/>
      </c>
      <c r="F1219" t="str">
        <f>IF(C1219&lt;&gt;"",Data!$M1770,"")</f>
        <v/>
      </c>
      <c r="K1219" t="e">
        <f>IF(Dashboard!$R$4="All",Data!G1770,IF(Data!K1770=Dashboard!$R$4,Data!G1770,NA()))</f>
        <v>#N/A</v>
      </c>
      <c r="L1219" t="str">
        <f t="shared" si="160"/>
        <v/>
      </c>
      <c r="M1219" t="str">
        <f t="shared" si="161"/>
        <v/>
      </c>
      <c r="N1219" t="str">
        <f t="shared" si="162"/>
        <v/>
      </c>
      <c r="O1219" t="str">
        <f>IF(L1219&lt;&gt;"",Data!$M1770,"")</f>
        <v/>
      </c>
      <c r="T1219">
        <f>IF(OR(Dashboard!$P$4="All",Dashboard!$R$4="All"),NA(),IF(OR(Data!K1770&lt;&gt;Dashboard!$P$4,Data!K1770&lt;&gt;Dashboard!$R$4),Data!G1770,NA()))</f>
        <v>85000</v>
      </c>
      <c r="U1219"/>
    </row>
    <row r="1220" spans="2:21">
      <c r="B1220" t="e">
        <f>IF(Dashboard!$P$4="All",Data!G1771,IF(Data!K1771=Dashboard!$P$4,Data!G1771,NA()))</f>
        <v>#N/A</v>
      </c>
      <c r="C1220" t="str">
        <f t="shared" ref="C1220:C1283" si="163">IF(ISNA(B1220),"",B1220)</f>
        <v/>
      </c>
      <c r="D1220" t="str">
        <f t="shared" ref="D1220:D1283" si="164">IF(C1220&gt;=PERCENTILE($C$3:$C$1337,0.9),C1220,"")</f>
        <v/>
      </c>
      <c r="E1220" t="str">
        <f t="shared" ref="E1220:E1283" si="165">IF(C1220&lt;=PERCENTILE($C$3:$C$1337,0.1),C1220,"")</f>
        <v/>
      </c>
      <c r="F1220" t="str">
        <f>IF(C1220&lt;&gt;"",Data!$M1771,"")</f>
        <v/>
      </c>
      <c r="K1220" t="e">
        <f>IF(Dashboard!$R$4="All",Data!G1771,IF(Data!K1771=Dashboard!$R$4,Data!G1771,NA()))</f>
        <v>#N/A</v>
      </c>
      <c r="L1220" t="str">
        <f t="shared" ref="L1220:L1283" si="166">IF(ISNA(K1220),"",K1220)</f>
        <v/>
      </c>
      <c r="M1220" t="str">
        <f t="shared" ref="M1220:M1283" si="167">IF(L1220&gt;=PERCENTILE($L$3:$L$1337,0.9),L1220,"")</f>
        <v/>
      </c>
      <c r="N1220" t="str">
        <f t="shared" ref="N1220:N1283" si="168">IF(L1220&lt;=PERCENTILE($L$3:$L$1337,0.1),L1220,"")</f>
        <v/>
      </c>
      <c r="O1220" t="str">
        <f>IF(L1220&lt;&gt;"",Data!$M1771,"")</f>
        <v/>
      </c>
      <c r="T1220">
        <f>IF(OR(Dashboard!$P$4="All",Dashboard!$R$4="All"),NA(),IF(OR(Data!K1771&lt;&gt;Dashboard!$P$4,Data!K1771&lt;&gt;Dashboard!$R$4),Data!G1771,NA()))</f>
        <v>159105.90639881117</v>
      </c>
      <c r="U1220"/>
    </row>
    <row r="1221" spans="2:21">
      <c r="B1221" t="e">
        <f>IF(Dashboard!$P$4="All",Data!G1772,IF(Data!K1772=Dashboard!$P$4,Data!G1772,NA()))</f>
        <v>#N/A</v>
      </c>
      <c r="C1221" t="str">
        <f t="shared" si="163"/>
        <v/>
      </c>
      <c r="D1221" t="str">
        <f t="shared" si="164"/>
        <v/>
      </c>
      <c r="E1221" t="str">
        <f t="shared" si="165"/>
        <v/>
      </c>
      <c r="F1221" t="str">
        <f>IF(C1221&lt;&gt;"",Data!$M1772,"")</f>
        <v/>
      </c>
      <c r="K1221" t="e">
        <f>IF(Dashboard!$R$4="All",Data!G1772,IF(Data!K1772=Dashboard!$R$4,Data!G1772,NA()))</f>
        <v>#N/A</v>
      </c>
      <c r="L1221" t="str">
        <f t="shared" si="166"/>
        <v/>
      </c>
      <c r="M1221" t="str">
        <f t="shared" si="167"/>
        <v/>
      </c>
      <c r="N1221" t="str">
        <f t="shared" si="168"/>
        <v/>
      </c>
      <c r="O1221" t="str">
        <f>IF(L1221&lt;&gt;"",Data!$M1772,"")</f>
        <v/>
      </c>
      <c r="T1221">
        <f>IF(OR(Dashboard!$P$4="All",Dashboard!$R$4="All"),NA(),IF(OR(Data!K1772&lt;&gt;Dashboard!$P$4,Data!K1772&lt;&gt;Dashboard!$R$4),Data!G1772,NA()))</f>
        <v>9972.4333449678379</v>
      </c>
      <c r="U1221"/>
    </row>
    <row r="1222" spans="2:21">
      <c r="B1222" t="e">
        <f>IF(Dashboard!$P$4="All",Data!G1773,IF(Data!K1773=Dashboard!$P$4,Data!G1773,NA()))</f>
        <v>#N/A</v>
      </c>
      <c r="C1222" t="str">
        <f t="shared" si="163"/>
        <v/>
      </c>
      <c r="D1222" t="str">
        <f t="shared" si="164"/>
        <v/>
      </c>
      <c r="E1222" t="str">
        <f t="shared" si="165"/>
        <v/>
      </c>
      <c r="F1222" t="str">
        <f>IF(C1222&lt;&gt;"",Data!$M1773,"")</f>
        <v/>
      </c>
      <c r="K1222" t="e">
        <f>IF(Dashboard!$R$4="All",Data!G1773,IF(Data!K1773=Dashboard!$R$4,Data!G1773,NA()))</f>
        <v>#N/A</v>
      </c>
      <c r="L1222" t="str">
        <f t="shared" si="166"/>
        <v/>
      </c>
      <c r="M1222" t="str">
        <f t="shared" si="167"/>
        <v/>
      </c>
      <c r="N1222" t="str">
        <f t="shared" si="168"/>
        <v/>
      </c>
      <c r="O1222" t="str">
        <f>IF(L1222&lt;&gt;"",Data!$M1773,"")</f>
        <v/>
      </c>
      <c r="T1222">
        <f>IF(OR(Dashboard!$P$4="All",Dashboard!$R$4="All"),NA(),IF(OR(Data!K1773&lt;&gt;Dashboard!$P$4,Data!K1773&lt;&gt;Dashboard!$R$4),Data!G1773,NA()))</f>
        <v>14000</v>
      </c>
      <c r="U1222"/>
    </row>
    <row r="1223" spans="2:21">
      <c r="B1223" t="e">
        <f>IF(Dashboard!$P$4="All",Data!G1774,IF(Data!K1774=Dashboard!$P$4,Data!G1774,NA()))</f>
        <v>#N/A</v>
      </c>
      <c r="C1223" t="str">
        <f t="shared" si="163"/>
        <v/>
      </c>
      <c r="D1223" t="str">
        <f t="shared" si="164"/>
        <v/>
      </c>
      <c r="E1223" t="str">
        <f t="shared" si="165"/>
        <v/>
      </c>
      <c r="F1223" t="str">
        <f>IF(C1223&lt;&gt;"",Data!$M1774,"")</f>
        <v/>
      </c>
      <c r="K1223">
        <f>IF(Dashboard!$R$4="All",Data!G1774,IF(Data!K1774=Dashboard!$R$4,Data!G1774,NA()))</f>
        <v>50437.70470615309</v>
      </c>
      <c r="L1223">
        <f t="shared" si="166"/>
        <v>50437.70470615309</v>
      </c>
      <c r="M1223" t="str">
        <f t="shared" si="167"/>
        <v/>
      </c>
      <c r="N1223" t="str">
        <f t="shared" si="168"/>
        <v/>
      </c>
      <c r="O1223">
        <f>IF(L1223&lt;&gt;"",Data!$M1774,"")</f>
        <v>20</v>
      </c>
      <c r="T1223">
        <f>IF(OR(Dashboard!$P$4="All",Dashboard!$R$4="All"),NA(),IF(OR(Data!K1774&lt;&gt;Dashboard!$P$4,Data!K1774&lt;&gt;Dashboard!$R$4),Data!G1774,NA()))</f>
        <v>50437.70470615309</v>
      </c>
      <c r="U1223"/>
    </row>
    <row r="1224" spans="2:21">
      <c r="B1224" t="e">
        <f>IF(Dashboard!$P$4="All",Data!G1775,IF(Data!K1775=Dashboard!$P$4,Data!G1775,NA()))</f>
        <v>#N/A</v>
      </c>
      <c r="C1224" t="str">
        <f t="shared" si="163"/>
        <v/>
      </c>
      <c r="D1224" t="str">
        <f t="shared" si="164"/>
        <v/>
      </c>
      <c r="E1224" t="str">
        <f t="shared" si="165"/>
        <v/>
      </c>
      <c r="F1224" t="str">
        <f>IF(C1224&lt;&gt;"",Data!$M1775,"")</f>
        <v/>
      </c>
      <c r="K1224">
        <f>IF(Dashboard!$R$4="All",Data!G1775,IF(Data!K1775=Dashboard!$R$4,Data!G1775,NA()))</f>
        <v>50437.70470615309</v>
      </c>
      <c r="L1224">
        <f t="shared" si="166"/>
        <v>50437.70470615309</v>
      </c>
      <c r="M1224" t="str">
        <f t="shared" si="167"/>
        <v/>
      </c>
      <c r="N1224" t="str">
        <f t="shared" si="168"/>
        <v/>
      </c>
      <c r="O1224">
        <f>IF(L1224&lt;&gt;"",Data!$M1775,"")</f>
        <v>1</v>
      </c>
      <c r="T1224">
        <f>IF(OR(Dashboard!$P$4="All",Dashboard!$R$4="All"),NA(),IF(OR(Data!K1775&lt;&gt;Dashboard!$P$4,Data!K1775&lt;&gt;Dashboard!$R$4),Data!G1775,NA()))</f>
        <v>50437.70470615309</v>
      </c>
      <c r="U1224"/>
    </row>
    <row r="1225" spans="2:21">
      <c r="B1225" t="e">
        <f>IF(Dashboard!$P$4="All",Data!G1776,IF(Data!K1776=Dashboard!$P$4,Data!G1776,NA()))</f>
        <v>#N/A</v>
      </c>
      <c r="C1225" t="str">
        <f t="shared" si="163"/>
        <v/>
      </c>
      <c r="D1225" t="str">
        <f t="shared" si="164"/>
        <v/>
      </c>
      <c r="E1225" t="str">
        <f t="shared" si="165"/>
        <v/>
      </c>
      <c r="F1225" t="str">
        <f>IF(C1225&lt;&gt;"",Data!$M1776,"")</f>
        <v/>
      </c>
      <c r="K1225" t="e">
        <f>IF(Dashboard!$R$4="All",Data!G1776,IF(Data!K1776=Dashboard!$R$4,Data!G1776,NA()))</f>
        <v>#N/A</v>
      </c>
      <c r="L1225" t="str">
        <f t="shared" si="166"/>
        <v/>
      </c>
      <c r="M1225" t="str">
        <f t="shared" si="167"/>
        <v/>
      </c>
      <c r="N1225" t="str">
        <f t="shared" si="168"/>
        <v/>
      </c>
      <c r="O1225" t="str">
        <f>IF(L1225&lt;&gt;"",Data!$M1776,"")</f>
        <v/>
      </c>
      <c r="T1225">
        <f>IF(OR(Dashboard!$P$4="All",Dashboard!$R$4="All"),NA(),IF(OR(Data!K1776&lt;&gt;Dashboard!$P$4,Data!K1776&lt;&gt;Dashboard!$R$4),Data!G1776,NA()))</f>
        <v>13603.016099449767</v>
      </c>
      <c r="U1225"/>
    </row>
    <row r="1226" spans="2:21">
      <c r="B1226" t="e">
        <f>IF(Dashboard!$P$4="All",Data!G1777,IF(Data!K1777=Dashboard!$P$4,Data!G1777,NA()))</f>
        <v>#N/A</v>
      </c>
      <c r="C1226" t="str">
        <f t="shared" si="163"/>
        <v/>
      </c>
      <c r="D1226" t="str">
        <f t="shared" si="164"/>
        <v/>
      </c>
      <c r="E1226" t="str">
        <f t="shared" si="165"/>
        <v/>
      </c>
      <c r="F1226" t="str">
        <f>IF(C1226&lt;&gt;"",Data!$M1777,"")</f>
        <v/>
      </c>
      <c r="K1226" t="e">
        <f>IF(Dashboard!$R$4="All",Data!G1777,IF(Data!K1777=Dashboard!$R$4,Data!G1777,NA()))</f>
        <v>#N/A</v>
      </c>
      <c r="L1226" t="str">
        <f t="shared" si="166"/>
        <v/>
      </c>
      <c r="M1226" t="str">
        <f t="shared" si="167"/>
        <v/>
      </c>
      <c r="N1226" t="str">
        <f t="shared" si="168"/>
        <v/>
      </c>
      <c r="O1226" t="str">
        <f>IF(L1226&lt;&gt;"",Data!$M1777,"")</f>
        <v/>
      </c>
      <c r="T1226">
        <f>IF(OR(Dashboard!$P$4="All",Dashboard!$R$4="All"),NA(),IF(OR(Data!K1777&lt;&gt;Dashboard!$P$4,Data!K1777&lt;&gt;Dashboard!$R$4),Data!G1777,NA()))</f>
        <v>147886.90017838217</v>
      </c>
      <c r="U1226"/>
    </row>
    <row r="1227" spans="2:21">
      <c r="B1227" t="e">
        <f>IF(Dashboard!$P$4="All",Data!G1778,IF(Data!K1778=Dashboard!$P$4,Data!G1778,NA()))</f>
        <v>#N/A</v>
      </c>
      <c r="C1227" t="str">
        <f t="shared" si="163"/>
        <v/>
      </c>
      <c r="D1227" t="str">
        <f t="shared" si="164"/>
        <v/>
      </c>
      <c r="E1227" t="str">
        <f t="shared" si="165"/>
        <v/>
      </c>
      <c r="F1227" t="str">
        <f>IF(C1227&lt;&gt;"",Data!$M1778,"")</f>
        <v/>
      </c>
      <c r="K1227" t="e">
        <f>IF(Dashboard!$R$4="All",Data!G1778,IF(Data!K1778=Dashboard!$R$4,Data!G1778,NA()))</f>
        <v>#N/A</v>
      </c>
      <c r="L1227" t="str">
        <f t="shared" si="166"/>
        <v/>
      </c>
      <c r="M1227" t="str">
        <f t="shared" si="167"/>
        <v/>
      </c>
      <c r="N1227" t="str">
        <f t="shared" si="168"/>
        <v/>
      </c>
      <c r="O1227" t="str">
        <f>IF(L1227&lt;&gt;"",Data!$M1778,"")</f>
        <v/>
      </c>
      <c r="T1227">
        <f>IF(OR(Dashboard!$P$4="All",Dashboard!$R$4="All"),NA(),IF(OR(Data!K1778&lt;&gt;Dashboard!$P$4,Data!K1778&lt;&gt;Dashboard!$R$4),Data!G1778,NA()))</f>
        <v>4986.216672483919</v>
      </c>
      <c r="U1227"/>
    </row>
    <row r="1228" spans="2:21">
      <c r="B1228" t="e">
        <f>IF(Dashboard!$P$4="All",Data!G1779,IF(Data!K1779=Dashboard!$P$4,Data!G1779,NA()))</f>
        <v>#N/A</v>
      </c>
      <c r="C1228" t="str">
        <f t="shared" si="163"/>
        <v/>
      </c>
      <c r="D1228" t="str">
        <f t="shared" si="164"/>
        <v/>
      </c>
      <c r="E1228" t="str">
        <f t="shared" si="165"/>
        <v/>
      </c>
      <c r="F1228" t="str">
        <f>IF(C1228&lt;&gt;"",Data!$M1779,"")</f>
        <v/>
      </c>
      <c r="K1228" t="e">
        <f>IF(Dashboard!$R$4="All",Data!G1779,IF(Data!K1779=Dashboard!$R$4,Data!G1779,NA()))</f>
        <v>#N/A</v>
      </c>
      <c r="L1228" t="str">
        <f t="shared" si="166"/>
        <v/>
      </c>
      <c r="M1228" t="str">
        <f t="shared" si="167"/>
        <v/>
      </c>
      <c r="N1228" t="str">
        <f t="shared" si="168"/>
        <v/>
      </c>
      <c r="O1228" t="str">
        <f>IF(L1228&lt;&gt;"",Data!$M1779,"")</f>
        <v/>
      </c>
      <c r="T1228">
        <f>IF(OR(Dashboard!$P$4="All",Dashboard!$R$4="All"),NA(),IF(OR(Data!K1779&lt;&gt;Dashboard!$P$4,Data!K1779&lt;&gt;Dashboard!$R$4),Data!G1779,NA()))</f>
        <v>4800</v>
      </c>
      <c r="U1228"/>
    </row>
    <row r="1229" spans="2:21">
      <c r="B1229" t="e">
        <f>IF(Dashboard!$P$4="All",Data!G1780,IF(Data!K1780=Dashboard!$P$4,Data!G1780,NA()))</f>
        <v>#N/A</v>
      </c>
      <c r="C1229" t="str">
        <f t="shared" si="163"/>
        <v/>
      </c>
      <c r="D1229" t="str">
        <f t="shared" si="164"/>
        <v/>
      </c>
      <c r="E1229" t="str">
        <f t="shared" si="165"/>
        <v/>
      </c>
      <c r="F1229" t="str">
        <f>IF(C1229&lt;&gt;"",Data!$M1780,"")</f>
        <v/>
      </c>
      <c r="K1229" t="e">
        <f>IF(Dashboard!$R$4="All",Data!G1780,IF(Data!K1780=Dashboard!$R$4,Data!G1780,NA()))</f>
        <v>#N/A</v>
      </c>
      <c r="L1229" t="str">
        <f t="shared" si="166"/>
        <v/>
      </c>
      <c r="M1229" t="str">
        <f t="shared" si="167"/>
        <v/>
      </c>
      <c r="N1229" t="str">
        <f t="shared" si="168"/>
        <v/>
      </c>
      <c r="O1229" t="str">
        <f>IF(L1229&lt;&gt;"",Data!$M1780,"")</f>
        <v/>
      </c>
      <c r="T1229">
        <f>IF(OR(Dashboard!$P$4="All",Dashboard!$R$4="All"),NA(),IF(OR(Data!K1780&lt;&gt;Dashboard!$P$4,Data!K1780&lt;&gt;Dashboard!$R$4),Data!G1780,NA()))</f>
        <v>8013.5625093491553</v>
      </c>
      <c r="U1229"/>
    </row>
    <row r="1230" spans="2:21">
      <c r="B1230" t="e">
        <f>IF(Dashboard!$P$4="All",Data!G1781,IF(Data!K1781=Dashboard!$P$4,Data!G1781,NA()))</f>
        <v>#N/A</v>
      </c>
      <c r="C1230" t="str">
        <f t="shared" si="163"/>
        <v/>
      </c>
      <c r="D1230" t="str">
        <f t="shared" si="164"/>
        <v/>
      </c>
      <c r="E1230" t="str">
        <f t="shared" si="165"/>
        <v/>
      </c>
      <c r="F1230" t="str">
        <f>IF(C1230&lt;&gt;"",Data!$M1781,"")</f>
        <v/>
      </c>
      <c r="K1230" t="e">
        <f>IF(Dashboard!$R$4="All",Data!G1781,IF(Data!K1781=Dashboard!$R$4,Data!G1781,NA()))</f>
        <v>#N/A</v>
      </c>
      <c r="L1230" t="str">
        <f t="shared" si="166"/>
        <v/>
      </c>
      <c r="M1230" t="str">
        <f t="shared" si="167"/>
        <v/>
      </c>
      <c r="N1230" t="str">
        <f t="shared" si="168"/>
        <v/>
      </c>
      <c r="O1230" t="str">
        <f>IF(L1230&lt;&gt;"",Data!$M1781,"")</f>
        <v/>
      </c>
      <c r="T1230">
        <f>IF(OR(Dashboard!$P$4="All",Dashboard!$R$4="All"),NA(),IF(OR(Data!K1781&lt;&gt;Dashboard!$P$4,Data!K1781&lt;&gt;Dashboard!$R$4),Data!G1781,NA()))</f>
        <v>80000</v>
      </c>
      <c r="U1230"/>
    </row>
    <row r="1231" spans="2:21">
      <c r="B1231">
        <f>IF(Dashboard!$P$4="All",Data!G1782,IF(Data!K1782=Dashboard!$P$4,Data!G1782,NA()))</f>
        <v>57167.974754622352</v>
      </c>
      <c r="C1231">
        <f t="shared" si="163"/>
        <v>57167.974754622352</v>
      </c>
      <c r="D1231" t="str">
        <f t="shared" si="164"/>
        <v/>
      </c>
      <c r="E1231" t="str">
        <f t="shared" si="165"/>
        <v/>
      </c>
      <c r="F1231">
        <f>IF(C1231&lt;&gt;"",Data!$M1782,"")</f>
        <v>14</v>
      </c>
      <c r="K1231" t="e">
        <f>IF(Dashboard!$R$4="All",Data!G1782,IF(Data!K1782=Dashboard!$R$4,Data!G1782,NA()))</f>
        <v>#N/A</v>
      </c>
      <c r="L1231" t="str">
        <f t="shared" si="166"/>
        <v/>
      </c>
      <c r="M1231" t="str">
        <f t="shared" si="167"/>
        <v/>
      </c>
      <c r="N1231" t="str">
        <f t="shared" si="168"/>
        <v/>
      </c>
      <c r="O1231" t="str">
        <f>IF(L1231&lt;&gt;"",Data!$M1782,"")</f>
        <v/>
      </c>
      <c r="T1231">
        <f>IF(OR(Dashboard!$P$4="All",Dashboard!$R$4="All"),NA(),IF(OR(Data!K1782&lt;&gt;Dashboard!$P$4,Data!K1782&lt;&gt;Dashboard!$R$4),Data!G1782,NA()))</f>
        <v>57167.974754622352</v>
      </c>
      <c r="U1231"/>
    </row>
    <row r="1232" spans="2:21">
      <c r="B1232" t="e">
        <f>IF(Dashboard!$P$4="All",Data!G1783,IF(Data!K1783=Dashboard!$P$4,Data!G1783,NA()))</f>
        <v>#N/A</v>
      </c>
      <c r="C1232" t="str">
        <f t="shared" si="163"/>
        <v/>
      </c>
      <c r="D1232" t="str">
        <f t="shared" si="164"/>
        <v/>
      </c>
      <c r="E1232" t="str">
        <f t="shared" si="165"/>
        <v/>
      </c>
      <c r="F1232" t="str">
        <f>IF(C1232&lt;&gt;"",Data!$M1783,"")</f>
        <v/>
      </c>
      <c r="K1232" t="e">
        <f>IF(Dashboard!$R$4="All",Data!G1783,IF(Data!K1783=Dashboard!$R$4,Data!G1783,NA()))</f>
        <v>#N/A</v>
      </c>
      <c r="L1232" t="str">
        <f t="shared" si="166"/>
        <v/>
      </c>
      <c r="M1232" t="str">
        <f t="shared" si="167"/>
        <v/>
      </c>
      <c r="N1232" t="str">
        <f t="shared" si="168"/>
        <v/>
      </c>
      <c r="O1232" t="str">
        <f>IF(L1232&lt;&gt;"",Data!$M1783,"")</f>
        <v/>
      </c>
      <c r="T1232">
        <f>IF(OR(Dashboard!$P$4="All",Dashboard!$R$4="All"),NA(),IF(OR(Data!K1783&lt;&gt;Dashboard!$P$4,Data!K1783&lt;&gt;Dashboard!$R$4),Data!G1783,NA()))</f>
        <v>20000</v>
      </c>
      <c r="U1232"/>
    </row>
    <row r="1233" spans="2:21">
      <c r="B1233" t="e">
        <f>IF(Dashboard!$P$4="All",Data!G1784,IF(Data!K1784=Dashboard!$P$4,Data!G1784,NA()))</f>
        <v>#N/A</v>
      </c>
      <c r="C1233" t="str">
        <f t="shared" si="163"/>
        <v/>
      </c>
      <c r="D1233" t="str">
        <f t="shared" si="164"/>
        <v/>
      </c>
      <c r="E1233" t="str">
        <f t="shared" si="165"/>
        <v/>
      </c>
      <c r="F1233" t="str">
        <f>IF(C1233&lt;&gt;"",Data!$M1784,"")</f>
        <v/>
      </c>
      <c r="K1233" t="e">
        <f>IF(Dashboard!$R$4="All",Data!G1784,IF(Data!K1784=Dashboard!$R$4,Data!G1784,NA()))</f>
        <v>#N/A</v>
      </c>
      <c r="L1233" t="str">
        <f t="shared" si="166"/>
        <v/>
      </c>
      <c r="M1233" t="str">
        <f t="shared" si="167"/>
        <v/>
      </c>
      <c r="N1233" t="str">
        <f t="shared" si="168"/>
        <v/>
      </c>
      <c r="O1233" t="str">
        <f>IF(L1233&lt;&gt;"",Data!$M1784,"")</f>
        <v/>
      </c>
      <c r="T1233">
        <f>IF(OR(Dashboard!$P$4="All",Dashboard!$R$4="All"),NA(),IF(OR(Data!K1784&lt;&gt;Dashboard!$P$4,Data!K1784&lt;&gt;Dashboard!$R$4),Data!G1784,NA()))</f>
        <v>70000</v>
      </c>
      <c r="U1233"/>
    </row>
    <row r="1234" spans="2:21">
      <c r="B1234" t="e">
        <f>IF(Dashboard!$P$4="All",Data!G1785,IF(Data!K1785=Dashboard!$P$4,Data!G1785,NA()))</f>
        <v>#N/A</v>
      </c>
      <c r="C1234" t="str">
        <f t="shared" si="163"/>
        <v/>
      </c>
      <c r="D1234" t="str">
        <f t="shared" si="164"/>
        <v/>
      </c>
      <c r="E1234" t="str">
        <f t="shared" si="165"/>
        <v/>
      </c>
      <c r="F1234" t="str">
        <f>IF(C1234&lt;&gt;"",Data!$M1785,"")</f>
        <v/>
      </c>
      <c r="K1234" t="e">
        <f>IF(Dashboard!$R$4="All",Data!G1785,IF(Data!K1785=Dashboard!$R$4,Data!G1785,NA()))</f>
        <v>#N/A</v>
      </c>
      <c r="L1234" t="str">
        <f t="shared" si="166"/>
        <v/>
      </c>
      <c r="M1234" t="str">
        <f t="shared" si="167"/>
        <v/>
      </c>
      <c r="N1234" t="str">
        <f t="shared" si="168"/>
        <v/>
      </c>
      <c r="O1234" t="str">
        <f>IF(L1234&lt;&gt;"",Data!$M1785,"")</f>
        <v/>
      </c>
      <c r="T1234">
        <f>IF(OR(Dashboard!$P$4="All",Dashboard!$R$4="All"),NA(),IF(OR(Data!K1785&lt;&gt;Dashboard!$P$4,Data!K1785&lt;&gt;Dashboard!$R$4),Data!G1785,NA()))</f>
        <v>214000</v>
      </c>
      <c r="U1234"/>
    </row>
    <row r="1235" spans="2:21">
      <c r="B1235" t="e">
        <f>IF(Dashboard!$P$4="All",Data!G1786,IF(Data!K1786=Dashboard!$P$4,Data!G1786,NA()))</f>
        <v>#N/A</v>
      </c>
      <c r="C1235" t="str">
        <f t="shared" si="163"/>
        <v/>
      </c>
      <c r="D1235" t="str">
        <f t="shared" si="164"/>
        <v/>
      </c>
      <c r="E1235" t="str">
        <f t="shared" si="165"/>
        <v/>
      </c>
      <c r="F1235" t="str">
        <f>IF(C1235&lt;&gt;"",Data!$M1786,"")</f>
        <v/>
      </c>
      <c r="K1235" t="e">
        <f>IF(Dashboard!$R$4="All",Data!G1786,IF(Data!K1786=Dashboard!$R$4,Data!G1786,NA()))</f>
        <v>#N/A</v>
      </c>
      <c r="L1235" t="str">
        <f t="shared" si="166"/>
        <v/>
      </c>
      <c r="M1235" t="str">
        <f t="shared" si="167"/>
        <v/>
      </c>
      <c r="N1235" t="str">
        <f t="shared" si="168"/>
        <v/>
      </c>
      <c r="O1235" t="str">
        <f>IF(L1235&lt;&gt;"",Data!$M1786,"")</f>
        <v/>
      </c>
      <c r="T1235">
        <f>IF(OR(Dashboard!$P$4="All",Dashboard!$R$4="All"),NA(),IF(OR(Data!K1786&lt;&gt;Dashboard!$P$4,Data!K1786&lt;&gt;Dashboard!$R$4),Data!G1786,NA()))</f>
        <v>78000</v>
      </c>
      <c r="U1235"/>
    </row>
    <row r="1236" spans="2:21">
      <c r="B1236" t="e">
        <f>IF(Dashboard!$P$4="All",Data!G1787,IF(Data!K1787=Dashboard!$P$4,Data!G1787,NA()))</f>
        <v>#N/A</v>
      </c>
      <c r="C1236" t="str">
        <f t="shared" si="163"/>
        <v/>
      </c>
      <c r="D1236" t="str">
        <f t="shared" si="164"/>
        <v/>
      </c>
      <c r="E1236" t="str">
        <f t="shared" si="165"/>
        <v/>
      </c>
      <c r="F1236" t="str">
        <f>IF(C1236&lt;&gt;"",Data!$M1787,"")</f>
        <v/>
      </c>
      <c r="K1236" t="e">
        <f>IF(Dashboard!$R$4="All",Data!G1787,IF(Data!K1787=Dashboard!$R$4,Data!G1787,NA()))</f>
        <v>#N/A</v>
      </c>
      <c r="L1236" t="str">
        <f t="shared" si="166"/>
        <v/>
      </c>
      <c r="M1236" t="str">
        <f t="shared" si="167"/>
        <v/>
      </c>
      <c r="N1236" t="str">
        <f t="shared" si="168"/>
        <v/>
      </c>
      <c r="O1236" t="str">
        <f>IF(L1236&lt;&gt;"",Data!$M1787,"")</f>
        <v/>
      </c>
      <c r="T1236">
        <f>IF(OR(Dashboard!$P$4="All",Dashboard!$R$4="All"),NA(),IF(OR(Data!K1787&lt;&gt;Dashboard!$P$4,Data!K1787&lt;&gt;Dashboard!$R$4),Data!G1787,NA()))</f>
        <v>42307</v>
      </c>
      <c r="U1236"/>
    </row>
    <row r="1237" spans="2:21">
      <c r="B1237" t="e">
        <f>IF(Dashboard!$P$4="All",Data!G1788,IF(Data!K1788=Dashboard!$P$4,Data!G1788,NA()))</f>
        <v>#N/A</v>
      </c>
      <c r="C1237" t="str">
        <f t="shared" si="163"/>
        <v/>
      </c>
      <c r="D1237" t="str">
        <f t="shared" si="164"/>
        <v/>
      </c>
      <c r="E1237" t="str">
        <f t="shared" si="165"/>
        <v/>
      </c>
      <c r="F1237" t="str">
        <f>IF(C1237&lt;&gt;"",Data!$M1788,"")</f>
        <v/>
      </c>
      <c r="K1237" t="e">
        <f>IF(Dashboard!$R$4="All",Data!G1788,IF(Data!K1788=Dashboard!$R$4,Data!G1788,NA()))</f>
        <v>#N/A</v>
      </c>
      <c r="L1237" t="str">
        <f t="shared" si="166"/>
        <v/>
      </c>
      <c r="M1237" t="str">
        <f t="shared" si="167"/>
        <v/>
      </c>
      <c r="N1237" t="str">
        <f t="shared" si="168"/>
        <v/>
      </c>
      <c r="O1237" t="str">
        <f>IF(L1237&lt;&gt;"",Data!$M1788,"")</f>
        <v/>
      </c>
      <c r="T1237">
        <f>IF(OR(Dashboard!$P$4="All",Dashboard!$R$4="All"),NA(),IF(OR(Data!K1788&lt;&gt;Dashboard!$P$4,Data!K1788&lt;&gt;Dashboard!$R$4),Data!G1788,NA()))</f>
        <v>33250</v>
      </c>
      <c r="U1237"/>
    </row>
    <row r="1238" spans="2:21">
      <c r="B1238" t="e">
        <f>IF(Dashboard!$P$4="All",Data!G1789,IF(Data!K1789=Dashboard!$P$4,Data!G1789,NA()))</f>
        <v>#N/A</v>
      </c>
      <c r="C1238" t="str">
        <f t="shared" si="163"/>
        <v/>
      </c>
      <c r="D1238" t="str">
        <f t="shared" si="164"/>
        <v/>
      </c>
      <c r="E1238" t="str">
        <f t="shared" si="165"/>
        <v/>
      </c>
      <c r="F1238" t="str">
        <f>IF(C1238&lt;&gt;"",Data!$M1789,"")</f>
        <v/>
      </c>
      <c r="K1238" t="e">
        <f>IF(Dashboard!$R$4="All",Data!G1789,IF(Data!K1789=Dashboard!$R$4,Data!G1789,NA()))</f>
        <v>#N/A</v>
      </c>
      <c r="L1238" t="str">
        <f t="shared" si="166"/>
        <v/>
      </c>
      <c r="M1238" t="str">
        <f t="shared" si="167"/>
        <v/>
      </c>
      <c r="N1238" t="str">
        <f t="shared" si="168"/>
        <v/>
      </c>
      <c r="O1238" t="str">
        <f>IF(L1238&lt;&gt;"",Data!$M1789,"")</f>
        <v/>
      </c>
      <c r="T1238">
        <f>IF(OR(Dashboard!$P$4="All",Dashboard!$R$4="All"),NA(),IF(OR(Data!K1789&lt;&gt;Dashboard!$P$4,Data!K1789&lt;&gt;Dashboard!$R$4),Data!G1789,NA()))</f>
        <v>24391.669228638868</v>
      </c>
      <c r="U1238"/>
    </row>
    <row r="1239" spans="2:21">
      <c r="B1239" t="e">
        <f>IF(Dashboard!$P$4="All",Data!G1790,IF(Data!K1790=Dashboard!$P$4,Data!G1790,NA()))</f>
        <v>#N/A</v>
      </c>
      <c r="C1239" t="str">
        <f t="shared" si="163"/>
        <v/>
      </c>
      <c r="D1239" t="str">
        <f t="shared" si="164"/>
        <v/>
      </c>
      <c r="E1239" t="str">
        <f t="shared" si="165"/>
        <v/>
      </c>
      <c r="F1239" t="str">
        <f>IF(C1239&lt;&gt;"",Data!$M1790,"")</f>
        <v/>
      </c>
      <c r="K1239" t="e">
        <f>IF(Dashboard!$R$4="All",Data!G1790,IF(Data!K1790=Dashboard!$R$4,Data!G1790,NA()))</f>
        <v>#N/A</v>
      </c>
      <c r="L1239" t="str">
        <f t="shared" si="166"/>
        <v/>
      </c>
      <c r="M1239" t="str">
        <f t="shared" si="167"/>
        <v/>
      </c>
      <c r="N1239" t="str">
        <f t="shared" si="168"/>
        <v/>
      </c>
      <c r="O1239" t="str">
        <f>IF(L1239&lt;&gt;"",Data!$M1790,"")</f>
        <v/>
      </c>
      <c r="T1239">
        <f>IF(OR(Dashboard!$P$4="All",Dashboard!$R$4="All"),NA(),IF(OR(Data!K1790&lt;&gt;Dashboard!$P$4,Data!K1790&lt;&gt;Dashboard!$R$4),Data!G1790,NA()))</f>
        <v>120000</v>
      </c>
      <c r="U1239"/>
    </row>
    <row r="1240" spans="2:21">
      <c r="B1240" t="e">
        <f>IF(Dashboard!$P$4="All",Data!G1791,IF(Data!K1791=Dashboard!$P$4,Data!G1791,NA()))</f>
        <v>#N/A</v>
      </c>
      <c r="C1240" t="str">
        <f t="shared" si="163"/>
        <v/>
      </c>
      <c r="D1240" t="str">
        <f t="shared" si="164"/>
        <v/>
      </c>
      <c r="E1240" t="str">
        <f t="shared" si="165"/>
        <v/>
      </c>
      <c r="F1240" t="str">
        <f>IF(C1240&lt;&gt;"",Data!$M1791,"")</f>
        <v/>
      </c>
      <c r="K1240" t="e">
        <f>IF(Dashboard!$R$4="All",Data!G1791,IF(Data!K1791=Dashboard!$R$4,Data!G1791,NA()))</f>
        <v>#N/A</v>
      </c>
      <c r="L1240" t="str">
        <f t="shared" si="166"/>
        <v/>
      </c>
      <c r="M1240" t="str">
        <f t="shared" si="167"/>
        <v/>
      </c>
      <c r="N1240" t="str">
        <f t="shared" si="168"/>
        <v/>
      </c>
      <c r="O1240" t="str">
        <f>IF(L1240&lt;&gt;"",Data!$M1791,"")</f>
        <v/>
      </c>
      <c r="T1240">
        <f>IF(OR(Dashboard!$P$4="All",Dashboard!$R$4="All"),NA(),IF(OR(Data!K1791&lt;&gt;Dashboard!$P$4,Data!K1791&lt;&gt;Dashboard!$R$4),Data!G1791,NA()))</f>
        <v>20000</v>
      </c>
      <c r="U1240"/>
    </row>
    <row r="1241" spans="2:21">
      <c r="B1241" t="e">
        <f>IF(Dashboard!$P$4="All",Data!G1792,IF(Data!K1792=Dashboard!$P$4,Data!G1792,NA()))</f>
        <v>#N/A</v>
      </c>
      <c r="C1241" t="str">
        <f t="shared" si="163"/>
        <v/>
      </c>
      <c r="D1241" t="str">
        <f t="shared" si="164"/>
        <v/>
      </c>
      <c r="E1241" t="str">
        <f t="shared" si="165"/>
        <v/>
      </c>
      <c r="F1241" t="str">
        <f>IF(C1241&lt;&gt;"",Data!$M1792,"")</f>
        <v/>
      </c>
      <c r="K1241" t="e">
        <f>IF(Dashboard!$R$4="All",Data!G1792,IF(Data!K1792=Dashboard!$R$4,Data!G1792,NA()))</f>
        <v>#N/A</v>
      </c>
      <c r="L1241" t="str">
        <f t="shared" si="166"/>
        <v/>
      </c>
      <c r="M1241" t="str">
        <f t="shared" si="167"/>
        <v/>
      </c>
      <c r="N1241" t="str">
        <f t="shared" si="168"/>
        <v/>
      </c>
      <c r="O1241" t="str">
        <f>IF(L1241&lt;&gt;"",Data!$M1792,"")</f>
        <v/>
      </c>
      <c r="T1241">
        <f>IF(OR(Dashboard!$P$4="All",Dashboard!$R$4="All"),NA(),IF(OR(Data!K1792&lt;&gt;Dashboard!$P$4,Data!K1792&lt;&gt;Dashboard!$R$4),Data!G1792,NA()))</f>
        <v>15000</v>
      </c>
      <c r="U1241"/>
    </row>
    <row r="1242" spans="2:21">
      <c r="B1242" t="e">
        <f>IF(Dashboard!$P$4="All",Data!G1793,IF(Data!K1793=Dashboard!$P$4,Data!G1793,NA()))</f>
        <v>#N/A</v>
      </c>
      <c r="C1242" t="str">
        <f t="shared" si="163"/>
        <v/>
      </c>
      <c r="D1242" t="str">
        <f t="shared" si="164"/>
        <v/>
      </c>
      <c r="E1242" t="str">
        <f t="shared" si="165"/>
        <v/>
      </c>
      <c r="F1242" t="str">
        <f>IF(C1242&lt;&gt;"",Data!$M1793,"")</f>
        <v/>
      </c>
      <c r="K1242" t="e">
        <f>IF(Dashboard!$R$4="All",Data!G1793,IF(Data!K1793=Dashboard!$R$4,Data!G1793,NA()))</f>
        <v>#N/A</v>
      </c>
      <c r="L1242" t="str">
        <f t="shared" si="166"/>
        <v/>
      </c>
      <c r="M1242" t="str">
        <f t="shared" si="167"/>
        <v/>
      </c>
      <c r="N1242" t="str">
        <f t="shared" si="168"/>
        <v/>
      </c>
      <c r="O1242" t="str">
        <f>IF(L1242&lt;&gt;"",Data!$M1793,"")</f>
        <v/>
      </c>
      <c r="T1242">
        <f>IF(OR(Dashboard!$P$4="All",Dashboard!$R$4="All"),NA(),IF(OR(Data!K1793&lt;&gt;Dashboard!$P$4,Data!K1793&lt;&gt;Dashboard!$R$4),Data!G1793,NA()))</f>
        <v>17807.916687442568</v>
      </c>
      <c r="U1242"/>
    </row>
    <row r="1243" spans="2:21">
      <c r="B1243" t="e">
        <f>IF(Dashboard!$P$4="All",Data!G1794,IF(Data!K1794=Dashboard!$P$4,Data!G1794,NA()))</f>
        <v>#N/A</v>
      </c>
      <c r="C1243" t="str">
        <f t="shared" si="163"/>
        <v/>
      </c>
      <c r="D1243" t="str">
        <f t="shared" si="164"/>
        <v/>
      </c>
      <c r="E1243" t="str">
        <f t="shared" si="165"/>
        <v/>
      </c>
      <c r="F1243" t="str">
        <f>IF(C1243&lt;&gt;"",Data!$M1794,"")</f>
        <v/>
      </c>
      <c r="K1243" t="e">
        <f>IF(Dashboard!$R$4="All",Data!G1794,IF(Data!K1794=Dashboard!$R$4,Data!G1794,NA()))</f>
        <v>#N/A</v>
      </c>
      <c r="L1243" t="str">
        <f t="shared" si="166"/>
        <v/>
      </c>
      <c r="M1243" t="str">
        <f t="shared" si="167"/>
        <v/>
      </c>
      <c r="N1243" t="str">
        <f t="shared" si="168"/>
        <v/>
      </c>
      <c r="O1243" t="str">
        <f>IF(L1243&lt;&gt;"",Data!$M1794,"")</f>
        <v/>
      </c>
      <c r="T1243">
        <f>IF(OR(Dashboard!$P$4="All",Dashboard!$R$4="All"),NA(),IF(OR(Data!K1794&lt;&gt;Dashboard!$P$4,Data!K1794&lt;&gt;Dashboard!$R$4),Data!G1794,NA()))</f>
        <v>16027.125018698311</v>
      </c>
      <c r="U1243"/>
    </row>
    <row r="1244" spans="2:21">
      <c r="B1244" t="e">
        <f>IF(Dashboard!$P$4="All",Data!G1795,IF(Data!K1795=Dashboard!$P$4,Data!G1795,NA()))</f>
        <v>#N/A</v>
      </c>
      <c r="C1244" t="str">
        <f t="shared" si="163"/>
        <v/>
      </c>
      <c r="D1244" t="str">
        <f t="shared" si="164"/>
        <v/>
      </c>
      <c r="E1244" t="str">
        <f t="shared" si="165"/>
        <v/>
      </c>
      <c r="F1244" t="str">
        <f>IF(C1244&lt;&gt;"",Data!$M1795,"")</f>
        <v/>
      </c>
      <c r="K1244">
        <f>IF(Dashboard!$R$4="All",Data!G1795,IF(Data!K1795=Dashboard!$R$4,Data!G1795,NA()))</f>
        <v>56742.417794422225</v>
      </c>
      <c r="L1244">
        <f t="shared" si="166"/>
        <v>56742.417794422225</v>
      </c>
      <c r="M1244" t="str">
        <f t="shared" si="167"/>
        <v/>
      </c>
      <c r="N1244" t="str">
        <f t="shared" si="168"/>
        <v/>
      </c>
      <c r="O1244">
        <f>IF(L1244&lt;&gt;"",Data!$M1795,"")</f>
        <v>7</v>
      </c>
      <c r="T1244">
        <f>IF(OR(Dashboard!$P$4="All",Dashboard!$R$4="All"),NA(),IF(OR(Data!K1795&lt;&gt;Dashboard!$P$4,Data!K1795&lt;&gt;Dashboard!$R$4),Data!G1795,NA()))</f>
        <v>56742.417794422225</v>
      </c>
      <c r="U1244"/>
    </row>
    <row r="1245" spans="2:21">
      <c r="B1245" t="e">
        <f>IF(Dashboard!$P$4="All",Data!G1796,IF(Data!K1796=Dashboard!$P$4,Data!G1796,NA()))</f>
        <v>#N/A</v>
      </c>
      <c r="C1245" t="str">
        <f t="shared" si="163"/>
        <v/>
      </c>
      <c r="D1245" t="str">
        <f t="shared" si="164"/>
        <v/>
      </c>
      <c r="E1245" t="str">
        <f t="shared" si="165"/>
        <v/>
      </c>
      <c r="F1245" t="str">
        <f>IF(C1245&lt;&gt;"",Data!$M1796,"")</f>
        <v/>
      </c>
      <c r="K1245" t="e">
        <f>IF(Dashboard!$R$4="All",Data!G1796,IF(Data!K1796=Dashboard!$R$4,Data!G1796,NA()))</f>
        <v>#N/A</v>
      </c>
      <c r="L1245" t="str">
        <f t="shared" si="166"/>
        <v/>
      </c>
      <c r="M1245" t="str">
        <f t="shared" si="167"/>
        <v/>
      </c>
      <c r="N1245" t="str">
        <f t="shared" si="168"/>
        <v/>
      </c>
      <c r="O1245" t="str">
        <f>IF(L1245&lt;&gt;"",Data!$M1796,"")</f>
        <v/>
      </c>
      <c r="T1245">
        <f>IF(OR(Dashboard!$P$4="All",Dashboard!$R$4="All"),NA(),IF(OR(Data!K1796&lt;&gt;Dashboard!$P$4,Data!K1796&lt;&gt;Dashboard!$R$4),Data!G1796,NA()))</f>
        <v>21369.500024931083</v>
      </c>
      <c r="U1245"/>
    </row>
    <row r="1246" spans="2:21">
      <c r="B1246" t="e">
        <f>IF(Dashboard!$P$4="All",Data!G1797,IF(Data!K1797=Dashboard!$P$4,Data!G1797,NA()))</f>
        <v>#N/A</v>
      </c>
      <c r="C1246" t="str">
        <f t="shared" si="163"/>
        <v/>
      </c>
      <c r="D1246" t="str">
        <f t="shared" si="164"/>
        <v/>
      </c>
      <c r="E1246" t="str">
        <f t="shared" si="165"/>
        <v/>
      </c>
      <c r="F1246" t="str">
        <f>IF(C1246&lt;&gt;"",Data!$M1797,"")</f>
        <v/>
      </c>
      <c r="K1246" t="e">
        <f>IF(Dashboard!$R$4="All",Data!G1797,IF(Data!K1797=Dashboard!$R$4,Data!G1797,NA()))</f>
        <v>#N/A</v>
      </c>
      <c r="L1246" t="str">
        <f t="shared" si="166"/>
        <v/>
      </c>
      <c r="M1246" t="str">
        <f t="shared" si="167"/>
        <v/>
      </c>
      <c r="N1246" t="str">
        <f t="shared" si="168"/>
        <v/>
      </c>
      <c r="O1246" t="str">
        <f>IF(L1246&lt;&gt;"",Data!$M1797,"")</f>
        <v/>
      </c>
      <c r="T1246">
        <f>IF(OR(Dashboard!$P$4="All",Dashboard!$R$4="All"),NA(),IF(OR(Data!K1797&lt;&gt;Dashboard!$P$4,Data!K1797&lt;&gt;Dashboard!$R$4),Data!G1797,NA()))</f>
        <v>7568.3645921630914</v>
      </c>
      <c r="U1246"/>
    </row>
    <row r="1247" spans="2:21">
      <c r="B1247" t="e">
        <f>IF(Dashboard!$P$4="All",Data!G1798,IF(Data!K1798=Dashboard!$P$4,Data!G1798,NA()))</f>
        <v>#N/A</v>
      </c>
      <c r="C1247" t="str">
        <f t="shared" si="163"/>
        <v/>
      </c>
      <c r="D1247" t="str">
        <f t="shared" si="164"/>
        <v/>
      </c>
      <c r="E1247" t="str">
        <f t="shared" si="165"/>
        <v/>
      </c>
      <c r="F1247" t="str">
        <f>IF(C1247&lt;&gt;"",Data!$M1798,"")</f>
        <v/>
      </c>
      <c r="K1247">
        <f>IF(Dashboard!$R$4="All",Data!G1798,IF(Data!K1798=Dashboard!$R$4,Data!G1798,NA()))</f>
        <v>78808.913603364199</v>
      </c>
      <c r="L1247">
        <f t="shared" si="166"/>
        <v>78808.913603364199</v>
      </c>
      <c r="M1247" t="str">
        <f t="shared" si="167"/>
        <v/>
      </c>
      <c r="N1247" t="str">
        <f t="shared" si="168"/>
        <v/>
      </c>
      <c r="O1247">
        <f>IF(L1247&lt;&gt;"",Data!$M1798,"")</f>
        <v>10</v>
      </c>
      <c r="T1247">
        <f>IF(OR(Dashboard!$P$4="All",Dashboard!$R$4="All"),NA(),IF(OR(Data!K1798&lt;&gt;Dashboard!$P$4,Data!K1798&lt;&gt;Dashboard!$R$4),Data!G1798,NA()))</f>
        <v>78808.913603364199</v>
      </c>
      <c r="U1247"/>
    </row>
    <row r="1248" spans="2:21">
      <c r="B1248" t="e">
        <f>IF(Dashboard!$P$4="All",Data!G1799,IF(Data!K1799=Dashboard!$P$4,Data!G1799,NA()))</f>
        <v>#N/A</v>
      </c>
      <c r="C1248" t="str">
        <f t="shared" si="163"/>
        <v/>
      </c>
      <c r="D1248" t="str">
        <f t="shared" si="164"/>
        <v/>
      </c>
      <c r="E1248" t="str">
        <f t="shared" si="165"/>
        <v/>
      </c>
      <c r="F1248" t="str">
        <f>IF(C1248&lt;&gt;"",Data!$M1799,"")</f>
        <v/>
      </c>
      <c r="K1248" t="e">
        <f>IF(Dashboard!$R$4="All",Data!G1799,IF(Data!K1799=Dashboard!$R$4,Data!G1799,NA()))</f>
        <v>#N/A</v>
      </c>
      <c r="L1248" t="str">
        <f t="shared" si="166"/>
        <v/>
      </c>
      <c r="M1248" t="str">
        <f t="shared" si="167"/>
        <v/>
      </c>
      <c r="N1248" t="str">
        <f t="shared" si="168"/>
        <v/>
      </c>
      <c r="O1248" t="str">
        <f>IF(L1248&lt;&gt;"",Data!$M1799,"")</f>
        <v/>
      </c>
      <c r="T1248">
        <f>IF(OR(Dashboard!$P$4="All",Dashboard!$R$4="All"),NA(),IF(OR(Data!K1799&lt;&gt;Dashboard!$P$4,Data!K1799&lt;&gt;Dashboard!$R$4),Data!G1799,NA()))</f>
        <v>60000</v>
      </c>
      <c r="U1248"/>
    </row>
    <row r="1249" spans="2:21">
      <c r="B1249" t="e">
        <f>IF(Dashboard!$P$4="All",Data!G1800,IF(Data!K1800=Dashboard!$P$4,Data!G1800,NA()))</f>
        <v>#N/A</v>
      </c>
      <c r="C1249" t="str">
        <f t="shared" si="163"/>
        <v/>
      </c>
      <c r="D1249" t="str">
        <f t="shared" si="164"/>
        <v/>
      </c>
      <c r="E1249" t="str">
        <f t="shared" si="165"/>
        <v/>
      </c>
      <c r="F1249" t="str">
        <f>IF(C1249&lt;&gt;"",Data!$M1800,"")</f>
        <v/>
      </c>
      <c r="K1249" t="e">
        <f>IF(Dashboard!$R$4="All",Data!G1800,IF(Data!K1800=Dashboard!$R$4,Data!G1800,NA()))</f>
        <v>#N/A</v>
      </c>
      <c r="L1249" t="str">
        <f t="shared" si="166"/>
        <v/>
      </c>
      <c r="M1249" t="str">
        <f t="shared" si="167"/>
        <v/>
      </c>
      <c r="N1249" t="str">
        <f t="shared" si="168"/>
        <v/>
      </c>
      <c r="O1249" t="str">
        <f>IF(L1249&lt;&gt;"",Data!$M1800,"")</f>
        <v/>
      </c>
      <c r="T1249">
        <f>IF(OR(Dashboard!$P$4="All",Dashboard!$R$4="All"),NA(),IF(OR(Data!K1800&lt;&gt;Dashboard!$P$4,Data!K1800&lt;&gt;Dashboard!$R$4),Data!G1800,NA()))</f>
        <v>57000</v>
      </c>
      <c r="U1249"/>
    </row>
    <row r="1250" spans="2:21">
      <c r="B1250" t="e">
        <f>IF(Dashboard!$P$4="All",Data!G1801,IF(Data!K1801=Dashboard!$P$4,Data!G1801,NA()))</f>
        <v>#N/A</v>
      </c>
      <c r="C1250" t="str">
        <f t="shared" si="163"/>
        <v/>
      </c>
      <c r="D1250" t="str">
        <f t="shared" si="164"/>
        <v/>
      </c>
      <c r="E1250" t="str">
        <f t="shared" si="165"/>
        <v/>
      </c>
      <c r="F1250" t="str">
        <f>IF(C1250&lt;&gt;"",Data!$M1801,"")</f>
        <v/>
      </c>
      <c r="K1250" t="e">
        <f>IF(Dashboard!$R$4="All",Data!G1801,IF(Data!K1801=Dashboard!$R$4,Data!G1801,NA()))</f>
        <v>#N/A</v>
      </c>
      <c r="L1250" t="str">
        <f t="shared" si="166"/>
        <v/>
      </c>
      <c r="M1250" t="str">
        <f t="shared" si="167"/>
        <v/>
      </c>
      <c r="N1250" t="str">
        <f t="shared" si="168"/>
        <v/>
      </c>
      <c r="O1250" t="str">
        <f>IF(L1250&lt;&gt;"",Data!$M1801,"")</f>
        <v/>
      </c>
      <c r="T1250">
        <f>IF(OR(Dashboard!$P$4="All",Dashboard!$R$4="All"),NA(),IF(OR(Data!K1801&lt;&gt;Dashboard!$P$4,Data!K1801&lt;&gt;Dashboard!$R$4),Data!G1801,NA()))</f>
        <v>40000</v>
      </c>
      <c r="U1250"/>
    </row>
    <row r="1251" spans="2:21">
      <c r="B1251" t="e">
        <f>IF(Dashboard!$P$4="All",Data!G1802,IF(Data!K1802=Dashboard!$P$4,Data!G1802,NA()))</f>
        <v>#N/A</v>
      </c>
      <c r="C1251" t="str">
        <f t="shared" si="163"/>
        <v/>
      </c>
      <c r="D1251" t="str">
        <f t="shared" si="164"/>
        <v/>
      </c>
      <c r="E1251" t="str">
        <f t="shared" si="165"/>
        <v/>
      </c>
      <c r="F1251" t="str">
        <f>IF(C1251&lt;&gt;"",Data!$M1802,"")</f>
        <v/>
      </c>
      <c r="K1251" t="e">
        <f>IF(Dashboard!$R$4="All",Data!G1802,IF(Data!K1802=Dashboard!$R$4,Data!G1802,NA()))</f>
        <v>#N/A</v>
      </c>
      <c r="L1251" t="str">
        <f t="shared" si="166"/>
        <v/>
      </c>
      <c r="M1251" t="str">
        <f t="shared" si="167"/>
        <v/>
      </c>
      <c r="N1251" t="str">
        <f t="shared" si="168"/>
        <v/>
      </c>
      <c r="O1251" t="str">
        <f>IF(L1251&lt;&gt;"",Data!$M1802,"")</f>
        <v/>
      </c>
      <c r="T1251">
        <f>IF(OR(Dashboard!$P$4="All",Dashboard!$R$4="All"),NA(),IF(OR(Data!K1802&lt;&gt;Dashboard!$P$4,Data!K1802&lt;&gt;Dashboard!$R$4),Data!G1802,NA()))</f>
        <v>80000</v>
      </c>
      <c r="U1251"/>
    </row>
    <row r="1252" spans="2:21">
      <c r="B1252" t="e">
        <f>IF(Dashboard!$P$4="All",Data!G1803,IF(Data!K1803=Dashboard!$P$4,Data!G1803,NA()))</f>
        <v>#N/A</v>
      </c>
      <c r="C1252" t="str">
        <f t="shared" si="163"/>
        <v/>
      </c>
      <c r="D1252" t="str">
        <f t="shared" si="164"/>
        <v/>
      </c>
      <c r="E1252" t="str">
        <f t="shared" si="165"/>
        <v/>
      </c>
      <c r="F1252" t="str">
        <f>IF(C1252&lt;&gt;"",Data!$M1803,"")</f>
        <v/>
      </c>
      <c r="K1252" t="e">
        <f>IF(Dashboard!$R$4="All",Data!G1803,IF(Data!K1803=Dashboard!$R$4,Data!G1803,NA()))</f>
        <v>#N/A</v>
      </c>
      <c r="L1252" t="str">
        <f t="shared" si="166"/>
        <v/>
      </c>
      <c r="M1252" t="str">
        <f t="shared" si="167"/>
        <v/>
      </c>
      <c r="N1252" t="str">
        <f t="shared" si="168"/>
        <v/>
      </c>
      <c r="O1252" t="str">
        <f>IF(L1252&lt;&gt;"",Data!$M1803,"")</f>
        <v/>
      </c>
      <c r="T1252">
        <f>IF(OR(Dashboard!$P$4="All",Dashboard!$R$4="All"),NA(),IF(OR(Data!K1803&lt;&gt;Dashboard!$P$4,Data!K1803&lt;&gt;Dashboard!$R$4),Data!G1803,NA()))</f>
        <v>118000</v>
      </c>
      <c r="U1252"/>
    </row>
    <row r="1253" spans="2:21">
      <c r="B1253" t="e">
        <f>IF(Dashboard!$P$4="All",Data!G1804,IF(Data!K1804=Dashboard!$P$4,Data!G1804,NA()))</f>
        <v>#N/A</v>
      </c>
      <c r="C1253" t="str">
        <f t="shared" si="163"/>
        <v/>
      </c>
      <c r="D1253" t="str">
        <f t="shared" si="164"/>
        <v/>
      </c>
      <c r="E1253" t="str">
        <f t="shared" si="165"/>
        <v/>
      </c>
      <c r="F1253" t="str">
        <f>IF(C1253&lt;&gt;"",Data!$M1804,"")</f>
        <v/>
      </c>
      <c r="K1253" t="e">
        <f>IF(Dashboard!$R$4="All",Data!G1804,IF(Data!K1804=Dashboard!$R$4,Data!G1804,NA()))</f>
        <v>#N/A</v>
      </c>
      <c r="L1253" t="str">
        <f t="shared" si="166"/>
        <v/>
      </c>
      <c r="M1253" t="str">
        <f t="shared" si="167"/>
        <v/>
      </c>
      <c r="N1253" t="str">
        <f t="shared" si="168"/>
        <v/>
      </c>
      <c r="O1253" t="str">
        <f>IF(L1253&lt;&gt;"",Data!$M1804,"")</f>
        <v/>
      </c>
      <c r="T1253">
        <f>IF(OR(Dashboard!$P$4="All",Dashboard!$R$4="All"),NA(),IF(OR(Data!K1804&lt;&gt;Dashboard!$P$4,Data!K1804&lt;&gt;Dashboard!$R$4),Data!G1804,NA()))</f>
        <v>60000</v>
      </c>
      <c r="U1253"/>
    </row>
    <row r="1254" spans="2:21">
      <c r="B1254" t="e">
        <f>IF(Dashboard!$P$4="All",Data!G1805,IF(Data!K1805=Dashboard!$P$4,Data!G1805,NA()))</f>
        <v>#N/A</v>
      </c>
      <c r="C1254" t="str">
        <f t="shared" si="163"/>
        <v/>
      </c>
      <c r="D1254" t="str">
        <f t="shared" si="164"/>
        <v/>
      </c>
      <c r="E1254" t="str">
        <f t="shared" si="165"/>
        <v/>
      </c>
      <c r="F1254" t="str">
        <f>IF(C1254&lt;&gt;"",Data!$M1805,"")</f>
        <v/>
      </c>
      <c r="K1254" t="e">
        <f>IF(Dashboard!$R$4="All",Data!G1805,IF(Data!K1805=Dashboard!$R$4,Data!G1805,NA()))</f>
        <v>#N/A</v>
      </c>
      <c r="L1254" t="str">
        <f t="shared" si="166"/>
        <v/>
      </c>
      <c r="M1254" t="str">
        <f t="shared" si="167"/>
        <v/>
      </c>
      <c r="N1254" t="str">
        <f t="shared" si="168"/>
        <v/>
      </c>
      <c r="O1254" t="str">
        <f>IF(L1254&lt;&gt;"",Data!$M1805,"")</f>
        <v/>
      </c>
      <c r="T1254">
        <f>IF(OR(Dashboard!$P$4="All",Dashboard!$R$4="All"),NA(),IF(OR(Data!K1805&lt;&gt;Dashboard!$P$4,Data!K1805&lt;&gt;Dashboard!$R$4),Data!G1805,NA()))</f>
        <v>6720</v>
      </c>
      <c r="U1254"/>
    </row>
    <row r="1255" spans="2:21">
      <c r="B1255" t="e">
        <f>IF(Dashboard!$P$4="All",Data!G1806,IF(Data!K1806=Dashboard!$P$4,Data!G1806,NA()))</f>
        <v>#N/A</v>
      </c>
      <c r="C1255" t="str">
        <f t="shared" si="163"/>
        <v/>
      </c>
      <c r="D1255" t="str">
        <f t="shared" si="164"/>
        <v/>
      </c>
      <c r="E1255" t="str">
        <f t="shared" si="165"/>
        <v/>
      </c>
      <c r="F1255" t="str">
        <f>IF(C1255&lt;&gt;"",Data!$M1806,"")</f>
        <v/>
      </c>
      <c r="K1255" t="e">
        <f>IF(Dashboard!$R$4="All",Data!G1806,IF(Data!K1806=Dashboard!$R$4,Data!G1806,NA()))</f>
        <v>#N/A</v>
      </c>
      <c r="L1255" t="str">
        <f t="shared" si="166"/>
        <v/>
      </c>
      <c r="M1255" t="str">
        <f t="shared" si="167"/>
        <v/>
      </c>
      <c r="N1255" t="str">
        <f t="shared" si="168"/>
        <v/>
      </c>
      <c r="O1255" t="str">
        <f>IF(L1255&lt;&gt;"",Data!$M1806,"")</f>
        <v/>
      </c>
      <c r="T1255">
        <f>IF(OR(Dashboard!$P$4="All",Dashboard!$R$4="All"),NA(),IF(OR(Data!K1806&lt;&gt;Dashboard!$P$4,Data!K1806&lt;&gt;Dashboard!$R$4),Data!G1806,NA()))</f>
        <v>20640</v>
      </c>
      <c r="U1255"/>
    </row>
    <row r="1256" spans="2:21">
      <c r="B1256" t="e">
        <f>IF(Dashboard!$P$4="All",Data!G1807,IF(Data!K1807=Dashboard!$P$4,Data!G1807,NA()))</f>
        <v>#N/A</v>
      </c>
      <c r="C1256" t="str">
        <f t="shared" si="163"/>
        <v/>
      </c>
      <c r="D1256" t="str">
        <f t="shared" si="164"/>
        <v/>
      </c>
      <c r="E1256" t="str">
        <f t="shared" si="165"/>
        <v/>
      </c>
      <c r="F1256" t="str">
        <f>IF(C1256&lt;&gt;"",Data!$M1807,"")</f>
        <v/>
      </c>
      <c r="K1256" t="e">
        <f>IF(Dashboard!$R$4="All",Data!G1807,IF(Data!K1807=Dashboard!$R$4,Data!G1807,NA()))</f>
        <v>#N/A</v>
      </c>
      <c r="L1256" t="str">
        <f t="shared" si="166"/>
        <v/>
      </c>
      <c r="M1256" t="str">
        <f t="shared" si="167"/>
        <v/>
      </c>
      <c r="N1256" t="str">
        <f t="shared" si="168"/>
        <v/>
      </c>
      <c r="O1256" t="str">
        <f>IF(L1256&lt;&gt;"",Data!$M1807,"")</f>
        <v/>
      </c>
      <c r="T1256">
        <f>IF(OR(Dashboard!$P$4="All",Dashboard!$R$4="All"),NA(),IF(OR(Data!K1807&lt;&gt;Dashboard!$P$4,Data!K1807&lt;&gt;Dashboard!$R$4),Data!G1807,NA()))</f>
        <v>50000</v>
      </c>
      <c r="U1256"/>
    </row>
    <row r="1257" spans="2:21">
      <c r="B1257" t="e">
        <f>IF(Dashboard!$P$4="All",Data!G1808,IF(Data!K1808=Dashboard!$P$4,Data!G1808,NA()))</f>
        <v>#N/A</v>
      </c>
      <c r="C1257" t="str">
        <f t="shared" si="163"/>
        <v/>
      </c>
      <c r="D1257" t="str">
        <f t="shared" si="164"/>
        <v/>
      </c>
      <c r="E1257" t="str">
        <f t="shared" si="165"/>
        <v/>
      </c>
      <c r="F1257" t="str">
        <f>IF(C1257&lt;&gt;"",Data!$M1808,"")</f>
        <v/>
      </c>
      <c r="K1257" t="e">
        <f>IF(Dashboard!$R$4="All",Data!G1808,IF(Data!K1808=Dashboard!$R$4,Data!G1808,NA()))</f>
        <v>#N/A</v>
      </c>
      <c r="L1257" t="str">
        <f t="shared" si="166"/>
        <v/>
      </c>
      <c r="M1257" t="str">
        <f t="shared" si="167"/>
        <v/>
      </c>
      <c r="N1257" t="str">
        <f t="shared" si="168"/>
        <v/>
      </c>
      <c r="O1257" t="str">
        <f>IF(L1257&lt;&gt;"",Data!$M1808,"")</f>
        <v/>
      </c>
      <c r="T1257">
        <f>IF(OR(Dashboard!$P$4="All",Dashboard!$R$4="All"),NA(),IF(OR(Data!K1808&lt;&gt;Dashboard!$P$4,Data!K1808&lt;&gt;Dashboard!$R$4),Data!G1808,NA()))</f>
        <v>24000</v>
      </c>
      <c r="U1257"/>
    </row>
    <row r="1258" spans="2:21">
      <c r="B1258" t="e">
        <f>IF(Dashboard!$P$4="All",Data!G1809,IF(Data!K1809=Dashboard!$P$4,Data!G1809,NA()))</f>
        <v>#N/A</v>
      </c>
      <c r="C1258" t="str">
        <f t="shared" si="163"/>
        <v/>
      </c>
      <c r="D1258" t="str">
        <f t="shared" si="164"/>
        <v/>
      </c>
      <c r="E1258" t="str">
        <f t="shared" si="165"/>
        <v/>
      </c>
      <c r="F1258" t="str">
        <f>IF(C1258&lt;&gt;"",Data!$M1809,"")</f>
        <v/>
      </c>
      <c r="K1258" t="e">
        <f>IF(Dashboard!$R$4="All",Data!G1809,IF(Data!K1809=Dashboard!$R$4,Data!G1809,NA()))</f>
        <v>#N/A</v>
      </c>
      <c r="L1258" t="str">
        <f t="shared" si="166"/>
        <v/>
      </c>
      <c r="M1258" t="str">
        <f t="shared" si="167"/>
        <v/>
      </c>
      <c r="N1258" t="str">
        <f t="shared" si="168"/>
        <v/>
      </c>
      <c r="O1258" t="str">
        <f>IF(L1258&lt;&gt;"",Data!$M1809,"")</f>
        <v/>
      </c>
      <c r="T1258">
        <f>IF(OR(Dashboard!$P$4="All",Dashboard!$R$4="All"),NA(),IF(OR(Data!K1809&lt;&gt;Dashboard!$P$4,Data!K1809&lt;&gt;Dashboard!$R$4),Data!G1809,NA()))</f>
        <v>60000</v>
      </c>
      <c r="U1258"/>
    </row>
    <row r="1259" spans="2:21">
      <c r="B1259" t="e">
        <f>IF(Dashboard!$P$4="All",Data!G1810,IF(Data!K1810=Dashboard!$P$4,Data!G1810,NA()))</f>
        <v>#N/A</v>
      </c>
      <c r="C1259" t="str">
        <f t="shared" si="163"/>
        <v/>
      </c>
      <c r="D1259" t="str">
        <f t="shared" si="164"/>
        <v/>
      </c>
      <c r="E1259" t="str">
        <f t="shared" si="165"/>
        <v/>
      </c>
      <c r="F1259" t="str">
        <f>IF(C1259&lt;&gt;"",Data!$M1810,"")</f>
        <v/>
      </c>
      <c r="K1259" t="e">
        <f>IF(Dashboard!$R$4="All",Data!G1810,IF(Data!K1810=Dashboard!$R$4,Data!G1810,NA()))</f>
        <v>#N/A</v>
      </c>
      <c r="L1259" t="str">
        <f t="shared" si="166"/>
        <v/>
      </c>
      <c r="M1259" t="str">
        <f t="shared" si="167"/>
        <v/>
      </c>
      <c r="N1259" t="str">
        <f t="shared" si="168"/>
        <v/>
      </c>
      <c r="O1259" t="str">
        <f>IF(L1259&lt;&gt;"",Data!$M1810,"")</f>
        <v/>
      </c>
      <c r="T1259">
        <f>IF(OR(Dashboard!$P$4="All",Dashboard!$R$4="All"),NA(),IF(OR(Data!K1810&lt;&gt;Dashboard!$P$4,Data!K1810&lt;&gt;Dashboard!$R$4),Data!G1810,NA()))</f>
        <v>37500</v>
      </c>
      <c r="U1259"/>
    </row>
    <row r="1260" spans="2:21">
      <c r="B1260" t="e">
        <f>IF(Dashboard!$P$4="All",Data!G1811,IF(Data!K1811=Dashboard!$P$4,Data!G1811,NA()))</f>
        <v>#N/A</v>
      </c>
      <c r="C1260" t="str">
        <f t="shared" si="163"/>
        <v/>
      </c>
      <c r="D1260" t="str">
        <f t="shared" si="164"/>
        <v/>
      </c>
      <c r="E1260" t="str">
        <f t="shared" si="165"/>
        <v/>
      </c>
      <c r="F1260" t="str">
        <f>IF(C1260&lt;&gt;"",Data!$M1811,"")</f>
        <v/>
      </c>
      <c r="K1260" t="e">
        <f>IF(Dashboard!$R$4="All",Data!G1811,IF(Data!K1811=Dashboard!$R$4,Data!G1811,NA()))</f>
        <v>#N/A</v>
      </c>
      <c r="L1260" t="str">
        <f t="shared" si="166"/>
        <v/>
      </c>
      <c r="M1260" t="str">
        <f t="shared" si="167"/>
        <v/>
      </c>
      <c r="N1260" t="str">
        <f t="shared" si="168"/>
        <v/>
      </c>
      <c r="O1260" t="str">
        <f>IF(L1260&lt;&gt;"",Data!$M1811,"")</f>
        <v/>
      </c>
      <c r="T1260">
        <f>IF(OR(Dashboard!$P$4="All",Dashboard!$R$4="All"),NA(),IF(OR(Data!K1811&lt;&gt;Dashboard!$P$4,Data!K1811&lt;&gt;Dashboard!$R$4),Data!G1811,NA()))</f>
        <v>40000</v>
      </c>
      <c r="U1260"/>
    </row>
    <row r="1261" spans="2:21">
      <c r="B1261" t="e">
        <f>IF(Dashboard!$P$4="All",Data!G1812,IF(Data!K1812=Dashboard!$P$4,Data!G1812,NA()))</f>
        <v>#N/A</v>
      </c>
      <c r="C1261" t="str">
        <f t="shared" si="163"/>
        <v/>
      </c>
      <c r="D1261" t="str">
        <f t="shared" si="164"/>
        <v/>
      </c>
      <c r="E1261" t="str">
        <f t="shared" si="165"/>
        <v/>
      </c>
      <c r="F1261" t="str">
        <f>IF(C1261&lt;&gt;"",Data!$M1812,"")</f>
        <v/>
      </c>
      <c r="K1261" t="e">
        <f>IF(Dashboard!$R$4="All",Data!G1812,IF(Data!K1812=Dashboard!$R$4,Data!G1812,NA()))</f>
        <v>#N/A</v>
      </c>
      <c r="L1261" t="str">
        <f t="shared" si="166"/>
        <v/>
      </c>
      <c r="M1261" t="str">
        <f t="shared" si="167"/>
        <v/>
      </c>
      <c r="N1261" t="str">
        <f t="shared" si="168"/>
        <v/>
      </c>
      <c r="O1261" t="str">
        <f>IF(L1261&lt;&gt;"",Data!$M1812,"")</f>
        <v/>
      </c>
      <c r="T1261">
        <f>IF(OR(Dashboard!$P$4="All",Dashboard!$R$4="All"),NA(),IF(OR(Data!K1812&lt;&gt;Dashboard!$P$4,Data!K1812&lt;&gt;Dashboard!$R$4),Data!G1812,NA()))</f>
        <v>85000</v>
      </c>
      <c r="U1261"/>
    </row>
    <row r="1262" spans="2:21">
      <c r="B1262" t="e">
        <f>IF(Dashboard!$P$4="All",Data!G1813,IF(Data!K1813=Dashboard!$P$4,Data!G1813,NA()))</f>
        <v>#N/A</v>
      </c>
      <c r="C1262" t="str">
        <f t="shared" si="163"/>
        <v/>
      </c>
      <c r="D1262" t="str">
        <f t="shared" si="164"/>
        <v/>
      </c>
      <c r="E1262" t="str">
        <f t="shared" si="165"/>
        <v/>
      </c>
      <c r="F1262" t="str">
        <f>IF(C1262&lt;&gt;"",Data!$M1813,"")</f>
        <v/>
      </c>
      <c r="K1262" t="e">
        <f>IF(Dashboard!$R$4="All",Data!G1813,IF(Data!K1813=Dashboard!$R$4,Data!G1813,NA()))</f>
        <v>#N/A</v>
      </c>
      <c r="L1262" t="str">
        <f t="shared" si="166"/>
        <v/>
      </c>
      <c r="M1262" t="str">
        <f t="shared" si="167"/>
        <v/>
      </c>
      <c r="N1262" t="str">
        <f t="shared" si="168"/>
        <v/>
      </c>
      <c r="O1262" t="str">
        <f>IF(L1262&lt;&gt;"",Data!$M1813,"")</f>
        <v/>
      </c>
      <c r="T1262">
        <f>IF(OR(Dashboard!$P$4="All",Dashboard!$R$4="All"),NA(),IF(OR(Data!K1813&lt;&gt;Dashboard!$P$4,Data!K1813&lt;&gt;Dashboard!$R$4),Data!G1813,NA()))</f>
        <v>30000</v>
      </c>
      <c r="U1262"/>
    </row>
    <row r="1263" spans="2:21">
      <c r="B1263" t="e">
        <f>IF(Dashboard!$P$4="All",Data!G1814,IF(Data!K1814=Dashboard!$P$4,Data!G1814,NA()))</f>
        <v>#N/A</v>
      </c>
      <c r="C1263" t="str">
        <f t="shared" si="163"/>
        <v/>
      </c>
      <c r="D1263" t="str">
        <f t="shared" si="164"/>
        <v/>
      </c>
      <c r="E1263" t="str">
        <f t="shared" si="165"/>
        <v/>
      </c>
      <c r="F1263" t="str">
        <f>IF(C1263&lt;&gt;"",Data!$M1814,"")</f>
        <v/>
      </c>
      <c r="K1263">
        <f>IF(Dashboard!$R$4="All",Data!G1814,IF(Data!K1814=Dashboard!$R$4,Data!G1814,NA()))</f>
        <v>52801.972114254015</v>
      </c>
      <c r="L1263">
        <f t="shared" si="166"/>
        <v>52801.972114254015</v>
      </c>
      <c r="M1263" t="str">
        <f t="shared" si="167"/>
        <v/>
      </c>
      <c r="N1263" t="str">
        <f t="shared" si="168"/>
        <v/>
      </c>
      <c r="O1263">
        <f>IF(L1263&lt;&gt;"",Data!$M1814,"")</f>
        <v>7</v>
      </c>
      <c r="T1263">
        <f>IF(OR(Dashboard!$P$4="All",Dashboard!$R$4="All"),NA(),IF(OR(Data!K1814&lt;&gt;Dashboard!$P$4,Data!K1814&lt;&gt;Dashboard!$R$4),Data!G1814,NA()))</f>
        <v>52801.972114254015</v>
      </c>
      <c r="U1263"/>
    </row>
    <row r="1264" spans="2:21">
      <c r="B1264" t="e">
        <f>IF(Dashboard!$P$4="All",Data!G1815,IF(Data!K1815=Dashboard!$P$4,Data!G1815,NA()))</f>
        <v>#N/A</v>
      </c>
      <c r="C1264" t="str">
        <f t="shared" si="163"/>
        <v/>
      </c>
      <c r="D1264" t="str">
        <f t="shared" si="164"/>
        <v/>
      </c>
      <c r="E1264" t="str">
        <f t="shared" si="165"/>
        <v/>
      </c>
      <c r="F1264" t="str">
        <f>IF(C1264&lt;&gt;"",Data!$M1815,"")</f>
        <v/>
      </c>
      <c r="K1264" t="e">
        <f>IF(Dashboard!$R$4="All",Data!G1815,IF(Data!K1815=Dashboard!$R$4,Data!G1815,NA()))</f>
        <v>#N/A</v>
      </c>
      <c r="L1264" t="str">
        <f t="shared" si="166"/>
        <v/>
      </c>
      <c r="M1264" t="str">
        <f t="shared" si="167"/>
        <v/>
      </c>
      <c r="N1264" t="str">
        <f t="shared" si="168"/>
        <v/>
      </c>
      <c r="O1264" t="str">
        <f>IF(L1264&lt;&gt;"",Data!$M1815,"")</f>
        <v/>
      </c>
      <c r="T1264">
        <f>IF(OR(Dashboard!$P$4="All",Dashboard!$R$4="All"),NA(),IF(OR(Data!K1815&lt;&gt;Dashboard!$P$4,Data!K1815&lt;&gt;Dashboard!$R$4),Data!G1815,NA()))</f>
        <v>29000</v>
      </c>
      <c r="U1264"/>
    </row>
    <row r="1265" spans="2:21">
      <c r="B1265" t="e">
        <f>IF(Dashboard!$P$4="All",Data!G1816,IF(Data!K1816=Dashboard!$P$4,Data!G1816,NA()))</f>
        <v>#N/A</v>
      </c>
      <c r="C1265" t="str">
        <f t="shared" si="163"/>
        <v/>
      </c>
      <c r="D1265" t="str">
        <f t="shared" si="164"/>
        <v/>
      </c>
      <c r="E1265" t="str">
        <f t="shared" si="165"/>
        <v/>
      </c>
      <c r="F1265" t="str">
        <f>IF(C1265&lt;&gt;"",Data!$M1816,"")</f>
        <v/>
      </c>
      <c r="K1265" t="e">
        <f>IF(Dashboard!$R$4="All",Data!G1816,IF(Data!K1816=Dashboard!$R$4,Data!G1816,NA()))</f>
        <v>#N/A</v>
      </c>
      <c r="L1265" t="str">
        <f t="shared" si="166"/>
        <v/>
      </c>
      <c r="M1265" t="str">
        <f t="shared" si="167"/>
        <v/>
      </c>
      <c r="N1265" t="str">
        <f t="shared" si="168"/>
        <v/>
      </c>
      <c r="O1265" t="str">
        <f>IF(L1265&lt;&gt;"",Data!$M1816,"")</f>
        <v/>
      </c>
      <c r="T1265">
        <f>IF(OR(Dashboard!$P$4="All",Dashboard!$R$4="All"),NA(),IF(OR(Data!K1816&lt;&gt;Dashboard!$P$4,Data!K1816&lt;&gt;Dashboard!$R$4),Data!G1816,NA()))</f>
        <v>48000</v>
      </c>
      <c r="U1265"/>
    </row>
    <row r="1266" spans="2:21">
      <c r="B1266" t="e">
        <f>IF(Dashboard!$P$4="All",Data!G1817,IF(Data!K1817=Dashboard!$P$4,Data!G1817,NA()))</f>
        <v>#N/A</v>
      </c>
      <c r="C1266" t="str">
        <f t="shared" si="163"/>
        <v/>
      </c>
      <c r="D1266" t="str">
        <f t="shared" si="164"/>
        <v/>
      </c>
      <c r="E1266" t="str">
        <f t="shared" si="165"/>
        <v/>
      </c>
      <c r="F1266" t="str">
        <f>IF(C1266&lt;&gt;"",Data!$M1817,"")</f>
        <v/>
      </c>
      <c r="K1266" t="e">
        <f>IF(Dashboard!$R$4="All",Data!G1817,IF(Data!K1817=Dashboard!$R$4,Data!G1817,NA()))</f>
        <v>#N/A</v>
      </c>
      <c r="L1266" t="str">
        <f t="shared" si="166"/>
        <v/>
      </c>
      <c r="M1266" t="str">
        <f t="shared" si="167"/>
        <v/>
      </c>
      <c r="N1266" t="str">
        <f t="shared" si="168"/>
        <v/>
      </c>
      <c r="O1266" t="str">
        <f>IF(L1266&lt;&gt;"",Data!$M1817,"")</f>
        <v/>
      </c>
      <c r="T1266">
        <f>IF(OR(Dashboard!$P$4="All",Dashboard!$R$4="All"),NA(),IF(OR(Data!K1817&lt;&gt;Dashboard!$P$4,Data!K1817&lt;&gt;Dashboard!$R$4),Data!G1817,NA()))</f>
        <v>48000</v>
      </c>
      <c r="U1266"/>
    </row>
    <row r="1267" spans="2:21">
      <c r="B1267" t="e">
        <f>IF(Dashboard!$P$4="All",Data!G1818,IF(Data!K1818=Dashboard!$P$4,Data!G1818,NA()))</f>
        <v>#N/A</v>
      </c>
      <c r="C1267" t="str">
        <f t="shared" si="163"/>
        <v/>
      </c>
      <c r="D1267" t="str">
        <f t="shared" si="164"/>
        <v/>
      </c>
      <c r="E1267" t="str">
        <f t="shared" si="165"/>
        <v/>
      </c>
      <c r="F1267" t="str">
        <f>IF(C1267&lt;&gt;"",Data!$M1818,"")</f>
        <v/>
      </c>
      <c r="K1267" t="e">
        <f>IF(Dashboard!$R$4="All",Data!G1818,IF(Data!K1818=Dashboard!$R$4,Data!G1818,NA()))</f>
        <v>#N/A</v>
      </c>
      <c r="L1267" t="str">
        <f t="shared" si="166"/>
        <v/>
      </c>
      <c r="M1267" t="str">
        <f t="shared" si="167"/>
        <v/>
      </c>
      <c r="N1267" t="str">
        <f t="shared" si="168"/>
        <v/>
      </c>
      <c r="O1267" t="str">
        <f>IF(L1267&lt;&gt;"",Data!$M1818,"")</f>
        <v/>
      </c>
      <c r="T1267">
        <f>IF(OR(Dashboard!$P$4="All",Dashboard!$R$4="All"),NA(),IF(OR(Data!K1818&lt;&gt;Dashboard!$P$4,Data!K1818&lt;&gt;Dashboard!$R$4),Data!G1818,NA()))</f>
        <v>8400</v>
      </c>
      <c r="U1267"/>
    </row>
    <row r="1268" spans="2:21">
      <c r="B1268" t="e">
        <f>IF(Dashboard!$P$4="All",Data!G1819,IF(Data!K1819=Dashboard!$P$4,Data!G1819,NA()))</f>
        <v>#N/A</v>
      </c>
      <c r="C1268" t="str">
        <f t="shared" si="163"/>
        <v/>
      </c>
      <c r="D1268" t="str">
        <f t="shared" si="164"/>
        <v/>
      </c>
      <c r="E1268" t="str">
        <f t="shared" si="165"/>
        <v/>
      </c>
      <c r="F1268" t="str">
        <f>IF(C1268&lt;&gt;"",Data!$M1819,"")</f>
        <v/>
      </c>
      <c r="K1268" t="e">
        <f>IF(Dashboard!$R$4="All",Data!G1819,IF(Data!K1819=Dashboard!$R$4,Data!G1819,NA()))</f>
        <v>#N/A</v>
      </c>
      <c r="L1268" t="str">
        <f t="shared" si="166"/>
        <v/>
      </c>
      <c r="M1268" t="str">
        <f t="shared" si="167"/>
        <v/>
      </c>
      <c r="N1268" t="str">
        <f t="shared" si="168"/>
        <v/>
      </c>
      <c r="O1268" t="str">
        <f>IF(L1268&lt;&gt;"",Data!$M1819,"")</f>
        <v/>
      </c>
      <c r="T1268">
        <f>IF(OR(Dashboard!$P$4="All",Dashboard!$R$4="All"),NA(),IF(OR(Data!K1819&lt;&gt;Dashboard!$P$4,Data!K1819&lt;&gt;Dashboard!$R$4),Data!G1819,NA()))</f>
        <v>4808.137505609493</v>
      </c>
      <c r="U1268"/>
    </row>
    <row r="1269" spans="2:21">
      <c r="B1269" t="e">
        <f>IF(Dashboard!$P$4="All",Data!G1820,IF(Data!K1820=Dashboard!$P$4,Data!G1820,NA()))</f>
        <v>#N/A</v>
      </c>
      <c r="C1269" t="str">
        <f t="shared" si="163"/>
        <v/>
      </c>
      <c r="D1269" t="str">
        <f t="shared" si="164"/>
        <v/>
      </c>
      <c r="E1269" t="str">
        <f t="shared" si="165"/>
        <v/>
      </c>
      <c r="F1269" t="str">
        <f>IF(C1269&lt;&gt;"",Data!$M1820,"")</f>
        <v/>
      </c>
      <c r="K1269" t="e">
        <f>IF(Dashboard!$R$4="All",Data!G1820,IF(Data!K1820=Dashboard!$R$4,Data!G1820,NA()))</f>
        <v>#N/A</v>
      </c>
      <c r="L1269" t="str">
        <f t="shared" si="166"/>
        <v/>
      </c>
      <c r="M1269" t="str">
        <f t="shared" si="167"/>
        <v/>
      </c>
      <c r="N1269" t="str">
        <f t="shared" si="168"/>
        <v/>
      </c>
      <c r="O1269" t="str">
        <f>IF(L1269&lt;&gt;"",Data!$M1820,"")</f>
        <v/>
      </c>
      <c r="T1269">
        <f>IF(OR(Dashboard!$P$4="All",Dashboard!$R$4="All"),NA(),IF(OR(Data!K1820&lt;&gt;Dashboard!$P$4,Data!K1820&lt;&gt;Dashboard!$R$4),Data!G1820,NA()))</f>
        <v>24931.083362419595</v>
      </c>
      <c r="U1269"/>
    </row>
    <row r="1270" spans="2:21">
      <c r="B1270" t="e">
        <f>IF(Dashboard!$P$4="All",Data!G1821,IF(Data!K1821=Dashboard!$P$4,Data!G1821,NA()))</f>
        <v>#N/A</v>
      </c>
      <c r="C1270" t="str">
        <f t="shared" si="163"/>
        <v/>
      </c>
      <c r="D1270" t="str">
        <f t="shared" si="164"/>
        <v/>
      </c>
      <c r="E1270" t="str">
        <f t="shared" si="165"/>
        <v/>
      </c>
      <c r="F1270" t="str">
        <f>IF(C1270&lt;&gt;"",Data!$M1821,"")</f>
        <v/>
      </c>
      <c r="K1270" t="e">
        <f>IF(Dashboard!$R$4="All",Data!G1821,IF(Data!K1821=Dashboard!$R$4,Data!G1821,NA()))</f>
        <v>#N/A</v>
      </c>
      <c r="L1270" t="str">
        <f t="shared" si="166"/>
        <v/>
      </c>
      <c r="M1270" t="str">
        <f t="shared" si="167"/>
        <v/>
      </c>
      <c r="N1270" t="str">
        <f t="shared" si="168"/>
        <v/>
      </c>
      <c r="O1270" t="str">
        <f>IF(L1270&lt;&gt;"",Data!$M1821,"")</f>
        <v/>
      </c>
      <c r="T1270">
        <f>IF(OR(Dashboard!$P$4="All",Dashboard!$R$4="All"),NA(),IF(OR(Data!K1821&lt;&gt;Dashboard!$P$4,Data!K1821&lt;&gt;Dashboard!$R$4),Data!G1821,NA()))</f>
        <v>12465.541681209797</v>
      </c>
      <c r="U1270"/>
    </row>
    <row r="1271" spans="2:21">
      <c r="B1271" t="e">
        <f>IF(Dashboard!$P$4="All",Data!G1822,IF(Data!K1822=Dashboard!$P$4,Data!G1822,NA()))</f>
        <v>#N/A</v>
      </c>
      <c r="C1271" t="str">
        <f t="shared" si="163"/>
        <v/>
      </c>
      <c r="D1271" t="str">
        <f t="shared" si="164"/>
        <v/>
      </c>
      <c r="E1271" t="str">
        <f t="shared" si="165"/>
        <v/>
      </c>
      <c r="F1271" t="str">
        <f>IF(C1271&lt;&gt;"",Data!$M1822,"")</f>
        <v/>
      </c>
      <c r="K1271">
        <f>IF(Dashboard!$R$4="All",Data!G1822,IF(Data!K1822=Dashboard!$R$4,Data!G1822,NA()))</f>
        <v>31523.565441345683</v>
      </c>
      <c r="L1271">
        <f t="shared" si="166"/>
        <v>31523.565441345683</v>
      </c>
      <c r="M1271" t="str">
        <f t="shared" si="167"/>
        <v/>
      </c>
      <c r="N1271">
        <f t="shared" si="168"/>
        <v>31523.565441345683</v>
      </c>
      <c r="O1271">
        <f>IF(L1271&lt;&gt;"",Data!$M1822,"")</f>
        <v>10</v>
      </c>
      <c r="T1271">
        <f>IF(OR(Dashboard!$P$4="All",Dashboard!$R$4="All"),NA(),IF(OR(Data!K1822&lt;&gt;Dashboard!$P$4,Data!K1822&lt;&gt;Dashboard!$R$4),Data!G1822,NA()))</f>
        <v>31523.565441345683</v>
      </c>
      <c r="U1271"/>
    </row>
    <row r="1272" spans="2:21">
      <c r="B1272" t="e">
        <f>IF(Dashboard!$P$4="All",Data!G1823,IF(Data!K1823=Dashboard!$P$4,Data!G1823,NA()))</f>
        <v>#N/A</v>
      </c>
      <c r="C1272" t="str">
        <f t="shared" si="163"/>
        <v/>
      </c>
      <c r="D1272" t="str">
        <f t="shared" si="164"/>
        <v/>
      </c>
      <c r="E1272" t="str">
        <f t="shared" si="165"/>
        <v/>
      </c>
      <c r="F1272" t="str">
        <f>IF(C1272&lt;&gt;"",Data!$M1823,"")</f>
        <v/>
      </c>
      <c r="K1272" t="e">
        <f>IF(Dashboard!$R$4="All",Data!G1823,IF(Data!K1823=Dashboard!$R$4,Data!G1823,NA()))</f>
        <v>#N/A</v>
      </c>
      <c r="L1272" t="str">
        <f t="shared" si="166"/>
        <v/>
      </c>
      <c r="M1272" t="str">
        <f t="shared" si="167"/>
        <v/>
      </c>
      <c r="N1272" t="str">
        <f t="shared" si="168"/>
        <v/>
      </c>
      <c r="O1272" t="str">
        <f>IF(L1272&lt;&gt;"",Data!$M1823,"")</f>
        <v/>
      </c>
      <c r="T1272">
        <f>IF(OR(Dashboard!$P$4="All",Dashboard!$R$4="All"),NA(),IF(OR(Data!K1823&lt;&gt;Dashboard!$P$4,Data!K1823&lt;&gt;Dashboard!$R$4),Data!G1823,NA()))</f>
        <v>17807.916687442568</v>
      </c>
      <c r="U1272"/>
    </row>
    <row r="1273" spans="2:21">
      <c r="B1273" t="e">
        <f>IF(Dashboard!$P$4="All",Data!G1824,IF(Data!K1824=Dashboard!$P$4,Data!G1824,NA()))</f>
        <v>#N/A</v>
      </c>
      <c r="C1273" t="str">
        <f t="shared" si="163"/>
        <v/>
      </c>
      <c r="D1273" t="str">
        <f t="shared" si="164"/>
        <v/>
      </c>
      <c r="E1273" t="str">
        <f t="shared" si="165"/>
        <v/>
      </c>
      <c r="F1273" t="str">
        <f>IF(C1273&lt;&gt;"",Data!$M1824,"")</f>
        <v/>
      </c>
      <c r="K1273" t="e">
        <f>IF(Dashboard!$R$4="All",Data!G1824,IF(Data!K1824=Dashboard!$R$4,Data!G1824,NA()))</f>
        <v>#N/A</v>
      </c>
      <c r="L1273" t="str">
        <f t="shared" si="166"/>
        <v/>
      </c>
      <c r="M1273" t="str">
        <f t="shared" si="167"/>
        <v/>
      </c>
      <c r="N1273" t="str">
        <f t="shared" si="168"/>
        <v/>
      </c>
      <c r="O1273" t="str">
        <f>IF(L1273&lt;&gt;"",Data!$M1824,"")</f>
        <v/>
      </c>
      <c r="T1273">
        <f>IF(OR(Dashboard!$P$4="All",Dashboard!$R$4="All"),NA(),IF(OR(Data!K1824&lt;&gt;Dashboard!$P$4,Data!K1824&lt;&gt;Dashboard!$R$4),Data!G1824,NA()))</f>
        <v>112000</v>
      </c>
      <c r="U1273"/>
    </row>
    <row r="1274" spans="2:21">
      <c r="B1274" t="e">
        <f>IF(Dashboard!$P$4="All",Data!G1825,IF(Data!K1825=Dashboard!$P$4,Data!G1825,NA()))</f>
        <v>#N/A</v>
      </c>
      <c r="C1274" t="str">
        <f t="shared" si="163"/>
        <v/>
      </c>
      <c r="D1274" t="str">
        <f t="shared" si="164"/>
        <v/>
      </c>
      <c r="E1274" t="str">
        <f t="shared" si="165"/>
        <v/>
      </c>
      <c r="F1274" t="str">
        <f>IF(C1274&lt;&gt;"",Data!$M1825,"")</f>
        <v/>
      </c>
      <c r="K1274" t="e">
        <f>IF(Dashboard!$R$4="All",Data!G1825,IF(Data!K1825=Dashboard!$R$4,Data!G1825,NA()))</f>
        <v>#N/A</v>
      </c>
      <c r="L1274" t="str">
        <f t="shared" si="166"/>
        <v/>
      </c>
      <c r="M1274" t="str">
        <f t="shared" si="167"/>
        <v/>
      </c>
      <c r="N1274" t="str">
        <f t="shared" si="168"/>
        <v/>
      </c>
      <c r="O1274" t="str">
        <f>IF(L1274&lt;&gt;"",Data!$M1825,"")</f>
        <v/>
      </c>
      <c r="T1274">
        <f>IF(OR(Dashboard!$P$4="All",Dashboard!$R$4="All"),NA(),IF(OR(Data!K1825&lt;&gt;Dashboard!$P$4,Data!K1825&lt;&gt;Dashboard!$R$4),Data!G1825,NA()))</f>
        <v>11000</v>
      </c>
      <c r="U1274"/>
    </row>
    <row r="1275" spans="2:21">
      <c r="B1275" t="e">
        <f>IF(Dashboard!$P$4="All",Data!G1826,IF(Data!K1826=Dashboard!$P$4,Data!G1826,NA()))</f>
        <v>#N/A</v>
      </c>
      <c r="C1275" t="str">
        <f t="shared" si="163"/>
        <v/>
      </c>
      <c r="D1275" t="str">
        <f t="shared" si="164"/>
        <v/>
      </c>
      <c r="E1275" t="str">
        <f t="shared" si="165"/>
        <v/>
      </c>
      <c r="F1275" t="str">
        <f>IF(C1275&lt;&gt;"",Data!$M1826,"")</f>
        <v/>
      </c>
      <c r="K1275" t="e">
        <f>IF(Dashboard!$R$4="All",Data!G1826,IF(Data!K1826=Dashboard!$R$4,Data!G1826,NA()))</f>
        <v>#N/A</v>
      </c>
      <c r="L1275" t="str">
        <f t="shared" si="166"/>
        <v/>
      </c>
      <c r="M1275" t="str">
        <f t="shared" si="167"/>
        <v/>
      </c>
      <c r="N1275" t="str">
        <f t="shared" si="168"/>
        <v/>
      </c>
      <c r="O1275" t="str">
        <f>IF(L1275&lt;&gt;"",Data!$M1826,"")</f>
        <v/>
      </c>
      <c r="T1275">
        <f>IF(OR(Dashboard!$P$4="All",Dashboard!$R$4="All"),NA(),IF(OR(Data!K1826&lt;&gt;Dashboard!$P$4,Data!K1826&lt;&gt;Dashboard!$R$4),Data!G1826,NA()))</f>
        <v>114335.9495092447</v>
      </c>
      <c r="U1275"/>
    </row>
    <row r="1276" spans="2:21">
      <c r="B1276" t="e">
        <f>IF(Dashboard!$P$4="All",Data!G1827,IF(Data!K1827=Dashboard!$P$4,Data!G1827,NA()))</f>
        <v>#N/A</v>
      </c>
      <c r="C1276" t="str">
        <f t="shared" si="163"/>
        <v/>
      </c>
      <c r="D1276" t="str">
        <f t="shared" si="164"/>
        <v/>
      </c>
      <c r="E1276" t="str">
        <f t="shared" si="165"/>
        <v/>
      </c>
      <c r="F1276" t="str">
        <f>IF(C1276&lt;&gt;"",Data!$M1827,"")</f>
        <v/>
      </c>
      <c r="K1276" t="e">
        <f>IF(Dashboard!$R$4="All",Data!G1827,IF(Data!K1827=Dashboard!$R$4,Data!G1827,NA()))</f>
        <v>#N/A</v>
      </c>
      <c r="L1276" t="str">
        <f t="shared" si="166"/>
        <v/>
      </c>
      <c r="M1276" t="str">
        <f t="shared" si="167"/>
        <v/>
      </c>
      <c r="N1276" t="str">
        <f t="shared" si="168"/>
        <v/>
      </c>
      <c r="O1276" t="str">
        <f>IF(L1276&lt;&gt;"",Data!$M1827,"")</f>
        <v/>
      </c>
      <c r="T1276">
        <f>IF(OR(Dashboard!$P$4="All",Dashboard!$R$4="All"),NA(),IF(OR(Data!K1827&lt;&gt;Dashboard!$P$4,Data!K1827&lt;&gt;Dashboard!$R$4),Data!G1827,NA()))</f>
        <v>16110</v>
      </c>
      <c r="U1276"/>
    </row>
    <row r="1277" spans="2:21">
      <c r="B1277" t="e">
        <f>IF(Dashboard!$P$4="All",Data!G1828,IF(Data!K1828=Dashboard!$P$4,Data!G1828,NA()))</f>
        <v>#N/A</v>
      </c>
      <c r="C1277" t="str">
        <f t="shared" si="163"/>
        <v/>
      </c>
      <c r="D1277" t="str">
        <f t="shared" si="164"/>
        <v/>
      </c>
      <c r="E1277" t="str">
        <f t="shared" si="165"/>
        <v/>
      </c>
      <c r="F1277" t="str">
        <f>IF(C1277&lt;&gt;"",Data!$M1828,"")</f>
        <v/>
      </c>
      <c r="K1277" t="e">
        <f>IF(Dashboard!$R$4="All",Data!G1828,IF(Data!K1828=Dashboard!$R$4,Data!G1828,NA()))</f>
        <v>#N/A</v>
      </c>
      <c r="L1277" t="str">
        <f t="shared" si="166"/>
        <v/>
      </c>
      <c r="M1277" t="str">
        <f t="shared" si="167"/>
        <v/>
      </c>
      <c r="N1277" t="str">
        <f t="shared" si="168"/>
        <v/>
      </c>
      <c r="O1277" t="str">
        <f>IF(L1277&lt;&gt;"",Data!$M1828,"")</f>
        <v/>
      </c>
      <c r="T1277">
        <f>IF(OR(Dashboard!$P$4="All",Dashboard!$R$4="All"),NA(),IF(OR(Data!K1828&lt;&gt;Dashboard!$P$4,Data!K1828&lt;&gt;Dashboard!$R$4),Data!G1828,NA()))</f>
        <v>72000</v>
      </c>
      <c r="U1277"/>
    </row>
    <row r="1278" spans="2:21">
      <c r="B1278" t="e">
        <f>IF(Dashboard!$P$4="All",Data!G1829,IF(Data!K1829=Dashboard!$P$4,Data!G1829,NA()))</f>
        <v>#N/A</v>
      </c>
      <c r="C1278" t="str">
        <f t="shared" si="163"/>
        <v/>
      </c>
      <c r="D1278" t="str">
        <f t="shared" si="164"/>
        <v/>
      </c>
      <c r="E1278" t="str">
        <f t="shared" si="165"/>
        <v/>
      </c>
      <c r="F1278" t="str">
        <f>IF(C1278&lt;&gt;"",Data!$M1829,"")</f>
        <v/>
      </c>
      <c r="K1278" t="e">
        <f>IF(Dashboard!$R$4="All",Data!G1829,IF(Data!K1829=Dashboard!$R$4,Data!G1829,NA()))</f>
        <v>#N/A</v>
      </c>
      <c r="L1278" t="str">
        <f t="shared" si="166"/>
        <v/>
      </c>
      <c r="M1278" t="str">
        <f t="shared" si="167"/>
        <v/>
      </c>
      <c r="N1278" t="str">
        <f t="shared" si="168"/>
        <v/>
      </c>
      <c r="O1278" t="str">
        <f>IF(L1278&lt;&gt;"",Data!$M1829,"")</f>
        <v/>
      </c>
      <c r="T1278">
        <f>IF(OR(Dashboard!$P$4="All",Dashboard!$R$4="All"),NA(),IF(OR(Data!K1829&lt;&gt;Dashboard!$P$4,Data!K1829&lt;&gt;Dashboard!$R$4),Data!G1829,NA()))</f>
        <v>60000</v>
      </c>
      <c r="U1278"/>
    </row>
    <row r="1279" spans="2:21">
      <c r="B1279" t="e">
        <f>IF(Dashboard!$P$4="All",Data!G1830,IF(Data!K1830=Dashboard!$P$4,Data!G1830,NA()))</f>
        <v>#N/A</v>
      </c>
      <c r="C1279" t="str">
        <f t="shared" si="163"/>
        <v/>
      </c>
      <c r="D1279" t="str">
        <f t="shared" si="164"/>
        <v/>
      </c>
      <c r="E1279" t="str">
        <f t="shared" si="165"/>
        <v/>
      </c>
      <c r="F1279" t="str">
        <f>IF(C1279&lt;&gt;"",Data!$M1830,"")</f>
        <v/>
      </c>
      <c r="K1279" t="e">
        <f>IF(Dashboard!$R$4="All",Data!G1830,IF(Data!K1830=Dashboard!$R$4,Data!G1830,NA()))</f>
        <v>#N/A</v>
      </c>
      <c r="L1279" t="str">
        <f t="shared" si="166"/>
        <v/>
      </c>
      <c r="M1279" t="str">
        <f t="shared" si="167"/>
        <v/>
      </c>
      <c r="N1279" t="str">
        <f t="shared" si="168"/>
        <v/>
      </c>
      <c r="O1279" t="str">
        <f>IF(L1279&lt;&gt;"",Data!$M1830,"")</f>
        <v/>
      </c>
      <c r="T1279">
        <f>IF(OR(Dashboard!$P$4="All",Dashboard!$R$4="All"),NA(),IF(OR(Data!K1830&lt;&gt;Dashboard!$P$4,Data!K1830&lt;&gt;Dashboard!$R$4),Data!G1830,NA()))</f>
        <v>67000</v>
      </c>
      <c r="U1279"/>
    </row>
    <row r="1280" spans="2:21">
      <c r="B1280" t="e">
        <f>IF(Dashboard!$P$4="All",Data!G1831,IF(Data!K1831=Dashboard!$P$4,Data!G1831,NA()))</f>
        <v>#N/A</v>
      </c>
      <c r="C1280" t="str">
        <f t="shared" si="163"/>
        <v/>
      </c>
      <c r="D1280" t="str">
        <f t="shared" si="164"/>
        <v/>
      </c>
      <c r="E1280" t="str">
        <f t="shared" si="165"/>
        <v/>
      </c>
      <c r="F1280" t="str">
        <f>IF(C1280&lt;&gt;"",Data!$M1831,"")</f>
        <v/>
      </c>
      <c r="K1280" t="e">
        <f>IF(Dashboard!$R$4="All",Data!G1831,IF(Data!K1831=Dashboard!$R$4,Data!G1831,NA()))</f>
        <v>#N/A</v>
      </c>
      <c r="L1280" t="str">
        <f t="shared" si="166"/>
        <v/>
      </c>
      <c r="M1280" t="str">
        <f t="shared" si="167"/>
        <v/>
      </c>
      <c r="N1280" t="str">
        <f t="shared" si="168"/>
        <v/>
      </c>
      <c r="O1280" t="str">
        <f>IF(L1280&lt;&gt;"",Data!$M1831,"")</f>
        <v/>
      </c>
      <c r="T1280">
        <f>IF(OR(Dashboard!$P$4="All",Dashboard!$R$4="All"),NA(),IF(OR(Data!K1831&lt;&gt;Dashboard!$P$4,Data!K1831&lt;&gt;Dashboard!$R$4),Data!G1831,NA()))</f>
        <v>54000</v>
      </c>
      <c r="U1280"/>
    </row>
    <row r="1281" spans="2:21">
      <c r="B1281" t="e">
        <f>IF(Dashboard!$P$4="All",Data!G1832,IF(Data!K1832=Dashboard!$P$4,Data!G1832,NA()))</f>
        <v>#N/A</v>
      </c>
      <c r="C1281" t="str">
        <f t="shared" si="163"/>
        <v/>
      </c>
      <c r="D1281" t="str">
        <f t="shared" si="164"/>
        <v/>
      </c>
      <c r="E1281" t="str">
        <f t="shared" si="165"/>
        <v/>
      </c>
      <c r="F1281" t="str">
        <f>IF(C1281&lt;&gt;"",Data!$M1832,"")</f>
        <v/>
      </c>
      <c r="K1281" t="e">
        <f>IF(Dashboard!$R$4="All",Data!G1832,IF(Data!K1832=Dashboard!$R$4,Data!G1832,NA()))</f>
        <v>#N/A</v>
      </c>
      <c r="L1281" t="str">
        <f t="shared" si="166"/>
        <v/>
      </c>
      <c r="M1281" t="str">
        <f t="shared" si="167"/>
        <v/>
      </c>
      <c r="N1281" t="str">
        <f t="shared" si="168"/>
        <v/>
      </c>
      <c r="O1281" t="str">
        <f>IF(L1281&lt;&gt;"",Data!$M1832,"")</f>
        <v/>
      </c>
      <c r="T1281">
        <f>IF(OR(Dashboard!$P$4="All",Dashboard!$R$4="All"),NA(),IF(OR(Data!K1832&lt;&gt;Dashboard!$P$4,Data!K1832&lt;&gt;Dashboard!$R$4),Data!G1832,NA()))</f>
        <v>38666</v>
      </c>
      <c r="U1281"/>
    </row>
    <row r="1282" spans="2:21">
      <c r="B1282" t="e">
        <f>IF(Dashboard!$P$4="All",Data!G1833,IF(Data!K1833=Dashboard!$P$4,Data!G1833,NA()))</f>
        <v>#N/A</v>
      </c>
      <c r="C1282" t="str">
        <f t="shared" si="163"/>
        <v/>
      </c>
      <c r="D1282" t="str">
        <f t="shared" si="164"/>
        <v/>
      </c>
      <c r="E1282" t="str">
        <f t="shared" si="165"/>
        <v/>
      </c>
      <c r="F1282" t="str">
        <f>IF(C1282&lt;&gt;"",Data!$M1833,"")</f>
        <v/>
      </c>
      <c r="K1282" t="e">
        <f>IF(Dashboard!$R$4="All",Data!G1833,IF(Data!K1833=Dashboard!$R$4,Data!G1833,NA()))</f>
        <v>#N/A</v>
      </c>
      <c r="L1282" t="str">
        <f t="shared" si="166"/>
        <v/>
      </c>
      <c r="M1282" t="str">
        <f t="shared" si="167"/>
        <v/>
      </c>
      <c r="N1282" t="str">
        <f t="shared" si="168"/>
        <v/>
      </c>
      <c r="O1282" t="str">
        <f>IF(L1282&lt;&gt;"",Data!$M1833,"")</f>
        <v/>
      </c>
      <c r="T1282">
        <f>IF(OR(Dashboard!$P$4="All",Dashboard!$R$4="All"),NA(),IF(OR(Data!K1833&lt;&gt;Dashboard!$P$4,Data!K1833&lt;&gt;Dashboard!$R$4),Data!G1833,NA()))</f>
        <v>63000</v>
      </c>
      <c r="U1282"/>
    </row>
    <row r="1283" spans="2:21">
      <c r="B1283" t="e">
        <f>IF(Dashboard!$P$4="All",Data!G1834,IF(Data!K1834=Dashboard!$P$4,Data!G1834,NA()))</f>
        <v>#N/A</v>
      </c>
      <c r="C1283" t="str">
        <f t="shared" si="163"/>
        <v/>
      </c>
      <c r="D1283" t="str">
        <f t="shared" si="164"/>
        <v/>
      </c>
      <c r="E1283" t="str">
        <f t="shared" si="165"/>
        <v/>
      </c>
      <c r="F1283" t="str">
        <f>IF(C1283&lt;&gt;"",Data!$M1834,"")</f>
        <v/>
      </c>
      <c r="K1283" t="e">
        <f>IF(Dashboard!$R$4="All",Data!G1834,IF(Data!K1834=Dashboard!$R$4,Data!G1834,NA()))</f>
        <v>#N/A</v>
      </c>
      <c r="L1283" t="str">
        <f t="shared" si="166"/>
        <v/>
      </c>
      <c r="M1283" t="str">
        <f t="shared" si="167"/>
        <v/>
      </c>
      <c r="N1283" t="str">
        <f t="shared" si="168"/>
        <v/>
      </c>
      <c r="O1283" t="str">
        <f>IF(L1283&lt;&gt;"",Data!$M1834,"")</f>
        <v/>
      </c>
      <c r="T1283">
        <f>IF(OR(Dashboard!$P$4="All",Dashboard!$R$4="All"),NA(),IF(OR(Data!K1834&lt;&gt;Dashboard!$P$4,Data!K1834&lt;&gt;Dashboard!$R$4),Data!G1834,NA()))</f>
        <v>63000</v>
      </c>
      <c r="U1283"/>
    </row>
    <row r="1284" spans="2:21">
      <c r="B1284" t="e">
        <f>IF(Dashboard!$P$4="All",Data!G1835,IF(Data!K1835=Dashboard!$P$4,Data!G1835,NA()))</f>
        <v>#N/A</v>
      </c>
      <c r="C1284" t="str">
        <f t="shared" ref="C1284:C1337" si="169">IF(ISNA(B1284),"",B1284)</f>
        <v/>
      </c>
      <c r="D1284" t="str">
        <f t="shared" ref="D1284:D1337" si="170">IF(C1284&gt;=PERCENTILE($C$3:$C$1337,0.9),C1284,"")</f>
        <v/>
      </c>
      <c r="E1284" t="str">
        <f t="shared" ref="E1284:E1337" si="171">IF(C1284&lt;=PERCENTILE($C$3:$C$1337,0.1),C1284,"")</f>
        <v/>
      </c>
      <c r="F1284" t="str">
        <f>IF(C1284&lt;&gt;"",Data!$M1835,"")</f>
        <v/>
      </c>
      <c r="K1284" t="e">
        <f>IF(Dashboard!$R$4="All",Data!G1835,IF(Data!K1835=Dashboard!$R$4,Data!G1835,NA()))</f>
        <v>#N/A</v>
      </c>
      <c r="L1284" t="str">
        <f t="shared" ref="L1284:L1337" si="172">IF(ISNA(K1284),"",K1284)</f>
        <v/>
      </c>
      <c r="M1284" t="str">
        <f t="shared" ref="M1284:M1337" si="173">IF(L1284&gt;=PERCENTILE($L$3:$L$1337,0.9),L1284,"")</f>
        <v/>
      </c>
      <c r="N1284" t="str">
        <f t="shared" ref="N1284:N1337" si="174">IF(L1284&lt;=PERCENTILE($L$3:$L$1337,0.1),L1284,"")</f>
        <v/>
      </c>
      <c r="O1284" t="str">
        <f>IF(L1284&lt;&gt;"",Data!$M1835,"")</f>
        <v/>
      </c>
      <c r="T1284">
        <f>IF(OR(Dashboard!$P$4="All",Dashboard!$R$4="All"),NA(),IF(OR(Data!K1835&lt;&gt;Dashboard!$P$4,Data!K1835&lt;&gt;Dashboard!$R$4),Data!G1835,NA()))</f>
        <v>6410.8500074793246</v>
      </c>
      <c r="U1284"/>
    </row>
    <row r="1285" spans="2:21">
      <c r="B1285" t="e">
        <f>IF(Dashboard!$P$4="All",Data!G1836,IF(Data!K1836=Dashboard!$P$4,Data!G1836,NA()))</f>
        <v>#N/A</v>
      </c>
      <c r="C1285" t="str">
        <f t="shared" si="169"/>
        <v/>
      </c>
      <c r="D1285" t="str">
        <f t="shared" si="170"/>
        <v/>
      </c>
      <c r="E1285" t="str">
        <f t="shared" si="171"/>
        <v/>
      </c>
      <c r="F1285" t="str">
        <f>IF(C1285&lt;&gt;"",Data!$M1836,"")</f>
        <v/>
      </c>
      <c r="K1285" t="e">
        <f>IF(Dashboard!$R$4="All",Data!G1836,IF(Data!K1836=Dashboard!$R$4,Data!G1836,NA()))</f>
        <v>#N/A</v>
      </c>
      <c r="L1285" t="str">
        <f t="shared" si="172"/>
        <v/>
      </c>
      <c r="M1285" t="str">
        <f t="shared" si="173"/>
        <v/>
      </c>
      <c r="N1285" t="str">
        <f t="shared" si="174"/>
        <v/>
      </c>
      <c r="O1285" t="str">
        <f>IF(L1285&lt;&gt;"",Data!$M1836,"")</f>
        <v/>
      </c>
      <c r="T1285">
        <f>IF(OR(Dashboard!$P$4="All",Dashboard!$R$4="All"),NA(),IF(OR(Data!K1836&lt;&gt;Dashboard!$P$4,Data!K1836&lt;&gt;Dashboard!$R$4),Data!G1836,NA()))</f>
        <v>10684.750012465542</v>
      </c>
      <c r="U1285"/>
    </row>
    <row r="1286" spans="2:21">
      <c r="B1286" t="e">
        <f>IF(Dashboard!$P$4="All",Data!G1837,IF(Data!K1837=Dashboard!$P$4,Data!G1837,NA()))</f>
        <v>#N/A</v>
      </c>
      <c r="C1286" t="str">
        <f t="shared" si="169"/>
        <v/>
      </c>
      <c r="D1286" t="str">
        <f t="shared" si="170"/>
        <v/>
      </c>
      <c r="E1286" t="str">
        <f t="shared" si="171"/>
        <v/>
      </c>
      <c r="F1286" t="str">
        <f>IF(C1286&lt;&gt;"",Data!$M1837,"")</f>
        <v/>
      </c>
      <c r="K1286" t="e">
        <f>IF(Dashboard!$R$4="All",Data!G1837,IF(Data!K1837=Dashboard!$R$4,Data!G1837,NA()))</f>
        <v>#N/A</v>
      </c>
      <c r="L1286" t="str">
        <f t="shared" si="172"/>
        <v/>
      </c>
      <c r="M1286" t="str">
        <f t="shared" si="173"/>
        <v/>
      </c>
      <c r="N1286" t="str">
        <f t="shared" si="174"/>
        <v/>
      </c>
      <c r="O1286" t="str">
        <f>IF(L1286&lt;&gt;"",Data!$M1837,"")</f>
        <v/>
      </c>
      <c r="T1286">
        <f>IF(OR(Dashboard!$P$4="All",Dashboard!$R$4="All"),NA(),IF(OR(Data!K1837&lt;&gt;Dashboard!$P$4,Data!K1837&lt;&gt;Dashboard!$R$4),Data!G1837,NA()))</f>
        <v>40000</v>
      </c>
      <c r="U1286"/>
    </row>
    <row r="1287" spans="2:21">
      <c r="B1287" t="e">
        <f>IF(Dashboard!$P$4="All",Data!G1838,IF(Data!K1838=Dashboard!$P$4,Data!G1838,NA()))</f>
        <v>#N/A</v>
      </c>
      <c r="C1287" t="str">
        <f t="shared" si="169"/>
        <v/>
      </c>
      <c r="D1287" t="str">
        <f t="shared" si="170"/>
        <v/>
      </c>
      <c r="E1287" t="str">
        <f t="shared" si="171"/>
        <v/>
      </c>
      <c r="F1287" t="str">
        <f>IF(C1287&lt;&gt;"",Data!$M1838,"")</f>
        <v/>
      </c>
      <c r="K1287" t="e">
        <f>IF(Dashboard!$R$4="All",Data!G1838,IF(Data!K1838=Dashboard!$R$4,Data!G1838,NA()))</f>
        <v>#N/A</v>
      </c>
      <c r="L1287" t="str">
        <f t="shared" si="172"/>
        <v/>
      </c>
      <c r="M1287" t="str">
        <f t="shared" si="173"/>
        <v/>
      </c>
      <c r="N1287" t="str">
        <f t="shared" si="174"/>
        <v/>
      </c>
      <c r="O1287" t="str">
        <f>IF(L1287&lt;&gt;"",Data!$M1838,"")</f>
        <v/>
      </c>
      <c r="T1287">
        <f>IF(OR(Dashboard!$P$4="All",Dashboard!$R$4="All"),NA(),IF(OR(Data!K1838&lt;&gt;Dashboard!$P$4,Data!K1838&lt;&gt;Dashboard!$R$4),Data!G1838,NA()))</f>
        <v>6232.7708406048987</v>
      </c>
      <c r="U1287"/>
    </row>
    <row r="1288" spans="2:21">
      <c r="B1288" t="e">
        <f>IF(Dashboard!$P$4="All",Data!G1839,IF(Data!K1839=Dashboard!$P$4,Data!G1839,NA()))</f>
        <v>#N/A</v>
      </c>
      <c r="C1288" t="str">
        <f t="shared" si="169"/>
        <v/>
      </c>
      <c r="D1288" t="str">
        <f t="shared" si="170"/>
        <v/>
      </c>
      <c r="E1288" t="str">
        <f t="shared" si="171"/>
        <v/>
      </c>
      <c r="F1288" t="str">
        <f>IF(C1288&lt;&gt;"",Data!$M1839,"")</f>
        <v/>
      </c>
      <c r="K1288" t="e">
        <f>IF(Dashboard!$R$4="All",Data!G1839,IF(Data!K1839=Dashboard!$R$4,Data!G1839,NA()))</f>
        <v>#N/A</v>
      </c>
      <c r="L1288" t="str">
        <f t="shared" si="172"/>
        <v/>
      </c>
      <c r="M1288" t="str">
        <f t="shared" si="173"/>
        <v/>
      </c>
      <c r="N1288" t="str">
        <f t="shared" si="174"/>
        <v/>
      </c>
      <c r="O1288" t="str">
        <f>IF(L1288&lt;&gt;"",Data!$M1839,"")</f>
        <v/>
      </c>
      <c r="T1288">
        <f>IF(OR(Dashboard!$P$4="All",Dashboard!$R$4="All"),NA(),IF(OR(Data!K1839&lt;&gt;Dashboard!$P$4,Data!K1839&lt;&gt;Dashboard!$R$4),Data!G1839,NA()))</f>
        <v>41712.231189497601</v>
      </c>
      <c r="U1288"/>
    </row>
    <row r="1289" spans="2:21">
      <c r="B1289" t="e">
        <f>IF(Dashboard!$P$4="All",Data!G1840,IF(Data!K1840=Dashboard!$P$4,Data!G1840,NA()))</f>
        <v>#N/A</v>
      </c>
      <c r="C1289" t="str">
        <f t="shared" si="169"/>
        <v/>
      </c>
      <c r="D1289" t="str">
        <f t="shared" si="170"/>
        <v/>
      </c>
      <c r="E1289" t="str">
        <f t="shared" si="171"/>
        <v/>
      </c>
      <c r="F1289" t="str">
        <f>IF(C1289&lt;&gt;"",Data!$M1840,"")</f>
        <v/>
      </c>
      <c r="K1289" t="e">
        <f>IF(Dashboard!$R$4="All",Data!G1840,IF(Data!K1840=Dashboard!$R$4,Data!G1840,NA()))</f>
        <v>#N/A</v>
      </c>
      <c r="L1289" t="str">
        <f t="shared" si="172"/>
        <v/>
      </c>
      <c r="M1289" t="str">
        <f t="shared" si="173"/>
        <v/>
      </c>
      <c r="N1289" t="str">
        <f t="shared" si="174"/>
        <v/>
      </c>
      <c r="O1289" t="str">
        <f>IF(L1289&lt;&gt;"",Data!$M1840,"")</f>
        <v/>
      </c>
      <c r="T1289">
        <f>IF(OR(Dashboard!$P$4="All",Dashboard!$R$4="All"),NA(),IF(OR(Data!K1840&lt;&gt;Dashboard!$P$4,Data!K1840&lt;&gt;Dashboard!$R$4),Data!G1840,NA()))</f>
        <v>12465.541681209797</v>
      </c>
      <c r="U1289"/>
    </row>
    <row r="1290" spans="2:21">
      <c r="B1290" t="e">
        <f>IF(Dashboard!$P$4="All",Data!G1841,IF(Data!K1841=Dashboard!$P$4,Data!G1841,NA()))</f>
        <v>#N/A</v>
      </c>
      <c r="C1290" t="str">
        <f t="shared" si="169"/>
        <v/>
      </c>
      <c r="D1290" t="str">
        <f t="shared" si="170"/>
        <v/>
      </c>
      <c r="E1290" t="str">
        <f t="shared" si="171"/>
        <v/>
      </c>
      <c r="F1290" t="str">
        <f>IF(C1290&lt;&gt;"",Data!$M1841,"")</f>
        <v/>
      </c>
      <c r="K1290">
        <f>IF(Dashboard!$R$4="All",Data!G1841,IF(Data!K1841=Dashboard!$R$4,Data!G1841,NA()))</f>
        <v>32311.654577379326</v>
      </c>
      <c r="L1290">
        <f t="shared" si="172"/>
        <v>32311.654577379326</v>
      </c>
      <c r="M1290" t="str">
        <f t="shared" si="173"/>
        <v/>
      </c>
      <c r="N1290">
        <f t="shared" si="174"/>
        <v>32311.654577379326</v>
      </c>
      <c r="O1290">
        <f>IF(L1290&lt;&gt;"",Data!$M1841,"")</f>
        <v>20</v>
      </c>
      <c r="T1290">
        <f>IF(OR(Dashboard!$P$4="All",Dashboard!$R$4="All"),NA(),IF(OR(Data!K1841&lt;&gt;Dashboard!$P$4,Data!K1841&lt;&gt;Dashboard!$R$4),Data!G1841,NA()))</f>
        <v>32311.654577379326</v>
      </c>
      <c r="U1290"/>
    </row>
    <row r="1291" spans="2:21">
      <c r="B1291" t="e">
        <f>IF(Dashboard!$P$4="All",Data!G1842,IF(Data!K1842=Dashboard!$P$4,Data!G1842,NA()))</f>
        <v>#N/A</v>
      </c>
      <c r="C1291" t="str">
        <f t="shared" si="169"/>
        <v/>
      </c>
      <c r="D1291" t="str">
        <f t="shared" si="170"/>
        <v/>
      </c>
      <c r="E1291" t="str">
        <f t="shared" si="171"/>
        <v/>
      </c>
      <c r="F1291" t="str">
        <f>IF(C1291&lt;&gt;"",Data!$M1842,"")</f>
        <v/>
      </c>
      <c r="K1291" t="e">
        <f>IF(Dashboard!$R$4="All",Data!G1842,IF(Data!K1842=Dashboard!$R$4,Data!G1842,NA()))</f>
        <v>#N/A</v>
      </c>
      <c r="L1291" t="str">
        <f t="shared" si="172"/>
        <v/>
      </c>
      <c r="M1291" t="str">
        <f t="shared" si="173"/>
        <v/>
      </c>
      <c r="N1291" t="str">
        <f t="shared" si="174"/>
        <v/>
      </c>
      <c r="O1291" t="str">
        <f>IF(L1291&lt;&gt;"",Data!$M1842,"")</f>
        <v/>
      </c>
      <c r="T1291">
        <f>IF(OR(Dashboard!$P$4="All",Dashboard!$R$4="All"),NA(),IF(OR(Data!K1842&lt;&gt;Dashboard!$P$4,Data!K1842&lt;&gt;Dashboard!$R$4),Data!G1842,NA()))</f>
        <v>7123.1666749770275</v>
      </c>
      <c r="U1291"/>
    </row>
    <row r="1292" spans="2:21">
      <c r="B1292" t="e">
        <f>IF(Dashboard!$P$4="All",Data!G1843,IF(Data!K1843=Dashboard!$P$4,Data!G1843,NA()))</f>
        <v>#N/A</v>
      </c>
      <c r="C1292" t="str">
        <f t="shared" si="169"/>
        <v/>
      </c>
      <c r="D1292" t="str">
        <f t="shared" si="170"/>
        <v/>
      </c>
      <c r="E1292" t="str">
        <f t="shared" si="171"/>
        <v/>
      </c>
      <c r="F1292" t="str">
        <f>IF(C1292&lt;&gt;"",Data!$M1843,"")</f>
        <v/>
      </c>
      <c r="K1292" t="e">
        <f>IF(Dashboard!$R$4="All",Data!G1843,IF(Data!K1843=Dashboard!$R$4,Data!G1843,NA()))</f>
        <v>#N/A</v>
      </c>
      <c r="L1292" t="str">
        <f t="shared" si="172"/>
        <v/>
      </c>
      <c r="M1292" t="str">
        <f t="shared" si="173"/>
        <v/>
      </c>
      <c r="N1292" t="str">
        <f t="shared" si="174"/>
        <v/>
      </c>
      <c r="O1292" t="str">
        <f>IF(L1292&lt;&gt;"",Data!$M1843,"")</f>
        <v/>
      </c>
      <c r="T1292">
        <f>IF(OR(Dashboard!$P$4="All",Dashboard!$R$4="All"),NA(),IF(OR(Data!K1843&lt;&gt;Dashboard!$P$4,Data!K1843&lt;&gt;Dashboard!$R$4),Data!G1843,NA()))</f>
        <v>100000</v>
      </c>
      <c r="U1292"/>
    </row>
    <row r="1293" spans="2:21">
      <c r="B1293" t="e">
        <f>IF(Dashboard!$P$4="All",Data!G1844,IF(Data!K1844=Dashboard!$P$4,Data!G1844,NA()))</f>
        <v>#N/A</v>
      </c>
      <c r="C1293" t="str">
        <f t="shared" si="169"/>
        <v/>
      </c>
      <c r="D1293" t="str">
        <f t="shared" si="170"/>
        <v/>
      </c>
      <c r="E1293" t="str">
        <f t="shared" si="171"/>
        <v/>
      </c>
      <c r="F1293" t="str">
        <f>IF(C1293&lt;&gt;"",Data!$M1844,"")</f>
        <v/>
      </c>
      <c r="K1293" t="e">
        <f>IF(Dashboard!$R$4="All",Data!G1844,IF(Data!K1844=Dashboard!$R$4,Data!G1844,NA()))</f>
        <v>#N/A</v>
      </c>
      <c r="L1293" t="str">
        <f t="shared" si="172"/>
        <v/>
      </c>
      <c r="M1293" t="str">
        <f t="shared" si="173"/>
        <v/>
      </c>
      <c r="N1293" t="str">
        <f t="shared" si="174"/>
        <v/>
      </c>
      <c r="O1293" t="str">
        <f>IF(L1293&lt;&gt;"",Data!$M1844,"")</f>
        <v/>
      </c>
      <c r="T1293">
        <f>IF(OR(Dashboard!$P$4="All",Dashboard!$R$4="All"),NA(),IF(OR(Data!K1844&lt;&gt;Dashboard!$P$4,Data!K1844&lt;&gt;Dashboard!$R$4),Data!G1844,NA()))</f>
        <v>59819.107020370408</v>
      </c>
      <c r="U1293"/>
    </row>
    <row r="1294" spans="2:21">
      <c r="B1294" t="e">
        <f>IF(Dashboard!$P$4="All",Data!G1845,IF(Data!K1845=Dashboard!$P$4,Data!G1845,NA()))</f>
        <v>#N/A</v>
      </c>
      <c r="C1294" t="str">
        <f t="shared" si="169"/>
        <v/>
      </c>
      <c r="D1294" t="str">
        <f t="shared" si="170"/>
        <v/>
      </c>
      <c r="E1294" t="str">
        <f t="shared" si="171"/>
        <v/>
      </c>
      <c r="F1294" t="str">
        <f>IF(C1294&lt;&gt;"",Data!$M1845,"")</f>
        <v/>
      </c>
      <c r="K1294" t="e">
        <f>IF(Dashboard!$R$4="All",Data!G1845,IF(Data!K1845=Dashboard!$R$4,Data!G1845,NA()))</f>
        <v>#N/A</v>
      </c>
      <c r="L1294" t="str">
        <f t="shared" si="172"/>
        <v/>
      </c>
      <c r="M1294" t="str">
        <f t="shared" si="173"/>
        <v/>
      </c>
      <c r="N1294" t="str">
        <f t="shared" si="174"/>
        <v/>
      </c>
      <c r="O1294" t="str">
        <f>IF(L1294&lt;&gt;"",Data!$M1845,"")</f>
        <v/>
      </c>
      <c r="T1294">
        <f>IF(OR(Dashboard!$P$4="All",Dashboard!$R$4="All"),NA(),IF(OR(Data!K1845&lt;&gt;Dashboard!$P$4,Data!K1845&lt;&gt;Dashboard!$R$4),Data!G1845,NA()))</f>
        <v>25000</v>
      </c>
      <c r="U1294"/>
    </row>
    <row r="1295" spans="2:21">
      <c r="B1295" t="e">
        <f>IF(Dashboard!$P$4="All",Data!G1846,IF(Data!K1846=Dashboard!$P$4,Data!G1846,NA()))</f>
        <v>#N/A</v>
      </c>
      <c r="C1295" t="str">
        <f t="shared" si="169"/>
        <v/>
      </c>
      <c r="D1295" t="str">
        <f t="shared" si="170"/>
        <v/>
      </c>
      <c r="E1295" t="str">
        <f t="shared" si="171"/>
        <v/>
      </c>
      <c r="F1295" t="str">
        <f>IF(C1295&lt;&gt;"",Data!$M1846,"")</f>
        <v/>
      </c>
      <c r="K1295" t="e">
        <f>IF(Dashboard!$R$4="All",Data!G1846,IF(Data!K1846=Dashboard!$R$4,Data!G1846,NA()))</f>
        <v>#N/A</v>
      </c>
      <c r="L1295" t="str">
        <f t="shared" si="172"/>
        <v/>
      </c>
      <c r="M1295" t="str">
        <f t="shared" si="173"/>
        <v/>
      </c>
      <c r="N1295" t="str">
        <f t="shared" si="174"/>
        <v/>
      </c>
      <c r="O1295" t="str">
        <f>IF(L1295&lt;&gt;"",Data!$M1846,"")</f>
        <v/>
      </c>
      <c r="T1295">
        <f>IF(OR(Dashboard!$P$4="All",Dashboard!$R$4="All"),NA(),IF(OR(Data!K1846&lt;&gt;Dashboard!$P$4,Data!K1846&lt;&gt;Dashboard!$R$4),Data!G1846,NA()))</f>
        <v>5000</v>
      </c>
      <c r="U1295"/>
    </row>
    <row r="1296" spans="2:21">
      <c r="B1296" t="e">
        <f>IF(Dashboard!$P$4="All",Data!G1847,IF(Data!K1847=Dashboard!$P$4,Data!G1847,NA()))</f>
        <v>#N/A</v>
      </c>
      <c r="C1296" t="str">
        <f t="shared" si="169"/>
        <v/>
      </c>
      <c r="D1296" t="str">
        <f t="shared" si="170"/>
        <v/>
      </c>
      <c r="E1296" t="str">
        <f t="shared" si="171"/>
        <v/>
      </c>
      <c r="F1296" t="str">
        <f>IF(C1296&lt;&gt;"",Data!$M1847,"")</f>
        <v/>
      </c>
      <c r="K1296" t="e">
        <f>IF(Dashboard!$R$4="All",Data!G1847,IF(Data!K1847=Dashboard!$R$4,Data!G1847,NA()))</f>
        <v>#N/A</v>
      </c>
      <c r="L1296" t="str">
        <f t="shared" si="172"/>
        <v/>
      </c>
      <c r="M1296" t="str">
        <f t="shared" si="173"/>
        <v/>
      </c>
      <c r="N1296" t="str">
        <f t="shared" si="174"/>
        <v/>
      </c>
      <c r="O1296" t="str">
        <f>IF(L1296&lt;&gt;"",Data!$M1847,"")</f>
        <v/>
      </c>
      <c r="T1296">
        <f>IF(OR(Dashboard!$P$4="All",Dashboard!$R$4="All"),NA(),IF(OR(Data!K1847&lt;&gt;Dashboard!$P$4,Data!K1847&lt;&gt;Dashboard!$R$4),Data!G1847,NA()))</f>
        <v>64254.308353366054</v>
      </c>
      <c r="U1296"/>
    </row>
    <row r="1297" spans="2:21">
      <c r="B1297" t="e">
        <f>IF(Dashboard!$P$4="All",Data!G1848,IF(Data!K1848=Dashboard!$P$4,Data!G1848,NA()))</f>
        <v>#N/A</v>
      </c>
      <c r="C1297" t="str">
        <f t="shared" si="169"/>
        <v/>
      </c>
      <c r="D1297" t="str">
        <f t="shared" si="170"/>
        <v/>
      </c>
      <c r="E1297" t="str">
        <f t="shared" si="171"/>
        <v/>
      </c>
      <c r="F1297" t="str">
        <f>IF(C1297&lt;&gt;"",Data!$M1848,"")</f>
        <v/>
      </c>
      <c r="K1297" t="e">
        <f>IF(Dashboard!$R$4="All",Data!G1848,IF(Data!K1848=Dashboard!$R$4,Data!G1848,NA()))</f>
        <v>#N/A</v>
      </c>
      <c r="L1297" t="str">
        <f t="shared" si="172"/>
        <v/>
      </c>
      <c r="M1297" t="str">
        <f t="shared" si="173"/>
        <v/>
      </c>
      <c r="N1297" t="str">
        <f t="shared" si="174"/>
        <v/>
      </c>
      <c r="O1297" t="str">
        <f>IF(L1297&lt;&gt;"",Data!$M1848,"")</f>
        <v/>
      </c>
      <c r="T1297">
        <f>IF(OR(Dashboard!$P$4="All",Dashboard!$R$4="All"),NA(),IF(OR(Data!K1848&lt;&gt;Dashboard!$P$4,Data!K1848&lt;&gt;Dashboard!$R$4),Data!G1848,NA()))</f>
        <v>76223.966339496474</v>
      </c>
      <c r="U1297"/>
    </row>
    <row r="1298" spans="2:21">
      <c r="B1298" t="e">
        <f>IF(Dashboard!$P$4="All",Data!G1849,IF(Data!K1849=Dashboard!$P$4,Data!G1849,NA()))</f>
        <v>#N/A</v>
      </c>
      <c r="C1298" t="str">
        <f t="shared" si="169"/>
        <v/>
      </c>
      <c r="D1298" t="str">
        <f t="shared" si="170"/>
        <v/>
      </c>
      <c r="E1298" t="str">
        <f t="shared" si="171"/>
        <v/>
      </c>
      <c r="F1298" t="str">
        <f>IF(C1298&lt;&gt;"",Data!$M1849,"")</f>
        <v/>
      </c>
      <c r="K1298" t="e">
        <f>IF(Dashboard!$R$4="All",Data!G1849,IF(Data!K1849=Dashboard!$R$4,Data!G1849,NA()))</f>
        <v>#N/A</v>
      </c>
      <c r="L1298" t="str">
        <f t="shared" si="172"/>
        <v/>
      </c>
      <c r="M1298" t="str">
        <f t="shared" si="173"/>
        <v/>
      </c>
      <c r="N1298" t="str">
        <f t="shared" si="174"/>
        <v/>
      </c>
      <c r="O1298" t="str">
        <f>IF(L1298&lt;&gt;"",Data!$M1849,"")</f>
        <v/>
      </c>
      <c r="T1298">
        <f>IF(OR(Dashboard!$P$4="All",Dashboard!$R$4="All"),NA(),IF(OR(Data!K1849&lt;&gt;Dashboard!$P$4,Data!K1849&lt;&gt;Dashboard!$R$4),Data!G1849,NA()))</f>
        <v>102542.54233725216</v>
      </c>
      <c r="U1298"/>
    </row>
    <row r="1299" spans="2:21">
      <c r="B1299" t="e">
        <f>IF(Dashboard!$P$4="All",Data!G1850,IF(Data!K1850=Dashboard!$P$4,Data!G1850,NA()))</f>
        <v>#N/A</v>
      </c>
      <c r="C1299" t="str">
        <f t="shared" si="169"/>
        <v/>
      </c>
      <c r="D1299" t="str">
        <f t="shared" si="170"/>
        <v/>
      </c>
      <c r="E1299" t="str">
        <f t="shared" si="171"/>
        <v/>
      </c>
      <c r="F1299" t="str">
        <f>IF(C1299&lt;&gt;"",Data!$M1850,"")</f>
        <v/>
      </c>
      <c r="K1299" t="e">
        <f>IF(Dashboard!$R$4="All",Data!G1850,IF(Data!K1850=Dashboard!$R$4,Data!G1850,NA()))</f>
        <v>#N/A</v>
      </c>
      <c r="L1299" t="str">
        <f t="shared" si="172"/>
        <v/>
      </c>
      <c r="M1299" t="str">
        <f t="shared" si="173"/>
        <v/>
      </c>
      <c r="N1299" t="str">
        <f t="shared" si="174"/>
        <v/>
      </c>
      <c r="O1299" t="str">
        <f>IF(L1299&lt;&gt;"",Data!$M1850,"")</f>
        <v/>
      </c>
      <c r="T1299">
        <f>IF(OR(Dashboard!$P$4="All",Dashboard!$R$4="All"),NA(),IF(OR(Data!K1850&lt;&gt;Dashboard!$P$4,Data!K1850&lt;&gt;Dashboard!$R$4),Data!G1850,NA()))</f>
        <v>46000</v>
      </c>
      <c r="U1299"/>
    </row>
    <row r="1300" spans="2:21">
      <c r="B1300" t="e">
        <f>IF(Dashboard!$P$4="All",Data!G1851,IF(Data!K1851=Dashboard!$P$4,Data!G1851,NA()))</f>
        <v>#N/A</v>
      </c>
      <c r="C1300" t="str">
        <f t="shared" si="169"/>
        <v/>
      </c>
      <c r="D1300" t="str">
        <f t="shared" si="170"/>
        <v/>
      </c>
      <c r="E1300" t="str">
        <f t="shared" si="171"/>
        <v/>
      </c>
      <c r="F1300" t="str">
        <f>IF(C1300&lt;&gt;"",Data!$M1851,"")</f>
        <v/>
      </c>
      <c r="K1300" t="e">
        <f>IF(Dashboard!$R$4="All",Data!G1851,IF(Data!K1851=Dashboard!$R$4,Data!G1851,NA()))</f>
        <v>#N/A</v>
      </c>
      <c r="L1300" t="str">
        <f t="shared" si="172"/>
        <v/>
      </c>
      <c r="M1300" t="str">
        <f t="shared" si="173"/>
        <v/>
      </c>
      <c r="N1300" t="str">
        <f t="shared" si="174"/>
        <v/>
      </c>
      <c r="O1300" t="str">
        <f>IF(L1300&lt;&gt;"",Data!$M1851,"")</f>
        <v/>
      </c>
      <c r="T1300">
        <f>IF(OR(Dashboard!$P$4="All",Dashboard!$R$4="All"),NA(),IF(OR(Data!K1851&lt;&gt;Dashboard!$P$4,Data!K1851&lt;&gt;Dashboard!$R$4),Data!G1851,NA()))</f>
        <v>5000</v>
      </c>
      <c r="U1300"/>
    </row>
    <row r="1301" spans="2:21">
      <c r="B1301" t="e">
        <f>IF(Dashboard!$P$4="All",Data!G1852,IF(Data!K1852=Dashboard!$P$4,Data!G1852,NA()))</f>
        <v>#N/A</v>
      </c>
      <c r="C1301" t="str">
        <f t="shared" si="169"/>
        <v/>
      </c>
      <c r="D1301" t="str">
        <f t="shared" si="170"/>
        <v/>
      </c>
      <c r="E1301" t="str">
        <f t="shared" si="171"/>
        <v/>
      </c>
      <c r="F1301" t="str">
        <f>IF(C1301&lt;&gt;"",Data!$M1852,"")</f>
        <v/>
      </c>
      <c r="K1301" t="e">
        <f>IF(Dashboard!$R$4="All",Data!G1852,IF(Data!K1852=Dashboard!$R$4,Data!G1852,NA()))</f>
        <v>#N/A</v>
      </c>
      <c r="L1301" t="str">
        <f t="shared" si="172"/>
        <v/>
      </c>
      <c r="M1301" t="str">
        <f t="shared" si="173"/>
        <v/>
      </c>
      <c r="N1301" t="str">
        <f t="shared" si="174"/>
        <v/>
      </c>
      <c r="O1301" t="str">
        <f>IF(L1301&lt;&gt;"",Data!$M1852,"")</f>
        <v/>
      </c>
      <c r="T1301">
        <f>IF(OR(Dashboard!$P$4="All",Dashboard!$R$4="All"),NA(),IF(OR(Data!K1852&lt;&gt;Dashboard!$P$4,Data!K1852&lt;&gt;Dashboard!$R$4),Data!G1852,NA()))</f>
        <v>77819.106783521114</v>
      </c>
      <c r="U1301"/>
    </row>
    <row r="1302" spans="2:21">
      <c r="B1302" t="e">
        <f>IF(Dashboard!$P$4="All",Data!G1853,IF(Data!K1853=Dashboard!$P$4,Data!G1853,NA()))</f>
        <v>#N/A</v>
      </c>
      <c r="C1302" t="str">
        <f t="shared" si="169"/>
        <v/>
      </c>
      <c r="D1302" t="str">
        <f t="shared" si="170"/>
        <v/>
      </c>
      <c r="E1302" t="str">
        <f t="shared" si="171"/>
        <v/>
      </c>
      <c r="F1302" t="str">
        <f>IF(C1302&lt;&gt;"",Data!$M1853,"")</f>
        <v/>
      </c>
      <c r="K1302" t="e">
        <f>IF(Dashboard!$R$4="All",Data!G1853,IF(Data!K1853=Dashboard!$R$4,Data!G1853,NA()))</f>
        <v>#N/A</v>
      </c>
      <c r="L1302" t="str">
        <f t="shared" si="172"/>
        <v/>
      </c>
      <c r="M1302" t="str">
        <f t="shared" si="173"/>
        <v/>
      </c>
      <c r="N1302" t="str">
        <f t="shared" si="174"/>
        <v/>
      </c>
      <c r="O1302" t="str">
        <f>IF(L1302&lt;&gt;"",Data!$M1853,"")</f>
        <v/>
      </c>
      <c r="T1302">
        <f>IF(OR(Dashboard!$P$4="All",Dashboard!$R$4="All"),NA(),IF(OR(Data!K1853&lt;&gt;Dashboard!$P$4,Data!K1853&lt;&gt;Dashboard!$R$4),Data!G1853,NA()))</f>
        <v>6232.7708406048987</v>
      </c>
      <c r="U1302"/>
    </row>
    <row r="1303" spans="2:21">
      <c r="B1303" t="e">
        <f>IF(Dashboard!$P$4="All",Data!G1854,IF(Data!K1854=Dashboard!$P$4,Data!G1854,NA()))</f>
        <v>#N/A</v>
      </c>
      <c r="C1303" t="str">
        <f t="shared" si="169"/>
        <v/>
      </c>
      <c r="D1303" t="str">
        <f t="shared" si="170"/>
        <v/>
      </c>
      <c r="E1303" t="str">
        <f t="shared" si="171"/>
        <v/>
      </c>
      <c r="F1303" t="str">
        <f>IF(C1303&lt;&gt;"",Data!$M1854,"")</f>
        <v/>
      </c>
      <c r="K1303">
        <f>IF(Dashboard!$R$4="All",Data!G1854,IF(Data!K1854=Dashboard!$R$4,Data!G1854,NA()))</f>
        <v>55166.239522354947</v>
      </c>
      <c r="L1303">
        <f t="shared" si="172"/>
        <v>55166.239522354947</v>
      </c>
      <c r="M1303" t="str">
        <f t="shared" si="173"/>
        <v/>
      </c>
      <c r="N1303" t="str">
        <f t="shared" si="174"/>
        <v/>
      </c>
      <c r="O1303">
        <f>IF(L1303&lt;&gt;"",Data!$M1854,"")</f>
        <v>34</v>
      </c>
      <c r="T1303">
        <f>IF(OR(Dashboard!$P$4="All",Dashboard!$R$4="All"),NA(),IF(OR(Data!K1854&lt;&gt;Dashboard!$P$4,Data!K1854&lt;&gt;Dashboard!$R$4),Data!G1854,NA()))</f>
        <v>55166.239522354947</v>
      </c>
      <c r="U1303"/>
    </row>
    <row r="1304" spans="2:21">
      <c r="B1304" t="e">
        <f>IF(Dashboard!$P$4="All",Data!G1855,IF(Data!K1855=Dashboard!$P$4,Data!G1855,NA()))</f>
        <v>#N/A</v>
      </c>
      <c r="C1304" t="str">
        <f t="shared" si="169"/>
        <v/>
      </c>
      <c r="D1304" t="str">
        <f t="shared" si="170"/>
        <v/>
      </c>
      <c r="E1304" t="str">
        <f t="shared" si="171"/>
        <v/>
      </c>
      <c r="F1304" t="str">
        <f>IF(C1304&lt;&gt;"",Data!$M1855,"")</f>
        <v/>
      </c>
      <c r="K1304" t="e">
        <f>IF(Dashboard!$R$4="All",Data!G1855,IF(Data!K1855=Dashboard!$R$4,Data!G1855,NA()))</f>
        <v>#N/A</v>
      </c>
      <c r="L1304" t="str">
        <f t="shared" si="172"/>
        <v/>
      </c>
      <c r="M1304" t="str">
        <f t="shared" si="173"/>
        <v/>
      </c>
      <c r="N1304" t="str">
        <f t="shared" si="174"/>
        <v/>
      </c>
      <c r="O1304" t="str">
        <f>IF(L1304&lt;&gt;"",Data!$M1855,"")</f>
        <v/>
      </c>
      <c r="T1304">
        <f>IF(OR(Dashboard!$P$4="All",Dashboard!$R$4="All"),NA(),IF(OR(Data!K1855&lt;&gt;Dashboard!$P$4,Data!K1855&lt;&gt;Dashboard!$R$4),Data!G1855,NA()))</f>
        <v>45000</v>
      </c>
      <c r="U1304"/>
    </row>
    <row r="1305" spans="2:21">
      <c r="B1305" t="e">
        <f>IF(Dashboard!$P$4="All",Data!G1856,IF(Data!K1856=Dashboard!$P$4,Data!G1856,NA()))</f>
        <v>#N/A</v>
      </c>
      <c r="C1305" t="str">
        <f t="shared" si="169"/>
        <v/>
      </c>
      <c r="D1305" t="str">
        <f t="shared" si="170"/>
        <v/>
      </c>
      <c r="E1305" t="str">
        <f t="shared" si="171"/>
        <v/>
      </c>
      <c r="F1305" t="str">
        <f>IF(C1305&lt;&gt;"",Data!$M1856,"")</f>
        <v/>
      </c>
      <c r="K1305" t="e">
        <f>IF(Dashboard!$R$4="All",Data!G1856,IF(Data!K1856=Dashboard!$R$4,Data!G1856,NA()))</f>
        <v>#N/A</v>
      </c>
      <c r="L1305" t="str">
        <f t="shared" si="172"/>
        <v/>
      </c>
      <c r="M1305" t="str">
        <f t="shared" si="173"/>
        <v/>
      </c>
      <c r="N1305" t="str">
        <f t="shared" si="174"/>
        <v/>
      </c>
      <c r="O1305" t="str">
        <f>IF(L1305&lt;&gt;"",Data!$M1856,"")</f>
        <v/>
      </c>
      <c r="T1305">
        <f>IF(OR(Dashboard!$P$4="All",Dashboard!$R$4="All"),NA(),IF(OR(Data!K1856&lt;&gt;Dashboard!$P$4,Data!K1856&lt;&gt;Dashboard!$R$4),Data!G1856,NA()))</f>
        <v>60000</v>
      </c>
      <c r="U1305"/>
    </row>
    <row r="1306" spans="2:21">
      <c r="B1306" t="e">
        <f>IF(Dashboard!$P$4="All",Data!G1857,IF(Data!K1857=Dashboard!$P$4,Data!G1857,NA()))</f>
        <v>#N/A</v>
      </c>
      <c r="C1306" t="str">
        <f t="shared" si="169"/>
        <v/>
      </c>
      <c r="D1306" t="str">
        <f t="shared" si="170"/>
        <v/>
      </c>
      <c r="E1306" t="str">
        <f t="shared" si="171"/>
        <v/>
      </c>
      <c r="F1306" t="str">
        <f>IF(C1306&lt;&gt;"",Data!$M1857,"")</f>
        <v/>
      </c>
      <c r="K1306" t="e">
        <f>IF(Dashboard!$R$4="All",Data!G1857,IF(Data!K1857=Dashboard!$R$4,Data!G1857,NA()))</f>
        <v>#N/A</v>
      </c>
      <c r="L1306" t="str">
        <f t="shared" si="172"/>
        <v/>
      </c>
      <c r="M1306" t="str">
        <f t="shared" si="173"/>
        <v/>
      </c>
      <c r="N1306" t="str">
        <f t="shared" si="174"/>
        <v/>
      </c>
      <c r="O1306" t="str">
        <f>IF(L1306&lt;&gt;"",Data!$M1857,"")</f>
        <v/>
      </c>
      <c r="T1306">
        <f>IF(OR(Dashboard!$P$4="All",Dashboard!$R$4="All"),NA(),IF(OR(Data!K1857&lt;&gt;Dashboard!$P$4,Data!K1857&lt;&gt;Dashboard!$R$4),Data!G1857,NA()))</f>
        <v>43000</v>
      </c>
      <c r="U1306"/>
    </row>
    <row r="1307" spans="2:21">
      <c r="B1307" t="e">
        <f>IF(Dashboard!$P$4="All",Data!G1858,IF(Data!K1858=Dashboard!$P$4,Data!G1858,NA()))</f>
        <v>#N/A</v>
      </c>
      <c r="C1307" t="str">
        <f t="shared" si="169"/>
        <v/>
      </c>
      <c r="D1307" t="str">
        <f t="shared" si="170"/>
        <v/>
      </c>
      <c r="E1307" t="str">
        <f t="shared" si="171"/>
        <v/>
      </c>
      <c r="F1307" t="str">
        <f>IF(C1307&lt;&gt;"",Data!$M1858,"")</f>
        <v/>
      </c>
      <c r="K1307" t="e">
        <f>IF(Dashboard!$R$4="All",Data!G1858,IF(Data!K1858=Dashboard!$R$4,Data!G1858,NA()))</f>
        <v>#N/A</v>
      </c>
      <c r="L1307" t="str">
        <f t="shared" si="172"/>
        <v/>
      </c>
      <c r="M1307" t="str">
        <f t="shared" si="173"/>
        <v/>
      </c>
      <c r="N1307" t="str">
        <f t="shared" si="174"/>
        <v/>
      </c>
      <c r="O1307" t="str">
        <f>IF(L1307&lt;&gt;"",Data!$M1858,"")</f>
        <v/>
      </c>
      <c r="T1307">
        <f>IF(OR(Dashboard!$P$4="All",Dashboard!$R$4="All"),NA(),IF(OR(Data!K1858&lt;&gt;Dashboard!$P$4,Data!K1858&lt;&gt;Dashboard!$R$4),Data!G1858,NA()))</f>
        <v>35571.184291765021</v>
      </c>
      <c r="U1307"/>
    </row>
    <row r="1308" spans="2:21">
      <c r="B1308" t="e">
        <f>IF(Dashboard!$P$4="All",Data!G1859,IF(Data!K1859=Dashboard!$P$4,Data!G1859,NA()))</f>
        <v>#N/A</v>
      </c>
      <c r="C1308" t="str">
        <f t="shared" si="169"/>
        <v/>
      </c>
      <c r="D1308" t="str">
        <f t="shared" si="170"/>
        <v/>
      </c>
      <c r="E1308" t="str">
        <f t="shared" si="171"/>
        <v/>
      </c>
      <c r="F1308" t="str">
        <f>IF(C1308&lt;&gt;"",Data!$M1859,"")</f>
        <v/>
      </c>
      <c r="K1308" t="e">
        <f>IF(Dashboard!$R$4="All",Data!G1859,IF(Data!K1859=Dashboard!$R$4,Data!G1859,NA()))</f>
        <v>#N/A</v>
      </c>
      <c r="L1308" t="str">
        <f t="shared" si="172"/>
        <v/>
      </c>
      <c r="M1308" t="str">
        <f t="shared" si="173"/>
        <v/>
      </c>
      <c r="N1308" t="str">
        <f t="shared" si="174"/>
        <v/>
      </c>
      <c r="O1308" t="str">
        <f>IF(L1308&lt;&gt;"",Data!$M1859,"")</f>
        <v/>
      </c>
      <c r="T1308">
        <f>IF(OR(Dashboard!$P$4="All",Dashboard!$R$4="All"),NA(),IF(OR(Data!K1859&lt;&gt;Dashboard!$P$4,Data!K1859&lt;&gt;Dashboard!$R$4),Data!G1859,NA()))</f>
        <v>48000</v>
      </c>
      <c r="U1308"/>
    </row>
    <row r="1309" spans="2:21">
      <c r="B1309" t="e">
        <f>IF(Dashboard!$P$4="All",Data!G1860,IF(Data!K1860=Dashboard!$P$4,Data!G1860,NA()))</f>
        <v>#N/A</v>
      </c>
      <c r="C1309" t="str">
        <f t="shared" si="169"/>
        <v/>
      </c>
      <c r="D1309" t="str">
        <f t="shared" si="170"/>
        <v/>
      </c>
      <c r="E1309" t="str">
        <f t="shared" si="171"/>
        <v/>
      </c>
      <c r="F1309" t="str">
        <f>IF(C1309&lt;&gt;"",Data!$M1860,"")</f>
        <v/>
      </c>
      <c r="K1309" t="e">
        <f>IF(Dashboard!$R$4="All",Data!G1860,IF(Data!K1860=Dashboard!$R$4,Data!G1860,NA()))</f>
        <v>#N/A</v>
      </c>
      <c r="L1309" t="str">
        <f t="shared" si="172"/>
        <v/>
      </c>
      <c r="M1309" t="str">
        <f t="shared" si="173"/>
        <v/>
      </c>
      <c r="N1309" t="str">
        <f t="shared" si="174"/>
        <v/>
      </c>
      <c r="O1309" t="str">
        <f>IF(L1309&lt;&gt;"",Data!$M1860,"")</f>
        <v/>
      </c>
      <c r="T1309">
        <f>IF(OR(Dashboard!$P$4="All",Dashboard!$R$4="All"),NA(),IF(OR(Data!K1860&lt;&gt;Dashboard!$P$4,Data!K1860&lt;&gt;Dashboard!$R$4),Data!G1860,NA()))</f>
        <v>122389.15876831629</v>
      </c>
      <c r="U1309"/>
    </row>
    <row r="1310" spans="2:21">
      <c r="B1310" t="e">
        <f>IF(Dashboard!$P$4="All",Data!G1861,IF(Data!K1861=Dashboard!$P$4,Data!G1861,NA()))</f>
        <v>#N/A</v>
      </c>
      <c r="C1310" t="str">
        <f t="shared" si="169"/>
        <v/>
      </c>
      <c r="D1310" t="str">
        <f t="shared" si="170"/>
        <v/>
      </c>
      <c r="E1310" t="str">
        <f t="shared" si="171"/>
        <v/>
      </c>
      <c r="F1310" t="str">
        <f>IF(C1310&lt;&gt;"",Data!$M1861,"")</f>
        <v/>
      </c>
      <c r="K1310" t="e">
        <f>IF(Dashboard!$R$4="All",Data!G1861,IF(Data!K1861=Dashboard!$R$4,Data!G1861,NA()))</f>
        <v>#N/A</v>
      </c>
      <c r="L1310" t="str">
        <f t="shared" si="172"/>
        <v/>
      </c>
      <c r="M1310" t="str">
        <f t="shared" si="173"/>
        <v/>
      </c>
      <c r="N1310" t="str">
        <f t="shared" si="174"/>
        <v/>
      </c>
      <c r="O1310" t="str">
        <f>IF(L1310&lt;&gt;"",Data!$M1861,"")</f>
        <v/>
      </c>
      <c r="T1310">
        <f>IF(OR(Dashboard!$P$4="All",Dashboard!$R$4="All"),NA(),IF(OR(Data!K1861&lt;&gt;Dashboard!$P$4,Data!K1861&lt;&gt;Dashboard!$R$4),Data!G1861,NA()))</f>
        <v>4000</v>
      </c>
      <c r="U1310"/>
    </row>
    <row r="1311" spans="2:21">
      <c r="B1311" t="e">
        <f>IF(Dashboard!$P$4="All",Data!G1862,IF(Data!K1862=Dashboard!$P$4,Data!G1862,NA()))</f>
        <v>#N/A</v>
      </c>
      <c r="C1311" t="str">
        <f t="shared" si="169"/>
        <v/>
      </c>
      <c r="D1311" t="str">
        <f t="shared" si="170"/>
        <v/>
      </c>
      <c r="E1311" t="str">
        <f t="shared" si="171"/>
        <v/>
      </c>
      <c r="F1311" t="str">
        <f>IF(C1311&lt;&gt;"",Data!$M1862,"")</f>
        <v/>
      </c>
      <c r="K1311" t="e">
        <f>IF(Dashboard!$R$4="All",Data!G1862,IF(Data!K1862=Dashboard!$R$4,Data!G1862,NA()))</f>
        <v>#N/A</v>
      </c>
      <c r="L1311" t="str">
        <f t="shared" si="172"/>
        <v/>
      </c>
      <c r="M1311" t="str">
        <f t="shared" si="173"/>
        <v/>
      </c>
      <c r="N1311" t="str">
        <f t="shared" si="174"/>
        <v/>
      </c>
      <c r="O1311" t="str">
        <f>IF(L1311&lt;&gt;"",Data!$M1862,"")</f>
        <v/>
      </c>
      <c r="T1311">
        <f>IF(OR(Dashboard!$P$4="All",Dashboard!$R$4="All"),NA(),IF(OR(Data!K1862&lt;&gt;Dashboard!$P$4,Data!K1862&lt;&gt;Dashboard!$R$4),Data!G1862,NA()))</f>
        <v>4451.9791718606421</v>
      </c>
      <c r="U1311"/>
    </row>
    <row r="1312" spans="2:21">
      <c r="B1312" t="e">
        <f>IF(Dashboard!$P$4="All",Data!G1863,IF(Data!K1863=Dashboard!$P$4,Data!G1863,NA()))</f>
        <v>#N/A</v>
      </c>
      <c r="C1312" t="str">
        <f t="shared" si="169"/>
        <v/>
      </c>
      <c r="D1312" t="str">
        <f t="shared" si="170"/>
        <v/>
      </c>
      <c r="E1312" t="str">
        <f t="shared" si="171"/>
        <v/>
      </c>
      <c r="F1312" t="str">
        <f>IF(C1312&lt;&gt;"",Data!$M1863,"")</f>
        <v/>
      </c>
      <c r="K1312" t="e">
        <f>IF(Dashboard!$R$4="All",Data!G1863,IF(Data!K1863=Dashboard!$R$4,Data!G1863,NA()))</f>
        <v>#N/A</v>
      </c>
      <c r="L1312" t="str">
        <f t="shared" si="172"/>
        <v/>
      </c>
      <c r="M1312" t="str">
        <f t="shared" si="173"/>
        <v/>
      </c>
      <c r="N1312" t="str">
        <f t="shared" si="174"/>
        <v/>
      </c>
      <c r="O1312" t="str">
        <f>IF(L1312&lt;&gt;"",Data!$M1863,"")</f>
        <v/>
      </c>
      <c r="T1312">
        <f>IF(OR(Dashboard!$P$4="All",Dashboard!$R$4="All"),NA(),IF(OR(Data!K1863&lt;&gt;Dashboard!$P$4,Data!K1863&lt;&gt;Dashboard!$R$4),Data!G1863,NA()))</f>
        <v>2953.8461538461538</v>
      </c>
      <c r="U1312"/>
    </row>
    <row r="1313" spans="2:21">
      <c r="B1313" t="e">
        <f>IF(Dashboard!$P$4="All",Data!G1864,IF(Data!K1864=Dashboard!$P$4,Data!G1864,NA()))</f>
        <v>#N/A</v>
      </c>
      <c r="C1313" t="str">
        <f t="shared" si="169"/>
        <v/>
      </c>
      <c r="D1313" t="str">
        <f t="shared" si="170"/>
        <v/>
      </c>
      <c r="E1313" t="str">
        <f t="shared" si="171"/>
        <v/>
      </c>
      <c r="F1313" t="str">
        <f>IF(C1313&lt;&gt;"",Data!$M1864,"")</f>
        <v/>
      </c>
      <c r="K1313">
        <f>IF(Dashboard!$R$4="All",Data!G1864,IF(Data!K1864=Dashboard!$R$4,Data!G1864,NA()))</f>
        <v>39404.456801682099</v>
      </c>
      <c r="L1313">
        <f t="shared" si="172"/>
        <v>39404.456801682099</v>
      </c>
      <c r="M1313" t="str">
        <f t="shared" si="173"/>
        <v/>
      </c>
      <c r="N1313" t="str">
        <f t="shared" si="174"/>
        <v/>
      </c>
      <c r="O1313">
        <f>IF(L1313&lt;&gt;"",Data!$M1864,"")</f>
        <v>3</v>
      </c>
      <c r="T1313">
        <f>IF(OR(Dashboard!$P$4="All",Dashboard!$R$4="All"),NA(),IF(OR(Data!K1864&lt;&gt;Dashboard!$P$4,Data!K1864&lt;&gt;Dashboard!$R$4),Data!G1864,NA()))</f>
        <v>39404.456801682099</v>
      </c>
      <c r="U1313"/>
    </row>
    <row r="1314" spans="2:21">
      <c r="B1314" t="e">
        <f>IF(Dashboard!$P$4="All",Data!G1865,IF(Data!K1865=Dashboard!$P$4,Data!G1865,NA()))</f>
        <v>#N/A</v>
      </c>
      <c r="C1314" t="str">
        <f t="shared" si="169"/>
        <v/>
      </c>
      <c r="D1314" t="str">
        <f t="shared" si="170"/>
        <v/>
      </c>
      <c r="E1314" t="str">
        <f t="shared" si="171"/>
        <v/>
      </c>
      <c r="F1314" t="str">
        <f>IF(C1314&lt;&gt;"",Data!$M1865,"")</f>
        <v/>
      </c>
      <c r="K1314" t="e">
        <f>IF(Dashboard!$R$4="All",Data!G1865,IF(Data!K1865=Dashboard!$R$4,Data!G1865,NA()))</f>
        <v>#N/A</v>
      </c>
      <c r="L1314" t="str">
        <f t="shared" si="172"/>
        <v/>
      </c>
      <c r="M1314" t="str">
        <f t="shared" si="173"/>
        <v/>
      </c>
      <c r="N1314" t="str">
        <f t="shared" si="174"/>
        <v/>
      </c>
      <c r="O1314" t="str">
        <f>IF(L1314&lt;&gt;"",Data!$M1865,"")</f>
        <v/>
      </c>
      <c r="T1314">
        <f>IF(OR(Dashboard!$P$4="All",Dashboard!$R$4="All"),NA(),IF(OR(Data!K1865&lt;&gt;Dashboard!$P$4,Data!K1865&lt;&gt;Dashboard!$R$4),Data!G1865,NA()))</f>
        <v>75473.31457379504</v>
      </c>
      <c r="U1314"/>
    </row>
    <row r="1315" spans="2:21">
      <c r="B1315" t="e">
        <f>IF(Dashboard!$P$4="All",Data!G1866,IF(Data!K1866=Dashboard!$P$4,Data!G1866,NA()))</f>
        <v>#N/A</v>
      </c>
      <c r="C1315" t="str">
        <f t="shared" si="169"/>
        <v/>
      </c>
      <c r="D1315" t="str">
        <f t="shared" si="170"/>
        <v/>
      </c>
      <c r="E1315" t="str">
        <f t="shared" si="171"/>
        <v/>
      </c>
      <c r="F1315" t="str">
        <f>IF(C1315&lt;&gt;"",Data!$M1866,"")</f>
        <v/>
      </c>
      <c r="K1315" t="e">
        <f>IF(Dashboard!$R$4="All",Data!G1866,IF(Data!K1866=Dashboard!$R$4,Data!G1866,NA()))</f>
        <v>#N/A</v>
      </c>
      <c r="L1315" t="str">
        <f t="shared" si="172"/>
        <v/>
      </c>
      <c r="M1315" t="str">
        <f t="shared" si="173"/>
        <v/>
      </c>
      <c r="N1315" t="str">
        <f t="shared" si="174"/>
        <v/>
      </c>
      <c r="O1315" t="str">
        <f>IF(L1315&lt;&gt;"",Data!$M1866,"")</f>
        <v/>
      </c>
      <c r="T1315">
        <f>IF(OR(Dashboard!$P$4="All",Dashboard!$R$4="All"),NA(),IF(OR(Data!K1866&lt;&gt;Dashboard!$P$4,Data!K1866&lt;&gt;Dashboard!$R$4),Data!G1866,NA()))</f>
        <v>13355.937515581925</v>
      </c>
      <c r="U1315"/>
    </row>
    <row r="1316" spans="2:21">
      <c r="B1316" t="e">
        <f>IF(Dashboard!$P$4="All",Data!G1867,IF(Data!K1867=Dashboard!$P$4,Data!G1867,NA()))</f>
        <v>#N/A</v>
      </c>
      <c r="C1316" t="str">
        <f t="shared" si="169"/>
        <v/>
      </c>
      <c r="D1316" t="str">
        <f t="shared" si="170"/>
        <v/>
      </c>
      <c r="E1316" t="str">
        <f t="shared" si="171"/>
        <v/>
      </c>
      <c r="F1316" t="str">
        <f>IF(C1316&lt;&gt;"",Data!$M1867,"")</f>
        <v/>
      </c>
      <c r="K1316" t="e">
        <f>IF(Dashboard!$R$4="All",Data!G1867,IF(Data!K1867=Dashboard!$R$4,Data!G1867,NA()))</f>
        <v>#N/A</v>
      </c>
      <c r="L1316" t="str">
        <f t="shared" si="172"/>
        <v/>
      </c>
      <c r="M1316" t="str">
        <f t="shared" si="173"/>
        <v/>
      </c>
      <c r="N1316" t="str">
        <f t="shared" si="174"/>
        <v/>
      </c>
      <c r="O1316" t="str">
        <f>IF(L1316&lt;&gt;"",Data!$M1867,"")</f>
        <v/>
      </c>
      <c r="T1316">
        <f>IF(OR(Dashboard!$P$4="All",Dashboard!$R$4="All"),NA(),IF(OR(Data!K1867&lt;&gt;Dashboard!$P$4,Data!K1867&lt;&gt;Dashboard!$R$4),Data!G1867,NA()))</f>
        <v>25000</v>
      </c>
      <c r="U1316"/>
    </row>
    <row r="1317" spans="2:21">
      <c r="B1317" t="e">
        <f>IF(Dashboard!$P$4="All",Data!G1868,IF(Data!K1868=Dashboard!$P$4,Data!G1868,NA()))</f>
        <v>#N/A</v>
      </c>
      <c r="C1317" t="str">
        <f t="shared" si="169"/>
        <v/>
      </c>
      <c r="D1317" t="str">
        <f t="shared" si="170"/>
        <v/>
      </c>
      <c r="E1317" t="str">
        <f t="shared" si="171"/>
        <v/>
      </c>
      <c r="F1317" t="str">
        <f>IF(C1317&lt;&gt;"",Data!$M1868,"")</f>
        <v/>
      </c>
      <c r="K1317" t="e">
        <f>IF(Dashboard!$R$4="All",Data!G1868,IF(Data!K1868=Dashboard!$R$4,Data!G1868,NA()))</f>
        <v>#N/A</v>
      </c>
      <c r="L1317" t="str">
        <f t="shared" si="172"/>
        <v/>
      </c>
      <c r="M1317" t="str">
        <f t="shared" si="173"/>
        <v/>
      </c>
      <c r="N1317" t="str">
        <f t="shared" si="174"/>
        <v/>
      </c>
      <c r="O1317" t="str">
        <f>IF(L1317&lt;&gt;"",Data!$M1868,"")</f>
        <v/>
      </c>
      <c r="T1317">
        <f>IF(OR(Dashboard!$P$4="All",Dashboard!$R$4="All"),NA(),IF(OR(Data!K1868&lt;&gt;Dashboard!$P$4,Data!K1868&lt;&gt;Dashboard!$R$4),Data!G1868,NA()))</f>
        <v>7479.3250087258784</v>
      </c>
      <c r="U1317"/>
    </row>
    <row r="1318" spans="2:21">
      <c r="B1318" t="e">
        <f>IF(Dashboard!$P$4="All",Data!G1869,IF(Data!K1869=Dashboard!$P$4,Data!G1869,NA()))</f>
        <v>#N/A</v>
      </c>
      <c r="C1318" t="str">
        <f t="shared" si="169"/>
        <v/>
      </c>
      <c r="D1318" t="str">
        <f t="shared" si="170"/>
        <v/>
      </c>
      <c r="E1318" t="str">
        <f t="shared" si="171"/>
        <v/>
      </c>
      <c r="F1318" t="str">
        <f>IF(C1318&lt;&gt;"",Data!$M1869,"")</f>
        <v/>
      </c>
      <c r="K1318" t="e">
        <f>IF(Dashboard!$R$4="All",Data!G1869,IF(Data!K1869=Dashboard!$R$4,Data!G1869,NA()))</f>
        <v>#N/A</v>
      </c>
      <c r="L1318" t="str">
        <f t="shared" si="172"/>
        <v/>
      </c>
      <c r="M1318" t="str">
        <f t="shared" si="173"/>
        <v/>
      </c>
      <c r="N1318" t="str">
        <f t="shared" si="174"/>
        <v/>
      </c>
      <c r="O1318" t="str">
        <f>IF(L1318&lt;&gt;"",Data!$M1869,"")</f>
        <v/>
      </c>
      <c r="T1318">
        <f>IF(OR(Dashboard!$P$4="All",Dashboard!$R$4="All"),NA(),IF(OR(Data!K1869&lt;&gt;Dashboard!$P$4,Data!K1869&lt;&gt;Dashboard!$R$4),Data!G1869,NA()))</f>
        <v>62000</v>
      </c>
      <c r="U1318"/>
    </row>
    <row r="1319" spans="2:21">
      <c r="B1319" t="e">
        <f>IF(Dashboard!$P$4="All",Data!G1870,IF(Data!K1870=Dashboard!$P$4,Data!G1870,NA()))</f>
        <v>#N/A</v>
      </c>
      <c r="C1319" t="str">
        <f t="shared" si="169"/>
        <v/>
      </c>
      <c r="D1319" t="str">
        <f t="shared" si="170"/>
        <v/>
      </c>
      <c r="E1319" t="str">
        <f t="shared" si="171"/>
        <v/>
      </c>
      <c r="F1319" t="str">
        <f>IF(C1319&lt;&gt;"",Data!$M1870,"")</f>
        <v/>
      </c>
      <c r="K1319" t="e">
        <f>IF(Dashboard!$R$4="All",Data!G1870,IF(Data!K1870=Dashboard!$R$4,Data!G1870,NA()))</f>
        <v>#N/A</v>
      </c>
      <c r="L1319" t="str">
        <f t="shared" si="172"/>
        <v/>
      </c>
      <c r="M1319" t="str">
        <f t="shared" si="173"/>
        <v/>
      </c>
      <c r="N1319" t="str">
        <f t="shared" si="174"/>
        <v/>
      </c>
      <c r="O1319" t="str">
        <f>IF(L1319&lt;&gt;"",Data!$M1870,"")</f>
        <v/>
      </c>
      <c r="T1319">
        <f>IF(OR(Dashboard!$P$4="All",Dashboard!$R$4="All"),NA(),IF(OR(Data!K1870&lt;&gt;Dashboard!$P$4,Data!K1870&lt;&gt;Dashboard!$R$4),Data!G1870,NA()))</f>
        <v>48000</v>
      </c>
      <c r="U1319"/>
    </row>
    <row r="1320" spans="2:21">
      <c r="B1320" t="e">
        <f>IF(Dashboard!$P$4="All",Data!G1871,IF(Data!K1871=Dashboard!$P$4,Data!G1871,NA()))</f>
        <v>#N/A</v>
      </c>
      <c r="C1320" t="str">
        <f t="shared" si="169"/>
        <v/>
      </c>
      <c r="D1320" t="str">
        <f t="shared" si="170"/>
        <v/>
      </c>
      <c r="E1320" t="str">
        <f t="shared" si="171"/>
        <v/>
      </c>
      <c r="F1320" t="str">
        <f>IF(C1320&lt;&gt;"",Data!$M1871,"")</f>
        <v/>
      </c>
      <c r="K1320" t="e">
        <f>IF(Dashboard!$R$4="All",Data!G1871,IF(Data!K1871=Dashboard!$R$4,Data!G1871,NA()))</f>
        <v>#N/A</v>
      </c>
      <c r="L1320" t="str">
        <f t="shared" si="172"/>
        <v/>
      </c>
      <c r="M1320" t="str">
        <f t="shared" si="173"/>
        <v/>
      </c>
      <c r="N1320" t="str">
        <f t="shared" si="174"/>
        <v/>
      </c>
      <c r="O1320" t="str">
        <f>IF(L1320&lt;&gt;"",Data!$M1871,"")</f>
        <v/>
      </c>
      <c r="T1320">
        <f>IF(OR(Dashboard!$P$4="All",Dashboard!$R$4="All"),NA(),IF(OR(Data!K1871&lt;&gt;Dashboard!$P$4,Data!K1871&lt;&gt;Dashboard!$R$4),Data!G1871,NA()))</f>
        <v>5000</v>
      </c>
      <c r="U1320"/>
    </row>
    <row r="1321" spans="2:21">
      <c r="B1321" t="e">
        <f>IF(Dashboard!$P$4="All",Data!G1872,IF(Data!K1872=Dashboard!$P$4,Data!G1872,NA()))</f>
        <v>#N/A</v>
      </c>
      <c r="C1321" t="str">
        <f t="shared" si="169"/>
        <v/>
      </c>
      <c r="D1321" t="str">
        <f t="shared" si="170"/>
        <v/>
      </c>
      <c r="E1321" t="str">
        <f t="shared" si="171"/>
        <v/>
      </c>
      <c r="F1321" t="str">
        <f>IF(C1321&lt;&gt;"",Data!$M1872,"")</f>
        <v/>
      </c>
      <c r="K1321" t="e">
        <f>IF(Dashboard!$R$4="All",Data!G1872,IF(Data!K1872=Dashboard!$R$4,Data!G1872,NA()))</f>
        <v>#N/A</v>
      </c>
      <c r="L1321" t="str">
        <f t="shared" si="172"/>
        <v/>
      </c>
      <c r="M1321" t="str">
        <f t="shared" si="173"/>
        <v/>
      </c>
      <c r="N1321" t="str">
        <f t="shared" si="174"/>
        <v/>
      </c>
      <c r="O1321" t="str">
        <f>IF(L1321&lt;&gt;"",Data!$M1872,"")</f>
        <v/>
      </c>
      <c r="T1321">
        <f>IF(OR(Dashboard!$P$4="All",Dashboard!$R$4="All"),NA(),IF(OR(Data!K1872&lt;&gt;Dashboard!$P$4,Data!K1872&lt;&gt;Dashboard!$R$4),Data!G1872,NA()))</f>
        <v>4914.9850057341491</v>
      </c>
      <c r="U1321"/>
    </row>
    <row r="1322" spans="2:21">
      <c r="B1322" t="e">
        <f>IF(Dashboard!$P$4="All",Data!G1873,IF(Data!K1873=Dashboard!$P$4,Data!G1873,NA()))</f>
        <v>#N/A</v>
      </c>
      <c r="C1322" t="str">
        <f t="shared" si="169"/>
        <v/>
      </c>
      <c r="D1322" t="str">
        <f t="shared" si="170"/>
        <v/>
      </c>
      <c r="E1322" t="str">
        <f t="shared" si="171"/>
        <v/>
      </c>
      <c r="F1322" t="str">
        <f>IF(C1322&lt;&gt;"",Data!$M1873,"")</f>
        <v/>
      </c>
      <c r="K1322" t="e">
        <f>IF(Dashboard!$R$4="All",Data!G1873,IF(Data!K1873=Dashboard!$R$4,Data!G1873,NA()))</f>
        <v>#N/A</v>
      </c>
      <c r="L1322" t="str">
        <f t="shared" si="172"/>
        <v/>
      </c>
      <c r="M1322" t="str">
        <f t="shared" si="173"/>
        <v/>
      </c>
      <c r="N1322" t="str">
        <f t="shared" si="174"/>
        <v/>
      </c>
      <c r="O1322" t="str">
        <f>IF(L1322&lt;&gt;"",Data!$M1873,"")</f>
        <v/>
      </c>
      <c r="T1322">
        <f>IF(OR(Dashboard!$P$4="All",Dashboard!$R$4="All"),NA(),IF(OR(Data!K1873&lt;&gt;Dashboard!$P$4,Data!K1873&lt;&gt;Dashboard!$R$4),Data!G1873,NA()))</f>
        <v>75000</v>
      </c>
      <c r="U1322"/>
    </row>
    <row r="1323" spans="2:21">
      <c r="B1323" t="e">
        <f>IF(Dashboard!$P$4="All",Data!G1874,IF(Data!K1874=Dashboard!$P$4,Data!G1874,NA()))</f>
        <v>#N/A</v>
      </c>
      <c r="C1323" t="str">
        <f t="shared" si="169"/>
        <v/>
      </c>
      <c r="D1323" t="str">
        <f t="shared" si="170"/>
        <v/>
      </c>
      <c r="E1323" t="str">
        <f t="shared" si="171"/>
        <v/>
      </c>
      <c r="F1323" t="str">
        <f>IF(C1323&lt;&gt;"",Data!$M1874,"")</f>
        <v/>
      </c>
      <c r="K1323" t="e">
        <f>IF(Dashboard!$R$4="All",Data!G1874,IF(Data!K1874=Dashboard!$R$4,Data!G1874,NA()))</f>
        <v>#N/A</v>
      </c>
      <c r="L1323" t="str">
        <f t="shared" si="172"/>
        <v/>
      </c>
      <c r="M1323" t="str">
        <f t="shared" si="173"/>
        <v/>
      </c>
      <c r="N1323" t="str">
        <f t="shared" si="174"/>
        <v/>
      </c>
      <c r="O1323" t="str">
        <f>IF(L1323&lt;&gt;"",Data!$M1874,"")</f>
        <v/>
      </c>
      <c r="T1323">
        <f>IF(OR(Dashboard!$P$4="All",Dashboard!$R$4="All"),NA(),IF(OR(Data!K1874&lt;&gt;Dashboard!$P$4,Data!K1874&lt;&gt;Dashboard!$R$4),Data!G1874,NA()))</f>
        <v>4451.9791718606421</v>
      </c>
      <c r="U1323"/>
    </row>
    <row r="1324" spans="2:21">
      <c r="B1324" t="e">
        <f>IF(Dashboard!$P$4="All",Data!G1875,IF(Data!K1875=Dashboard!$P$4,Data!G1875,NA()))</f>
        <v>#N/A</v>
      </c>
      <c r="C1324" t="str">
        <f t="shared" si="169"/>
        <v/>
      </c>
      <c r="D1324" t="str">
        <f t="shared" si="170"/>
        <v/>
      </c>
      <c r="E1324" t="str">
        <f t="shared" si="171"/>
        <v/>
      </c>
      <c r="F1324" t="str">
        <f>IF(C1324&lt;&gt;"",Data!$M1875,"")</f>
        <v/>
      </c>
      <c r="K1324" t="e">
        <f>IF(Dashboard!$R$4="All",Data!G1875,IF(Data!K1875=Dashboard!$R$4,Data!G1875,NA()))</f>
        <v>#N/A</v>
      </c>
      <c r="L1324" t="str">
        <f t="shared" si="172"/>
        <v/>
      </c>
      <c r="M1324" t="str">
        <f t="shared" si="173"/>
        <v/>
      </c>
      <c r="N1324" t="str">
        <f t="shared" si="174"/>
        <v/>
      </c>
      <c r="O1324" t="str">
        <f>IF(L1324&lt;&gt;"",Data!$M1875,"")</f>
        <v/>
      </c>
      <c r="T1324">
        <f>IF(OR(Dashboard!$P$4="All",Dashboard!$R$4="All"),NA(),IF(OR(Data!K1875&lt;&gt;Dashboard!$P$4,Data!K1875&lt;&gt;Dashboard!$R$4),Data!G1875,NA()))</f>
        <v>8400</v>
      </c>
      <c r="U1324"/>
    </row>
    <row r="1325" spans="2:21">
      <c r="B1325" t="e">
        <f>IF(Dashboard!$P$4="All",Data!G1876,IF(Data!K1876=Dashboard!$P$4,Data!G1876,NA()))</f>
        <v>#N/A</v>
      </c>
      <c r="C1325" t="str">
        <f t="shared" si="169"/>
        <v/>
      </c>
      <c r="D1325" t="str">
        <f t="shared" si="170"/>
        <v/>
      </c>
      <c r="E1325" t="str">
        <f t="shared" si="171"/>
        <v/>
      </c>
      <c r="F1325" t="str">
        <f>IF(C1325&lt;&gt;"",Data!$M1876,"")</f>
        <v/>
      </c>
      <c r="K1325" t="e">
        <f>IF(Dashboard!$R$4="All",Data!G1876,IF(Data!K1876=Dashboard!$R$4,Data!G1876,NA()))</f>
        <v>#N/A</v>
      </c>
      <c r="L1325" t="str">
        <f t="shared" si="172"/>
        <v/>
      </c>
      <c r="M1325" t="str">
        <f t="shared" si="173"/>
        <v/>
      </c>
      <c r="N1325" t="str">
        <f t="shared" si="174"/>
        <v/>
      </c>
      <c r="O1325" t="str">
        <f>IF(L1325&lt;&gt;"",Data!$M1876,"")</f>
        <v/>
      </c>
      <c r="T1325">
        <f>IF(OR(Dashboard!$P$4="All",Dashboard!$R$4="All"),NA(),IF(OR(Data!K1876&lt;&gt;Dashboard!$P$4,Data!K1876&lt;&gt;Dashboard!$R$4),Data!G1876,NA()))</f>
        <v>20000</v>
      </c>
      <c r="U1325"/>
    </row>
    <row r="1326" spans="2:21">
      <c r="B1326" t="e">
        <f>IF(Dashboard!$P$4="All",Data!G1877,IF(Data!K1877=Dashboard!$P$4,Data!G1877,NA()))</f>
        <v>#N/A</v>
      </c>
      <c r="C1326" t="str">
        <f t="shared" si="169"/>
        <v/>
      </c>
      <c r="D1326" t="str">
        <f t="shared" si="170"/>
        <v/>
      </c>
      <c r="E1326" t="str">
        <f t="shared" si="171"/>
        <v/>
      </c>
      <c r="F1326" t="str">
        <f>IF(C1326&lt;&gt;"",Data!$M1877,"")</f>
        <v/>
      </c>
      <c r="K1326" t="e">
        <f>IF(Dashboard!$R$4="All",Data!G1877,IF(Data!K1877=Dashboard!$R$4,Data!G1877,NA()))</f>
        <v>#N/A</v>
      </c>
      <c r="L1326" t="str">
        <f t="shared" si="172"/>
        <v/>
      </c>
      <c r="M1326" t="str">
        <f t="shared" si="173"/>
        <v/>
      </c>
      <c r="N1326" t="str">
        <f t="shared" si="174"/>
        <v/>
      </c>
      <c r="O1326" t="str">
        <f>IF(L1326&lt;&gt;"",Data!$M1877,"")</f>
        <v/>
      </c>
      <c r="T1326">
        <f>IF(OR(Dashboard!$P$4="All",Dashboard!$R$4="All"),NA(),IF(OR(Data!K1877&lt;&gt;Dashboard!$P$4,Data!K1877&lt;&gt;Dashboard!$R$4),Data!G1877,NA()))</f>
        <v>110000</v>
      </c>
      <c r="U1326"/>
    </row>
    <row r="1327" spans="2:21">
      <c r="B1327" t="e">
        <f>IF(Dashboard!$P$4="All",Data!G1878,IF(Data!K1878=Dashboard!$P$4,Data!G1878,NA()))</f>
        <v>#N/A</v>
      </c>
      <c r="C1327" t="str">
        <f t="shared" si="169"/>
        <v/>
      </c>
      <c r="D1327" t="str">
        <f t="shared" si="170"/>
        <v/>
      </c>
      <c r="E1327" t="str">
        <f t="shared" si="171"/>
        <v/>
      </c>
      <c r="F1327" t="str">
        <f>IF(C1327&lt;&gt;"",Data!$M1878,"")</f>
        <v/>
      </c>
      <c r="K1327" t="e">
        <f>IF(Dashboard!$R$4="All",Data!G1878,IF(Data!K1878=Dashboard!$R$4,Data!G1878,NA()))</f>
        <v>#N/A</v>
      </c>
      <c r="L1327" t="str">
        <f t="shared" si="172"/>
        <v/>
      </c>
      <c r="M1327" t="str">
        <f t="shared" si="173"/>
        <v/>
      </c>
      <c r="N1327" t="str">
        <f t="shared" si="174"/>
        <v/>
      </c>
      <c r="O1327" t="str">
        <f>IF(L1327&lt;&gt;"",Data!$M1878,"")</f>
        <v/>
      </c>
      <c r="T1327">
        <f>IF(OR(Dashboard!$P$4="All",Dashboard!$R$4="All"),NA(),IF(OR(Data!K1878&lt;&gt;Dashboard!$P$4,Data!K1878&lt;&gt;Dashboard!$R$4),Data!G1878,NA()))</f>
        <v>50000</v>
      </c>
      <c r="U1327"/>
    </row>
    <row r="1328" spans="2:21">
      <c r="B1328" t="e">
        <f>IF(Dashboard!$P$4="All",Data!G1879,IF(Data!K1879=Dashboard!$P$4,Data!G1879,NA()))</f>
        <v>#N/A</v>
      </c>
      <c r="C1328" t="str">
        <f t="shared" si="169"/>
        <v/>
      </c>
      <c r="D1328" t="str">
        <f t="shared" si="170"/>
        <v/>
      </c>
      <c r="E1328" t="str">
        <f t="shared" si="171"/>
        <v/>
      </c>
      <c r="F1328" t="str">
        <f>IF(C1328&lt;&gt;"",Data!$M1879,"")</f>
        <v/>
      </c>
      <c r="K1328" t="e">
        <f>IF(Dashboard!$R$4="All",Data!G1879,IF(Data!K1879=Dashboard!$R$4,Data!G1879,NA()))</f>
        <v>#N/A</v>
      </c>
      <c r="L1328" t="str">
        <f t="shared" si="172"/>
        <v/>
      </c>
      <c r="M1328" t="str">
        <f t="shared" si="173"/>
        <v/>
      </c>
      <c r="N1328" t="str">
        <f t="shared" si="174"/>
        <v/>
      </c>
      <c r="O1328" t="str">
        <f>IF(L1328&lt;&gt;"",Data!$M1879,"")</f>
        <v/>
      </c>
      <c r="T1328">
        <f>IF(OR(Dashboard!$P$4="All",Dashboard!$R$4="All"),NA(),IF(OR(Data!K1879&lt;&gt;Dashboard!$P$4,Data!K1879&lt;&gt;Dashboard!$R$4),Data!G1879,NA()))</f>
        <v>46000</v>
      </c>
      <c r="U1328"/>
    </row>
    <row r="1329" spans="2:21">
      <c r="B1329" t="e">
        <f>IF(Dashboard!$P$4="All",Data!G1880,IF(Data!K1880=Dashboard!$P$4,Data!G1880,NA()))</f>
        <v>#N/A</v>
      </c>
      <c r="C1329" t="str">
        <f t="shared" si="169"/>
        <v/>
      </c>
      <c r="D1329" t="str">
        <f t="shared" si="170"/>
        <v/>
      </c>
      <c r="E1329" t="str">
        <f t="shared" si="171"/>
        <v/>
      </c>
      <c r="F1329" t="str">
        <f>IF(C1329&lt;&gt;"",Data!$M1880,"")</f>
        <v/>
      </c>
      <c r="K1329" t="e">
        <f>IF(Dashboard!$R$4="All",Data!G1880,IF(Data!K1880=Dashboard!$R$4,Data!G1880,NA()))</f>
        <v>#N/A</v>
      </c>
      <c r="L1329" t="str">
        <f t="shared" si="172"/>
        <v/>
      </c>
      <c r="M1329" t="str">
        <f t="shared" si="173"/>
        <v/>
      </c>
      <c r="N1329" t="str">
        <f t="shared" si="174"/>
        <v/>
      </c>
      <c r="O1329" t="str">
        <f>IF(L1329&lt;&gt;"",Data!$M1880,"")</f>
        <v/>
      </c>
      <c r="T1329">
        <f>IF(OR(Dashboard!$P$4="All",Dashboard!$R$4="All"),NA(),IF(OR(Data!K1880&lt;&gt;Dashboard!$P$4,Data!K1880&lt;&gt;Dashboard!$R$4),Data!G1880,NA()))</f>
        <v>115000</v>
      </c>
      <c r="U1329"/>
    </row>
    <row r="1330" spans="2:21">
      <c r="B1330" t="e">
        <f>IF(Dashboard!$P$4="All",Data!G1881,IF(Data!K1881=Dashboard!$P$4,Data!G1881,NA()))</f>
        <v>#N/A</v>
      </c>
      <c r="C1330" t="str">
        <f t="shared" si="169"/>
        <v/>
      </c>
      <c r="D1330" t="str">
        <f t="shared" si="170"/>
        <v/>
      </c>
      <c r="E1330" t="str">
        <f t="shared" si="171"/>
        <v/>
      </c>
      <c r="F1330" t="str">
        <f>IF(C1330&lt;&gt;"",Data!$M1881,"")</f>
        <v/>
      </c>
      <c r="K1330" t="e">
        <f>IF(Dashboard!$R$4="All",Data!G1881,IF(Data!K1881=Dashboard!$R$4,Data!G1881,NA()))</f>
        <v>#N/A</v>
      </c>
      <c r="L1330" t="str">
        <f t="shared" si="172"/>
        <v/>
      </c>
      <c r="M1330" t="str">
        <f t="shared" si="173"/>
        <v/>
      </c>
      <c r="N1330" t="str">
        <f t="shared" si="174"/>
        <v/>
      </c>
      <c r="O1330" t="str">
        <f>IF(L1330&lt;&gt;"",Data!$M1881,"")</f>
        <v/>
      </c>
      <c r="T1330">
        <f>IF(OR(Dashboard!$P$4="All",Dashboard!$R$4="All"),NA(),IF(OR(Data!K1881&lt;&gt;Dashboard!$P$4,Data!K1881&lt;&gt;Dashboard!$R$4),Data!G1881,NA()))</f>
        <v>3205.4250037396623</v>
      </c>
      <c r="U1330"/>
    </row>
    <row r="1331" spans="2:21">
      <c r="B1331" t="e">
        <f>IF(Dashboard!$P$4="All",Data!G1882,IF(Data!K1882=Dashboard!$P$4,Data!G1882,NA()))</f>
        <v>#N/A</v>
      </c>
      <c r="C1331" t="str">
        <f t="shared" si="169"/>
        <v/>
      </c>
      <c r="D1331" t="str">
        <f t="shared" si="170"/>
        <v/>
      </c>
      <c r="E1331" t="str">
        <f t="shared" si="171"/>
        <v/>
      </c>
      <c r="F1331" t="str">
        <f>IF(C1331&lt;&gt;"",Data!$M1882,"")</f>
        <v/>
      </c>
      <c r="K1331" t="e">
        <f>IF(Dashboard!$R$4="All",Data!G1882,IF(Data!K1882=Dashboard!$R$4,Data!G1882,NA()))</f>
        <v>#N/A</v>
      </c>
      <c r="L1331" t="str">
        <f t="shared" si="172"/>
        <v/>
      </c>
      <c r="M1331" t="str">
        <f t="shared" si="173"/>
        <v/>
      </c>
      <c r="N1331" t="str">
        <f t="shared" si="174"/>
        <v/>
      </c>
      <c r="O1331" t="str">
        <f>IF(L1331&lt;&gt;"",Data!$M1882,"")</f>
        <v/>
      </c>
      <c r="T1331">
        <f>IF(OR(Dashboard!$P$4="All",Dashboard!$R$4="All"),NA(),IF(OR(Data!K1882&lt;&gt;Dashboard!$P$4,Data!K1882&lt;&gt;Dashboard!$R$4),Data!G1882,NA()))</f>
        <v>76223.966339496474</v>
      </c>
      <c r="U1331"/>
    </row>
    <row r="1332" spans="2:21">
      <c r="B1332" t="e">
        <f>IF(Dashboard!$P$4="All",Data!G1883,IF(Data!K1883=Dashboard!$P$4,Data!G1883,NA()))</f>
        <v>#N/A</v>
      </c>
      <c r="C1332" t="str">
        <f t="shared" si="169"/>
        <v/>
      </c>
      <c r="D1332" t="str">
        <f t="shared" si="170"/>
        <v/>
      </c>
      <c r="E1332" t="str">
        <f t="shared" si="171"/>
        <v/>
      </c>
      <c r="F1332" t="str">
        <f>IF(C1332&lt;&gt;"",Data!$M1883,"")</f>
        <v/>
      </c>
      <c r="K1332" t="e">
        <f>IF(Dashboard!$R$4="All",Data!G1883,IF(Data!K1883=Dashboard!$R$4,Data!G1883,NA()))</f>
        <v>#N/A</v>
      </c>
      <c r="L1332" t="str">
        <f t="shared" si="172"/>
        <v/>
      </c>
      <c r="M1332" t="str">
        <f t="shared" si="173"/>
        <v/>
      </c>
      <c r="N1332" t="str">
        <f t="shared" si="174"/>
        <v/>
      </c>
      <c r="O1332" t="str">
        <f>IF(L1332&lt;&gt;"",Data!$M1883,"")</f>
        <v/>
      </c>
      <c r="T1332">
        <f>IF(OR(Dashboard!$P$4="All",Dashboard!$R$4="All"),NA(),IF(OR(Data!K1883&lt;&gt;Dashboard!$P$4,Data!K1883&lt;&gt;Dashboard!$R$4),Data!G1883,NA()))</f>
        <v>52500</v>
      </c>
      <c r="U1332"/>
    </row>
    <row r="1333" spans="2:21">
      <c r="B1333" t="e">
        <f>IF(Dashboard!$P$4="All",Data!G1884,IF(Data!K1884=Dashboard!$P$4,Data!G1884,NA()))</f>
        <v>#N/A</v>
      </c>
      <c r="C1333" t="str">
        <f t="shared" si="169"/>
        <v/>
      </c>
      <c r="D1333" t="str">
        <f t="shared" si="170"/>
        <v/>
      </c>
      <c r="E1333" t="str">
        <f t="shared" si="171"/>
        <v/>
      </c>
      <c r="F1333" t="str">
        <f>IF(C1333&lt;&gt;"",Data!$M1884,"")</f>
        <v/>
      </c>
      <c r="K1333" t="e">
        <f>IF(Dashboard!$R$4="All",Data!G1884,IF(Data!K1884=Dashboard!$R$4,Data!G1884,NA()))</f>
        <v>#N/A</v>
      </c>
      <c r="L1333" t="str">
        <f t="shared" si="172"/>
        <v/>
      </c>
      <c r="M1333" t="str">
        <f t="shared" si="173"/>
        <v/>
      </c>
      <c r="N1333" t="str">
        <f t="shared" si="174"/>
        <v/>
      </c>
      <c r="O1333" t="str">
        <f>IF(L1333&lt;&gt;"",Data!$M1884,"")</f>
        <v/>
      </c>
      <c r="T1333">
        <f>IF(OR(Dashboard!$P$4="All",Dashboard!$R$4="All"),NA(),IF(OR(Data!K1884&lt;&gt;Dashboard!$P$4,Data!K1884&lt;&gt;Dashboard!$R$4),Data!G1884,NA()))</f>
        <v>100800</v>
      </c>
      <c r="U1333"/>
    </row>
    <row r="1334" spans="2:21">
      <c r="B1334" t="e">
        <f>IF(Dashboard!$P$4="All",Data!G1885,IF(Data!K1885=Dashboard!$P$4,Data!G1885,NA()))</f>
        <v>#N/A</v>
      </c>
      <c r="C1334" t="str">
        <f t="shared" si="169"/>
        <v/>
      </c>
      <c r="D1334" t="str">
        <f t="shared" si="170"/>
        <v/>
      </c>
      <c r="E1334" t="str">
        <f t="shared" si="171"/>
        <v/>
      </c>
      <c r="F1334" t="str">
        <f>IF(C1334&lt;&gt;"",Data!$M1885,"")</f>
        <v/>
      </c>
      <c r="K1334" t="e">
        <f>IF(Dashboard!$R$4="All",Data!G1885,IF(Data!K1885=Dashboard!$R$4,Data!G1885,NA()))</f>
        <v>#N/A</v>
      </c>
      <c r="L1334" t="str">
        <f t="shared" si="172"/>
        <v/>
      </c>
      <c r="M1334" t="str">
        <f t="shared" si="173"/>
        <v/>
      </c>
      <c r="N1334" t="str">
        <f t="shared" si="174"/>
        <v/>
      </c>
      <c r="O1334" t="str">
        <f>IF(L1334&lt;&gt;"",Data!$M1885,"")</f>
        <v/>
      </c>
      <c r="T1334">
        <f>IF(OR(Dashboard!$P$4="All",Dashboard!$R$4="All"),NA(),IF(OR(Data!K1885&lt;&gt;Dashboard!$P$4,Data!K1885&lt;&gt;Dashboard!$R$4),Data!G1885,NA()))</f>
        <v>21000</v>
      </c>
      <c r="U1334"/>
    </row>
    <row r="1335" spans="2:21">
      <c r="B1335" t="e">
        <f>IF(Dashboard!$P$4="All",Data!G1886,IF(Data!K1886=Dashboard!$P$4,Data!G1886,NA()))</f>
        <v>#N/A</v>
      </c>
      <c r="C1335" t="str">
        <f t="shared" si="169"/>
        <v/>
      </c>
      <c r="D1335" t="str">
        <f t="shared" si="170"/>
        <v/>
      </c>
      <c r="E1335" t="str">
        <f t="shared" si="171"/>
        <v/>
      </c>
      <c r="F1335" t="str">
        <f>IF(C1335&lt;&gt;"",Data!$M1886,"")</f>
        <v/>
      </c>
      <c r="K1335" t="e">
        <f>IF(Dashboard!$R$4="All",Data!G1886,IF(Data!K1886=Dashboard!$R$4,Data!G1886,NA()))</f>
        <v>#N/A</v>
      </c>
      <c r="L1335" t="str">
        <f t="shared" si="172"/>
        <v/>
      </c>
      <c r="M1335" t="str">
        <f t="shared" si="173"/>
        <v/>
      </c>
      <c r="N1335" t="str">
        <f t="shared" si="174"/>
        <v/>
      </c>
      <c r="O1335" t="str">
        <f>IF(L1335&lt;&gt;"",Data!$M1886,"")</f>
        <v/>
      </c>
      <c r="T1335">
        <f>IF(OR(Dashboard!$P$4="All",Dashboard!$R$4="All"),NA(),IF(OR(Data!K1886&lt;&gt;Dashboard!$P$4,Data!K1886&lt;&gt;Dashboard!$R$4),Data!G1886,NA()))</f>
        <v>40000</v>
      </c>
      <c r="U1335"/>
    </row>
    <row r="1336" spans="2:21">
      <c r="B1336" t="e">
        <f>IF(Dashboard!$P$4="All",Data!G1887,IF(Data!K1887=Dashboard!$P$4,Data!G1887,NA()))</f>
        <v>#N/A</v>
      </c>
      <c r="C1336" t="str">
        <f t="shared" si="169"/>
        <v/>
      </c>
      <c r="D1336" t="str">
        <f t="shared" si="170"/>
        <v/>
      </c>
      <c r="E1336" t="str">
        <f t="shared" si="171"/>
        <v/>
      </c>
      <c r="F1336" t="str">
        <f>IF(C1336&lt;&gt;"",Data!$M1887,"")</f>
        <v/>
      </c>
      <c r="K1336" t="e">
        <f>IF(Dashboard!$R$4="All",Data!G1887,IF(Data!K1887=Dashboard!$R$4,Data!G1887,NA()))</f>
        <v>#N/A</v>
      </c>
      <c r="L1336" t="str">
        <f t="shared" si="172"/>
        <v/>
      </c>
      <c r="M1336" t="str">
        <f t="shared" si="173"/>
        <v/>
      </c>
      <c r="N1336" t="str">
        <f t="shared" si="174"/>
        <v/>
      </c>
      <c r="O1336" t="str">
        <f>IF(L1336&lt;&gt;"",Data!$M1887,"")</f>
        <v/>
      </c>
      <c r="T1336">
        <f>IF(OR(Dashboard!$P$4="All",Dashboard!$R$4="All"),NA(),IF(OR(Data!K1887&lt;&gt;Dashboard!$P$4,Data!K1887&lt;&gt;Dashboard!$R$4),Data!G1887,NA()))</f>
        <v>46359</v>
      </c>
      <c r="U1336"/>
    </row>
    <row r="1337" spans="2:21">
      <c r="B1337" t="e">
        <f>IF(Dashboard!$P$4="All",Data!G1888,IF(Data!K1888=Dashboard!$P$4,Data!G1888,NA()))</f>
        <v>#N/A</v>
      </c>
      <c r="C1337" t="str">
        <f t="shared" si="169"/>
        <v/>
      </c>
      <c r="D1337" t="str">
        <f t="shared" si="170"/>
        <v/>
      </c>
      <c r="E1337" t="str">
        <f t="shared" si="171"/>
        <v/>
      </c>
      <c r="F1337" t="str">
        <f>IF(C1337&lt;&gt;"",Data!$M1888,"")</f>
        <v/>
      </c>
      <c r="K1337" t="e">
        <f>IF(Dashboard!$R$4="All",Data!G1888,IF(Data!K1888=Dashboard!$R$4,Data!G1888,NA()))</f>
        <v>#N/A</v>
      </c>
      <c r="L1337" t="str">
        <f t="shared" si="172"/>
        <v/>
      </c>
      <c r="M1337" t="str">
        <f t="shared" si="173"/>
        <v/>
      </c>
      <c r="N1337" t="str">
        <f t="shared" si="174"/>
        <v/>
      </c>
      <c r="O1337" t="str">
        <f>IF(L1337&lt;&gt;"",Data!$M1888,"")</f>
        <v/>
      </c>
      <c r="T1337">
        <f>IF(OR(Dashboard!$P$4="All",Dashboard!$R$4="All"),NA(),IF(OR(Data!K1888&lt;&gt;Dashboard!$P$4,Data!K1888&lt;&gt;Dashboard!$R$4),Data!G1888,NA()))</f>
        <v>70000</v>
      </c>
      <c r="U1337"/>
    </row>
  </sheetData>
  <sortState ref="AE4:AF15">
    <sortCondition descending="1" ref="AF4:AF15"/>
  </sortState>
  <mergeCells count="4">
    <mergeCell ref="AI2:BN3"/>
    <mergeCell ref="B1:H1"/>
    <mergeCell ref="K1:Q1"/>
    <mergeCell ref="BQ2:BV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B1:W1888"/>
  <sheetViews>
    <sheetView showGridLines="0" zoomScale="85" zoomScaleNormal="85" workbookViewId="0">
      <selection activeCell="H1" sqref="H1:H1048576"/>
    </sheetView>
  </sheetViews>
  <sheetFormatPr defaultRowHeight="1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12.42578125" bestFit="1" customWidth="1"/>
    <col min="7" max="7" width="15.28515625" bestFit="1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4" width="18" customWidth="1"/>
    <col min="23" max="23" width="7.7109375" style="9" customWidth="1"/>
    <col min="24" max="24" width="6.140625" customWidth="1"/>
    <col min="25" max="25" width="6.85546875" customWidth="1"/>
  </cols>
  <sheetData>
    <row r="1" spans="2:14" ht="23.25">
      <c r="B1" s="79" t="s">
        <v>3994</v>
      </c>
      <c r="C1" s="79"/>
      <c r="D1" s="79"/>
      <c r="E1" s="79"/>
    </row>
    <row r="3" spans="2:14">
      <c r="B3" s="3" t="s">
        <v>3995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5" spans="2:14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t="s">
        <v>3979</v>
      </c>
      <c r="H5" t="s">
        <v>3</v>
      </c>
      <c r="I5" t="s">
        <v>3998</v>
      </c>
      <c r="J5" t="s">
        <v>4</v>
      </c>
      <c r="K5" t="s">
        <v>4004</v>
      </c>
      <c r="L5" t="s">
        <v>5</v>
      </c>
      <c r="M5" t="s">
        <v>3996</v>
      </c>
    </row>
    <row r="6" spans="2:14" ht="15" customHeight="1">
      <c r="B6" t="s">
        <v>2009</v>
      </c>
      <c r="C6" s="1">
        <v>41054.133009259262</v>
      </c>
      <c r="D6" s="4">
        <v>5846</v>
      </c>
      <c r="E6">
        <v>5846</v>
      </c>
      <c r="F6" t="s">
        <v>6</v>
      </c>
      <c r="G6">
        <f>tblSalaries[[#This Row],[clean Salary (in local currency)]]*VLOOKUP(tblSalaries[[#This Row],[Currency]],tblXrate[],2,FALSE)</f>
        <v>5846</v>
      </c>
      <c r="H6" t="s">
        <v>7</v>
      </c>
      <c r="I6" t="s">
        <v>20</v>
      </c>
      <c r="J6" t="s">
        <v>8</v>
      </c>
      <c r="K6" t="str">
        <f>VLOOKUP(tblSalaries[[#This Row],[Where do you work]],tblCountries[[Actual]:[Mapping]],2,FALSE)</f>
        <v>India</v>
      </c>
      <c r="L6" t="s">
        <v>9</v>
      </c>
    </row>
    <row r="7" spans="2:14" ht="15" customHeight="1">
      <c r="B7" t="s">
        <v>2010</v>
      </c>
      <c r="C7" s="1">
        <v>41054.13417824074</v>
      </c>
      <c r="D7" s="4" t="s">
        <v>10</v>
      </c>
      <c r="E7">
        <v>15000</v>
      </c>
      <c r="F7" t="s">
        <v>6</v>
      </c>
      <c r="G7">
        <f>tblSalaries[[#This Row],[clean Salary (in local currency)]]*VLOOKUP(tblSalaries[[#This Row],[Currency]],tblXrate[],2,FALSE)</f>
        <v>15000</v>
      </c>
      <c r="H7" t="s">
        <v>11</v>
      </c>
      <c r="I7" t="s">
        <v>488</v>
      </c>
      <c r="J7" t="s">
        <v>12</v>
      </c>
      <c r="K7" t="str">
        <f>VLOOKUP(tblSalaries[[#This Row],[Where do you work]],tblCountries[[Actual]:[Mapping]],2,FALSE)</f>
        <v>Croatia</v>
      </c>
      <c r="L7" t="s">
        <v>13</v>
      </c>
    </row>
    <row r="8" spans="2:14" ht="15" customHeight="1">
      <c r="B8" t="s">
        <v>2011</v>
      </c>
      <c r="C8" s="1">
        <v>41054.136412037034</v>
      </c>
      <c r="D8" s="4">
        <v>58000</v>
      </c>
      <c r="E8">
        <v>58000</v>
      </c>
      <c r="F8" t="s">
        <v>6</v>
      </c>
      <c r="G8">
        <f>tblSalaries[[#This Row],[clean Salary (in local currency)]]*VLOOKUP(tblSalaries[[#This Row],[Currency]],tblXrate[],2,FALSE)</f>
        <v>58000</v>
      </c>
      <c r="H8" t="s">
        <v>14</v>
      </c>
      <c r="I8" t="s">
        <v>20</v>
      </c>
      <c r="J8" t="s">
        <v>15</v>
      </c>
      <c r="K8" t="str">
        <f>VLOOKUP(tblSalaries[[#This Row],[Where do you work]],tblCountries[[Actual]:[Mapping]],2,FALSE)</f>
        <v>USA</v>
      </c>
      <c r="L8" t="s">
        <v>13</v>
      </c>
    </row>
    <row r="9" spans="2:14" ht="15" customHeight="1">
      <c r="B9" t="s">
        <v>2012</v>
      </c>
      <c r="C9" s="1">
        <v>41054.141458333332</v>
      </c>
      <c r="D9" s="4">
        <v>48000</v>
      </c>
      <c r="E9">
        <v>48000</v>
      </c>
      <c r="F9" t="s">
        <v>6</v>
      </c>
      <c r="G9">
        <f>tblSalaries[[#This Row],[clean Salary (in local currency)]]*VLOOKUP(tblSalaries[[#This Row],[Currency]],tblXrate[],2,FALSE)</f>
        <v>48000</v>
      </c>
      <c r="H9" t="s">
        <v>16</v>
      </c>
      <c r="I9" t="s">
        <v>488</v>
      </c>
      <c r="J9" t="s">
        <v>17</v>
      </c>
      <c r="K9" t="str">
        <f>VLOOKUP(tblSalaries[[#This Row],[Where do you work]],tblCountries[[Actual]:[Mapping]],2,FALSE)</f>
        <v>Pakistan</v>
      </c>
      <c r="L9" t="s">
        <v>18</v>
      </c>
    </row>
    <row r="10" spans="2:14" ht="15" customHeight="1">
      <c r="B10" t="s">
        <v>2013</v>
      </c>
      <c r="C10" s="1">
        <v>41054.143796296295</v>
      </c>
      <c r="D10" s="4">
        <v>54000</v>
      </c>
      <c r="E10">
        <v>54000</v>
      </c>
      <c r="F10" t="s">
        <v>6</v>
      </c>
      <c r="G10">
        <f>tblSalaries[[#This Row],[clean Salary (in local currency)]]*VLOOKUP(tblSalaries[[#This Row],[Currency]],tblXrate[],2,FALSE)</f>
        <v>54000</v>
      </c>
      <c r="H10" t="s">
        <v>19</v>
      </c>
      <c r="I10" t="s">
        <v>279</v>
      </c>
      <c r="J10" t="s">
        <v>15</v>
      </c>
      <c r="K10" t="str">
        <f>VLOOKUP(tblSalaries[[#This Row],[Where do you work]],tblCountries[[Actual]:[Mapping]],2,FALSE)</f>
        <v>USA</v>
      </c>
      <c r="L10" t="s">
        <v>13</v>
      </c>
    </row>
    <row r="11" spans="2:14" ht="15" customHeight="1">
      <c r="B11" t="s">
        <v>2014</v>
      </c>
      <c r="C11" s="1">
        <v>41054.144768518519</v>
      </c>
      <c r="D11" s="4">
        <v>41731</v>
      </c>
      <c r="E11">
        <v>41731</v>
      </c>
      <c r="F11" t="s">
        <v>6</v>
      </c>
      <c r="G11">
        <f>tblSalaries[[#This Row],[clean Salary (in local currency)]]*VLOOKUP(tblSalaries[[#This Row],[Currency]],tblXrate[],2,FALSE)</f>
        <v>41731</v>
      </c>
      <c r="H11" t="s">
        <v>20</v>
      </c>
      <c r="I11" t="s">
        <v>20</v>
      </c>
      <c r="J11" t="s">
        <v>21</v>
      </c>
      <c r="K11" t="str">
        <f>VLOOKUP(tblSalaries[[#This Row],[Where do you work]],tblCountries[[Actual]:[Mapping]],2,FALSE)</f>
        <v>Iceland</v>
      </c>
      <c r="L11" t="s">
        <v>13</v>
      </c>
    </row>
    <row r="12" spans="2:14" ht="15" customHeight="1">
      <c r="B12" t="s">
        <v>2015</v>
      </c>
      <c r="C12" s="1">
        <v>41054.148506944446</v>
      </c>
      <c r="D12" s="4">
        <v>145000</v>
      </c>
      <c r="E12">
        <v>145000</v>
      </c>
      <c r="F12" t="s">
        <v>22</v>
      </c>
      <c r="G12">
        <f>tblSalaries[[#This Row],[clean Salary (in local currency)]]*VLOOKUP(tblSalaries[[#This Row],[Currency]],tblXrate[],2,FALSE)</f>
        <v>184207.91865378313</v>
      </c>
      <c r="H12" t="s">
        <v>23</v>
      </c>
      <c r="I12" t="s">
        <v>52</v>
      </c>
      <c r="J12" t="s">
        <v>24</v>
      </c>
      <c r="K12" t="str">
        <f>VLOOKUP(tblSalaries[[#This Row],[Where do you work]],tblCountries[[Actual]:[Mapping]],2,FALSE)</f>
        <v>Germany</v>
      </c>
      <c r="L12" t="s">
        <v>25</v>
      </c>
    </row>
    <row r="13" spans="2:14" ht="15" customHeight="1">
      <c r="B13" t="s">
        <v>2016</v>
      </c>
      <c r="C13" s="1">
        <v>41054.15042824074</v>
      </c>
      <c r="D13" s="4">
        <v>12000</v>
      </c>
      <c r="E13">
        <v>12000</v>
      </c>
      <c r="F13" t="s">
        <v>6</v>
      </c>
      <c r="G13">
        <f>tblSalaries[[#This Row],[clean Salary (in local currency)]]*VLOOKUP(tblSalaries[[#This Row],[Currency]],tblXrate[],2,FALSE)</f>
        <v>12000</v>
      </c>
      <c r="H13" t="s">
        <v>26</v>
      </c>
      <c r="I13" t="s">
        <v>20</v>
      </c>
      <c r="J13" t="s">
        <v>27</v>
      </c>
      <c r="K13" t="str">
        <f>VLOOKUP(tblSalaries[[#This Row],[Where do you work]],tblCountries[[Actual]:[Mapping]],2,FALSE)</f>
        <v>Ukraine</v>
      </c>
      <c r="L13" t="s">
        <v>13</v>
      </c>
    </row>
    <row r="14" spans="2:14" ht="15" customHeight="1">
      <c r="B14" t="s">
        <v>2017</v>
      </c>
      <c r="C14" s="1">
        <v>41054.150891203702</v>
      </c>
      <c r="D14" s="4" t="s">
        <v>28</v>
      </c>
      <c r="E14">
        <v>44000</v>
      </c>
      <c r="F14" t="s">
        <v>6</v>
      </c>
      <c r="G14">
        <f>tblSalaries[[#This Row],[clean Salary (in local currency)]]*VLOOKUP(tblSalaries[[#This Row],[Currency]],tblXrate[],2,FALSE)</f>
        <v>44000</v>
      </c>
      <c r="H14" t="s">
        <v>29</v>
      </c>
      <c r="I14" t="s">
        <v>4001</v>
      </c>
      <c r="J14" t="s">
        <v>30</v>
      </c>
      <c r="K14" t="str">
        <f>VLOOKUP(tblSalaries[[#This Row],[Where do you work]],tblCountries[[Actual]:[Mapping]],2,FALSE)</f>
        <v>Portugal</v>
      </c>
      <c r="L14" t="s">
        <v>25</v>
      </c>
    </row>
    <row r="15" spans="2:14" ht="15" customHeight="1">
      <c r="B15" t="s">
        <v>2018</v>
      </c>
      <c r="C15" s="1">
        <v>41054.152048611111</v>
      </c>
      <c r="D15" s="4" t="s">
        <v>31</v>
      </c>
      <c r="E15">
        <v>1152000</v>
      </c>
      <c r="F15" t="s">
        <v>32</v>
      </c>
      <c r="G15">
        <f>tblSalaries[[#This Row],[clean Salary (in local currency)]]*VLOOKUP(tblSalaries[[#This Row],[Currency]],tblXrate[],2,FALSE)</f>
        <v>12227.430201752599</v>
      </c>
      <c r="H15" t="s">
        <v>33</v>
      </c>
      <c r="I15" t="s">
        <v>310</v>
      </c>
      <c r="J15" t="s">
        <v>17</v>
      </c>
      <c r="K15" t="str">
        <f>VLOOKUP(tblSalaries[[#This Row],[Where do you work]],tblCountries[[Actual]:[Mapping]],2,FALSE)</f>
        <v>Pakistan</v>
      </c>
      <c r="L15" t="s">
        <v>13</v>
      </c>
    </row>
    <row r="16" spans="2:14" ht="15" customHeight="1">
      <c r="B16" t="s">
        <v>2019</v>
      </c>
      <c r="C16" s="1">
        <v>41054.155381944445</v>
      </c>
      <c r="D16" s="4" t="s">
        <v>34</v>
      </c>
      <c r="E16">
        <v>51650</v>
      </c>
      <c r="F16" t="s">
        <v>22</v>
      </c>
      <c r="G16">
        <f>tblSalaries[[#This Row],[clean Salary (in local currency)]]*VLOOKUP(tblSalaries[[#This Row],[Currency]],tblXrate[],2,FALSE)</f>
        <v>65616.131023916547</v>
      </c>
      <c r="H16" t="s">
        <v>35</v>
      </c>
      <c r="I16" t="s">
        <v>67</v>
      </c>
      <c r="J16" t="s">
        <v>36</v>
      </c>
      <c r="K16" t="str">
        <f>VLOOKUP(tblSalaries[[#This Row],[Where do you work]],tblCountries[[Actual]:[Mapping]],2,FALSE)</f>
        <v>Ireland</v>
      </c>
      <c r="L16" t="s">
        <v>18</v>
      </c>
    </row>
    <row r="17" spans="2:12" ht="15" customHeight="1">
      <c r="B17" t="s">
        <v>2020</v>
      </c>
      <c r="C17" s="1">
        <v>41054.155509259261</v>
      </c>
      <c r="D17" s="4">
        <v>14000</v>
      </c>
      <c r="E17">
        <v>14000</v>
      </c>
      <c r="F17" t="s">
        <v>6</v>
      </c>
      <c r="G17">
        <f>tblSalaries[[#This Row],[clean Salary (in local currency)]]*VLOOKUP(tblSalaries[[#This Row],[Currency]],tblXrate[],2,FALSE)</f>
        <v>14000</v>
      </c>
      <c r="H17" t="s">
        <v>37</v>
      </c>
      <c r="I17" t="s">
        <v>279</v>
      </c>
      <c r="J17" t="s">
        <v>38</v>
      </c>
      <c r="K17" t="str">
        <f>VLOOKUP(tblSalaries[[#This Row],[Where do you work]],tblCountries[[Actual]:[Mapping]],2,FALSE)</f>
        <v>Hungary</v>
      </c>
      <c r="L17" t="s">
        <v>9</v>
      </c>
    </row>
    <row r="18" spans="2:12" ht="15" customHeight="1">
      <c r="B18" t="s">
        <v>2021</v>
      </c>
      <c r="C18" s="1">
        <v>41054.158946759257</v>
      </c>
      <c r="D18" s="4" t="s">
        <v>39</v>
      </c>
      <c r="E18">
        <v>749000</v>
      </c>
      <c r="F18" t="s">
        <v>40</v>
      </c>
      <c r="G18">
        <f>tblSalaries[[#This Row],[clean Salary (in local currency)]]*VLOOKUP(tblSalaries[[#This Row],[Currency]],tblXrate[],2,FALSE)</f>
        <v>13338.129598894484</v>
      </c>
      <c r="H18" t="s">
        <v>41</v>
      </c>
      <c r="I18" t="s">
        <v>20</v>
      </c>
      <c r="J18" t="s">
        <v>8</v>
      </c>
      <c r="K18" t="str">
        <f>VLOOKUP(tblSalaries[[#This Row],[Where do you work]],tblCountries[[Actual]:[Mapping]],2,FALSE)</f>
        <v>India</v>
      </c>
      <c r="L18" t="s">
        <v>13</v>
      </c>
    </row>
    <row r="19" spans="2:12" ht="15" customHeight="1">
      <c r="B19" t="s">
        <v>2022</v>
      </c>
      <c r="C19" s="1">
        <v>41054.160393518519</v>
      </c>
      <c r="D19" s="4">
        <v>49000</v>
      </c>
      <c r="E19">
        <v>49000</v>
      </c>
      <c r="F19" t="s">
        <v>6</v>
      </c>
      <c r="G19">
        <f>tblSalaries[[#This Row],[clean Salary (in local currency)]]*VLOOKUP(tblSalaries[[#This Row],[Currency]],tblXrate[],2,FALSE)</f>
        <v>49000</v>
      </c>
      <c r="H19" t="s">
        <v>42</v>
      </c>
      <c r="I19" t="s">
        <v>20</v>
      </c>
      <c r="J19" t="s">
        <v>15</v>
      </c>
      <c r="K19" t="str">
        <f>VLOOKUP(tblSalaries[[#This Row],[Where do you work]],tblCountries[[Actual]:[Mapping]],2,FALSE)</f>
        <v>USA</v>
      </c>
      <c r="L19" t="s">
        <v>13</v>
      </c>
    </row>
    <row r="20" spans="2:12" ht="15" customHeight="1">
      <c r="B20" t="s">
        <v>2023</v>
      </c>
      <c r="C20" s="1">
        <v>41054.162060185183</v>
      </c>
      <c r="D20" s="4">
        <v>85000</v>
      </c>
      <c r="E20">
        <v>85000</v>
      </c>
      <c r="F20" t="s">
        <v>6</v>
      </c>
      <c r="G20">
        <f>tblSalaries[[#This Row],[clean Salary (in local currency)]]*VLOOKUP(tblSalaries[[#This Row],[Currency]],tblXrate[],2,FALSE)</f>
        <v>85000</v>
      </c>
      <c r="H20" t="s">
        <v>43</v>
      </c>
      <c r="I20" t="s">
        <v>279</v>
      </c>
      <c r="J20" t="s">
        <v>15</v>
      </c>
      <c r="K20" t="str">
        <f>VLOOKUP(tblSalaries[[#This Row],[Where do you work]],tblCountries[[Actual]:[Mapping]],2,FALSE)</f>
        <v>USA</v>
      </c>
      <c r="L20" t="s">
        <v>25</v>
      </c>
    </row>
    <row r="21" spans="2:12" ht="15" customHeight="1">
      <c r="B21" t="s">
        <v>2024</v>
      </c>
      <c r="C21" s="1">
        <v>41054.164351851854</v>
      </c>
      <c r="D21" s="4">
        <v>75000</v>
      </c>
      <c r="E21">
        <v>75000</v>
      </c>
      <c r="F21" t="s">
        <v>6</v>
      </c>
      <c r="G21">
        <f>tblSalaries[[#This Row],[clean Salary (in local currency)]]*VLOOKUP(tblSalaries[[#This Row],[Currency]],tblXrate[],2,FALSE)</f>
        <v>75000</v>
      </c>
      <c r="H21" t="s">
        <v>44</v>
      </c>
      <c r="I21" t="s">
        <v>279</v>
      </c>
      <c r="J21" t="s">
        <v>15</v>
      </c>
      <c r="K21" t="str">
        <f>VLOOKUP(tblSalaries[[#This Row],[Where do you work]],tblCountries[[Actual]:[Mapping]],2,FALSE)</f>
        <v>USA</v>
      </c>
      <c r="L21" t="s">
        <v>13</v>
      </c>
    </row>
    <row r="22" spans="2:12" ht="15" customHeight="1">
      <c r="B22" t="s">
        <v>2025</v>
      </c>
      <c r="C22" s="1">
        <v>41054.173738425925</v>
      </c>
      <c r="D22" s="4">
        <v>107000</v>
      </c>
      <c r="E22">
        <v>107000</v>
      </c>
      <c r="F22" t="s">
        <v>6</v>
      </c>
      <c r="G22">
        <f>tblSalaries[[#This Row],[clean Salary (in local currency)]]*VLOOKUP(tblSalaries[[#This Row],[Currency]],tblXrate[],2,FALSE)</f>
        <v>107000</v>
      </c>
      <c r="H22" t="s">
        <v>45</v>
      </c>
      <c r="I22" t="s">
        <v>52</v>
      </c>
      <c r="J22" t="s">
        <v>46</v>
      </c>
      <c r="K22" t="str">
        <f>VLOOKUP(tblSalaries[[#This Row],[Where do you work]],tblCountries[[Actual]:[Mapping]],2,FALSE)</f>
        <v>Switzerland</v>
      </c>
      <c r="L22" t="s">
        <v>9</v>
      </c>
    </row>
    <row r="23" spans="2:12" ht="15" customHeight="1">
      <c r="B23" t="s">
        <v>2026</v>
      </c>
      <c r="C23" s="1">
        <v>41054.174120370371</v>
      </c>
      <c r="D23" s="4">
        <v>45000</v>
      </c>
      <c r="E23">
        <v>45000</v>
      </c>
      <c r="F23" t="s">
        <v>6</v>
      </c>
      <c r="G23">
        <f>tblSalaries[[#This Row],[clean Salary (in local currency)]]*VLOOKUP(tblSalaries[[#This Row],[Currency]],tblXrate[],2,FALSE)</f>
        <v>45000</v>
      </c>
      <c r="H23" t="s">
        <v>47</v>
      </c>
      <c r="I23" t="s">
        <v>3999</v>
      </c>
      <c r="J23" t="s">
        <v>48</v>
      </c>
      <c r="K23" t="str">
        <f>VLOOKUP(tblSalaries[[#This Row],[Where do you work]],tblCountries[[Actual]:[Mapping]],2,FALSE)</f>
        <v>South Africa</v>
      </c>
      <c r="L23" t="s">
        <v>13</v>
      </c>
    </row>
    <row r="24" spans="2:12" ht="15" customHeight="1">
      <c r="B24" t="s">
        <v>2027</v>
      </c>
      <c r="C24" s="1">
        <v>41054.178148148145</v>
      </c>
      <c r="D24" s="4">
        <v>550000</v>
      </c>
      <c r="E24">
        <v>550000</v>
      </c>
      <c r="F24" t="s">
        <v>40</v>
      </c>
      <c r="G24">
        <f>tblSalaries[[#This Row],[clean Salary (in local currency)]]*VLOOKUP(tblSalaries[[#This Row],[Currency]],tblXrate[],2,FALSE)</f>
        <v>9794.354178093412</v>
      </c>
      <c r="H24" t="s">
        <v>49</v>
      </c>
      <c r="I24" t="s">
        <v>52</v>
      </c>
      <c r="J24" t="s">
        <v>8</v>
      </c>
      <c r="K24" t="str">
        <f>VLOOKUP(tblSalaries[[#This Row],[Where do you work]],tblCountries[[Actual]:[Mapping]],2,FALSE)</f>
        <v>India</v>
      </c>
      <c r="L24" t="s">
        <v>18</v>
      </c>
    </row>
    <row r="25" spans="2:12" ht="15" customHeight="1">
      <c r="B25" t="s">
        <v>2028</v>
      </c>
      <c r="C25" s="1">
        <v>41054.180115740739</v>
      </c>
      <c r="D25" s="4">
        <v>50000</v>
      </c>
      <c r="E25">
        <v>50000</v>
      </c>
      <c r="F25" t="s">
        <v>6</v>
      </c>
      <c r="G25">
        <f>tblSalaries[[#This Row],[clean Salary (in local currency)]]*VLOOKUP(tblSalaries[[#This Row],[Currency]],tblXrate[],2,FALSE)</f>
        <v>50000</v>
      </c>
      <c r="H25" t="s">
        <v>50</v>
      </c>
      <c r="I25" t="s">
        <v>52</v>
      </c>
      <c r="J25" t="s">
        <v>8</v>
      </c>
      <c r="K25" t="str">
        <f>VLOOKUP(tblSalaries[[#This Row],[Where do you work]],tblCountries[[Actual]:[Mapping]],2,FALSE)</f>
        <v>India</v>
      </c>
      <c r="L25" t="s">
        <v>25</v>
      </c>
    </row>
    <row r="26" spans="2:12" ht="15" customHeight="1">
      <c r="B26" t="s">
        <v>2029</v>
      </c>
      <c r="C26" s="1">
        <v>41054.183344907404</v>
      </c>
      <c r="D26" s="4">
        <v>13500</v>
      </c>
      <c r="E26">
        <v>13500</v>
      </c>
      <c r="F26" t="s">
        <v>6</v>
      </c>
      <c r="G26">
        <f>tblSalaries[[#This Row],[clean Salary (in local currency)]]*VLOOKUP(tblSalaries[[#This Row],[Currency]],tblXrate[],2,FALSE)</f>
        <v>13500</v>
      </c>
      <c r="H26" t="s">
        <v>51</v>
      </c>
      <c r="I26" t="s">
        <v>52</v>
      </c>
      <c r="J26" t="s">
        <v>8</v>
      </c>
      <c r="K26" t="str">
        <f>VLOOKUP(tblSalaries[[#This Row],[Where do you work]],tblCountries[[Actual]:[Mapping]],2,FALSE)</f>
        <v>India</v>
      </c>
      <c r="L26" t="s">
        <v>9</v>
      </c>
    </row>
    <row r="27" spans="2:12" ht="15" customHeight="1">
      <c r="B27" t="s">
        <v>2030</v>
      </c>
      <c r="C27" s="1">
        <v>41054.183472222219</v>
      </c>
      <c r="D27" s="4">
        <v>96000</v>
      </c>
      <c r="E27">
        <v>96000</v>
      </c>
      <c r="F27" t="s">
        <v>6</v>
      </c>
      <c r="G27">
        <f>tblSalaries[[#This Row],[clean Salary (in local currency)]]*VLOOKUP(tblSalaries[[#This Row],[Currency]],tblXrate[],2,FALSE)</f>
        <v>96000</v>
      </c>
      <c r="H27" t="s">
        <v>20</v>
      </c>
      <c r="I27" t="s">
        <v>20</v>
      </c>
      <c r="J27" t="s">
        <v>15</v>
      </c>
      <c r="K27" t="str">
        <f>VLOOKUP(tblSalaries[[#This Row],[Where do you work]],tblCountries[[Actual]:[Mapping]],2,FALSE)</f>
        <v>USA</v>
      </c>
      <c r="L27" t="s">
        <v>18</v>
      </c>
    </row>
    <row r="28" spans="2:12" ht="15" customHeight="1">
      <c r="B28" t="s">
        <v>2031</v>
      </c>
      <c r="C28" s="1">
        <v>41054.188668981478</v>
      </c>
      <c r="D28" s="4">
        <v>1000000</v>
      </c>
      <c r="E28">
        <v>1000000</v>
      </c>
      <c r="F28" t="s">
        <v>40</v>
      </c>
      <c r="G28">
        <f>tblSalaries[[#This Row],[clean Salary (in local currency)]]*VLOOKUP(tblSalaries[[#This Row],[Currency]],tblXrate[],2,FALSE)</f>
        <v>17807.916687442568</v>
      </c>
      <c r="H28" t="s">
        <v>52</v>
      </c>
      <c r="I28" t="s">
        <v>52</v>
      </c>
      <c r="J28" t="s">
        <v>8</v>
      </c>
      <c r="K28" t="str">
        <f>VLOOKUP(tblSalaries[[#This Row],[Where do you work]],tblCountries[[Actual]:[Mapping]],2,FALSE)</f>
        <v>India</v>
      </c>
      <c r="L28" t="s">
        <v>9</v>
      </c>
    </row>
    <row r="29" spans="2:12" ht="15" customHeight="1">
      <c r="B29" t="s">
        <v>2032</v>
      </c>
      <c r="C29" s="1">
        <v>41054.189456018517</v>
      </c>
      <c r="D29" s="4">
        <v>75000</v>
      </c>
      <c r="E29">
        <v>75000</v>
      </c>
      <c r="F29" t="s">
        <v>6</v>
      </c>
      <c r="G29">
        <f>tblSalaries[[#This Row],[clean Salary (in local currency)]]*VLOOKUP(tblSalaries[[#This Row],[Currency]],tblXrate[],2,FALSE)</f>
        <v>75000</v>
      </c>
      <c r="H29" t="s">
        <v>53</v>
      </c>
      <c r="I29" t="s">
        <v>4001</v>
      </c>
      <c r="J29" t="s">
        <v>15</v>
      </c>
      <c r="K29" t="str">
        <f>VLOOKUP(tblSalaries[[#This Row],[Where do you work]],tblCountries[[Actual]:[Mapping]],2,FALSE)</f>
        <v>USA</v>
      </c>
      <c r="L29" t="s">
        <v>9</v>
      </c>
    </row>
    <row r="30" spans="2:12" ht="15" customHeight="1">
      <c r="B30" t="s">
        <v>2033</v>
      </c>
      <c r="C30" s="1">
        <v>41054.197118055556</v>
      </c>
      <c r="D30" s="4" t="s">
        <v>54</v>
      </c>
      <c r="E30">
        <v>40000</v>
      </c>
      <c r="F30" t="s">
        <v>6</v>
      </c>
      <c r="G30">
        <f>tblSalaries[[#This Row],[clean Salary (in local currency)]]*VLOOKUP(tblSalaries[[#This Row],[Currency]],tblXrate[],2,FALSE)</f>
        <v>40000</v>
      </c>
      <c r="H30" t="s">
        <v>55</v>
      </c>
      <c r="I30" t="s">
        <v>52</v>
      </c>
      <c r="J30" t="s">
        <v>15</v>
      </c>
      <c r="K30" t="str">
        <f>VLOOKUP(tblSalaries[[#This Row],[Where do you work]],tblCountries[[Actual]:[Mapping]],2,FALSE)</f>
        <v>USA</v>
      </c>
      <c r="L30" t="s">
        <v>18</v>
      </c>
    </row>
    <row r="31" spans="2:12" ht="15" customHeight="1">
      <c r="B31" t="s">
        <v>2034</v>
      </c>
      <c r="C31" s="1">
        <v>41054.197928240741</v>
      </c>
      <c r="D31" s="4">
        <v>60000</v>
      </c>
      <c r="E31">
        <v>60000</v>
      </c>
      <c r="F31" t="s">
        <v>6</v>
      </c>
      <c r="G31">
        <f>tblSalaries[[#This Row],[clean Salary (in local currency)]]*VLOOKUP(tblSalaries[[#This Row],[Currency]],tblXrate[],2,FALSE)</f>
        <v>60000</v>
      </c>
      <c r="H31" t="s">
        <v>57</v>
      </c>
      <c r="I31" t="s">
        <v>20</v>
      </c>
      <c r="J31" t="s">
        <v>15</v>
      </c>
      <c r="K31" t="str">
        <f>VLOOKUP(tblSalaries[[#This Row],[Where do you work]],tblCountries[[Actual]:[Mapping]],2,FALSE)</f>
        <v>USA</v>
      </c>
      <c r="L31" t="s">
        <v>13</v>
      </c>
    </row>
    <row r="32" spans="2:12" ht="15" customHeight="1">
      <c r="B32" t="s">
        <v>2035</v>
      </c>
      <c r="C32" s="1">
        <v>41054.200381944444</v>
      </c>
      <c r="D32" s="4">
        <v>2700</v>
      </c>
      <c r="E32">
        <v>32400</v>
      </c>
      <c r="F32" t="s">
        <v>22</v>
      </c>
      <c r="G32">
        <f>tblSalaries[[#This Row],[clean Salary (in local currency)]]*VLOOKUP(tblSalaries[[#This Row],[Currency]],tblXrate[],2,FALSE)</f>
        <v>41160.941823328096</v>
      </c>
      <c r="H32" t="s">
        <v>58</v>
      </c>
      <c r="I32" t="s">
        <v>52</v>
      </c>
      <c r="J32" t="s">
        <v>59</v>
      </c>
      <c r="K32" t="str">
        <f>VLOOKUP(tblSalaries[[#This Row],[Where do you work]],tblCountries[[Actual]:[Mapping]],2,FALSE)</f>
        <v>Belgium</v>
      </c>
      <c r="L32" t="s">
        <v>9</v>
      </c>
    </row>
    <row r="33" spans="2:12" ht="15" customHeight="1">
      <c r="B33" t="s">
        <v>2036</v>
      </c>
      <c r="C33" s="1">
        <v>41054.203043981484</v>
      </c>
      <c r="D33" s="4" t="s">
        <v>60</v>
      </c>
      <c r="E33">
        <v>900000</v>
      </c>
      <c r="F33" t="s">
        <v>40</v>
      </c>
      <c r="G33">
        <f>tblSalaries[[#This Row],[clean Salary (in local currency)]]*VLOOKUP(tblSalaries[[#This Row],[Currency]],tblXrate[],2,FALSE)</f>
        <v>16027.125018698311</v>
      </c>
      <c r="H33" t="s">
        <v>61</v>
      </c>
      <c r="I33" t="s">
        <v>279</v>
      </c>
      <c r="J33" t="s">
        <v>8</v>
      </c>
      <c r="K33" t="str">
        <f>VLOOKUP(tblSalaries[[#This Row],[Where do you work]],tblCountries[[Actual]:[Mapping]],2,FALSE)</f>
        <v>India</v>
      </c>
      <c r="L33" t="s">
        <v>25</v>
      </c>
    </row>
    <row r="34" spans="2:12" ht="15" customHeight="1">
      <c r="B34" t="s">
        <v>2037</v>
      </c>
      <c r="C34" s="1">
        <v>41054.205266203702</v>
      </c>
      <c r="D34" s="4" t="s">
        <v>62</v>
      </c>
      <c r="E34">
        <v>600000</v>
      </c>
      <c r="F34" t="s">
        <v>40</v>
      </c>
      <c r="G34">
        <f>tblSalaries[[#This Row],[clean Salary (in local currency)]]*VLOOKUP(tblSalaries[[#This Row],[Currency]],tblXrate[],2,FALSE)</f>
        <v>10684.750012465542</v>
      </c>
      <c r="H34" t="s">
        <v>63</v>
      </c>
      <c r="I34" t="s">
        <v>52</v>
      </c>
      <c r="J34" t="s">
        <v>8</v>
      </c>
      <c r="K34" t="str">
        <f>VLOOKUP(tblSalaries[[#This Row],[Where do you work]],tblCountries[[Actual]:[Mapping]],2,FALSE)</f>
        <v>India</v>
      </c>
      <c r="L34" t="s">
        <v>9</v>
      </c>
    </row>
    <row r="35" spans="2:12" ht="15" customHeight="1">
      <c r="B35" t="s">
        <v>2038</v>
      </c>
      <c r="C35" s="1">
        <v>41054.205416666664</v>
      </c>
      <c r="D35" s="4">
        <v>41000</v>
      </c>
      <c r="E35">
        <v>41000</v>
      </c>
      <c r="F35" t="s">
        <v>6</v>
      </c>
      <c r="G35">
        <f>tblSalaries[[#This Row],[clean Salary (in local currency)]]*VLOOKUP(tblSalaries[[#This Row],[Currency]],tblXrate[],2,FALSE)</f>
        <v>41000</v>
      </c>
      <c r="H35" t="s">
        <v>64</v>
      </c>
      <c r="I35" t="s">
        <v>52</v>
      </c>
      <c r="J35" t="s">
        <v>65</v>
      </c>
      <c r="K35" t="str">
        <f>VLOOKUP(tblSalaries[[#This Row],[Where do you work]],tblCountries[[Actual]:[Mapping]],2,FALSE)</f>
        <v>Russia</v>
      </c>
      <c r="L35" t="s">
        <v>13</v>
      </c>
    </row>
    <row r="36" spans="2:12" ht="15" customHeight="1">
      <c r="B36" t="s">
        <v>2039</v>
      </c>
      <c r="C36" s="1">
        <v>41054.206319444442</v>
      </c>
      <c r="D36" s="4" t="s">
        <v>66</v>
      </c>
      <c r="E36">
        <v>360000</v>
      </c>
      <c r="F36" t="s">
        <v>40</v>
      </c>
      <c r="G36">
        <f>tblSalaries[[#This Row],[clean Salary (in local currency)]]*VLOOKUP(tblSalaries[[#This Row],[Currency]],tblXrate[],2,FALSE)</f>
        <v>6410.8500074793246</v>
      </c>
      <c r="H36" t="s">
        <v>67</v>
      </c>
      <c r="I36" t="s">
        <v>67</v>
      </c>
      <c r="J36" t="s">
        <v>8</v>
      </c>
      <c r="K36" t="str">
        <f>VLOOKUP(tblSalaries[[#This Row],[Where do you work]],tblCountries[[Actual]:[Mapping]],2,FALSE)</f>
        <v>India</v>
      </c>
      <c r="L36" t="s">
        <v>9</v>
      </c>
    </row>
    <row r="37" spans="2:12" ht="15" customHeight="1">
      <c r="B37" t="s">
        <v>2040</v>
      </c>
      <c r="C37" s="1">
        <v>41054.207465277781</v>
      </c>
      <c r="D37" s="4" t="s">
        <v>68</v>
      </c>
      <c r="E37">
        <v>35000</v>
      </c>
      <c r="F37" t="s">
        <v>69</v>
      </c>
      <c r="G37">
        <f>tblSalaries[[#This Row],[clean Salary (in local currency)]]*VLOOKUP(tblSalaries[[#This Row],[Currency]],tblXrate[],2,FALSE)</f>
        <v>55166.239522354947</v>
      </c>
      <c r="H37" t="s">
        <v>70</v>
      </c>
      <c r="I37" t="s">
        <v>20</v>
      </c>
      <c r="J37" t="s">
        <v>71</v>
      </c>
      <c r="K37" t="str">
        <f>VLOOKUP(tblSalaries[[#This Row],[Where do you work]],tblCountries[[Actual]:[Mapping]],2,FALSE)</f>
        <v>UK</v>
      </c>
      <c r="L37" t="s">
        <v>13</v>
      </c>
    </row>
    <row r="38" spans="2:12" ht="15" customHeight="1">
      <c r="B38" t="s">
        <v>2041</v>
      </c>
      <c r="C38" s="1">
        <v>41054.209131944444</v>
      </c>
      <c r="D38" s="4" t="s">
        <v>74</v>
      </c>
      <c r="E38">
        <v>19200</v>
      </c>
      <c r="F38" t="s">
        <v>6</v>
      </c>
      <c r="G38">
        <f>tblSalaries[[#This Row],[clean Salary (in local currency)]]*VLOOKUP(tblSalaries[[#This Row],[Currency]],tblXrate[],2,FALSE)</f>
        <v>19200</v>
      </c>
      <c r="H38" t="s">
        <v>20</v>
      </c>
      <c r="I38" t="s">
        <v>20</v>
      </c>
      <c r="J38" t="s">
        <v>75</v>
      </c>
      <c r="K38" t="str">
        <f>VLOOKUP(tblSalaries[[#This Row],[Where do you work]],tblCountries[[Actual]:[Mapping]],2,FALSE)</f>
        <v>Poland</v>
      </c>
      <c r="L38" t="s">
        <v>18</v>
      </c>
    </row>
    <row r="39" spans="2:12" ht="15" customHeight="1">
      <c r="B39" t="s">
        <v>2042</v>
      </c>
      <c r="C39" s="1">
        <v>41054.21125</v>
      </c>
      <c r="D39" s="4">
        <v>500000</v>
      </c>
      <c r="E39">
        <v>500000</v>
      </c>
      <c r="F39" t="s">
        <v>40</v>
      </c>
      <c r="G39">
        <f>tblSalaries[[#This Row],[clean Salary (in local currency)]]*VLOOKUP(tblSalaries[[#This Row],[Currency]],tblXrate[],2,FALSE)</f>
        <v>8903.9583437212841</v>
      </c>
      <c r="H39" t="s">
        <v>76</v>
      </c>
      <c r="I39" t="s">
        <v>356</v>
      </c>
      <c r="J39" t="s">
        <v>8</v>
      </c>
      <c r="K39" t="str">
        <f>VLOOKUP(tblSalaries[[#This Row],[Where do you work]],tblCountries[[Actual]:[Mapping]],2,FALSE)</f>
        <v>India</v>
      </c>
      <c r="L39" t="s">
        <v>13</v>
      </c>
    </row>
    <row r="40" spans="2:12" ht="15" customHeight="1">
      <c r="B40" t="s">
        <v>2043</v>
      </c>
      <c r="C40" s="1">
        <v>41054.213553240741</v>
      </c>
      <c r="D40" s="4">
        <v>150000</v>
      </c>
      <c r="E40">
        <v>150000</v>
      </c>
      <c r="F40" t="s">
        <v>6</v>
      </c>
      <c r="G40">
        <f>tblSalaries[[#This Row],[clean Salary (in local currency)]]*VLOOKUP(tblSalaries[[#This Row],[Currency]],tblXrate[],2,FALSE)</f>
        <v>150000</v>
      </c>
      <c r="H40" t="s">
        <v>77</v>
      </c>
      <c r="I40" t="s">
        <v>52</v>
      </c>
      <c r="J40" t="s">
        <v>15</v>
      </c>
      <c r="K40" t="str">
        <f>VLOOKUP(tblSalaries[[#This Row],[Where do you work]],tblCountries[[Actual]:[Mapping]],2,FALSE)</f>
        <v>USA</v>
      </c>
      <c r="L40" t="s">
        <v>18</v>
      </c>
    </row>
    <row r="41" spans="2:12" ht="15" customHeight="1">
      <c r="B41" t="s">
        <v>2044</v>
      </c>
      <c r="C41" s="1">
        <v>41054.215613425928</v>
      </c>
      <c r="D41" s="4">
        <v>69000</v>
      </c>
      <c r="E41">
        <v>69000</v>
      </c>
      <c r="F41" t="s">
        <v>6</v>
      </c>
      <c r="G41">
        <f>tblSalaries[[#This Row],[clean Salary (in local currency)]]*VLOOKUP(tblSalaries[[#This Row],[Currency]],tblXrate[],2,FALSE)</f>
        <v>69000</v>
      </c>
      <c r="H41" t="s">
        <v>78</v>
      </c>
      <c r="I41" t="s">
        <v>279</v>
      </c>
      <c r="J41" t="s">
        <v>15</v>
      </c>
      <c r="K41" t="str">
        <f>VLOOKUP(tblSalaries[[#This Row],[Where do you work]],tblCountries[[Actual]:[Mapping]],2,FALSE)</f>
        <v>USA</v>
      </c>
      <c r="L41" t="s">
        <v>9</v>
      </c>
    </row>
    <row r="42" spans="2:12" ht="15" customHeight="1">
      <c r="B42" t="s">
        <v>2045</v>
      </c>
      <c r="C42" s="1">
        <v>41054.216400462959</v>
      </c>
      <c r="D42" s="4">
        <v>30000</v>
      </c>
      <c r="E42">
        <v>30000</v>
      </c>
      <c r="F42" t="s">
        <v>6</v>
      </c>
      <c r="G42">
        <f>tblSalaries[[#This Row],[clean Salary (in local currency)]]*VLOOKUP(tblSalaries[[#This Row],[Currency]],tblXrate[],2,FALSE)</f>
        <v>30000</v>
      </c>
      <c r="H42" t="s">
        <v>79</v>
      </c>
      <c r="I42" t="s">
        <v>356</v>
      </c>
      <c r="J42" t="s">
        <v>15</v>
      </c>
      <c r="K42" t="str">
        <f>VLOOKUP(tblSalaries[[#This Row],[Where do you work]],tblCountries[[Actual]:[Mapping]],2,FALSE)</f>
        <v>USA</v>
      </c>
      <c r="L42" t="s">
        <v>18</v>
      </c>
    </row>
    <row r="43" spans="2:12" ht="15" customHeight="1">
      <c r="B43" t="s">
        <v>2046</v>
      </c>
      <c r="C43" s="1">
        <v>41054.217939814815</v>
      </c>
      <c r="D43" s="4" t="s">
        <v>80</v>
      </c>
      <c r="E43">
        <v>400000</v>
      </c>
      <c r="F43" t="s">
        <v>40</v>
      </c>
      <c r="G43">
        <f>tblSalaries[[#This Row],[clean Salary (in local currency)]]*VLOOKUP(tblSalaries[[#This Row],[Currency]],tblXrate[],2,FALSE)</f>
        <v>7123.1666749770275</v>
      </c>
      <c r="H43" t="s">
        <v>81</v>
      </c>
      <c r="I43" t="s">
        <v>52</v>
      </c>
      <c r="J43" t="s">
        <v>8</v>
      </c>
      <c r="K43" t="str">
        <f>VLOOKUP(tblSalaries[[#This Row],[Where do you work]],tblCountries[[Actual]:[Mapping]],2,FALSE)</f>
        <v>India</v>
      </c>
      <c r="L43" t="s">
        <v>9</v>
      </c>
    </row>
    <row r="44" spans="2:12" ht="15" customHeight="1">
      <c r="B44" t="s">
        <v>2047</v>
      </c>
      <c r="C44" s="1">
        <v>41054.221388888887</v>
      </c>
      <c r="D44" s="4">
        <v>70000</v>
      </c>
      <c r="E44">
        <v>70000</v>
      </c>
      <c r="F44" t="s">
        <v>82</v>
      </c>
      <c r="G44">
        <f>tblSalaries[[#This Row],[clean Salary (in local currency)]]*VLOOKUP(tblSalaries[[#This Row],[Currency]],tblXrate[],2,FALSE)</f>
        <v>71393.675948184507</v>
      </c>
      <c r="H44" t="s">
        <v>83</v>
      </c>
      <c r="I44" t="s">
        <v>356</v>
      </c>
      <c r="J44" t="s">
        <v>84</v>
      </c>
      <c r="K44" t="str">
        <f>VLOOKUP(tblSalaries[[#This Row],[Where do you work]],tblCountries[[Actual]:[Mapping]],2,FALSE)</f>
        <v>Australia</v>
      </c>
      <c r="L44" t="s">
        <v>18</v>
      </c>
    </row>
    <row r="45" spans="2:12" ht="15" customHeight="1">
      <c r="B45" t="s">
        <v>2048</v>
      </c>
      <c r="C45" s="1">
        <v>41054.222337962965</v>
      </c>
      <c r="D45" s="4">
        <v>14500</v>
      </c>
      <c r="E45">
        <v>14500</v>
      </c>
      <c r="F45" t="s">
        <v>6</v>
      </c>
      <c r="G45">
        <f>tblSalaries[[#This Row],[clean Salary (in local currency)]]*VLOOKUP(tblSalaries[[#This Row],[Currency]],tblXrate[],2,FALSE)</f>
        <v>14500</v>
      </c>
      <c r="H45" t="s">
        <v>85</v>
      </c>
      <c r="I45" t="s">
        <v>20</v>
      </c>
      <c r="J45" t="s">
        <v>8</v>
      </c>
      <c r="K45" t="str">
        <f>VLOOKUP(tblSalaries[[#This Row],[Where do you work]],tblCountries[[Actual]:[Mapping]],2,FALSE)</f>
        <v>India</v>
      </c>
      <c r="L45" t="s">
        <v>9</v>
      </c>
    </row>
    <row r="46" spans="2:12" ht="15" customHeight="1">
      <c r="B46" t="s">
        <v>2049</v>
      </c>
      <c r="C46" s="1">
        <v>41054.229618055557</v>
      </c>
      <c r="D46" s="4">
        <v>70000</v>
      </c>
      <c r="E46">
        <v>70000</v>
      </c>
      <c r="F46" t="s">
        <v>86</v>
      </c>
      <c r="G46">
        <f>tblSalaries[[#This Row],[clean Salary (in local currency)]]*VLOOKUP(tblSalaries[[#This Row],[Currency]],tblXrate[],2,FALSE)</f>
        <v>68835.306612122877</v>
      </c>
      <c r="H46" t="s">
        <v>87</v>
      </c>
      <c r="I46" t="s">
        <v>279</v>
      </c>
      <c r="J46" t="s">
        <v>88</v>
      </c>
      <c r="K46" t="str">
        <f>VLOOKUP(tblSalaries[[#This Row],[Where do you work]],tblCountries[[Actual]:[Mapping]],2,FALSE)</f>
        <v>Canada</v>
      </c>
      <c r="L46" t="s">
        <v>18</v>
      </c>
    </row>
    <row r="47" spans="2:12" ht="15" customHeight="1">
      <c r="B47" t="s">
        <v>2050</v>
      </c>
      <c r="C47" s="1">
        <v>41054.23296296296</v>
      </c>
      <c r="D47" s="4">
        <v>58000</v>
      </c>
      <c r="E47">
        <v>58000</v>
      </c>
      <c r="F47" t="s">
        <v>6</v>
      </c>
      <c r="G47">
        <f>tblSalaries[[#This Row],[clean Salary (in local currency)]]*VLOOKUP(tblSalaries[[#This Row],[Currency]],tblXrate[],2,FALSE)</f>
        <v>58000</v>
      </c>
      <c r="H47" t="s">
        <v>89</v>
      </c>
      <c r="I47" t="s">
        <v>310</v>
      </c>
      <c r="J47" t="s">
        <v>15</v>
      </c>
      <c r="K47" t="str">
        <f>VLOOKUP(tblSalaries[[#This Row],[Where do you work]],tblCountries[[Actual]:[Mapping]],2,FALSE)</f>
        <v>USA</v>
      </c>
      <c r="L47" t="s">
        <v>9</v>
      </c>
    </row>
    <row r="48" spans="2:12" ht="15" customHeight="1">
      <c r="B48" t="s">
        <v>2051</v>
      </c>
      <c r="C48" s="1">
        <v>41054.239594907405</v>
      </c>
      <c r="D48" s="4">
        <v>90000</v>
      </c>
      <c r="E48">
        <v>90000</v>
      </c>
      <c r="F48" t="s">
        <v>6</v>
      </c>
      <c r="G48">
        <f>tblSalaries[[#This Row],[clean Salary (in local currency)]]*VLOOKUP(tblSalaries[[#This Row],[Currency]],tblXrate[],2,FALSE)</f>
        <v>90000</v>
      </c>
      <c r="H48" t="s">
        <v>90</v>
      </c>
      <c r="I48" t="s">
        <v>4000</v>
      </c>
      <c r="J48" t="s">
        <v>15</v>
      </c>
      <c r="K48" t="str">
        <f>VLOOKUP(tblSalaries[[#This Row],[Where do you work]],tblCountries[[Actual]:[Mapping]],2,FALSE)</f>
        <v>USA</v>
      </c>
      <c r="L48" t="s">
        <v>25</v>
      </c>
    </row>
    <row r="49" spans="2:12" ht="15" customHeight="1">
      <c r="B49" t="s">
        <v>2052</v>
      </c>
      <c r="C49" s="1">
        <v>41054.24082175926</v>
      </c>
      <c r="D49" s="4">
        <v>800000</v>
      </c>
      <c r="E49">
        <v>800000</v>
      </c>
      <c r="F49" t="s">
        <v>40</v>
      </c>
      <c r="G49">
        <f>tblSalaries[[#This Row],[clean Salary (in local currency)]]*VLOOKUP(tblSalaries[[#This Row],[Currency]],tblXrate[],2,FALSE)</f>
        <v>14246.333349954055</v>
      </c>
      <c r="H49" t="s">
        <v>91</v>
      </c>
      <c r="I49" t="s">
        <v>52</v>
      </c>
      <c r="J49" t="s">
        <v>8</v>
      </c>
      <c r="K49" t="str">
        <f>VLOOKUP(tblSalaries[[#This Row],[Where do you work]],tblCountries[[Actual]:[Mapping]],2,FALSE)</f>
        <v>India</v>
      </c>
      <c r="L49" t="s">
        <v>18</v>
      </c>
    </row>
    <row r="50" spans="2:12" ht="15" customHeight="1">
      <c r="B50" t="s">
        <v>2053</v>
      </c>
      <c r="C50" s="1">
        <v>41054.241087962961</v>
      </c>
      <c r="D50" s="4">
        <v>32000</v>
      </c>
      <c r="E50">
        <v>32000</v>
      </c>
      <c r="F50" t="s">
        <v>69</v>
      </c>
      <c r="G50">
        <f>tblSalaries[[#This Row],[clean Salary (in local currency)]]*VLOOKUP(tblSalaries[[#This Row],[Currency]],tblXrate[],2,FALSE)</f>
        <v>50437.70470615309</v>
      </c>
      <c r="H50" t="s">
        <v>92</v>
      </c>
      <c r="I50" t="s">
        <v>20</v>
      </c>
      <c r="J50" t="s">
        <v>71</v>
      </c>
      <c r="K50" t="str">
        <f>VLOOKUP(tblSalaries[[#This Row],[Where do you work]],tblCountries[[Actual]:[Mapping]],2,FALSE)</f>
        <v>UK</v>
      </c>
      <c r="L50" t="s">
        <v>9</v>
      </c>
    </row>
    <row r="51" spans="2:12" ht="15" customHeight="1">
      <c r="B51" t="s">
        <v>2054</v>
      </c>
      <c r="C51" s="1">
        <v>41054.241574074076</v>
      </c>
      <c r="D51" s="4">
        <v>1000</v>
      </c>
      <c r="E51">
        <v>12000</v>
      </c>
      <c r="F51" t="s">
        <v>6</v>
      </c>
      <c r="G51">
        <f>tblSalaries[[#This Row],[clean Salary (in local currency)]]*VLOOKUP(tblSalaries[[#This Row],[Currency]],tblXrate[],2,FALSE)</f>
        <v>12000</v>
      </c>
      <c r="H51" t="s">
        <v>93</v>
      </c>
      <c r="I51" t="s">
        <v>356</v>
      </c>
      <c r="J51" t="s">
        <v>15</v>
      </c>
      <c r="K51" t="str">
        <f>VLOOKUP(tblSalaries[[#This Row],[Where do you work]],tblCountries[[Actual]:[Mapping]],2,FALSE)</f>
        <v>USA</v>
      </c>
      <c r="L51" t="s">
        <v>25</v>
      </c>
    </row>
    <row r="52" spans="2:12" ht="15" customHeight="1">
      <c r="B52" t="s">
        <v>2055</v>
      </c>
      <c r="C52" s="1">
        <v>41054.253263888888</v>
      </c>
      <c r="D52" s="4" t="s">
        <v>94</v>
      </c>
      <c r="E52">
        <v>45000</v>
      </c>
      <c r="F52" t="s">
        <v>22</v>
      </c>
      <c r="G52">
        <f>tblSalaries[[#This Row],[clean Salary (in local currency)]]*VLOOKUP(tblSalaries[[#This Row],[Currency]],tblXrate[],2,FALSE)</f>
        <v>57167.974754622352</v>
      </c>
      <c r="H52" t="s">
        <v>95</v>
      </c>
      <c r="I52" t="s">
        <v>52</v>
      </c>
      <c r="J52" t="s">
        <v>96</v>
      </c>
      <c r="K52" t="str">
        <f>VLOOKUP(tblSalaries[[#This Row],[Where do you work]],tblCountries[[Actual]:[Mapping]],2,FALSE)</f>
        <v>Netherlands</v>
      </c>
      <c r="L52" t="s">
        <v>9</v>
      </c>
    </row>
    <row r="53" spans="2:12" ht="15" customHeight="1">
      <c r="B53" t="s">
        <v>2056</v>
      </c>
      <c r="C53" s="1">
        <v>41054.253437500003</v>
      </c>
      <c r="D53" s="4" t="s">
        <v>97</v>
      </c>
      <c r="E53">
        <v>100000</v>
      </c>
      <c r="F53" t="s">
        <v>6</v>
      </c>
      <c r="G53">
        <f>tblSalaries[[#This Row],[clean Salary (in local currency)]]*VLOOKUP(tblSalaries[[#This Row],[Currency]],tblXrate[],2,FALSE)</f>
        <v>100000</v>
      </c>
      <c r="H53" t="s">
        <v>98</v>
      </c>
      <c r="I53" t="s">
        <v>20</v>
      </c>
      <c r="J53" t="s">
        <v>24</v>
      </c>
      <c r="K53" t="str">
        <f>VLOOKUP(tblSalaries[[#This Row],[Where do you work]],tblCountries[[Actual]:[Mapping]],2,FALSE)</f>
        <v>Germany</v>
      </c>
      <c r="L53" t="s">
        <v>13</v>
      </c>
    </row>
    <row r="54" spans="2:12" ht="15" customHeight="1">
      <c r="B54" t="s">
        <v>2057</v>
      </c>
      <c r="C54" s="1">
        <v>41054.253668981481</v>
      </c>
      <c r="D54" s="4">
        <v>57000</v>
      </c>
      <c r="E54">
        <v>57000</v>
      </c>
      <c r="F54" t="s">
        <v>6</v>
      </c>
      <c r="G54">
        <f>tblSalaries[[#This Row],[clean Salary (in local currency)]]*VLOOKUP(tblSalaries[[#This Row],[Currency]],tblXrate[],2,FALSE)</f>
        <v>57000</v>
      </c>
      <c r="H54" t="s">
        <v>99</v>
      </c>
      <c r="I54" t="s">
        <v>310</v>
      </c>
      <c r="J54" t="s">
        <v>15</v>
      </c>
      <c r="K54" t="str">
        <f>VLOOKUP(tblSalaries[[#This Row],[Where do you work]],tblCountries[[Actual]:[Mapping]],2,FALSE)</f>
        <v>USA</v>
      </c>
      <c r="L54" t="s">
        <v>18</v>
      </c>
    </row>
    <row r="55" spans="2:12" ht="15" customHeight="1">
      <c r="B55" t="s">
        <v>2058</v>
      </c>
      <c r="C55" s="1">
        <v>41054.25503472222</v>
      </c>
      <c r="D55" s="4">
        <v>40000</v>
      </c>
      <c r="E55">
        <v>40000</v>
      </c>
      <c r="F55" t="s">
        <v>69</v>
      </c>
      <c r="G55">
        <f>tblSalaries[[#This Row],[clean Salary (in local currency)]]*VLOOKUP(tblSalaries[[#This Row],[Currency]],tblXrate[],2,FALSE)</f>
        <v>63047.130882691366</v>
      </c>
      <c r="H55" t="s">
        <v>89</v>
      </c>
      <c r="I55" t="s">
        <v>310</v>
      </c>
      <c r="J55" t="s">
        <v>71</v>
      </c>
      <c r="K55" t="str">
        <f>VLOOKUP(tblSalaries[[#This Row],[Where do you work]],tblCountries[[Actual]:[Mapping]],2,FALSE)</f>
        <v>UK</v>
      </c>
      <c r="L55" t="s">
        <v>9</v>
      </c>
    </row>
    <row r="56" spans="2:12" ht="15" customHeight="1">
      <c r="B56" t="s">
        <v>2059</v>
      </c>
      <c r="C56" s="1">
        <v>41054.25675925926</v>
      </c>
      <c r="D56" s="4" t="s">
        <v>100</v>
      </c>
      <c r="E56">
        <v>24000</v>
      </c>
      <c r="F56" t="s">
        <v>22</v>
      </c>
      <c r="G56">
        <f>tblSalaries[[#This Row],[clean Salary (in local currency)]]*VLOOKUP(tblSalaries[[#This Row],[Currency]],tblXrate[],2,FALSE)</f>
        <v>30489.586535798586</v>
      </c>
      <c r="H56" t="s">
        <v>101</v>
      </c>
      <c r="I56" t="s">
        <v>52</v>
      </c>
      <c r="J56" t="s">
        <v>24</v>
      </c>
      <c r="K56" t="str">
        <f>VLOOKUP(tblSalaries[[#This Row],[Where do you work]],tblCountries[[Actual]:[Mapping]],2,FALSE)</f>
        <v>Germany</v>
      </c>
      <c r="L56" t="s">
        <v>13</v>
      </c>
    </row>
    <row r="57" spans="2:12" ht="15" customHeight="1">
      <c r="B57" t="s">
        <v>2060</v>
      </c>
      <c r="C57" s="1">
        <v>41054.257152777776</v>
      </c>
      <c r="D57" s="4">
        <v>4320</v>
      </c>
      <c r="E57">
        <v>4320</v>
      </c>
      <c r="F57" t="s">
        <v>6</v>
      </c>
      <c r="G57">
        <f>tblSalaries[[#This Row],[clean Salary (in local currency)]]*VLOOKUP(tblSalaries[[#This Row],[Currency]],tblXrate[],2,FALSE)</f>
        <v>4320</v>
      </c>
      <c r="H57" t="s">
        <v>102</v>
      </c>
      <c r="I57" t="s">
        <v>310</v>
      </c>
      <c r="J57" t="s">
        <v>8</v>
      </c>
      <c r="K57" t="str">
        <f>VLOOKUP(tblSalaries[[#This Row],[Where do you work]],tblCountries[[Actual]:[Mapping]],2,FALSE)</f>
        <v>India</v>
      </c>
      <c r="L57" t="s">
        <v>18</v>
      </c>
    </row>
    <row r="58" spans="2:12" ht="15" customHeight="1">
      <c r="B58" t="s">
        <v>2061</v>
      </c>
      <c r="C58" s="1">
        <v>41054.26090277778</v>
      </c>
      <c r="D58" s="4">
        <v>62000</v>
      </c>
      <c r="E58">
        <v>62000</v>
      </c>
      <c r="F58" t="s">
        <v>6</v>
      </c>
      <c r="G58">
        <f>tblSalaries[[#This Row],[clean Salary (in local currency)]]*VLOOKUP(tblSalaries[[#This Row],[Currency]],tblXrate[],2,FALSE)</f>
        <v>62000</v>
      </c>
      <c r="H58" t="s">
        <v>20</v>
      </c>
      <c r="I58" t="s">
        <v>20</v>
      </c>
      <c r="J58" t="s">
        <v>15</v>
      </c>
      <c r="K58" t="str">
        <f>VLOOKUP(tblSalaries[[#This Row],[Where do you work]],tblCountries[[Actual]:[Mapping]],2,FALSE)</f>
        <v>USA</v>
      </c>
      <c r="L58" t="s">
        <v>9</v>
      </c>
    </row>
    <row r="59" spans="2:12" ht="15" customHeight="1">
      <c r="B59" t="s">
        <v>2062</v>
      </c>
      <c r="C59" s="1">
        <v>41054.268564814818</v>
      </c>
      <c r="D59" s="4">
        <v>7500</v>
      </c>
      <c r="E59">
        <v>7500</v>
      </c>
      <c r="F59" t="s">
        <v>6</v>
      </c>
      <c r="G59">
        <f>tblSalaries[[#This Row],[clean Salary (in local currency)]]*VLOOKUP(tblSalaries[[#This Row],[Currency]],tblXrate[],2,FALSE)</f>
        <v>7500</v>
      </c>
      <c r="H59" t="s">
        <v>20</v>
      </c>
      <c r="I59" t="s">
        <v>20</v>
      </c>
      <c r="J59" t="s">
        <v>8</v>
      </c>
      <c r="K59" t="str">
        <f>VLOOKUP(tblSalaries[[#This Row],[Where do you work]],tblCountries[[Actual]:[Mapping]],2,FALSE)</f>
        <v>India</v>
      </c>
      <c r="L59" t="s">
        <v>9</v>
      </c>
    </row>
    <row r="60" spans="2:12" ht="15" customHeight="1">
      <c r="B60" t="s">
        <v>2063</v>
      </c>
      <c r="C60" s="1">
        <v>41054.269085648149</v>
      </c>
      <c r="D60" s="4" t="s">
        <v>103</v>
      </c>
      <c r="E60">
        <v>18000</v>
      </c>
      <c r="F60" t="s">
        <v>69</v>
      </c>
      <c r="G60">
        <f>tblSalaries[[#This Row],[clean Salary (in local currency)]]*VLOOKUP(tblSalaries[[#This Row],[Currency]],tblXrate[],2,FALSE)</f>
        <v>28371.208897211112</v>
      </c>
      <c r="H60" t="s">
        <v>104</v>
      </c>
      <c r="I60" t="s">
        <v>52</v>
      </c>
      <c r="J60" t="s">
        <v>71</v>
      </c>
      <c r="K60" t="str">
        <f>VLOOKUP(tblSalaries[[#This Row],[Where do you work]],tblCountries[[Actual]:[Mapping]],2,FALSE)</f>
        <v>UK</v>
      </c>
      <c r="L60" t="s">
        <v>25</v>
      </c>
    </row>
    <row r="61" spans="2:12" ht="15" customHeight="1">
      <c r="B61" t="s">
        <v>2064</v>
      </c>
      <c r="C61" s="1">
        <v>41054.284317129626</v>
      </c>
      <c r="D61" s="4">
        <v>49000</v>
      </c>
      <c r="E61">
        <v>49000</v>
      </c>
      <c r="F61" t="s">
        <v>22</v>
      </c>
      <c r="G61">
        <f>tblSalaries[[#This Row],[clean Salary (in local currency)]]*VLOOKUP(tblSalaries[[#This Row],[Currency]],tblXrate[],2,FALSE)</f>
        <v>62249.572510588783</v>
      </c>
      <c r="H61" t="s">
        <v>105</v>
      </c>
      <c r="I61" t="s">
        <v>52</v>
      </c>
      <c r="J61" t="s">
        <v>106</v>
      </c>
      <c r="K61" t="str">
        <f>VLOOKUP(tblSalaries[[#This Row],[Where do you work]],tblCountries[[Actual]:[Mapping]],2,FALSE)</f>
        <v>France</v>
      </c>
      <c r="L61" t="s">
        <v>18</v>
      </c>
    </row>
    <row r="62" spans="2:12" ht="15" customHeight="1">
      <c r="B62" t="s">
        <v>2065</v>
      </c>
      <c r="C62" s="1">
        <v>41054.290185185186</v>
      </c>
      <c r="D62" s="4">
        <v>38000</v>
      </c>
      <c r="E62">
        <v>38000</v>
      </c>
      <c r="F62" t="s">
        <v>6</v>
      </c>
      <c r="G62">
        <f>tblSalaries[[#This Row],[clean Salary (in local currency)]]*VLOOKUP(tblSalaries[[#This Row],[Currency]],tblXrate[],2,FALSE)</f>
        <v>38000</v>
      </c>
      <c r="H62" t="s">
        <v>72</v>
      </c>
      <c r="I62" t="s">
        <v>20</v>
      </c>
      <c r="J62" t="s">
        <v>15</v>
      </c>
      <c r="K62" t="str">
        <f>VLOOKUP(tblSalaries[[#This Row],[Where do you work]],tblCountries[[Actual]:[Mapping]],2,FALSE)</f>
        <v>USA</v>
      </c>
      <c r="L62" t="s">
        <v>9</v>
      </c>
    </row>
    <row r="63" spans="2:12" ht="15" customHeight="1">
      <c r="B63" t="s">
        <v>2066</v>
      </c>
      <c r="C63" s="1">
        <v>41054.292268518519</v>
      </c>
      <c r="D63" s="4">
        <v>41000</v>
      </c>
      <c r="E63">
        <v>41000</v>
      </c>
      <c r="F63" t="s">
        <v>6</v>
      </c>
      <c r="G63">
        <f>tblSalaries[[#This Row],[clean Salary (in local currency)]]*VLOOKUP(tblSalaries[[#This Row],[Currency]],tblXrate[],2,FALSE)</f>
        <v>41000</v>
      </c>
      <c r="H63" t="s">
        <v>67</v>
      </c>
      <c r="I63" t="s">
        <v>67</v>
      </c>
      <c r="J63" t="s">
        <v>15</v>
      </c>
      <c r="K63" t="str">
        <f>VLOOKUP(tblSalaries[[#This Row],[Where do you work]],tblCountries[[Actual]:[Mapping]],2,FALSE)</f>
        <v>USA</v>
      </c>
      <c r="L63" t="s">
        <v>9</v>
      </c>
    </row>
    <row r="64" spans="2:12" ht="15" customHeight="1">
      <c r="B64" t="s">
        <v>2067</v>
      </c>
      <c r="C64" s="1">
        <v>41054.299409722225</v>
      </c>
      <c r="D64" s="4">
        <v>68000</v>
      </c>
      <c r="E64">
        <v>68000</v>
      </c>
      <c r="F64" t="s">
        <v>6</v>
      </c>
      <c r="G64">
        <f>tblSalaries[[#This Row],[clean Salary (in local currency)]]*VLOOKUP(tblSalaries[[#This Row],[Currency]],tblXrate[],2,FALSE)</f>
        <v>68000</v>
      </c>
      <c r="H64" t="s">
        <v>107</v>
      </c>
      <c r="I64" t="s">
        <v>20</v>
      </c>
      <c r="J64" t="s">
        <v>15</v>
      </c>
      <c r="K64" t="str">
        <f>VLOOKUP(tblSalaries[[#This Row],[Where do you work]],tblCountries[[Actual]:[Mapping]],2,FALSE)</f>
        <v>USA</v>
      </c>
      <c r="L64" t="s">
        <v>13</v>
      </c>
    </row>
    <row r="65" spans="2:12" ht="15" customHeight="1">
      <c r="B65" t="s">
        <v>2068</v>
      </c>
      <c r="C65" s="1">
        <v>41054.301053240742</v>
      </c>
      <c r="D65" s="4">
        <v>56000</v>
      </c>
      <c r="E65">
        <v>56000</v>
      </c>
      <c r="F65" t="s">
        <v>86</v>
      </c>
      <c r="G65">
        <f>tblSalaries[[#This Row],[clean Salary (in local currency)]]*VLOOKUP(tblSalaries[[#This Row],[Currency]],tblXrate[],2,FALSE)</f>
        <v>55068.245289698301</v>
      </c>
      <c r="H65" t="s">
        <v>108</v>
      </c>
      <c r="I65" t="s">
        <v>20</v>
      </c>
      <c r="J65" t="s">
        <v>109</v>
      </c>
      <c r="K65" t="str">
        <f>VLOOKUP(tblSalaries[[#This Row],[Where do you work]],tblCountries[[Actual]:[Mapping]],2,FALSE)</f>
        <v>Canada</v>
      </c>
      <c r="L65" t="s">
        <v>13</v>
      </c>
    </row>
    <row r="66" spans="2:12" ht="15" customHeight="1">
      <c r="B66" t="s">
        <v>2069</v>
      </c>
      <c r="C66" s="1">
        <v>41054.302222222221</v>
      </c>
      <c r="D66" s="4">
        <v>61000</v>
      </c>
      <c r="E66">
        <v>61000</v>
      </c>
      <c r="F66" t="s">
        <v>6</v>
      </c>
      <c r="G66">
        <f>tblSalaries[[#This Row],[clean Salary (in local currency)]]*VLOOKUP(tblSalaries[[#This Row],[Currency]],tblXrate[],2,FALSE)</f>
        <v>61000</v>
      </c>
      <c r="H66" t="s">
        <v>110</v>
      </c>
      <c r="I66" t="s">
        <v>52</v>
      </c>
      <c r="J66" t="s">
        <v>111</v>
      </c>
      <c r="K66" t="str">
        <f>VLOOKUP(tblSalaries[[#This Row],[Where do you work]],tblCountries[[Actual]:[Mapping]],2,FALSE)</f>
        <v>Brazil</v>
      </c>
      <c r="L66" t="s">
        <v>13</v>
      </c>
    </row>
    <row r="67" spans="2:12" ht="15" customHeight="1">
      <c r="B67" t="s">
        <v>2070</v>
      </c>
      <c r="C67" s="1">
        <v>41054.304780092592</v>
      </c>
      <c r="D67" s="4">
        <v>43000</v>
      </c>
      <c r="E67">
        <v>43000</v>
      </c>
      <c r="F67" t="s">
        <v>22</v>
      </c>
      <c r="G67">
        <f>tblSalaries[[#This Row],[clean Salary (in local currency)]]*VLOOKUP(tblSalaries[[#This Row],[Currency]],tblXrate[],2,FALSE)</f>
        <v>54627.175876639136</v>
      </c>
      <c r="H67" t="s">
        <v>112</v>
      </c>
      <c r="I67" t="s">
        <v>356</v>
      </c>
      <c r="J67" t="s">
        <v>113</v>
      </c>
      <c r="K67" t="str">
        <f>VLOOKUP(tblSalaries[[#This Row],[Where do you work]],tblCountries[[Actual]:[Mapping]],2,FALSE)</f>
        <v>France</v>
      </c>
      <c r="L67" t="s">
        <v>9</v>
      </c>
    </row>
    <row r="68" spans="2:12" ht="15" customHeight="1">
      <c r="B68" t="s">
        <v>2071</v>
      </c>
      <c r="C68" s="1">
        <v>41054.305648148147</v>
      </c>
      <c r="D68" s="4">
        <v>85000</v>
      </c>
      <c r="E68">
        <v>85000</v>
      </c>
      <c r="F68" t="s">
        <v>6</v>
      </c>
      <c r="G68">
        <f>tblSalaries[[#This Row],[clean Salary (in local currency)]]*VLOOKUP(tblSalaries[[#This Row],[Currency]],tblXrate[],2,FALSE)</f>
        <v>85000</v>
      </c>
      <c r="H68" t="s">
        <v>52</v>
      </c>
      <c r="I68" t="s">
        <v>52</v>
      </c>
      <c r="J68" t="s">
        <v>15</v>
      </c>
      <c r="K68" t="str">
        <f>VLOOKUP(tblSalaries[[#This Row],[Where do you work]],tblCountries[[Actual]:[Mapping]],2,FALSE)</f>
        <v>USA</v>
      </c>
      <c r="L68" t="s">
        <v>9</v>
      </c>
    </row>
    <row r="69" spans="2:12" ht="15" customHeight="1">
      <c r="B69" t="s">
        <v>2072</v>
      </c>
      <c r="C69" s="1">
        <v>41054.306458333333</v>
      </c>
      <c r="D69" s="4" t="s">
        <v>114</v>
      </c>
      <c r="E69">
        <v>38000</v>
      </c>
      <c r="F69" t="s">
        <v>22</v>
      </c>
      <c r="G69">
        <f>tblSalaries[[#This Row],[clean Salary (in local currency)]]*VLOOKUP(tblSalaries[[#This Row],[Currency]],tblXrate[],2,FALSE)</f>
        <v>48275.178681681093</v>
      </c>
      <c r="H69" t="s">
        <v>115</v>
      </c>
      <c r="I69" t="s">
        <v>20</v>
      </c>
      <c r="J69" t="s">
        <v>96</v>
      </c>
      <c r="K69" t="str">
        <f>VLOOKUP(tblSalaries[[#This Row],[Where do you work]],tblCountries[[Actual]:[Mapping]],2,FALSE)</f>
        <v>Netherlands</v>
      </c>
      <c r="L69" t="s">
        <v>25</v>
      </c>
    </row>
    <row r="70" spans="2:12" ht="15" customHeight="1">
      <c r="B70" t="s">
        <v>2073</v>
      </c>
      <c r="C70" s="1">
        <v>41054.309166666666</v>
      </c>
      <c r="D70" s="4">
        <v>85000</v>
      </c>
      <c r="E70">
        <v>85000</v>
      </c>
      <c r="F70" t="s">
        <v>82</v>
      </c>
      <c r="G70">
        <f>tblSalaries[[#This Row],[clean Salary (in local currency)]]*VLOOKUP(tblSalaries[[#This Row],[Currency]],tblXrate[],2,FALSE)</f>
        <v>86692.320794224041</v>
      </c>
      <c r="H70" t="s">
        <v>116</v>
      </c>
      <c r="I70" t="s">
        <v>4001</v>
      </c>
      <c r="J70" t="s">
        <v>84</v>
      </c>
      <c r="K70" t="str">
        <f>VLOOKUP(tblSalaries[[#This Row],[Where do you work]],tblCountries[[Actual]:[Mapping]],2,FALSE)</f>
        <v>Australia</v>
      </c>
      <c r="L70" t="s">
        <v>9</v>
      </c>
    </row>
    <row r="71" spans="2:12" ht="15" customHeight="1">
      <c r="B71" t="s">
        <v>2074</v>
      </c>
      <c r="C71" s="1">
        <v>41054.311944444446</v>
      </c>
      <c r="D71" s="4">
        <v>85087</v>
      </c>
      <c r="E71">
        <v>85087</v>
      </c>
      <c r="F71" t="s">
        <v>6</v>
      </c>
      <c r="G71">
        <f>tblSalaries[[#This Row],[clean Salary (in local currency)]]*VLOOKUP(tblSalaries[[#This Row],[Currency]],tblXrate[],2,FALSE)</f>
        <v>85087</v>
      </c>
      <c r="H71" t="s">
        <v>117</v>
      </c>
      <c r="I71" t="s">
        <v>20</v>
      </c>
      <c r="J71" t="s">
        <v>15</v>
      </c>
      <c r="K71" t="str">
        <f>VLOOKUP(tblSalaries[[#This Row],[Where do you work]],tblCountries[[Actual]:[Mapping]],2,FALSE)</f>
        <v>USA</v>
      </c>
      <c r="L71" t="s">
        <v>18</v>
      </c>
    </row>
    <row r="72" spans="2:12" ht="15" customHeight="1">
      <c r="B72" t="s">
        <v>2075</v>
      </c>
      <c r="C72" s="1">
        <v>41054.318310185183</v>
      </c>
      <c r="D72" s="4">
        <v>50000</v>
      </c>
      <c r="E72">
        <v>50000</v>
      </c>
      <c r="F72" t="s">
        <v>6</v>
      </c>
      <c r="G72">
        <f>tblSalaries[[#This Row],[clean Salary (in local currency)]]*VLOOKUP(tblSalaries[[#This Row],[Currency]],tblXrate[],2,FALSE)</f>
        <v>50000</v>
      </c>
      <c r="H72" t="s">
        <v>118</v>
      </c>
      <c r="I72" t="s">
        <v>20</v>
      </c>
      <c r="J72" t="s">
        <v>15</v>
      </c>
      <c r="K72" t="str">
        <f>VLOOKUP(tblSalaries[[#This Row],[Where do you work]],tblCountries[[Actual]:[Mapping]],2,FALSE)</f>
        <v>USA</v>
      </c>
      <c r="L72" t="s">
        <v>13</v>
      </c>
    </row>
    <row r="73" spans="2:12" ht="15" customHeight="1">
      <c r="B73" t="s">
        <v>2076</v>
      </c>
      <c r="C73" s="1">
        <v>41054.324305555558</v>
      </c>
      <c r="D73" s="4">
        <v>100000</v>
      </c>
      <c r="E73">
        <v>100000</v>
      </c>
      <c r="F73" t="s">
        <v>6</v>
      </c>
      <c r="G73">
        <f>tblSalaries[[#This Row],[clean Salary (in local currency)]]*VLOOKUP(tblSalaries[[#This Row],[Currency]],tblXrate[],2,FALSE)</f>
        <v>100000</v>
      </c>
      <c r="H73" t="s">
        <v>119</v>
      </c>
      <c r="I73" t="s">
        <v>52</v>
      </c>
      <c r="J73" t="s">
        <v>120</v>
      </c>
      <c r="K73" t="str">
        <f>VLOOKUP(tblSalaries[[#This Row],[Where do you work]],tblCountries[[Actual]:[Mapping]],2,FALSE)</f>
        <v>South Africa</v>
      </c>
      <c r="L73" t="s">
        <v>9</v>
      </c>
    </row>
    <row r="74" spans="2:12" ht="15" customHeight="1">
      <c r="B74" t="s">
        <v>2077</v>
      </c>
      <c r="C74" s="1">
        <v>41054.950694444444</v>
      </c>
      <c r="D74" s="4">
        <v>57000</v>
      </c>
      <c r="E74">
        <v>57000</v>
      </c>
      <c r="F74" t="s">
        <v>6</v>
      </c>
      <c r="G74">
        <f>tblSalaries[[#This Row],[clean Salary (in local currency)]]*VLOOKUP(tblSalaries[[#This Row],[Currency]],tblXrate[],2,FALSE)</f>
        <v>57000</v>
      </c>
      <c r="H74" t="s">
        <v>121</v>
      </c>
      <c r="I74" t="s">
        <v>20</v>
      </c>
      <c r="J74" t="s">
        <v>15</v>
      </c>
      <c r="K74" t="str">
        <f>VLOOKUP(tblSalaries[[#This Row],[Where do you work]],tblCountries[[Actual]:[Mapping]],2,FALSE)</f>
        <v>USA</v>
      </c>
      <c r="L74" t="s">
        <v>9</v>
      </c>
    </row>
    <row r="75" spans="2:12" ht="15" customHeight="1">
      <c r="B75" t="s">
        <v>2078</v>
      </c>
      <c r="C75" s="1">
        <v>41054.953101851854</v>
      </c>
      <c r="D75" s="4">
        <v>75000</v>
      </c>
      <c r="E75">
        <v>75000</v>
      </c>
      <c r="F75" t="s">
        <v>6</v>
      </c>
      <c r="G75">
        <f>tblSalaries[[#This Row],[clean Salary (in local currency)]]*VLOOKUP(tblSalaries[[#This Row],[Currency]],tblXrate[],2,FALSE)</f>
        <v>75000</v>
      </c>
      <c r="H75" t="s">
        <v>122</v>
      </c>
      <c r="I75" t="s">
        <v>52</v>
      </c>
      <c r="J75" t="s">
        <v>15</v>
      </c>
      <c r="K75" t="str">
        <f>VLOOKUP(tblSalaries[[#This Row],[Where do you work]],tblCountries[[Actual]:[Mapping]],2,FALSE)</f>
        <v>USA</v>
      </c>
      <c r="L75" t="s">
        <v>13</v>
      </c>
    </row>
    <row r="76" spans="2:12" ht="15" customHeight="1">
      <c r="B76" t="s">
        <v>2079</v>
      </c>
      <c r="C76" s="1">
        <v>41054.957696759258</v>
      </c>
      <c r="D76" s="4" t="s">
        <v>123</v>
      </c>
      <c r="E76">
        <v>100000</v>
      </c>
      <c r="F76" t="s">
        <v>82</v>
      </c>
      <c r="G76">
        <f>tblSalaries[[#This Row],[clean Salary (in local currency)]]*VLOOKUP(tblSalaries[[#This Row],[Currency]],tblXrate[],2,FALSE)</f>
        <v>101990.96564026357</v>
      </c>
      <c r="H76" t="s">
        <v>124</v>
      </c>
      <c r="I76" t="s">
        <v>52</v>
      </c>
      <c r="J76" t="s">
        <v>84</v>
      </c>
      <c r="K76" t="str">
        <f>VLOOKUP(tblSalaries[[#This Row],[Where do you work]],tblCountries[[Actual]:[Mapping]],2,FALSE)</f>
        <v>Australia</v>
      </c>
      <c r="L76" t="s">
        <v>9</v>
      </c>
    </row>
    <row r="77" spans="2:12" ht="15" customHeight="1">
      <c r="B77" t="s">
        <v>2080</v>
      </c>
      <c r="C77" s="1">
        <v>41054.95925925926</v>
      </c>
      <c r="D77" s="4">
        <v>2785</v>
      </c>
      <c r="E77">
        <v>33420</v>
      </c>
      <c r="F77" t="s">
        <v>6</v>
      </c>
      <c r="G77">
        <f>tblSalaries[[#This Row],[clean Salary (in local currency)]]*VLOOKUP(tblSalaries[[#This Row],[Currency]],tblXrate[],2,FALSE)</f>
        <v>33420</v>
      </c>
      <c r="H77" t="s">
        <v>125</v>
      </c>
      <c r="I77" t="s">
        <v>52</v>
      </c>
      <c r="J77" t="s">
        <v>126</v>
      </c>
      <c r="K77" t="str">
        <f>VLOOKUP(tblSalaries[[#This Row],[Where do you work]],tblCountries[[Actual]:[Mapping]],2,FALSE)</f>
        <v>UAE</v>
      </c>
      <c r="L77" t="s">
        <v>13</v>
      </c>
    </row>
    <row r="78" spans="2:12" ht="15" customHeight="1">
      <c r="B78" t="s">
        <v>2081</v>
      </c>
      <c r="C78" s="1">
        <v>41054.960416666669</v>
      </c>
      <c r="D78" s="4">
        <v>59450</v>
      </c>
      <c r="E78">
        <v>59450</v>
      </c>
      <c r="F78" t="s">
        <v>86</v>
      </c>
      <c r="G78">
        <f>tblSalaries[[#This Row],[clean Salary (in local currency)]]*VLOOKUP(tblSalaries[[#This Row],[Currency]],tblXrate[],2,FALSE)</f>
        <v>58460.842544152933</v>
      </c>
      <c r="H78" t="s">
        <v>127</v>
      </c>
      <c r="I78" t="s">
        <v>67</v>
      </c>
      <c r="J78" t="s">
        <v>88</v>
      </c>
      <c r="K78" t="str">
        <f>VLOOKUP(tblSalaries[[#This Row],[Where do you work]],tblCountries[[Actual]:[Mapping]],2,FALSE)</f>
        <v>Canada</v>
      </c>
      <c r="L78" t="s">
        <v>13</v>
      </c>
    </row>
    <row r="79" spans="2:12" ht="15" customHeight="1">
      <c r="B79" t="s">
        <v>2082</v>
      </c>
      <c r="C79" s="1">
        <v>41054.967002314814</v>
      </c>
      <c r="D79" s="4">
        <v>15000</v>
      </c>
      <c r="E79">
        <v>15000</v>
      </c>
      <c r="F79" t="s">
        <v>6</v>
      </c>
      <c r="G79">
        <f>tblSalaries[[#This Row],[clean Salary (in local currency)]]*VLOOKUP(tblSalaries[[#This Row],[Currency]],tblXrate[],2,FALSE)</f>
        <v>15000</v>
      </c>
      <c r="H79" t="s">
        <v>128</v>
      </c>
      <c r="I79" t="s">
        <v>356</v>
      </c>
      <c r="J79" t="s">
        <v>15</v>
      </c>
      <c r="K79" t="str">
        <f>VLOOKUP(tblSalaries[[#This Row],[Where do you work]],tblCountries[[Actual]:[Mapping]],2,FALSE)</f>
        <v>USA</v>
      </c>
      <c r="L79" t="s">
        <v>13</v>
      </c>
    </row>
    <row r="80" spans="2:12" ht="15" customHeight="1">
      <c r="B80" t="s">
        <v>2083</v>
      </c>
      <c r="C80" s="1">
        <v>41054.969143518516</v>
      </c>
      <c r="D80" s="4" t="s">
        <v>129</v>
      </c>
      <c r="E80">
        <v>60000</v>
      </c>
      <c r="F80" t="s">
        <v>6</v>
      </c>
      <c r="G80">
        <f>tblSalaries[[#This Row],[clean Salary (in local currency)]]*VLOOKUP(tblSalaries[[#This Row],[Currency]],tblXrate[],2,FALSE)</f>
        <v>60000</v>
      </c>
      <c r="H80" t="s">
        <v>130</v>
      </c>
      <c r="I80" t="s">
        <v>20</v>
      </c>
      <c r="J80" t="s">
        <v>88</v>
      </c>
      <c r="K80" t="str">
        <f>VLOOKUP(tblSalaries[[#This Row],[Where do you work]],tblCountries[[Actual]:[Mapping]],2,FALSE)</f>
        <v>Canada</v>
      </c>
      <c r="L80" t="s">
        <v>25</v>
      </c>
    </row>
    <row r="81" spans="2:12" ht="15" customHeight="1">
      <c r="B81" t="s">
        <v>2084</v>
      </c>
      <c r="C81" s="1">
        <v>41054.971354166664</v>
      </c>
      <c r="D81" s="4">
        <v>100000</v>
      </c>
      <c r="E81">
        <v>100000</v>
      </c>
      <c r="F81" t="s">
        <v>69</v>
      </c>
      <c r="G81">
        <f>tblSalaries[[#This Row],[clean Salary (in local currency)]]*VLOOKUP(tblSalaries[[#This Row],[Currency]],tblXrate[],2,FALSE)</f>
        <v>157617.8272067284</v>
      </c>
      <c r="H81" t="s">
        <v>20</v>
      </c>
      <c r="I81" t="s">
        <v>20</v>
      </c>
      <c r="J81" t="s">
        <v>71</v>
      </c>
      <c r="K81" t="str">
        <f>VLOOKUP(tblSalaries[[#This Row],[Where do you work]],tblCountries[[Actual]:[Mapping]],2,FALSE)</f>
        <v>UK</v>
      </c>
      <c r="L81" t="s">
        <v>18</v>
      </c>
    </row>
    <row r="82" spans="2:12" ht="15" customHeight="1">
      <c r="B82" t="s">
        <v>2085</v>
      </c>
      <c r="C82" s="1">
        <v>41054.972754629627</v>
      </c>
      <c r="D82" s="4" t="s">
        <v>131</v>
      </c>
      <c r="E82">
        <v>18000</v>
      </c>
      <c r="F82" t="s">
        <v>6</v>
      </c>
      <c r="G82">
        <f>tblSalaries[[#This Row],[clean Salary (in local currency)]]*VLOOKUP(tblSalaries[[#This Row],[Currency]],tblXrate[],2,FALSE)</f>
        <v>18000</v>
      </c>
      <c r="H82" t="s">
        <v>132</v>
      </c>
      <c r="I82" t="s">
        <v>20</v>
      </c>
      <c r="J82" t="s">
        <v>133</v>
      </c>
      <c r="K82" t="str">
        <f>VLOOKUP(tblSalaries[[#This Row],[Where do you work]],tblCountries[[Actual]:[Mapping]],2,FALSE)</f>
        <v>Saudi Arabia</v>
      </c>
      <c r="L82" t="s">
        <v>13</v>
      </c>
    </row>
    <row r="83" spans="2:12" ht="15" customHeight="1">
      <c r="B83" t="s">
        <v>2086</v>
      </c>
      <c r="C83" s="1">
        <v>41054.980046296296</v>
      </c>
      <c r="D83" s="4">
        <v>50000</v>
      </c>
      <c r="E83">
        <v>50000</v>
      </c>
      <c r="F83" t="s">
        <v>6</v>
      </c>
      <c r="G83">
        <f>tblSalaries[[#This Row],[clean Salary (in local currency)]]*VLOOKUP(tblSalaries[[#This Row],[Currency]],tblXrate[],2,FALSE)</f>
        <v>50000</v>
      </c>
      <c r="H83" t="s">
        <v>134</v>
      </c>
      <c r="I83" t="s">
        <v>52</v>
      </c>
      <c r="J83" t="s">
        <v>15</v>
      </c>
      <c r="K83" t="str">
        <f>VLOOKUP(tblSalaries[[#This Row],[Where do you work]],tblCountries[[Actual]:[Mapping]],2,FALSE)</f>
        <v>USA</v>
      </c>
      <c r="L83" t="s">
        <v>18</v>
      </c>
    </row>
    <row r="84" spans="2:12" ht="15" customHeight="1">
      <c r="B84" t="s">
        <v>2087</v>
      </c>
      <c r="C84" s="1">
        <v>41054.981423611112</v>
      </c>
      <c r="D84" s="4">
        <v>26000</v>
      </c>
      <c r="E84">
        <v>26000</v>
      </c>
      <c r="F84" t="s">
        <v>6</v>
      </c>
      <c r="G84">
        <f>tblSalaries[[#This Row],[clean Salary (in local currency)]]*VLOOKUP(tblSalaries[[#This Row],[Currency]],tblXrate[],2,FALSE)</f>
        <v>26000</v>
      </c>
      <c r="H84" t="s">
        <v>135</v>
      </c>
      <c r="I84" t="s">
        <v>20</v>
      </c>
      <c r="J84" t="s">
        <v>136</v>
      </c>
      <c r="K84" t="str">
        <f>VLOOKUP(tblSalaries[[#This Row],[Where do you work]],tblCountries[[Actual]:[Mapping]],2,FALSE)</f>
        <v>Panama</v>
      </c>
      <c r="L84" t="s">
        <v>13</v>
      </c>
    </row>
    <row r="85" spans="2:12" ht="15" customHeight="1">
      <c r="B85" t="s">
        <v>2088</v>
      </c>
      <c r="C85" s="1">
        <v>41054.992673611108</v>
      </c>
      <c r="D85" s="4" t="s">
        <v>137</v>
      </c>
      <c r="E85">
        <v>30000</v>
      </c>
      <c r="F85" t="s">
        <v>69</v>
      </c>
      <c r="G85">
        <f>tblSalaries[[#This Row],[clean Salary (in local currency)]]*VLOOKUP(tblSalaries[[#This Row],[Currency]],tblXrate[],2,FALSE)</f>
        <v>47285.348162018527</v>
      </c>
      <c r="H85" t="s">
        <v>138</v>
      </c>
      <c r="I85" t="s">
        <v>52</v>
      </c>
      <c r="J85" t="s">
        <v>71</v>
      </c>
      <c r="K85" t="str">
        <f>VLOOKUP(tblSalaries[[#This Row],[Where do you work]],tblCountries[[Actual]:[Mapping]],2,FALSE)</f>
        <v>UK</v>
      </c>
      <c r="L85" t="s">
        <v>9</v>
      </c>
    </row>
    <row r="86" spans="2:12" ht="15" customHeight="1">
      <c r="B86" t="s">
        <v>2089</v>
      </c>
      <c r="C86" s="1">
        <v>41055.000601851854</v>
      </c>
      <c r="D86" s="4">
        <v>150000</v>
      </c>
      <c r="E86">
        <v>150000</v>
      </c>
      <c r="F86" t="s">
        <v>6</v>
      </c>
      <c r="G86">
        <f>tblSalaries[[#This Row],[clean Salary (in local currency)]]*VLOOKUP(tblSalaries[[#This Row],[Currency]],tblXrate[],2,FALSE)</f>
        <v>150000</v>
      </c>
      <c r="H86" t="s">
        <v>139</v>
      </c>
      <c r="I86" t="s">
        <v>4001</v>
      </c>
      <c r="J86" t="s">
        <v>15</v>
      </c>
      <c r="K86" t="str">
        <f>VLOOKUP(tblSalaries[[#This Row],[Where do you work]],tblCountries[[Actual]:[Mapping]],2,FALSE)</f>
        <v>USA</v>
      </c>
      <c r="L86" t="s">
        <v>13</v>
      </c>
    </row>
    <row r="87" spans="2:12" ht="15" customHeight="1">
      <c r="B87" t="s">
        <v>2090</v>
      </c>
      <c r="C87" s="1">
        <v>41055.003993055558</v>
      </c>
      <c r="D87" s="4">
        <v>120000</v>
      </c>
      <c r="E87">
        <v>120000</v>
      </c>
      <c r="F87" t="s">
        <v>6</v>
      </c>
      <c r="G87">
        <f>tblSalaries[[#This Row],[clean Salary (in local currency)]]*VLOOKUP(tblSalaries[[#This Row],[Currency]],tblXrate[],2,FALSE)</f>
        <v>120000</v>
      </c>
      <c r="H87" t="s">
        <v>140</v>
      </c>
      <c r="I87" t="s">
        <v>52</v>
      </c>
      <c r="J87" t="s">
        <v>15</v>
      </c>
      <c r="K87" t="str">
        <f>VLOOKUP(tblSalaries[[#This Row],[Where do you work]],tblCountries[[Actual]:[Mapping]],2,FALSE)</f>
        <v>USA</v>
      </c>
      <c r="L87" t="s">
        <v>9</v>
      </c>
    </row>
    <row r="88" spans="2:12" ht="15" customHeight="1">
      <c r="B88" t="s">
        <v>2091</v>
      </c>
      <c r="C88" s="1">
        <v>41055.007141203707</v>
      </c>
      <c r="D88" s="4">
        <v>500000</v>
      </c>
      <c r="E88">
        <v>500000</v>
      </c>
      <c r="F88" t="s">
        <v>40</v>
      </c>
      <c r="G88">
        <f>tblSalaries[[#This Row],[clean Salary (in local currency)]]*VLOOKUP(tblSalaries[[#This Row],[Currency]],tblXrate[],2,FALSE)</f>
        <v>8903.9583437212841</v>
      </c>
      <c r="H88" t="s">
        <v>76</v>
      </c>
      <c r="I88" t="s">
        <v>356</v>
      </c>
      <c r="J88" t="s">
        <v>8</v>
      </c>
      <c r="K88" t="str">
        <f>VLOOKUP(tblSalaries[[#This Row],[Where do you work]],tblCountries[[Actual]:[Mapping]],2,FALSE)</f>
        <v>India</v>
      </c>
      <c r="L88" t="s">
        <v>13</v>
      </c>
    </row>
    <row r="89" spans="2:12" ht="15" customHeight="1">
      <c r="B89" t="s">
        <v>2092</v>
      </c>
      <c r="C89" s="1">
        <v>41055.007881944446</v>
      </c>
      <c r="D89" s="4" t="s">
        <v>141</v>
      </c>
      <c r="E89">
        <v>31330</v>
      </c>
      <c r="F89" t="s">
        <v>6</v>
      </c>
      <c r="G89">
        <f>tblSalaries[[#This Row],[clean Salary (in local currency)]]*VLOOKUP(tblSalaries[[#This Row],[Currency]],tblXrate[],2,FALSE)</f>
        <v>31330</v>
      </c>
      <c r="H89" t="s">
        <v>142</v>
      </c>
      <c r="I89" t="s">
        <v>20</v>
      </c>
      <c r="J89" t="s">
        <v>143</v>
      </c>
      <c r="K89" t="str">
        <f>VLOOKUP(tblSalaries[[#This Row],[Where do you work]],tblCountries[[Actual]:[Mapping]],2,FALSE)</f>
        <v>Brazil</v>
      </c>
      <c r="L89" t="s">
        <v>13</v>
      </c>
    </row>
    <row r="90" spans="2:12" ht="15" customHeight="1">
      <c r="B90" t="s">
        <v>2093</v>
      </c>
      <c r="C90" s="1">
        <v>41055.010613425926</v>
      </c>
      <c r="D90" s="4">
        <v>110000</v>
      </c>
      <c r="E90">
        <v>110000</v>
      </c>
      <c r="F90" t="s">
        <v>6</v>
      </c>
      <c r="G90">
        <f>tblSalaries[[#This Row],[clean Salary (in local currency)]]*VLOOKUP(tblSalaries[[#This Row],[Currency]],tblXrate[],2,FALSE)</f>
        <v>110000</v>
      </c>
      <c r="H90" t="s">
        <v>144</v>
      </c>
      <c r="I90" t="s">
        <v>279</v>
      </c>
      <c r="J90" t="s">
        <v>15</v>
      </c>
      <c r="K90" t="str">
        <f>VLOOKUP(tblSalaries[[#This Row],[Where do you work]],tblCountries[[Actual]:[Mapping]],2,FALSE)</f>
        <v>USA</v>
      </c>
      <c r="L90" t="s">
        <v>18</v>
      </c>
    </row>
    <row r="91" spans="2:12" ht="15" customHeight="1">
      <c r="B91" t="s">
        <v>2094</v>
      </c>
      <c r="C91" s="1">
        <v>41055.015844907408</v>
      </c>
      <c r="D91" s="4" t="s">
        <v>145</v>
      </c>
      <c r="E91">
        <v>81000</v>
      </c>
      <c r="F91" t="s">
        <v>6</v>
      </c>
      <c r="G91">
        <f>tblSalaries[[#This Row],[clean Salary (in local currency)]]*VLOOKUP(tblSalaries[[#This Row],[Currency]],tblXrate[],2,FALSE)</f>
        <v>81000</v>
      </c>
      <c r="H91" t="s">
        <v>146</v>
      </c>
      <c r="I91" t="s">
        <v>356</v>
      </c>
      <c r="J91" t="s">
        <v>71</v>
      </c>
      <c r="K91" t="str">
        <f>VLOOKUP(tblSalaries[[#This Row],[Where do you work]],tblCountries[[Actual]:[Mapping]],2,FALSE)</f>
        <v>UK</v>
      </c>
      <c r="L91" t="s">
        <v>9</v>
      </c>
    </row>
    <row r="92" spans="2:12" ht="15" customHeight="1">
      <c r="B92" t="s">
        <v>2095</v>
      </c>
      <c r="C92" s="1">
        <v>41055.027129629627</v>
      </c>
      <c r="D92" s="4">
        <v>40000</v>
      </c>
      <c r="E92">
        <v>40000</v>
      </c>
      <c r="F92" t="s">
        <v>6</v>
      </c>
      <c r="G92">
        <f>tblSalaries[[#This Row],[clean Salary (in local currency)]]*VLOOKUP(tblSalaries[[#This Row],[Currency]],tblXrate[],2,FALSE)</f>
        <v>40000</v>
      </c>
      <c r="H92" t="s">
        <v>147</v>
      </c>
      <c r="I92" t="s">
        <v>20</v>
      </c>
      <c r="J92" t="s">
        <v>15</v>
      </c>
      <c r="K92" t="str">
        <f>VLOOKUP(tblSalaries[[#This Row],[Where do you work]],tblCountries[[Actual]:[Mapping]],2,FALSE)</f>
        <v>USA</v>
      </c>
      <c r="L92" t="s">
        <v>9</v>
      </c>
    </row>
    <row r="93" spans="2:12" ht="15" customHeight="1">
      <c r="B93" t="s">
        <v>2096</v>
      </c>
      <c r="C93" s="1">
        <v>41055.027407407404</v>
      </c>
      <c r="D93" s="4">
        <v>42000</v>
      </c>
      <c r="E93">
        <v>42000</v>
      </c>
      <c r="F93" t="s">
        <v>86</v>
      </c>
      <c r="G93">
        <f>tblSalaries[[#This Row],[clean Salary (in local currency)]]*VLOOKUP(tblSalaries[[#This Row],[Currency]],tblXrate[],2,FALSE)</f>
        <v>41301.183967273726</v>
      </c>
      <c r="H93" t="s">
        <v>148</v>
      </c>
      <c r="I93" t="s">
        <v>20</v>
      </c>
      <c r="J93" t="s">
        <v>88</v>
      </c>
      <c r="K93" t="str">
        <f>VLOOKUP(tblSalaries[[#This Row],[Where do you work]],tblCountries[[Actual]:[Mapping]],2,FALSE)</f>
        <v>Canada</v>
      </c>
      <c r="L93" t="s">
        <v>9</v>
      </c>
    </row>
    <row r="94" spans="2:12" ht="15" customHeight="1">
      <c r="B94" t="s">
        <v>2097</v>
      </c>
      <c r="C94" s="1">
        <v>41055.027499999997</v>
      </c>
      <c r="D94" s="4">
        <v>125000</v>
      </c>
      <c r="E94">
        <v>125000</v>
      </c>
      <c r="F94" t="s">
        <v>6</v>
      </c>
      <c r="G94">
        <f>tblSalaries[[#This Row],[clean Salary (in local currency)]]*VLOOKUP(tblSalaries[[#This Row],[Currency]],tblXrate[],2,FALSE)</f>
        <v>125000</v>
      </c>
      <c r="H94" t="s">
        <v>149</v>
      </c>
      <c r="I94" t="s">
        <v>4001</v>
      </c>
      <c r="J94" t="s">
        <v>15</v>
      </c>
      <c r="K94" t="str">
        <f>VLOOKUP(tblSalaries[[#This Row],[Where do you work]],tblCountries[[Actual]:[Mapping]],2,FALSE)</f>
        <v>USA</v>
      </c>
      <c r="L94" t="s">
        <v>9</v>
      </c>
    </row>
    <row r="95" spans="2:12" ht="15" customHeight="1">
      <c r="B95" t="s">
        <v>2098</v>
      </c>
      <c r="C95" s="1">
        <v>41055.02752314815</v>
      </c>
      <c r="D95" s="4">
        <v>36000</v>
      </c>
      <c r="E95">
        <v>36000</v>
      </c>
      <c r="F95" t="s">
        <v>6</v>
      </c>
      <c r="G95">
        <f>tblSalaries[[#This Row],[clean Salary (in local currency)]]*VLOOKUP(tblSalaries[[#This Row],[Currency]],tblXrate[],2,FALSE)</f>
        <v>36000</v>
      </c>
      <c r="H95" t="s">
        <v>150</v>
      </c>
      <c r="I95" t="s">
        <v>52</v>
      </c>
      <c r="J95" t="s">
        <v>15</v>
      </c>
      <c r="K95" t="str">
        <f>VLOOKUP(tblSalaries[[#This Row],[Where do you work]],tblCountries[[Actual]:[Mapping]],2,FALSE)</f>
        <v>USA</v>
      </c>
      <c r="L95" t="s">
        <v>18</v>
      </c>
    </row>
    <row r="96" spans="2:12" ht="15" customHeight="1">
      <c r="B96" t="s">
        <v>2099</v>
      </c>
      <c r="C96" s="1">
        <v>41055.027708333335</v>
      </c>
      <c r="D96" s="4" t="s">
        <v>151</v>
      </c>
      <c r="E96">
        <v>144000</v>
      </c>
      <c r="F96" t="s">
        <v>40</v>
      </c>
      <c r="G96">
        <f>tblSalaries[[#This Row],[clean Salary (in local currency)]]*VLOOKUP(tblSalaries[[#This Row],[Currency]],tblXrate[],2,FALSE)</f>
        <v>2564.3400029917298</v>
      </c>
      <c r="H96" t="s">
        <v>152</v>
      </c>
      <c r="I96" t="s">
        <v>356</v>
      </c>
      <c r="J96" t="s">
        <v>8</v>
      </c>
      <c r="K96" t="str">
        <f>VLOOKUP(tblSalaries[[#This Row],[Where do you work]],tblCountries[[Actual]:[Mapping]],2,FALSE)</f>
        <v>India</v>
      </c>
      <c r="L96" t="s">
        <v>25</v>
      </c>
    </row>
    <row r="97" spans="2:12" ht="15" customHeight="1">
      <c r="B97" t="s">
        <v>2100</v>
      </c>
      <c r="C97" s="1">
        <v>41055.027777777781</v>
      </c>
      <c r="D97" s="4">
        <v>75000</v>
      </c>
      <c r="E97">
        <v>75000</v>
      </c>
      <c r="F97" t="s">
        <v>6</v>
      </c>
      <c r="G97">
        <f>tblSalaries[[#This Row],[clean Salary (in local currency)]]*VLOOKUP(tblSalaries[[#This Row],[Currency]],tblXrate[],2,FALSE)</f>
        <v>75000</v>
      </c>
      <c r="H97" t="s">
        <v>153</v>
      </c>
      <c r="I97" t="s">
        <v>20</v>
      </c>
      <c r="J97" t="s">
        <v>15</v>
      </c>
      <c r="K97" t="str">
        <f>VLOOKUP(tblSalaries[[#This Row],[Where do you work]],tblCountries[[Actual]:[Mapping]],2,FALSE)</f>
        <v>USA</v>
      </c>
      <c r="L97" t="s">
        <v>25</v>
      </c>
    </row>
    <row r="98" spans="2:12" ht="15" customHeight="1">
      <c r="B98" t="s">
        <v>2101</v>
      </c>
      <c r="C98" s="1">
        <v>41055.028009259258</v>
      </c>
      <c r="D98" s="4">
        <v>95000</v>
      </c>
      <c r="E98">
        <v>95000</v>
      </c>
      <c r="F98" t="s">
        <v>6</v>
      </c>
      <c r="G98">
        <f>tblSalaries[[#This Row],[clean Salary (in local currency)]]*VLOOKUP(tblSalaries[[#This Row],[Currency]],tblXrate[],2,FALSE)</f>
        <v>95000</v>
      </c>
      <c r="H98" t="s">
        <v>29</v>
      </c>
      <c r="I98" t="s">
        <v>4001</v>
      </c>
      <c r="J98" t="s">
        <v>15</v>
      </c>
      <c r="K98" t="str">
        <f>VLOOKUP(tblSalaries[[#This Row],[Where do you work]],tblCountries[[Actual]:[Mapping]],2,FALSE)</f>
        <v>USA</v>
      </c>
      <c r="L98" t="s">
        <v>9</v>
      </c>
    </row>
    <row r="99" spans="2:12" ht="15" customHeight="1">
      <c r="B99" t="s">
        <v>2102</v>
      </c>
      <c r="C99" s="1">
        <v>41055.028090277781</v>
      </c>
      <c r="D99" s="4">
        <v>24000</v>
      </c>
      <c r="E99">
        <v>24000</v>
      </c>
      <c r="F99" t="s">
        <v>6</v>
      </c>
      <c r="G99">
        <f>tblSalaries[[#This Row],[clean Salary (in local currency)]]*VLOOKUP(tblSalaries[[#This Row],[Currency]],tblXrate[],2,FALSE)</f>
        <v>24000</v>
      </c>
      <c r="H99" t="s">
        <v>154</v>
      </c>
      <c r="I99" t="s">
        <v>52</v>
      </c>
      <c r="J99" t="s">
        <v>15</v>
      </c>
      <c r="K99" t="str">
        <f>VLOOKUP(tblSalaries[[#This Row],[Where do you work]],tblCountries[[Actual]:[Mapping]],2,FALSE)</f>
        <v>USA</v>
      </c>
      <c r="L99" t="s">
        <v>18</v>
      </c>
    </row>
    <row r="100" spans="2:12" ht="15" customHeight="1">
      <c r="B100" t="s">
        <v>2103</v>
      </c>
      <c r="C100" s="1">
        <v>41055.028136574074</v>
      </c>
      <c r="D100" s="4" t="s">
        <v>155</v>
      </c>
      <c r="E100">
        <v>91000</v>
      </c>
      <c r="F100" t="s">
        <v>6</v>
      </c>
      <c r="G100">
        <f>tblSalaries[[#This Row],[clean Salary (in local currency)]]*VLOOKUP(tblSalaries[[#This Row],[Currency]],tblXrate[],2,FALSE)</f>
        <v>91000</v>
      </c>
      <c r="H100" t="s">
        <v>156</v>
      </c>
      <c r="I100" t="s">
        <v>52</v>
      </c>
      <c r="J100" t="s">
        <v>15</v>
      </c>
      <c r="K100" t="str">
        <f>VLOOKUP(tblSalaries[[#This Row],[Where do you work]],tblCountries[[Actual]:[Mapping]],2,FALSE)</f>
        <v>USA</v>
      </c>
      <c r="L100" t="s">
        <v>25</v>
      </c>
    </row>
    <row r="101" spans="2:12" ht="15" customHeight="1">
      <c r="B101" t="s">
        <v>2104</v>
      </c>
      <c r="C101" s="1">
        <v>41055.028229166666</v>
      </c>
      <c r="D101" s="4">
        <v>40000</v>
      </c>
      <c r="E101">
        <v>40000</v>
      </c>
      <c r="F101" t="s">
        <v>6</v>
      </c>
      <c r="G101">
        <f>tblSalaries[[#This Row],[clean Salary (in local currency)]]*VLOOKUP(tblSalaries[[#This Row],[Currency]],tblXrate[],2,FALSE)</f>
        <v>40000</v>
      </c>
      <c r="H101" t="s">
        <v>157</v>
      </c>
      <c r="I101" t="s">
        <v>20</v>
      </c>
      <c r="J101" t="s">
        <v>15</v>
      </c>
      <c r="K101" t="str">
        <f>VLOOKUP(tblSalaries[[#This Row],[Where do you work]],tblCountries[[Actual]:[Mapping]],2,FALSE)</f>
        <v>USA</v>
      </c>
      <c r="L101" t="s">
        <v>9</v>
      </c>
    </row>
    <row r="102" spans="2:12" ht="15" customHeight="1">
      <c r="B102" t="s">
        <v>2105</v>
      </c>
      <c r="C102" s="1">
        <v>41055.028240740743</v>
      </c>
      <c r="D102" s="4">
        <v>57000</v>
      </c>
      <c r="E102">
        <v>57000</v>
      </c>
      <c r="F102" t="s">
        <v>6</v>
      </c>
      <c r="G102">
        <f>tblSalaries[[#This Row],[clean Salary (in local currency)]]*VLOOKUP(tblSalaries[[#This Row],[Currency]],tblXrate[],2,FALSE)</f>
        <v>57000</v>
      </c>
      <c r="H102" t="s">
        <v>158</v>
      </c>
      <c r="I102" t="s">
        <v>52</v>
      </c>
      <c r="J102" t="s">
        <v>15</v>
      </c>
      <c r="K102" t="str">
        <f>VLOOKUP(tblSalaries[[#This Row],[Where do you work]],tblCountries[[Actual]:[Mapping]],2,FALSE)</f>
        <v>USA</v>
      </c>
      <c r="L102" t="s">
        <v>9</v>
      </c>
    </row>
    <row r="103" spans="2:12" ht="15" customHeight="1">
      <c r="B103" t="s">
        <v>2106</v>
      </c>
      <c r="C103" s="1">
        <v>41055.028252314813</v>
      </c>
      <c r="D103" s="4">
        <v>74000</v>
      </c>
      <c r="E103">
        <v>74000</v>
      </c>
      <c r="F103" t="s">
        <v>6</v>
      </c>
      <c r="G103">
        <f>tblSalaries[[#This Row],[clean Salary (in local currency)]]*VLOOKUP(tblSalaries[[#This Row],[Currency]],tblXrate[],2,FALSE)</f>
        <v>74000</v>
      </c>
      <c r="H103" t="s">
        <v>76</v>
      </c>
      <c r="I103" t="s">
        <v>356</v>
      </c>
      <c r="J103" t="s">
        <v>15</v>
      </c>
      <c r="K103" t="str">
        <f>VLOOKUP(tblSalaries[[#This Row],[Where do you work]],tblCountries[[Actual]:[Mapping]],2,FALSE)</f>
        <v>USA</v>
      </c>
      <c r="L103" t="s">
        <v>9</v>
      </c>
    </row>
    <row r="104" spans="2:12" ht="15" customHeight="1">
      <c r="B104" t="s">
        <v>2107</v>
      </c>
      <c r="C104" s="1">
        <v>41055.028263888889</v>
      </c>
      <c r="D104" s="4" t="s">
        <v>159</v>
      </c>
      <c r="E104">
        <v>80000</v>
      </c>
      <c r="F104" t="s">
        <v>6</v>
      </c>
      <c r="G104">
        <f>tblSalaries[[#This Row],[clean Salary (in local currency)]]*VLOOKUP(tblSalaries[[#This Row],[Currency]],tblXrate[],2,FALSE)</f>
        <v>80000</v>
      </c>
      <c r="H104" t="s">
        <v>160</v>
      </c>
      <c r="I104" t="s">
        <v>20</v>
      </c>
      <c r="J104" t="s">
        <v>15</v>
      </c>
      <c r="K104" t="str">
        <f>VLOOKUP(tblSalaries[[#This Row],[Where do you work]],tblCountries[[Actual]:[Mapping]],2,FALSE)</f>
        <v>USA</v>
      </c>
      <c r="L104" t="s">
        <v>9</v>
      </c>
    </row>
    <row r="105" spans="2:12" ht="15" customHeight="1">
      <c r="B105" t="s">
        <v>2108</v>
      </c>
      <c r="C105" s="1">
        <v>41055.028310185182</v>
      </c>
      <c r="D105" s="4">
        <v>90000</v>
      </c>
      <c r="E105">
        <v>90000</v>
      </c>
      <c r="F105" t="s">
        <v>6</v>
      </c>
      <c r="G105">
        <f>tblSalaries[[#This Row],[clean Salary (in local currency)]]*VLOOKUP(tblSalaries[[#This Row],[Currency]],tblXrate[],2,FALSE)</f>
        <v>90000</v>
      </c>
      <c r="H105" t="s">
        <v>161</v>
      </c>
      <c r="I105" t="s">
        <v>67</v>
      </c>
      <c r="J105" t="s">
        <v>15</v>
      </c>
      <c r="K105" t="str">
        <f>VLOOKUP(tblSalaries[[#This Row],[Where do you work]],tblCountries[[Actual]:[Mapping]],2,FALSE)</f>
        <v>USA</v>
      </c>
      <c r="L105" t="s">
        <v>9</v>
      </c>
    </row>
    <row r="106" spans="2:12" ht="15" customHeight="1">
      <c r="B106" t="s">
        <v>2109</v>
      </c>
      <c r="C106" s="1">
        <v>41055.028333333335</v>
      </c>
      <c r="D106" s="4">
        <v>21000</v>
      </c>
      <c r="E106">
        <v>21000</v>
      </c>
      <c r="F106" t="s">
        <v>6</v>
      </c>
      <c r="G106">
        <f>tblSalaries[[#This Row],[clean Salary (in local currency)]]*VLOOKUP(tblSalaries[[#This Row],[Currency]],tblXrate[],2,FALSE)</f>
        <v>21000</v>
      </c>
      <c r="H106" t="s">
        <v>162</v>
      </c>
      <c r="I106" t="s">
        <v>20</v>
      </c>
      <c r="J106" t="s">
        <v>163</v>
      </c>
      <c r="K106" t="str">
        <f>VLOOKUP(tblSalaries[[#This Row],[Where do you work]],tblCountries[[Actual]:[Mapping]],2,FALSE)</f>
        <v>Arabian Gulf</v>
      </c>
      <c r="L106" t="s">
        <v>25</v>
      </c>
    </row>
    <row r="107" spans="2:12" ht="15" customHeight="1">
      <c r="B107" t="s">
        <v>2110</v>
      </c>
      <c r="C107" s="1">
        <v>41055.028356481482</v>
      </c>
      <c r="D107" s="4">
        <v>52000</v>
      </c>
      <c r="E107">
        <v>52000</v>
      </c>
      <c r="F107" t="s">
        <v>6</v>
      </c>
      <c r="G107">
        <f>tblSalaries[[#This Row],[clean Salary (in local currency)]]*VLOOKUP(tblSalaries[[#This Row],[Currency]],tblXrate[],2,FALSE)</f>
        <v>52000</v>
      </c>
      <c r="H107" t="s">
        <v>164</v>
      </c>
      <c r="I107" t="s">
        <v>52</v>
      </c>
      <c r="J107" t="s">
        <v>15</v>
      </c>
      <c r="K107" t="str">
        <f>VLOOKUP(tblSalaries[[#This Row],[Where do you work]],tblCountries[[Actual]:[Mapping]],2,FALSE)</f>
        <v>USA</v>
      </c>
      <c r="L107" t="s">
        <v>9</v>
      </c>
    </row>
    <row r="108" spans="2:12" ht="15" customHeight="1">
      <c r="B108" t="s">
        <v>2111</v>
      </c>
      <c r="C108" s="1">
        <v>41055.028379629628</v>
      </c>
      <c r="D108" s="4">
        <v>19200</v>
      </c>
      <c r="E108">
        <v>19200</v>
      </c>
      <c r="F108" t="s">
        <v>6</v>
      </c>
      <c r="G108">
        <f>tblSalaries[[#This Row],[clean Salary (in local currency)]]*VLOOKUP(tblSalaries[[#This Row],[Currency]],tblXrate[],2,FALSE)</f>
        <v>19200</v>
      </c>
      <c r="H108" t="s">
        <v>165</v>
      </c>
      <c r="I108" t="s">
        <v>20</v>
      </c>
      <c r="J108" t="s">
        <v>166</v>
      </c>
      <c r="K108" t="str">
        <f>VLOOKUP(tblSalaries[[#This Row],[Where do you work]],tblCountries[[Actual]:[Mapping]],2,FALSE)</f>
        <v>Mexico</v>
      </c>
      <c r="L108" t="s">
        <v>9</v>
      </c>
    </row>
    <row r="109" spans="2:12" ht="15" customHeight="1">
      <c r="B109" t="s">
        <v>2112</v>
      </c>
      <c r="C109" s="1">
        <v>41055.028437499997</v>
      </c>
      <c r="D109" s="4">
        <v>36000</v>
      </c>
      <c r="E109">
        <v>36000</v>
      </c>
      <c r="F109" t="s">
        <v>6</v>
      </c>
      <c r="G109">
        <f>tblSalaries[[#This Row],[clean Salary (in local currency)]]*VLOOKUP(tblSalaries[[#This Row],[Currency]],tblXrate[],2,FALSE)</f>
        <v>36000</v>
      </c>
      <c r="H109" t="s">
        <v>20</v>
      </c>
      <c r="I109" t="s">
        <v>20</v>
      </c>
      <c r="J109" t="s">
        <v>15</v>
      </c>
      <c r="K109" t="str">
        <f>VLOOKUP(tblSalaries[[#This Row],[Where do you work]],tblCountries[[Actual]:[Mapping]],2,FALSE)</f>
        <v>USA</v>
      </c>
      <c r="L109" t="s">
        <v>9</v>
      </c>
    </row>
    <row r="110" spans="2:12" ht="15" customHeight="1">
      <c r="B110" t="s">
        <v>2113</v>
      </c>
      <c r="C110" s="1">
        <v>41055.028495370374</v>
      </c>
      <c r="D110" s="4">
        <v>57400</v>
      </c>
      <c r="E110">
        <v>57400</v>
      </c>
      <c r="F110" t="s">
        <v>6</v>
      </c>
      <c r="G110">
        <f>tblSalaries[[#This Row],[clean Salary (in local currency)]]*VLOOKUP(tblSalaries[[#This Row],[Currency]],tblXrate[],2,FALSE)</f>
        <v>57400</v>
      </c>
      <c r="H110" t="s">
        <v>167</v>
      </c>
      <c r="I110" t="s">
        <v>20</v>
      </c>
      <c r="J110" t="s">
        <v>15</v>
      </c>
      <c r="K110" t="str">
        <f>VLOOKUP(tblSalaries[[#This Row],[Where do you work]],tblCountries[[Actual]:[Mapping]],2,FALSE)</f>
        <v>USA</v>
      </c>
      <c r="L110" t="s">
        <v>9</v>
      </c>
    </row>
    <row r="111" spans="2:12" ht="15" customHeight="1">
      <c r="B111" t="s">
        <v>2114</v>
      </c>
      <c r="C111" s="1">
        <v>41055.028506944444</v>
      </c>
      <c r="D111" s="4">
        <v>66000</v>
      </c>
      <c r="E111">
        <v>66000</v>
      </c>
      <c r="F111" t="s">
        <v>6</v>
      </c>
      <c r="G111">
        <f>tblSalaries[[#This Row],[clean Salary (in local currency)]]*VLOOKUP(tblSalaries[[#This Row],[Currency]],tblXrate[],2,FALSE)</f>
        <v>66000</v>
      </c>
      <c r="H111" t="s">
        <v>20</v>
      </c>
      <c r="I111" t="s">
        <v>20</v>
      </c>
      <c r="J111" t="s">
        <v>15</v>
      </c>
      <c r="K111" t="str">
        <f>VLOOKUP(tblSalaries[[#This Row],[Where do you work]],tblCountries[[Actual]:[Mapping]],2,FALSE)</f>
        <v>USA</v>
      </c>
      <c r="L111" t="s">
        <v>18</v>
      </c>
    </row>
    <row r="112" spans="2:12" ht="15" customHeight="1">
      <c r="B112" t="s">
        <v>2115</v>
      </c>
      <c r="C112" s="1">
        <v>41055.028541666667</v>
      </c>
      <c r="D112" s="4">
        <v>35000</v>
      </c>
      <c r="E112">
        <v>35000</v>
      </c>
      <c r="F112" t="s">
        <v>22</v>
      </c>
      <c r="G112">
        <f>tblSalaries[[#This Row],[clean Salary (in local currency)]]*VLOOKUP(tblSalaries[[#This Row],[Currency]],tblXrate[],2,FALSE)</f>
        <v>44463.980364706273</v>
      </c>
      <c r="H112" t="s">
        <v>168</v>
      </c>
      <c r="I112" t="s">
        <v>52</v>
      </c>
      <c r="J112" t="s">
        <v>169</v>
      </c>
      <c r="K112" t="str">
        <f>VLOOKUP(tblSalaries[[#This Row],[Where do you work]],tblCountries[[Actual]:[Mapping]],2,FALSE)</f>
        <v>Greece</v>
      </c>
      <c r="L112" t="s">
        <v>9</v>
      </c>
    </row>
    <row r="113" spans="2:12" ht="15" customHeight="1">
      <c r="B113" t="s">
        <v>2116</v>
      </c>
      <c r="C113" s="1">
        <v>41055.028657407405</v>
      </c>
      <c r="D113" s="4" t="s">
        <v>172</v>
      </c>
      <c r="E113">
        <v>85000</v>
      </c>
      <c r="F113" t="s">
        <v>6</v>
      </c>
      <c r="G113">
        <f>tblSalaries[[#This Row],[clean Salary (in local currency)]]*VLOOKUP(tblSalaries[[#This Row],[Currency]],tblXrate[],2,FALSE)</f>
        <v>85000</v>
      </c>
      <c r="H113" t="s">
        <v>173</v>
      </c>
      <c r="I113" t="s">
        <v>20</v>
      </c>
      <c r="J113" t="s">
        <v>15</v>
      </c>
      <c r="K113" t="str">
        <f>VLOOKUP(tblSalaries[[#This Row],[Where do you work]],tblCountries[[Actual]:[Mapping]],2,FALSE)</f>
        <v>USA</v>
      </c>
      <c r="L113" t="s">
        <v>9</v>
      </c>
    </row>
    <row r="114" spans="2:12" ht="15" customHeight="1">
      <c r="B114" t="s">
        <v>2117</v>
      </c>
      <c r="C114" s="1">
        <v>41055.028726851851</v>
      </c>
      <c r="D114" s="4">
        <v>50000</v>
      </c>
      <c r="E114">
        <v>50000</v>
      </c>
      <c r="F114" t="s">
        <v>6</v>
      </c>
      <c r="G114">
        <f>tblSalaries[[#This Row],[clean Salary (in local currency)]]*VLOOKUP(tblSalaries[[#This Row],[Currency]],tblXrate[],2,FALSE)</f>
        <v>50000</v>
      </c>
      <c r="H114" t="s">
        <v>174</v>
      </c>
      <c r="I114" t="s">
        <v>67</v>
      </c>
      <c r="J114" t="s">
        <v>15</v>
      </c>
      <c r="K114" t="str">
        <f>VLOOKUP(tblSalaries[[#This Row],[Where do you work]],tblCountries[[Actual]:[Mapping]],2,FALSE)</f>
        <v>USA</v>
      </c>
      <c r="L114" t="s">
        <v>9</v>
      </c>
    </row>
    <row r="115" spans="2:12" ht="15" customHeight="1">
      <c r="B115" t="s">
        <v>2118</v>
      </c>
      <c r="C115" s="1">
        <v>41055.028784722221</v>
      </c>
      <c r="D115" s="4" t="s">
        <v>175</v>
      </c>
      <c r="E115">
        <v>58000</v>
      </c>
      <c r="F115" t="s">
        <v>6</v>
      </c>
      <c r="G115">
        <f>tblSalaries[[#This Row],[clean Salary (in local currency)]]*VLOOKUP(tblSalaries[[#This Row],[Currency]],tblXrate[],2,FALSE)</f>
        <v>58000</v>
      </c>
      <c r="H115" t="s">
        <v>176</v>
      </c>
      <c r="I115" t="s">
        <v>52</v>
      </c>
      <c r="J115" t="s">
        <v>15</v>
      </c>
      <c r="K115" t="str">
        <f>VLOOKUP(tblSalaries[[#This Row],[Where do you work]],tblCountries[[Actual]:[Mapping]],2,FALSE)</f>
        <v>USA</v>
      </c>
      <c r="L115" t="s">
        <v>9</v>
      </c>
    </row>
    <row r="116" spans="2:12" ht="15" customHeight="1">
      <c r="B116" t="s">
        <v>2119</v>
      </c>
      <c r="C116" s="1">
        <v>41055.028796296298</v>
      </c>
      <c r="D116" s="4">
        <v>37900</v>
      </c>
      <c r="E116">
        <v>37900</v>
      </c>
      <c r="F116" t="s">
        <v>6</v>
      </c>
      <c r="G116">
        <f>tblSalaries[[#This Row],[clean Salary (in local currency)]]*VLOOKUP(tblSalaries[[#This Row],[Currency]],tblXrate[],2,FALSE)</f>
        <v>37900</v>
      </c>
      <c r="H116" t="s">
        <v>177</v>
      </c>
      <c r="I116" t="s">
        <v>310</v>
      </c>
      <c r="J116" t="s">
        <v>15</v>
      </c>
      <c r="K116" t="str">
        <f>VLOOKUP(tblSalaries[[#This Row],[Where do you work]],tblCountries[[Actual]:[Mapping]],2,FALSE)</f>
        <v>USA</v>
      </c>
      <c r="L116" t="s">
        <v>13</v>
      </c>
    </row>
    <row r="117" spans="2:12" ht="15" customHeight="1">
      <c r="B117" t="s">
        <v>2120</v>
      </c>
      <c r="C117" s="1">
        <v>41055.028819444444</v>
      </c>
      <c r="D117" s="4">
        <v>4000</v>
      </c>
      <c r="E117">
        <v>48000</v>
      </c>
      <c r="F117" t="s">
        <v>6</v>
      </c>
      <c r="G117">
        <f>tblSalaries[[#This Row],[clean Salary (in local currency)]]*VLOOKUP(tblSalaries[[#This Row],[Currency]],tblXrate[],2,FALSE)</f>
        <v>48000</v>
      </c>
      <c r="H117" t="s">
        <v>178</v>
      </c>
      <c r="I117" t="s">
        <v>52</v>
      </c>
      <c r="J117" t="s">
        <v>179</v>
      </c>
      <c r="K117" t="str">
        <f>VLOOKUP(tblSalaries[[#This Row],[Where do you work]],tblCountries[[Actual]:[Mapping]],2,FALSE)</f>
        <v>UAE</v>
      </c>
      <c r="L117" t="s">
        <v>18</v>
      </c>
    </row>
    <row r="118" spans="2:12" ht="15" customHeight="1">
      <c r="B118" t="s">
        <v>2121</v>
      </c>
      <c r="C118" s="1">
        <v>41055.02884259259</v>
      </c>
      <c r="D118" s="4">
        <v>67000</v>
      </c>
      <c r="E118">
        <v>67000</v>
      </c>
      <c r="F118" t="s">
        <v>6</v>
      </c>
      <c r="G118">
        <f>tblSalaries[[#This Row],[clean Salary (in local currency)]]*VLOOKUP(tblSalaries[[#This Row],[Currency]],tblXrate[],2,FALSE)</f>
        <v>67000</v>
      </c>
      <c r="H118" t="s">
        <v>180</v>
      </c>
      <c r="I118" t="s">
        <v>20</v>
      </c>
      <c r="J118" t="s">
        <v>15</v>
      </c>
      <c r="K118" t="str">
        <f>VLOOKUP(tblSalaries[[#This Row],[Where do you work]],tblCountries[[Actual]:[Mapping]],2,FALSE)</f>
        <v>USA</v>
      </c>
      <c r="L118" t="s">
        <v>9</v>
      </c>
    </row>
    <row r="119" spans="2:12" ht="15" customHeight="1">
      <c r="B119" t="s">
        <v>2122</v>
      </c>
      <c r="C119" s="1">
        <v>41055.028877314813</v>
      </c>
      <c r="D119" s="4">
        <v>85000</v>
      </c>
      <c r="E119">
        <v>85000</v>
      </c>
      <c r="F119" t="s">
        <v>6</v>
      </c>
      <c r="G119">
        <f>tblSalaries[[#This Row],[clean Salary (in local currency)]]*VLOOKUP(tblSalaries[[#This Row],[Currency]],tblXrate[],2,FALSE)</f>
        <v>85000</v>
      </c>
      <c r="H119" t="s">
        <v>181</v>
      </c>
      <c r="I119" t="s">
        <v>488</v>
      </c>
      <c r="J119" t="s">
        <v>179</v>
      </c>
      <c r="K119" t="str">
        <f>VLOOKUP(tblSalaries[[#This Row],[Where do you work]],tblCountries[[Actual]:[Mapping]],2,FALSE)</f>
        <v>UAE</v>
      </c>
      <c r="L119" t="s">
        <v>9</v>
      </c>
    </row>
    <row r="120" spans="2:12" ht="15" customHeight="1">
      <c r="B120" t="s">
        <v>2123</v>
      </c>
      <c r="C120" s="1">
        <v>41055.028877314813</v>
      </c>
      <c r="D120" s="4">
        <v>56160</v>
      </c>
      <c r="E120">
        <v>56160</v>
      </c>
      <c r="F120" t="s">
        <v>6</v>
      </c>
      <c r="G120">
        <f>tblSalaries[[#This Row],[clean Salary (in local currency)]]*VLOOKUP(tblSalaries[[#This Row],[Currency]],tblXrate[],2,FALSE)</f>
        <v>56160</v>
      </c>
      <c r="H120" t="s">
        <v>182</v>
      </c>
      <c r="I120" t="s">
        <v>20</v>
      </c>
      <c r="J120" t="s">
        <v>15</v>
      </c>
      <c r="K120" t="str">
        <f>VLOOKUP(tblSalaries[[#This Row],[Where do you work]],tblCountries[[Actual]:[Mapping]],2,FALSE)</f>
        <v>USA</v>
      </c>
      <c r="L120" t="s">
        <v>9</v>
      </c>
    </row>
    <row r="121" spans="2:12" ht="15" customHeight="1">
      <c r="B121" t="s">
        <v>2124</v>
      </c>
      <c r="C121" s="1">
        <v>41055.028912037036</v>
      </c>
      <c r="D121" s="4">
        <v>2000</v>
      </c>
      <c r="E121">
        <v>24000</v>
      </c>
      <c r="F121" t="s">
        <v>6</v>
      </c>
      <c r="G121">
        <f>tblSalaries[[#This Row],[clean Salary (in local currency)]]*VLOOKUP(tblSalaries[[#This Row],[Currency]],tblXrate[],2,FALSE)</f>
        <v>24000</v>
      </c>
      <c r="H121" t="s">
        <v>183</v>
      </c>
      <c r="I121" t="s">
        <v>52</v>
      </c>
      <c r="J121" t="s">
        <v>184</v>
      </c>
      <c r="K121" t="str">
        <f>VLOOKUP(tblSalaries[[#This Row],[Where do you work]],tblCountries[[Actual]:[Mapping]],2,FALSE)</f>
        <v>Colombia</v>
      </c>
      <c r="L121" t="s">
        <v>13</v>
      </c>
    </row>
    <row r="122" spans="2:12" ht="15" customHeight="1">
      <c r="B122" t="s">
        <v>2125</v>
      </c>
      <c r="C122" s="1">
        <v>41055.028912037036</v>
      </c>
      <c r="D122" s="4">
        <v>52000</v>
      </c>
      <c r="E122">
        <v>52000</v>
      </c>
      <c r="F122" t="s">
        <v>6</v>
      </c>
      <c r="G122">
        <f>tblSalaries[[#This Row],[clean Salary (in local currency)]]*VLOOKUP(tblSalaries[[#This Row],[Currency]],tblXrate[],2,FALSE)</f>
        <v>52000</v>
      </c>
      <c r="H122" t="s">
        <v>185</v>
      </c>
      <c r="I122" t="s">
        <v>20</v>
      </c>
      <c r="J122" t="s">
        <v>15</v>
      </c>
      <c r="K122" t="str">
        <f>VLOOKUP(tblSalaries[[#This Row],[Where do you work]],tblCountries[[Actual]:[Mapping]],2,FALSE)</f>
        <v>USA</v>
      </c>
      <c r="L122" t="s">
        <v>186</v>
      </c>
    </row>
    <row r="123" spans="2:12" ht="15" customHeight="1">
      <c r="B123" t="s">
        <v>2126</v>
      </c>
      <c r="C123" s="1">
        <v>41055.028946759259</v>
      </c>
      <c r="D123" s="4">
        <v>60000</v>
      </c>
      <c r="E123">
        <v>60000</v>
      </c>
      <c r="F123" t="s">
        <v>86</v>
      </c>
      <c r="G123">
        <f>tblSalaries[[#This Row],[clean Salary (in local currency)]]*VLOOKUP(tblSalaries[[#This Row],[Currency]],tblXrate[],2,FALSE)</f>
        <v>59001.691381819612</v>
      </c>
      <c r="H123" t="s">
        <v>187</v>
      </c>
      <c r="I123" t="s">
        <v>20</v>
      </c>
      <c r="J123" t="s">
        <v>88</v>
      </c>
      <c r="K123" t="str">
        <f>VLOOKUP(tblSalaries[[#This Row],[Where do you work]],tblCountries[[Actual]:[Mapping]],2,FALSE)</f>
        <v>Canada</v>
      </c>
      <c r="L123" t="s">
        <v>186</v>
      </c>
    </row>
    <row r="124" spans="2:12" ht="15" customHeight="1">
      <c r="B124" t="s">
        <v>2127</v>
      </c>
      <c r="C124" s="1">
        <v>41055.028969907406</v>
      </c>
      <c r="D124" s="4">
        <v>70000</v>
      </c>
      <c r="E124">
        <v>70000</v>
      </c>
      <c r="F124" t="s">
        <v>6</v>
      </c>
      <c r="G124">
        <f>tblSalaries[[#This Row],[clean Salary (in local currency)]]*VLOOKUP(tblSalaries[[#This Row],[Currency]],tblXrate[],2,FALSE)</f>
        <v>70000</v>
      </c>
      <c r="H124" t="s">
        <v>188</v>
      </c>
      <c r="I124" t="s">
        <v>310</v>
      </c>
      <c r="J124" t="s">
        <v>15</v>
      </c>
      <c r="K124" t="str">
        <f>VLOOKUP(tblSalaries[[#This Row],[Where do you work]],tblCountries[[Actual]:[Mapping]],2,FALSE)</f>
        <v>USA</v>
      </c>
      <c r="L124" t="s">
        <v>13</v>
      </c>
    </row>
    <row r="125" spans="2:12" ht="15" customHeight="1">
      <c r="B125" t="s">
        <v>2128</v>
      </c>
      <c r="C125" s="1">
        <v>41055.029120370367</v>
      </c>
      <c r="D125" s="4">
        <v>50000</v>
      </c>
      <c r="E125">
        <v>50000</v>
      </c>
      <c r="F125" t="s">
        <v>6</v>
      </c>
      <c r="G125">
        <f>tblSalaries[[#This Row],[clean Salary (in local currency)]]*VLOOKUP(tblSalaries[[#This Row],[Currency]],tblXrate[],2,FALSE)</f>
        <v>50000</v>
      </c>
      <c r="H125" t="s">
        <v>189</v>
      </c>
      <c r="I125" t="s">
        <v>67</v>
      </c>
      <c r="J125" t="s">
        <v>15</v>
      </c>
      <c r="K125" t="str">
        <f>VLOOKUP(tblSalaries[[#This Row],[Where do you work]],tblCountries[[Actual]:[Mapping]],2,FALSE)</f>
        <v>USA</v>
      </c>
      <c r="L125" t="s">
        <v>9</v>
      </c>
    </row>
    <row r="126" spans="2:12" ht="15" customHeight="1">
      <c r="B126" t="s">
        <v>2129</v>
      </c>
      <c r="C126" s="1">
        <v>41055.029143518521</v>
      </c>
      <c r="D126" s="4">
        <v>2300000</v>
      </c>
      <c r="E126">
        <v>2300000</v>
      </c>
      <c r="F126" t="s">
        <v>40</v>
      </c>
      <c r="G126">
        <f>tblSalaries[[#This Row],[clean Salary (in local currency)]]*VLOOKUP(tblSalaries[[#This Row],[Currency]],tblXrate[],2,FALSE)</f>
        <v>40958.208381117904</v>
      </c>
      <c r="H126" t="s">
        <v>190</v>
      </c>
      <c r="I126" t="s">
        <v>20</v>
      </c>
      <c r="J126" t="s">
        <v>8</v>
      </c>
      <c r="K126" t="str">
        <f>VLOOKUP(tblSalaries[[#This Row],[Where do you work]],tblCountries[[Actual]:[Mapping]],2,FALSE)</f>
        <v>India</v>
      </c>
      <c r="L126" t="s">
        <v>25</v>
      </c>
    </row>
    <row r="127" spans="2:12" ht="15" customHeight="1">
      <c r="B127" t="s">
        <v>2130</v>
      </c>
      <c r="C127" s="1">
        <v>41055.029166666667</v>
      </c>
      <c r="D127" s="4">
        <v>80000</v>
      </c>
      <c r="E127">
        <v>80000</v>
      </c>
      <c r="F127" t="s">
        <v>6</v>
      </c>
      <c r="G127">
        <f>tblSalaries[[#This Row],[clean Salary (in local currency)]]*VLOOKUP(tblSalaries[[#This Row],[Currency]],tblXrate[],2,FALSE)</f>
        <v>80000</v>
      </c>
      <c r="H127" t="s">
        <v>14</v>
      </c>
      <c r="I127" t="s">
        <v>20</v>
      </c>
      <c r="J127" t="s">
        <v>15</v>
      </c>
      <c r="K127" t="str">
        <f>VLOOKUP(tblSalaries[[#This Row],[Where do you work]],tblCountries[[Actual]:[Mapping]],2,FALSE)</f>
        <v>USA</v>
      </c>
      <c r="L127" t="s">
        <v>9</v>
      </c>
    </row>
    <row r="128" spans="2:12" ht="15" customHeight="1">
      <c r="B128" t="s">
        <v>2131</v>
      </c>
      <c r="C128" s="1">
        <v>41055.02925925926</v>
      </c>
      <c r="D128" s="4">
        <v>128000</v>
      </c>
      <c r="E128">
        <v>128000</v>
      </c>
      <c r="F128" t="s">
        <v>6</v>
      </c>
      <c r="G128">
        <f>tblSalaries[[#This Row],[clean Salary (in local currency)]]*VLOOKUP(tblSalaries[[#This Row],[Currency]],tblXrate[],2,FALSE)</f>
        <v>128000</v>
      </c>
      <c r="H128" t="s">
        <v>191</v>
      </c>
      <c r="I128" t="s">
        <v>52</v>
      </c>
      <c r="J128" t="s">
        <v>15</v>
      </c>
      <c r="K128" t="str">
        <f>VLOOKUP(tblSalaries[[#This Row],[Where do you work]],tblCountries[[Actual]:[Mapping]],2,FALSE)</f>
        <v>USA</v>
      </c>
      <c r="L128" t="s">
        <v>13</v>
      </c>
    </row>
    <row r="129" spans="2:12" ht="15" customHeight="1">
      <c r="B129" t="s">
        <v>2132</v>
      </c>
      <c r="C129" s="1">
        <v>41055.029282407406</v>
      </c>
      <c r="D129" s="4" t="s">
        <v>192</v>
      </c>
      <c r="E129">
        <v>44000</v>
      </c>
      <c r="F129" t="s">
        <v>6</v>
      </c>
      <c r="G129">
        <f>tblSalaries[[#This Row],[clean Salary (in local currency)]]*VLOOKUP(tblSalaries[[#This Row],[Currency]],tblXrate[],2,FALSE)</f>
        <v>44000</v>
      </c>
      <c r="H129" t="s">
        <v>193</v>
      </c>
      <c r="I129" t="s">
        <v>52</v>
      </c>
      <c r="J129" t="s">
        <v>15</v>
      </c>
      <c r="K129" t="str">
        <f>VLOOKUP(tblSalaries[[#This Row],[Where do you work]],tblCountries[[Actual]:[Mapping]],2,FALSE)</f>
        <v>USA</v>
      </c>
      <c r="L129" t="s">
        <v>25</v>
      </c>
    </row>
    <row r="130" spans="2:12" ht="15" customHeight="1">
      <c r="B130" t="s">
        <v>2133</v>
      </c>
      <c r="C130" s="1">
        <v>41055.029293981483</v>
      </c>
      <c r="D130" s="4">
        <v>65000</v>
      </c>
      <c r="E130">
        <v>65000</v>
      </c>
      <c r="F130" t="s">
        <v>6</v>
      </c>
      <c r="G130">
        <f>tblSalaries[[#This Row],[clean Salary (in local currency)]]*VLOOKUP(tblSalaries[[#This Row],[Currency]],tblXrate[],2,FALSE)</f>
        <v>65000</v>
      </c>
      <c r="H130" t="s">
        <v>194</v>
      </c>
      <c r="I130" t="s">
        <v>310</v>
      </c>
      <c r="J130" t="s">
        <v>15</v>
      </c>
      <c r="K130" t="str">
        <f>VLOOKUP(tblSalaries[[#This Row],[Where do you work]],tblCountries[[Actual]:[Mapping]],2,FALSE)</f>
        <v>USA</v>
      </c>
      <c r="L130" t="s">
        <v>13</v>
      </c>
    </row>
    <row r="131" spans="2:12" ht="15" customHeight="1">
      <c r="B131" t="s">
        <v>2134</v>
      </c>
      <c r="C131" s="1">
        <v>41055.029537037037</v>
      </c>
      <c r="D131" s="4" t="s">
        <v>195</v>
      </c>
      <c r="E131">
        <v>36000</v>
      </c>
      <c r="F131" t="s">
        <v>6</v>
      </c>
      <c r="G131">
        <f>tblSalaries[[#This Row],[clean Salary (in local currency)]]*VLOOKUP(tblSalaries[[#This Row],[Currency]],tblXrate[],2,FALSE)</f>
        <v>36000</v>
      </c>
      <c r="H131" t="s">
        <v>196</v>
      </c>
      <c r="I131" t="s">
        <v>310</v>
      </c>
      <c r="J131" t="s">
        <v>197</v>
      </c>
      <c r="K131" t="str">
        <f>VLOOKUP(tblSalaries[[#This Row],[Where do you work]],tblCountries[[Actual]:[Mapping]],2,FALSE)</f>
        <v>Turkey</v>
      </c>
      <c r="L131" t="s">
        <v>9</v>
      </c>
    </row>
    <row r="132" spans="2:12" ht="15" customHeight="1">
      <c r="B132" t="s">
        <v>2135</v>
      </c>
      <c r="C132" s="1">
        <v>41055.029560185183</v>
      </c>
      <c r="D132" s="4">
        <v>1000</v>
      </c>
      <c r="E132">
        <v>12000</v>
      </c>
      <c r="F132" t="s">
        <v>6</v>
      </c>
      <c r="G132">
        <f>tblSalaries[[#This Row],[clean Salary (in local currency)]]*VLOOKUP(tblSalaries[[#This Row],[Currency]],tblXrate[],2,FALSE)</f>
        <v>12000</v>
      </c>
      <c r="H132" t="s">
        <v>198</v>
      </c>
      <c r="I132" t="s">
        <v>356</v>
      </c>
      <c r="J132" t="s">
        <v>17</v>
      </c>
      <c r="K132" t="str">
        <f>VLOOKUP(tblSalaries[[#This Row],[Where do you work]],tblCountries[[Actual]:[Mapping]],2,FALSE)</f>
        <v>Pakistan</v>
      </c>
      <c r="L132" t="s">
        <v>25</v>
      </c>
    </row>
    <row r="133" spans="2:12" ht="15" customHeight="1">
      <c r="B133" t="s">
        <v>2136</v>
      </c>
      <c r="C133" s="1">
        <v>41055.029641203706</v>
      </c>
      <c r="D133" s="4">
        <v>28159.200000000001</v>
      </c>
      <c r="E133">
        <v>28159</v>
      </c>
      <c r="F133" t="s">
        <v>69</v>
      </c>
      <c r="G133">
        <f>tblSalaries[[#This Row],[clean Salary (in local currency)]]*VLOOKUP(tblSalaries[[#This Row],[Currency]],tblXrate[],2,FALSE)</f>
        <v>44383.603963142654</v>
      </c>
      <c r="H133" t="s">
        <v>153</v>
      </c>
      <c r="I133" t="s">
        <v>20</v>
      </c>
      <c r="J133" t="s">
        <v>71</v>
      </c>
      <c r="K133" t="str">
        <f>VLOOKUP(tblSalaries[[#This Row],[Where do you work]],tblCountries[[Actual]:[Mapping]],2,FALSE)</f>
        <v>UK</v>
      </c>
      <c r="L133" t="s">
        <v>13</v>
      </c>
    </row>
    <row r="134" spans="2:12" ht="15" customHeight="1">
      <c r="B134" t="s">
        <v>2137</v>
      </c>
      <c r="C134" s="1">
        <v>41055.029699074075</v>
      </c>
      <c r="D134" s="4">
        <v>45000</v>
      </c>
      <c r="E134">
        <v>45000</v>
      </c>
      <c r="F134" t="s">
        <v>6</v>
      </c>
      <c r="G134">
        <f>tblSalaries[[#This Row],[clean Salary (in local currency)]]*VLOOKUP(tblSalaries[[#This Row],[Currency]],tblXrate[],2,FALSE)</f>
        <v>45000</v>
      </c>
      <c r="H134" t="s">
        <v>199</v>
      </c>
      <c r="I134" t="s">
        <v>20</v>
      </c>
      <c r="J134" t="s">
        <v>15</v>
      </c>
      <c r="K134" t="str">
        <f>VLOOKUP(tblSalaries[[#This Row],[Where do you work]],tblCountries[[Actual]:[Mapping]],2,FALSE)</f>
        <v>USA</v>
      </c>
      <c r="L134" t="s">
        <v>9</v>
      </c>
    </row>
    <row r="135" spans="2:12" ht="15" customHeight="1">
      <c r="B135" t="s">
        <v>2138</v>
      </c>
      <c r="C135" s="1">
        <v>41055.02983796296</v>
      </c>
      <c r="D135" s="4">
        <v>54000</v>
      </c>
      <c r="E135">
        <v>54000</v>
      </c>
      <c r="F135" t="s">
        <v>6</v>
      </c>
      <c r="G135">
        <f>tblSalaries[[#This Row],[clean Salary (in local currency)]]*VLOOKUP(tblSalaries[[#This Row],[Currency]],tblXrate[],2,FALSE)</f>
        <v>54000</v>
      </c>
      <c r="H135" t="s">
        <v>200</v>
      </c>
      <c r="I135" t="s">
        <v>20</v>
      </c>
      <c r="J135" t="s">
        <v>15</v>
      </c>
      <c r="K135" t="str">
        <f>VLOOKUP(tblSalaries[[#This Row],[Where do you work]],tblCountries[[Actual]:[Mapping]],2,FALSE)</f>
        <v>USA</v>
      </c>
      <c r="L135" t="s">
        <v>18</v>
      </c>
    </row>
    <row r="136" spans="2:12" ht="15" customHeight="1">
      <c r="B136" t="s">
        <v>2139</v>
      </c>
      <c r="C136" s="1">
        <v>41055.029895833337</v>
      </c>
      <c r="D136" s="4">
        <v>70000</v>
      </c>
      <c r="E136">
        <v>70000</v>
      </c>
      <c r="F136" t="s">
        <v>69</v>
      </c>
      <c r="G136">
        <f>tblSalaries[[#This Row],[clean Salary (in local currency)]]*VLOOKUP(tblSalaries[[#This Row],[Currency]],tblXrate[],2,FALSE)</f>
        <v>110332.47904470989</v>
      </c>
      <c r="H136" t="s">
        <v>201</v>
      </c>
      <c r="I136" t="s">
        <v>52</v>
      </c>
      <c r="J136" t="s">
        <v>71</v>
      </c>
      <c r="K136" t="str">
        <f>VLOOKUP(tblSalaries[[#This Row],[Where do you work]],tblCountries[[Actual]:[Mapping]],2,FALSE)</f>
        <v>UK</v>
      </c>
      <c r="L136" t="s">
        <v>18</v>
      </c>
    </row>
    <row r="137" spans="2:12" ht="15" customHeight="1">
      <c r="B137" t="s">
        <v>2140</v>
      </c>
      <c r="C137" s="1">
        <v>41055.029942129629</v>
      </c>
      <c r="D137" s="4">
        <v>71000</v>
      </c>
      <c r="E137">
        <v>71000</v>
      </c>
      <c r="F137" t="s">
        <v>6</v>
      </c>
      <c r="G137">
        <f>tblSalaries[[#This Row],[clean Salary (in local currency)]]*VLOOKUP(tblSalaries[[#This Row],[Currency]],tblXrate[],2,FALSE)</f>
        <v>71000</v>
      </c>
      <c r="H137" t="s">
        <v>202</v>
      </c>
      <c r="I137" t="s">
        <v>20</v>
      </c>
      <c r="J137" t="s">
        <v>15</v>
      </c>
      <c r="K137" t="str">
        <f>VLOOKUP(tblSalaries[[#This Row],[Where do you work]],tblCountries[[Actual]:[Mapping]],2,FALSE)</f>
        <v>USA</v>
      </c>
      <c r="L137" t="s">
        <v>9</v>
      </c>
    </row>
    <row r="138" spans="2:12" ht="15" customHeight="1">
      <c r="B138" t="s">
        <v>2141</v>
      </c>
      <c r="C138" s="1">
        <v>41055.029953703706</v>
      </c>
      <c r="D138" s="4">
        <v>800000</v>
      </c>
      <c r="E138">
        <v>800000</v>
      </c>
      <c r="F138" t="s">
        <v>40</v>
      </c>
      <c r="G138">
        <f>tblSalaries[[#This Row],[clean Salary (in local currency)]]*VLOOKUP(tblSalaries[[#This Row],[Currency]],tblXrate[],2,FALSE)</f>
        <v>14246.333349954055</v>
      </c>
      <c r="H138" t="s">
        <v>203</v>
      </c>
      <c r="I138" t="s">
        <v>52</v>
      </c>
      <c r="J138" t="s">
        <v>8</v>
      </c>
      <c r="K138" t="str">
        <f>VLOOKUP(tblSalaries[[#This Row],[Where do you work]],tblCountries[[Actual]:[Mapping]],2,FALSE)</f>
        <v>India</v>
      </c>
      <c r="L138" t="s">
        <v>18</v>
      </c>
    </row>
    <row r="139" spans="2:12" ht="15" customHeight="1">
      <c r="B139" t="s">
        <v>2142</v>
      </c>
      <c r="C139" s="1">
        <v>41055.030057870368</v>
      </c>
      <c r="D139" s="4">
        <v>70000</v>
      </c>
      <c r="E139">
        <v>70000</v>
      </c>
      <c r="F139" t="s">
        <v>86</v>
      </c>
      <c r="G139">
        <f>tblSalaries[[#This Row],[clean Salary (in local currency)]]*VLOOKUP(tblSalaries[[#This Row],[Currency]],tblXrate[],2,FALSE)</f>
        <v>68835.306612122877</v>
      </c>
      <c r="H139" t="s">
        <v>204</v>
      </c>
      <c r="I139" t="s">
        <v>52</v>
      </c>
      <c r="J139" t="s">
        <v>205</v>
      </c>
      <c r="K139" t="str">
        <f>VLOOKUP(tblSalaries[[#This Row],[Where do you work]],tblCountries[[Actual]:[Mapping]],2,FALSE)</f>
        <v>Canada</v>
      </c>
      <c r="L139" t="s">
        <v>9</v>
      </c>
    </row>
    <row r="140" spans="2:12" ht="15" customHeight="1">
      <c r="B140" t="s">
        <v>2143</v>
      </c>
      <c r="C140" s="1">
        <v>41055.030150462961</v>
      </c>
      <c r="D140" s="4">
        <v>50000</v>
      </c>
      <c r="E140">
        <v>50000</v>
      </c>
      <c r="F140" t="s">
        <v>86</v>
      </c>
      <c r="G140">
        <f>tblSalaries[[#This Row],[clean Salary (in local currency)]]*VLOOKUP(tblSalaries[[#This Row],[Currency]],tblXrate[],2,FALSE)</f>
        <v>49168.076151516347</v>
      </c>
      <c r="H140" t="s">
        <v>206</v>
      </c>
      <c r="I140" t="s">
        <v>52</v>
      </c>
      <c r="J140" t="s">
        <v>88</v>
      </c>
      <c r="K140" t="str">
        <f>VLOOKUP(tblSalaries[[#This Row],[Where do you work]],tblCountries[[Actual]:[Mapping]],2,FALSE)</f>
        <v>Canada</v>
      </c>
      <c r="L140" t="s">
        <v>9</v>
      </c>
    </row>
    <row r="141" spans="2:12" ht="15" customHeight="1">
      <c r="B141" t="s">
        <v>2144</v>
      </c>
      <c r="C141" s="1">
        <v>41055.030173611114</v>
      </c>
      <c r="D141" s="4">
        <v>40000</v>
      </c>
      <c r="E141">
        <v>40000</v>
      </c>
      <c r="F141" t="s">
        <v>6</v>
      </c>
      <c r="G141">
        <f>tblSalaries[[#This Row],[clean Salary (in local currency)]]*VLOOKUP(tblSalaries[[#This Row],[Currency]],tblXrate[],2,FALSE)</f>
        <v>40000</v>
      </c>
      <c r="H141" t="s">
        <v>207</v>
      </c>
      <c r="I141" t="s">
        <v>20</v>
      </c>
      <c r="J141" t="s">
        <v>15</v>
      </c>
      <c r="K141" t="str">
        <f>VLOOKUP(tblSalaries[[#This Row],[Where do you work]],tblCountries[[Actual]:[Mapping]],2,FALSE)</f>
        <v>USA</v>
      </c>
      <c r="L141" t="s">
        <v>9</v>
      </c>
    </row>
    <row r="142" spans="2:12" ht="15" customHeight="1">
      <c r="B142" t="s">
        <v>2145</v>
      </c>
      <c r="C142" s="1">
        <v>41055.03025462963</v>
      </c>
      <c r="D142" s="4" t="s">
        <v>208</v>
      </c>
      <c r="E142">
        <v>62000</v>
      </c>
      <c r="F142" t="s">
        <v>86</v>
      </c>
      <c r="G142">
        <f>tblSalaries[[#This Row],[clean Salary (in local currency)]]*VLOOKUP(tblSalaries[[#This Row],[Currency]],tblXrate[],2,FALSE)</f>
        <v>60968.414427880263</v>
      </c>
      <c r="H142" t="s">
        <v>209</v>
      </c>
      <c r="I142" t="s">
        <v>20</v>
      </c>
      <c r="J142" t="s">
        <v>88</v>
      </c>
      <c r="K142" t="str">
        <f>VLOOKUP(tblSalaries[[#This Row],[Where do you work]],tblCountries[[Actual]:[Mapping]],2,FALSE)</f>
        <v>Canada</v>
      </c>
      <c r="L142" t="s">
        <v>18</v>
      </c>
    </row>
    <row r="143" spans="2:12" ht="15" customHeight="1">
      <c r="B143" t="s">
        <v>2146</v>
      </c>
      <c r="C143" s="1">
        <v>41055.030277777776</v>
      </c>
      <c r="D143" s="4" t="s">
        <v>210</v>
      </c>
      <c r="E143">
        <v>336000</v>
      </c>
      <c r="F143" t="s">
        <v>40</v>
      </c>
      <c r="G143">
        <f>tblSalaries[[#This Row],[clean Salary (in local currency)]]*VLOOKUP(tblSalaries[[#This Row],[Currency]],tblXrate[],2,FALSE)</f>
        <v>5983.4600069807029</v>
      </c>
      <c r="H143" t="s">
        <v>211</v>
      </c>
      <c r="I143" t="s">
        <v>3999</v>
      </c>
      <c r="J143" t="s">
        <v>8</v>
      </c>
      <c r="K143" t="str">
        <f>VLOOKUP(tblSalaries[[#This Row],[Where do you work]],tblCountries[[Actual]:[Mapping]],2,FALSE)</f>
        <v>India</v>
      </c>
      <c r="L143" t="s">
        <v>9</v>
      </c>
    </row>
    <row r="144" spans="2:12" ht="15" customHeight="1">
      <c r="B144" t="s">
        <v>2147</v>
      </c>
      <c r="C144" s="1">
        <v>41055.030277777776</v>
      </c>
      <c r="D144" s="4">
        <v>53000</v>
      </c>
      <c r="E144">
        <v>53000</v>
      </c>
      <c r="F144" t="s">
        <v>6</v>
      </c>
      <c r="G144">
        <f>tblSalaries[[#This Row],[clean Salary (in local currency)]]*VLOOKUP(tblSalaries[[#This Row],[Currency]],tblXrate[],2,FALSE)</f>
        <v>53000</v>
      </c>
      <c r="H144" t="s">
        <v>153</v>
      </c>
      <c r="I144" t="s">
        <v>20</v>
      </c>
      <c r="J144" t="s">
        <v>15</v>
      </c>
      <c r="K144" t="str">
        <f>VLOOKUP(tblSalaries[[#This Row],[Where do you work]],tblCountries[[Actual]:[Mapping]],2,FALSE)</f>
        <v>USA</v>
      </c>
      <c r="L144" t="s">
        <v>9</v>
      </c>
    </row>
    <row r="145" spans="2:12" ht="15" customHeight="1">
      <c r="B145" t="s">
        <v>2148</v>
      </c>
      <c r="C145" s="1">
        <v>41055.030428240738</v>
      </c>
      <c r="D145" s="4">
        <v>104000</v>
      </c>
      <c r="E145">
        <v>104000</v>
      </c>
      <c r="F145" t="s">
        <v>6</v>
      </c>
      <c r="G145">
        <f>tblSalaries[[#This Row],[clean Salary (in local currency)]]*VLOOKUP(tblSalaries[[#This Row],[Currency]],tblXrate[],2,FALSE)</f>
        <v>104000</v>
      </c>
      <c r="H145" t="s">
        <v>212</v>
      </c>
      <c r="I145" t="s">
        <v>4001</v>
      </c>
      <c r="J145" t="s">
        <v>15</v>
      </c>
      <c r="K145" t="str">
        <f>VLOOKUP(tblSalaries[[#This Row],[Where do you work]],tblCountries[[Actual]:[Mapping]],2,FALSE)</f>
        <v>USA</v>
      </c>
      <c r="L145" t="s">
        <v>18</v>
      </c>
    </row>
    <row r="146" spans="2:12" ht="15" customHeight="1">
      <c r="B146" t="s">
        <v>2149</v>
      </c>
      <c r="C146" s="1">
        <v>41055.030578703707</v>
      </c>
      <c r="D146" s="4">
        <v>57000</v>
      </c>
      <c r="E146">
        <v>57000</v>
      </c>
      <c r="F146" t="s">
        <v>6</v>
      </c>
      <c r="G146">
        <f>tblSalaries[[#This Row],[clean Salary (in local currency)]]*VLOOKUP(tblSalaries[[#This Row],[Currency]],tblXrate[],2,FALSE)</f>
        <v>57000</v>
      </c>
      <c r="H146" t="s">
        <v>213</v>
      </c>
      <c r="I146" t="s">
        <v>279</v>
      </c>
      <c r="J146" t="s">
        <v>15</v>
      </c>
      <c r="K146" t="str">
        <f>VLOOKUP(tblSalaries[[#This Row],[Where do you work]],tblCountries[[Actual]:[Mapping]],2,FALSE)</f>
        <v>USA</v>
      </c>
      <c r="L146" t="s">
        <v>9</v>
      </c>
    </row>
    <row r="147" spans="2:12" ht="15" customHeight="1">
      <c r="B147" t="s">
        <v>2150</v>
      </c>
      <c r="C147" s="1">
        <v>41055.030659722222</v>
      </c>
      <c r="D147" s="4">
        <v>45000</v>
      </c>
      <c r="E147">
        <v>45000</v>
      </c>
      <c r="F147" t="s">
        <v>6</v>
      </c>
      <c r="G147">
        <f>tblSalaries[[#This Row],[clean Salary (in local currency)]]*VLOOKUP(tblSalaries[[#This Row],[Currency]],tblXrate[],2,FALSE)</f>
        <v>45000</v>
      </c>
      <c r="H147" t="s">
        <v>214</v>
      </c>
      <c r="I147" t="s">
        <v>20</v>
      </c>
      <c r="J147" t="s">
        <v>15</v>
      </c>
      <c r="K147" t="str">
        <f>VLOOKUP(tblSalaries[[#This Row],[Where do you work]],tblCountries[[Actual]:[Mapping]],2,FALSE)</f>
        <v>USA</v>
      </c>
      <c r="L147" t="s">
        <v>18</v>
      </c>
    </row>
    <row r="148" spans="2:12" ht="15" customHeight="1">
      <c r="B148" t="s">
        <v>2151</v>
      </c>
      <c r="C148" s="1">
        <v>41055.030729166669</v>
      </c>
      <c r="D148" s="4">
        <v>92000</v>
      </c>
      <c r="E148">
        <v>92000</v>
      </c>
      <c r="F148" t="s">
        <v>6</v>
      </c>
      <c r="G148">
        <f>tblSalaries[[#This Row],[clean Salary (in local currency)]]*VLOOKUP(tblSalaries[[#This Row],[Currency]],tblXrate[],2,FALSE)</f>
        <v>92000</v>
      </c>
      <c r="H148" t="s">
        <v>215</v>
      </c>
      <c r="I148" t="s">
        <v>20</v>
      </c>
      <c r="J148" t="s">
        <v>15</v>
      </c>
      <c r="K148" t="str">
        <f>VLOOKUP(tblSalaries[[#This Row],[Where do you work]],tblCountries[[Actual]:[Mapping]],2,FALSE)</f>
        <v>USA</v>
      </c>
      <c r="L148" t="s">
        <v>9</v>
      </c>
    </row>
    <row r="149" spans="2:12" ht="15" customHeight="1">
      <c r="B149" t="s">
        <v>2152</v>
      </c>
      <c r="C149" s="1">
        <v>41055.030763888892</v>
      </c>
      <c r="D149" s="4">
        <v>88000</v>
      </c>
      <c r="E149">
        <v>88000</v>
      </c>
      <c r="F149" t="s">
        <v>6</v>
      </c>
      <c r="G149">
        <f>tblSalaries[[#This Row],[clean Salary (in local currency)]]*VLOOKUP(tblSalaries[[#This Row],[Currency]],tblXrate[],2,FALSE)</f>
        <v>88000</v>
      </c>
      <c r="H149" t="s">
        <v>216</v>
      </c>
      <c r="I149" t="s">
        <v>52</v>
      </c>
      <c r="J149" t="s">
        <v>15</v>
      </c>
      <c r="K149" t="str">
        <f>VLOOKUP(tblSalaries[[#This Row],[Where do you work]],tblCountries[[Actual]:[Mapping]],2,FALSE)</f>
        <v>USA</v>
      </c>
      <c r="L149" t="s">
        <v>9</v>
      </c>
    </row>
    <row r="150" spans="2:12" ht="15" customHeight="1">
      <c r="B150" t="s">
        <v>2153</v>
      </c>
      <c r="C150" s="1">
        <v>41055.030787037038</v>
      </c>
      <c r="D150" s="4">
        <v>80000</v>
      </c>
      <c r="E150">
        <v>80000</v>
      </c>
      <c r="F150" t="s">
        <v>6</v>
      </c>
      <c r="G150">
        <f>tblSalaries[[#This Row],[clean Salary (in local currency)]]*VLOOKUP(tblSalaries[[#This Row],[Currency]],tblXrate[],2,FALSE)</f>
        <v>80000</v>
      </c>
      <c r="H150" t="s">
        <v>217</v>
      </c>
      <c r="I150" t="s">
        <v>20</v>
      </c>
      <c r="J150" t="s">
        <v>15</v>
      </c>
      <c r="K150" t="str">
        <f>VLOOKUP(tblSalaries[[#This Row],[Where do you work]],tblCountries[[Actual]:[Mapping]],2,FALSE)</f>
        <v>USA</v>
      </c>
      <c r="L150" t="s">
        <v>18</v>
      </c>
    </row>
    <row r="151" spans="2:12" ht="15" customHeight="1">
      <c r="B151" t="s">
        <v>2154</v>
      </c>
      <c r="C151" s="1">
        <v>41055.030810185184</v>
      </c>
      <c r="D151" s="4">
        <v>69000</v>
      </c>
      <c r="E151">
        <v>69000</v>
      </c>
      <c r="F151" t="s">
        <v>6</v>
      </c>
      <c r="G151">
        <f>tblSalaries[[#This Row],[clean Salary (in local currency)]]*VLOOKUP(tblSalaries[[#This Row],[Currency]],tblXrate[],2,FALSE)</f>
        <v>69000</v>
      </c>
      <c r="H151" t="s">
        <v>218</v>
      </c>
      <c r="I151" t="s">
        <v>356</v>
      </c>
      <c r="J151" t="s">
        <v>15</v>
      </c>
      <c r="K151" t="str">
        <f>VLOOKUP(tblSalaries[[#This Row],[Where do you work]],tblCountries[[Actual]:[Mapping]],2,FALSE)</f>
        <v>USA</v>
      </c>
      <c r="L151" t="s">
        <v>9</v>
      </c>
    </row>
    <row r="152" spans="2:12" ht="15" customHeight="1">
      <c r="B152" t="s">
        <v>2155</v>
      </c>
      <c r="C152" s="1">
        <v>41055.030821759261</v>
      </c>
      <c r="D152" s="4">
        <v>50000</v>
      </c>
      <c r="E152">
        <v>50000</v>
      </c>
      <c r="F152" t="s">
        <v>6</v>
      </c>
      <c r="G152">
        <f>tblSalaries[[#This Row],[clean Salary (in local currency)]]*VLOOKUP(tblSalaries[[#This Row],[Currency]],tblXrate[],2,FALSE)</f>
        <v>50000</v>
      </c>
      <c r="H152" t="s">
        <v>219</v>
      </c>
      <c r="I152" t="s">
        <v>20</v>
      </c>
      <c r="J152" t="s">
        <v>166</v>
      </c>
      <c r="K152" t="str">
        <f>VLOOKUP(tblSalaries[[#This Row],[Where do you work]],tblCountries[[Actual]:[Mapping]],2,FALSE)</f>
        <v>Mexico</v>
      </c>
      <c r="L152" t="s">
        <v>13</v>
      </c>
    </row>
    <row r="153" spans="2:12" ht="15" customHeight="1">
      <c r="B153" t="s">
        <v>2156</v>
      </c>
      <c r="C153" s="1">
        <v>41055.031018518515</v>
      </c>
      <c r="D153" s="4">
        <v>35000</v>
      </c>
      <c r="E153">
        <v>35000</v>
      </c>
      <c r="F153" t="s">
        <v>6</v>
      </c>
      <c r="G153">
        <f>tblSalaries[[#This Row],[clean Salary (in local currency)]]*VLOOKUP(tblSalaries[[#This Row],[Currency]],tblXrate[],2,FALSE)</f>
        <v>35000</v>
      </c>
      <c r="H153" t="s">
        <v>220</v>
      </c>
      <c r="I153" t="s">
        <v>52</v>
      </c>
      <c r="J153" t="s">
        <v>15</v>
      </c>
      <c r="K153" t="str">
        <f>VLOOKUP(tblSalaries[[#This Row],[Where do you work]],tblCountries[[Actual]:[Mapping]],2,FALSE)</f>
        <v>USA</v>
      </c>
      <c r="L153" t="s">
        <v>18</v>
      </c>
    </row>
    <row r="154" spans="2:12" ht="15" customHeight="1">
      <c r="B154" t="s">
        <v>2157</v>
      </c>
      <c r="C154" s="1">
        <v>41055.031238425923</v>
      </c>
      <c r="D154" s="4">
        <v>96000</v>
      </c>
      <c r="E154">
        <v>96000</v>
      </c>
      <c r="F154" t="s">
        <v>6</v>
      </c>
      <c r="G154">
        <f>tblSalaries[[#This Row],[clean Salary (in local currency)]]*VLOOKUP(tblSalaries[[#This Row],[Currency]],tblXrate[],2,FALSE)</f>
        <v>96000</v>
      </c>
      <c r="H154" t="s">
        <v>221</v>
      </c>
      <c r="I154" t="s">
        <v>20</v>
      </c>
      <c r="J154" t="s">
        <v>15</v>
      </c>
      <c r="K154" t="str">
        <f>VLOOKUP(tblSalaries[[#This Row],[Where do you work]],tblCountries[[Actual]:[Mapping]],2,FALSE)</f>
        <v>USA</v>
      </c>
      <c r="L154" t="s">
        <v>9</v>
      </c>
    </row>
    <row r="155" spans="2:12" ht="15" customHeight="1">
      <c r="B155" t="s">
        <v>2158</v>
      </c>
      <c r="C155" s="1">
        <v>41055.03125</v>
      </c>
      <c r="D155" s="4">
        <v>65000</v>
      </c>
      <c r="E155">
        <v>65000</v>
      </c>
      <c r="F155" t="s">
        <v>6</v>
      </c>
      <c r="G155">
        <f>tblSalaries[[#This Row],[clean Salary (in local currency)]]*VLOOKUP(tblSalaries[[#This Row],[Currency]],tblXrate[],2,FALSE)</f>
        <v>65000</v>
      </c>
      <c r="H155" t="s">
        <v>222</v>
      </c>
      <c r="I155" t="s">
        <v>310</v>
      </c>
      <c r="J155" t="s">
        <v>15</v>
      </c>
      <c r="K155" t="str">
        <f>VLOOKUP(tblSalaries[[#This Row],[Where do you work]],tblCountries[[Actual]:[Mapping]],2,FALSE)</f>
        <v>USA</v>
      </c>
      <c r="L155" t="s">
        <v>13</v>
      </c>
    </row>
    <row r="156" spans="2:12" ht="15" customHeight="1">
      <c r="B156" t="s">
        <v>2159</v>
      </c>
      <c r="C156" s="1">
        <v>41055.031319444446</v>
      </c>
      <c r="D156" s="4">
        <v>37440</v>
      </c>
      <c r="E156">
        <v>37440</v>
      </c>
      <c r="F156" t="s">
        <v>6</v>
      </c>
      <c r="G156">
        <f>tblSalaries[[#This Row],[clean Salary (in local currency)]]*VLOOKUP(tblSalaries[[#This Row],[Currency]],tblXrate[],2,FALSE)</f>
        <v>37440</v>
      </c>
      <c r="H156" t="s">
        <v>121</v>
      </c>
      <c r="I156" t="s">
        <v>20</v>
      </c>
      <c r="J156" t="s">
        <v>15</v>
      </c>
      <c r="K156" t="str">
        <f>VLOOKUP(tblSalaries[[#This Row],[Where do you work]],tblCountries[[Actual]:[Mapping]],2,FALSE)</f>
        <v>USA</v>
      </c>
      <c r="L156" t="s">
        <v>13</v>
      </c>
    </row>
    <row r="157" spans="2:12" ht="15" customHeight="1">
      <c r="B157" t="s">
        <v>2160</v>
      </c>
      <c r="C157" s="1">
        <v>41055.031377314815</v>
      </c>
      <c r="D157" s="4">
        <v>15500</v>
      </c>
      <c r="E157">
        <v>15500</v>
      </c>
      <c r="F157" t="s">
        <v>6</v>
      </c>
      <c r="G157">
        <f>tblSalaries[[#This Row],[clean Salary (in local currency)]]*VLOOKUP(tblSalaries[[#This Row],[Currency]],tblXrate[],2,FALSE)</f>
        <v>15500</v>
      </c>
      <c r="H157" t="s">
        <v>223</v>
      </c>
      <c r="I157" t="s">
        <v>310</v>
      </c>
      <c r="J157" t="s">
        <v>166</v>
      </c>
      <c r="K157" t="str">
        <f>VLOOKUP(tblSalaries[[#This Row],[Where do you work]],tblCountries[[Actual]:[Mapping]],2,FALSE)</f>
        <v>Mexico</v>
      </c>
      <c r="L157" t="s">
        <v>13</v>
      </c>
    </row>
    <row r="158" spans="2:12" ht="15" customHeight="1">
      <c r="B158" t="s">
        <v>2161</v>
      </c>
      <c r="C158" s="1">
        <v>41055.031446759262</v>
      </c>
      <c r="D158" s="4" t="s">
        <v>224</v>
      </c>
      <c r="E158">
        <v>90000</v>
      </c>
      <c r="F158" t="s">
        <v>6</v>
      </c>
      <c r="G158">
        <f>tblSalaries[[#This Row],[clean Salary (in local currency)]]*VLOOKUP(tblSalaries[[#This Row],[Currency]],tblXrate[],2,FALSE)</f>
        <v>90000</v>
      </c>
      <c r="H158" t="s">
        <v>225</v>
      </c>
      <c r="I158" t="s">
        <v>20</v>
      </c>
      <c r="J158" t="s">
        <v>15</v>
      </c>
      <c r="K158" t="str">
        <f>VLOOKUP(tblSalaries[[#This Row],[Where do you work]],tblCountries[[Actual]:[Mapping]],2,FALSE)</f>
        <v>USA</v>
      </c>
      <c r="L158" t="s">
        <v>18</v>
      </c>
    </row>
    <row r="159" spans="2:12" ht="15" customHeight="1">
      <c r="B159" t="s">
        <v>2162</v>
      </c>
      <c r="C159" s="1">
        <v>41055.031782407408</v>
      </c>
      <c r="D159" s="4">
        <v>66500</v>
      </c>
      <c r="E159">
        <v>66500</v>
      </c>
      <c r="F159" t="s">
        <v>6</v>
      </c>
      <c r="G159">
        <f>tblSalaries[[#This Row],[clean Salary (in local currency)]]*VLOOKUP(tblSalaries[[#This Row],[Currency]],tblXrate[],2,FALSE)</f>
        <v>66500</v>
      </c>
      <c r="H159" t="s">
        <v>226</v>
      </c>
      <c r="I159" t="s">
        <v>20</v>
      </c>
      <c r="J159" t="s">
        <v>15</v>
      </c>
      <c r="K159" t="str">
        <f>VLOOKUP(tblSalaries[[#This Row],[Where do you work]],tblCountries[[Actual]:[Mapping]],2,FALSE)</f>
        <v>USA</v>
      </c>
      <c r="L159" t="s">
        <v>13</v>
      </c>
    </row>
    <row r="160" spans="2:12" ht="15" customHeight="1">
      <c r="B160" t="s">
        <v>2163</v>
      </c>
      <c r="C160" s="1">
        <v>41055.031817129631</v>
      </c>
      <c r="D160" s="4">
        <v>100000</v>
      </c>
      <c r="E160">
        <v>100000</v>
      </c>
      <c r="F160" t="s">
        <v>6</v>
      </c>
      <c r="G160">
        <f>tblSalaries[[#This Row],[clean Salary (in local currency)]]*VLOOKUP(tblSalaries[[#This Row],[Currency]],tblXrate[],2,FALSE)</f>
        <v>100000</v>
      </c>
      <c r="H160" t="s">
        <v>227</v>
      </c>
      <c r="I160" t="s">
        <v>310</v>
      </c>
      <c r="J160" t="s">
        <v>15</v>
      </c>
      <c r="K160" t="str">
        <f>VLOOKUP(tblSalaries[[#This Row],[Where do you work]],tblCountries[[Actual]:[Mapping]],2,FALSE)</f>
        <v>USA</v>
      </c>
      <c r="L160" t="s">
        <v>13</v>
      </c>
    </row>
    <row r="161" spans="2:12" ht="15" customHeight="1">
      <c r="B161" t="s">
        <v>2164</v>
      </c>
      <c r="C161" s="1">
        <v>41055.031840277778</v>
      </c>
      <c r="D161" s="4" t="s">
        <v>228</v>
      </c>
      <c r="E161">
        <v>32250</v>
      </c>
      <c r="F161" t="s">
        <v>69</v>
      </c>
      <c r="G161">
        <f>tblSalaries[[#This Row],[clean Salary (in local currency)]]*VLOOKUP(tblSalaries[[#This Row],[Currency]],tblXrate[],2,FALSE)</f>
        <v>50831.74927416991</v>
      </c>
      <c r="H161" t="s">
        <v>229</v>
      </c>
      <c r="I161" t="s">
        <v>52</v>
      </c>
      <c r="J161" t="s">
        <v>71</v>
      </c>
      <c r="K161" t="str">
        <f>VLOOKUP(tblSalaries[[#This Row],[Where do you work]],tblCountries[[Actual]:[Mapping]],2,FALSE)</f>
        <v>UK</v>
      </c>
      <c r="L161" t="s">
        <v>9</v>
      </c>
    </row>
    <row r="162" spans="2:12" ht="15" customHeight="1">
      <c r="B162" t="s">
        <v>2165</v>
      </c>
      <c r="C162" s="1">
        <v>41055.031863425924</v>
      </c>
      <c r="D162" s="4">
        <v>420000</v>
      </c>
      <c r="E162">
        <v>420000</v>
      </c>
      <c r="F162" t="s">
        <v>40</v>
      </c>
      <c r="G162">
        <f>tblSalaries[[#This Row],[clean Salary (in local currency)]]*VLOOKUP(tblSalaries[[#This Row],[Currency]],tblXrate[],2,FALSE)</f>
        <v>7479.3250087258784</v>
      </c>
      <c r="H162" t="s">
        <v>230</v>
      </c>
      <c r="I162" t="s">
        <v>52</v>
      </c>
      <c r="J162" t="s">
        <v>8</v>
      </c>
      <c r="K162" t="str">
        <f>VLOOKUP(tblSalaries[[#This Row],[Where do you work]],tblCountries[[Actual]:[Mapping]],2,FALSE)</f>
        <v>India</v>
      </c>
      <c r="L162" t="s">
        <v>25</v>
      </c>
    </row>
    <row r="163" spans="2:12" ht="15" customHeight="1">
      <c r="B163" t="s">
        <v>2166</v>
      </c>
      <c r="C163" s="1">
        <v>41055.031944444447</v>
      </c>
      <c r="D163" s="4">
        <v>75000</v>
      </c>
      <c r="E163">
        <v>75000</v>
      </c>
      <c r="F163" t="s">
        <v>6</v>
      </c>
      <c r="G163">
        <f>tblSalaries[[#This Row],[clean Salary (in local currency)]]*VLOOKUP(tblSalaries[[#This Row],[Currency]],tblXrate[],2,FALSE)</f>
        <v>75000</v>
      </c>
      <c r="H163" t="s">
        <v>231</v>
      </c>
      <c r="I163" t="s">
        <v>20</v>
      </c>
      <c r="J163" t="s">
        <v>15</v>
      </c>
      <c r="K163" t="str">
        <f>VLOOKUP(tblSalaries[[#This Row],[Where do you work]],tblCountries[[Actual]:[Mapping]],2,FALSE)</f>
        <v>USA</v>
      </c>
      <c r="L163" t="s">
        <v>25</v>
      </c>
    </row>
    <row r="164" spans="2:12" ht="15" customHeight="1">
      <c r="B164" t="s">
        <v>2167</v>
      </c>
      <c r="C164" s="1">
        <v>41055.032233796293</v>
      </c>
      <c r="D164" s="4">
        <v>58</v>
      </c>
      <c r="E164">
        <v>58000</v>
      </c>
      <c r="F164" t="s">
        <v>6</v>
      </c>
      <c r="G164">
        <f>tblSalaries[[#This Row],[clean Salary (in local currency)]]*VLOOKUP(tblSalaries[[#This Row],[Currency]],tblXrate[],2,FALSE)</f>
        <v>58000</v>
      </c>
      <c r="H164" t="s">
        <v>232</v>
      </c>
      <c r="I164" t="s">
        <v>52</v>
      </c>
      <c r="J164" t="s">
        <v>88</v>
      </c>
      <c r="K164" t="str">
        <f>VLOOKUP(tblSalaries[[#This Row],[Where do you work]],tblCountries[[Actual]:[Mapping]],2,FALSE)</f>
        <v>Canada</v>
      </c>
      <c r="L164" t="s">
        <v>25</v>
      </c>
    </row>
    <row r="165" spans="2:12" ht="15" customHeight="1">
      <c r="B165" t="s">
        <v>2168</v>
      </c>
      <c r="C165" s="1">
        <v>41055.032280092593</v>
      </c>
      <c r="D165" s="4">
        <v>55000</v>
      </c>
      <c r="E165">
        <v>55000</v>
      </c>
      <c r="F165" t="s">
        <v>6</v>
      </c>
      <c r="G165">
        <f>tblSalaries[[#This Row],[clean Salary (in local currency)]]*VLOOKUP(tblSalaries[[#This Row],[Currency]],tblXrate[],2,FALSE)</f>
        <v>55000</v>
      </c>
      <c r="H165" t="s">
        <v>233</v>
      </c>
      <c r="I165" t="s">
        <v>52</v>
      </c>
      <c r="J165" t="s">
        <v>15</v>
      </c>
      <c r="K165" t="str">
        <f>VLOOKUP(tblSalaries[[#This Row],[Where do you work]],tblCountries[[Actual]:[Mapping]],2,FALSE)</f>
        <v>USA</v>
      </c>
      <c r="L165" t="s">
        <v>18</v>
      </c>
    </row>
    <row r="166" spans="2:12" ht="15" customHeight="1">
      <c r="B166" t="s">
        <v>2169</v>
      </c>
      <c r="C166" s="1">
        <v>41055.033125000002</v>
      </c>
      <c r="D166" s="4">
        <v>60000</v>
      </c>
      <c r="E166">
        <v>60000</v>
      </c>
      <c r="F166" t="s">
        <v>6</v>
      </c>
      <c r="G166">
        <f>tblSalaries[[#This Row],[clean Salary (in local currency)]]*VLOOKUP(tblSalaries[[#This Row],[Currency]],tblXrate[],2,FALSE)</f>
        <v>60000</v>
      </c>
      <c r="H166" t="s">
        <v>234</v>
      </c>
      <c r="I166" t="s">
        <v>20</v>
      </c>
      <c r="J166" t="s">
        <v>15</v>
      </c>
      <c r="K166" t="str">
        <f>VLOOKUP(tblSalaries[[#This Row],[Where do you work]],tblCountries[[Actual]:[Mapping]],2,FALSE)</f>
        <v>USA</v>
      </c>
      <c r="L166" t="s">
        <v>9</v>
      </c>
    </row>
    <row r="167" spans="2:12" ht="15" customHeight="1">
      <c r="B167" t="s">
        <v>2170</v>
      </c>
      <c r="C167" s="1">
        <v>41055.033159722225</v>
      </c>
      <c r="D167" s="4" t="s">
        <v>235</v>
      </c>
      <c r="E167">
        <v>1300000</v>
      </c>
      <c r="F167" t="s">
        <v>40</v>
      </c>
      <c r="G167">
        <f>tblSalaries[[#This Row],[clean Salary (in local currency)]]*VLOOKUP(tblSalaries[[#This Row],[Currency]],tblXrate[],2,FALSE)</f>
        <v>23150.291693675339</v>
      </c>
      <c r="H167" t="s">
        <v>52</v>
      </c>
      <c r="I167" t="s">
        <v>52</v>
      </c>
      <c r="J167" t="s">
        <v>8</v>
      </c>
      <c r="K167" t="str">
        <f>VLOOKUP(tblSalaries[[#This Row],[Where do you work]],tblCountries[[Actual]:[Mapping]],2,FALSE)</f>
        <v>India</v>
      </c>
      <c r="L167" t="s">
        <v>9</v>
      </c>
    </row>
    <row r="168" spans="2:12" ht="15" customHeight="1">
      <c r="B168" t="s">
        <v>2171</v>
      </c>
      <c r="C168" s="1">
        <v>41055.033217592594</v>
      </c>
      <c r="D168" s="4">
        <v>107000</v>
      </c>
      <c r="E168">
        <v>107000</v>
      </c>
      <c r="F168" t="s">
        <v>86</v>
      </c>
      <c r="G168">
        <f>tblSalaries[[#This Row],[clean Salary (in local currency)]]*VLOOKUP(tblSalaries[[#This Row],[Currency]],tblXrate[],2,FALSE)</f>
        <v>105219.68296424497</v>
      </c>
      <c r="H168" t="s">
        <v>236</v>
      </c>
      <c r="I168" t="s">
        <v>52</v>
      </c>
      <c r="J168" t="s">
        <v>88</v>
      </c>
      <c r="K168" t="str">
        <f>VLOOKUP(tblSalaries[[#This Row],[Where do you work]],tblCountries[[Actual]:[Mapping]],2,FALSE)</f>
        <v>Canada</v>
      </c>
      <c r="L168" t="s">
        <v>18</v>
      </c>
    </row>
    <row r="169" spans="2:12" ht="15" customHeight="1">
      <c r="B169" t="s">
        <v>2172</v>
      </c>
      <c r="C169" s="1">
        <v>41055.03329861111</v>
      </c>
      <c r="D169" s="4">
        <v>145000</v>
      </c>
      <c r="E169">
        <v>145000</v>
      </c>
      <c r="F169" t="s">
        <v>6</v>
      </c>
      <c r="G169">
        <f>tblSalaries[[#This Row],[clean Salary (in local currency)]]*VLOOKUP(tblSalaries[[#This Row],[Currency]],tblXrate[],2,FALSE)</f>
        <v>145000</v>
      </c>
      <c r="H169" t="s">
        <v>237</v>
      </c>
      <c r="I169" t="s">
        <v>488</v>
      </c>
      <c r="J169" t="s">
        <v>46</v>
      </c>
      <c r="K169" t="str">
        <f>VLOOKUP(tblSalaries[[#This Row],[Where do you work]],tblCountries[[Actual]:[Mapping]],2,FALSE)</f>
        <v>Switzerland</v>
      </c>
      <c r="L169" t="s">
        <v>13</v>
      </c>
    </row>
    <row r="170" spans="2:12" ht="15" customHeight="1">
      <c r="B170" t="s">
        <v>2173</v>
      </c>
      <c r="C170" s="1">
        <v>41055.033379629633</v>
      </c>
      <c r="D170" s="4">
        <v>22880</v>
      </c>
      <c r="E170">
        <v>22880</v>
      </c>
      <c r="F170" t="s">
        <v>6</v>
      </c>
      <c r="G170">
        <f>tblSalaries[[#This Row],[clean Salary (in local currency)]]*VLOOKUP(tblSalaries[[#This Row],[Currency]],tblXrate[],2,FALSE)</f>
        <v>22880</v>
      </c>
      <c r="H170" t="s">
        <v>238</v>
      </c>
      <c r="I170" t="s">
        <v>310</v>
      </c>
      <c r="J170" t="s">
        <v>15</v>
      </c>
      <c r="K170" t="str">
        <f>VLOOKUP(tblSalaries[[#This Row],[Where do you work]],tblCountries[[Actual]:[Mapping]],2,FALSE)</f>
        <v>USA</v>
      </c>
      <c r="L170" t="s">
        <v>9</v>
      </c>
    </row>
    <row r="171" spans="2:12" ht="15" customHeight="1">
      <c r="B171" t="s">
        <v>2174</v>
      </c>
      <c r="C171" s="1">
        <v>41055.033414351848</v>
      </c>
      <c r="D171" s="4">
        <v>80000</v>
      </c>
      <c r="E171">
        <v>80000</v>
      </c>
      <c r="F171" t="s">
        <v>6</v>
      </c>
      <c r="G171">
        <f>tblSalaries[[#This Row],[clean Salary (in local currency)]]*VLOOKUP(tblSalaries[[#This Row],[Currency]],tblXrate[],2,FALSE)</f>
        <v>80000</v>
      </c>
      <c r="H171" t="s">
        <v>239</v>
      </c>
      <c r="I171" t="s">
        <v>356</v>
      </c>
      <c r="J171" t="s">
        <v>15</v>
      </c>
      <c r="K171" t="str">
        <f>VLOOKUP(tblSalaries[[#This Row],[Where do you work]],tblCountries[[Actual]:[Mapping]],2,FALSE)</f>
        <v>USA</v>
      </c>
      <c r="L171" t="s">
        <v>9</v>
      </c>
    </row>
    <row r="172" spans="2:12" ht="15" customHeight="1">
      <c r="B172" t="s">
        <v>2175</v>
      </c>
      <c r="C172" s="1">
        <v>41055.033460648148</v>
      </c>
      <c r="D172" s="4" t="s">
        <v>240</v>
      </c>
      <c r="E172">
        <v>500000</v>
      </c>
      <c r="F172" t="s">
        <v>40</v>
      </c>
      <c r="G172">
        <f>tblSalaries[[#This Row],[clean Salary (in local currency)]]*VLOOKUP(tblSalaries[[#This Row],[Currency]],tblXrate[],2,FALSE)</f>
        <v>8903.9583437212841</v>
      </c>
      <c r="H172" t="s">
        <v>241</v>
      </c>
      <c r="I172" t="s">
        <v>20</v>
      </c>
      <c r="J172" t="s">
        <v>8</v>
      </c>
      <c r="K172" t="str">
        <f>VLOOKUP(tblSalaries[[#This Row],[Where do you work]],tblCountries[[Actual]:[Mapping]],2,FALSE)</f>
        <v>India</v>
      </c>
      <c r="L172" t="s">
        <v>18</v>
      </c>
    </row>
    <row r="173" spans="2:12" ht="15" customHeight="1">
      <c r="B173" t="s">
        <v>2176</v>
      </c>
      <c r="C173" s="1">
        <v>41055.033865740741</v>
      </c>
      <c r="D173" s="4">
        <v>90000</v>
      </c>
      <c r="E173">
        <v>90000</v>
      </c>
      <c r="F173" t="s">
        <v>86</v>
      </c>
      <c r="G173">
        <f>tblSalaries[[#This Row],[clean Salary (in local currency)]]*VLOOKUP(tblSalaries[[#This Row],[Currency]],tblXrate[],2,FALSE)</f>
        <v>88502.537072729421</v>
      </c>
      <c r="H173" t="s">
        <v>242</v>
      </c>
      <c r="I173" t="s">
        <v>20</v>
      </c>
      <c r="J173" t="s">
        <v>88</v>
      </c>
      <c r="K173" t="str">
        <f>VLOOKUP(tblSalaries[[#This Row],[Where do you work]],tblCountries[[Actual]:[Mapping]],2,FALSE)</f>
        <v>Canada</v>
      </c>
      <c r="L173" t="s">
        <v>9</v>
      </c>
    </row>
    <row r="174" spans="2:12" ht="15" customHeight="1">
      <c r="B174" t="s">
        <v>2177</v>
      </c>
      <c r="C174" s="1">
        <v>41055.033888888887</v>
      </c>
      <c r="D174" s="4">
        <v>180000</v>
      </c>
      <c r="E174">
        <v>180000</v>
      </c>
      <c r="F174" t="s">
        <v>40</v>
      </c>
      <c r="G174">
        <f>tblSalaries[[#This Row],[clean Salary (in local currency)]]*VLOOKUP(tblSalaries[[#This Row],[Currency]],tblXrate[],2,FALSE)</f>
        <v>3205.4250037396623</v>
      </c>
      <c r="H174" t="s">
        <v>243</v>
      </c>
      <c r="I174" t="s">
        <v>20</v>
      </c>
      <c r="J174" t="s">
        <v>8</v>
      </c>
      <c r="K174" t="str">
        <f>VLOOKUP(tblSalaries[[#This Row],[Where do you work]],tblCountries[[Actual]:[Mapping]],2,FALSE)</f>
        <v>India</v>
      </c>
      <c r="L174" t="s">
        <v>9</v>
      </c>
    </row>
    <row r="175" spans="2:12" ht="15" customHeight="1">
      <c r="B175" t="s">
        <v>2178</v>
      </c>
      <c r="C175" s="1">
        <v>41055.033888888887</v>
      </c>
      <c r="D175" s="4">
        <v>46584</v>
      </c>
      <c r="E175">
        <v>46584</v>
      </c>
      <c r="F175" t="s">
        <v>6</v>
      </c>
      <c r="G175">
        <f>tblSalaries[[#This Row],[clean Salary (in local currency)]]*VLOOKUP(tblSalaries[[#This Row],[Currency]],tblXrate[],2,FALSE)</f>
        <v>46584</v>
      </c>
      <c r="H175" t="s">
        <v>244</v>
      </c>
      <c r="I175" t="s">
        <v>20</v>
      </c>
      <c r="J175" t="s">
        <v>15</v>
      </c>
      <c r="K175" t="str">
        <f>VLOOKUP(tblSalaries[[#This Row],[Where do you work]],tblCountries[[Actual]:[Mapping]],2,FALSE)</f>
        <v>USA</v>
      </c>
      <c r="L175" t="s">
        <v>9</v>
      </c>
    </row>
    <row r="176" spans="2:12" ht="15" customHeight="1">
      <c r="B176" t="s">
        <v>2179</v>
      </c>
      <c r="C176" s="1">
        <v>41055.033888888887</v>
      </c>
      <c r="D176" s="4">
        <v>67000</v>
      </c>
      <c r="E176">
        <v>67000</v>
      </c>
      <c r="F176" t="s">
        <v>6</v>
      </c>
      <c r="G176">
        <f>tblSalaries[[#This Row],[clean Salary (in local currency)]]*VLOOKUP(tblSalaries[[#This Row],[Currency]],tblXrate[],2,FALSE)</f>
        <v>67000</v>
      </c>
      <c r="H176" t="s">
        <v>245</v>
      </c>
      <c r="I176" t="s">
        <v>20</v>
      </c>
      <c r="J176" t="s">
        <v>15</v>
      </c>
      <c r="K176" t="str">
        <f>VLOOKUP(tblSalaries[[#This Row],[Where do you work]],tblCountries[[Actual]:[Mapping]],2,FALSE)</f>
        <v>USA</v>
      </c>
      <c r="L176" t="s">
        <v>9</v>
      </c>
    </row>
    <row r="177" spans="2:12" ht="15" customHeight="1">
      <c r="B177" t="s">
        <v>2180</v>
      </c>
      <c r="C177" s="1">
        <v>41055.033993055556</v>
      </c>
      <c r="D177" s="4" t="s">
        <v>246</v>
      </c>
      <c r="E177">
        <v>1100000</v>
      </c>
      <c r="F177" t="s">
        <v>40</v>
      </c>
      <c r="G177">
        <f>tblSalaries[[#This Row],[clean Salary (in local currency)]]*VLOOKUP(tblSalaries[[#This Row],[Currency]],tblXrate[],2,FALSE)</f>
        <v>19588.708356186824</v>
      </c>
      <c r="H177" t="s">
        <v>247</v>
      </c>
      <c r="I177" t="s">
        <v>52</v>
      </c>
      <c r="J177" t="s">
        <v>8</v>
      </c>
      <c r="K177" t="str">
        <f>VLOOKUP(tblSalaries[[#This Row],[Where do you work]],tblCountries[[Actual]:[Mapping]],2,FALSE)</f>
        <v>India</v>
      </c>
      <c r="L177" t="s">
        <v>9</v>
      </c>
    </row>
    <row r="178" spans="2:12" ht="15" customHeight="1">
      <c r="B178" t="s">
        <v>2181</v>
      </c>
      <c r="C178" s="1">
        <v>41055.034236111111</v>
      </c>
      <c r="D178" s="4">
        <v>92000</v>
      </c>
      <c r="E178">
        <v>92000</v>
      </c>
      <c r="F178" t="s">
        <v>6</v>
      </c>
      <c r="G178">
        <f>tblSalaries[[#This Row],[clean Salary (in local currency)]]*VLOOKUP(tblSalaries[[#This Row],[Currency]],tblXrate[],2,FALSE)</f>
        <v>92000</v>
      </c>
      <c r="H178" t="s">
        <v>248</v>
      </c>
      <c r="I178" t="s">
        <v>279</v>
      </c>
      <c r="J178" t="s">
        <v>15</v>
      </c>
      <c r="K178" t="str">
        <f>VLOOKUP(tblSalaries[[#This Row],[Where do you work]],tblCountries[[Actual]:[Mapping]],2,FALSE)</f>
        <v>USA</v>
      </c>
      <c r="L178" t="s">
        <v>9</v>
      </c>
    </row>
    <row r="179" spans="2:12" ht="15" customHeight="1">
      <c r="B179" t="s">
        <v>2182</v>
      </c>
      <c r="C179" s="1">
        <v>41055.034270833334</v>
      </c>
      <c r="D179" s="4">
        <v>75000</v>
      </c>
      <c r="E179">
        <v>75000</v>
      </c>
      <c r="F179" t="s">
        <v>6</v>
      </c>
      <c r="G179">
        <f>tblSalaries[[#This Row],[clean Salary (in local currency)]]*VLOOKUP(tblSalaries[[#This Row],[Currency]],tblXrate[],2,FALSE)</f>
        <v>75000</v>
      </c>
      <c r="H179" t="s">
        <v>249</v>
      </c>
      <c r="I179" t="s">
        <v>67</v>
      </c>
      <c r="J179" t="s">
        <v>15</v>
      </c>
      <c r="K179" t="str">
        <f>VLOOKUP(tblSalaries[[#This Row],[Where do you work]],tblCountries[[Actual]:[Mapping]],2,FALSE)</f>
        <v>USA</v>
      </c>
      <c r="L179" t="s">
        <v>13</v>
      </c>
    </row>
    <row r="180" spans="2:12" ht="15" customHeight="1">
      <c r="B180" t="s">
        <v>2183</v>
      </c>
      <c r="C180" s="1">
        <v>41055.034432870372</v>
      </c>
      <c r="D180" s="4">
        <v>180000</v>
      </c>
      <c r="E180">
        <v>180000</v>
      </c>
      <c r="F180" t="s">
        <v>40</v>
      </c>
      <c r="G180">
        <f>tblSalaries[[#This Row],[clean Salary (in local currency)]]*VLOOKUP(tblSalaries[[#This Row],[Currency]],tblXrate[],2,FALSE)</f>
        <v>3205.4250037396623</v>
      </c>
      <c r="H180" t="s">
        <v>243</v>
      </c>
      <c r="I180" t="s">
        <v>20</v>
      </c>
      <c r="J180" t="s">
        <v>8</v>
      </c>
      <c r="K180" t="str">
        <f>VLOOKUP(tblSalaries[[#This Row],[Where do you work]],tblCountries[[Actual]:[Mapping]],2,FALSE)</f>
        <v>India</v>
      </c>
      <c r="L180" t="s">
        <v>9</v>
      </c>
    </row>
    <row r="181" spans="2:12" ht="15" customHeight="1">
      <c r="B181" t="s">
        <v>2184</v>
      </c>
      <c r="C181" s="1">
        <v>41055.034583333334</v>
      </c>
      <c r="D181" s="4">
        <v>18500</v>
      </c>
      <c r="E181">
        <v>18500</v>
      </c>
      <c r="F181" t="s">
        <v>69</v>
      </c>
      <c r="G181">
        <f>tblSalaries[[#This Row],[clean Salary (in local currency)]]*VLOOKUP(tblSalaries[[#This Row],[Currency]],tblXrate[],2,FALSE)</f>
        <v>29159.298033244755</v>
      </c>
      <c r="H181" t="s">
        <v>250</v>
      </c>
      <c r="I181" t="s">
        <v>52</v>
      </c>
      <c r="J181" t="s">
        <v>71</v>
      </c>
      <c r="K181" t="str">
        <f>VLOOKUP(tblSalaries[[#This Row],[Where do you work]],tblCountries[[Actual]:[Mapping]],2,FALSE)</f>
        <v>UK</v>
      </c>
      <c r="L181" t="s">
        <v>13</v>
      </c>
    </row>
    <row r="182" spans="2:12" ht="15" customHeight="1">
      <c r="B182" t="s">
        <v>2185</v>
      </c>
      <c r="C182" s="1">
        <v>41055.03460648148</v>
      </c>
      <c r="D182" s="4">
        <v>40000</v>
      </c>
      <c r="E182">
        <v>40000</v>
      </c>
      <c r="F182" t="s">
        <v>6</v>
      </c>
      <c r="G182">
        <f>tblSalaries[[#This Row],[clean Salary (in local currency)]]*VLOOKUP(tblSalaries[[#This Row],[Currency]],tblXrate[],2,FALSE)</f>
        <v>40000</v>
      </c>
      <c r="H182" t="s">
        <v>251</v>
      </c>
      <c r="I182" t="s">
        <v>20</v>
      </c>
      <c r="J182" t="s">
        <v>15</v>
      </c>
      <c r="K182" t="str">
        <f>VLOOKUP(tblSalaries[[#This Row],[Where do you work]],tblCountries[[Actual]:[Mapping]],2,FALSE)</f>
        <v>USA</v>
      </c>
      <c r="L182" t="s">
        <v>13</v>
      </c>
    </row>
    <row r="183" spans="2:12" ht="15" customHeight="1">
      <c r="B183" t="s">
        <v>2186</v>
      </c>
      <c r="C183" s="1">
        <v>41055.034710648149</v>
      </c>
      <c r="D183" s="4">
        <v>111680</v>
      </c>
      <c r="E183">
        <v>111680</v>
      </c>
      <c r="F183" t="s">
        <v>6</v>
      </c>
      <c r="G183">
        <f>tblSalaries[[#This Row],[clean Salary (in local currency)]]*VLOOKUP(tblSalaries[[#This Row],[Currency]],tblXrate[],2,FALSE)</f>
        <v>111680</v>
      </c>
      <c r="H183" t="s">
        <v>252</v>
      </c>
      <c r="I183" t="s">
        <v>20</v>
      </c>
      <c r="J183" t="s">
        <v>15</v>
      </c>
      <c r="K183" t="str">
        <f>VLOOKUP(tblSalaries[[#This Row],[Where do you work]],tblCountries[[Actual]:[Mapping]],2,FALSE)</f>
        <v>USA</v>
      </c>
      <c r="L183" t="s">
        <v>18</v>
      </c>
    </row>
    <row r="184" spans="2:12" ht="15" customHeight="1">
      <c r="B184" t="s">
        <v>2187</v>
      </c>
      <c r="C184" s="1">
        <v>41055.034849537034</v>
      </c>
      <c r="D184" s="4">
        <v>41.405999999999999</v>
      </c>
      <c r="E184">
        <v>41406</v>
      </c>
      <c r="F184" t="s">
        <v>6</v>
      </c>
      <c r="G184">
        <f>tblSalaries[[#This Row],[clean Salary (in local currency)]]*VLOOKUP(tblSalaries[[#This Row],[Currency]],tblXrate[],2,FALSE)</f>
        <v>41406</v>
      </c>
      <c r="H184" t="s">
        <v>253</v>
      </c>
      <c r="I184" t="s">
        <v>20</v>
      </c>
      <c r="J184" t="s">
        <v>88</v>
      </c>
      <c r="K184" t="str">
        <f>VLOOKUP(tblSalaries[[#This Row],[Where do you work]],tblCountries[[Actual]:[Mapping]],2,FALSE)</f>
        <v>Canada</v>
      </c>
      <c r="L184" t="s">
        <v>25</v>
      </c>
    </row>
    <row r="185" spans="2:12" ht="15" customHeight="1">
      <c r="B185" t="s">
        <v>2188</v>
      </c>
      <c r="C185" s="1">
        <v>41055.034895833334</v>
      </c>
      <c r="D185" s="4">
        <v>70000</v>
      </c>
      <c r="E185">
        <v>70000</v>
      </c>
      <c r="F185" t="s">
        <v>6</v>
      </c>
      <c r="G185">
        <f>tblSalaries[[#This Row],[clean Salary (in local currency)]]*VLOOKUP(tblSalaries[[#This Row],[Currency]],tblXrate[],2,FALSE)</f>
        <v>70000</v>
      </c>
      <c r="H185" t="s">
        <v>254</v>
      </c>
      <c r="I185" t="s">
        <v>52</v>
      </c>
      <c r="J185" t="s">
        <v>15</v>
      </c>
      <c r="K185" t="str">
        <f>VLOOKUP(tblSalaries[[#This Row],[Where do you work]],tblCountries[[Actual]:[Mapping]],2,FALSE)</f>
        <v>USA</v>
      </c>
      <c r="L185" t="s">
        <v>9</v>
      </c>
    </row>
    <row r="186" spans="2:12" ht="15" customHeight="1">
      <c r="B186" t="s">
        <v>2189</v>
      </c>
      <c r="C186" s="1">
        <v>41055.035081018519</v>
      </c>
      <c r="D186" s="4">
        <v>40700</v>
      </c>
      <c r="E186">
        <v>40700</v>
      </c>
      <c r="F186" t="s">
        <v>6</v>
      </c>
      <c r="G186">
        <f>tblSalaries[[#This Row],[clean Salary (in local currency)]]*VLOOKUP(tblSalaries[[#This Row],[Currency]],tblXrate[],2,FALSE)</f>
        <v>40700</v>
      </c>
      <c r="H186" t="s">
        <v>255</v>
      </c>
      <c r="I186" t="s">
        <v>20</v>
      </c>
      <c r="J186" t="s">
        <v>15</v>
      </c>
      <c r="K186" t="str">
        <f>VLOOKUP(tblSalaries[[#This Row],[Where do you work]],tblCountries[[Actual]:[Mapping]],2,FALSE)</f>
        <v>USA</v>
      </c>
      <c r="L186" t="s">
        <v>25</v>
      </c>
    </row>
    <row r="187" spans="2:12" ht="15" customHeight="1">
      <c r="B187" t="s">
        <v>2190</v>
      </c>
      <c r="C187" s="1">
        <v>41055.035092592596</v>
      </c>
      <c r="D187" s="4">
        <v>40000</v>
      </c>
      <c r="E187">
        <v>40000</v>
      </c>
      <c r="F187" t="s">
        <v>6</v>
      </c>
      <c r="G187">
        <f>tblSalaries[[#This Row],[clean Salary (in local currency)]]*VLOOKUP(tblSalaries[[#This Row],[Currency]],tblXrate[],2,FALSE)</f>
        <v>40000</v>
      </c>
      <c r="H187" t="s">
        <v>256</v>
      </c>
      <c r="I187" t="s">
        <v>20</v>
      </c>
      <c r="J187" t="s">
        <v>15</v>
      </c>
      <c r="K187" t="str">
        <f>VLOOKUP(tblSalaries[[#This Row],[Where do you work]],tblCountries[[Actual]:[Mapping]],2,FALSE)</f>
        <v>USA</v>
      </c>
      <c r="L187" t="s">
        <v>9</v>
      </c>
    </row>
    <row r="188" spans="2:12" ht="15" customHeight="1">
      <c r="B188" t="s">
        <v>2191</v>
      </c>
      <c r="C188" s="1">
        <v>41055.035162037035</v>
      </c>
      <c r="D188" s="4">
        <v>60000</v>
      </c>
      <c r="E188">
        <v>60000</v>
      </c>
      <c r="F188" t="s">
        <v>6</v>
      </c>
      <c r="G188">
        <f>tblSalaries[[#This Row],[clean Salary (in local currency)]]*VLOOKUP(tblSalaries[[#This Row],[Currency]],tblXrate[],2,FALSE)</f>
        <v>60000</v>
      </c>
      <c r="H188" t="s">
        <v>257</v>
      </c>
      <c r="I188" t="s">
        <v>310</v>
      </c>
      <c r="J188" t="s">
        <v>15</v>
      </c>
      <c r="K188" t="str">
        <f>VLOOKUP(tblSalaries[[#This Row],[Where do you work]],tblCountries[[Actual]:[Mapping]],2,FALSE)</f>
        <v>USA</v>
      </c>
      <c r="L188" t="s">
        <v>9</v>
      </c>
    </row>
    <row r="189" spans="2:12" ht="15" customHeight="1">
      <c r="B189" t="s">
        <v>2192</v>
      </c>
      <c r="C189" s="1">
        <v>41055.035196759258</v>
      </c>
      <c r="D189" s="4">
        <v>92000</v>
      </c>
      <c r="E189">
        <v>92000</v>
      </c>
      <c r="F189" t="s">
        <v>86</v>
      </c>
      <c r="G189">
        <f>tblSalaries[[#This Row],[clean Salary (in local currency)]]*VLOOKUP(tblSalaries[[#This Row],[Currency]],tblXrate[],2,FALSE)</f>
        <v>90469.260118790073</v>
      </c>
      <c r="H189" t="s">
        <v>258</v>
      </c>
      <c r="I189" t="s">
        <v>356</v>
      </c>
      <c r="J189" t="s">
        <v>88</v>
      </c>
      <c r="K189" t="str">
        <f>VLOOKUP(tblSalaries[[#This Row],[Where do you work]],tblCountries[[Actual]:[Mapping]],2,FALSE)</f>
        <v>Canada</v>
      </c>
      <c r="L189" t="s">
        <v>13</v>
      </c>
    </row>
    <row r="190" spans="2:12" ht="15" customHeight="1">
      <c r="B190" t="s">
        <v>2193</v>
      </c>
      <c r="C190" s="1">
        <v>41055.035219907404</v>
      </c>
      <c r="D190" s="4">
        <v>13636.36</v>
      </c>
      <c r="E190">
        <v>13636</v>
      </c>
      <c r="F190" t="s">
        <v>6</v>
      </c>
      <c r="G190">
        <f>tblSalaries[[#This Row],[clean Salary (in local currency)]]*VLOOKUP(tblSalaries[[#This Row],[Currency]],tblXrate[],2,FALSE)</f>
        <v>13636</v>
      </c>
      <c r="H190" t="s">
        <v>259</v>
      </c>
      <c r="I190" t="s">
        <v>52</v>
      </c>
      <c r="J190" t="s">
        <v>8</v>
      </c>
      <c r="K190" t="str">
        <f>VLOOKUP(tblSalaries[[#This Row],[Where do you work]],tblCountries[[Actual]:[Mapping]],2,FALSE)</f>
        <v>India</v>
      </c>
      <c r="L190" t="s">
        <v>13</v>
      </c>
    </row>
    <row r="191" spans="2:12" ht="15" customHeight="1">
      <c r="B191" t="s">
        <v>2194</v>
      </c>
      <c r="C191" s="1">
        <v>41055.035219907404</v>
      </c>
      <c r="D191" s="4">
        <v>80000</v>
      </c>
      <c r="E191">
        <v>80000</v>
      </c>
      <c r="F191" t="s">
        <v>6</v>
      </c>
      <c r="G191">
        <f>tblSalaries[[#This Row],[clean Salary (in local currency)]]*VLOOKUP(tblSalaries[[#This Row],[Currency]],tblXrate[],2,FALSE)</f>
        <v>80000</v>
      </c>
      <c r="H191" t="s">
        <v>260</v>
      </c>
      <c r="I191" t="s">
        <v>52</v>
      </c>
      <c r="J191" t="s">
        <v>15</v>
      </c>
      <c r="K191" t="str">
        <f>VLOOKUP(tblSalaries[[#This Row],[Where do you work]],tblCountries[[Actual]:[Mapping]],2,FALSE)</f>
        <v>USA</v>
      </c>
      <c r="L191" t="s">
        <v>18</v>
      </c>
    </row>
    <row r="192" spans="2:12" ht="15" customHeight="1">
      <c r="B192" t="s">
        <v>2195</v>
      </c>
      <c r="C192" s="1">
        <v>41055.035416666666</v>
      </c>
      <c r="D192" s="4" t="s">
        <v>261</v>
      </c>
      <c r="E192">
        <v>60000</v>
      </c>
      <c r="F192" t="s">
        <v>86</v>
      </c>
      <c r="G192">
        <f>tblSalaries[[#This Row],[clean Salary (in local currency)]]*VLOOKUP(tblSalaries[[#This Row],[Currency]],tblXrate[],2,FALSE)</f>
        <v>59001.691381819612</v>
      </c>
      <c r="H192" t="s">
        <v>262</v>
      </c>
      <c r="I192" t="s">
        <v>20</v>
      </c>
      <c r="J192" t="s">
        <v>88</v>
      </c>
      <c r="K192" t="str">
        <f>VLOOKUP(tblSalaries[[#This Row],[Where do you work]],tblCountries[[Actual]:[Mapping]],2,FALSE)</f>
        <v>Canada</v>
      </c>
      <c r="L192" t="s">
        <v>18</v>
      </c>
    </row>
    <row r="193" spans="2:12" ht="15" customHeight="1">
      <c r="B193" t="s">
        <v>2196</v>
      </c>
      <c r="C193" s="1">
        <v>41055.035914351851</v>
      </c>
      <c r="D193" s="4">
        <v>28000</v>
      </c>
      <c r="E193">
        <v>28000</v>
      </c>
      <c r="F193" t="s">
        <v>6</v>
      </c>
      <c r="G193">
        <f>tblSalaries[[#This Row],[clean Salary (in local currency)]]*VLOOKUP(tblSalaries[[#This Row],[Currency]],tblXrate[],2,FALSE)</f>
        <v>28000</v>
      </c>
      <c r="H193" t="s">
        <v>263</v>
      </c>
      <c r="I193" t="s">
        <v>20</v>
      </c>
      <c r="J193" t="s">
        <v>15</v>
      </c>
      <c r="K193" t="str">
        <f>VLOOKUP(tblSalaries[[#This Row],[Where do you work]],tblCountries[[Actual]:[Mapping]],2,FALSE)</f>
        <v>USA</v>
      </c>
      <c r="L193" t="s">
        <v>9</v>
      </c>
    </row>
    <row r="194" spans="2:12" ht="15" customHeight="1">
      <c r="B194" t="s">
        <v>2197</v>
      </c>
      <c r="C194" s="1">
        <v>41055.036053240743</v>
      </c>
      <c r="D194" s="4">
        <v>60000</v>
      </c>
      <c r="E194">
        <v>60000</v>
      </c>
      <c r="F194" t="s">
        <v>6</v>
      </c>
      <c r="G194">
        <f>tblSalaries[[#This Row],[clean Salary (in local currency)]]*VLOOKUP(tblSalaries[[#This Row],[Currency]],tblXrate[],2,FALSE)</f>
        <v>60000</v>
      </c>
      <c r="H194" t="s">
        <v>264</v>
      </c>
      <c r="I194" t="s">
        <v>20</v>
      </c>
      <c r="J194" t="s">
        <v>15</v>
      </c>
      <c r="K194" t="str">
        <f>VLOOKUP(tblSalaries[[#This Row],[Where do you work]],tblCountries[[Actual]:[Mapping]],2,FALSE)</f>
        <v>USA</v>
      </c>
      <c r="L194" t="s">
        <v>9</v>
      </c>
    </row>
    <row r="195" spans="2:12" ht="15" customHeight="1">
      <c r="B195" t="s">
        <v>2198</v>
      </c>
      <c r="C195" s="1">
        <v>41055.036099537036</v>
      </c>
      <c r="D195" s="4">
        <v>96000</v>
      </c>
      <c r="E195">
        <v>96000</v>
      </c>
      <c r="F195" t="s">
        <v>6</v>
      </c>
      <c r="G195">
        <f>tblSalaries[[#This Row],[clean Salary (in local currency)]]*VLOOKUP(tblSalaries[[#This Row],[Currency]],tblXrate[],2,FALSE)</f>
        <v>96000</v>
      </c>
      <c r="H195" t="s">
        <v>265</v>
      </c>
      <c r="I195" t="s">
        <v>67</v>
      </c>
      <c r="J195" t="s">
        <v>15</v>
      </c>
      <c r="K195" t="str">
        <f>VLOOKUP(tblSalaries[[#This Row],[Where do you work]],tblCountries[[Actual]:[Mapping]],2,FALSE)</f>
        <v>USA</v>
      </c>
      <c r="L195" t="s">
        <v>18</v>
      </c>
    </row>
    <row r="196" spans="2:12" ht="15" customHeight="1">
      <c r="B196" t="s">
        <v>2199</v>
      </c>
      <c r="C196" s="1">
        <v>41055.036354166667</v>
      </c>
      <c r="D196" s="4">
        <v>67000</v>
      </c>
      <c r="E196">
        <v>67000</v>
      </c>
      <c r="F196" t="s">
        <v>6</v>
      </c>
      <c r="G196">
        <f>tblSalaries[[#This Row],[clean Salary (in local currency)]]*VLOOKUP(tblSalaries[[#This Row],[Currency]],tblXrate[],2,FALSE)</f>
        <v>67000</v>
      </c>
      <c r="H196" t="s">
        <v>14</v>
      </c>
      <c r="I196" t="s">
        <v>20</v>
      </c>
      <c r="J196" t="s">
        <v>15</v>
      </c>
      <c r="K196" t="str">
        <f>VLOOKUP(tblSalaries[[#This Row],[Where do you work]],tblCountries[[Actual]:[Mapping]],2,FALSE)</f>
        <v>USA</v>
      </c>
      <c r="L196" t="s">
        <v>9</v>
      </c>
    </row>
    <row r="197" spans="2:12" ht="15" customHeight="1">
      <c r="B197" t="s">
        <v>2200</v>
      </c>
      <c r="C197" s="1">
        <v>41055.036400462966</v>
      </c>
      <c r="D197" s="4">
        <v>70000</v>
      </c>
      <c r="E197">
        <v>70000</v>
      </c>
      <c r="F197" t="s">
        <v>6</v>
      </c>
      <c r="G197">
        <f>tblSalaries[[#This Row],[clean Salary (in local currency)]]*VLOOKUP(tblSalaries[[#This Row],[Currency]],tblXrate[],2,FALSE)</f>
        <v>70000</v>
      </c>
      <c r="H197" t="s">
        <v>266</v>
      </c>
      <c r="I197" t="s">
        <v>20</v>
      </c>
      <c r="J197" t="s">
        <v>15</v>
      </c>
      <c r="K197" t="str">
        <f>VLOOKUP(tblSalaries[[#This Row],[Where do you work]],tblCountries[[Actual]:[Mapping]],2,FALSE)</f>
        <v>USA</v>
      </c>
      <c r="L197" t="s">
        <v>9</v>
      </c>
    </row>
    <row r="198" spans="2:12" ht="15" customHeight="1">
      <c r="B198" t="s">
        <v>2201</v>
      </c>
      <c r="C198" s="1">
        <v>41055.036458333336</v>
      </c>
      <c r="D198" s="4">
        <v>233000</v>
      </c>
      <c r="E198">
        <v>233000</v>
      </c>
      <c r="F198" t="s">
        <v>40</v>
      </c>
      <c r="G198">
        <f>tblSalaries[[#This Row],[clean Salary (in local currency)]]*VLOOKUP(tblSalaries[[#This Row],[Currency]],tblXrate[],2,FALSE)</f>
        <v>4149.2445881741187</v>
      </c>
      <c r="H198" t="s">
        <v>267</v>
      </c>
      <c r="I198" t="s">
        <v>52</v>
      </c>
      <c r="J198" t="s">
        <v>8</v>
      </c>
      <c r="K198" t="str">
        <f>VLOOKUP(tblSalaries[[#This Row],[Where do you work]],tblCountries[[Actual]:[Mapping]],2,FALSE)</f>
        <v>India</v>
      </c>
      <c r="L198" t="s">
        <v>13</v>
      </c>
    </row>
    <row r="199" spans="2:12" ht="15" customHeight="1">
      <c r="B199" t="s">
        <v>2202</v>
      </c>
      <c r="C199" s="1">
        <v>41055.036539351851</v>
      </c>
      <c r="D199" s="4" t="s">
        <v>268</v>
      </c>
      <c r="E199">
        <v>99000</v>
      </c>
      <c r="F199" t="s">
        <v>6</v>
      </c>
      <c r="G199">
        <f>tblSalaries[[#This Row],[clean Salary (in local currency)]]*VLOOKUP(tblSalaries[[#This Row],[Currency]],tblXrate[],2,FALSE)</f>
        <v>99000</v>
      </c>
      <c r="H199" t="s">
        <v>269</v>
      </c>
      <c r="I199" t="s">
        <v>488</v>
      </c>
      <c r="J199" t="s">
        <v>15</v>
      </c>
      <c r="K199" t="str">
        <f>VLOOKUP(tblSalaries[[#This Row],[Where do you work]],tblCountries[[Actual]:[Mapping]],2,FALSE)</f>
        <v>USA</v>
      </c>
      <c r="L199" t="s">
        <v>9</v>
      </c>
    </row>
    <row r="200" spans="2:12" ht="15" customHeight="1">
      <c r="B200" t="s">
        <v>2203</v>
      </c>
      <c r="C200" s="1">
        <v>41055.036805555559</v>
      </c>
      <c r="D200" s="4">
        <v>90000</v>
      </c>
      <c r="E200">
        <v>90000</v>
      </c>
      <c r="F200" t="s">
        <v>6</v>
      </c>
      <c r="G200">
        <f>tblSalaries[[#This Row],[clean Salary (in local currency)]]*VLOOKUP(tblSalaries[[#This Row],[Currency]],tblXrate[],2,FALSE)</f>
        <v>90000</v>
      </c>
      <c r="H200" t="s">
        <v>201</v>
      </c>
      <c r="I200" t="s">
        <v>52</v>
      </c>
      <c r="J200" t="s">
        <v>15</v>
      </c>
      <c r="K200" t="str">
        <f>VLOOKUP(tblSalaries[[#This Row],[Where do you work]],tblCountries[[Actual]:[Mapping]],2,FALSE)</f>
        <v>USA</v>
      </c>
      <c r="L200" t="s">
        <v>18</v>
      </c>
    </row>
    <row r="201" spans="2:12" ht="15" customHeight="1">
      <c r="B201" t="s">
        <v>2204</v>
      </c>
      <c r="C201" s="1">
        <v>41055.036828703705</v>
      </c>
      <c r="D201" s="4" t="s">
        <v>271</v>
      </c>
      <c r="E201">
        <v>275000</v>
      </c>
      <c r="F201" t="s">
        <v>40</v>
      </c>
      <c r="G201">
        <f>tblSalaries[[#This Row],[clean Salary (in local currency)]]*VLOOKUP(tblSalaries[[#This Row],[Currency]],tblXrate[],2,FALSE)</f>
        <v>4897.177089046706</v>
      </c>
      <c r="H201" t="s">
        <v>272</v>
      </c>
      <c r="I201" t="s">
        <v>20</v>
      </c>
      <c r="J201" t="s">
        <v>8</v>
      </c>
      <c r="K201" t="str">
        <f>VLOOKUP(tblSalaries[[#This Row],[Where do you work]],tblCountries[[Actual]:[Mapping]],2,FALSE)</f>
        <v>India</v>
      </c>
      <c r="L201" t="s">
        <v>18</v>
      </c>
    </row>
    <row r="202" spans="2:12" ht="15" customHeight="1">
      <c r="B202" t="s">
        <v>2205</v>
      </c>
      <c r="C202" s="1">
        <v>41055.03701388889</v>
      </c>
      <c r="D202" s="4" t="s">
        <v>273</v>
      </c>
      <c r="E202">
        <v>192000</v>
      </c>
      <c r="F202" t="s">
        <v>40</v>
      </c>
      <c r="G202">
        <f>tblSalaries[[#This Row],[clean Salary (in local currency)]]*VLOOKUP(tblSalaries[[#This Row],[Currency]],tblXrate[],2,FALSE)</f>
        <v>3419.1200039889732</v>
      </c>
      <c r="H202" t="s">
        <v>274</v>
      </c>
      <c r="I202" t="s">
        <v>20</v>
      </c>
      <c r="J202" t="s">
        <v>8</v>
      </c>
      <c r="K202" t="str">
        <f>VLOOKUP(tblSalaries[[#This Row],[Where do you work]],tblCountries[[Actual]:[Mapping]],2,FALSE)</f>
        <v>India</v>
      </c>
      <c r="L202" t="s">
        <v>13</v>
      </c>
    </row>
    <row r="203" spans="2:12" ht="15" customHeight="1">
      <c r="B203" t="s">
        <v>2206</v>
      </c>
      <c r="C203" s="1">
        <v>41055.037233796298</v>
      </c>
      <c r="D203" s="4">
        <v>51000</v>
      </c>
      <c r="E203">
        <v>51000</v>
      </c>
      <c r="F203" t="s">
        <v>6</v>
      </c>
      <c r="G203">
        <f>tblSalaries[[#This Row],[clean Salary (in local currency)]]*VLOOKUP(tblSalaries[[#This Row],[Currency]],tblXrate[],2,FALSE)</f>
        <v>51000</v>
      </c>
      <c r="H203" t="s">
        <v>275</v>
      </c>
      <c r="I203" t="s">
        <v>52</v>
      </c>
      <c r="J203" t="s">
        <v>15</v>
      </c>
      <c r="K203" t="str">
        <f>VLOOKUP(tblSalaries[[#This Row],[Where do you work]],tblCountries[[Actual]:[Mapping]],2,FALSE)</f>
        <v>USA</v>
      </c>
      <c r="L203" t="s">
        <v>9</v>
      </c>
    </row>
    <row r="204" spans="2:12" ht="15" customHeight="1">
      <c r="B204" t="s">
        <v>2207</v>
      </c>
      <c r="C204" s="1">
        <v>41055.037291666667</v>
      </c>
      <c r="D204" s="4">
        <v>100000</v>
      </c>
      <c r="E204">
        <v>100000</v>
      </c>
      <c r="F204" t="s">
        <v>6</v>
      </c>
      <c r="G204">
        <f>tblSalaries[[#This Row],[clean Salary (in local currency)]]*VLOOKUP(tblSalaries[[#This Row],[Currency]],tblXrate[],2,FALSE)</f>
        <v>100000</v>
      </c>
      <c r="H204" t="s">
        <v>276</v>
      </c>
      <c r="I204" t="s">
        <v>52</v>
      </c>
      <c r="J204" t="s">
        <v>15</v>
      </c>
      <c r="K204" t="str">
        <f>VLOOKUP(tblSalaries[[#This Row],[Where do you work]],tblCountries[[Actual]:[Mapping]],2,FALSE)</f>
        <v>USA</v>
      </c>
      <c r="L204" t="s">
        <v>13</v>
      </c>
    </row>
    <row r="205" spans="2:12" ht="15" customHeight="1">
      <c r="B205" t="s">
        <v>2208</v>
      </c>
      <c r="C205" s="1">
        <v>41055.03733796296</v>
      </c>
      <c r="D205" s="4" t="s">
        <v>277</v>
      </c>
      <c r="E205">
        <v>1800000</v>
      </c>
      <c r="F205" t="s">
        <v>40</v>
      </c>
      <c r="G205">
        <f>tblSalaries[[#This Row],[clean Salary (in local currency)]]*VLOOKUP(tblSalaries[[#This Row],[Currency]],tblXrate[],2,FALSE)</f>
        <v>32054.250037396621</v>
      </c>
      <c r="H205" t="s">
        <v>278</v>
      </c>
      <c r="I205" t="s">
        <v>52</v>
      </c>
      <c r="J205" t="s">
        <v>8</v>
      </c>
      <c r="K205" t="str">
        <f>VLOOKUP(tblSalaries[[#This Row],[Where do you work]],tblCountries[[Actual]:[Mapping]],2,FALSE)</f>
        <v>India</v>
      </c>
      <c r="L205" t="s">
        <v>25</v>
      </c>
    </row>
    <row r="206" spans="2:12" ht="15" customHeight="1">
      <c r="B206" t="s">
        <v>2209</v>
      </c>
      <c r="C206" s="1">
        <v>41055.037638888891</v>
      </c>
      <c r="D206" s="4" t="s">
        <v>137</v>
      </c>
      <c r="E206">
        <v>30000</v>
      </c>
      <c r="F206" t="s">
        <v>69</v>
      </c>
      <c r="G206">
        <f>tblSalaries[[#This Row],[clean Salary (in local currency)]]*VLOOKUP(tblSalaries[[#This Row],[Currency]],tblXrate[],2,FALSE)</f>
        <v>47285.348162018527</v>
      </c>
      <c r="H206" t="s">
        <v>280</v>
      </c>
      <c r="I206" t="s">
        <v>20</v>
      </c>
      <c r="J206" t="s">
        <v>71</v>
      </c>
      <c r="K206" t="str">
        <f>VLOOKUP(tblSalaries[[#This Row],[Where do you work]],tblCountries[[Actual]:[Mapping]],2,FALSE)</f>
        <v>UK</v>
      </c>
      <c r="L206" t="s">
        <v>18</v>
      </c>
    </row>
    <row r="207" spans="2:12" ht="15" customHeight="1">
      <c r="B207" t="s">
        <v>2210</v>
      </c>
      <c r="C207" s="1">
        <v>41055.037662037037</v>
      </c>
      <c r="D207" s="4" t="s">
        <v>281</v>
      </c>
      <c r="E207">
        <v>50000</v>
      </c>
      <c r="F207" t="s">
        <v>22</v>
      </c>
      <c r="G207">
        <f>tblSalaries[[#This Row],[clean Salary (in local currency)]]*VLOOKUP(tblSalaries[[#This Row],[Currency]],tblXrate[],2,FALSE)</f>
        <v>63519.971949580387</v>
      </c>
      <c r="H207" t="s">
        <v>153</v>
      </c>
      <c r="I207" t="s">
        <v>20</v>
      </c>
      <c r="J207" t="s">
        <v>36</v>
      </c>
      <c r="K207" t="str">
        <f>VLOOKUP(tblSalaries[[#This Row],[Where do you work]],tblCountries[[Actual]:[Mapping]],2,FALSE)</f>
        <v>Ireland</v>
      </c>
      <c r="L207" t="s">
        <v>9</v>
      </c>
    </row>
    <row r="208" spans="2:12" ht="15" customHeight="1">
      <c r="B208" t="s">
        <v>2211</v>
      </c>
      <c r="C208" s="1">
        <v>41055.037685185183</v>
      </c>
      <c r="D208" s="4">
        <v>108160</v>
      </c>
      <c r="E208">
        <v>108160</v>
      </c>
      <c r="F208" t="s">
        <v>6</v>
      </c>
      <c r="G208">
        <f>tblSalaries[[#This Row],[clean Salary (in local currency)]]*VLOOKUP(tblSalaries[[#This Row],[Currency]],tblXrate[],2,FALSE)</f>
        <v>108160</v>
      </c>
      <c r="H208" t="s">
        <v>282</v>
      </c>
      <c r="I208" t="s">
        <v>20</v>
      </c>
      <c r="J208" t="s">
        <v>15</v>
      </c>
      <c r="K208" t="str">
        <f>VLOOKUP(tblSalaries[[#This Row],[Where do you work]],tblCountries[[Actual]:[Mapping]],2,FALSE)</f>
        <v>USA</v>
      </c>
      <c r="L208" t="s">
        <v>9</v>
      </c>
    </row>
    <row r="209" spans="2:12" ht="15" customHeight="1">
      <c r="B209" t="s">
        <v>2212</v>
      </c>
      <c r="C209" s="1">
        <v>41055.037812499999</v>
      </c>
      <c r="D209" s="4">
        <v>50000</v>
      </c>
      <c r="E209">
        <v>50000</v>
      </c>
      <c r="F209" t="s">
        <v>6</v>
      </c>
      <c r="G209">
        <f>tblSalaries[[#This Row],[clean Salary (in local currency)]]*VLOOKUP(tblSalaries[[#This Row],[Currency]],tblXrate[],2,FALSE)</f>
        <v>50000</v>
      </c>
      <c r="H209" t="s">
        <v>283</v>
      </c>
      <c r="I209" t="s">
        <v>52</v>
      </c>
      <c r="J209" t="s">
        <v>15</v>
      </c>
      <c r="K209" t="str">
        <f>VLOOKUP(tblSalaries[[#This Row],[Where do you work]],tblCountries[[Actual]:[Mapping]],2,FALSE)</f>
        <v>USA</v>
      </c>
      <c r="L209" t="s">
        <v>9</v>
      </c>
    </row>
    <row r="210" spans="2:12" ht="15" customHeight="1">
      <c r="B210" t="s">
        <v>2213</v>
      </c>
      <c r="C210" s="1">
        <v>41055.037824074076</v>
      </c>
      <c r="D210" s="4">
        <v>400000</v>
      </c>
      <c r="E210">
        <v>400000</v>
      </c>
      <c r="F210" t="s">
        <v>6</v>
      </c>
      <c r="G210">
        <f>tblSalaries[[#This Row],[clean Salary (in local currency)]]*VLOOKUP(tblSalaries[[#This Row],[Currency]],tblXrate[],2,FALSE)</f>
        <v>400000</v>
      </c>
      <c r="H210" t="s">
        <v>284</v>
      </c>
      <c r="I210" t="s">
        <v>52</v>
      </c>
      <c r="J210" t="s">
        <v>15</v>
      </c>
      <c r="K210" t="str">
        <f>VLOOKUP(tblSalaries[[#This Row],[Where do you work]],tblCountries[[Actual]:[Mapping]],2,FALSE)</f>
        <v>USA</v>
      </c>
      <c r="L210" t="s">
        <v>25</v>
      </c>
    </row>
    <row r="211" spans="2:12" ht="15" customHeight="1">
      <c r="B211" t="s">
        <v>2214</v>
      </c>
      <c r="C211" s="1">
        <v>41055.037974537037</v>
      </c>
      <c r="D211" s="4">
        <v>43000</v>
      </c>
      <c r="E211">
        <v>43000</v>
      </c>
      <c r="F211" t="s">
        <v>6</v>
      </c>
      <c r="G211">
        <f>tblSalaries[[#This Row],[clean Salary (in local currency)]]*VLOOKUP(tblSalaries[[#This Row],[Currency]],tblXrate[],2,FALSE)</f>
        <v>43000</v>
      </c>
      <c r="H211" t="s">
        <v>285</v>
      </c>
      <c r="I211" t="s">
        <v>20</v>
      </c>
      <c r="J211" t="s">
        <v>15</v>
      </c>
      <c r="K211" t="str">
        <f>VLOOKUP(tblSalaries[[#This Row],[Where do you work]],tblCountries[[Actual]:[Mapping]],2,FALSE)</f>
        <v>USA</v>
      </c>
      <c r="L211" t="s">
        <v>13</v>
      </c>
    </row>
    <row r="212" spans="2:12" ht="15" customHeight="1">
      <c r="B212" t="s">
        <v>2215</v>
      </c>
      <c r="C212" s="1">
        <v>41055.038032407407</v>
      </c>
      <c r="D212" s="4">
        <v>27000</v>
      </c>
      <c r="E212">
        <v>27000</v>
      </c>
      <c r="F212" t="s">
        <v>6</v>
      </c>
      <c r="G212">
        <f>tblSalaries[[#This Row],[clean Salary (in local currency)]]*VLOOKUP(tblSalaries[[#This Row],[Currency]],tblXrate[],2,FALSE)</f>
        <v>27000</v>
      </c>
      <c r="H212" t="s">
        <v>170</v>
      </c>
      <c r="I212" t="s">
        <v>20</v>
      </c>
      <c r="J212" t="s">
        <v>171</v>
      </c>
      <c r="K212" t="str">
        <f>VLOOKUP(tblSalaries[[#This Row],[Where do you work]],tblCountries[[Actual]:[Mapping]],2,FALSE)</f>
        <v>Singapore</v>
      </c>
      <c r="L212" t="s">
        <v>13</v>
      </c>
    </row>
    <row r="213" spans="2:12" ht="15" customHeight="1">
      <c r="B213" t="s">
        <v>2216</v>
      </c>
      <c r="C213" s="1">
        <v>41055.038148148145</v>
      </c>
      <c r="D213" s="4">
        <v>41000</v>
      </c>
      <c r="E213">
        <v>41000</v>
      </c>
      <c r="F213" t="s">
        <v>6</v>
      </c>
      <c r="G213">
        <f>tblSalaries[[#This Row],[clean Salary (in local currency)]]*VLOOKUP(tblSalaries[[#This Row],[Currency]],tblXrate[],2,FALSE)</f>
        <v>41000</v>
      </c>
      <c r="H213" t="s">
        <v>286</v>
      </c>
      <c r="I213" t="s">
        <v>52</v>
      </c>
      <c r="J213" t="s">
        <v>15</v>
      </c>
      <c r="K213" t="str">
        <f>VLOOKUP(tblSalaries[[#This Row],[Where do you work]],tblCountries[[Actual]:[Mapping]],2,FALSE)</f>
        <v>USA</v>
      </c>
      <c r="L213" t="s">
        <v>13</v>
      </c>
    </row>
    <row r="214" spans="2:12" ht="15" customHeight="1">
      <c r="B214" t="s">
        <v>2217</v>
      </c>
      <c r="C214" s="1">
        <v>41055.038263888891</v>
      </c>
      <c r="D214" s="4">
        <v>100000</v>
      </c>
      <c r="E214">
        <v>100000</v>
      </c>
      <c r="F214" t="s">
        <v>6</v>
      </c>
      <c r="G214">
        <f>tblSalaries[[#This Row],[clean Salary (in local currency)]]*VLOOKUP(tblSalaries[[#This Row],[Currency]],tblXrate[],2,FALSE)</f>
        <v>100000</v>
      </c>
      <c r="H214" t="s">
        <v>287</v>
      </c>
      <c r="I214" t="s">
        <v>4001</v>
      </c>
      <c r="J214" t="s">
        <v>15</v>
      </c>
      <c r="K214" t="str">
        <f>VLOOKUP(tblSalaries[[#This Row],[Where do you work]],tblCountries[[Actual]:[Mapping]],2,FALSE)</f>
        <v>USA</v>
      </c>
      <c r="L214" t="s">
        <v>9</v>
      </c>
    </row>
    <row r="215" spans="2:12" ht="15" customHeight="1">
      <c r="B215" t="s">
        <v>2218</v>
      </c>
      <c r="C215" s="1">
        <v>41055.038773148146</v>
      </c>
      <c r="D215" s="4">
        <v>42140</v>
      </c>
      <c r="E215">
        <v>42140</v>
      </c>
      <c r="F215" t="s">
        <v>6</v>
      </c>
      <c r="G215">
        <f>tblSalaries[[#This Row],[clean Salary (in local currency)]]*VLOOKUP(tblSalaries[[#This Row],[Currency]],tblXrate[],2,FALSE)</f>
        <v>42140</v>
      </c>
      <c r="H215" t="s">
        <v>288</v>
      </c>
      <c r="I215" t="s">
        <v>20</v>
      </c>
      <c r="J215" t="s">
        <v>15</v>
      </c>
      <c r="K215" t="str">
        <f>VLOOKUP(tblSalaries[[#This Row],[Where do you work]],tblCountries[[Actual]:[Mapping]],2,FALSE)</f>
        <v>USA</v>
      </c>
      <c r="L215" t="s">
        <v>9</v>
      </c>
    </row>
    <row r="216" spans="2:12" ht="15" customHeight="1">
      <c r="B216" t="s">
        <v>2219</v>
      </c>
      <c r="C216" s="1">
        <v>41055.038958333331</v>
      </c>
      <c r="D216" s="4">
        <v>80000</v>
      </c>
      <c r="E216">
        <v>80000</v>
      </c>
      <c r="F216" t="s">
        <v>6</v>
      </c>
      <c r="G216">
        <f>tblSalaries[[#This Row],[clean Salary (in local currency)]]*VLOOKUP(tblSalaries[[#This Row],[Currency]],tblXrate[],2,FALSE)</f>
        <v>80000</v>
      </c>
      <c r="H216" t="s">
        <v>135</v>
      </c>
      <c r="I216" t="s">
        <v>20</v>
      </c>
      <c r="J216" t="s">
        <v>15</v>
      </c>
      <c r="K216" t="str">
        <f>VLOOKUP(tblSalaries[[#This Row],[Where do you work]],tblCountries[[Actual]:[Mapping]],2,FALSE)</f>
        <v>USA</v>
      </c>
      <c r="L216" t="s">
        <v>9</v>
      </c>
    </row>
    <row r="217" spans="2:12" ht="15" customHeight="1">
      <c r="B217" t="s">
        <v>2220</v>
      </c>
      <c r="C217" s="1">
        <v>41055.039317129631</v>
      </c>
      <c r="D217" s="4">
        <v>41600</v>
      </c>
      <c r="E217">
        <v>41600</v>
      </c>
      <c r="F217" t="s">
        <v>6</v>
      </c>
      <c r="G217">
        <f>tblSalaries[[#This Row],[clean Salary (in local currency)]]*VLOOKUP(tblSalaries[[#This Row],[Currency]],tblXrate[],2,FALSE)</f>
        <v>41600</v>
      </c>
      <c r="H217" t="s">
        <v>201</v>
      </c>
      <c r="I217" t="s">
        <v>52</v>
      </c>
      <c r="J217" t="s">
        <v>15</v>
      </c>
      <c r="K217" t="str">
        <f>VLOOKUP(tblSalaries[[#This Row],[Where do you work]],tblCountries[[Actual]:[Mapping]],2,FALSE)</f>
        <v>USA</v>
      </c>
      <c r="L217" t="s">
        <v>9</v>
      </c>
    </row>
    <row r="218" spans="2:12" ht="15" customHeight="1">
      <c r="B218" t="s">
        <v>2221</v>
      </c>
      <c r="C218" s="1">
        <v>41055.039317129631</v>
      </c>
      <c r="D218" s="4" t="s">
        <v>289</v>
      </c>
      <c r="E218">
        <v>45000</v>
      </c>
      <c r="F218" t="s">
        <v>6</v>
      </c>
      <c r="G218">
        <f>tblSalaries[[#This Row],[clean Salary (in local currency)]]*VLOOKUP(tblSalaries[[#This Row],[Currency]],tblXrate[],2,FALSE)</f>
        <v>45000</v>
      </c>
      <c r="H218" t="s">
        <v>290</v>
      </c>
      <c r="I218" t="s">
        <v>310</v>
      </c>
      <c r="J218" t="s">
        <v>15</v>
      </c>
      <c r="K218" t="str">
        <f>VLOOKUP(tblSalaries[[#This Row],[Where do you work]],tblCountries[[Actual]:[Mapping]],2,FALSE)</f>
        <v>USA</v>
      </c>
      <c r="L218" t="s">
        <v>18</v>
      </c>
    </row>
    <row r="219" spans="2:12" ht="15" customHeight="1">
      <c r="B219" t="s">
        <v>2222</v>
      </c>
      <c r="C219" s="1">
        <v>41055.039513888885</v>
      </c>
      <c r="D219" s="4">
        <v>78000</v>
      </c>
      <c r="E219">
        <v>78000</v>
      </c>
      <c r="F219" t="s">
        <v>6</v>
      </c>
      <c r="G219">
        <f>tblSalaries[[#This Row],[clean Salary (in local currency)]]*VLOOKUP(tblSalaries[[#This Row],[Currency]],tblXrate[],2,FALSE)</f>
        <v>78000</v>
      </c>
      <c r="H219" t="s">
        <v>291</v>
      </c>
      <c r="I219" t="s">
        <v>310</v>
      </c>
      <c r="J219" t="s">
        <v>292</v>
      </c>
      <c r="K219" t="str">
        <f>VLOOKUP(tblSalaries[[#This Row],[Where do you work]],tblCountries[[Actual]:[Mapping]],2,FALSE)</f>
        <v>Bermuda</v>
      </c>
      <c r="L219" t="s">
        <v>9</v>
      </c>
    </row>
    <row r="220" spans="2:12" ht="15" customHeight="1">
      <c r="B220" t="s">
        <v>2223</v>
      </c>
      <c r="C220" s="1">
        <v>41055.039826388886</v>
      </c>
      <c r="D220" s="4" t="s">
        <v>293</v>
      </c>
      <c r="E220">
        <v>500000</v>
      </c>
      <c r="F220" t="s">
        <v>40</v>
      </c>
      <c r="G220">
        <f>tblSalaries[[#This Row],[clean Salary (in local currency)]]*VLOOKUP(tblSalaries[[#This Row],[Currency]],tblXrate[],2,FALSE)</f>
        <v>8903.9583437212841</v>
      </c>
      <c r="H220" t="s">
        <v>201</v>
      </c>
      <c r="I220" t="s">
        <v>52</v>
      </c>
      <c r="J220" t="s">
        <v>8</v>
      </c>
      <c r="K220" t="str">
        <f>VLOOKUP(tblSalaries[[#This Row],[Where do you work]],tblCountries[[Actual]:[Mapping]],2,FALSE)</f>
        <v>India</v>
      </c>
      <c r="L220" t="s">
        <v>9</v>
      </c>
    </row>
    <row r="221" spans="2:12" ht="15" customHeight="1">
      <c r="B221" t="s">
        <v>2224</v>
      </c>
      <c r="C221" s="1">
        <v>41055.039988425924</v>
      </c>
      <c r="D221" s="4" t="s">
        <v>294</v>
      </c>
      <c r="E221">
        <v>350000</v>
      </c>
      <c r="F221" t="s">
        <v>40</v>
      </c>
      <c r="G221">
        <f>tblSalaries[[#This Row],[clean Salary (in local currency)]]*VLOOKUP(tblSalaries[[#This Row],[Currency]],tblXrate[],2,FALSE)</f>
        <v>6232.7708406048987</v>
      </c>
      <c r="H221" t="s">
        <v>295</v>
      </c>
      <c r="I221" t="s">
        <v>310</v>
      </c>
      <c r="J221" t="s">
        <v>8</v>
      </c>
      <c r="K221" t="str">
        <f>VLOOKUP(tblSalaries[[#This Row],[Where do you work]],tblCountries[[Actual]:[Mapping]],2,FALSE)</f>
        <v>India</v>
      </c>
      <c r="L221" t="s">
        <v>9</v>
      </c>
    </row>
    <row r="222" spans="2:12" ht="15" customHeight="1">
      <c r="B222" t="s">
        <v>2225</v>
      </c>
      <c r="C222" s="1">
        <v>41055.040092592593</v>
      </c>
      <c r="D222" s="4">
        <v>72500</v>
      </c>
      <c r="E222">
        <v>72500</v>
      </c>
      <c r="F222" t="s">
        <v>6</v>
      </c>
      <c r="G222">
        <f>tblSalaries[[#This Row],[clean Salary (in local currency)]]*VLOOKUP(tblSalaries[[#This Row],[Currency]],tblXrate[],2,FALSE)</f>
        <v>72500</v>
      </c>
      <c r="H222" t="s">
        <v>296</v>
      </c>
      <c r="I222" t="s">
        <v>488</v>
      </c>
      <c r="J222" t="s">
        <v>15</v>
      </c>
      <c r="K222" t="str">
        <f>VLOOKUP(tblSalaries[[#This Row],[Where do you work]],tblCountries[[Actual]:[Mapping]],2,FALSE)</f>
        <v>USA</v>
      </c>
      <c r="L222" t="s">
        <v>9</v>
      </c>
    </row>
    <row r="223" spans="2:12" ht="15" customHeight="1">
      <c r="B223" t="s">
        <v>2226</v>
      </c>
      <c r="C223" s="1">
        <v>41055.040185185186</v>
      </c>
      <c r="D223" s="4" t="s">
        <v>297</v>
      </c>
      <c r="E223">
        <v>138000</v>
      </c>
      <c r="F223" t="s">
        <v>6</v>
      </c>
      <c r="G223">
        <f>tblSalaries[[#This Row],[clean Salary (in local currency)]]*VLOOKUP(tblSalaries[[#This Row],[Currency]],tblXrate[],2,FALSE)</f>
        <v>138000</v>
      </c>
      <c r="H223" t="s">
        <v>298</v>
      </c>
      <c r="I223" t="s">
        <v>279</v>
      </c>
      <c r="J223" t="s">
        <v>299</v>
      </c>
      <c r="K223" t="str">
        <f>VLOOKUP(tblSalaries[[#This Row],[Where do you work]],tblCountries[[Actual]:[Mapping]],2,FALSE)</f>
        <v>Thailand</v>
      </c>
      <c r="L223" t="s">
        <v>9</v>
      </c>
    </row>
    <row r="224" spans="2:12" ht="15" customHeight="1">
      <c r="B224" t="s">
        <v>2227</v>
      </c>
      <c r="C224" s="1">
        <v>41055.040312500001</v>
      </c>
      <c r="D224" s="4">
        <v>480000</v>
      </c>
      <c r="E224">
        <v>480000</v>
      </c>
      <c r="F224" t="s">
        <v>40</v>
      </c>
      <c r="G224">
        <f>tblSalaries[[#This Row],[clean Salary (in local currency)]]*VLOOKUP(tblSalaries[[#This Row],[Currency]],tblXrate[],2,FALSE)</f>
        <v>8547.8000099724322</v>
      </c>
      <c r="H224" t="s">
        <v>300</v>
      </c>
      <c r="I224" t="s">
        <v>52</v>
      </c>
      <c r="J224" t="s">
        <v>8</v>
      </c>
      <c r="K224" t="str">
        <f>VLOOKUP(tblSalaries[[#This Row],[Where do you work]],tblCountries[[Actual]:[Mapping]],2,FALSE)</f>
        <v>India</v>
      </c>
      <c r="L224" t="s">
        <v>9</v>
      </c>
    </row>
    <row r="225" spans="2:12" ht="15" customHeight="1">
      <c r="B225" t="s">
        <v>2228</v>
      </c>
      <c r="C225" s="1">
        <v>41055.040335648147</v>
      </c>
      <c r="D225" s="4">
        <v>80000</v>
      </c>
      <c r="E225">
        <v>80000</v>
      </c>
      <c r="F225" t="s">
        <v>6</v>
      </c>
      <c r="G225">
        <f>tblSalaries[[#This Row],[clean Salary (in local currency)]]*VLOOKUP(tblSalaries[[#This Row],[Currency]],tblXrate[],2,FALSE)</f>
        <v>80000</v>
      </c>
      <c r="H225" t="s">
        <v>72</v>
      </c>
      <c r="I225" t="s">
        <v>20</v>
      </c>
      <c r="J225" t="s">
        <v>15</v>
      </c>
      <c r="K225" t="str">
        <f>VLOOKUP(tblSalaries[[#This Row],[Where do you work]],tblCountries[[Actual]:[Mapping]],2,FALSE)</f>
        <v>USA</v>
      </c>
      <c r="L225" t="s">
        <v>9</v>
      </c>
    </row>
    <row r="226" spans="2:12" ht="15" customHeight="1">
      <c r="B226" t="s">
        <v>2229</v>
      </c>
      <c r="C226" s="1">
        <v>41055.040347222224</v>
      </c>
      <c r="D226" s="4">
        <v>50000</v>
      </c>
      <c r="E226">
        <v>50000</v>
      </c>
      <c r="F226" t="s">
        <v>6</v>
      </c>
      <c r="G226">
        <f>tblSalaries[[#This Row],[clean Salary (in local currency)]]*VLOOKUP(tblSalaries[[#This Row],[Currency]],tblXrate[],2,FALSE)</f>
        <v>50000</v>
      </c>
      <c r="H226" t="s">
        <v>201</v>
      </c>
      <c r="I226" t="s">
        <v>52</v>
      </c>
      <c r="J226" t="s">
        <v>15</v>
      </c>
      <c r="K226" t="str">
        <f>VLOOKUP(tblSalaries[[#This Row],[Where do you work]],tblCountries[[Actual]:[Mapping]],2,FALSE)</f>
        <v>USA</v>
      </c>
      <c r="L226" t="s">
        <v>9</v>
      </c>
    </row>
    <row r="227" spans="2:12" ht="15" customHeight="1">
      <c r="B227" t="s">
        <v>2230</v>
      </c>
      <c r="C227" s="1">
        <v>41055.040393518517</v>
      </c>
      <c r="D227" s="4">
        <v>45000</v>
      </c>
      <c r="E227">
        <v>45000</v>
      </c>
      <c r="F227" t="s">
        <v>86</v>
      </c>
      <c r="G227">
        <f>tblSalaries[[#This Row],[clean Salary (in local currency)]]*VLOOKUP(tblSalaries[[#This Row],[Currency]],tblXrate[],2,FALSE)</f>
        <v>44251.268536364711</v>
      </c>
      <c r="H227" t="s">
        <v>301</v>
      </c>
      <c r="I227" t="s">
        <v>67</v>
      </c>
      <c r="J227" t="s">
        <v>88</v>
      </c>
      <c r="K227" t="str">
        <f>VLOOKUP(tblSalaries[[#This Row],[Where do you work]],tblCountries[[Actual]:[Mapping]],2,FALSE)</f>
        <v>Canada</v>
      </c>
      <c r="L227" t="s">
        <v>25</v>
      </c>
    </row>
    <row r="228" spans="2:12" ht="15" customHeight="1">
      <c r="B228" t="s">
        <v>2231</v>
      </c>
      <c r="C228" s="1">
        <v>41055.040532407409</v>
      </c>
      <c r="D228" s="4">
        <v>43000</v>
      </c>
      <c r="E228">
        <v>43000</v>
      </c>
      <c r="F228" t="s">
        <v>69</v>
      </c>
      <c r="G228">
        <f>tblSalaries[[#This Row],[clean Salary (in local currency)]]*VLOOKUP(tblSalaries[[#This Row],[Currency]],tblXrate[],2,FALSE)</f>
        <v>67775.665698893223</v>
      </c>
      <c r="H228" t="s">
        <v>302</v>
      </c>
      <c r="I228" t="s">
        <v>52</v>
      </c>
      <c r="J228" t="s">
        <v>71</v>
      </c>
      <c r="K228" t="str">
        <f>VLOOKUP(tblSalaries[[#This Row],[Where do you work]],tblCountries[[Actual]:[Mapping]],2,FALSE)</f>
        <v>UK</v>
      </c>
      <c r="L228" t="s">
        <v>18</v>
      </c>
    </row>
    <row r="229" spans="2:12" ht="15" customHeight="1">
      <c r="B229" t="s">
        <v>2232</v>
      </c>
      <c r="C229" s="1">
        <v>41055.040925925925</v>
      </c>
      <c r="D229" s="4">
        <v>200000</v>
      </c>
      <c r="E229">
        <v>200000</v>
      </c>
      <c r="F229" t="s">
        <v>40</v>
      </c>
      <c r="G229">
        <f>tblSalaries[[#This Row],[clean Salary (in local currency)]]*VLOOKUP(tblSalaries[[#This Row],[Currency]],tblXrate[],2,FALSE)</f>
        <v>3561.5833374885137</v>
      </c>
      <c r="H229" t="s">
        <v>303</v>
      </c>
      <c r="I229" t="s">
        <v>20</v>
      </c>
      <c r="J229" t="s">
        <v>8</v>
      </c>
      <c r="K229" t="str">
        <f>VLOOKUP(tblSalaries[[#This Row],[Where do you work]],tblCountries[[Actual]:[Mapping]],2,FALSE)</f>
        <v>India</v>
      </c>
      <c r="L229" t="s">
        <v>25</v>
      </c>
    </row>
    <row r="230" spans="2:12" ht="15" customHeight="1">
      <c r="B230" t="s">
        <v>2233</v>
      </c>
      <c r="C230" s="1">
        <v>41055.041006944448</v>
      </c>
      <c r="D230" s="4">
        <v>65000</v>
      </c>
      <c r="E230">
        <v>65000</v>
      </c>
      <c r="F230" t="s">
        <v>6</v>
      </c>
      <c r="G230">
        <f>tblSalaries[[#This Row],[clean Salary (in local currency)]]*VLOOKUP(tblSalaries[[#This Row],[Currency]],tblXrate[],2,FALSE)</f>
        <v>65000</v>
      </c>
      <c r="H230" t="s">
        <v>304</v>
      </c>
      <c r="I230" t="s">
        <v>67</v>
      </c>
      <c r="J230" t="s">
        <v>15</v>
      </c>
      <c r="K230" t="str">
        <f>VLOOKUP(tblSalaries[[#This Row],[Where do you work]],tblCountries[[Actual]:[Mapping]],2,FALSE)</f>
        <v>USA</v>
      </c>
      <c r="L230" t="s">
        <v>18</v>
      </c>
    </row>
    <row r="231" spans="2:12" ht="15" customHeight="1">
      <c r="B231" t="s">
        <v>2234</v>
      </c>
      <c r="C231" s="1">
        <v>41055.041076388887</v>
      </c>
      <c r="D231" s="4">
        <v>114000</v>
      </c>
      <c r="E231">
        <v>114000</v>
      </c>
      <c r="F231" t="s">
        <v>6</v>
      </c>
      <c r="G231">
        <f>tblSalaries[[#This Row],[clean Salary (in local currency)]]*VLOOKUP(tblSalaries[[#This Row],[Currency]],tblXrate[],2,FALSE)</f>
        <v>114000</v>
      </c>
      <c r="H231" t="s">
        <v>139</v>
      </c>
      <c r="I231" t="s">
        <v>4001</v>
      </c>
      <c r="J231" t="s">
        <v>15</v>
      </c>
      <c r="K231" t="str">
        <f>VLOOKUP(tblSalaries[[#This Row],[Where do you work]],tblCountries[[Actual]:[Mapping]],2,FALSE)</f>
        <v>USA</v>
      </c>
      <c r="L231" t="s">
        <v>18</v>
      </c>
    </row>
    <row r="232" spans="2:12" ht="15" customHeight="1">
      <c r="B232" t="s">
        <v>2235</v>
      </c>
      <c r="C232" s="1">
        <v>41055.041284722225</v>
      </c>
      <c r="D232" s="4">
        <v>95000</v>
      </c>
      <c r="E232">
        <v>95000</v>
      </c>
      <c r="F232" t="s">
        <v>6</v>
      </c>
      <c r="G232">
        <f>tblSalaries[[#This Row],[clean Salary (in local currency)]]*VLOOKUP(tblSalaries[[#This Row],[Currency]],tblXrate[],2,FALSE)</f>
        <v>95000</v>
      </c>
      <c r="H232" t="s">
        <v>305</v>
      </c>
      <c r="I232" t="s">
        <v>4001</v>
      </c>
      <c r="J232" t="s">
        <v>15</v>
      </c>
      <c r="K232" t="str">
        <f>VLOOKUP(tblSalaries[[#This Row],[Where do you work]],tblCountries[[Actual]:[Mapping]],2,FALSE)</f>
        <v>USA</v>
      </c>
      <c r="L232" t="s">
        <v>9</v>
      </c>
    </row>
    <row r="233" spans="2:12" ht="15" customHeight="1">
      <c r="B233" t="s">
        <v>2236</v>
      </c>
      <c r="C233" s="1">
        <v>41055.042256944442</v>
      </c>
      <c r="D233" s="4" t="s">
        <v>306</v>
      </c>
      <c r="E233">
        <v>52500</v>
      </c>
      <c r="F233" t="s">
        <v>6</v>
      </c>
      <c r="G233">
        <f>tblSalaries[[#This Row],[clean Salary (in local currency)]]*VLOOKUP(tblSalaries[[#This Row],[Currency]],tblXrate[],2,FALSE)</f>
        <v>52500</v>
      </c>
      <c r="H233" t="s">
        <v>307</v>
      </c>
      <c r="I233" t="s">
        <v>20</v>
      </c>
      <c r="J233" t="s">
        <v>15</v>
      </c>
      <c r="K233" t="str">
        <f>VLOOKUP(tblSalaries[[#This Row],[Where do you work]],tblCountries[[Actual]:[Mapping]],2,FALSE)</f>
        <v>USA</v>
      </c>
      <c r="L233" t="s">
        <v>9</v>
      </c>
    </row>
    <row r="234" spans="2:12" ht="15" customHeight="1">
      <c r="B234" t="s">
        <v>2237</v>
      </c>
      <c r="C234" s="1">
        <v>41055.042395833334</v>
      </c>
      <c r="D234" s="4">
        <v>45000</v>
      </c>
      <c r="E234">
        <v>45000</v>
      </c>
      <c r="F234" t="s">
        <v>69</v>
      </c>
      <c r="G234">
        <f>tblSalaries[[#This Row],[clean Salary (in local currency)]]*VLOOKUP(tblSalaries[[#This Row],[Currency]],tblXrate[],2,FALSE)</f>
        <v>70928.022243027779</v>
      </c>
      <c r="H234" t="s">
        <v>308</v>
      </c>
      <c r="I234" t="s">
        <v>52</v>
      </c>
      <c r="J234" t="s">
        <v>71</v>
      </c>
      <c r="K234" t="str">
        <f>VLOOKUP(tblSalaries[[#This Row],[Where do you work]],tblCountries[[Actual]:[Mapping]],2,FALSE)</f>
        <v>UK</v>
      </c>
      <c r="L234" t="s">
        <v>18</v>
      </c>
    </row>
    <row r="235" spans="2:12" ht="15" customHeight="1">
      <c r="B235" t="s">
        <v>2238</v>
      </c>
      <c r="C235" s="1">
        <v>41055.042731481481</v>
      </c>
      <c r="D235" s="4">
        <v>60000</v>
      </c>
      <c r="E235">
        <v>60000</v>
      </c>
      <c r="F235" t="s">
        <v>6</v>
      </c>
      <c r="G235">
        <f>tblSalaries[[#This Row],[clean Salary (in local currency)]]*VLOOKUP(tblSalaries[[#This Row],[Currency]],tblXrate[],2,FALSE)</f>
        <v>60000</v>
      </c>
      <c r="H235" t="s">
        <v>309</v>
      </c>
      <c r="I235" t="s">
        <v>20</v>
      </c>
      <c r="J235" t="s">
        <v>15</v>
      </c>
      <c r="K235" t="str">
        <f>VLOOKUP(tblSalaries[[#This Row],[Where do you work]],tblCountries[[Actual]:[Mapping]],2,FALSE)</f>
        <v>USA</v>
      </c>
      <c r="L235" t="s">
        <v>9</v>
      </c>
    </row>
    <row r="236" spans="2:12" ht="15" customHeight="1">
      <c r="B236" t="s">
        <v>2239</v>
      </c>
      <c r="C236" s="1">
        <v>41055.04310185185</v>
      </c>
      <c r="D236" s="4">
        <v>65250</v>
      </c>
      <c r="E236">
        <v>65250</v>
      </c>
      <c r="F236" t="s">
        <v>6</v>
      </c>
      <c r="G236">
        <f>tblSalaries[[#This Row],[clean Salary (in local currency)]]*VLOOKUP(tblSalaries[[#This Row],[Currency]],tblXrate[],2,FALSE)</f>
        <v>65250</v>
      </c>
      <c r="H236" t="s">
        <v>310</v>
      </c>
      <c r="I236" t="s">
        <v>310</v>
      </c>
      <c r="J236" t="s">
        <v>15</v>
      </c>
      <c r="K236" t="str">
        <f>VLOOKUP(tblSalaries[[#This Row],[Where do you work]],tblCountries[[Actual]:[Mapping]],2,FALSE)</f>
        <v>USA</v>
      </c>
      <c r="L236" t="s">
        <v>9</v>
      </c>
    </row>
    <row r="237" spans="2:12" ht="15" customHeight="1">
      <c r="B237" t="s">
        <v>2240</v>
      </c>
      <c r="C237" s="1">
        <v>41055.043136574073</v>
      </c>
      <c r="D237" s="4">
        <v>1200000</v>
      </c>
      <c r="E237">
        <v>1200000</v>
      </c>
      <c r="F237" t="s">
        <v>40</v>
      </c>
      <c r="G237">
        <f>tblSalaries[[#This Row],[clean Salary (in local currency)]]*VLOOKUP(tblSalaries[[#This Row],[Currency]],tblXrate[],2,FALSE)</f>
        <v>21369.500024931083</v>
      </c>
      <c r="H237" t="s">
        <v>311</v>
      </c>
      <c r="I237" t="s">
        <v>52</v>
      </c>
      <c r="J237" t="s">
        <v>8</v>
      </c>
      <c r="K237" t="str">
        <f>VLOOKUP(tblSalaries[[#This Row],[Where do you work]],tblCountries[[Actual]:[Mapping]],2,FALSE)</f>
        <v>India</v>
      </c>
      <c r="L237" t="s">
        <v>18</v>
      </c>
    </row>
    <row r="238" spans="2:12" ht="15" customHeight="1">
      <c r="B238" t="s">
        <v>2241</v>
      </c>
      <c r="C238" s="1">
        <v>41055.043171296296</v>
      </c>
      <c r="D238" s="4">
        <v>100000</v>
      </c>
      <c r="E238">
        <v>100000</v>
      </c>
      <c r="F238" t="s">
        <v>86</v>
      </c>
      <c r="G238">
        <f>tblSalaries[[#This Row],[clean Salary (in local currency)]]*VLOOKUP(tblSalaries[[#This Row],[Currency]],tblXrate[],2,FALSE)</f>
        <v>98336.152303032693</v>
      </c>
      <c r="H238" t="s">
        <v>312</v>
      </c>
      <c r="I238" t="s">
        <v>52</v>
      </c>
      <c r="J238" t="s">
        <v>88</v>
      </c>
      <c r="K238" t="str">
        <f>VLOOKUP(tblSalaries[[#This Row],[Where do you work]],tblCountries[[Actual]:[Mapping]],2,FALSE)</f>
        <v>Canada</v>
      </c>
      <c r="L238" t="s">
        <v>18</v>
      </c>
    </row>
    <row r="239" spans="2:12" ht="15" customHeight="1">
      <c r="B239" t="s">
        <v>2242</v>
      </c>
      <c r="C239" s="1">
        <v>41055.043240740742</v>
      </c>
      <c r="D239" s="4" t="s">
        <v>313</v>
      </c>
      <c r="E239">
        <v>12000</v>
      </c>
      <c r="F239" t="s">
        <v>22</v>
      </c>
      <c r="G239">
        <f>tblSalaries[[#This Row],[clean Salary (in local currency)]]*VLOOKUP(tblSalaries[[#This Row],[Currency]],tblXrate[],2,FALSE)</f>
        <v>15244.793267899293</v>
      </c>
      <c r="H239" t="s">
        <v>314</v>
      </c>
      <c r="I239" t="s">
        <v>67</v>
      </c>
      <c r="J239" t="s">
        <v>30</v>
      </c>
      <c r="K239" t="str">
        <f>VLOOKUP(tblSalaries[[#This Row],[Where do you work]],tblCountries[[Actual]:[Mapping]],2,FALSE)</f>
        <v>Portugal</v>
      </c>
      <c r="L239" t="s">
        <v>13</v>
      </c>
    </row>
    <row r="240" spans="2:12" ht="15" customHeight="1">
      <c r="B240" t="s">
        <v>2243</v>
      </c>
      <c r="C240" s="1">
        <v>41055.043298611112</v>
      </c>
      <c r="D240" s="4">
        <v>73000</v>
      </c>
      <c r="E240">
        <v>73000</v>
      </c>
      <c r="F240" t="s">
        <v>6</v>
      </c>
      <c r="G240">
        <f>tblSalaries[[#This Row],[clean Salary (in local currency)]]*VLOOKUP(tblSalaries[[#This Row],[Currency]],tblXrate[],2,FALSE)</f>
        <v>73000</v>
      </c>
      <c r="H240" t="s">
        <v>14</v>
      </c>
      <c r="I240" t="s">
        <v>20</v>
      </c>
      <c r="J240" t="s">
        <v>15</v>
      </c>
      <c r="K240" t="str">
        <f>VLOOKUP(tblSalaries[[#This Row],[Where do you work]],tblCountries[[Actual]:[Mapping]],2,FALSE)</f>
        <v>USA</v>
      </c>
      <c r="L240" t="s">
        <v>9</v>
      </c>
    </row>
    <row r="241" spans="2:12" ht="15" customHeight="1">
      <c r="B241" t="s">
        <v>2244</v>
      </c>
      <c r="C241" s="1">
        <v>41055.043599537035</v>
      </c>
      <c r="D241" s="4">
        <v>50000</v>
      </c>
      <c r="E241">
        <v>50000</v>
      </c>
      <c r="F241" t="s">
        <v>6</v>
      </c>
      <c r="G241">
        <f>tblSalaries[[#This Row],[clean Salary (in local currency)]]*VLOOKUP(tblSalaries[[#This Row],[Currency]],tblXrate[],2,FALSE)</f>
        <v>50000</v>
      </c>
      <c r="H241" t="s">
        <v>214</v>
      </c>
      <c r="I241" t="s">
        <v>20</v>
      </c>
      <c r="J241" t="s">
        <v>15</v>
      </c>
      <c r="K241" t="str">
        <f>VLOOKUP(tblSalaries[[#This Row],[Where do you work]],tblCountries[[Actual]:[Mapping]],2,FALSE)</f>
        <v>USA</v>
      </c>
      <c r="L241" t="s">
        <v>13</v>
      </c>
    </row>
    <row r="242" spans="2:12" ht="15" customHeight="1">
      <c r="B242" t="s">
        <v>2245</v>
      </c>
      <c r="C242" s="1">
        <v>41055.043645833335</v>
      </c>
      <c r="D242" s="4">
        <v>79000</v>
      </c>
      <c r="E242">
        <v>79000</v>
      </c>
      <c r="F242" t="s">
        <v>6</v>
      </c>
      <c r="G242">
        <f>tblSalaries[[#This Row],[clean Salary (in local currency)]]*VLOOKUP(tblSalaries[[#This Row],[Currency]],tblXrate[],2,FALSE)</f>
        <v>79000</v>
      </c>
      <c r="H242" t="s">
        <v>315</v>
      </c>
      <c r="I242" t="s">
        <v>310</v>
      </c>
      <c r="J242" t="s">
        <v>15</v>
      </c>
      <c r="K242" t="str">
        <f>VLOOKUP(tblSalaries[[#This Row],[Where do you work]],tblCountries[[Actual]:[Mapping]],2,FALSE)</f>
        <v>USA</v>
      </c>
      <c r="L242" t="s">
        <v>18</v>
      </c>
    </row>
    <row r="243" spans="2:12" ht="15" customHeight="1">
      <c r="B243" t="s">
        <v>2246</v>
      </c>
      <c r="C243" s="1">
        <v>41055.04383101852</v>
      </c>
      <c r="D243" s="4">
        <v>90000</v>
      </c>
      <c r="E243">
        <v>90000</v>
      </c>
      <c r="F243" t="s">
        <v>6</v>
      </c>
      <c r="G243">
        <f>tblSalaries[[#This Row],[clean Salary (in local currency)]]*VLOOKUP(tblSalaries[[#This Row],[Currency]],tblXrate[],2,FALSE)</f>
        <v>90000</v>
      </c>
      <c r="H243" t="s">
        <v>316</v>
      </c>
      <c r="I243" t="s">
        <v>52</v>
      </c>
      <c r="J243" t="s">
        <v>15</v>
      </c>
      <c r="K243" t="str">
        <f>VLOOKUP(tblSalaries[[#This Row],[Where do you work]],tblCountries[[Actual]:[Mapping]],2,FALSE)</f>
        <v>USA</v>
      </c>
      <c r="L243" t="s">
        <v>9</v>
      </c>
    </row>
    <row r="244" spans="2:12" ht="15" customHeight="1">
      <c r="B244" t="s">
        <v>2247</v>
      </c>
      <c r="C244" s="1">
        <v>41055.044074074074</v>
      </c>
      <c r="D244" s="4">
        <v>70000</v>
      </c>
      <c r="E244">
        <v>70000</v>
      </c>
      <c r="F244" t="s">
        <v>6</v>
      </c>
      <c r="G244">
        <f>tblSalaries[[#This Row],[clean Salary (in local currency)]]*VLOOKUP(tblSalaries[[#This Row],[Currency]],tblXrate[],2,FALSE)</f>
        <v>70000</v>
      </c>
      <c r="H244" t="s">
        <v>317</v>
      </c>
      <c r="I244" t="s">
        <v>52</v>
      </c>
      <c r="J244" t="s">
        <v>15</v>
      </c>
      <c r="K244" t="str">
        <f>VLOOKUP(tblSalaries[[#This Row],[Where do you work]],tblCountries[[Actual]:[Mapping]],2,FALSE)</f>
        <v>USA</v>
      </c>
      <c r="L244" t="s">
        <v>18</v>
      </c>
    </row>
    <row r="245" spans="2:12" ht="15" customHeight="1">
      <c r="B245" t="s">
        <v>2248</v>
      </c>
      <c r="C245" s="1">
        <v>41055.04414351852</v>
      </c>
      <c r="D245" s="4">
        <v>65000</v>
      </c>
      <c r="E245">
        <v>65000</v>
      </c>
      <c r="F245" t="s">
        <v>86</v>
      </c>
      <c r="G245">
        <f>tblSalaries[[#This Row],[clean Salary (in local currency)]]*VLOOKUP(tblSalaries[[#This Row],[Currency]],tblXrate[],2,FALSE)</f>
        <v>63918.498996971248</v>
      </c>
      <c r="H245" t="s">
        <v>318</v>
      </c>
      <c r="I245" t="s">
        <v>52</v>
      </c>
      <c r="J245" t="s">
        <v>88</v>
      </c>
      <c r="K245" t="str">
        <f>VLOOKUP(tblSalaries[[#This Row],[Where do you work]],tblCountries[[Actual]:[Mapping]],2,FALSE)</f>
        <v>Canada</v>
      </c>
      <c r="L245" t="s">
        <v>9</v>
      </c>
    </row>
    <row r="246" spans="2:12" ht="15" customHeight="1">
      <c r="B246" t="s">
        <v>2249</v>
      </c>
      <c r="C246" s="1">
        <v>41055.044351851851</v>
      </c>
      <c r="D246" s="4">
        <v>80000</v>
      </c>
      <c r="E246">
        <v>80000</v>
      </c>
      <c r="F246" t="s">
        <v>6</v>
      </c>
      <c r="G246">
        <f>tblSalaries[[#This Row],[clean Salary (in local currency)]]*VLOOKUP(tblSalaries[[#This Row],[Currency]],tblXrate[],2,FALSE)</f>
        <v>80000</v>
      </c>
      <c r="H246" t="s">
        <v>20</v>
      </c>
      <c r="I246" t="s">
        <v>20</v>
      </c>
      <c r="J246" t="s">
        <v>15</v>
      </c>
      <c r="K246" t="str">
        <f>VLOOKUP(tblSalaries[[#This Row],[Where do you work]],tblCountries[[Actual]:[Mapping]],2,FALSE)</f>
        <v>USA</v>
      </c>
      <c r="L246" t="s">
        <v>9</v>
      </c>
    </row>
    <row r="247" spans="2:12" ht="15" customHeight="1">
      <c r="B247" t="s">
        <v>2250</v>
      </c>
      <c r="C247" s="1">
        <v>41055.044374999998</v>
      </c>
      <c r="D247" s="4">
        <v>140000</v>
      </c>
      <c r="E247">
        <v>140000</v>
      </c>
      <c r="F247" t="s">
        <v>6</v>
      </c>
      <c r="G247">
        <f>tblSalaries[[#This Row],[clean Salary (in local currency)]]*VLOOKUP(tblSalaries[[#This Row],[Currency]],tblXrate[],2,FALSE)</f>
        <v>140000</v>
      </c>
      <c r="H247" t="s">
        <v>52</v>
      </c>
      <c r="I247" t="s">
        <v>52</v>
      </c>
      <c r="J247" t="s">
        <v>15</v>
      </c>
      <c r="K247" t="str">
        <f>VLOOKUP(tblSalaries[[#This Row],[Where do you work]],tblCountries[[Actual]:[Mapping]],2,FALSE)</f>
        <v>USA</v>
      </c>
      <c r="L247" t="s">
        <v>9</v>
      </c>
    </row>
    <row r="248" spans="2:12" ht="15" customHeight="1">
      <c r="B248" t="s">
        <v>2251</v>
      </c>
      <c r="C248" s="1">
        <v>41055.044594907406</v>
      </c>
      <c r="D248" s="4" t="s">
        <v>319</v>
      </c>
      <c r="E248">
        <v>96000</v>
      </c>
      <c r="F248" t="s">
        <v>6</v>
      </c>
      <c r="G248">
        <f>tblSalaries[[#This Row],[clean Salary (in local currency)]]*VLOOKUP(tblSalaries[[#This Row],[Currency]],tblXrate[],2,FALSE)</f>
        <v>96000</v>
      </c>
      <c r="H248" t="s">
        <v>320</v>
      </c>
      <c r="I248" t="s">
        <v>356</v>
      </c>
      <c r="J248" t="s">
        <v>75</v>
      </c>
      <c r="K248" t="str">
        <f>VLOOKUP(tblSalaries[[#This Row],[Where do you work]],tblCountries[[Actual]:[Mapping]],2,FALSE)</f>
        <v>Poland</v>
      </c>
      <c r="L248" t="s">
        <v>18</v>
      </c>
    </row>
    <row r="249" spans="2:12" ht="15" customHeight="1">
      <c r="B249" t="s">
        <v>2252</v>
      </c>
      <c r="C249" s="1">
        <v>41055.044641203705</v>
      </c>
      <c r="D249" s="4">
        <v>20000</v>
      </c>
      <c r="E249">
        <v>20000</v>
      </c>
      <c r="F249" t="s">
        <v>6</v>
      </c>
      <c r="G249">
        <f>tblSalaries[[#This Row],[clean Salary (in local currency)]]*VLOOKUP(tblSalaries[[#This Row],[Currency]],tblXrate[],2,FALSE)</f>
        <v>20000</v>
      </c>
      <c r="H249" t="s">
        <v>321</v>
      </c>
      <c r="I249" t="s">
        <v>52</v>
      </c>
      <c r="J249" t="s">
        <v>8</v>
      </c>
      <c r="K249" t="str">
        <f>VLOOKUP(tblSalaries[[#This Row],[Where do you work]],tblCountries[[Actual]:[Mapping]],2,FALSE)</f>
        <v>India</v>
      </c>
      <c r="L249" t="s">
        <v>9</v>
      </c>
    </row>
    <row r="250" spans="2:12" ht="15" customHeight="1">
      <c r="B250" t="s">
        <v>2253</v>
      </c>
      <c r="C250" s="1">
        <v>41055.045023148145</v>
      </c>
      <c r="D250" s="4">
        <v>47700</v>
      </c>
      <c r="E250">
        <v>47700</v>
      </c>
      <c r="F250" t="s">
        <v>6</v>
      </c>
      <c r="G250">
        <f>tblSalaries[[#This Row],[clean Salary (in local currency)]]*VLOOKUP(tblSalaries[[#This Row],[Currency]],tblXrate[],2,FALSE)</f>
        <v>47700</v>
      </c>
      <c r="H250" t="s">
        <v>322</v>
      </c>
      <c r="I250" t="s">
        <v>20</v>
      </c>
      <c r="J250" t="s">
        <v>15</v>
      </c>
      <c r="K250" t="str">
        <f>VLOOKUP(tblSalaries[[#This Row],[Where do you work]],tblCountries[[Actual]:[Mapping]],2,FALSE)</f>
        <v>USA</v>
      </c>
      <c r="L250" t="s">
        <v>9</v>
      </c>
    </row>
    <row r="251" spans="2:12" ht="15" customHeight="1">
      <c r="B251" t="s">
        <v>2254</v>
      </c>
      <c r="C251" s="1">
        <v>41055.045300925929</v>
      </c>
      <c r="D251" s="4">
        <v>25000</v>
      </c>
      <c r="E251">
        <v>25000</v>
      </c>
      <c r="F251" t="s">
        <v>6</v>
      </c>
      <c r="G251">
        <f>tblSalaries[[#This Row],[clean Salary (in local currency)]]*VLOOKUP(tblSalaries[[#This Row],[Currency]],tblXrate[],2,FALSE)</f>
        <v>25000</v>
      </c>
      <c r="H251" t="s">
        <v>91</v>
      </c>
      <c r="I251" t="s">
        <v>52</v>
      </c>
      <c r="J251" t="s">
        <v>8</v>
      </c>
      <c r="K251" t="str">
        <f>VLOOKUP(tblSalaries[[#This Row],[Where do you work]],tblCountries[[Actual]:[Mapping]],2,FALSE)</f>
        <v>India</v>
      </c>
      <c r="L251" t="s">
        <v>25</v>
      </c>
    </row>
    <row r="252" spans="2:12" ht="15" customHeight="1">
      <c r="B252" t="s">
        <v>2255</v>
      </c>
      <c r="C252" s="1">
        <v>41055.045347222222</v>
      </c>
      <c r="D252" s="4">
        <v>52500</v>
      </c>
      <c r="E252">
        <v>52500</v>
      </c>
      <c r="F252" t="s">
        <v>6</v>
      </c>
      <c r="G252">
        <f>tblSalaries[[#This Row],[clean Salary (in local currency)]]*VLOOKUP(tblSalaries[[#This Row],[Currency]],tblXrate[],2,FALSE)</f>
        <v>52500</v>
      </c>
      <c r="H252" t="s">
        <v>20</v>
      </c>
      <c r="I252" t="s">
        <v>20</v>
      </c>
      <c r="J252" t="s">
        <v>15</v>
      </c>
      <c r="K252" t="str">
        <f>VLOOKUP(tblSalaries[[#This Row],[Where do you work]],tblCountries[[Actual]:[Mapping]],2,FALSE)</f>
        <v>USA</v>
      </c>
      <c r="L252" t="s">
        <v>9</v>
      </c>
    </row>
    <row r="253" spans="2:12" ht="15" customHeight="1">
      <c r="B253" t="s">
        <v>2256</v>
      </c>
      <c r="C253" s="1">
        <v>41055.045451388891</v>
      </c>
      <c r="D253" s="4">
        <v>40000</v>
      </c>
      <c r="E253">
        <v>40000</v>
      </c>
      <c r="F253" t="s">
        <v>6</v>
      </c>
      <c r="G253">
        <f>tblSalaries[[#This Row],[clean Salary (in local currency)]]*VLOOKUP(tblSalaries[[#This Row],[Currency]],tblXrate[],2,FALSE)</f>
        <v>40000</v>
      </c>
      <c r="H253" t="s">
        <v>207</v>
      </c>
      <c r="I253" t="s">
        <v>20</v>
      </c>
      <c r="J253" t="s">
        <v>15</v>
      </c>
      <c r="K253" t="str">
        <f>VLOOKUP(tblSalaries[[#This Row],[Where do you work]],tblCountries[[Actual]:[Mapping]],2,FALSE)</f>
        <v>USA</v>
      </c>
      <c r="L253" t="s">
        <v>13</v>
      </c>
    </row>
    <row r="254" spans="2:12" ht="15" customHeight="1">
      <c r="B254" t="s">
        <v>2257</v>
      </c>
      <c r="C254" s="1">
        <v>41055.045856481483</v>
      </c>
      <c r="D254" s="4" t="s">
        <v>323</v>
      </c>
      <c r="E254">
        <v>31000</v>
      </c>
      <c r="F254" t="s">
        <v>6</v>
      </c>
      <c r="G254">
        <f>tblSalaries[[#This Row],[clean Salary (in local currency)]]*VLOOKUP(tblSalaries[[#This Row],[Currency]],tblXrate[],2,FALSE)</f>
        <v>31000</v>
      </c>
      <c r="H254" t="s">
        <v>324</v>
      </c>
      <c r="I254" t="s">
        <v>20</v>
      </c>
      <c r="J254" t="s">
        <v>15</v>
      </c>
      <c r="K254" t="str">
        <f>VLOOKUP(tblSalaries[[#This Row],[Where do you work]],tblCountries[[Actual]:[Mapping]],2,FALSE)</f>
        <v>USA</v>
      </c>
      <c r="L254" t="s">
        <v>9</v>
      </c>
    </row>
    <row r="255" spans="2:12" ht="15" customHeight="1">
      <c r="B255" t="s">
        <v>2258</v>
      </c>
      <c r="C255" s="1">
        <v>41055.045972222222</v>
      </c>
      <c r="D255" s="4">
        <v>4390</v>
      </c>
      <c r="E255">
        <v>52680</v>
      </c>
      <c r="F255" t="s">
        <v>69</v>
      </c>
      <c r="G255">
        <f>tblSalaries[[#This Row],[clean Salary (in local currency)]]*VLOOKUP(tblSalaries[[#This Row],[Currency]],tblXrate[],2,FALSE)</f>
        <v>83033.071372504521</v>
      </c>
      <c r="H255" t="s">
        <v>325</v>
      </c>
      <c r="I255" t="s">
        <v>356</v>
      </c>
      <c r="J255" t="s">
        <v>71</v>
      </c>
      <c r="K255" t="str">
        <f>VLOOKUP(tblSalaries[[#This Row],[Where do you work]],tblCountries[[Actual]:[Mapping]],2,FALSE)</f>
        <v>UK</v>
      </c>
      <c r="L255" t="s">
        <v>13</v>
      </c>
    </row>
    <row r="256" spans="2:12" ht="15" customHeight="1">
      <c r="B256" t="s">
        <v>2259</v>
      </c>
      <c r="C256" s="1">
        <v>41055.04619212963</v>
      </c>
      <c r="D256" s="4">
        <v>130000</v>
      </c>
      <c r="E256">
        <v>130000</v>
      </c>
      <c r="F256" t="s">
        <v>6</v>
      </c>
      <c r="G256">
        <f>tblSalaries[[#This Row],[clean Salary (in local currency)]]*VLOOKUP(tblSalaries[[#This Row],[Currency]],tblXrate[],2,FALSE)</f>
        <v>130000</v>
      </c>
      <c r="H256" t="s">
        <v>326</v>
      </c>
      <c r="I256" t="s">
        <v>52</v>
      </c>
      <c r="J256" t="s">
        <v>15</v>
      </c>
      <c r="K256" t="str">
        <f>VLOOKUP(tblSalaries[[#This Row],[Where do you work]],tblCountries[[Actual]:[Mapping]],2,FALSE)</f>
        <v>USA</v>
      </c>
      <c r="L256" t="s">
        <v>9</v>
      </c>
    </row>
    <row r="257" spans="2:12" ht="15" customHeight="1">
      <c r="B257" t="s">
        <v>2260</v>
      </c>
      <c r="C257" s="1">
        <v>41055.046273148146</v>
      </c>
      <c r="D257" s="4" t="s">
        <v>327</v>
      </c>
      <c r="E257">
        <v>470000</v>
      </c>
      <c r="F257" t="s">
        <v>40</v>
      </c>
      <c r="G257">
        <f>tblSalaries[[#This Row],[clean Salary (in local currency)]]*VLOOKUP(tblSalaries[[#This Row],[Currency]],tblXrate[],2,FALSE)</f>
        <v>8369.7208430980063</v>
      </c>
      <c r="H257" t="s">
        <v>328</v>
      </c>
      <c r="I257" t="s">
        <v>20</v>
      </c>
      <c r="J257" t="s">
        <v>8</v>
      </c>
      <c r="K257" t="str">
        <f>VLOOKUP(tblSalaries[[#This Row],[Where do you work]],tblCountries[[Actual]:[Mapping]],2,FALSE)</f>
        <v>India</v>
      </c>
      <c r="L257" t="s">
        <v>13</v>
      </c>
    </row>
    <row r="258" spans="2:12" ht="15" customHeight="1">
      <c r="B258" t="s">
        <v>2261</v>
      </c>
      <c r="C258" s="1">
        <v>41055.046550925923</v>
      </c>
      <c r="D258" s="4">
        <v>51000</v>
      </c>
      <c r="E258">
        <v>51000</v>
      </c>
      <c r="F258" t="s">
        <v>6</v>
      </c>
      <c r="G258">
        <f>tblSalaries[[#This Row],[clean Salary (in local currency)]]*VLOOKUP(tblSalaries[[#This Row],[Currency]],tblXrate[],2,FALSE)</f>
        <v>51000</v>
      </c>
      <c r="H258" t="s">
        <v>329</v>
      </c>
      <c r="I258" t="s">
        <v>20</v>
      </c>
      <c r="J258" t="s">
        <v>15</v>
      </c>
      <c r="K258" t="str">
        <f>VLOOKUP(tblSalaries[[#This Row],[Where do you work]],tblCountries[[Actual]:[Mapping]],2,FALSE)</f>
        <v>USA</v>
      </c>
      <c r="L258" t="s">
        <v>18</v>
      </c>
    </row>
    <row r="259" spans="2:12" ht="15" customHeight="1">
      <c r="B259" t="s">
        <v>2262</v>
      </c>
      <c r="C259" s="1">
        <v>41055.046736111108</v>
      </c>
      <c r="D259" s="4" t="s">
        <v>330</v>
      </c>
      <c r="E259">
        <v>60000</v>
      </c>
      <c r="F259" t="s">
        <v>69</v>
      </c>
      <c r="G259">
        <f>tblSalaries[[#This Row],[clean Salary (in local currency)]]*VLOOKUP(tblSalaries[[#This Row],[Currency]],tblXrate[],2,FALSE)</f>
        <v>94570.696324037053</v>
      </c>
      <c r="H259" t="s">
        <v>331</v>
      </c>
      <c r="I259" t="s">
        <v>20</v>
      </c>
      <c r="J259" t="s">
        <v>71</v>
      </c>
      <c r="K259" t="str">
        <f>VLOOKUP(tblSalaries[[#This Row],[Where do you work]],tblCountries[[Actual]:[Mapping]],2,FALSE)</f>
        <v>UK</v>
      </c>
      <c r="L259" t="s">
        <v>13</v>
      </c>
    </row>
    <row r="260" spans="2:12" ht="15" customHeight="1">
      <c r="B260" t="s">
        <v>2263</v>
      </c>
      <c r="C260" s="1">
        <v>41055.047013888892</v>
      </c>
      <c r="D260" s="4">
        <v>1920000</v>
      </c>
      <c r="E260">
        <v>1920000</v>
      </c>
      <c r="F260" t="s">
        <v>40</v>
      </c>
      <c r="G260">
        <f>tblSalaries[[#This Row],[clean Salary (in local currency)]]*VLOOKUP(tblSalaries[[#This Row],[Currency]],tblXrate[],2,FALSE)</f>
        <v>34191.200039889729</v>
      </c>
      <c r="H260" t="s">
        <v>201</v>
      </c>
      <c r="I260" t="s">
        <v>52</v>
      </c>
      <c r="J260" t="s">
        <v>8</v>
      </c>
      <c r="K260" t="str">
        <f>VLOOKUP(tblSalaries[[#This Row],[Where do you work]],tblCountries[[Actual]:[Mapping]],2,FALSE)</f>
        <v>India</v>
      </c>
      <c r="L260" t="s">
        <v>18</v>
      </c>
    </row>
    <row r="261" spans="2:12" ht="15" customHeight="1">
      <c r="B261" t="s">
        <v>2264</v>
      </c>
      <c r="C261" s="1">
        <v>41055.047222222223</v>
      </c>
      <c r="D261" s="4">
        <v>28000</v>
      </c>
      <c r="E261">
        <v>28000</v>
      </c>
      <c r="F261" t="s">
        <v>69</v>
      </c>
      <c r="G261">
        <f>tblSalaries[[#This Row],[clean Salary (in local currency)]]*VLOOKUP(tblSalaries[[#This Row],[Currency]],tblXrate[],2,FALSE)</f>
        <v>44132.991617883956</v>
      </c>
      <c r="H261" t="s">
        <v>332</v>
      </c>
      <c r="I261" t="s">
        <v>20</v>
      </c>
      <c r="J261" t="s">
        <v>71</v>
      </c>
      <c r="K261" t="str">
        <f>VLOOKUP(tblSalaries[[#This Row],[Where do you work]],tblCountries[[Actual]:[Mapping]],2,FALSE)</f>
        <v>UK</v>
      </c>
      <c r="L261" t="s">
        <v>13</v>
      </c>
    </row>
    <row r="262" spans="2:12" ht="15" customHeight="1">
      <c r="B262" t="s">
        <v>2265</v>
      </c>
      <c r="C262" s="1">
        <v>41055.047268518516</v>
      </c>
      <c r="D262" s="4">
        <v>73000</v>
      </c>
      <c r="E262">
        <v>73000</v>
      </c>
      <c r="F262" t="s">
        <v>6</v>
      </c>
      <c r="G262">
        <f>tblSalaries[[#This Row],[clean Salary (in local currency)]]*VLOOKUP(tblSalaries[[#This Row],[Currency]],tblXrate[],2,FALSE)</f>
        <v>73000</v>
      </c>
      <c r="H262" t="s">
        <v>333</v>
      </c>
      <c r="I262" t="s">
        <v>67</v>
      </c>
      <c r="J262" t="s">
        <v>15</v>
      </c>
      <c r="K262" t="str">
        <f>VLOOKUP(tblSalaries[[#This Row],[Where do you work]],tblCountries[[Actual]:[Mapping]],2,FALSE)</f>
        <v>USA</v>
      </c>
      <c r="L262" t="s">
        <v>9</v>
      </c>
    </row>
    <row r="263" spans="2:12" ht="15" customHeight="1">
      <c r="B263" t="s">
        <v>2266</v>
      </c>
      <c r="C263" s="1">
        <v>41055.047442129631</v>
      </c>
      <c r="D263" s="4">
        <v>62400</v>
      </c>
      <c r="E263">
        <v>62400</v>
      </c>
      <c r="F263" t="s">
        <v>6</v>
      </c>
      <c r="G263">
        <f>tblSalaries[[#This Row],[clean Salary (in local currency)]]*VLOOKUP(tblSalaries[[#This Row],[Currency]],tblXrate[],2,FALSE)</f>
        <v>62400</v>
      </c>
      <c r="H263" t="s">
        <v>334</v>
      </c>
      <c r="I263" t="s">
        <v>310</v>
      </c>
      <c r="J263" t="s">
        <v>15</v>
      </c>
      <c r="K263" t="str">
        <f>VLOOKUP(tblSalaries[[#This Row],[Where do you work]],tblCountries[[Actual]:[Mapping]],2,FALSE)</f>
        <v>USA</v>
      </c>
      <c r="L263" t="s">
        <v>13</v>
      </c>
    </row>
    <row r="264" spans="2:12" ht="15" customHeight="1">
      <c r="B264" t="s">
        <v>2267</v>
      </c>
      <c r="C264" s="1">
        <v>41055.047465277778</v>
      </c>
      <c r="D264" s="4">
        <v>2300</v>
      </c>
      <c r="E264">
        <v>27600</v>
      </c>
      <c r="F264" t="s">
        <v>6</v>
      </c>
      <c r="G264">
        <f>tblSalaries[[#This Row],[clean Salary (in local currency)]]*VLOOKUP(tblSalaries[[#This Row],[Currency]],tblXrate[],2,FALSE)</f>
        <v>27600</v>
      </c>
      <c r="H264" t="s">
        <v>335</v>
      </c>
      <c r="I264" t="s">
        <v>356</v>
      </c>
      <c r="J264" t="s">
        <v>171</v>
      </c>
      <c r="K264" t="str">
        <f>VLOOKUP(tblSalaries[[#This Row],[Where do you work]],tblCountries[[Actual]:[Mapping]],2,FALSE)</f>
        <v>Singapore</v>
      </c>
      <c r="L264" t="s">
        <v>13</v>
      </c>
    </row>
    <row r="265" spans="2:12" ht="15" customHeight="1">
      <c r="B265" t="s">
        <v>2268</v>
      </c>
      <c r="C265" s="1">
        <v>41055.047627314816</v>
      </c>
      <c r="D265" s="4">
        <v>54000</v>
      </c>
      <c r="E265">
        <v>54000</v>
      </c>
      <c r="F265" t="s">
        <v>6</v>
      </c>
      <c r="G265">
        <f>tblSalaries[[#This Row],[clean Salary (in local currency)]]*VLOOKUP(tblSalaries[[#This Row],[Currency]],tblXrate[],2,FALSE)</f>
        <v>54000</v>
      </c>
      <c r="H265" t="s">
        <v>336</v>
      </c>
      <c r="I265" t="s">
        <v>52</v>
      </c>
      <c r="J265" t="s">
        <v>15</v>
      </c>
      <c r="K265" t="str">
        <f>VLOOKUP(tblSalaries[[#This Row],[Where do you work]],tblCountries[[Actual]:[Mapping]],2,FALSE)</f>
        <v>USA</v>
      </c>
      <c r="L265" t="s">
        <v>13</v>
      </c>
    </row>
    <row r="266" spans="2:12" ht="15" customHeight="1">
      <c r="B266" t="s">
        <v>2269</v>
      </c>
      <c r="C266" s="1">
        <v>41055.047673611109</v>
      </c>
      <c r="D266" s="4" t="s">
        <v>337</v>
      </c>
      <c r="E266">
        <v>276000</v>
      </c>
      <c r="F266" t="s">
        <v>40</v>
      </c>
      <c r="G266">
        <f>tblSalaries[[#This Row],[clean Salary (in local currency)]]*VLOOKUP(tblSalaries[[#This Row],[Currency]],tblXrate[],2,FALSE)</f>
        <v>4914.9850057341491</v>
      </c>
      <c r="H266" t="s">
        <v>256</v>
      </c>
      <c r="I266" t="s">
        <v>20</v>
      </c>
      <c r="J266" t="s">
        <v>8</v>
      </c>
      <c r="K266" t="str">
        <f>VLOOKUP(tblSalaries[[#This Row],[Where do you work]],tblCountries[[Actual]:[Mapping]],2,FALSE)</f>
        <v>India</v>
      </c>
      <c r="L266" t="s">
        <v>13</v>
      </c>
    </row>
    <row r="267" spans="2:12" ht="15" customHeight="1">
      <c r="B267" t="s">
        <v>2270</v>
      </c>
      <c r="C267" s="1">
        <v>41055.047708333332</v>
      </c>
      <c r="D267" s="4" t="s">
        <v>338</v>
      </c>
      <c r="E267">
        <v>77000</v>
      </c>
      <c r="F267" t="s">
        <v>6</v>
      </c>
      <c r="G267">
        <f>tblSalaries[[#This Row],[clean Salary (in local currency)]]*VLOOKUP(tblSalaries[[#This Row],[Currency]],tblXrate[],2,FALSE)</f>
        <v>77000</v>
      </c>
      <c r="H267" t="s">
        <v>339</v>
      </c>
      <c r="I267" t="s">
        <v>310</v>
      </c>
      <c r="J267" t="s">
        <v>15</v>
      </c>
      <c r="K267" t="str">
        <f>VLOOKUP(tblSalaries[[#This Row],[Where do you work]],tblCountries[[Actual]:[Mapping]],2,FALSE)</f>
        <v>USA</v>
      </c>
      <c r="L267" t="s">
        <v>9</v>
      </c>
    </row>
    <row r="268" spans="2:12" ht="15" customHeight="1">
      <c r="B268" t="s">
        <v>2271</v>
      </c>
      <c r="C268" s="1">
        <v>41055.04792824074</v>
      </c>
      <c r="D268" s="4">
        <v>76000</v>
      </c>
      <c r="E268">
        <v>76000</v>
      </c>
      <c r="F268" t="s">
        <v>6</v>
      </c>
      <c r="G268">
        <f>tblSalaries[[#This Row],[clean Salary (in local currency)]]*VLOOKUP(tblSalaries[[#This Row],[Currency]],tblXrate[],2,FALSE)</f>
        <v>76000</v>
      </c>
      <c r="H268" t="s">
        <v>340</v>
      </c>
      <c r="I268" t="s">
        <v>52</v>
      </c>
      <c r="J268" t="s">
        <v>15</v>
      </c>
      <c r="K268" t="str">
        <f>VLOOKUP(tblSalaries[[#This Row],[Where do you work]],tblCountries[[Actual]:[Mapping]],2,FALSE)</f>
        <v>USA</v>
      </c>
      <c r="L268" t="s">
        <v>13</v>
      </c>
    </row>
    <row r="269" spans="2:12" ht="15" customHeight="1">
      <c r="B269" t="s">
        <v>2272</v>
      </c>
      <c r="C269" s="1">
        <v>41055.04828703704</v>
      </c>
      <c r="D269" s="4">
        <v>103000</v>
      </c>
      <c r="E269">
        <v>103000</v>
      </c>
      <c r="F269" t="s">
        <v>6</v>
      </c>
      <c r="G269">
        <f>tblSalaries[[#This Row],[clean Salary (in local currency)]]*VLOOKUP(tblSalaries[[#This Row],[Currency]],tblXrate[],2,FALSE)</f>
        <v>103000</v>
      </c>
      <c r="H269" t="s">
        <v>341</v>
      </c>
      <c r="I269" t="s">
        <v>4001</v>
      </c>
      <c r="J269" t="s">
        <v>15</v>
      </c>
      <c r="K269" t="str">
        <f>VLOOKUP(tblSalaries[[#This Row],[Where do you work]],tblCountries[[Actual]:[Mapping]],2,FALSE)</f>
        <v>USA</v>
      </c>
      <c r="L269" t="s">
        <v>18</v>
      </c>
    </row>
    <row r="270" spans="2:12" ht="15" customHeight="1">
      <c r="B270" t="s">
        <v>2273</v>
      </c>
      <c r="C270" s="1">
        <v>41055.048310185186</v>
      </c>
      <c r="D270" s="4">
        <v>7600</v>
      </c>
      <c r="E270">
        <v>7600</v>
      </c>
      <c r="F270" t="s">
        <v>6</v>
      </c>
      <c r="G270">
        <f>tblSalaries[[#This Row],[clean Salary (in local currency)]]*VLOOKUP(tblSalaries[[#This Row],[Currency]],tblXrate[],2,FALSE)</f>
        <v>7600</v>
      </c>
      <c r="H270" t="s">
        <v>342</v>
      </c>
      <c r="I270" t="s">
        <v>67</v>
      </c>
      <c r="J270" t="s">
        <v>27</v>
      </c>
      <c r="K270" t="str">
        <f>VLOOKUP(tblSalaries[[#This Row],[Where do you work]],tblCountries[[Actual]:[Mapping]],2,FALSE)</f>
        <v>Ukraine</v>
      </c>
      <c r="L270" t="s">
        <v>25</v>
      </c>
    </row>
    <row r="271" spans="2:12" ht="15" customHeight="1">
      <c r="B271" t="s">
        <v>2274</v>
      </c>
      <c r="C271" s="1">
        <v>41055.048564814817</v>
      </c>
      <c r="D271" s="4">
        <v>40000</v>
      </c>
      <c r="E271">
        <v>40000</v>
      </c>
      <c r="F271" t="s">
        <v>6</v>
      </c>
      <c r="G271">
        <f>tblSalaries[[#This Row],[clean Salary (in local currency)]]*VLOOKUP(tblSalaries[[#This Row],[Currency]],tblXrate[],2,FALSE)</f>
        <v>40000</v>
      </c>
      <c r="H271" t="s">
        <v>343</v>
      </c>
      <c r="I271" t="s">
        <v>20</v>
      </c>
      <c r="J271" t="s">
        <v>15</v>
      </c>
      <c r="K271" t="str">
        <f>VLOOKUP(tblSalaries[[#This Row],[Where do you work]],tblCountries[[Actual]:[Mapping]],2,FALSE)</f>
        <v>USA</v>
      </c>
      <c r="L271" t="s">
        <v>9</v>
      </c>
    </row>
    <row r="272" spans="2:12" ht="15" customHeight="1">
      <c r="B272" t="s">
        <v>2275</v>
      </c>
      <c r="C272" s="1">
        <v>41055.048842592594</v>
      </c>
      <c r="D272" s="4">
        <v>80000</v>
      </c>
      <c r="E272">
        <v>80000</v>
      </c>
      <c r="F272" t="s">
        <v>6</v>
      </c>
      <c r="G272">
        <f>tblSalaries[[#This Row],[clean Salary (in local currency)]]*VLOOKUP(tblSalaries[[#This Row],[Currency]],tblXrate[],2,FALSE)</f>
        <v>80000</v>
      </c>
      <c r="H272" t="s">
        <v>344</v>
      </c>
      <c r="I272" t="s">
        <v>4001</v>
      </c>
      <c r="J272" t="s">
        <v>15</v>
      </c>
      <c r="K272" t="str">
        <f>VLOOKUP(tblSalaries[[#This Row],[Where do you work]],tblCountries[[Actual]:[Mapping]],2,FALSE)</f>
        <v>USA</v>
      </c>
      <c r="L272" t="s">
        <v>18</v>
      </c>
    </row>
    <row r="273" spans="2:12" ht="15" customHeight="1">
      <c r="B273" t="s">
        <v>2276</v>
      </c>
      <c r="C273" s="1">
        <v>41055.048888888887</v>
      </c>
      <c r="D273" s="4">
        <v>55000</v>
      </c>
      <c r="E273">
        <v>55000</v>
      </c>
      <c r="F273" t="s">
        <v>6</v>
      </c>
      <c r="G273">
        <f>tblSalaries[[#This Row],[clean Salary (in local currency)]]*VLOOKUP(tblSalaries[[#This Row],[Currency]],tblXrate[],2,FALSE)</f>
        <v>55000</v>
      </c>
      <c r="H273" t="s">
        <v>214</v>
      </c>
      <c r="I273" t="s">
        <v>20</v>
      </c>
      <c r="J273" t="s">
        <v>15</v>
      </c>
      <c r="K273" t="str">
        <f>VLOOKUP(tblSalaries[[#This Row],[Where do you work]],tblCountries[[Actual]:[Mapping]],2,FALSE)</f>
        <v>USA</v>
      </c>
      <c r="L273" t="s">
        <v>13</v>
      </c>
    </row>
    <row r="274" spans="2:12" ht="15" customHeight="1">
      <c r="B274" t="s">
        <v>2277</v>
      </c>
      <c r="C274" s="1">
        <v>41055.049247685187</v>
      </c>
      <c r="D274" s="4">
        <v>99000</v>
      </c>
      <c r="E274">
        <v>99000</v>
      </c>
      <c r="F274" t="s">
        <v>6</v>
      </c>
      <c r="G274">
        <f>tblSalaries[[#This Row],[clean Salary (in local currency)]]*VLOOKUP(tblSalaries[[#This Row],[Currency]],tblXrate[],2,FALSE)</f>
        <v>99000</v>
      </c>
      <c r="H274" t="s">
        <v>207</v>
      </c>
      <c r="I274" t="s">
        <v>20</v>
      </c>
      <c r="J274" t="s">
        <v>15</v>
      </c>
      <c r="K274" t="str">
        <f>VLOOKUP(tblSalaries[[#This Row],[Where do you work]],tblCountries[[Actual]:[Mapping]],2,FALSE)</f>
        <v>USA</v>
      </c>
      <c r="L274" t="s">
        <v>18</v>
      </c>
    </row>
    <row r="275" spans="2:12" ht="15" customHeight="1">
      <c r="B275" t="s">
        <v>2278</v>
      </c>
      <c r="C275" s="1">
        <v>41055.049259259256</v>
      </c>
      <c r="D275" s="4" t="s">
        <v>345</v>
      </c>
      <c r="E275">
        <v>420000</v>
      </c>
      <c r="F275" t="s">
        <v>3951</v>
      </c>
      <c r="G275">
        <f>tblSalaries[[#This Row],[clean Salary (in local currency)]]*VLOOKUP(tblSalaries[[#This Row],[Currency]],tblXrate[],2,FALSE)</f>
        <v>9956.1219482708348</v>
      </c>
      <c r="H275" t="s">
        <v>346</v>
      </c>
      <c r="I275" t="s">
        <v>52</v>
      </c>
      <c r="J275" t="s">
        <v>347</v>
      </c>
      <c r="K275" t="str">
        <f>VLOOKUP(tblSalaries[[#This Row],[Where do you work]],tblCountries[[Actual]:[Mapping]],2,FALSE)</f>
        <v>Philippines</v>
      </c>
      <c r="L275" t="s">
        <v>9</v>
      </c>
    </row>
    <row r="276" spans="2:12" ht="15" customHeight="1">
      <c r="B276" t="s">
        <v>2279</v>
      </c>
      <c r="C276" s="1">
        <v>41055.049444444441</v>
      </c>
      <c r="D276" s="4">
        <v>75000</v>
      </c>
      <c r="E276">
        <v>75000</v>
      </c>
      <c r="F276" t="s">
        <v>6</v>
      </c>
      <c r="G276">
        <f>tblSalaries[[#This Row],[clean Salary (in local currency)]]*VLOOKUP(tblSalaries[[#This Row],[Currency]],tblXrate[],2,FALSE)</f>
        <v>75000</v>
      </c>
      <c r="H276" t="s">
        <v>160</v>
      </c>
      <c r="I276" t="s">
        <v>20</v>
      </c>
      <c r="J276" t="s">
        <v>15</v>
      </c>
      <c r="K276" t="str">
        <f>VLOOKUP(tblSalaries[[#This Row],[Where do you work]],tblCountries[[Actual]:[Mapping]],2,FALSE)</f>
        <v>USA</v>
      </c>
      <c r="L276" t="s">
        <v>9</v>
      </c>
    </row>
    <row r="277" spans="2:12" ht="15" customHeight="1">
      <c r="B277" t="s">
        <v>2280</v>
      </c>
      <c r="C277" s="1">
        <v>41055.049930555557</v>
      </c>
      <c r="D277" s="4">
        <v>80000</v>
      </c>
      <c r="E277">
        <v>80000</v>
      </c>
      <c r="F277" t="s">
        <v>6</v>
      </c>
      <c r="G277">
        <f>tblSalaries[[#This Row],[clean Salary (in local currency)]]*VLOOKUP(tblSalaries[[#This Row],[Currency]],tblXrate[],2,FALSE)</f>
        <v>80000</v>
      </c>
      <c r="H277" t="s">
        <v>348</v>
      </c>
      <c r="I277" t="s">
        <v>52</v>
      </c>
      <c r="J277" t="s">
        <v>15</v>
      </c>
      <c r="K277" t="str">
        <f>VLOOKUP(tblSalaries[[#This Row],[Where do you work]],tblCountries[[Actual]:[Mapping]],2,FALSE)</f>
        <v>USA</v>
      </c>
      <c r="L277" t="s">
        <v>18</v>
      </c>
    </row>
    <row r="278" spans="2:12" ht="15" customHeight="1">
      <c r="B278" t="s">
        <v>2281</v>
      </c>
      <c r="C278" s="1">
        <v>41055.050474537034</v>
      </c>
      <c r="D278" s="4">
        <v>20000</v>
      </c>
      <c r="E278">
        <v>20000</v>
      </c>
      <c r="F278" t="s">
        <v>6</v>
      </c>
      <c r="G278">
        <f>tblSalaries[[#This Row],[clean Salary (in local currency)]]*VLOOKUP(tblSalaries[[#This Row],[Currency]],tblXrate[],2,FALSE)</f>
        <v>20000</v>
      </c>
      <c r="H278" t="s">
        <v>20</v>
      </c>
      <c r="I278" t="s">
        <v>20</v>
      </c>
      <c r="J278" t="s">
        <v>8</v>
      </c>
      <c r="K278" t="str">
        <f>VLOOKUP(tblSalaries[[#This Row],[Where do you work]],tblCountries[[Actual]:[Mapping]],2,FALSE)</f>
        <v>India</v>
      </c>
      <c r="L278" t="s">
        <v>13</v>
      </c>
    </row>
    <row r="279" spans="2:12" ht="15" customHeight="1">
      <c r="B279" t="s">
        <v>2282</v>
      </c>
      <c r="C279" s="1">
        <v>41055.05127314815</v>
      </c>
      <c r="D279" s="4">
        <v>40000</v>
      </c>
      <c r="E279">
        <v>40000</v>
      </c>
      <c r="F279" t="s">
        <v>6</v>
      </c>
      <c r="G279">
        <f>tblSalaries[[#This Row],[clean Salary (in local currency)]]*VLOOKUP(tblSalaries[[#This Row],[Currency]],tblXrate[],2,FALSE)</f>
        <v>40000</v>
      </c>
      <c r="H279" t="s">
        <v>207</v>
      </c>
      <c r="I279" t="s">
        <v>20</v>
      </c>
      <c r="J279" t="s">
        <v>15</v>
      </c>
      <c r="K279" t="str">
        <f>VLOOKUP(tblSalaries[[#This Row],[Where do you work]],tblCountries[[Actual]:[Mapping]],2,FALSE)</f>
        <v>USA</v>
      </c>
      <c r="L279" t="s">
        <v>13</v>
      </c>
    </row>
    <row r="280" spans="2:12" ht="15" customHeight="1">
      <c r="B280" t="s">
        <v>2283</v>
      </c>
      <c r="C280" s="1">
        <v>41055.051701388889</v>
      </c>
      <c r="D280" s="4">
        <v>46000</v>
      </c>
      <c r="E280">
        <v>46000</v>
      </c>
      <c r="F280" t="s">
        <v>6</v>
      </c>
      <c r="G280">
        <f>tblSalaries[[#This Row],[clean Salary (in local currency)]]*VLOOKUP(tblSalaries[[#This Row],[Currency]],tblXrate[],2,FALSE)</f>
        <v>46000</v>
      </c>
      <c r="H280" t="s">
        <v>349</v>
      </c>
      <c r="I280" t="s">
        <v>20</v>
      </c>
      <c r="J280" t="s">
        <v>15</v>
      </c>
      <c r="K280" t="str">
        <f>VLOOKUP(tblSalaries[[#This Row],[Where do you work]],tblCountries[[Actual]:[Mapping]],2,FALSE)</f>
        <v>USA</v>
      </c>
      <c r="L280" t="s">
        <v>13</v>
      </c>
    </row>
    <row r="281" spans="2:12" ht="15" customHeight="1">
      <c r="B281" t="s">
        <v>2284</v>
      </c>
      <c r="C281" s="1">
        <v>41055.052025462966</v>
      </c>
      <c r="D281" s="4">
        <v>14000</v>
      </c>
      <c r="E281">
        <v>14000</v>
      </c>
      <c r="F281" t="s">
        <v>6</v>
      </c>
      <c r="G281">
        <f>tblSalaries[[#This Row],[clean Salary (in local currency)]]*VLOOKUP(tblSalaries[[#This Row],[Currency]],tblXrate[],2,FALSE)</f>
        <v>14000</v>
      </c>
      <c r="H281" t="s">
        <v>350</v>
      </c>
      <c r="I281" t="s">
        <v>20</v>
      </c>
      <c r="J281" t="s">
        <v>143</v>
      </c>
      <c r="K281" t="str">
        <f>VLOOKUP(tblSalaries[[#This Row],[Where do you work]],tblCountries[[Actual]:[Mapping]],2,FALSE)</f>
        <v>Brazil</v>
      </c>
      <c r="L281" t="s">
        <v>25</v>
      </c>
    </row>
    <row r="282" spans="2:12" ht="15" customHeight="1">
      <c r="B282" t="s">
        <v>2285</v>
      </c>
      <c r="C282" s="1">
        <v>41055.052141203705</v>
      </c>
      <c r="D282" s="4">
        <v>70000</v>
      </c>
      <c r="E282">
        <v>70000</v>
      </c>
      <c r="F282" t="s">
        <v>6</v>
      </c>
      <c r="G282">
        <f>tblSalaries[[#This Row],[clean Salary (in local currency)]]*VLOOKUP(tblSalaries[[#This Row],[Currency]],tblXrate[],2,FALSE)</f>
        <v>70000</v>
      </c>
      <c r="H282" t="s">
        <v>351</v>
      </c>
      <c r="I282" t="s">
        <v>279</v>
      </c>
      <c r="J282" t="s">
        <v>15</v>
      </c>
      <c r="K282" t="str">
        <f>VLOOKUP(tblSalaries[[#This Row],[Where do you work]],tblCountries[[Actual]:[Mapping]],2,FALSE)</f>
        <v>USA</v>
      </c>
      <c r="L282" t="s">
        <v>13</v>
      </c>
    </row>
    <row r="283" spans="2:12" ht="15" customHeight="1">
      <c r="B283" t="s">
        <v>2286</v>
      </c>
      <c r="C283" s="1">
        <v>41055.052222222221</v>
      </c>
      <c r="D283" s="4" t="s">
        <v>352</v>
      </c>
      <c r="E283">
        <v>36000</v>
      </c>
      <c r="F283" t="s">
        <v>6</v>
      </c>
      <c r="G283">
        <f>tblSalaries[[#This Row],[clean Salary (in local currency)]]*VLOOKUP(tblSalaries[[#This Row],[Currency]],tblXrate[],2,FALSE)</f>
        <v>36000</v>
      </c>
      <c r="H283" t="s">
        <v>353</v>
      </c>
      <c r="I283" t="s">
        <v>67</v>
      </c>
      <c r="J283" t="s">
        <v>65</v>
      </c>
      <c r="K283" t="str">
        <f>VLOOKUP(tblSalaries[[#This Row],[Where do you work]],tblCountries[[Actual]:[Mapping]],2,FALSE)</f>
        <v>Russia</v>
      </c>
      <c r="L283" t="s">
        <v>9</v>
      </c>
    </row>
    <row r="284" spans="2:12" ht="15" customHeight="1">
      <c r="B284" t="s">
        <v>2287</v>
      </c>
      <c r="C284" s="1">
        <v>41055.052372685182</v>
      </c>
      <c r="D284" s="4">
        <v>15000</v>
      </c>
      <c r="E284">
        <v>15000</v>
      </c>
      <c r="F284" t="s">
        <v>6</v>
      </c>
      <c r="G284">
        <f>tblSalaries[[#This Row],[clean Salary (in local currency)]]*VLOOKUP(tblSalaries[[#This Row],[Currency]],tblXrate[],2,FALSE)</f>
        <v>15000</v>
      </c>
      <c r="H284" t="s">
        <v>354</v>
      </c>
      <c r="I284" t="s">
        <v>52</v>
      </c>
      <c r="J284" t="s">
        <v>15</v>
      </c>
      <c r="K284" t="str">
        <f>VLOOKUP(tblSalaries[[#This Row],[Where do you work]],tblCountries[[Actual]:[Mapping]],2,FALSE)</f>
        <v>USA</v>
      </c>
      <c r="L284" t="s">
        <v>18</v>
      </c>
    </row>
    <row r="285" spans="2:12" ht="15" customHeight="1">
      <c r="B285" t="s">
        <v>2288</v>
      </c>
      <c r="C285" s="1">
        <v>41055.052986111114</v>
      </c>
      <c r="D285" s="4" t="s">
        <v>355</v>
      </c>
      <c r="E285">
        <v>1500000</v>
      </c>
      <c r="F285" t="s">
        <v>40</v>
      </c>
      <c r="G285">
        <f>tblSalaries[[#This Row],[clean Salary (in local currency)]]*VLOOKUP(tblSalaries[[#This Row],[Currency]],tblXrate[],2,FALSE)</f>
        <v>26711.875031163851</v>
      </c>
      <c r="H285" t="s">
        <v>356</v>
      </c>
      <c r="I285" t="s">
        <v>356</v>
      </c>
      <c r="J285" t="s">
        <v>8</v>
      </c>
      <c r="K285" t="str">
        <f>VLOOKUP(tblSalaries[[#This Row],[Where do you work]],tblCountries[[Actual]:[Mapping]],2,FALSE)</f>
        <v>India</v>
      </c>
      <c r="L285" t="s">
        <v>13</v>
      </c>
    </row>
    <row r="286" spans="2:12" ht="15" customHeight="1">
      <c r="B286" t="s">
        <v>2289</v>
      </c>
      <c r="C286" s="1">
        <v>41055.053599537037</v>
      </c>
      <c r="D286" s="4" t="s">
        <v>357</v>
      </c>
      <c r="E286">
        <v>100000</v>
      </c>
      <c r="F286" t="s">
        <v>358</v>
      </c>
      <c r="G286">
        <f>tblSalaries[[#This Row],[clean Salary (in local currency)]]*VLOOKUP(tblSalaries[[#This Row],[Currency]],tblXrate[],2,FALSE)</f>
        <v>27221.92126875931</v>
      </c>
      <c r="H286" t="s">
        <v>310</v>
      </c>
      <c r="I286" t="s">
        <v>310</v>
      </c>
      <c r="J286" t="s">
        <v>359</v>
      </c>
      <c r="K286" t="str">
        <f>VLOOKUP(tblSalaries[[#This Row],[Where do you work]],tblCountries[[Actual]:[Mapping]],2,FALSE)</f>
        <v>Dubai</v>
      </c>
      <c r="L286" t="s">
        <v>9</v>
      </c>
    </row>
    <row r="287" spans="2:12" ht="15" customHeight="1">
      <c r="B287" t="s">
        <v>2290</v>
      </c>
      <c r="C287" s="1">
        <v>41055.054050925923</v>
      </c>
      <c r="D287" s="4">
        <v>22000</v>
      </c>
      <c r="E287">
        <v>22000</v>
      </c>
      <c r="F287" t="s">
        <v>6</v>
      </c>
      <c r="G287">
        <f>tblSalaries[[#This Row],[clean Salary (in local currency)]]*VLOOKUP(tblSalaries[[#This Row],[Currency]],tblXrate[],2,FALSE)</f>
        <v>22000</v>
      </c>
      <c r="H287" t="s">
        <v>360</v>
      </c>
      <c r="I287" t="s">
        <v>3999</v>
      </c>
      <c r="J287" t="s">
        <v>8</v>
      </c>
      <c r="K287" t="str">
        <f>VLOOKUP(tblSalaries[[#This Row],[Where do you work]],tblCountries[[Actual]:[Mapping]],2,FALSE)</f>
        <v>India</v>
      </c>
      <c r="L287" t="s">
        <v>13</v>
      </c>
    </row>
    <row r="288" spans="2:12" ht="15" customHeight="1">
      <c r="B288" t="s">
        <v>2291</v>
      </c>
      <c r="C288" s="1">
        <v>41055.054120370369</v>
      </c>
      <c r="D288" s="4">
        <v>68000</v>
      </c>
      <c r="E288">
        <v>68000</v>
      </c>
      <c r="F288" t="s">
        <v>6</v>
      </c>
      <c r="G288">
        <f>tblSalaries[[#This Row],[clean Salary (in local currency)]]*VLOOKUP(tblSalaries[[#This Row],[Currency]],tblXrate[],2,FALSE)</f>
        <v>68000</v>
      </c>
      <c r="H288" t="s">
        <v>361</v>
      </c>
      <c r="I288" t="s">
        <v>52</v>
      </c>
      <c r="J288" t="s">
        <v>15</v>
      </c>
      <c r="K288" t="str">
        <f>VLOOKUP(tblSalaries[[#This Row],[Where do you work]],tblCountries[[Actual]:[Mapping]],2,FALSE)</f>
        <v>USA</v>
      </c>
      <c r="L288" t="s">
        <v>13</v>
      </c>
    </row>
    <row r="289" spans="2:12" ht="15" customHeight="1">
      <c r="B289" t="s">
        <v>2292</v>
      </c>
      <c r="C289" s="1">
        <v>41055.054131944446</v>
      </c>
      <c r="D289" s="4">
        <v>97000</v>
      </c>
      <c r="E289">
        <v>97000</v>
      </c>
      <c r="F289" t="s">
        <v>6</v>
      </c>
      <c r="G289">
        <f>tblSalaries[[#This Row],[clean Salary (in local currency)]]*VLOOKUP(tblSalaries[[#This Row],[Currency]],tblXrate[],2,FALSE)</f>
        <v>97000</v>
      </c>
      <c r="H289" t="s">
        <v>42</v>
      </c>
      <c r="I289" t="s">
        <v>20</v>
      </c>
      <c r="J289" t="s">
        <v>15</v>
      </c>
      <c r="K289" t="str">
        <f>VLOOKUP(tblSalaries[[#This Row],[Where do you work]],tblCountries[[Actual]:[Mapping]],2,FALSE)</f>
        <v>USA</v>
      </c>
      <c r="L289" t="s">
        <v>13</v>
      </c>
    </row>
    <row r="290" spans="2:12" ht="15" customHeight="1">
      <c r="B290" t="s">
        <v>2293</v>
      </c>
      <c r="C290" s="1">
        <v>41055.054571759261</v>
      </c>
      <c r="D290" s="4" t="s">
        <v>362</v>
      </c>
      <c r="E290">
        <v>31000</v>
      </c>
      <c r="F290" t="s">
        <v>69</v>
      </c>
      <c r="G290">
        <f>tblSalaries[[#This Row],[clean Salary (in local currency)]]*VLOOKUP(tblSalaries[[#This Row],[Currency]],tblXrate[],2,FALSE)</f>
        <v>48861.526434085805</v>
      </c>
      <c r="H290" t="s">
        <v>363</v>
      </c>
      <c r="I290" t="s">
        <v>279</v>
      </c>
      <c r="J290" t="s">
        <v>71</v>
      </c>
      <c r="K290" t="str">
        <f>VLOOKUP(tblSalaries[[#This Row],[Where do you work]],tblCountries[[Actual]:[Mapping]],2,FALSE)</f>
        <v>UK</v>
      </c>
      <c r="L290" t="s">
        <v>18</v>
      </c>
    </row>
    <row r="291" spans="2:12" ht="15" customHeight="1">
      <c r="B291" t="s">
        <v>2294</v>
      </c>
      <c r="C291" s="1">
        <v>41055.0547337963</v>
      </c>
      <c r="D291" s="4">
        <v>65000</v>
      </c>
      <c r="E291">
        <v>65000</v>
      </c>
      <c r="F291" t="s">
        <v>6</v>
      </c>
      <c r="G291">
        <f>tblSalaries[[#This Row],[clean Salary (in local currency)]]*VLOOKUP(tblSalaries[[#This Row],[Currency]],tblXrate[],2,FALSE)</f>
        <v>65000</v>
      </c>
      <c r="H291" t="s">
        <v>364</v>
      </c>
      <c r="I291" t="s">
        <v>20</v>
      </c>
      <c r="J291" t="s">
        <v>15</v>
      </c>
      <c r="K291" t="str">
        <f>VLOOKUP(tblSalaries[[#This Row],[Where do you work]],tblCountries[[Actual]:[Mapping]],2,FALSE)</f>
        <v>USA</v>
      </c>
      <c r="L291" t="s">
        <v>9</v>
      </c>
    </row>
    <row r="292" spans="2:12" ht="15" customHeight="1">
      <c r="B292" t="s">
        <v>2295</v>
      </c>
      <c r="C292" s="1">
        <v>41055.054837962962</v>
      </c>
      <c r="D292" s="4">
        <v>3600</v>
      </c>
      <c r="E292">
        <v>43200</v>
      </c>
      <c r="F292" t="s">
        <v>6</v>
      </c>
      <c r="G292">
        <f>tblSalaries[[#This Row],[clean Salary (in local currency)]]*VLOOKUP(tblSalaries[[#This Row],[Currency]],tblXrate[],2,FALSE)</f>
        <v>43200</v>
      </c>
      <c r="H292" t="s">
        <v>365</v>
      </c>
      <c r="I292" t="s">
        <v>52</v>
      </c>
      <c r="J292" t="s">
        <v>133</v>
      </c>
      <c r="K292" t="str">
        <f>VLOOKUP(tblSalaries[[#This Row],[Where do you work]],tblCountries[[Actual]:[Mapping]],2,FALSE)</f>
        <v>Saudi Arabia</v>
      </c>
      <c r="L292" t="s">
        <v>9</v>
      </c>
    </row>
    <row r="293" spans="2:12" ht="15" customHeight="1">
      <c r="B293" t="s">
        <v>2296</v>
      </c>
      <c r="C293" s="1">
        <v>41055.054965277777</v>
      </c>
      <c r="D293" s="4" t="s">
        <v>366</v>
      </c>
      <c r="E293">
        <v>450000</v>
      </c>
      <c r="F293" t="s">
        <v>40</v>
      </c>
      <c r="G293">
        <f>tblSalaries[[#This Row],[clean Salary (in local currency)]]*VLOOKUP(tblSalaries[[#This Row],[Currency]],tblXrate[],2,FALSE)</f>
        <v>8013.5625093491553</v>
      </c>
      <c r="H293" t="s">
        <v>207</v>
      </c>
      <c r="I293" t="s">
        <v>20</v>
      </c>
      <c r="J293" t="s">
        <v>8</v>
      </c>
      <c r="K293" t="str">
        <f>VLOOKUP(tblSalaries[[#This Row],[Where do you work]],tblCountries[[Actual]:[Mapping]],2,FALSE)</f>
        <v>India</v>
      </c>
      <c r="L293" t="s">
        <v>9</v>
      </c>
    </row>
    <row r="294" spans="2:12" ht="15" customHeight="1">
      <c r="B294" t="s">
        <v>2297</v>
      </c>
      <c r="C294" s="1">
        <v>41055.054965277777</v>
      </c>
      <c r="D294" s="4">
        <v>50000</v>
      </c>
      <c r="E294">
        <v>50000</v>
      </c>
      <c r="F294" t="s">
        <v>6</v>
      </c>
      <c r="G294">
        <f>tblSalaries[[#This Row],[clean Salary (in local currency)]]*VLOOKUP(tblSalaries[[#This Row],[Currency]],tblXrate[],2,FALSE)</f>
        <v>50000</v>
      </c>
      <c r="H294" t="s">
        <v>367</v>
      </c>
      <c r="I294" t="s">
        <v>20</v>
      </c>
      <c r="J294" t="s">
        <v>15</v>
      </c>
      <c r="K294" t="str">
        <f>VLOOKUP(tblSalaries[[#This Row],[Where do you work]],tblCountries[[Actual]:[Mapping]],2,FALSE)</f>
        <v>USA</v>
      </c>
      <c r="L294" t="s">
        <v>13</v>
      </c>
    </row>
    <row r="295" spans="2:12" ht="15" customHeight="1">
      <c r="B295" t="s">
        <v>2298</v>
      </c>
      <c r="C295" s="1">
        <v>41055.055115740739</v>
      </c>
      <c r="D295" s="4">
        <v>45000</v>
      </c>
      <c r="E295">
        <v>45000</v>
      </c>
      <c r="F295" t="s">
        <v>6</v>
      </c>
      <c r="G295">
        <f>tblSalaries[[#This Row],[clean Salary (in local currency)]]*VLOOKUP(tblSalaries[[#This Row],[Currency]],tblXrate[],2,FALSE)</f>
        <v>45000</v>
      </c>
      <c r="H295" t="s">
        <v>368</v>
      </c>
      <c r="I295" t="s">
        <v>20</v>
      </c>
      <c r="J295" t="s">
        <v>15</v>
      </c>
      <c r="K295" t="str">
        <f>VLOOKUP(tblSalaries[[#This Row],[Where do you work]],tblCountries[[Actual]:[Mapping]],2,FALSE)</f>
        <v>USA</v>
      </c>
      <c r="L295" t="s">
        <v>9</v>
      </c>
    </row>
    <row r="296" spans="2:12" ht="15" customHeight="1">
      <c r="B296" t="s">
        <v>2299</v>
      </c>
      <c r="C296" s="1">
        <v>41055.055289351854</v>
      </c>
      <c r="D296" s="4" t="s">
        <v>369</v>
      </c>
      <c r="E296">
        <v>180000</v>
      </c>
      <c r="F296" t="s">
        <v>40</v>
      </c>
      <c r="G296">
        <f>tblSalaries[[#This Row],[clean Salary (in local currency)]]*VLOOKUP(tblSalaries[[#This Row],[Currency]],tblXrate[],2,FALSE)</f>
        <v>3205.4250037396623</v>
      </c>
      <c r="H296" t="s">
        <v>370</v>
      </c>
      <c r="I296" t="s">
        <v>52</v>
      </c>
      <c r="J296" t="s">
        <v>8</v>
      </c>
      <c r="K296" t="str">
        <f>VLOOKUP(tblSalaries[[#This Row],[Where do you work]],tblCountries[[Actual]:[Mapping]],2,FALSE)</f>
        <v>India</v>
      </c>
      <c r="L296" t="s">
        <v>9</v>
      </c>
    </row>
    <row r="297" spans="2:12" ht="15" customHeight="1">
      <c r="B297" t="s">
        <v>2300</v>
      </c>
      <c r="C297" s="1">
        <v>41055.055567129632</v>
      </c>
      <c r="D297" s="4">
        <v>60000</v>
      </c>
      <c r="E297">
        <v>60000</v>
      </c>
      <c r="F297" t="s">
        <v>6</v>
      </c>
      <c r="G297">
        <f>tblSalaries[[#This Row],[clean Salary (in local currency)]]*VLOOKUP(tblSalaries[[#This Row],[Currency]],tblXrate[],2,FALSE)</f>
        <v>60000</v>
      </c>
      <c r="H297" t="s">
        <v>371</v>
      </c>
      <c r="I297" t="s">
        <v>52</v>
      </c>
      <c r="J297" t="s">
        <v>15</v>
      </c>
      <c r="K297" t="str">
        <f>VLOOKUP(tblSalaries[[#This Row],[Where do you work]],tblCountries[[Actual]:[Mapping]],2,FALSE)</f>
        <v>USA</v>
      </c>
      <c r="L297" t="s">
        <v>13</v>
      </c>
    </row>
    <row r="298" spans="2:12" ht="15" customHeight="1">
      <c r="B298" t="s">
        <v>2301</v>
      </c>
      <c r="C298" s="1">
        <v>41055.056087962963</v>
      </c>
      <c r="D298" s="4">
        <v>31000</v>
      </c>
      <c r="E298">
        <v>31000</v>
      </c>
      <c r="F298" t="s">
        <v>6</v>
      </c>
      <c r="G298">
        <f>tblSalaries[[#This Row],[clean Salary (in local currency)]]*VLOOKUP(tblSalaries[[#This Row],[Currency]],tblXrate[],2,FALSE)</f>
        <v>31000</v>
      </c>
      <c r="H298" t="s">
        <v>372</v>
      </c>
      <c r="I298" t="s">
        <v>67</v>
      </c>
      <c r="J298" t="s">
        <v>15</v>
      </c>
      <c r="K298" t="str">
        <f>VLOOKUP(tblSalaries[[#This Row],[Where do you work]],tblCountries[[Actual]:[Mapping]],2,FALSE)</f>
        <v>USA</v>
      </c>
      <c r="L298" t="s">
        <v>18</v>
      </c>
    </row>
    <row r="299" spans="2:12" ht="15" customHeight="1">
      <c r="B299" t="s">
        <v>2302</v>
      </c>
      <c r="C299" s="1">
        <v>41055.056319444448</v>
      </c>
      <c r="D299" s="4">
        <v>75000</v>
      </c>
      <c r="E299">
        <v>75000</v>
      </c>
      <c r="F299" t="s">
        <v>6</v>
      </c>
      <c r="G299">
        <f>tblSalaries[[#This Row],[clean Salary (in local currency)]]*VLOOKUP(tblSalaries[[#This Row],[Currency]],tblXrate[],2,FALSE)</f>
        <v>75000</v>
      </c>
      <c r="H299" t="s">
        <v>373</v>
      </c>
      <c r="I299" t="s">
        <v>20</v>
      </c>
      <c r="J299" t="s">
        <v>15</v>
      </c>
      <c r="K299" t="str">
        <f>VLOOKUP(tblSalaries[[#This Row],[Where do you work]],tblCountries[[Actual]:[Mapping]],2,FALSE)</f>
        <v>USA</v>
      </c>
      <c r="L299" t="s">
        <v>9</v>
      </c>
    </row>
    <row r="300" spans="2:12" ht="15" customHeight="1">
      <c r="B300" t="s">
        <v>2303</v>
      </c>
      <c r="C300" s="1">
        <v>41055.05704861111</v>
      </c>
      <c r="D300" s="4">
        <v>16000</v>
      </c>
      <c r="E300">
        <v>16000</v>
      </c>
      <c r="F300" t="s">
        <v>6</v>
      </c>
      <c r="G300">
        <f>tblSalaries[[#This Row],[clean Salary (in local currency)]]*VLOOKUP(tblSalaries[[#This Row],[Currency]],tblXrate[],2,FALSE)</f>
        <v>16000</v>
      </c>
      <c r="H300" t="s">
        <v>374</v>
      </c>
      <c r="I300" t="s">
        <v>4001</v>
      </c>
      <c r="J300" t="s">
        <v>15</v>
      </c>
      <c r="K300" t="str">
        <f>VLOOKUP(tblSalaries[[#This Row],[Where do you work]],tblCountries[[Actual]:[Mapping]],2,FALSE)</f>
        <v>USA</v>
      </c>
      <c r="L300" t="s">
        <v>25</v>
      </c>
    </row>
    <row r="301" spans="2:12" ht="15" customHeight="1">
      <c r="B301" t="s">
        <v>2304</v>
      </c>
      <c r="C301" s="1">
        <v>41055.057199074072</v>
      </c>
      <c r="D301" s="4" t="s">
        <v>375</v>
      </c>
      <c r="E301">
        <v>36000</v>
      </c>
      <c r="F301" t="s">
        <v>6</v>
      </c>
      <c r="G301">
        <f>tblSalaries[[#This Row],[clean Salary (in local currency)]]*VLOOKUP(tblSalaries[[#This Row],[Currency]],tblXrate[],2,FALSE)</f>
        <v>36000</v>
      </c>
      <c r="H301" t="s">
        <v>376</v>
      </c>
      <c r="I301" t="s">
        <v>20</v>
      </c>
      <c r="J301" t="s">
        <v>15</v>
      </c>
      <c r="K301" t="str">
        <f>VLOOKUP(tblSalaries[[#This Row],[Where do you work]],tblCountries[[Actual]:[Mapping]],2,FALSE)</f>
        <v>USA</v>
      </c>
      <c r="L301" t="s">
        <v>13</v>
      </c>
    </row>
    <row r="302" spans="2:12" ht="15" customHeight="1">
      <c r="B302" t="s">
        <v>2305</v>
      </c>
      <c r="C302" s="1">
        <v>41055.05740740741</v>
      </c>
      <c r="D302" s="4">
        <v>42000</v>
      </c>
      <c r="E302">
        <v>42000</v>
      </c>
      <c r="F302" t="s">
        <v>86</v>
      </c>
      <c r="G302">
        <f>tblSalaries[[#This Row],[clean Salary (in local currency)]]*VLOOKUP(tblSalaries[[#This Row],[Currency]],tblXrate[],2,FALSE)</f>
        <v>41301.183967273726</v>
      </c>
      <c r="H302" t="s">
        <v>14</v>
      </c>
      <c r="I302" t="s">
        <v>20</v>
      </c>
      <c r="J302" t="s">
        <v>88</v>
      </c>
      <c r="K302" t="str">
        <f>VLOOKUP(tblSalaries[[#This Row],[Where do you work]],tblCountries[[Actual]:[Mapping]],2,FALSE)</f>
        <v>Canada</v>
      </c>
      <c r="L302" t="s">
        <v>13</v>
      </c>
    </row>
    <row r="303" spans="2:12" ht="15" customHeight="1">
      <c r="B303" t="s">
        <v>2306</v>
      </c>
      <c r="C303" s="1">
        <v>41055.05746527778</v>
      </c>
      <c r="D303" s="4">
        <v>53000</v>
      </c>
      <c r="E303">
        <v>53000</v>
      </c>
      <c r="F303" t="s">
        <v>6</v>
      </c>
      <c r="G303">
        <f>tblSalaries[[#This Row],[clean Salary (in local currency)]]*VLOOKUP(tblSalaries[[#This Row],[Currency]],tblXrate[],2,FALSE)</f>
        <v>53000</v>
      </c>
      <c r="H303" t="s">
        <v>153</v>
      </c>
      <c r="I303" t="s">
        <v>20</v>
      </c>
      <c r="J303" t="s">
        <v>15</v>
      </c>
      <c r="K303" t="str">
        <f>VLOOKUP(tblSalaries[[#This Row],[Where do you work]],tblCountries[[Actual]:[Mapping]],2,FALSE)</f>
        <v>USA</v>
      </c>
      <c r="L303" t="s">
        <v>9</v>
      </c>
    </row>
    <row r="304" spans="2:12" ht="15" customHeight="1">
      <c r="B304" t="s">
        <v>2307</v>
      </c>
      <c r="C304" s="1">
        <v>41055.057500000003</v>
      </c>
      <c r="D304" s="4" t="s">
        <v>377</v>
      </c>
      <c r="E304">
        <v>65000</v>
      </c>
      <c r="F304" t="s">
        <v>22</v>
      </c>
      <c r="G304">
        <f>tblSalaries[[#This Row],[clean Salary (in local currency)]]*VLOOKUP(tblSalaries[[#This Row],[Currency]],tblXrate[],2,FALSE)</f>
        <v>82575.963534454509</v>
      </c>
      <c r="H304" t="s">
        <v>270</v>
      </c>
      <c r="I304" t="s">
        <v>488</v>
      </c>
      <c r="J304" t="s">
        <v>378</v>
      </c>
      <c r="K304" t="str">
        <f>VLOOKUP(tblSalaries[[#This Row],[Where do you work]],tblCountries[[Actual]:[Mapping]],2,FALSE)</f>
        <v>Germany</v>
      </c>
      <c r="L304" t="s">
        <v>13</v>
      </c>
    </row>
    <row r="305" spans="2:12" ht="15" customHeight="1">
      <c r="B305" t="s">
        <v>2308</v>
      </c>
      <c r="C305" s="1">
        <v>41055.057592592595</v>
      </c>
      <c r="D305" s="4">
        <v>67000</v>
      </c>
      <c r="E305">
        <v>67000</v>
      </c>
      <c r="F305" t="s">
        <v>6</v>
      </c>
      <c r="G305">
        <f>tblSalaries[[#This Row],[clean Salary (in local currency)]]*VLOOKUP(tblSalaries[[#This Row],[Currency]],tblXrate[],2,FALSE)</f>
        <v>67000</v>
      </c>
      <c r="H305" t="s">
        <v>379</v>
      </c>
      <c r="I305" t="s">
        <v>20</v>
      </c>
      <c r="J305" t="s">
        <v>15</v>
      </c>
      <c r="K305" t="str">
        <f>VLOOKUP(tblSalaries[[#This Row],[Where do you work]],tblCountries[[Actual]:[Mapping]],2,FALSE)</f>
        <v>USA</v>
      </c>
      <c r="L305" t="s">
        <v>9</v>
      </c>
    </row>
    <row r="306" spans="2:12" ht="15" customHeight="1">
      <c r="B306" t="s">
        <v>2309</v>
      </c>
      <c r="C306" s="1">
        <v>41055.057881944442</v>
      </c>
      <c r="D306" s="4">
        <v>12000</v>
      </c>
      <c r="E306">
        <v>12000</v>
      </c>
      <c r="F306" t="s">
        <v>6</v>
      </c>
      <c r="G306">
        <f>tblSalaries[[#This Row],[clean Salary (in local currency)]]*VLOOKUP(tblSalaries[[#This Row],[Currency]],tblXrate[],2,FALSE)</f>
        <v>12000</v>
      </c>
      <c r="H306" t="s">
        <v>20</v>
      </c>
      <c r="I306" t="s">
        <v>20</v>
      </c>
      <c r="J306" t="s">
        <v>8</v>
      </c>
      <c r="K306" t="str">
        <f>VLOOKUP(tblSalaries[[#This Row],[Where do you work]],tblCountries[[Actual]:[Mapping]],2,FALSE)</f>
        <v>India</v>
      </c>
      <c r="L306" t="s">
        <v>13</v>
      </c>
    </row>
    <row r="307" spans="2:12" ht="15" customHeight="1">
      <c r="B307" t="s">
        <v>2310</v>
      </c>
      <c r="C307" s="1">
        <v>41055.058136574073</v>
      </c>
      <c r="D307" s="4">
        <v>85000</v>
      </c>
      <c r="E307">
        <v>85000</v>
      </c>
      <c r="F307" t="s">
        <v>6</v>
      </c>
      <c r="G307">
        <f>tblSalaries[[#This Row],[clean Salary (in local currency)]]*VLOOKUP(tblSalaries[[#This Row],[Currency]],tblXrate[],2,FALSE)</f>
        <v>85000</v>
      </c>
      <c r="H307" t="s">
        <v>380</v>
      </c>
      <c r="I307" t="s">
        <v>488</v>
      </c>
      <c r="J307" t="s">
        <v>15</v>
      </c>
      <c r="K307" t="str">
        <f>VLOOKUP(tblSalaries[[#This Row],[Where do you work]],tblCountries[[Actual]:[Mapping]],2,FALSE)</f>
        <v>USA</v>
      </c>
      <c r="L307" t="s">
        <v>13</v>
      </c>
    </row>
    <row r="308" spans="2:12" ht="15" customHeight="1">
      <c r="B308" t="s">
        <v>2311</v>
      </c>
      <c r="C308" s="1">
        <v>41055.058217592596</v>
      </c>
      <c r="D308" s="4">
        <v>200000</v>
      </c>
      <c r="E308">
        <v>200000</v>
      </c>
      <c r="F308" t="s">
        <v>22</v>
      </c>
      <c r="G308">
        <f>tblSalaries[[#This Row],[clean Salary (in local currency)]]*VLOOKUP(tblSalaries[[#This Row],[Currency]],tblXrate[],2,FALSE)</f>
        <v>254079.88779832155</v>
      </c>
      <c r="H308" t="s">
        <v>381</v>
      </c>
      <c r="I308" t="s">
        <v>3999</v>
      </c>
      <c r="J308" t="s">
        <v>382</v>
      </c>
      <c r="K308" t="str">
        <f>VLOOKUP(tblSalaries[[#This Row],[Where do you work]],tblCountries[[Actual]:[Mapping]],2,FALSE)</f>
        <v>Netherlands</v>
      </c>
      <c r="L308" t="s">
        <v>13</v>
      </c>
    </row>
    <row r="309" spans="2:12" ht="15" customHeight="1">
      <c r="B309" t="s">
        <v>2312</v>
      </c>
      <c r="C309" s="1">
        <v>41055.058298611111</v>
      </c>
      <c r="D309" s="4">
        <v>40000</v>
      </c>
      <c r="E309">
        <v>40000</v>
      </c>
      <c r="F309" t="s">
        <v>6</v>
      </c>
      <c r="G309">
        <f>tblSalaries[[#This Row],[clean Salary (in local currency)]]*VLOOKUP(tblSalaries[[#This Row],[Currency]],tblXrate[],2,FALSE)</f>
        <v>40000</v>
      </c>
      <c r="H309" t="s">
        <v>383</v>
      </c>
      <c r="I309" t="s">
        <v>52</v>
      </c>
      <c r="J309" t="s">
        <v>15</v>
      </c>
      <c r="K309" t="str">
        <f>VLOOKUP(tblSalaries[[#This Row],[Where do you work]],tblCountries[[Actual]:[Mapping]],2,FALSE)</f>
        <v>USA</v>
      </c>
      <c r="L309" t="s">
        <v>9</v>
      </c>
    </row>
    <row r="310" spans="2:12" ht="15" customHeight="1">
      <c r="B310" t="s">
        <v>2313</v>
      </c>
      <c r="C310" s="1">
        <v>41055.058368055557</v>
      </c>
      <c r="D310" s="4" t="s">
        <v>384</v>
      </c>
      <c r="E310">
        <v>20000</v>
      </c>
      <c r="F310" t="s">
        <v>69</v>
      </c>
      <c r="G310">
        <f>tblSalaries[[#This Row],[clean Salary (in local currency)]]*VLOOKUP(tblSalaries[[#This Row],[Currency]],tblXrate[],2,FALSE)</f>
        <v>31523.565441345683</v>
      </c>
      <c r="H310" t="s">
        <v>385</v>
      </c>
      <c r="I310" t="s">
        <v>279</v>
      </c>
      <c r="J310" t="s">
        <v>71</v>
      </c>
      <c r="K310" t="str">
        <f>VLOOKUP(tblSalaries[[#This Row],[Where do you work]],tblCountries[[Actual]:[Mapping]],2,FALSE)</f>
        <v>UK</v>
      </c>
      <c r="L310" t="s">
        <v>25</v>
      </c>
    </row>
    <row r="311" spans="2:12" ht="15" customHeight="1">
      <c r="B311" t="s">
        <v>2314</v>
      </c>
      <c r="C311" s="1">
        <v>41055.05908564815</v>
      </c>
      <c r="D311" s="4">
        <v>41000</v>
      </c>
      <c r="E311">
        <v>41000</v>
      </c>
      <c r="F311" t="s">
        <v>6</v>
      </c>
      <c r="G311">
        <f>tblSalaries[[#This Row],[clean Salary (in local currency)]]*VLOOKUP(tblSalaries[[#This Row],[Currency]],tblXrate[],2,FALSE)</f>
        <v>41000</v>
      </c>
      <c r="H311" t="s">
        <v>386</v>
      </c>
      <c r="I311" t="s">
        <v>20</v>
      </c>
      <c r="J311" t="s">
        <v>15</v>
      </c>
      <c r="K311" t="str">
        <f>VLOOKUP(tblSalaries[[#This Row],[Where do you work]],tblCountries[[Actual]:[Mapping]],2,FALSE)</f>
        <v>USA</v>
      </c>
      <c r="L311" t="s">
        <v>9</v>
      </c>
    </row>
    <row r="312" spans="2:12" ht="15" customHeight="1">
      <c r="B312" t="s">
        <v>2315</v>
      </c>
      <c r="C312" s="1">
        <v>41055.05909722222</v>
      </c>
      <c r="D312" s="4">
        <v>1400000</v>
      </c>
      <c r="E312">
        <v>1400000</v>
      </c>
      <c r="F312" t="s">
        <v>40</v>
      </c>
      <c r="G312">
        <f>tblSalaries[[#This Row],[clean Salary (in local currency)]]*VLOOKUP(tblSalaries[[#This Row],[Currency]],tblXrate[],2,FALSE)</f>
        <v>24931.083362419595</v>
      </c>
      <c r="H312" t="s">
        <v>387</v>
      </c>
      <c r="I312" t="s">
        <v>52</v>
      </c>
      <c r="J312" t="s">
        <v>8</v>
      </c>
      <c r="K312" t="str">
        <f>VLOOKUP(tblSalaries[[#This Row],[Where do you work]],tblCountries[[Actual]:[Mapping]],2,FALSE)</f>
        <v>India</v>
      </c>
      <c r="L312" t="s">
        <v>25</v>
      </c>
    </row>
    <row r="313" spans="2:12" ht="15" customHeight="1">
      <c r="B313" t="s">
        <v>2316</v>
      </c>
      <c r="C313" s="1">
        <v>41055.059374999997</v>
      </c>
      <c r="D313" s="4">
        <v>125000</v>
      </c>
      <c r="E313">
        <v>125000</v>
      </c>
      <c r="F313" t="s">
        <v>6</v>
      </c>
      <c r="G313">
        <f>tblSalaries[[#This Row],[clean Salary (in local currency)]]*VLOOKUP(tblSalaries[[#This Row],[Currency]],tblXrate[],2,FALSE)</f>
        <v>125000</v>
      </c>
      <c r="H313" t="s">
        <v>388</v>
      </c>
      <c r="I313" t="s">
        <v>52</v>
      </c>
      <c r="J313" t="s">
        <v>15</v>
      </c>
      <c r="K313" t="str">
        <f>VLOOKUP(tblSalaries[[#This Row],[Where do you work]],tblCountries[[Actual]:[Mapping]],2,FALSE)</f>
        <v>USA</v>
      </c>
      <c r="L313" t="s">
        <v>9</v>
      </c>
    </row>
    <row r="314" spans="2:12" ht="15" customHeight="1">
      <c r="B314" t="s">
        <v>2317</v>
      </c>
      <c r="C314" s="1">
        <v>41055.060023148151</v>
      </c>
      <c r="D314" s="4">
        <v>60000</v>
      </c>
      <c r="E314">
        <v>60000</v>
      </c>
      <c r="F314" t="s">
        <v>86</v>
      </c>
      <c r="G314">
        <f>tblSalaries[[#This Row],[clean Salary (in local currency)]]*VLOOKUP(tblSalaries[[#This Row],[Currency]],tblXrate[],2,FALSE)</f>
        <v>59001.691381819612</v>
      </c>
      <c r="H314" t="s">
        <v>389</v>
      </c>
      <c r="I314" t="s">
        <v>20</v>
      </c>
      <c r="J314" t="s">
        <v>88</v>
      </c>
      <c r="K314" t="str">
        <f>VLOOKUP(tblSalaries[[#This Row],[Where do you work]],tblCountries[[Actual]:[Mapping]],2,FALSE)</f>
        <v>Canada</v>
      </c>
      <c r="L314" t="s">
        <v>13</v>
      </c>
    </row>
    <row r="315" spans="2:12" ht="15" customHeight="1">
      <c r="B315" t="s">
        <v>2318</v>
      </c>
      <c r="C315" s="1">
        <v>41055.060150462959</v>
      </c>
      <c r="D315" s="4" t="s">
        <v>390</v>
      </c>
      <c r="E315">
        <v>150000</v>
      </c>
      <c r="F315" t="s">
        <v>391</v>
      </c>
      <c r="G315">
        <f>tblSalaries[[#This Row],[clean Salary (in local currency)]]*VLOOKUP(tblSalaries[[#This Row],[Currency]],tblXrate[],2,FALSE)</f>
        <v>10956.982885192734</v>
      </c>
      <c r="H315" t="s">
        <v>392</v>
      </c>
      <c r="I315" t="s">
        <v>20</v>
      </c>
      <c r="J315" t="s">
        <v>166</v>
      </c>
      <c r="K315" t="str">
        <f>VLOOKUP(tblSalaries[[#This Row],[Where do you work]],tblCountries[[Actual]:[Mapping]],2,FALSE)</f>
        <v>Mexico</v>
      </c>
      <c r="L315" t="s">
        <v>13</v>
      </c>
    </row>
    <row r="316" spans="2:12" ht="15" customHeight="1">
      <c r="B316" t="s">
        <v>2319</v>
      </c>
      <c r="C316" s="1">
        <v>41055.060324074075</v>
      </c>
      <c r="D316" s="4">
        <v>70000</v>
      </c>
      <c r="E316">
        <v>70000</v>
      </c>
      <c r="F316" t="s">
        <v>6</v>
      </c>
      <c r="G316">
        <f>tblSalaries[[#This Row],[clean Salary (in local currency)]]*VLOOKUP(tblSalaries[[#This Row],[Currency]],tblXrate[],2,FALSE)</f>
        <v>70000</v>
      </c>
      <c r="H316" t="s">
        <v>20</v>
      </c>
      <c r="I316" t="s">
        <v>20</v>
      </c>
      <c r="J316" t="s">
        <v>15</v>
      </c>
      <c r="K316" t="str">
        <f>VLOOKUP(tblSalaries[[#This Row],[Where do you work]],tblCountries[[Actual]:[Mapping]],2,FALSE)</f>
        <v>USA</v>
      </c>
      <c r="L316" t="s">
        <v>18</v>
      </c>
    </row>
    <row r="317" spans="2:12" ht="15" customHeight="1">
      <c r="B317" t="s">
        <v>2320</v>
      </c>
      <c r="C317" s="1">
        <v>41055.06045138889</v>
      </c>
      <c r="D317" s="4">
        <v>400000</v>
      </c>
      <c r="E317">
        <v>400000</v>
      </c>
      <c r="F317" t="s">
        <v>6</v>
      </c>
      <c r="G317">
        <f>tblSalaries[[#This Row],[clean Salary (in local currency)]]*VLOOKUP(tblSalaries[[#This Row],[Currency]],tblXrate[],2,FALSE)</f>
        <v>400000</v>
      </c>
      <c r="H317" t="s">
        <v>393</v>
      </c>
      <c r="I317" t="s">
        <v>67</v>
      </c>
      <c r="J317" t="s">
        <v>15</v>
      </c>
      <c r="K317" t="str">
        <f>VLOOKUP(tblSalaries[[#This Row],[Where do you work]],tblCountries[[Actual]:[Mapping]],2,FALSE)</f>
        <v>USA</v>
      </c>
      <c r="L317" t="s">
        <v>13</v>
      </c>
    </row>
    <row r="318" spans="2:12" ht="15" customHeight="1">
      <c r="B318" t="s">
        <v>2321</v>
      </c>
      <c r="C318" s="1">
        <v>41055.060717592591</v>
      </c>
      <c r="D318" s="4">
        <v>55</v>
      </c>
      <c r="E318">
        <v>55000</v>
      </c>
      <c r="F318" t="s">
        <v>6</v>
      </c>
      <c r="G318">
        <f>tblSalaries[[#This Row],[clean Salary (in local currency)]]*VLOOKUP(tblSalaries[[#This Row],[Currency]],tblXrate[],2,FALSE)</f>
        <v>55000</v>
      </c>
      <c r="H318" t="s">
        <v>207</v>
      </c>
      <c r="I318" t="s">
        <v>20</v>
      </c>
      <c r="J318" t="s">
        <v>15</v>
      </c>
      <c r="K318" t="str">
        <f>VLOOKUP(tblSalaries[[#This Row],[Where do you work]],tblCountries[[Actual]:[Mapping]],2,FALSE)</f>
        <v>USA</v>
      </c>
      <c r="L318" t="s">
        <v>9</v>
      </c>
    </row>
    <row r="319" spans="2:12" ht="15" customHeight="1">
      <c r="B319" t="s">
        <v>2322</v>
      </c>
      <c r="C319" s="1">
        <v>41055.060752314814</v>
      </c>
      <c r="D319" s="4">
        <v>60000</v>
      </c>
      <c r="E319">
        <v>60000</v>
      </c>
      <c r="F319" t="s">
        <v>6</v>
      </c>
      <c r="G319">
        <f>tblSalaries[[#This Row],[clean Salary (in local currency)]]*VLOOKUP(tblSalaries[[#This Row],[Currency]],tblXrate[],2,FALSE)</f>
        <v>60000</v>
      </c>
      <c r="H319" t="s">
        <v>394</v>
      </c>
      <c r="I319" t="s">
        <v>20</v>
      </c>
      <c r="J319" t="s">
        <v>15</v>
      </c>
      <c r="K319" t="str">
        <f>VLOOKUP(tblSalaries[[#This Row],[Where do you work]],tblCountries[[Actual]:[Mapping]],2,FALSE)</f>
        <v>USA</v>
      </c>
      <c r="L319" t="s">
        <v>9</v>
      </c>
    </row>
    <row r="320" spans="2:12" ht="15" customHeight="1">
      <c r="B320" t="s">
        <v>2323</v>
      </c>
      <c r="C320" s="1">
        <v>41055.060925925929</v>
      </c>
      <c r="D320" s="4" t="s">
        <v>395</v>
      </c>
      <c r="E320">
        <v>1000000</v>
      </c>
      <c r="F320" t="s">
        <v>40</v>
      </c>
      <c r="G320">
        <f>tblSalaries[[#This Row],[clean Salary (in local currency)]]*VLOOKUP(tblSalaries[[#This Row],[Currency]],tblXrate[],2,FALSE)</f>
        <v>17807.916687442568</v>
      </c>
      <c r="H320" t="s">
        <v>52</v>
      </c>
      <c r="I320" t="s">
        <v>52</v>
      </c>
      <c r="J320" t="s">
        <v>8</v>
      </c>
      <c r="K320" t="str">
        <f>VLOOKUP(tblSalaries[[#This Row],[Where do you work]],tblCountries[[Actual]:[Mapping]],2,FALSE)</f>
        <v>India</v>
      </c>
      <c r="L320" t="s">
        <v>9</v>
      </c>
    </row>
    <row r="321" spans="2:12" ht="15" customHeight="1">
      <c r="B321" t="s">
        <v>2324</v>
      </c>
      <c r="C321" s="1">
        <v>41055.061018518521</v>
      </c>
      <c r="D321" s="4">
        <v>40000</v>
      </c>
      <c r="E321">
        <v>40000</v>
      </c>
      <c r="F321" t="s">
        <v>6</v>
      </c>
      <c r="G321">
        <f>tblSalaries[[#This Row],[clean Salary (in local currency)]]*VLOOKUP(tblSalaries[[#This Row],[Currency]],tblXrate[],2,FALSE)</f>
        <v>40000</v>
      </c>
      <c r="H321" t="s">
        <v>396</v>
      </c>
      <c r="I321" t="s">
        <v>52</v>
      </c>
      <c r="J321" t="s">
        <v>38</v>
      </c>
      <c r="K321" t="str">
        <f>VLOOKUP(tblSalaries[[#This Row],[Where do you work]],tblCountries[[Actual]:[Mapping]],2,FALSE)</f>
        <v>Hungary</v>
      </c>
      <c r="L321" t="s">
        <v>9</v>
      </c>
    </row>
    <row r="322" spans="2:12" ht="15" customHeight="1">
      <c r="B322" t="s">
        <v>2325</v>
      </c>
      <c r="C322" s="1">
        <v>41055.061539351853</v>
      </c>
      <c r="D322" s="4">
        <v>137500</v>
      </c>
      <c r="E322">
        <v>137500</v>
      </c>
      <c r="F322" t="s">
        <v>6</v>
      </c>
      <c r="G322">
        <f>tblSalaries[[#This Row],[clean Salary (in local currency)]]*VLOOKUP(tblSalaries[[#This Row],[Currency]],tblXrate[],2,FALSE)</f>
        <v>137500</v>
      </c>
      <c r="H322" t="s">
        <v>397</v>
      </c>
      <c r="I322" t="s">
        <v>20</v>
      </c>
      <c r="J322" t="s">
        <v>15</v>
      </c>
      <c r="K322" t="str">
        <f>VLOOKUP(tblSalaries[[#This Row],[Where do you work]],tblCountries[[Actual]:[Mapping]],2,FALSE)</f>
        <v>USA</v>
      </c>
      <c r="L322" t="s">
        <v>9</v>
      </c>
    </row>
    <row r="323" spans="2:12" ht="15" customHeight="1">
      <c r="B323" t="s">
        <v>2326</v>
      </c>
      <c r="C323" s="1">
        <v>41055.062175925923</v>
      </c>
      <c r="D323" s="4" t="s">
        <v>398</v>
      </c>
      <c r="E323">
        <v>4545</v>
      </c>
      <c r="F323" t="s">
        <v>6</v>
      </c>
      <c r="G323">
        <f>tblSalaries[[#This Row],[clean Salary (in local currency)]]*VLOOKUP(tblSalaries[[#This Row],[Currency]],tblXrate[],2,FALSE)</f>
        <v>4545</v>
      </c>
      <c r="H323" t="s">
        <v>399</v>
      </c>
      <c r="I323" t="s">
        <v>20</v>
      </c>
      <c r="J323" t="s">
        <v>111</v>
      </c>
      <c r="K323" t="str">
        <f>VLOOKUP(tblSalaries[[#This Row],[Where do you work]],tblCountries[[Actual]:[Mapping]],2,FALSE)</f>
        <v>Brazil</v>
      </c>
      <c r="L323" t="s">
        <v>13</v>
      </c>
    </row>
    <row r="324" spans="2:12" ht="15" customHeight="1">
      <c r="B324" t="s">
        <v>2327</v>
      </c>
      <c r="C324" s="1">
        <v>41055.0622337963</v>
      </c>
      <c r="D324" s="4" t="s">
        <v>400</v>
      </c>
      <c r="E324">
        <v>29000</v>
      </c>
      <c r="F324" t="s">
        <v>69</v>
      </c>
      <c r="G324">
        <f>tblSalaries[[#This Row],[clean Salary (in local currency)]]*VLOOKUP(tblSalaries[[#This Row],[Currency]],tblXrate[],2,FALSE)</f>
        <v>45709.169889951241</v>
      </c>
      <c r="H324" t="s">
        <v>401</v>
      </c>
      <c r="I324" t="s">
        <v>20</v>
      </c>
      <c r="J324" t="s">
        <v>71</v>
      </c>
      <c r="K324" t="str">
        <f>VLOOKUP(tblSalaries[[#This Row],[Where do you work]],tblCountries[[Actual]:[Mapping]],2,FALSE)</f>
        <v>UK</v>
      </c>
      <c r="L324" t="s">
        <v>9</v>
      </c>
    </row>
    <row r="325" spans="2:12" ht="15" customHeight="1">
      <c r="B325" t="s">
        <v>2328</v>
      </c>
      <c r="C325" s="1">
        <v>41055.062638888892</v>
      </c>
      <c r="D325" s="4">
        <v>47000</v>
      </c>
      <c r="E325">
        <v>47000</v>
      </c>
      <c r="F325" t="s">
        <v>6</v>
      </c>
      <c r="G325">
        <f>tblSalaries[[#This Row],[clean Salary (in local currency)]]*VLOOKUP(tblSalaries[[#This Row],[Currency]],tblXrate[],2,FALSE)</f>
        <v>47000</v>
      </c>
      <c r="H325" t="s">
        <v>402</v>
      </c>
      <c r="I325" t="s">
        <v>67</v>
      </c>
      <c r="J325" t="s">
        <v>15</v>
      </c>
      <c r="K325" t="str">
        <f>VLOOKUP(tblSalaries[[#This Row],[Where do you work]],tblCountries[[Actual]:[Mapping]],2,FALSE)</f>
        <v>USA</v>
      </c>
      <c r="L325" t="s">
        <v>9</v>
      </c>
    </row>
    <row r="326" spans="2:12" ht="15" customHeight="1">
      <c r="B326" t="s">
        <v>2329</v>
      </c>
      <c r="C326" s="1">
        <v>41055.062951388885</v>
      </c>
      <c r="D326" s="4">
        <v>65000</v>
      </c>
      <c r="E326">
        <v>65000</v>
      </c>
      <c r="F326" t="s">
        <v>6</v>
      </c>
      <c r="G326">
        <f>tblSalaries[[#This Row],[clean Salary (in local currency)]]*VLOOKUP(tblSalaries[[#This Row],[Currency]],tblXrate[],2,FALSE)</f>
        <v>65000</v>
      </c>
      <c r="H326" t="s">
        <v>42</v>
      </c>
      <c r="I326" t="s">
        <v>20</v>
      </c>
      <c r="J326" t="s">
        <v>15</v>
      </c>
      <c r="K326" t="str">
        <f>VLOOKUP(tblSalaries[[#This Row],[Where do you work]],tblCountries[[Actual]:[Mapping]],2,FALSE)</f>
        <v>USA</v>
      </c>
      <c r="L326" t="s">
        <v>13</v>
      </c>
    </row>
    <row r="327" spans="2:12" ht="15" customHeight="1">
      <c r="B327" t="s">
        <v>2330</v>
      </c>
      <c r="C327" s="1">
        <v>41055.063148148147</v>
      </c>
      <c r="D327" s="4" t="s">
        <v>403</v>
      </c>
      <c r="E327">
        <v>456000</v>
      </c>
      <c r="F327" t="s">
        <v>3951</v>
      </c>
      <c r="G327">
        <f>tblSalaries[[#This Row],[clean Salary (in local currency)]]*VLOOKUP(tblSalaries[[#This Row],[Currency]],tblXrate[],2,FALSE)</f>
        <v>10809.503829551191</v>
      </c>
      <c r="H327" t="s">
        <v>404</v>
      </c>
      <c r="I327" t="s">
        <v>3999</v>
      </c>
      <c r="J327" t="s">
        <v>347</v>
      </c>
      <c r="K327" t="str">
        <f>VLOOKUP(tblSalaries[[#This Row],[Where do you work]],tblCountries[[Actual]:[Mapping]],2,FALSE)</f>
        <v>Philippines</v>
      </c>
      <c r="L327" t="s">
        <v>9</v>
      </c>
    </row>
    <row r="328" spans="2:12" ht="15" customHeight="1">
      <c r="B328" t="s">
        <v>2331</v>
      </c>
      <c r="C328" s="1">
        <v>41055.06349537037</v>
      </c>
      <c r="D328" s="4">
        <v>92000</v>
      </c>
      <c r="E328">
        <v>92000</v>
      </c>
      <c r="F328" t="s">
        <v>6</v>
      </c>
      <c r="G328">
        <f>tblSalaries[[#This Row],[clean Salary (in local currency)]]*VLOOKUP(tblSalaries[[#This Row],[Currency]],tblXrate[],2,FALSE)</f>
        <v>92000</v>
      </c>
      <c r="H328" t="s">
        <v>405</v>
      </c>
      <c r="I328" t="s">
        <v>52</v>
      </c>
      <c r="J328" t="s">
        <v>15</v>
      </c>
      <c r="K328" t="str">
        <f>VLOOKUP(tblSalaries[[#This Row],[Where do you work]],tblCountries[[Actual]:[Mapping]],2,FALSE)</f>
        <v>USA</v>
      </c>
      <c r="L328" t="s">
        <v>9</v>
      </c>
    </row>
    <row r="329" spans="2:12" ht="15" customHeight="1">
      <c r="B329" t="s">
        <v>2332</v>
      </c>
      <c r="C329" s="1">
        <v>41055.063680555555</v>
      </c>
      <c r="D329" s="4" t="s">
        <v>406</v>
      </c>
      <c r="E329">
        <v>22000</v>
      </c>
      <c r="F329" t="s">
        <v>6</v>
      </c>
      <c r="G329">
        <f>tblSalaries[[#This Row],[clean Salary (in local currency)]]*VLOOKUP(tblSalaries[[#This Row],[Currency]],tblXrate[],2,FALSE)</f>
        <v>22000</v>
      </c>
      <c r="H329" t="s">
        <v>407</v>
      </c>
      <c r="I329" t="s">
        <v>52</v>
      </c>
      <c r="J329" t="s">
        <v>166</v>
      </c>
      <c r="K329" t="str">
        <f>VLOOKUP(tblSalaries[[#This Row],[Where do you work]],tblCountries[[Actual]:[Mapping]],2,FALSE)</f>
        <v>Mexico</v>
      </c>
      <c r="L329" t="s">
        <v>9</v>
      </c>
    </row>
    <row r="330" spans="2:12" ht="15" customHeight="1">
      <c r="B330" t="s">
        <v>2333</v>
      </c>
      <c r="C330" s="1">
        <v>41055.06386574074</v>
      </c>
      <c r="D330" s="4">
        <v>108000</v>
      </c>
      <c r="E330">
        <v>108000</v>
      </c>
      <c r="F330" t="s">
        <v>6</v>
      </c>
      <c r="G330">
        <f>tblSalaries[[#This Row],[clean Salary (in local currency)]]*VLOOKUP(tblSalaries[[#This Row],[Currency]],tblXrate[],2,FALSE)</f>
        <v>108000</v>
      </c>
      <c r="H330" t="s">
        <v>408</v>
      </c>
      <c r="I330" t="s">
        <v>52</v>
      </c>
      <c r="J330" t="s">
        <v>15</v>
      </c>
      <c r="K330" t="str">
        <f>VLOOKUP(tblSalaries[[#This Row],[Where do you work]],tblCountries[[Actual]:[Mapping]],2,FALSE)</f>
        <v>USA</v>
      </c>
      <c r="L330" t="s">
        <v>18</v>
      </c>
    </row>
    <row r="331" spans="2:12" ht="15" customHeight="1">
      <c r="B331" t="s">
        <v>2334</v>
      </c>
      <c r="C331" s="1">
        <v>41055.063981481479</v>
      </c>
      <c r="D331" s="4">
        <v>61000</v>
      </c>
      <c r="E331">
        <v>61000</v>
      </c>
      <c r="F331" t="s">
        <v>6</v>
      </c>
      <c r="G331">
        <f>tblSalaries[[#This Row],[clean Salary (in local currency)]]*VLOOKUP(tblSalaries[[#This Row],[Currency]],tblXrate[],2,FALSE)</f>
        <v>61000</v>
      </c>
      <c r="H331" t="s">
        <v>153</v>
      </c>
      <c r="I331" t="s">
        <v>20</v>
      </c>
      <c r="J331" t="s">
        <v>15</v>
      </c>
      <c r="K331" t="str">
        <f>VLOOKUP(tblSalaries[[#This Row],[Where do you work]],tblCountries[[Actual]:[Mapping]],2,FALSE)</f>
        <v>USA</v>
      </c>
      <c r="L331" t="s">
        <v>25</v>
      </c>
    </row>
    <row r="332" spans="2:12" ht="15" customHeight="1">
      <c r="B332" t="s">
        <v>2335</v>
      </c>
      <c r="C332" s="1">
        <v>41055.064050925925</v>
      </c>
      <c r="D332" s="4" t="s">
        <v>409</v>
      </c>
      <c r="E332">
        <v>65000</v>
      </c>
      <c r="F332" t="s">
        <v>86</v>
      </c>
      <c r="G332">
        <f>tblSalaries[[#This Row],[clean Salary (in local currency)]]*VLOOKUP(tblSalaries[[#This Row],[Currency]],tblXrate[],2,FALSE)</f>
        <v>63918.498996971248</v>
      </c>
      <c r="H332" t="s">
        <v>410</v>
      </c>
      <c r="I332" t="s">
        <v>52</v>
      </c>
      <c r="J332" t="s">
        <v>109</v>
      </c>
      <c r="K332" t="str">
        <f>VLOOKUP(tblSalaries[[#This Row],[Where do you work]],tblCountries[[Actual]:[Mapping]],2,FALSE)</f>
        <v>Canada</v>
      </c>
      <c r="L332" t="s">
        <v>18</v>
      </c>
    </row>
    <row r="333" spans="2:12" ht="15" customHeight="1">
      <c r="B333" t="s">
        <v>2336</v>
      </c>
      <c r="C333" s="1">
        <v>41055.064189814817</v>
      </c>
      <c r="D333" s="4">
        <v>50000</v>
      </c>
      <c r="E333">
        <v>50000</v>
      </c>
      <c r="F333" t="s">
        <v>6</v>
      </c>
      <c r="G333">
        <f>tblSalaries[[#This Row],[clean Salary (in local currency)]]*VLOOKUP(tblSalaries[[#This Row],[Currency]],tblXrate[],2,FALSE)</f>
        <v>50000</v>
      </c>
      <c r="H333" t="s">
        <v>411</v>
      </c>
      <c r="I333" t="s">
        <v>20</v>
      </c>
      <c r="J333" t="s">
        <v>15</v>
      </c>
      <c r="K333" t="str">
        <f>VLOOKUP(tblSalaries[[#This Row],[Where do you work]],tblCountries[[Actual]:[Mapping]],2,FALSE)</f>
        <v>USA</v>
      </c>
      <c r="L333" t="s">
        <v>13</v>
      </c>
    </row>
    <row r="334" spans="2:12" ht="15" customHeight="1">
      <c r="B334" t="s">
        <v>2337</v>
      </c>
      <c r="C334" s="1">
        <v>41055.064618055556</v>
      </c>
      <c r="D334" s="4">
        <v>150000</v>
      </c>
      <c r="E334">
        <v>150000</v>
      </c>
      <c r="F334" t="s">
        <v>6</v>
      </c>
      <c r="G334">
        <f>tblSalaries[[#This Row],[clean Salary (in local currency)]]*VLOOKUP(tblSalaries[[#This Row],[Currency]],tblXrate[],2,FALSE)</f>
        <v>150000</v>
      </c>
      <c r="H334" t="s">
        <v>412</v>
      </c>
      <c r="I334" t="s">
        <v>310</v>
      </c>
      <c r="J334" t="s">
        <v>15</v>
      </c>
      <c r="K334" t="str">
        <f>VLOOKUP(tblSalaries[[#This Row],[Where do you work]],tblCountries[[Actual]:[Mapping]],2,FALSE)</f>
        <v>USA</v>
      </c>
      <c r="L334" t="s">
        <v>13</v>
      </c>
    </row>
    <row r="335" spans="2:12" ht="15" customHeight="1">
      <c r="B335" t="s">
        <v>2338</v>
      </c>
      <c r="C335" s="1">
        <v>41055.065011574072</v>
      </c>
      <c r="D335" s="4" t="s">
        <v>413</v>
      </c>
      <c r="E335">
        <v>400000</v>
      </c>
      <c r="F335" t="s">
        <v>40</v>
      </c>
      <c r="G335">
        <f>tblSalaries[[#This Row],[clean Salary (in local currency)]]*VLOOKUP(tblSalaries[[#This Row],[Currency]],tblXrate[],2,FALSE)</f>
        <v>7123.1666749770275</v>
      </c>
      <c r="H335" t="s">
        <v>414</v>
      </c>
      <c r="I335" t="s">
        <v>20</v>
      </c>
      <c r="J335" t="s">
        <v>8</v>
      </c>
      <c r="K335" t="str">
        <f>VLOOKUP(tblSalaries[[#This Row],[Where do you work]],tblCountries[[Actual]:[Mapping]],2,FALSE)</f>
        <v>India</v>
      </c>
      <c r="L335" t="s">
        <v>9</v>
      </c>
    </row>
    <row r="336" spans="2:12" ht="15" customHeight="1">
      <c r="B336" t="s">
        <v>2339</v>
      </c>
      <c r="C336" s="1">
        <v>41055.065104166664</v>
      </c>
      <c r="D336" s="4">
        <v>150000</v>
      </c>
      <c r="E336">
        <v>150000</v>
      </c>
      <c r="F336" t="s">
        <v>6</v>
      </c>
      <c r="G336">
        <f>tblSalaries[[#This Row],[clean Salary (in local currency)]]*VLOOKUP(tblSalaries[[#This Row],[Currency]],tblXrate[],2,FALSE)</f>
        <v>150000</v>
      </c>
      <c r="H336" t="s">
        <v>415</v>
      </c>
      <c r="I336" t="s">
        <v>52</v>
      </c>
      <c r="J336" t="s">
        <v>416</v>
      </c>
      <c r="K336" t="str">
        <f>VLOOKUP(tblSalaries[[#This Row],[Where do you work]],tblCountries[[Actual]:[Mapping]],2,FALSE)</f>
        <v>Israel</v>
      </c>
      <c r="L336" t="s">
        <v>9</v>
      </c>
    </row>
    <row r="337" spans="2:12" ht="15" customHeight="1">
      <c r="B337" t="s">
        <v>2340</v>
      </c>
      <c r="C337" s="1">
        <v>41055.065925925926</v>
      </c>
      <c r="D337" s="4">
        <v>45000</v>
      </c>
      <c r="E337">
        <v>45000</v>
      </c>
      <c r="F337" t="s">
        <v>6</v>
      </c>
      <c r="G337">
        <f>tblSalaries[[#This Row],[clean Salary (in local currency)]]*VLOOKUP(tblSalaries[[#This Row],[Currency]],tblXrate[],2,FALSE)</f>
        <v>45000</v>
      </c>
      <c r="H337" t="s">
        <v>417</v>
      </c>
      <c r="I337" t="s">
        <v>67</v>
      </c>
      <c r="J337" t="s">
        <v>15</v>
      </c>
      <c r="K337" t="str">
        <f>VLOOKUP(tblSalaries[[#This Row],[Where do you work]],tblCountries[[Actual]:[Mapping]],2,FALSE)</f>
        <v>USA</v>
      </c>
      <c r="L337" t="s">
        <v>9</v>
      </c>
    </row>
    <row r="338" spans="2:12" ht="15" customHeight="1">
      <c r="B338" t="s">
        <v>2341</v>
      </c>
      <c r="C338" s="1">
        <v>41055.065995370373</v>
      </c>
      <c r="D338" s="4">
        <v>135000</v>
      </c>
      <c r="E338">
        <v>135000</v>
      </c>
      <c r="F338" t="s">
        <v>6</v>
      </c>
      <c r="G338">
        <f>tblSalaries[[#This Row],[clean Salary (in local currency)]]*VLOOKUP(tblSalaries[[#This Row],[Currency]],tblXrate[],2,FALSE)</f>
        <v>135000</v>
      </c>
      <c r="H338" t="s">
        <v>418</v>
      </c>
      <c r="I338" t="s">
        <v>52</v>
      </c>
      <c r="J338" t="s">
        <v>15</v>
      </c>
      <c r="K338" t="str">
        <f>VLOOKUP(tblSalaries[[#This Row],[Where do you work]],tblCountries[[Actual]:[Mapping]],2,FALSE)</f>
        <v>USA</v>
      </c>
      <c r="L338" t="s">
        <v>13</v>
      </c>
    </row>
    <row r="339" spans="2:12" ht="15" customHeight="1">
      <c r="B339" t="s">
        <v>2342</v>
      </c>
      <c r="C339" s="1">
        <v>41055.066180555557</v>
      </c>
      <c r="D339" s="4" t="s">
        <v>419</v>
      </c>
      <c r="E339">
        <v>360000</v>
      </c>
      <c r="F339" t="s">
        <v>40</v>
      </c>
      <c r="G339">
        <f>tblSalaries[[#This Row],[clean Salary (in local currency)]]*VLOOKUP(tblSalaries[[#This Row],[Currency]],tblXrate[],2,FALSE)</f>
        <v>6410.8500074793246</v>
      </c>
      <c r="H339" t="s">
        <v>420</v>
      </c>
      <c r="I339" t="s">
        <v>20</v>
      </c>
      <c r="J339" t="s">
        <v>8</v>
      </c>
      <c r="K339" t="str">
        <f>VLOOKUP(tblSalaries[[#This Row],[Where do you work]],tblCountries[[Actual]:[Mapping]],2,FALSE)</f>
        <v>India</v>
      </c>
      <c r="L339" t="s">
        <v>18</v>
      </c>
    </row>
    <row r="340" spans="2:12" ht="15" customHeight="1">
      <c r="B340" t="s">
        <v>2343</v>
      </c>
      <c r="C340" s="1">
        <v>41055.066377314812</v>
      </c>
      <c r="D340" s="4">
        <v>29000</v>
      </c>
      <c r="E340">
        <v>29000</v>
      </c>
      <c r="F340" t="s">
        <v>6</v>
      </c>
      <c r="G340">
        <f>tblSalaries[[#This Row],[clean Salary (in local currency)]]*VLOOKUP(tblSalaries[[#This Row],[Currency]],tblXrate[],2,FALSE)</f>
        <v>29000</v>
      </c>
      <c r="H340" t="s">
        <v>421</v>
      </c>
      <c r="I340" t="s">
        <v>52</v>
      </c>
      <c r="J340" t="s">
        <v>15</v>
      </c>
      <c r="K340" t="str">
        <f>VLOOKUP(tblSalaries[[#This Row],[Where do you work]],tblCountries[[Actual]:[Mapping]],2,FALSE)</f>
        <v>USA</v>
      </c>
      <c r="L340" t="s">
        <v>9</v>
      </c>
    </row>
    <row r="341" spans="2:12" ht="15" customHeight="1">
      <c r="B341" t="s">
        <v>2344</v>
      </c>
      <c r="C341" s="1">
        <v>41055.067743055559</v>
      </c>
      <c r="D341" s="4">
        <v>13000</v>
      </c>
      <c r="E341">
        <v>13000</v>
      </c>
      <c r="F341" t="s">
        <v>6</v>
      </c>
      <c r="G341">
        <f>tblSalaries[[#This Row],[clean Salary (in local currency)]]*VLOOKUP(tblSalaries[[#This Row],[Currency]],tblXrate[],2,FALSE)</f>
        <v>13000</v>
      </c>
      <c r="H341" t="s">
        <v>422</v>
      </c>
      <c r="I341" t="s">
        <v>52</v>
      </c>
      <c r="J341" t="s">
        <v>8</v>
      </c>
      <c r="K341" t="str">
        <f>VLOOKUP(tblSalaries[[#This Row],[Where do you work]],tblCountries[[Actual]:[Mapping]],2,FALSE)</f>
        <v>India</v>
      </c>
      <c r="L341" t="s">
        <v>13</v>
      </c>
    </row>
    <row r="342" spans="2:12" ht="15" customHeight="1">
      <c r="B342" t="s">
        <v>2345</v>
      </c>
      <c r="C342" s="1">
        <v>41055.068124999998</v>
      </c>
      <c r="D342" s="4" t="s">
        <v>423</v>
      </c>
      <c r="E342">
        <v>63000</v>
      </c>
      <c r="F342" t="s">
        <v>6</v>
      </c>
      <c r="G342">
        <f>tblSalaries[[#This Row],[clean Salary (in local currency)]]*VLOOKUP(tblSalaries[[#This Row],[Currency]],tblXrate[],2,FALSE)</f>
        <v>63000</v>
      </c>
      <c r="H342" t="s">
        <v>108</v>
      </c>
      <c r="I342" t="s">
        <v>20</v>
      </c>
      <c r="J342" t="s">
        <v>15</v>
      </c>
      <c r="K342" t="str">
        <f>VLOOKUP(tblSalaries[[#This Row],[Where do you work]],tblCountries[[Actual]:[Mapping]],2,FALSE)</f>
        <v>USA</v>
      </c>
      <c r="L342" t="s">
        <v>13</v>
      </c>
    </row>
    <row r="343" spans="2:12" ht="15" customHeight="1">
      <c r="B343" t="s">
        <v>2346</v>
      </c>
      <c r="C343" s="1">
        <v>41055.068124999998</v>
      </c>
      <c r="D343" s="4">
        <v>95000</v>
      </c>
      <c r="E343">
        <v>95000</v>
      </c>
      <c r="F343" t="s">
        <v>6</v>
      </c>
      <c r="G343">
        <f>tblSalaries[[#This Row],[clean Salary (in local currency)]]*VLOOKUP(tblSalaries[[#This Row],[Currency]],tblXrate[],2,FALSE)</f>
        <v>95000</v>
      </c>
      <c r="H343" t="s">
        <v>424</v>
      </c>
      <c r="I343" t="s">
        <v>20</v>
      </c>
      <c r="J343" t="s">
        <v>15</v>
      </c>
      <c r="K343" t="str">
        <f>VLOOKUP(tblSalaries[[#This Row],[Where do you work]],tblCountries[[Actual]:[Mapping]],2,FALSE)</f>
        <v>USA</v>
      </c>
      <c r="L343" t="s">
        <v>9</v>
      </c>
    </row>
    <row r="344" spans="2:12" ht="15" customHeight="1">
      <c r="B344" t="s">
        <v>2347</v>
      </c>
      <c r="C344" s="1">
        <v>41055.068645833337</v>
      </c>
      <c r="D344" s="4" t="s">
        <v>426</v>
      </c>
      <c r="E344">
        <v>100000</v>
      </c>
      <c r="F344" t="s">
        <v>6</v>
      </c>
      <c r="G344">
        <f>tblSalaries[[#This Row],[clean Salary (in local currency)]]*VLOOKUP(tblSalaries[[#This Row],[Currency]],tblXrate[],2,FALSE)</f>
        <v>100000</v>
      </c>
      <c r="H344" t="s">
        <v>427</v>
      </c>
      <c r="I344" t="s">
        <v>20</v>
      </c>
      <c r="J344" t="s">
        <v>71</v>
      </c>
      <c r="K344" t="str">
        <f>VLOOKUP(tblSalaries[[#This Row],[Where do you work]],tblCountries[[Actual]:[Mapping]],2,FALSE)</f>
        <v>UK</v>
      </c>
      <c r="L344" t="s">
        <v>9</v>
      </c>
    </row>
    <row r="345" spans="2:12" ht="15" customHeight="1">
      <c r="B345" t="s">
        <v>2348</v>
      </c>
      <c r="C345" s="1">
        <v>41055.069178240738</v>
      </c>
      <c r="D345" s="4" t="s">
        <v>428</v>
      </c>
      <c r="E345">
        <v>3800</v>
      </c>
      <c r="F345" t="s">
        <v>6</v>
      </c>
      <c r="G345">
        <f>tblSalaries[[#This Row],[clean Salary (in local currency)]]*VLOOKUP(tblSalaries[[#This Row],[Currency]],tblXrate[],2,FALSE)</f>
        <v>3800</v>
      </c>
      <c r="H345" t="s">
        <v>429</v>
      </c>
      <c r="I345" t="s">
        <v>3999</v>
      </c>
      <c r="J345" t="s">
        <v>8</v>
      </c>
      <c r="K345" t="str">
        <f>VLOOKUP(tblSalaries[[#This Row],[Where do you work]],tblCountries[[Actual]:[Mapping]],2,FALSE)</f>
        <v>India</v>
      </c>
      <c r="L345" t="s">
        <v>9</v>
      </c>
    </row>
    <row r="346" spans="2:12" ht="15" customHeight="1">
      <c r="B346" t="s">
        <v>2349</v>
      </c>
      <c r="C346" s="1">
        <v>41055.069502314815</v>
      </c>
      <c r="D346" s="4">
        <v>950</v>
      </c>
      <c r="E346">
        <v>11400</v>
      </c>
      <c r="F346" t="s">
        <v>6</v>
      </c>
      <c r="G346">
        <f>tblSalaries[[#This Row],[clean Salary (in local currency)]]*VLOOKUP(tblSalaries[[#This Row],[Currency]],tblXrate[],2,FALSE)</f>
        <v>11400</v>
      </c>
      <c r="H346" t="s">
        <v>430</v>
      </c>
      <c r="I346" t="s">
        <v>356</v>
      </c>
      <c r="J346" t="s">
        <v>143</v>
      </c>
      <c r="K346" t="str">
        <f>VLOOKUP(tblSalaries[[#This Row],[Where do you work]],tblCountries[[Actual]:[Mapping]],2,FALSE)</f>
        <v>Brazil</v>
      </c>
      <c r="L346" t="s">
        <v>9</v>
      </c>
    </row>
    <row r="347" spans="2:12" ht="15" customHeight="1">
      <c r="B347" t="s">
        <v>2350</v>
      </c>
      <c r="C347" s="1">
        <v>41055.069652777776</v>
      </c>
      <c r="D347" s="4">
        <v>56000</v>
      </c>
      <c r="E347">
        <v>56000</v>
      </c>
      <c r="F347" t="s">
        <v>86</v>
      </c>
      <c r="G347">
        <f>tblSalaries[[#This Row],[clean Salary (in local currency)]]*VLOOKUP(tblSalaries[[#This Row],[Currency]],tblXrate[],2,FALSE)</f>
        <v>55068.245289698301</v>
      </c>
      <c r="H347" t="s">
        <v>431</v>
      </c>
      <c r="I347" t="s">
        <v>20</v>
      </c>
      <c r="J347" t="s">
        <v>88</v>
      </c>
      <c r="K347" t="str">
        <f>VLOOKUP(tblSalaries[[#This Row],[Where do you work]],tblCountries[[Actual]:[Mapping]],2,FALSE)</f>
        <v>Canada</v>
      </c>
      <c r="L347" t="s">
        <v>9</v>
      </c>
    </row>
    <row r="348" spans="2:12" ht="15" customHeight="1">
      <c r="B348" t="s">
        <v>2351</v>
      </c>
      <c r="C348" s="1">
        <v>41055.069768518515</v>
      </c>
      <c r="D348" s="4">
        <v>53000</v>
      </c>
      <c r="E348">
        <v>53000</v>
      </c>
      <c r="F348" t="s">
        <v>6</v>
      </c>
      <c r="G348">
        <f>tblSalaries[[#This Row],[clean Salary (in local currency)]]*VLOOKUP(tblSalaries[[#This Row],[Currency]],tblXrate[],2,FALSE)</f>
        <v>53000</v>
      </c>
      <c r="H348" t="s">
        <v>432</v>
      </c>
      <c r="I348" t="s">
        <v>52</v>
      </c>
      <c r="J348" t="s">
        <v>15</v>
      </c>
      <c r="K348" t="str">
        <f>VLOOKUP(tblSalaries[[#This Row],[Where do you work]],tblCountries[[Actual]:[Mapping]],2,FALSE)</f>
        <v>USA</v>
      </c>
      <c r="L348" t="s">
        <v>18</v>
      </c>
    </row>
    <row r="349" spans="2:12" ht="15" customHeight="1">
      <c r="B349" t="s">
        <v>2352</v>
      </c>
      <c r="C349" s="1">
        <v>41055.070034722223</v>
      </c>
      <c r="D349" s="4">
        <v>130000</v>
      </c>
      <c r="E349">
        <v>130000</v>
      </c>
      <c r="F349" t="s">
        <v>6</v>
      </c>
      <c r="G349">
        <f>tblSalaries[[#This Row],[clean Salary (in local currency)]]*VLOOKUP(tblSalaries[[#This Row],[Currency]],tblXrate[],2,FALSE)</f>
        <v>130000</v>
      </c>
      <c r="H349" t="s">
        <v>433</v>
      </c>
      <c r="I349" t="s">
        <v>279</v>
      </c>
      <c r="J349" t="s">
        <v>15</v>
      </c>
      <c r="K349" t="str">
        <f>VLOOKUP(tblSalaries[[#This Row],[Where do you work]],tblCountries[[Actual]:[Mapping]],2,FALSE)</f>
        <v>USA</v>
      </c>
      <c r="L349" t="s">
        <v>9</v>
      </c>
    </row>
    <row r="350" spans="2:12" ht="15" customHeight="1">
      <c r="B350" t="s">
        <v>2353</v>
      </c>
      <c r="C350" s="1">
        <v>41055.070509259262</v>
      </c>
      <c r="D350" s="4" t="s">
        <v>434</v>
      </c>
      <c r="E350">
        <v>370000</v>
      </c>
      <c r="F350" t="s">
        <v>40</v>
      </c>
      <c r="G350">
        <f>tblSalaries[[#This Row],[clean Salary (in local currency)]]*VLOOKUP(tblSalaries[[#This Row],[Currency]],tblXrate[],2,FALSE)</f>
        <v>6588.9291743537506</v>
      </c>
      <c r="H350" t="s">
        <v>435</v>
      </c>
      <c r="I350" t="s">
        <v>20</v>
      </c>
      <c r="J350" t="s">
        <v>8</v>
      </c>
      <c r="K350" t="str">
        <f>VLOOKUP(tblSalaries[[#This Row],[Where do you work]],tblCountries[[Actual]:[Mapping]],2,FALSE)</f>
        <v>India</v>
      </c>
      <c r="L350" t="s">
        <v>13</v>
      </c>
    </row>
    <row r="351" spans="2:12" ht="15" customHeight="1">
      <c r="B351" t="s">
        <v>2354</v>
      </c>
      <c r="C351" s="1">
        <v>41055.070752314816</v>
      </c>
      <c r="D351" s="4">
        <v>160000</v>
      </c>
      <c r="E351">
        <v>160000</v>
      </c>
      <c r="F351" t="s">
        <v>86</v>
      </c>
      <c r="G351">
        <f>tblSalaries[[#This Row],[clean Salary (in local currency)]]*VLOOKUP(tblSalaries[[#This Row],[Currency]],tblXrate[],2,FALSE)</f>
        <v>157337.8436848523</v>
      </c>
      <c r="H351" t="s">
        <v>356</v>
      </c>
      <c r="I351" t="s">
        <v>356</v>
      </c>
      <c r="J351" t="s">
        <v>88</v>
      </c>
      <c r="K351" t="str">
        <f>VLOOKUP(tblSalaries[[#This Row],[Where do you work]],tblCountries[[Actual]:[Mapping]],2,FALSE)</f>
        <v>Canada</v>
      </c>
      <c r="L351" t="s">
        <v>18</v>
      </c>
    </row>
    <row r="352" spans="2:12" ht="15" customHeight="1">
      <c r="B352" t="s">
        <v>2355</v>
      </c>
      <c r="C352" s="1">
        <v>41055.070763888885</v>
      </c>
      <c r="D352" s="4">
        <v>44200</v>
      </c>
      <c r="E352">
        <v>44200</v>
      </c>
      <c r="F352" t="s">
        <v>6</v>
      </c>
      <c r="G352">
        <f>tblSalaries[[#This Row],[clean Salary (in local currency)]]*VLOOKUP(tblSalaries[[#This Row],[Currency]],tblXrate[],2,FALSE)</f>
        <v>44200</v>
      </c>
      <c r="H352" t="s">
        <v>436</v>
      </c>
      <c r="I352" t="s">
        <v>20</v>
      </c>
      <c r="J352" t="s">
        <v>15</v>
      </c>
      <c r="K352" t="str">
        <f>VLOOKUP(tblSalaries[[#This Row],[Where do you work]],tblCountries[[Actual]:[Mapping]],2,FALSE)</f>
        <v>USA</v>
      </c>
      <c r="L352" t="s">
        <v>13</v>
      </c>
    </row>
    <row r="353" spans="2:12" ht="15" customHeight="1">
      <c r="B353" t="s">
        <v>2356</v>
      </c>
      <c r="C353" s="1">
        <v>41055.070914351854</v>
      </c>
      <c r="D353" s="4">
        <v>56000</v>
      </c>
      <c r="E353">
        <v>56000</v>
      </c>
      <c r="F353" t="s">
        <v>6</v>
      </c>
      <c r="G353">
        <f>tblSalaries[[#This Row],[clean Salary (in local currency)]]*VLOOKUP(tblSalaries[[#This Row],[Currency]],tblXrate[],2,FALSE)</f>
        <v>56000</v>
      </c>
      <c r="H353" t="s">
        <v>437</v>
      </c>
      <c r="I353" t="s">
        <v>52</v>
      </c>
      <c r="J353" t="s">
        <v>15</v>
      </c>
      <c r="K353" t="str">
        <f>VLOOKUP(tblSalaries[[#This Row],[Where do you work]],tblCountries[[Actual]:[Mapping]],2,FALSE)</f>
        <v>USA</v>
      </c>
      <c r="L353" t="s">
        <v>18</v>
      </c>
    </row>
    <row r="354" spans="2:12" ht="15" customHeight="1">
      <c r="B354" t="s">
        <v>2357</v>
      </c>
      <c r="C354" s="1">
        <v>41055.071145833332</v>
      </c>
      <c r="D354" s="4">
        <v>72500</v>
      </c>
      <c r="E354">
        <v>72500</v>
      </c>
      <c r="F354" t="s">
        <v>6</v>
      </c>
      <c r="G354">
        <f>tblSalaries[[#This Row],[clean Salary (in local currency)]]*VLOOKUP(tblSalaries[[#This Row],[Currency]],tblXrate[],2,FALSE)</f>
        <v>72500</v>
      </c>
      <c r="H354" t="s">
        <v>438</v>
      </c>
      <c r="I354" t="s">
        <v>279</v>
      </c>
      <c r="J354" t="s">
        <v>15</v>
      </c>
      <c r="K354" t="str">
        <f>VLOOKUP(tblSalaries[[#This Row],[Where do you work]],tblCountries[[Actual]:[Mapping]],2,FALSE)</f>
        <v>USA</v>
      </c>
      <c r="L354" t="s">
        <v>18</v>
      </c>
    </row>
    <row r="355" spans="2:12" ht="15" customHeight="1">
      <c r="B355" t="s">
        <v>2358</v>
      </c>
      <c r="C355" s="1">
        <v>41055.071192129632</v>
      </c>
      <c r="D355" s="4">
        <v>75000</v>
      </c>
      <c r="E355">
        <v>75000</v>
      </c>
      <c r="F355" t="s">
        <v>86</v>
      </c>
      <c r="G355">
        <f>tblSalaries[[#This Row],[clean Salary (in local currency)]]*VLOOKUP(tblSalaries[[#This Row],[Currency]],tblXrate[],2,FALSE)</f>
        <v>73752.11422727452</v>
      </c>
      <c r="H355" t="s">
        <v>439</v>
      </c>
      <c r="I355" t="s">
        <v>20</v>
      </c>
      <c r="J355" t="s">
        <v>205</v>
      </c>
      <c r="K355" t="str">
        <f>VLOOKUP(tblSalaries[[#This Row],[Where do you work]],tblCountries[[Actual]:[Mapping]],2,FALSE)</f>
        <v>Canada</v>
      </c>
      <c r="L355" t="s">
        <v>9</v>
      </c>
    </row>
    <row r="356" spans="2:12" ht="15" customHeight="1">
      <c r="B356" t="s">
        <v>2359</v>
      </c>
      <c r="C356" s="1">
        <v>41055.071446759262</v>
      </c>
      <c r="D356" s="4" t="s">
        <v>440</v>
      </c>
      <c r="E356">
        <v>170000</v>
      </c>
      <c r="F356" t="s">
        <v>6</v>
      </c>
      <c r="G356">
        <f>tblSalaries[[#This Row],[clean Salary (in local currency)]]*VLOOKUP(tblSalaries[[#This Row],[Currency]],tblXrate[],2,FALSE)</f>
        <v>170000</v>
      </c>
      <c r="H356" t="s">
        <v>441</v>
      </c>
      <c r="I356" t="s">
        <v>20</v>
      </c>
      <c r="J356" t="s">
        <v>71</v>
      </c>
      <c r="K356" t="str">
        <f>VLOOKUP(tblSalaries[[#This Row],[Where do you work]],tblCountries[[Actual]:[Mapping]],2,FALSE)</f>
        <v>UK</v>
      </c>
      <c r="L356" t="s">
        <v>186</v>
      </c>
    </row>
    <row r="357" spans="2:12" ht="15" customHeight="1">
      <c r="B357" t="s">
        <v>2360</v>
      </c>
      <c r="C357" s="1">
        <v>41055.072083333333</v>
      </c>
      <c r="D357" s="4">
        <v>68000</v>
      </c>
      <c r="E357">
        <v>68000</v>
      </c>
      <c r="F357" t="s">
        <v>6</v>
      </c>
      <c r="G357">
        <f>tblSalaries[[#This Row],[clean Salary (in local currency)]]*VLOOKUP(tblSalaries[[#This Row],[Currency]],tblXrate[],2,FALSE)</f>
        <v>68000</v>
      </c>
      <c r="H357" t="s">
        <v>201</v>
      </c>
      <c r="I357" t="s">
        <v>52</v>
      </c>
      <c r="J357" t="s">
        <v>15</v>
      </c>
      <c r="K357" t="str">
        <f>VLOOKUP(tblSalaries[[#This Row],[Where do you work]],tblCountries[[Actual]:[Mapping]],2,FALSE)</f>
        <v>USA</v>
      </c>
      <c r="L357" t="s">
        <v>18</v>
      </c>
    </row>
    <row r="358" spans="2:12" ht="15" customHeight="1">
      <c r="B358" t="s">
        <v>2361</v>
      </c>
      <c r="C358" s="1">
        <v>41055.072905092595</v>
      </c>
      <c r="D358" s="4">
        <v>75000</v>
      </c>
      <c r="E358">
        <v>75000</v>
      </c>
      <c r="F358" t="s">
        <v>6</v>
      </c>
      <c r="G358">
        <f>tblSalaries[[#This Row],[clean Salary (in local currency)]]*VLOOKUP(tblSalaries[[#This Row],[Currency]],tblXrate[],2,FALSE)</f>
        <v>75000</v>
      </c>
      <c r="H358" t="s">
        <v>282</v>
      </c>
      <c r="I358" t="s">
        <v>20</v>
      </c>
      <c r="J358" t="s">
        <v>15</v>
      </c>
      <c r="K358" t="str">
        <f>VLOOKUP(tblSalaries[[#This Row],[Where do you work]],tblCountries[[Actual]:[Mapping]],2,FALSE)</f>
        <v>USA</v>
      </c>
      <c r="L358" t="s">
        <v>13</v>
      </c>
    </row>
    <row r="359" spans="2:12" ht="15" customHeight="1">
      <c r="B359" t="s">
        <v>2362</v>
      </c>
      <c r="C359" s="1">
        <v>41055.073495370372</v>
      </c>
      <c r="D359" s="4" t="s">
        <v>442</v>
      </c>
      <c r="E359">
        <v>62500</v>
      </c>
      <c r="F359" t="s">
        <v>6</v>
      </c>
      <c r="G359">
        <f>tblSalaries[[#This Row],[clean Salary (in local currency)]]*VLOOKUP(tblSalaries[[#This Row],[Currency]],tblXrate[],2,FALSE)</f>
        <v>62500</v>
      </c>
      <c r="H359" t="s">
        <v>443</v>
      </c>
      <c r="I359" t="s">
        <v>4001</v>
      </c>
      <c r="J359" t="s">
        <v>15</v>
      </c>
      <c r="K359" t="str">
        <f>VLOOKUP(tblSalaries[[#This Row],[Where do you work]],tblCountries[[Actual]:[Mapping]],2,FALSE)</f>
        <v>USA</v>
      </c>
      <c r="L359" t="s">
        <v>13</v>
      </c>
    </row>
    <row r="360" spans="2:12" ht="15" customHeight="1">
      <c r="B360" t="s">
        <v>2363</v>
      </c>
      <c r="C360" s="1">
        <v>41055.073587962965</v>
      </c>
      <c r="D360" s="4">
        <v>25000</v>
      </c>
      <c r="E360">
        <v>25000</v>
      </c>
      <c r="F360" t="s">
        <v>6</v>
      </c>
      <c r="G360">
        <f>tblSalaries[[#This Row],[clean Salary (in local currency)]]*VLOOKUP(tblSalaries[[#This Row],[Currency]],tblXrate[],2,FALSE)</f>
        <v>25000</v>
      </c>
      <c r="H360" t="s">
        <v>52</v>
      </c>
      <c r="I360" t="s">
        <v>52</v>
      </c>
      <c r="J360" t="s">
        <v>8</v>
      </c>
      <c r="K360" t="str">
        <f>VLOOKUP(tblSalaries[[#This Row],[Where do you work]],tblCountries[[Actual]:[Mapping]],2,FALSE)</f>
        <v>India</v>
      </c>
      <c r="L360" t="s">
        <v>9</v>
      </c>
    </row>
    <row r="361" spans="2:12" ht="15" customHeight="1">
      <c r="B361" t="s">
        <v>2364</v>
      </c>
      <c r="C361" s="1">
        <v>41055.073888888888</v>
      </c>
      <c r="D361" s="4" t="s">
        <v>444</v>
      </c>
      <c r="E361">
        <v>480000</v>
      </c>
      <c r="F361" t="s">
        <v>445</v>
      </c>
      <c r="G361">
        <f>tblSalaries[[#This Row],[clean Salary (in local currency)]]*VLOOKUP(tblSalaries[[#This Row],[Currency]],tblXrate[],2,FALSE)</f>
        <v>68954.520184280962</v>
      </c>
      <c r="H361" t="s">
        <v>446</v>
      </c>
      <c r="I361" t="s">
        <v>356</v>
      </c>
      <c r="J361" t="s">
        <v>447</v>
      </c>
      <c r="K361" t="str">
        <f>VLOOKUP(tblSalaries[[#This Row],[Where do you work]],tblCountries[[Actual]:[Mapping]],2,FALSE)</f>
        <v>Sweden</v>
      </c>
      <c r="L361" t="s">
        <v>25</v>
      </c>
    </row>
    <row r="362" spans="2:12" ht="15" customHeight="1">
      <c r="B362" t="s">
        <v>2365</v>
      </c>
      <c r="C362" s="1">
        <v>41055.075914351852</v>
      </c>
      <c r="D362" s="4">
        <v>85000</v>
      </c>
      <c r="E362">
        <v>85000</v>
      </c>
      <c r="F362" t="s">
        <v>6</v>
      </c>
      <c r="G362">
        <f>tblSalaries[[#This Row],[clean Salary (in local currency)]]*VLOOKUP(tblSalaries[[#This Row],[Currency]],tblXrate[],2,FALSE)</f>
        <v>85000</v>
      </c>
      <c r="H362" t="s">
        <v>282</v>
      </c>
      <c r="I362" t="s">
        <v>20</v>
      </c>
      <c r="J362" t="s">
        <v>15</v>
      </c>
      <c r="K362" t="str">
        <f>VLOOKUP(tblSalaries[[#This Row],[Where do you work]],tblCountries[[Actual]:[Mapping]],2,FALSE)</f>
        <v>USA</v>
      </c>
      <c r="L362" t="s">
        <v>9</v>
      </c>
    </row>
    <row r="363" spans="2:12" ht="15" customHeight="1">
      <c r="B363" t="s">
        <v>2366</v>
      </c>
      <c r="C363" s="1">
        <v>41055.076331018521</v>
      </c>
      <c r="D363" s="4">
        <v>43000</v>
      </c>
      <c r="E363">
        <v>43000</v>
      </c>
      <c r="F363" t="s">
        <v>69</v>
      </c>
      <c r="G363">
        <f>tblSalaries[[#This Row],[clean Salary (in local currency)]]*VLOOKUP(tblSalaries[[#This Row],[Currency]],tblXrate[],2,FALSE)</f>
        <v>67775.665698893223</v>
      </c>
      <c r="H363" t="s">
        <v>448</v>
      </c>
      <c r="I363" t="s">
        <v>52</v>
      </c>
      <c r="J363" t="s">
        <v>71</v>
      </c>
      <c r="K363" t="str">
        <f>VLOOKUP(tblSalaries[[#This Row],[Where do you work]],tblCountries[[Actual]:[Mapping]],2,FALSE)</f>
        <v>UK</v>
      </c>
      <c r="L363" t="s">
        <v>9</v>
      </c>
    </row>
    <row r="364" spans="2:12" ht="15" customHeight="1">
      <c r="B364" t="s">
        <v>2367</v>
      </c>
      <c r="C364" s="1">
        <v>41055.076342592591</v>
      </c>
      <c r="D364" s="4">
        <v>89000</v>
      </c>
      <c r="E364">
        <v>89000</v>
      </c>
      <c r="F364" t="s">
        <v>6</v>
      </c>
      <c r="G364">
        <f>tblSalaries[[#This Row],[clean Salary (in local currency)]]*VLOOKUP(tblSalaries[[#This Row],[Currency]],tblXrate[],2,FALSE)</f>
        <v>89000</v>
      </c>
      <c r="H364" t="s">
        <v>449</v>
      </c>
      <c r="I364" t="s">
        <v>52</v>
      </c>
      <c r="J364" t="s">
        <v>15</v>
      </c>
      <c r="K364" t="str">
        <f>VLOOKUP(tblSalaries[[#This Row],[Where do you work]],tblCountries[[Actual]:[Mapping]],2,FALSE)</f>
        <v>USA</v>
      </c>
      <c r="L364" t="s">
        <v>9</v>
      </c>
    </row>
    <row r="365" spans="2:12" ht="15" customHeight="1">
      <c r="B365" t="s">
        <v>2368</v>
      </c>
      <c r="C365" s="1">
        <v>41055.076388888891</v>
      </c>
      <c r="D365" s="4">
        <v>35000</v>
      </c>
      <c r="E365">
        <v>35000</v>
      </c>
      <c r="F365" t="s">
        <v>6</v>
      </c>
      <c r="G365">
        <f>tblSalaries[[#This Row],[clean Salary (in local currency)]]*VLOOKUP(tblSalaries[[#This Row],[Currency]],tblXrate[],2,FALSE)</f>
        <v>35000</v>
      </c>
      <c r="H365" t="s">
        <v>450</v>
      </c>
      <c r="I365" t="s">
        <v>20</v>
      </c>
      <c r="J365" t="s">
        <v>111</v>
      </c>
      <c r="K365" t="str">
        <f>VLOOKUP(tblSalaries[[#This Row],[Where do you work]],tblCountries[[Actual]:[Mapping]],2,FALSE)</f>
        <v>Brazil</v>
      </c>
      <c r="L365" t="s">
        <v>13</v>
      </c>
    </row>
    <row r="366" spans="2:12" ht="15" customHeight="1">
      <c r="B366" t="s">
        <v>2369</v>
      </c>
      <c r="C366" s="1">
        <v>41055.07671296296</v>
      </c>
      <c r="D366" s="4">
        <v>47500</v>
      </c>
      <c r="E366">
        <v>47500</v>
      </c>
      <c r="F366" t="s">
        <v>6</v>
      </c>
      <c r="G366">
        <f>tblSalaries[[#This Row],[clean Salary (in local currency)]]*VLOOKUP(tblSalaries[[#This Row],[Currency]],tblXrate[],2,FALSE)</f>
        <v>47500</v>
      </c>
      <c r="H366" t="s">
        <v>451</v>
      </c>
      <c r="I366" t="s">
        <v>52</v>
      </c>
      <c r="J366" t="s">
        <v>15</v>
      </c>
      <c r="K366" t="str">
        <f>VLOOKUP(tblSalaries[[#This Row],[Where do you work]],tblCountries[[Actual]:[Mapping]],2,FALSE)</f>
        <v>USA</v>
      </c>
      <c r="L366" t="s">
        <v>13</v>
      </c>
    </row>
    <row r="367" spans="2:12" ht="15" customHeight="1">
      <c r="B367" t="s">
        <v>2370</v>
      </c>
      <c r="C367" s="1">
        <v>41055.076736111114</v>
      </c>
      <c r="D367" s="4">
        <v>130000</v>
      </c>
      <c r="E367">
        <v>130000</v>
      </c>
      <c r="F367" t="s">
        <v>6</v>
      </c>
      <c r="G367">
        <f>tblSalaries[[#This Row],[clean Salary (in local currency)]]*VLOOKUP(tblSalaries[[#This Row],[Currency]],tblXrate[],2,FALSE)</f>
        <v>130000</v>
      </c>
      <c r="H367" t="s">
        <v>201</v>
      </c>
      <c r="I367" t="s">
        <v>52</v>
      </c>
      <c r="J367" t="s">
        <v>15</v>
      </c>
      <c r="K367" t="str">
        <f>VLOOKUP(tblSalaries[[#This Row],[Where do you work]],tblCountries[[Actual]:[Mapping]],2,FALSE)</f>
        <v>USA</v>
      </c>
      <c r="L367" t="s">
        <v>18</v>
      </c>
    </row>
    <row r="368" spans="2:12" ht="15" customHeight="1">
      <c r="B368" t="s">
        <v>2371</v>
      </c>
      <c r="C368" s="1">
        <v>41055.077037037037</v>
      </c>
      <c r="D368" s="4">
        <v>18000</v>
      </c>
      <c r="E368">
        <v>18000</v>
      </c>
      <c r="F368" t="s">
        <v>6</v>
      </c>
      <c r="G368">
        <f>tblSalaries[[#This Row],[clean Salary (in local currency)]]*VLOOKUP(tblSalaries[[#This Row],[Currency]],tblXrate[],2,FALSE)</f>
        <v>18000</v>
      </c>
      <c r="H368" t="s">
        <v>452</v>
      </c>
      <c r="I368" t="s">
        <v>4001</v>
      </c>
      <c r="J368" t="s">
        <v>8</v>
      </c>
      <c r="K368" t="str">
        <f>VLOOKUP(tblSalaries[[#This Row],[Where do you work]],tblCountries[[Actual]:[Mapping]],2,FALSE)</f>
        <v>India</v>
      </c>
      <c r="L368" t="s">
        <v>18</v>
      </c>
    </row>
    <row r="369" spans="2:12" ht="15" customHeight="1">
      <c r="B369" t="s">
        <v>2372</v>
      </c>
      <c r="C369" s="1">
        <v>41055.07707175926</v>
      </c>
      <c r="D369" s="4" t="s">
        <v>453</v>
      </c>
      <c r="E369">
        <v>480000</v>
      </c>
      <c r="F369" t="s">
        <v>40</v>
      </c>
      <c r="G369">
        <f>tblSalaries[[#This Row],[clean Salary (in local currency)]]*VLOOKUP(tblSalaries[[#This Row],[Currency]],tblXrate[],2,FALSE)</f>
        <v>8547.8000099724322</v>
      </c>
      <c r="H369" t="s">
        <v>454</v>
      </c>
      <c r="I369" t="s">
        <v>52</v>
      </c>
      <c r="J369" t="s">
        <v>8</v>
      </c>
      <c r="K369" t="str">
        <f>VLOOKUP(tblSalaries[[#This Row],[Where do you work]],tblCountries[[Actual]:[Mapping]],2,FALSE)</f>
        <v>India</v>
      </c>
      <c r="L369" t="s">
        <v>25</v>
      </c>
    </row>
    <row r="370" spans="2:12" ht="15" customHeight="1">
      <c r="B370" t="s">
        <v>2373</v>
      </c>
      <c r="C370" s="1">
        <v>41055.077361111114</v>
      </c>
      <c r="D370" s="4">
        <v>41932</v>
      </c>
      <c r="E370">
        <v>41932</v>
      </c>
      <c r="F370" t="s">
        <v>6</v>
      </c>
      <c r="G370">
        <f>tblSalaries[[#This Row],[clean Salary (in local currency)]]*VLOOKUP(tblSalaries[[#This Row],[Currency]],tblXrate[],2,FALSE)</f>
        <v>41932</v>
      </c>
      <c r="H370" t="s">
        <v>283</v>
      </c>
      <c r="I370" t="s">
        <v>52</v>
      </c>
      <c r="J370" t="s">
        <v>15</v>
      </c>
      <c r="K370" t="str">
        <f>VLOOKUP(tblSalaries[[#This Row],[Where do you work]],tblCountries[[Actual]:[Mapping]],2,FALSE)</f>
        <v>USA</v>
      </c>
      <c r="L370" t="s">
        <v>18</v>
      </c>
    </row>
    <row r="371" spans="2:12" ht="15" customHeight="1">
      <c r="B371" t="s">
        <v>2374</v>
      </c>
      <c r="C371" s="1">
        <v>41055.077789351853</v>
      </c>
      <c r="D371" s="4" t="s">
        <v>455</v>
      </c>
      <c r="E371">
        <v>220700</v>
      </c>
      <c r="F371" t="s">
        <v>6</v>
      </c>
      <c r="G371">
        <f>tblSalaries[[#This Row],[clean Salary (in local currency)]]*VLOOKUP(tblSalaries[[#This Row],[Currency]],tblXrate[],2,FALSE)</f>
        <v>220700</v>
      </c>
      <c r="H371" t="s">
        <v>356</v>
      </c>
      <c r="I371" t="s">
        <v>356</v>
      </c>
      <c r="J371" t="s">
        <v>143</v>
      </c>
      <c r="K371" t="str">
        <f>VLOOKUP(tblSalaries[[#This Row],[Where do you work]],tblCountries[[Actual]:[Mapping]],2,FALSE)</f>
        <v>Brazil</v>
      </c>
      <c r="L371" t="s">
        <v>13</v>
      </c>
    </row>
    <row r="372" spans="2:12" ht="15" customHeight="1">
      <c r="B372" t="s">
        <v>2375</v>
      </c>
      <c r="C372" s="1">
        <v>41055.077824074076</v>
      </c>
      <c r="D372" s="4">
        <v>194000</v>
      </c>
      <c r="E372">
        <v>194000</v>
      </c>
      <c r="F372" t="s">
        <v>6</v>
      </c>
      <c r="G372">
        <f>tblSalaries[[#This Row],[clean Salary (in local currency)]]*VLOOKUP(tblSalaries[[#This Row],[Currency]],tblXrate[],2,FALSE)</f>
        <v>194000</v>
      </c>
      <c r="H372" t="s">
        <v>456</v>
      </c>
      <c r="I372" t="s">
        <v>4001</v>
      </c>
      <c r="J372" t="s">
        <v>15</v>
      </c>
      <c r="K372" t="str">
        <f>VLOOKUP(tblSalaries[[#This Row],[Where do you work]],tblCountries[[Actual]:[Mapping]],2,FALSE)</f>
        <v>USA</v>
      </c>
      <c r="L372" t="s">
        <v>18</v>
      </c>
    </row>
    <row r="373" spans="2:12" ht="15" customHeight="1">
      <c r="B373" t="s">
        <v>2376</v>
      </c>
      <c r="C373" s="1">
        <v>41055.07949074074</v>
      </c>
      <c r="D373" s="4">
        <v>9000000</v>
      </c>
      <c r="E373">
        <v>9000000</v>
      </c>
      <c r="F373" t="s">
        <v>40</v>
      </c>
      <c r="G373">
        <f>tblSalaries[[#This Row],[clean Salary (in local currency)]]*VLOOKUP(tblSalaries[[#This Row],[Currency]],tblXrate[],2,FALSE)</f>
        <v>160271.25018698312</v>
      </c>
      <c r="H373" t="s">
        <v>14</v>
      </c>
      <c r="I373" t="s">
        <v>20</v>
      </c>
      <c r="J373" t="s">
        <v>8</v>
      </c>
      <c r="K373" t="str">
        <f>VLOOKUP(tblSalaries[[#This Row],[Where do you work]],tblCountries[[Actual]:[Mapping]],2,FALSE)</f>
        <v>India</v>
      </c>
      <c r="L373" t="s">
        <v>9</v>
      </c>
    </row>
    <row r="374" spans="2:12" ht="15" customHeight="1">
      <c r="B374" t="s">
        <v>2377</v>
      </c>
      <c r="C374" s="1">
        <v>41055.079710648148</v>
      </c>
      <c r="D374" s="4" t="s">
        <v>457</v>
      </c>
      <c r="E374">
        <v>500000</v>
      </c>
      <c r="F374" t="s">
        <v>40</v>
      </c>
      <c r="G374">
        <f>tblSalaries[[#This Row],[clean Salary (in local currency)]]*VLOOKUP(tblSalaries[[#This Row],[Currency]],tblXrate[],2,FALSE)</f>
        <v>8903.9583437212841</v>
      </c>
      <c r="H374" t="s">
        <v>458</v>
      </c>
      <c r="I374" t="s">
        <v>52</v>
      </c>
      <c r="J374" t="s">
        <v>8</v>
      </c>
      <c r="K374" t="str">
        <f>VLOOKUP(tblSalaries[[#This Row],[Where do you work]],tblCountries[[Actual]:[Mapping]],2,FALSE)</f>
        <v>India</v>
      </c>
      <c r="L374" t="s">
        <v>18</v>
      </c>
    </row>
    <row r="375" spans="2:12" ht="15" customHeight="1">
      <c r="B375" t="s">
        <v>2378</v>
      </c>
      <c r="C375" s="1">
        <v>41055.081516203703</v>
      </c>
      <c r="D375" s="4">
        <v>80000</v>
      </c>
      <c r="E375">
        <v>80000</v>
      </c>
      <c r="F375" t="s">
        <v>86</v>
      </c>
      <c r="G375">
        <f>tblSalaries[[#This Row],[clean Salary (in local currency)]]*VLOOKUP(tblSalaries[[#This Row],[Currency]],tblXrate[],2,FALSE)</f>
        <v>78668.921842426149</v>
      </c>
      <c r="H375" t="s">
        <v>459</v>
      </c>
      <c r="I375" t="s">
        <v>20</v>
      </c>
      <c r="J375" t="s">
        <v>88</v>
      </c>
      <c r="K375" t="str">
        <f>VLOOKUP(tblSalaries[[#This Row],[Where do you work]],tblCountries[[Actual]:[Mapping]],2,FALSE)</f>
        <v>Canada</v>
      </c>
      <c r="L375" t="s">
        <v>9</v>
      </c>
    </row>
    <row r="376" spans="2:12" ht="15" customHeight="1">
      <c r="B376" t="s">
        <v>2379</v>
      </c>
      <c r="C376" s="1">
        <v>41055.081712962965</v>
      </c>
      <c r="D376" s="4">
        <v>1500</v>
      </c>
      <c r="E376">
        <v>18000</v>
      </c>
      <c r="F376" t="s">
        <v>22</v>
      </c>
      <c r="G376">
        <f>tblSalaries[[#This Row],[clean Salary (in local currency)]]*VLOOKUP(tblSalaries[[#This Row],[Currency]],tblXrate[],2,FALSE)</f>
        <v>22867.189901848938</v>
      </c>
      <c r="H376" t="s">
        <v>460</v>
      </c>
      <c r="I376" t="s">
        <v>52</v>
      </c>
      <c r="J376" t="s">
        <v>30</v>
      </c>
      <c r="K376" t="str">
        <f>VLOOKUP(tblSalaries[[#This Row],[Where do you work]],tblCountries[[Actual]:[Mapping]],2,FALSE)</f>
        <v>Portugal</v>
      </c>
      <c r="L376" t="s">
        <v>18</v>
      </c>
    </row>
    <row r="377" spans="2:12" ht="15" customHeight="1">
      <c r="B377" t="s">
        <v>2380</v>
      </c>
      <c r="C377" s="1">
        <v>41055.08216435185</v>
      </c>
      <c r="D377" s="4" t="s">
        <v>330</v>
      </c>
      <c r="E377">
        <v>60000</v>
      </c>
      <c r="F377" t="s">
        <v>69</v>
      </c>
      <c r="G377">
        <f>tblSalaries[[#This Row],[clean Salary (in local currency)]]*VLOOKUP(tblSalaries[[#This Row],[Currency]],tblXrate[],2,FALSE)</f>
        <v>94570.696324037053</v>
      </c>
      <c r="H377" t="s">
        <v>461</v>
      </c>
      <c r="I377" t="s">
        <v>4001</v>
      </c>
      <c r="J377" t="s">
        <v>71</v>
      </c>
      <c r="K377" t="str">
        <f>VLOOKUP(tblSalaries[[#This Row],[Where do you work]],tblCountries[[Actual]:[Mapping]],2,FALSE)</f>
        <v>UK</v>
      </c>
      <c r="L377" t="s">
        <v>18</v>
      </c>
    </row>
    <row r="378" spans="2:12" ht="15" customHeight="1">
      <c r="B378" t="s">
        <v>2381</v>
      </c>
      <c r="C378" s="1">
        <v>41055.082430555558</v>
      </c>
      <c r="D378" s="4">
        <v>95000</v>
      </c>
      <c r="E378">
        <v>95000</v>
      </c>
      <c r="F378" t="s">
        <v>6</v>
      </c>
      <c r="G378">
        <f>tblSalaries[[#This Row],[clean Salary (in local currency)]]*VLOOKUP(tblSalaries[[#This Row],[Currency]],tblXrate[],2,FALSE)</f>
        <v>95000</v>
      </c>
      <c r="H378" t="s">
        <v>424</v>
      </c>
      <c r="I378" t="s">
        <v>20</v>
      </c>
      <c r="J378" t="s">
        <v>15</v>
      </c>
      <c r="K378" t="str">
        <f>VLOOKUP(tblSalaries[[#This Row],[Where do you work]],tblCountries[[Actual]:[Mapping]],2,FALSE)</f>
        <v>USA</v>
      </c>
      <c r="L378" t="s">
        <v>13</v>
      </c>
    </row>
    <row r="379" spans="2:12" ht="15" customHeight="1">
      <c r="B379" t="s">
        <v>2382</v>
      </c>
      <c r="C379" s="1">
        <v>41055.082881944443</v>
      </c>
      <c r="D379" s="4" t="s">
        <v>462</v>
      </c>
      <c r="E379">
        <v>540000</v>
      </c>
      <c r="F379" t="s">
        <v>40</v>
      </c>
      <c r="G379">
        <f>tblSalaries[[#This Row],[clean Salary (in local currency)]]*VLOOKUP(tblSalaries[[#This Row],[Currency]],tblXrate[],2,FALSE)</f>
        <v>9616.275011218986</v>
      </c>
      <c r="H379" t="s">
        <v>463</v>
      </c>
      <c r="I379" t="s">
        <v>279</v>
      </c>
      <c r="J379" t="s">
        <v>8</v>
      </c>
      <c r="K379" t="str">
        <f>VLOOKUP(tblSalaries[[#This Row],[Where do you work]],tblCountries[[Actual]:[Mapping]],2,FALSE)</f>
        <v>India</v>
      </c>
      <c r="L379" t="s">
        <v>9</v>
      </c>
    </row>
    <row r="380" spans="2:12" ht="15" customHeight="1">
      <c r="B380" t="s">
        <v>2383</v>
      </c>
      <c r="C380" s="1">
        <v>41055.083101851851</v>
      </c>
      <c r="D380" s="4">
        <v>48000</v>
      </c>
      <c r="E380">
        <v>48000</v>
      </c>
      <c r="F380" t="s">
        <v>6</v>
      </c>
      <c r="G380">
        <f>tblSalaries[[#This Row],[clean Salary (in local currency)]]*VLOOKUP(tblSalaries[[#This Row],[Currency]],tblXrate[],2,FALSE)</f>
        <v>48000</v>
      </c>
      <c r="H380" t="s">
        <v>464</v>
      </c>
      <c r="I380" t="s">
        <v>20</v>
      </c>
      <c r="J380" t="s">
        <v>15</v>
      </c>
      <c r="K380" t="str">
        <f>VLOOKUP(tblSalaries[[#This Row],[Where do you work]],tblCountries[[Actual]:[Mapping]],2,FALSE)</f>
        <v>USA</v>
      </c>
      <c r="L380" t="s">
        <v>25</v>
      </c>
    </row>
    <row r="381" spans="2:12" ht="15" customHeight="1">
      <c r="B381" t="s">
        <v>2384</v>
      </c>
      <c r="C381" s="1">
        <v>41055.08315972222</v>
      </c>
      <c r="D381" s="4" t="s">
        <v>465</v>
      </c>
      <c r="E381">
        <v>46000</v>
      </c>
      <c r="F381" t="s">
        <v>6</v>
      </c>
      <c r="G381">
        <f>tblSalaries[[#This Row],[clean Salary (in local currency)]]*VLOOKUP(tblSalaries[[#This Row],[Currency]],tblXrate[],2,FALSE)</f>
        <v>46000</v>
      </c>
      <c r="H381" t="s">
        <v>466</v>
      </c>
      <c r="I381" t="s">
        <v>20</v>
      </c>
      <c r="J381" t="s">
        <v>15</v>
      </c>
      <c r="K381" t="str">
        <f>VLOOKUP(tblSalaries[[#This Row],[Where do you work]],tblCountries[[Actual]:[Mapping]],2,FALSE)</f>
        <v>USA</v>
      </c>
      <c r="L381" t="s">
        <v>9</v>
      </c>
    </row>
    <row r="382" spans="2:12" ht="15" customHeight="1">
      <c r="B382" t="s">
        <v>2385</v>
      </c>
      <c r="C382" s="1">
        <v>41055.083194444444</v>
      </c>
      <c r="D382" s="4">
        <v>15000</v>
      </c>
      <c r="E382">
        <v>15000</v>
      </c>
      <c r="F382" t="s">
        <v>6</v>
      </c>
      <c r="G382">
        <f>tblSalaries[[#This Row],[clean Salary (in local currency)]]*VLOOKUP(tblSalaries[[#This Row],[Currency]],tblXrate[],2,FALSE)</f>
        <v>15000</v>
      </c>
      <c r="H382" t="s">
        <v>467</v>
      </c>
      <c r="I382" t="s">
        <v>3999</v>
      </c>
      <c r="J382" t="s">
        <v>27</v>
      </c>
      <c r="K382" t="str">
        <f>VLOOKUP(tblSalaries[[#This Row],[Where do you work]],tblCountries[[Actual]:[Mapping]],2,FALSE)</f>
        <v>Ukraine</v>
      </c>
      <c r="L382" t="s">
        <v>18</v>
      </c>
    </row>
    <row r="383" spans="2:12" ht="15" customHeight="1">
      <c r="B383" t="s">
        <v>2386</v>
      </c>
      <c r="C383" s="1">
        <v>41055.083379629628</v>
      </c>
      <c r="D383" s="4" t="s">
        <v>468</v>
      </c>
      <c r="E383">
        <v>620000</v>
      </c>
      <c r="F383" t="s">
        <v>40</v>
      </c>
      <c r="G383">
        <f>tblSalaries[[#This Row],[clean Salary (in local currency)]]*VLOOKUP(tblSalaries[[#This Row],[Currency]],tblXrate[],2,FALSE)</f>
        <v>11040.908346214392</v>
      </c>
      <c r="H383" t="s">
        <v>469</v>
      </c>
      <c r="I383" t="s">
        <v>52</v>
      </c>
      <c r="J383" t="s">
        <v>8</v>
      </c>
      <c r="K383" t="str">
        <f>VLOOKUP(tblSalaries[[#This Row],[Where do you work]],tblCountries[[Actual]:[Mapping]],2,FALSE)</f>
        <v>India</v>
      </c>
      <c r="L383" t="s">
        <v>25</v>
      </c>
    </row>
    <row r="384" spans="2:12" ht="15" customHeight="1">
      <c r="B384" t="s">
        <v>2387</v>
      </c>
      <c r="C384" s="1">
        <v>41055.083449074074</v>
      </c>
      <c r="D384" s="4" t="s">
        <v>470</v>
      </c>
      <c r="E384">
        <v>28000</v>
      </c>
      <c r="F384" t="s">
        <v>69</v>
      </c>
      <c r="G384">
        <f>tblSalaries[[#This Row],[clean Salary (in local currency)]]*VLOOKUP(tblSalaries[[#This Row],[Currency]],tblXrate[],2,FALSE)</f>
        <v>44132.991617883956</v>
      </c>
      <c r="H384" t="s">
        <v>471</v>
      </c>
      <c r="I384" t="s">
        <v>52</v>
      </c>
      <c r="J384" t="s">
        <v>71</v>
      </c>
      <c r="K384" t="str">
        <f>VLOOKUP(tblSalaries[[#This Row],[Where do you work]],tblCountries[[Actual]:[Mapping]],2,FALSE)</f>
        <v>UK</v>
      </c>
      <c r="L384" t="s">
        <v>18</v>
      </c>
    </row>
    <row r="385" spans="2:12" ht="15" customHeight="1">
      <c r="B385" t="s">
        <v>2388</v>
      </c>
      <c r="C385" s="1">
        <v>41055.083495370367</v>
      </c>
      <c r="D385" s="4">
        <v>47000</v>
      </c>
      <c r="E385">
        <v>47000</v>
      </c>
      <c r="F385" t="s">
        <v>6</v>
      </c>
      <c r="G385">
        <f>tblSalaries[[#This Row],[clean Salary (in local currency)]]*VLOOKUP(tblSalaries[[#This Row],[Currency]],tblXrate[],2,FALSE)</f>
        <v>47000</v>
      </c>
      <c r="H385" t="s">
        <v>472</v>
      </c>
      <c r="I385" t="s">
        <v>52</v>
      </c>
      <c r="J385" t="s">
        <v>15</v>
      </c>
      <c r="K385" t="str">
        <f>VLOOKUP(tblSalaries[[#This Row],[Where do you work]],tblCountries[[Actual]:[Mapping]],2,FALSE)</f>
        <v>USA</v>
      </c>
      <c r="L385" t="s">
        <v>18</v>
      </c>
    </row>
    <row r="386" spans="2:12" ht="15" customHeight="1">
      <c r="B386" t="s">
        <v>2389</v>
      </c>
      <c r="C386" s="1">
        <v>41055.083819444444</v>
      </c>
      <c r="D386" s="4">
        <v>44000</v>
      </c>
      <c r="E386">
        <v>44000</v>
      </c>
      <c r="F386" t="s">
        <v>6</v>
      </c>
      <c r="G386">
        <f>tblSalaries[[#This Row],[clean Salary (in local currency)]]*VLOOKUP(tblSalaries[[#This Row],[Currency]],tblXrate[],2,FALSE)</f>
        <v>44000</v>
      </c>
      <c r="H386" t="s">
        <v>473</v>
      </c>
      <c r="I386" t="s">
        <v>20</v>
      </c>
      <c r="J386" t="s">
        <v>15</v>
      </c>
      <c r="K386" t="str">
        <f>VLOOKUP(tblSalaries[[#This Row],[Where do you work]],tblCountries[[Actual]:[Mapping]],2,FALSE)</f>
        <v>USA</v>
      </c>
      <c r="L386" t="s">
        <v>18</v>
      </c>
    </row>
    <row r="387" spans="2:12" ht="15" customHeight="1">
      <c r="B387" t="s">
        <v>2390</v>
      </c>
      <c r="C387" s="1">
        <v>41055.083865740744</v>
      </c>
      <c r="D387" s="4">
        <v>55000</v>
      </c>
      <c r="E387">
        <v>55000</v>
      </c>
      <c r="F387" t="s">
        <v>6</v>
      </c>
      <c r="G387">
        <f>tblSalaries[[#This Row],[clean Salary (in local currency)]]*VLOOKUP(tblSalaries[[#This Row],[Currency]],tblXrate[],2,FALSE)</f>
        <v>55000</v>
      </c>
      <c r="H387" t="s">
        <v>310</v>
      </c>
      <c r="I387" t="s">
        <v>310</v>
      </c>
      <c r="J387" t="s">
        <v>15</v>
      </c>
      <c r="K387" t="str">
        <f>VLOOKUP(tblSalaries[[#This Row],[Where do you work]],tblCountries[[Actual]:[Mapping]],2,FALSE)</f>
        <v>USA</v>
      </c>
      <c r="L387" t="s">
        <v>9</v>
      </c>
    </row>
    <row r="388" spans="2:12" ht="15" customHeight="1">
      <c r="B388" t="s">
        <v>2391</v>
      </c>
      <c r="C388" s="1">
        <v>41055.083958333336</v>
      </c>
      <c r="D388" s="4">
        <v>12000</v>
      </c>
      <c r="E388">
        <v>12000</v>
      </c>
      <c r="F388" t="s">
        <v>6</v>
      </c>
      <c r="G388">
        <f>tblSalaries[[#This Row],[clean Salary (in local currency)]]*VLOOKUP(tblSalaries[[#This Row],[Currency]],tblXrate[],2,FALSE)</f>
        <v>12000</v>
      </c>
      <c r="H388" t="s">
        <v>474</v>
      </c>
      <c r="I388" t="s">
        <v>3999</v>
      </c>
      <c r="J388" t="s">
        <v>48</v>
      </c>
      <c r="K388" t="str">
        <f>VLOOKUP(tblSalaries[[#This Row],[Where do you work]],tblCountries[[Actual]:[Mapping]],2,FALSE)</f>
        <v>South Africa</v>
      </c>
      <c r="L388" t="s">
        <v>9</v>
      </c>
    </row>
    <row r="389" spans="2:12" ht="15" customHeight="1">
      <c r="B389" t="s">
        <v>2392</v>
      </c>
      <c r="C389" s="1">
        <v>41055.084108796298</v>
      </c>
      <c r="D389" s="4">
        <v>50000</v>
      </c>
      <c r="E389">
        <v>50000</v>
      </c>
      <c r="F389" t="s">
        <v>6</v>
      </c>
      <c r="G389">
        <f>tblSalaries[[#This Row],[clean Salary (in local currency)]]*VLOOKUP(tblSalaries[[#This Row],[Currency]],tblXrate[],2,FALSE)</f>
        <v>50000</v>
      </c>
      <c r="H389" t="s">
        <v>475</v>
      </c>
      <c r="I389" t="s">
        <v>52</v>
      </c>
      <c r="J389" t="s">
        <v>15</v>
      </c>
      <c r="K389" t="str">
        <f>VLOOKUP(tblSalaries[[#This Row],[Where do you work]],tblCountries[[Actual]:[Mapping]],2,FALSE)</f>
        <v>USA</v>
      </c>
      <c r="L389" t="s">
        <v>18</v>
      </c>
    </row>
    <row r="390" spans="2:12" ht="15" customHeight="1">
      <c r="B390" t="s">
        <v>2393</v>
      </c>
      <c r="C390" s="1">
        <v>41055.084386574075</v>
      </c>
      <c r="D390" s="4" t="s">
        <v>476</v>
      </c>
      <c r="E390">
        <v>750000</v>
      </c>
      <c r="F390" t="s">
        <v>40</v>
      </c>
      <c r="G390">
        <f>tblSalaries[[#This Row],[clean Salary (in local currency)]]*VLOOKUP(tblSalaries[[#This Row],[Currency]],tblXrate[],2,FALSE)</f>
        <v>13355.937515581925</v>
      </c>
      <c r="H390" t="s">
        <v>207</v>
      </c>
      <c r="I390" t="s">
        <v>20</v>
      </c>
      <c r="J390" t="s">
        <v>8</v>
      </c>
      <c r="K390" t="str">
        <f>VLOOKUP(tblSalaries[[#This Row],[Where do you work]],tblCountries[[Actual]:[Mapping]],2,FALSE)</f>
        <v>India</v>
      </c>
      <c r="L390" t="s">
        <v>25</v>
      </c>
    </row>
    <row r="391" spans="2:12" ht="15" customHeight="1">
      <c r="B391" t="s">
        <v>2394</v>
      </c>
      <c r="C391" s="1">
        <v>41055.084745370368</v>
      </c>
      <c r="D391" s="4" t="s">
        <v>477</v>
      </c>
      <c r="E391">
        <v>99147</v>
      </c>
      <c r="F391" t="s">
        <v>6</v>
      </c>
      <c r="G391">
        <f>tblSalaries[[#This Row],[clean Salary (in local currency)]]*VLOOKUP(tblSalaries[[#This Row],[Currency]],tblXrate[],2,FALSE)</f>
        <v>99147</v>
      </c>
      <c r="H391" t="s">
        <v>478</v>
      </c>
      <c r="I391" t="s">
        <v>67</v>
      </c>
      <c r="J391" t="s">
        <v>65</v>
      </c>
      <c r="K391" t="str">
        <f>VLOOKUP(tblSalaries[[#This Row],[Where do you work]],tblCountries[[Actual]:[Mapping]],2,FALSE)</f>
        <v>Russia</v>
      </c>
      <c r="L391" t="s">
        <v>9</v>
      </c>
    </row>
    <row r="392" spans="2:12" ht="15" customHeight="1">
      <c r="B392" t="s">
        <v>2395</v>
      </c>
      <c r="C392" s="1">
        <v>41055.085821759261</v>
      </c>
      <c r="D392" s="4">
        <v>45880</v>
      </c>
      <c r="E392">
        <v>45880</v>
      </c>
      <c r="F392" t="s">
        <v>6</v>
      </c>
      <c r="G392">
        <f>tblSalaries[[#This Row],[clean Salary (in local currency)]]*VLOOKUP(tblSalaries[[#This Row],[Currency]],tblXrate[],2,FALSE)</f>
        <v>45880</v>
      </c>
      <c r="H392" t="s">
        <v>479</v>
      </c>
      <c r="I392" t="s">
        <v>52</v>
      </c>
      <c r="J392" t="s">
        <v>15</v>
      </c>
      <c r="K392" t="str">
        <f>VLOOKUP(tblSalaries[[#This Row],[Where do you work]],tblCountries[[Actual]:[Mapping]],2,FALSE)</f>
        <v>USA</v>
      </c>
      <c r="L392" t="s">
        <v>13</v>
      </c>
    </row>
    <row r="393" spans="2:12" ht="15" customHeight="1">
      <c r="B393" t="s">
        <v>2396</v>
      </c>
      <c r="C393" s="1">
        <v>41055.0859375</v>
      </c>
      <c r="D393" s="4">
        <v>70000</v>
      </c>
      <c r="E393">
        <v>70000</v>
      </c>
      <c r="F393" t="s">
        <v>6</v>
      </c>
      <c r="G393">
        <f>tblSalaries[[#This Row],[clean Salary (in local currency)]]*VLOOKUP(tblSalaries[[#This Row],[Currency]],tblXrate[],2,FALSE)</f>
        <v>70000</v>
      </c>
      <c r="H393" t="s">
        <v>480</v>
      </c>
      <c r="I393" t="s">
        <v>52</v>
      </c>
      <c r="J393" t="s">
        <v>15</v>
      </c>
      <c r="K393" t="str">
        <f>VLOOKUP(tblSalaries[[#This Row],[Where do you work]],tblCountries[[Actual]:[Mapping]],2,FALSE)</f>
        <v>USA</v>
      </c>
      <c r="L393" t="s">
        <v>9</v>
      </c>
    </row>
    <row r="394" spans="2:12" ht="15" customHeight="1">
      <c r="B394" t="s">
        <v>2397</v>
      </c>
      <c r="C394" s="1">
        <v>41055.086122685185</v>
      </c>
      <c r="D394" s="4">
        <v>100000</v>
      </c>
      <c r="E394">
        <v>100000</v>
      </c>
      <c r="F394" t="s">
        <v>6</v>
      </c>
      <c r="G394">
        <f>tblSalaries[[#This Row],[clean Salary (in local currency)]]*VLOOKUP(tblSalaries[[#This Row],[Currency]],tblXrate[],2,FALSE)</f>
        <v>100000</v>
      </c>
      <c r="H394" t="s">
        <v>481</v>
      </c>
      <c r="I394" t="s">
        <v>20</v>
      </c>
      <c r="J394" t="s">
        <v>15</v>
      </c>
      <c r="K394" t="str">
        <f>VLOOKUP(tblSalaries[[#This Row],[Where do you work]],tblCountries[[Actual]:[Mapping]],2,FALSE)</f>
        <v>USA</v>
      </c>
      <c r="L394" t="s">
        <v>13</v>
      </c>
    </row>
    <row r="395" spans="2:12" ht="15" customHeight="1">
      <c r="B395" t="s">
        <v>2398</v>
      </c>
      <c r="C395" s="1">
        <v>41055.086168981485</v>
      </c>
      <c r="D395" s="4" t="s">
        <v>482</v>
      </c>
      <c r="E395">
        <v>1440000</v>
      </c>
      <c r="F395" t="s">
        <v>483</v>
      </c>
      <c r="G395">
        <f>tblSalaries[[#This Row],[clean Salary (in local currency)]]*VLOOKUP(tblSalaries[[#This Row],[Currency]],tblXrate[],2,FALSE)</f>
        <v>17598.017290051986</v>
      </c>
      <c r="H395" t="s">
        <v>484</v>
      </c>
      <c r="I395" t="s">
        <v>20</v>
      </c>
      <c r="J395" t="s">
        <v>425</v>
      </c>
      <c r="K395" t="str">
        <f>VLOOKUP(tblSalaries[[#This Row],[Where do you work]],tblCountries[[Actual]:[Mapping]],2,FALSE)</f>
        <v>Bangladesh</v>
      </c>
      <c r="L395" t="s">
        <v>18</v>
      </c>
    </row>
    <row r="396" spans="2:12" ht="15" customHeight="1">
      <c r="B396" t="s">
        <v>2399</v>
      </c>
      <c r="C396" s="1">
        <v>41055.086875000001</v>
      </c>
      <c r="D396" s="4">
        <v>85000</v>
      </c>
      <c r="E396">
        <v>85000</v>
      </c>
      <c r="F396" t="s">
        <v>6</v>
      </c>
      <c r="G396">
        <f>tblSalaries[[#This Row],[clean Salary (in local currency)]]*VLOOKUP(tblSalaries[[#This Row],[Currency]],tblXrate[],2,FALSE)</f>
        <v>85000</v>
      </c>
      <c r="H396" t="s">
        <v>485</v>
      </c>
      <c r="I396" t="s">
        <v>279</v>
      </c>
      <c r="J396" t="s">
        <v>15</v>
      </c>
      <c r="K396" t="str">
        <f>VLOOKUP(tblSalaries[[#This Row],[Where do you work]],tblCountries[[Actual]:[Mapping]],2,FALSE)</f>
        <v>USA</v>
      </c>
      <c r="L396" t="s">
        <v>18</v>
      </c>
    </row>
    <row r="397" spans="2:12" ht="15" customHeight="1">
      <c r="B397" t="s">
        <v>2400</v>
      </c>
      <c r="C397" s="1">
        <v>41055.087372685186</v>
      </c>
      <c r="D397" s="4">
        <v>47000</v>
      </c>
      <c r="E397">
        <v>47000</v>
      </c>
      <c r="F397" t="s">
        <v>6</v>
      </c>
      <c r="G397">
        <f>tblSalaries[[#This Row],[clean Salary (in local currency)]]*VLOOKUP(tblSalaries[[#This Row],[Currency]],tblXrate[],2,FALSE)</f>
        <v>47000</v>
      </c>
      <c r="H397" t="s">
        <v>486</v>
      </c>
      <c r="I397" t="s">
        <v>52</v>
      </c>
      <c r="J397" t="s">
        <v>15</v>
      </c>
      <c r="K397" t="str">
        <f>VLOOKUP(tblSalaries[[#This Row],[Where do you work]],tblCountries[[Actual]:[Mapping]],2,FALSE)</f>
        <v>USA</v>
      </c>
      <c r="L397" t="s">
        <v>9</v>
      </c>
    </row>
    <row r="398" spans="2:12" ht="15" customHeight="1">
      <c r="B398" t="s">
        <v>2401</v>
      </c>
      <c r="C398" s="1">
        <v>41055.087476851855</v>
      </c>
      <c r="D398" s="4">
        <v>40000</v>
      </c>
      <c r="E398">
        <v>40000</v>
      </c>
      <c r="F398" t="s">
        <v>6</v>
      </c>
      <c r="G398">
        <f>tblSalaries[[#This Row],[clean Salary (in local currency)]]*VLOOKUP(tblSalaries[[#This Row],[Currency]],tblXrate[],2,FALSE)</f>
        <v>40000</v>
      </c>
      <c r="H398" t="s">
        <v>487</v>
      </c>
      <c r="I398" t="s">
        <v>52</v>
      </c>
      <c r="J398" t="s">
        <v>15</v>
      </c>
      <c r="K398" t="str">
        <f>VLOOKUP(tblSalaries[[#This Row],[Where do you work]],tblCountries[[Actual]:[Mapping]],2,FALSE)</f>
        <v>USA</v>
      </c>
      <c r="L398" t="s">
        <v>18</v>
      </c>
    </row>
    <row r="399" spans="2:12" ht="15" customHeight="1">
      <c r="B399" t="s">
        <v>2402</v>
      </c>
      <c r="C399" s="1">
        <v>41055.087939814817</v>
      </c>
      <c r="D399" s="4">
        <v>30000</v>
      </c>
      <c r="E399">
        <v>30000</v>
      </c>
      <c r="F399" t="s">
        <v>6</v>
      </c>
      <c r="G399">
        <f>tblSalaries[[#This Row],[clean Salary (in local currency)]]*VLOOKUP(tblSalaries[[#This Row],[Currency]],tblXrate[],2,FALSE)</f>
        <v>30000</v>
      </c>
      <c r="H399" t="s">
        <v>452</v>
      </c>
      <c r="I399" t="s">
        <v>4001</v>
      </c>
      <c r="J399" t="s">
        <v>8</v>
      </c>
      <c r="K399" t="str">
        <f>VLOOKUP(tblSalaries[[#This Row],[Where do you work]],tblCountries[[Actual]:[Mapping]],2,FALSE)</f>
        <v>India</v>
      </c>
      <c r="L399" t="s">
        <v>18</v>
      </c>
    </row>
    <row r="400" spans="2:12" ht="15" customHeight="1">
      <c r="B400" t="s">
        <v>2403</v>
      </c>
      <c r="C400" s="1">
        <v>41055.088148148148</v>
      </c>
      <c r="D400" s="4">
        <v>72000</v>
      </c>
      <c r="E400">
        <v>72000</v>
      </c>
      <c r="F400" t="s">
        <v>86</v>
      </c>
      <c r="G400">
        <f>tblSalaries[[#This Row],[clean Salary (in local currency)]]*VLOOKUP(tblSalaries[[#This Row],[Currency]],tblXrate[],2,FALSE)</f>
        <v>70802.029658183528</v>
      </c>
      <c r="H400" t="s">
        <v>488</v>
      </c>
      <c r="I400" t="s">
        <v>488</v>
      </c>
      <c r="J400" t="s">
        <v>88</v>
      </c>
      <c r="K400" t="str">
        <f>VLOOKUP(tblSalaries[[#This Row],[Where do you work]],tblCountries[[Actual]:[Mapping]],2,FALSE)</f>
        <v>Canada</v>
      </c>
      <c r="L400" t="s">
        <v>9</v>
      </c>
    </row>
    <row r="401" spans="2:12" ht="15" customHeight="1">
      <c r="B401" t="s">
        <v>2404</v>
      </c>
      <c r="C401" s="1">
        <v>41055.088518518518</v>
      </c>
      <c r="D401" s="4">
        <v>34000</v>
      </c>
      <c r="E401">
        <v>34000</v>
      </c>
      <c r="F401" t="s">
        <v>6</v>
      </c>
      <c r="G401">
        <f>tblSalaries[[#This Row],[clean Salary (in local currency)]]*VLOOKUP(tblSalaries[[#This Row],[Currency]],tblXrate[],2,FALSE)</f>
        <v>34000</v>
      </c>
      <c r="H401" t="s">
        <v>489</v>
      </c>
      <c r="I401" t="s">
        <v>20</v>
      </c>
      <c r="J401" t="s">
        <v>15</v>
      </c>
      <c r="K401" t="str">
        <f>VLOOKUP(tblSalaries[[#This Row],[Where do you work]],tblCountries[[Actual]:[Mapping]],2,FALSE)</f>
        <v>USA</v>
      </c>
      <c r="L401" t="s">
        <v>9</v>
      </c>
    </row>
    <row r="402" spans="2:12" ht="15" customHeight="1">
      <c r="B402" t="s">
        <v>2405</v>
      </c>
      <c r="C402" s="1">
        <v>41055.088761574072</v>
      </c>
      <c r="D402" s="4">
        <v>52000</v>
      </c>
      <c r="E402">
        <v>52000</v>
      </c>
      <c r="F402" t="s">
        <v>6</v>
      </c>
      <c r="G402">
        <f>tblSalaries[[#This Row],[clean Salary (in local currency)]]*VLOOKUP(tblSalaries[[#This Row],[Currency]],tblXrate[],2,FALSE)</f>
        <v>52000</v>
      </c>
      <c r="H402" t="s">
        <v>153</v>
      </c>
      <c r="I402" t="s">
        <v>20</v>
      </c>
      <c r="J402" t="s">
        <v>15</v>
      </c>
      <c r="K402" t="str">
        <f>VLOOKUP(tblSalaries[[#This Row],[Where do you work]],tblCountries[[Actual]:[Mapping]],2,FALSE)</f>
        <v>USA</v>
      </c>
      <c r="L402" t="s">
        <v>9</v>
      </c>
    </row>
    <row r="403" spans="2:12" ht="15" customHeight="1">
      <c r="B403" t="s">
        <v>2406</v>
      </c>
      <c r="C403" s="1">
        <v>41055.089004629626</v>
      </c>
      <c r="D403" s="4">
        <v>300000</v>
      </c>
      <c r="E403">
        <v>300000</v>
      </c>
      <c r="F403" t="s">
        <v>40</v>
      </c>
      <c r="G403">
        <f>tblSalaries[[#This Row],[clean Salary (in local currency)]]*VLOOKUP(tblSalaries[[#This Row],[Currency]],tblXrate[],2,FALSE)</f>
        <v>5342.3750062327708</v>
      </c>
      <c r="H403" t="s">
        <v>490</v>
      </c>
      <c r="I403" t="s">
        <v>279</v>
      </c>
      <c r="J403" t="s">
        <v>8</v>
      </c>
      <c r="K403" t="str">
        <f>VLOOKUP(tblSalaries[[#This Row],[Where do you work]],tblCountries[[Actual]:[Mapping]],2,FALSE)</f>
        <v>India</v>
      </c>
      <c r="L403" t="s">
        <v>25</v>
      </c>
    </row>
    <row r="404" spans="2:12" ht="15" customHeight="1">
      <c r="B404" t="s">
        <v>2407</v>
      </c>
      <c r="C404" s="1">
        <v>41055.090243055558</v>
      </c>
      <c r="D404" s="4">
        <v>400000</v>
      </c>
      <c r="E404">
        <v>400000</v>
      </c>
      <c r="F404" t="s">
        <v>40</v>
      </c>
      <c r="G404">
        <f>tblSalaries[[#This Row],[clean Salary (in local currency)]]*VLOOKUP(tblSalaries[[#This Row],[Currency]],tblXrate[],2,FALSE)</f>
        <v>7123.1666749770275</v>
      </c>
      <c r="H404" t="s">
        <v>20</v>
      </c>
      <c r="I404" t="s">
        <v>20</v>
      </c>
      <c r="J404" t="s">
        <v>8</v>
      </c>
      <c r="K404" t="str">
        <f>VLOOKUP(tblSalaries[[#This Row],[Where do you work]],tblCountries[[Actual]:[Mapping]],2,FALSE)</f>
        <v>India</v>
      </c>
      <c r="L404" t="s">
        <v>9</v>
      </c>
    </row>
    <row r="405" spans="2:12" ht="15" customHeight="1">
      <c r="B405" t="s">
        <v>2408</v>
      </c>
      <c r="C405" s="1">
        <v>41055.090682870374</v>
      </c>
      <c r="D405" s="4">
        <v>63586.95</v>
      </c>
      <c r="E405">
        <v>63586</v>
      </c>
      <c r="F405" t="s">
        <v>6</v>
      </c>
      <c r="G405">
        <f>tblSalaries[[#This Row],[clean Salary (in local currency)]]*VLOOKUP(tblSalaries[[#This Row],[Currency]],tblXrate[],2,FALSE)</f>
        <v>63586</v>
      </c>
      <c r="H405" t="s">
        <v>491</v>
      </c>
      <c r="I405" t="s">
        <v>52</v>
      </c>
      <c r="J405" t="s">
        <v>492</v>
      </c>
      <c r="K405" t="str">
        <f>VLOOKUP(tblSalaries[[#This Row],[Where do you work]],tblCountries[[Actual]:[Mapping]],2,FALSE)</f>
        <v>UAE</v>
      </c>
      <c r="L405" t="s">
        <v>18</v>
      </c>
    </row>
    <row r="406" spans="2:12" ht="15" customHeight="1">
      <c r="B406" t="s">
        <v>2409</v>
      </c>
      <c r="C406" s="1">
        <v>41055.091435185182</v>
      </c>
      <c r="D406" s="4" t="s">
        <v>68</v>
      </c>
      <c r="E406">
        <v>35000</v>
      </c>
      <c r="F406" t="s">
        <v>69</v>
      </c>
      <c r="G406">
        <f>tblSalaries[[#This Row],[clean Salary (in local currency)]]*VLOOKUP(tblSalaries[[#This Row],[Currency]],tblXrate[],2,FALSE)</f>
        <v>55166.239522354947</v>
      </c>
      <c r="H406" t="s">
        <v>493</v>
      </c>
      <c r="I406" t="s">
        <v>310</v>
      </c>
      <c r="J406" t="s">
        <v>71</v>
      </c>
      <c r="K406" t="str">
        <f>VLOOKUP(tblSalaries[[#This Row],[Where do you work]],tblCountries[[Actual]:[Mapping]],2,FALSE)</f>
        <v>UK</v>
      </c>
      <c r="L406" t="s">
        <v>9</v>
      </c>
    </row>
    <row r="407" spans="2:12" ht="15" customHeight="1">
      <c r="B407" t="s">
        <v>2410</v>
      </c>
      <c r="C407" s="1">
        <v>41055.09233796296</v>
      </c>
      <c r="D407" s="4">
        <v>60000</v>
      </c>
      <c r="E407">
        <v>60000</v>
      </c>
      <c r="F407" t="s">
        <v>6</v>
      </c>
      <c r="G407">
        <f>tblSalaries[[#This Row],[clean Salary (in local currency)]]*VLOOKUP(tblSalaries[[#This Row],[Currency]],tblXrate[],2,FALSE)</f>
        <v>60000</v>
      </c>
      <c r="H407" t="s">
        <v>494</v>
      </c>
      <c r="I407" t="s">
        <v>20</v>
      </c>
      <c r="J407" t="s">
        <v>15</v>
      </c>
      <c r="K407" t="str">
        <f>VLOOKUP(tblSalaries[[#This Row],[Where do you work]],tblCountries[[Actual]:[Mapping]],2,FALSE)</f>
        <v>USA</v>
      </c>
      <c r="L407" t="s">
        <v>9</v>
      </c>
    </row>
    <row r="408" spans="2:12" ht="15" customHeight="1">
      <c r="B408" t="s">
        <v>2411</v>
      </c>
      <c r="C408" s="1">
        <v>41055.09302083333</v>
      </c>
      <c r="D408" s="4">
        <v>19200</v>
      </c>
      <c r="E408">
        <v>19200</v>
      </c>
      <c r="F408" t="s">
        <v>6</v>
      </c>
      <c r="G408">
        <f>tblSalaries[[#This Row],[clean Salary (in local currency)]]*VLOOKUP(tblSalaries[[#This Row],[Currency]],tblXrate[],2,FALSE)</f>
        <v>19200</v>
      </c>
      <c r="H408" t="s">
        <v>495</v>
      </c>
      <c r="I408" t="s">
        <v>52</v>
      </c>
      <c r="J408" t="s">
        <v>73</v>
      </c>
      <c r="K408" t="str">
        <f>VLOOKUP(tblSalaries[[#This Row],[Where do you work]],tblCountries[[Actual]:[Mapping]],2,FALSE)</f>
        <v>Romania</v>
      </c>
      <c r="L408" t="s">
        <v>13</v>
      </c>
    </row>
    <row r="409" spans="2:12" ht="15" customHeight="1">
      <c r="B409" t="s">
        <v>2412</v>
      </c>
      <c r="C409" s="1">
        <v>41055.093113425923</v>
      </c>
      <c r="D409" s="4" t="s">
        <v>496</v>
      </c>
      <c r="E409">
        <v>14000000</v>
      </c>
      <c r="F409" t="s">
        <v>497</v>
      </c>
      <c r="G409">
        <f>tblSalaries[[#This Row],[clean Salary (in local currency)]]*VLOOKUP(tblSalaries[[#This Row],[Currency]],tblXrate[],2,FALSE)</f>
        <v>28109.627547434993</v>
      </c>
      <c r="H409" t="s">
        <v>498</v>
      </c>
      <c r="I409" t="s">
        <v>20</v>
      </c>
      <c r="J409" t="s">
        <v>499</v>
      </c>
      <c r="K409" t="str">
        <f>VLOOKUP(tblSalaries[[#This Row],[Where do you work]],tblCountries[[Actual]:[Mapping]],2,FALSE)</f>
        <v>Costa Rica</v>
      </c>
      <c r="L409" t="s">
        <v>13</v>
      </c>
    </row>
    <row r="410" spans="2:12" ht="15" customHeight="1">
      <c r="B410" t="s">
        <v>2413</v>
      </c>
      <c r="C410" s="1">
        <v>41055.093391203707</v>
      </c>
      <c r="D410" s="4">
        <v>56000</v>
      </c>
      <c r="E410">
        <v>56000</v>
      </c>
      <c r="F410" t="s">
        <v>6</v>
      </c>
      <c r="G410">
        <f>tblSalaries[[#This Row],[clean Salary (in local currency)]]*VLOOKUP(tblSalaries[[#This Row],[Currency]],tblXrate[],2,FALSE)</f>
        <v>56000</v>
      </c>
      <c r="H410" t="s">
        <v>500</v>
      </c>
      <c r="I410" t="s">
        <v>20</v>
      </c>
      <c r="J410" t="s">
        <v>15</v>
      </c>
      <c r="K410" t="str">
        <f>VLOOKUP(tblSalaries[[#This Row],[Where do you work]],tblCountries[[Actual]:[Mapping]],2,FALSE)</f>
        <v>USA</v>
      </c>
      <c r="L410" t="s">
        <v>9</v>
      </c>
    </row>
    <row r="411" spans="2:12" ht="15" customHeight="1">
      <c r="B411" t="s">
        <v>2414</v>
      </c>
      <c r="C411" s="1">
        <v>41055.093611111108</v>
      </c>
      <c r="D411" s="4">
        <v>52000</v>
      </c>
      <c r="E411">
        <v>52000</v>
      </c>
      <c r="F411" t="s">
        <v>6</v>
      </c>
      <c r="G411">
        <f>tblSalaries[[#This Row],[clean Salary (in local currency)]]*VLOOKUP(tblSalaries[[#This Row],[Currency]],tblXrate[],2,FALSE)</f>
        <v>52000</v>
      </c>
      <c r="H411" t="s">
        <v>501</v>
      </c>
      <c r="I411" t="s">
        <v>310</v>
      </c>
      <c r="J411" t="s">
        <v>15</v>
      </c>
      <c r="K411" t="str">
        <f>VLOOKUP(tblSalaries[[#This Row],[Where do you work]],tblCountries[[Actual]:[Mapping]],2,FALSE)</f>
        <v>USA</v>
      </c>
      <c r="L411" t="s">
        <v>9</v>
      </c>
    </row>
    <row r="412" spans="2:12" ht="15" customHeight="1">
      <c r="B412" t="s">
        <v>2415</v>
      </c>
      <c r="C412" s="1">
        <v>41055.093969907408</v>
      </c>
      <c r="D412" s="4">
        <v>51613</v>
      </c>
      <c r="E412">
        <v>51613</v>
      </c>
      <c r="F412" t="s">
        <v>6</v>
      </c>
      <c r="G412">
        <f>tblSalaries[[#This Row],[clean Salary (in local currency)]]*VLOOKUP(tblSalaries[[#This Row],[Currency]],tblXrate[],2,FALSE)</f>
        <v>51613</v>
      </c>
      <c r="H412" t="s">
        <v>502</v>
      </c>
      <c r="I412" t="s">
        <v>20</v>
      </c>
      <c r="J412" t="s">
        <v>15</v>
      </c>
      <c r="K412" t="str">
        <f>VLOOKUP(tblSalaries[[#This Row],[Where do you work]],tblCountries[[Actual]:[Mapping]],2,FALSE)</f>
        <v>USA</v>
      </c>
      <c r="L412" t="s">
        <v>13</v>
      </c>
    </row>
    <row r="413" spans="2:12" ht="15" customHeight="1">
      <c r="B413" t="s">
        <v>2416</v>
      </c>
      <c r="C413" s="1">
        <v>41055.095150462963</v>
      </c>
      <c r="D413" s="4">
        <v>35000</v>
      </c>
      <c r="E413">
        <v>35000</v>
      </c>
      <c r="F413" t="s">
        <v>6</v>
      </c>
      <c r="G413">
        <f>tblSalaries[[#This Row],[clean Salary (in local currency)]]*VLOOKUP(tblSalaries[[#This Row],[Currency]],tblXrate[],2,FALSE)</f>
        <v>35000</v>
      </c>
      <c r="H413" t="s">
        <v>503</v>
      </c>
      <c r="I413" t="s">
        <v>20</v>
      </c>
      <c r="J413" t="s">
        <v>65</v>
      </c>
      <c r="K413" t="str">
        <f>VLOOKUP(tblSalaries[[#This Row],[Where do you work]],tblCountries[[Actual]:[Mapping]],2,FALSE)</f>
        <v>Russia</v>
      </c>
      <c r="L413" t="s">
        <v>9</v>
      </c>
    </row>
    <row r="414" spans="2:12" ht="15" customHeight="1">
      <c r="B414" t="s">
        <v>2417</v>
      </c>
      <c r="C414" s="1">
        <v>41055.095347222225</v>
      </c>
      <c r="D414" s="4">
        <v>56000</v>
      </c>
      <c r="E414">
        <v>56000</v>
      </c>
      <c r="F414" t="s">
        <v>6</v>
      </c>
      <c r="G414">
        <f>tblSalaries[[#This Row],[clean Salary (in local currency)]]*VLOOKUP(tblSalaries[[#This Row],[Currency]],tblXrate[],2,FALSE)</f>
        <v>56000</v>
      </c>
      <c r="H414" t="s">
        <v>504</v>
      </c>
      <c r="I414" t="s">
        <v>52</v>
      </c>
      <c r="J414" t="s">
        <v>15</v>
      </c>
      <c r="K414" t="str">
        <f>VLOOKUP(tblSalaries[[#This Row],[Where do you work]],tblCountries[[Actual]:[Mapping]],2,FALSE)</f>
        <v>USA</v>
      </c>
      <c r="L414" t="s">
        <v>13</v>
      </c>
    </row>
    <row r="415" spans="2:12" ht="15" customHeight="1">
      <c r="B415" t="s">
        <v>2418</v>
      </c>
      <c r="C415" s="1">
        <v>41055.095578703702</v>
      </c>
      <c r="D415" s="4" t="s">
        <v>505</v>
      </c>
      <c r="E415">
        <v>115000</v>
      </c>
      <c r="F415" t="s">
        <v>6</v>
      </c>
      <c r="G415">
        <f>tblSalaries[[#This Row],[clean Salary (in local currency)]]*VLOOKUP(tblSalaries[[#This Row],[Currency]],tblXrate[],2,FALSE)</f>
        <v>115000</v>
      </c>
      <c r="H415" t="s">
        <v>356</v>
      </c>
      <c r="I415" t="s">
        <v>356</v>
      </c>
      <c r="J415" t="s">
        <v>15</v>
      </c>
      <c r="K415" t="str">
        <f>VLOOKUP(tblSalaries[[#This Row],[Where do you work]],tblCountries[[Actual]:[Mapping]],2,FALSE)</f>
        <v>USA</v>
      </c>
      <c r="L415" t="s">
        <v>18</v>
      </c>
    </row>
    <row r="416" spans="2:12" ht="15" customHeight="1">
      <c r="B416" t="s">
        <v>2419</v>
      </c>
      <c r="C416" s="1">
        <v>41055.095868055556</v>
      </c>
      <c r="D416" s="4" t="s">
        <v>506</v>
      </c>
      <c r="E416">
        <v>66000</v>
      </c>
      <c r="F416" t="s">
        <v>69</v>
      </c>
      <c r="G416">
        <f>tblSalaries[[#This Row],[clean Salary (in local currency)]]*VLOOKUP(tblSalaries[[#This Row],[Currency]],tblXrate[],2,FALSE)</f>
        <v>104027.76595644075</v>
      </c>
      <c r="H416" t="s">
        <v>507</v>
      </c>
      <c r="I416" t="s">
        <v>52</v>
      </c>
      <c r="J416" t="s">
        <v>71</v>
      </c>
      <c r="K416" t="str">
        <f>VLOOKUP(tblSalaries[[#This Row],[Where do you work]],tblCountries[[Actual]:[Mapping]],2,FALSE)</f>
        <v>UK</v>
      </c>
      <c r="L416" t="s">
        <v>25</v>
      </c>
    </row>
    <row r="417" spans="2:12" ht="15" customHeight="1">
      <c r="B417" t="s">
        <v>2420</v>
      </c>
      <c r="C417" s="1">
        <v>41055.096666666665</v>
      </c>
      <c r="D417" s="4" t="s">
        <v>508</v>
      </c>
      <c r="E417">
        <v>200000</v>
      </c>
      <c r="F417" t="s">
        <v>40</v>
      </c>
      <c r="G417">
        <f>tblSalaries[[#This Row],[clean Salary (in local currency)]]*VLOOKUP(tblSalaries[[#This Row],[Currency]],tblXrate[],2,FALSE)</f>
        <v>3561.5833374885137</v>
      </c>
      <c r="H417" t="s">
        <v>356</v>
      </c>
      <c r="I417" t="s">
        <v>356</v>
      </c>
      <c r="J417" t="s">
        <v>8</v>
      </c>
      <c r="K417" t="str">
        <f>VLOOKUP(tblSalaries[[#This Row],[Where do you work]],tblCountries[[Actual]:[Mapping]],2,FALSE)</f>
        <v>India</v>
      </c>
      <c r="L417" t="s">
        <v>25</v>
      </c>
    </row>
    <row r="418" spans="2:12" ht="15" customHeight="1">
      <c r="B418" t="s">
        <v>2421</v>
      </c>
      <c r="C418" s="1">
        <v>41055.097083333334</v>
      </c>
      <c r="D418" s="4">
        <v>72000</v>
      </c>
      <c r="E418">
        <v>72000</v>
      </c>
      <c r="F418" t="s">
        <v>6</v>
      </c>
      <c r="G418">
        <f>tblSalaries[[#This Row],[clean Salary (in local currency)]]*VLOOKUP(tblSalaries[[#This Row],[Currency]],tblXrate[],2,FALSE)</f>
        <v>72000</v>
      </c>
      <c r="H418" t="s">
        <v>509</v>
      </c>
      <c r="I418" t="s">
        <v>4001</v>
      </c>
      <c r="J418" t="s">
        <v>15</v>
      </c>
      <c r="K418" t="str">
        <f>VLOOKUP(tblSalaries[[#This Row],[Where do you work]],tblCountries[[Actual]:[Mapping]],2,FALSE)</f>
        <v>USA</v>
      </c>
      <c r="L418" t="s">
        <v>9</v>
      </c>
    </row>
    <row r="419" spans="2:12" ht="15" customHeight="1">
      <c r="B419" t="s">
        <v>2422</v>
      </c>
      <c r="C419" s="1">
        <v>41055.097129629627</v>
      </c>
      <c r="D419" s="4">
        <v>90000</v>
      </c>
      <c r="E419">
        <v>90000</v>
      </c>
      <c r="F419" t="s">
        <v>6</v>
      </c>
      <c r="G419">
        <f>tblSalaries[[#This Row],[clean Salary (in local currency)]]*VLOOKUP(tblSalaries[[#This Row],[Currency]],tblXrate[],2,FALSE)</f>
        <v>90000</v>
      </c>
      <c r="H419" t="s">
        <v>14</v>
      </c>
      <c r="I419" t="s">
        <v>20</v>
      </c>
      <c r="J419" t="s">
        <v>15</v>
      </c>
      <c r="K419" t="str">
        <f>VLOOKUP(tblSalaries[[#This Row],[Where do you work]],tblCountries[[Actual]:[Mapping]],2,FALSE)</f>
        <v>USA</v>
      </c>
      <c r="L419" t="s">
        <v>13</v>
      </c>
    </row>
    <row r="420" spans="2:12" ht="15" customHeight="1">
      <c r="B420" t="s">
        <v>2423</v>
      </c>
      <c r="C420" s="1">
        <v>41055.097395833334</v>
      </c>
      <c r="D420" s="4" t="s">
        <v>510</v>
      </c>
      <c r="E420">
        <v>8500</v>
      </c>
      <c r="F420" t="s">
        <v>6</v>
      </c>
      <c r="G420">
        <f>tblSalaries[[#This Row],[clean Salary (in local currency)]]*VLOOKUP(tblSalaries[[#This Row],[Currency]],tblXrate[],2,FALSE)</f>
        <v>8500</v>
      </c>
      <c r="H420" t="s">
        <v>177</v>
      </c>
      <c r="I420" t="s">
        <v>310</v>
      </c>
      <c r="J420" t="s">
        <v>73</v>
      </c>
      <c r="K420" t="str">
        <f>VLOOKUP(tblSalaries[[#This Row],[Where do you work]],tblCountries[[Actual]:[Mapping]],2,FALSE)</f>
        <v>Romania</v>
      </c>
      <c r="L420" t="s">
        <v>18</v>
      </c>
    </row>
    <row r="421" spans="2:12" ht="15" customHeight="1">
      <c r="B421" t="s">
        <v>2424</v>
      </c>
      <c r="C421" s="1">
        <v>41055.09747685185</v>
      </c>
      <c r="D421" s="4">
        <v>12000</v>
      </c>
      <c r="E421">
        <v>12000</v>
      </c>
      <c r="F421" t="s">
        <v>6</v>
      </c>
      <c r="G421">
        <f>tblSalaries[[#This Row],[clean Salary (in local currency)]]*VLOOKUP(tblSalaries[[#This Row],[Currency]],tblXrate[],2,FALSE)</f>
        <v>12000</v>
      </c>
      <c r="H421" t="s">
        <v>511</v>
      </c>
      <c r="I421" t="s">
        <v>20</v>
      </c>
      <c r="J421" t="s">
        <v>512</v>
      </c>
      <c r="K421" t="str">
        <f>VLOOKUP(tblSalaries[[#This Row],[Where do you work]],tblCountries[[Actual]:[Mapping]],2,FALSE)</f>
        <v>Iran</v>
      </c>
      <c r="L421" t="s">
        <v>18</v>
      </c>
    </row>
    <row r="422" spans="2:12" ht="15" customHeight="1">
      <c r="B422" t="s">
        <v>2425</v>
      </c>
      <c r="C422" s="1">
        <v>41055.098807870374</v>
      </c>
      <c r="D422" s="4" t="s">
        <v>513</v>
      </c>
      <c r="E422">
        <v>250000</v>
      </c>
      <c r="F422" t="s">
        <v>6</v>
      </c>
      <c r="G422">
        <f>tblSalaries[[#This Row],[clean Salary (in local currency)]]*VLOOKUP(tblSalaries[[#This Row],[Currency]],tblXrate[],2,FALSE)</f>
        <v>250000</v>
      </c>
      <c r="H422" t="s">
        <v>83</v>
      </c>
      <c r="I422" t="s">
        <v>356</v>
      </c>
      <c r="J422" t="s">
        <v>15</v>
      </c>
      <c r="K422" t="str">
        <f>VLOOKUP(tblSalaries[[#This Row],[Where do you work]],tblCountries[[Actual]:[Mapping]],2,FALSE)</f>
        <v>USA</v>
      </c>
      <c r="L422" t="s">
        <v>13</v>
      </c>
    </row>
    <row r="423" spans="2:12" ht="15" customHeight="1">
      <c r="B423" t="s">
        <v>2426</v>
      </c>
      <c r="C423" s="1">
        <v>41055.100277777776</v>
      </c>
      <c r="D423" s="4">
        <v>5900</v>
      </c>
      <c r="E423">
        <v>70800</v>
      </c>
      <c r="F423" t="s">
        <v>22</v>
      </c>
      <c r="G423">
        <f>tblSalaries[[#This Row],[clean Salary (in local currency)]]*VLOOKUP(tblSalaries[[#This Row],[Currency]],tblXrate[],2,FALSE)</f>
        <v>89944.280280605832</v>
      </c>
      <c r="H423" t="s">
        <v>514</v>
      </c>
      <c r="I423" t="s">
        <v>20</v>
      </c>
      <c r="J423" t="s">
        <v>515</v>
      </c>
      <c r="K423" t="str">
        <f>VLOOKUP(tblSalaries[[#This Row],[Where do you work]],tblCountries[[Actual]:[Mapping]],2,FALSE)</f>
        <v>Finland</v>
      </c>
      <c r="L423" t="s">
        <v>13</v>
      </c>
    </row>
    <row r="424" spans="2:12" ht="15" customHeight="1">
      <c r="B424" t="s">
        <v>2427</v>
      </c>
      <c r="C424" s="1">
        <v>41055.100810185184</v>
      </c>
      <c r="D424" s="4" t="s">
        <v>516</v>
      </c>
      <c r="E424">
        <v>240000</v>
      </c>
      <c r="F424" t="s">
        <v>40</v>
      </c>
      <c r="G424">
        <f>tblSalaries[[#This Row],[clean Salary (in local currency)]]*VLOOKUP(tblSalaries[[#This Row],[Currency]],tblXrate[],2,FALSE)</f>
        <v>4273.9000049862161</v>
      </c>
      <c r="H424" t="s">
        <v>517</v>
      </c>
      <c r="I424" t="s">
        <v>52</v>
      </c>
      <c r="J424" t="s">
        <v>8</v>
      </c>
      <c r="K424" t="str">
        <f>VLOOKUP(tblSalaries[[#This Row],[Where do you work]],tblCountries[[Actual]:[Mapping]],2,FALSE)</f>
        <v>India</v>
      </c>
      <c r="L424" t="s">
        <v>13</v>
      </c>
    </row>
    <row r="425" spans="2:12" ht="15" customHeight="1">
      <c r="B425" t="s">
        <v>2428</v>
      </c>
      <c r="C425" s="1">
        <v>41055.102662037039</v>
      </c>
      <c r="D425" s="4" t="s">
        <v>518</v>
      </c>
      <c r="E425">
        <v>30000</v>
      </c>
      <c r="F425" t="s">
        <v>6</v>
      </c>
      <c r="G425">
        <f>tblSalaries[[#This Row],[clean Salary (in local currency)]]*VLOOKUP(tblSalaries[[#This Row],[Currency]],tblXrate[],2,FALSE)</f>
        <v>30000</v>
      </c>
      <c r="H425" t="s">
        <v>519</v>
      </c>
      <c r="I425" t="s">
        <v>52</v>
      </c>
      <c r="J425" t="s">
        <v>15</v>
      </c>
      <c r="K425" t="str">
        <f>VLOOKUP(tblSalaries[[#This Row],[Where do you work]],tblCountries[[Actual]:[Mapping]],2,FALSE)</f>
        <v>USA</v>
      </c>
      <c r="L425" t="s">
        <v>18</v>
      </c>
    </row>
    <row r="426" spans="2:12" ht="15" customHeight="1">
      <c r="B426" t="s">
        <v>2429</v>
      </c>
      <c r="C426" s="1">
        <v>41055.103900462964</v>
      </c>
      <c r="D426" s="4" t="s">
        <v>520</v>
      </c>
      <c r="E426">
        <v>30000</v>
      </c>
      <c r="F426" t="s">
        <v>6</v>
      </c>
      <c r="G426">
        <f>tblSalaries[[#This Row],[clean Salary (in local currency)]]*VLOOKUP(tblSalaries[[#This Row],[Currency]],tblXrate[],2,FALSE)</f>
        <v>30000</v>
      </c>
      <c r="H426" t="s">
        <v>521</v>
      </c>
      <c r="I426" t="s">
        <v>3999</v>
      </c>
      <c r="J426" t="s">
        <v>73</v>
      </c>
      <c r="K426" t="str">
        <f>VLOOKUP(tblSalaries[[#This Row],[Where do you work]],tblCountries[[Actual]:[Mapping]],2,FALSE)</f>
        <v>Romania</v>
      </c>
      <c r="L426" t="s">
        <v>25</v>
      </c>
    </row>
    <row r="427" spans="2:12" ht="15" customHeight="1">
      <c r="B427" t="s">
        <v>2430</v>
      </c>
      <c r="C427" s="1">
        <v>41055.105138888888</v>
      </c>
      <c r="D427" s="4">
        <v>24</v>
      </c>
      <c r="E427">
        <v>24000</v>
      </c>
      <c r="F427" t="s">
        <v>6</v>
      </c>
      <c r="G427">
        <f>tblSalaries[[#This Row],[clean Salary (in local currency)]]*VLOOKUP(tblSalaries[[#This Row],[Currency]],tblXrate[],2,FALSE)</f>
        <v>24000</v>
      </c>
      <c r="H427" t="s">
        <v>522</v>
      </c>
      <c r="I427" t="s">
        <v>279</v>
      </c>
      <c r="J427" t="s">
        <v>15</v>
      </c>
      <c r="K427" t="str">
        <f>VLOOKUP(tblSalaries[[#This Row],[Where do you work]],tblCountries[[Actual]:[Mapping]],2,FALSE)</f>
        <v>USA</v>
      </c>
      <c r="L427" t="s">
        <v>25</v>
      </c>
    </row>
    <row r="428" spans="2:12" ht="15" customHeight="1">
      <c r="B428" t="s">
        <v>2431</v>
      </c>
      <c r="C428" s="1">
        <v>41055.106249999997</v>
      </c>
      <c r="D428" s="4">
        <v>60000</v>
      </c>
      <c r="E428">
        <v>60000</v>
      </c>
      <c r="F428" t="s">
        <v>6</v>
      </c>
      <c r="G428">
        <f>tblSalaries[[#This Row],[clean Salary (in local currency)]]*VLOOKUP(tblSalaries[[#This Row],[Currency]],tblXrate[],2,FALSE)</f>
        <v>60000</v>
      </c>
      <c r="H428" t="s">
        <v>523</v>
      </c>
      <c r="I428" t="s">
        <v>52</v>
      </c>
      <c r="J428" t="s">
        <v>15</v>
      </c>
      <c r="K428" t="str">
        <f>VLOOKUP(tblSalaries[[#This Row],[Where do you work]],tblCountries[[Actual]:[Mapping]],2,FALSE)</f>
        <v>USA</v>
      </c>
      <c r="L428" t="s">
        <v>9</v>
      </c>
    </row>
    <row r="429" spans="2:12" ht="15" customHeight="1">
      <c r="B429" t="s">
        <v>2432</v>
      </c>
      <c r="C429" s="1">
        <v>41055.106319444443</v>
      </c>
      <c r="D429" s="4">
        <v>76600</v>
      </c>
      <c r="E429">
        <v>76600</v>
      </c>
      <c r="F429" t="s">
        <v>6</v>
      </c>
      <c r="G429">
        <f>tblSalaries[[#This Row],[clean Salary (in local currency)]]*VLOOKUP(tblSalaries[[#This Row],[Currency]],tblXrate[],2,FALSE)</f>
        <v>76600</v>
      </c>
      <c r="H429" t="s">
        <v>20</v>
      </c>
      <c r="I429" t="s">
        <v>20</v>
      </c>
      <c r="J429" t="s">
        <v>15</v>
      </c>
      <c r="K429" t="str">
        <f>VLOOKUP(tblSalaries[[#This Row],[Where do you work]],tblCountries[[Actual]:[Mapping]],2,FALSE)</f>
        <v>USA</v>
      </c>
      <c r="L429" t="s">
        <v>18</v>
      </c>
    </row>
    <row r="430" spans="2:12" ht="15" customHeight="1">
      <c r="B430" t="s">
        <v>2433</v>
      </c>
      <c r="C430" s="1">
        <v>41055.106365740743</v>
      </c>
      <c r="D430" s="4" t="s">
        <v>524</v>
      </c>
      <c r="E430">
        <v>65000</v>
      </c>
      <c r="F430" t="s">
        <v>69</v>
      </c>
      <c r="G430">
        <f>tblSalaries[[#This Row],[clean Salary (in local currency)]]*VLOOKUP(tblSalaries[[#This Row],[Currency]],tblXrate[],2,FALSE)</f>
        <v>102451.58768437347</v>
      </c>
      <c r="H430" t="s">
        <v>181</v>
      </c>
      <c r="I430" t="s">
        <v>488</v>
      </c>
      <c r="J430" t="s">
        <v>71</v>
      </c>
      <c r="K430" t="str">
        <f>VLOOKUP(tblSalaries[[#This Row],[Where do you work]],tblCountries[[Actual]:[Mapping]],2,FALSE)</f>
        <v>UK</v>
      </c>
      <c r="L430" t="s">
        <v>18</v>
      </c>
    </row>
    <row r="431" spans="2:12" ht="15" customHeight="1">
      <c r="B431" t="s">
        <v>2434</v>
      </c>
      <c r="C431" s="1">
        <v>41055.106944444444</v>
      </c>
      <c r="D431" s="4" t="s">
        <v>525</v>
      </c>
      <c r="E431">
        <v>6629</v>
      </c>
      <c r="F431" t="s">
        <v>6</v>
      </c>
      <c r="G431">
        <f>tblSalaries[[#This Row],[clean Salary (in local currency)]]*VLOOKUP(tblSalaries[[#This Row],[Currency]],tblXrate[],2,FALSE)</f>
        <v>6629</v>
      </c>
      <c r="H431" t="s">
        <v>279</v>
      </c>
      <c r="I431" t="s">
        <v>279</v>
      </c>
      <c r="J431" t="s">
        <v>526</v>
      </c>
      <c r="K431" t="str">
        <f>VLOOKUP(tblSalaries[[#This Row],[Where do you work]],tblCountries[[Actual]:[Mapping]],2,FALSE)</f>
        <v>Dominican Republic</v>
      </c>
      <c r="L431" t="s">
        <v>13</v>
      </c>
    </row>
    <row r="432" spans="2:12" ht="15" customHeight="1">
      <c r="B432" t="s">
        <v>2435</v>
      </c>
      <c r="C432" s="1">
        <v>41055.107372685183</v>
      </c>
      <c r="D432" s="4">
        <v>90000</v>
      </c>
      <c r="E432">
        <v>90000</v>
      </c>
      <c r="F432" t="s">
        <v>6</v>
      </c>
      <c r="G432">
        <f>tblSalaries[[#This Row],[clean Salary (in local currency)]]*VLOOKUP(tblSalaries[[#This Row],[Currency]],tblXrate[],2,FALSE)</f>
        <v>90000</v>
      </c>
      <c r="H432" t="s">
        <v>527</v>
      </c>
      <c r="I432" t="s">
        <v>20</v>
      </c>
      <c r="J432" t="s">
        <v>15</v>
      </c>
      <c r="K432" t="str">
        <f>VLOOKUP(tblSalaries[[#This Row],[Where do you work]],tblCountries[[Actual]:[Mapping]],2,FALSE)</f>
        <v>USA</v>
      </c>
      <c r="L432" t="s">
        <v>25</v>
      </c>
    </row>
    <row r="433" spans="2:12" ht="15" customHeight="1">
      <c r="B433" t="s">
        <v>2436</v>
      </c>
      <c r="C433" s="1">
        <v>41055.107754629629</v>
      </c>
      <c r="D433" s="4">
        <v>8500</v>
      </c>
      <c r="E433">
        <v>8500</v>
      </c>
      <c r="F433" t="s">
        <v>6</v>
      </c>
      <c r="G433">
        <f>tblSalaries[[#This Row],[clean Salary (in local currency)]]*VLOOKUP(tblSalaries[[#This Row],[Currency]],tblXrate[],2,FALSE)</f>
        <v>8500</v>
      </c>
      <c r="H433" t="s">
        <v>528</v>
      </c>
      <c r="I433" t="s">
        <v>20</v>
      </c>
      <c r="J433" t="s">
        <v>184</v>
      </c>
      <c r="K433" t="str">
        <f>VLOOKUP(tblSalaries[[#This Row],[Where do you work]],tblCountries[[Actual]:[Mapping]],2,FALSE)</f>
        <v>Colombia</v>
      </c>
      <c r="L433" t="s">
        <v>25</v>
      </c>
    </row>
    <row r="434" spans="2:12" ht="15" customHeight="1">
      <c r="B434" t="s">
        <v>2437</v>
      </c>
      <c r="C434" s="1">
        <v>41055.107766203706</v>
      </c>
      <c r="D434" s="4">
        <v>75000</v>
      </c>
      <c r="E434">
        <v>75000</v>
      </c>
      <c r="F434" t="s">
        <v>6</v>
      </c>
      <c r="G434">
        <f>tblSalaries[[#This Row],[clean Salary (in local currency)]]*VLOOKUP(tblSalaries[[#This Row],[Currency]],tblXrate[],2,FALSE)</f>
        <v>75000</v>
      </c>
      <c r="H434" t="s">
        <v>529</v>
      </c>
      <c r="I434" t="s">
        <v>20</v>
      </c>
      <c r="J434" t="s">
        <v>15</v>
      </c>
      <c r="K434" t="str">
        <f>VLOOKUP(tblSalaries[[#This Row],[Where do you work]],tblCountries[[Actual]:[Mapping]],2,FALSE)</f>
        <v>USA</v>
      </c>
      <c r="L434" t="s">
        <v>9</v>
      </c>
    </row>
    <row r="435" spans="2:12" ht="15" customHeight="1">
      <c r="B435" t="s">
        <v>2438</v>
      </c>
      <c r="C435" s="1">
        <v>41055.109606481485</v>
      </c>
      <c r="D435" s="4">
        <v>72000</v>
      </c>
      <c r="E435">
        <v>72000</v>
      </c>
      <c r="F435" t="s">
        <v>6</v>
      </c>
      <c r="G435">
        <f>tblSalaries[[#This Row],[clean Salary (in local currency)]]*VLOOKUP(tblSalaries[[#This Row],[Currency]],tblXrate[],2,FALSE)</f>
        <v>72000</v>
      </c>
      <c r="H435" t="s">
        <v>530</v>
      </c>
      <c r="I435" t="s">
        <v>20</v>
      </c>
      <c r="J435" t="s">
        <v>15</v>
      </c>
      <c r="K435" t="str">
        <f>VLOOKUP(tblSalaries[[#This Row],[Where do you work]],tblCountries[[Actual]:[Mapping]],2,FALSE)</f>
        <v>USA</v>
      </c>
      <c r="L435" t="s">
        <v>18</v>
      </c>
    </row>
    <row r="436" spans="2:12" ht="15" customHeight="1">
      <c r="B436" t="s">
        <v>2439</v>
      </c>
      <c r="C436" s="1">
        <v>41055.110115740739</v>
      </c>
      <c r="D436" s="4">
        <v>65000</v>
      </c>
      <c r="E436">
        <v>65000</v>
      </c>
      <c r="F436" t="s">
        <v>6</v>
      </c>
      <c r="G436">
        <f>tblSalaries[[#This Row],[clean Salary (in local currency)]]*VLOOKUP(tblSalaries[[#This Row],[Currency]],tblXrate[],2,FALSE)</f>
        <v>65000</v>
      </c>
      <c r="H436" t="s">
        <v>531</v>
      </c>
      <c r="I436" t="s">
        <v>20</v>
      </c>
      <c r="J436" t="s">
        <v>15</v>
      </c>
      <c r="K436" t="str">
        <f>VLOOKUP(tblSalaries[[#This Row],[Where do you work]],tblCountries[[Actual]:[Mapping]],2,FALSE)</f>
        <v>USA</v>
      </c>
      <c r="L436" t="s">
        <v>9</v>
      </c>
    </row>
    <row r="437" spans="2:12" ht="15" customHeight="1">
      <c r="B437" t="s">
        <v>2440</v>
      </c>
      <c r="C437" s="1">
        <v>41055.111064814817</v>
      </c>
      <c r="D437" s="4">
        <v>120000</v>
      </c>
      <c r="E437">
        <v>120000</v>
      </c>
      <c r="F437" t="s">
        <v>6</v>
      </c>
      <c r="G437">
        <f>tblSalaries[[#This Row],[clean Salary (in local currency)]]*VLOOKUP(tblSalaries[[#This Row],[Currency]],tblXrate[],2,FALSE)</f>
        <v>120000</v>
      </c>
      <c r="H437" t="s">
        <v>139</v>
      </c>
      <c r="I437" t="s">
        <v>4001</v>
      </c>
      <c r="J437" t="s">
        <v>15</v>
      </c>
      <c r="K437" t="str">
        <f>VLOOKUP(tblSalaries[[#This Row],[Where do you work]],tblCountries[[Actual]:[Mapping]],2,FALSE)</f>
        <v>USA</v>
      </c>
      <c r="L437" t="s">
        <v>25</v>
      </c>
    </row>
    <row r="438" spans="2:12" ht="15" customHeight="1">
      <c r="B438" t="s">
        <v>2441</v>
      </c>
      <c r="C438" s="1">
        <v>41055.111562500002</v>
      </c>
      <c r="D438" s="4" t="s">
        <v>532</v>
      </c>
      <c r="E438">
        <v>4000000</v>
      </c>
      <c r="F438" t="s">
        <v>40</v>
      </c>
      <c r="G438">
        <f>tblSalaries[[#This Row],[clean Salary (in local currency)]]*VLOOKUP(tblSalaries[[#This Row],[Currency]],tblXrate[],2,FALSE)</f>
        <v>71231.666749770273</v>
      </c>
      <c r="H438" t="s">
        <v>533</v>
      </c>
      <c r="I438" t="s">
        <v>310</v>
      </c>
      <c r="J438" t="s">
        <v>8</v>
      </c>
      <c r="K438" t="str">
        <f>VLOOKUP(tblSalaries[[#This Row],[Where do you work]],tblCountries[[Actual]:[Mapping]],2,FALSE)</f>
        <v>India</v>
      </c>
      <c r="L438" t="s">
        <v>13</v>
      </c>
    </row>
    <row r="439" spans="2:12" ht="15" customHeight="1">
      <c r="B439" t="s">
        <v>2442</v>
      </c>
      <c r="C439" s="1">
        <v>41055.11273148148</v>
      </c>
      <c r="D439" s="4" t="s">
        <v>534</v>
      </c>
      <c r="E439">
        <v>300000</v>
      </c>
      <c r="F439" t="s">
        <v>40</v>
      </c>
      <c r="G439">
        <f>tblSalaries[[#This Row],[clean Salary (in local currency)]]*VLOOKUP(tblSalaries[[#This Row],[Currency]],tblXrate[],2,FALSE)</f>
        <v>5342.3750062327708</v>
      </c>
      <c r="H439" t="s">
        <v>535</v>
      </c>
      <c r="I439" t="s">
        <v>52</v>
      </c>
      <c r="J439" t="s">
        <v>8</v>
      </c>
      <c r="K439" t="str">
        <f>VLOOKUP(tblSalaries[[#This Row],[Where do you work]],tblCountries[[Actual]:[Mapping]],2,FALSE)</f>
        <v>India</v>
      </c>
      <c r="L439" t="s">
        <v>9</v>
      </c>
    </row>
    <row r="440" spans="2:12" ht="15" customHeight="1">
      <c r="B440" t="s">
        <v>2443</v>
      </c>
      <c r="C440" s="1">
        <v>41055.113437499997</v>
      </c>
      <c r="D440" s="4">
        <v>1100000</v>
      </c>
      <c r="E440">
        <v>1100000</v>
      </c>
      <c r="F440" t="s">
        <v>40</v>
      </c>
      <c r="G440">
        <f>tblSalaries[[#This Row],[clean Salary (in local currency)]]*VLOOKUP(tblSalaries[[#This Row],[Currency]],tblXrate[],2,FALSE)</f>
        <v>19588.708356186824</v>
      </c>
      <c r="H440" t="s">
        <v>536</v>
      </c>
      <c r="I440" t="s">
        <v>52</v>
      </c>
      <c r="J440" t="s">
        <v>8</v>
      </c>
      <c r="K440" t="str">
        <f>VLOOKUP(tblSalaries[[#This Row],[Where do you work]],tblCountries[[Actual]:[Mapping]],2,FALSE)</f>
        <v>India</v>
      </c>
      <c r="L440" t="s">
        <v>9</v>
      </c>
    </row>
    <row r="441" spans="2:12" ht="15" customHeight="1">
      <c r="B441" t="s">
        <v>2444</v>
      </c>
      <c r="C441" s="1">
        <v>41055.115486111114</v>
      </c>
      <c r="D441" s="4">
        <v>80000</v>
      </c>
      <c r="E441">
        <v>80000</v>
      </c>
      <c r="F441" t="s">
        <v>6</v>
      </c>
      <c r="G441">
        <f>tblSalaries[[#This Row],[clean Salary (in local currency)]]*VLOOKUP(tblSalaries[[#This Row],[Currency]],tblXrate[],2,FALSE)</f>
        <v>80000</v>
      </c>
      <c r="H441" t="s">
        <v>537</v>
      </c>
      <c r="I441" t="s">
        <v>20</v>
      </c>
      <c r="J441" t="s">
        <v>15</v>
      </c>
      <c r="K441" t="str">
        <f>VLOOKUP(tblSalaries[[#This Row],[Where do you work]],tblCountries[[Actual]:[Mapping]],2,FALSE)</f>
        <v>USA</v>
      </c>
      <c r="L441" t="s">
        <v>9</v>
      </c>
    </row>
    <row r="442" spans="2:12" ht="15" customHeight="1">
      <c r="B442" t="s">
        <v>2445</v>
      </c>
      <c r="C442" s="1">
        <v>41055.115925925929</v>
      </c>
      <c r="D442" s="4" t="s">
        <v>538</v>
      </c>
      <c r="E442">
        <v>3000000</v>
      </c>
      <c r="F442" t="s">
        <v>40</v>
      </c>
      <c r="G442">
        <f>tblSalaries[[#This Row],[clean Salary (in local currency)]]*VLOOKUP(tblSalaries[[#This Row],[Currency]],tblXrate[],2,FALSE)</f>
        <v>53423.750062327701</v>
      </c>
      <c r="H442" t="s">
        <v>539</v>
      </c>
      <c r="I442" t="s">
        <v>52</v>
      </c>
      <c r="J442" t="s">
        <v>8</v>
      </c>
      <c r="K442" t="str">
        <f>VLOOKUP(tblSalaries[[#This Row],[Where do you work]],tblCountries[[Actual]:[Mapping]],2,FALSE)</f>
        <v>India</v>
      </c>
      <c r="L442" t="s">
        <v>9</v>
      </c>
    </row>
    <row r="443" spans="2:12" ht="15" customHeight="1">
      <c r="B443" t="s">
        <v>2446</v>
      </c>
      <c r="C443" s="1">
        <v>41055.117037037038</v>
      </c>
      <c r="D443" s="4">
        <v>110000</v>
      </c>
      <c r="E443">
        <v>110000</v>
      </c>
      <c r="F443" t="s">
        <v>86</v>
      </c>
      <c r="G443">
        <f>tblSalaries[[#This Row],[clean Salary (in local currency)]]*VLOOKUP(tblSalaries[[#This Row],[Currency]],tblXrate[],2,FALSE)</f>
        <v>108169.76753333595</v>
      </c>
      <c r="H443" t="s">
        <v>540</v>
      </c>
      <c r="I443" t="s">
        <v>488</v>
      </c>
      <c r="J443" t="s">
        <v>541</v>
      </c>
      <c r="K443" t="str">
        <f>VLOOKUP(tblSalaries[[#This Row],[Where do you work]],tblCountries[[Actual]:[Mapping]],2,FALSE)</f>
        <v>Canada</v>
      </c>
      <c r="L443" t="s">
        <v>18</v>
      </c>
    </row>
    <row r="444" spans="2:12" ht="15" customHeight="1">
      <c r="B444" t="s">
        <v>2447</v>
      </c>
      <c r="C444" s="1">
        <v>41055.117638888885</v>
      </c>
      <c r="D444" s="4">
        <v>51000</v>
      </c>
      <c r="E444">
        <v>51000</v>
      </c>
      <c r="F444" t="s">
        <v>6</v>
      </c>
      <c r="G444">
        <f>tblSalaries[[#This Row],[clean Salary (in local currency)]]*VLOOKUP(tblSalaries[[#This Row],[Currency]],tblXrate[],2,FALSE)</f>
        <v>51000</v>
      </c>
      <c r="H444" t="s">
        <v>542</v>
      </c>
      <c r="I444" t="s">
        <v>52</v>
      </c>
      <c r="J444" t="s">
        <v>15</v>
      </c>
      <c r="K444" t="str">
        <f>VLOOKUP(tblSalaries[[#This Row],[Where do you work]],tblCountries[[Actual]:[Mapping]],2,FALSE)</f>
        <v>USA</v>
      </c>
      <c r="L444" t="s">
        <v>18</v>
      </c>
    </row>
    <row r="445" spans="2:12" ht="15" customHeight="1">
      <c r="B445" t="s">
        <v>2448</v>
      </c>
      <c r="C445" s="1">
        <v>41055.11824074074</v>
      </c>
      <c r="D445" s="4" t="s">
        <v>543</v>
      </c>
      <c r="E445">
        <v>5000</v>
      </c>
      <c r="F445" t="s">
        <v>6</v>
      </c>
      <c r="G445">
        <f>tblSalaries[[#This Row],[clean Salary (in local currency)]]*VLOOKUP(tblSalaries[[#This Row],[Currency]],tblXrate[],2,FALSE)</f>
        <v>5000</v>
      </c>
      <c r="H445" t="s">
        <v>544</v>
      </c>
      <c r="I445" t="s">
        <v>3999</v>
      </c>
      <c r="J445" t="s">
        <v>8</v>
      </c>
      <c r="K445" t="str">
        <f>VLOOKUP(tblSalaries[[#This Row],[Where do you work]],tblCountries[[Actual]:[Mapping]],2,FALSE)</f>
        <v>India</v>
      </c>
      <c r="L445" t="s">
        <v>9</v>
      </c>
    </row>
    <row r="446" spans="2:12" ht="15" customHeight="1">
      <c r="B446" t="s">
        <v>2449</v>
      </c>
      <c r="C446" s="1">
        <v>41055.120474537034</v>
      </c>
      <c r="D446" s="4">
        <v>74000</v>
      </c>
      <c r="E446">
        <v>74000</v>
      </c>
      <c r="F446" t="s">
        <v>6</v>
      </c>
      <c r="G446">
        <f>tblSalaries[[#This Row],[clean Salary (in local currency)]]*VLOOKUP(tblSalaries[[#This Row],[Currency]],tblXrate[],2,FALSE)</f>
        <v>74000</v>
      </c>
      <c r="H446" t="s">
        <v>279</v>
      </c>
      <c r="I446" t="s">
        <v>279</v>
      </c>
      <c r="J446" t="s">
        <v>15</v>
      </c>
      <c r="K446" t="str">
        <f>VLOOKUP(tblSalaries[[#This Row],[Where do you work]],tblCountries[[Actual]:[Mapping]],2,FALSE)</f>
        <v>USA</v>
      </c>
      <c r="L446" t="s">
        <v>9</v>
      </c>
    </row>
    <row r="447" spans="2:12" ht="15" customHeight="1">
      <c r="B447" t="s">
        <v>2450</v>
      </c>
      <c r="C447" s="1">
        <v>41055.120694444442</v>
      </c>
      <c r="D447" s="4" t="s">
        <v>330</v>
      </c>
      <c r="E447">
        <v>60000</v>
      </c>
      <c r="F447" t="s">
        <v>69</v>
      </c>
      <c r="G447">
        <f>tblSalaries[[#This Row],[clean Salary (in local currency)]]*VLOOKUP(tblSalaries[[#This Row],[Currency]],tblXrate[],2,FALSE)</f>
        <v>94570.696324037053</v>
      </c>
      <c r="H447" t="s">
        <v>325</v>
      </c>
      <c r="I447" t="s">
        <v>356</v>
      </c>
      <c r="J447" t="s">
        <v>71</v>
      </c>
      <c r="K447" t="str">
        <f>VLOOKUP(tblSalaries[[#This Row],[Where do you work]],tblCountries[[Actual]:[Mapping]],2,FALSE)</f>
        <v>UK</v>
      </c>
      <c r="L447" t="s">
        <v>9</v>
      </c>
    </row>
    <row r="448" spans="2:12" ht="15" customHeight="1">
      <c r="B448" t="s">
        <v>2451</v>
      </c>
      <c r="C448" s="1">
        <v>41055.121840277781</v>
      </c>
      <c r="D448" s="4">
        <v>50000</v>
      </c>
      <c r="E448">
        <v>50000</v>
      </c>
      <c r="F448" t="s">
        <v>6</v>
      </c>
      <c r="G448">
        <f>tblSalaries[[#This Row],[clean Salary (in local currency)]]*VLOOKUP(tblSalaries[[#This Row],[Currency]],tblXrate[],2,FALSE)</f>
        <v>50000</v>
      </c>
      <c r="H448" t="s">
        <v>545</v>
      </c>
      <c r="I448" t="s">
        <v>20</v>
      </c>
      <c r="J448" t="s">
        <v>15</v>
      </c>
      <c r="K448" t="str">
        <f>VLOOKUP(tblSalaries[[#This Row],[Where do you work]],tblCountries[[Actual]:[Mapping]],2,FALSE)</f>
        <v>USA</v>
      </c>
      <c r="L448" t="s">
        <v>9</v>
      </c>
    </row>
    <row r="449" spans="2:12" ht="15" customHeight="1">
      <c r="B449" t="s">
        <v>2452</v>
      </c>
      <c r="C449" s="1">
        <v>41055.121863425928</v>
      </c>
      <c r="D449" s="4" t="s">
        <v>546</v>
      </c>
      <c r="E449">
        <v>500000</v>
      </c>
      <c r="F449" t="s">
        <v>40</v>
      </c>
      <c r="G449">
        <f>tblSalaries[[#This Row],[clean Salary (in local currency)]]*VLOOKUP(tblSalaries[[#This Row],[Currency]],tblXrate[],2,FALSE)</f>
        <v>8903.9583437212841</v>
      </c>
      <c r="H449" t="s">
        <v>207</v>
      </c>
      <c r="I449" t="s">
        <v>20</v>
      </c>
      <c r="J449" t="s">
        <v>8</v>
      </c>
      <c r="K449" t="str">
        <f>VLOOKUP(tblSalaries[[#This Row],[Where do you work]],tblCountries[[Actual]:[Mapping]],2,FALSE)</f>
        <v>India</v>
      </c>
      <c r="L449" t="s">
        <v>9</v>
      </c>
    </row>
    <row r="450" spans="2:12" ht="15" customHeight="1">
      <c r="B450" t="s">
        <v>2453</v>
      </c>
      <c r="C450" s="1">
        <v>41055.123287037037</v>
      </c>
      <c r="D450" s="4">
        <v>78000</v>
      </c>
      <c r="E450">
        <v>78000</v>
      </c>
      <c r="F450" t="s">
        <v>6</v>
      </c>
      <c r="G450">
        <f>tblSalaries[[#This Row],[clean Salary (in local currency)]]*VLOOKUP(tblSalaries[[#This Row],[Currency]],tblXrate[],2,FALSE)</f>
        <v>78000</v>
      </c>
      <c r="H450" t="s">
        <v>547</v>
      </c>
      <c r="I450" t="s">
        <v>52</v>
      </c>
      <c r="J450" t="s">
        <v>548</v>
      </c>
      <c r="K450" t="str">
        <f>VLOOKUP(tblSalaries[[#This Row],[Where do you work]],tblCountries[[Actual]:[Mapping]],2,FALSE)</f>
        <v>Somalia</v>
      </c>
      <c r="L450" t="s">
        <v>9</v>
      </c>
    </row>
    <row r="451" spans="2:12" ht="15" customHeight="1">
      <c r="B451" t="s">
        <v>2454</v>
      </c>
      <c r="C451" s="1">
        <v>41055.123460648145</v>
      </c>
      <c r="D451" s="4">
        <v>900000</v>
      </c>
      <c r="E451">
        <v>900000</v>
      </c>
      <c r="F451" t="s">
        <v>40</v>
      </c>
      <c r="G451">
        <f>tblSalaries[[#This Row],[clean Salary (in local currency)]]*VLOOKUP(tblSalaries[[#This Row],[Currency]],tblXrate[],2,FALSE)</f>
        <v>16027.125018698311</v>
      </c>
      <c r="H451" t="s">
        <v>549</v>
      </c>
      <c r="I451" t="s">
        <v>52</v>
      </c>
      <c r="J451" t="s">
        <v>8</v>
      </c>
      <c r="K451" t="str">
        <f>VLOOKUP(tblSalaries[[#This Row],[Where do you work]],tblCountries[[Actual]:[Mapping]],2,FALSE)</f>
        <v>India</v>
      </c>
      <c r="L451" t="s">
        <v>25</v>
      </c>
    </row>
    <row r="452" spans="2:12" ht="15" customHeight="1">
      <c r="B452" t="s">
        <v>2455</v>
      </c>
      <c r="C452" s="1">
        <v>41055.12605324074</v>
      </c>
      <c r="D452" s="4" t="s">
        <v>550</v>
      </c>
      <c r="E452">
        <v>7500</v>
      </c>
      <c r="F452" t="s">
        <v>6</v>
      </c>
      <c r="G452">
        <f>tblSalaries[[#This Row],[clean Salary (in local currency)]]*VLOOKUP(tblSalaries[[#This Row],[Currency]],tblXrate[],2,FALSE)</f>
        <v>7500</v>
      </c>
      <c r="H452" t="s">
        <v>551</v>
      </c>
      <c r="I452" t="s">
        <v>20</v>
      </c>
      <c r="J452" t="s">
        <v>73</v>
      </c>
      <c r="K452" t="str">
        <f>VLOOKUP(tblSalaries[[#This Row],[Where do you work]],tblCountries[[Actual]:[Mapping]],2,FALSE)</f>
        <v>Romania</v>
      </c>
      <c r="L452" t="s">
        <v>13</v>
      </c>
    </row>
    <row r="453" spans="2:12" ht="15" customHeight="1">
      <c r="B453" t="s">
        <v>2456</v>
      </c>
      <c r="C453" s="1">
        <v>41055.126180555555</v>
      </c>
      <c r="D453" s="4">
        <v>60000</v>
      </c>
      <c r="E453">
        <v>60000</v>
      </c>
      <c r="F453" t="s">
        <v>6</v>
      </c>
      <c r="G453">
        <f>tblSalaries[[#This Row],[clean Salary (in local currency)]]*VLOOKUP(tblSalaries[[#This Row],[Currency]],tblXrate[],2,FALSE)</f>
        <v>60000</v>
      </c>
      <c r="H453" t="s">
        <v>552</v>
      </c>
      <c r="I453" t="s">
        <v>20</v>
      </c>
      <c r="J453" t="s">
        <v>15</v>
      </c>
      <c r="K453" t="str">
        <f>VLOOKUP(tblSalaries[[#This Row],[Where do you work]],tblCountries[[Actual]:[Mapping]],2,FALSE)</f>
        <v>USA</v>
      </c>
      <c r="L453" t="s">
        <v>13</v>
      </c>
    </row>
    <row r="454" spans="2:12" ht="15" customHeight="1">
      <c r="B454" t="s">
        <v>2457</v>
      </c>
      <c r="C454" s="1">
        <v>41055.126875000002</v>
      </c>
      <c r="D454" s="4" t="s">
        <v>553</v>
      </c>
      <c r="E454">
        <v>800000</v>
      </c>
      <c r="F454" t="s">
        <v>40</v>
      </c>
      <c r="G454">
        <f>tblSalaries[[#This Row],[clean Salary (in local currency)]]*VLOOKUP(tblSalaries[[#This Row],[Currency]],tblXrate[],2,FALSE)</f>
        <v>14246.333349954055</v>
      </c>
      <c r="H454" t="s">
        <v>554</v>
      </c>
      <c r="I454" t="s">
        <v>4001</v>
      </c>
      <c r="J454" t="s">
        <v>8</v>
      </c>
      <c r="K454" t="str">
        <f>VLOOKUP(tblSalaries[[#This Row],[Where do you work]],tblCountries[[Actual]:[Mapping]],2,FALSE)</f>
        <v>India</v>
      </c>
      <c r="L454" t="s">
        <v>13</v>
      </c>
    </row>
    <row r="455" spans="2:12" ht="15" customHeight="1">
      <c r="B455" t="s">
        <v>2458</v>
      </c>
      <c r="C455" s="1">
        <v>41055.127187500002</v>
      </c>
      <c r="D455" s="4">
        <v>80000</v>
      </c>
      <c r="E455">
        <v>80000</v>
      </c>
      <c r="F455" t="s">
        <v>6</v>
      </c>
      <c r="G455">
        <f>tblSalaries[[#This Row],[clean Salary (in local currency)]]*VLOOKUP(tblSalaries[[#This Row],[Currency]],tblXrate[],2,FALSE)</f>
        <v>80000</v>
      </c>
      <c r="H455" t="s">
        <v>555</v>
      </c>
      <c r="I455" t="s">
        <v>52</v>
      </c>
      <c r="J455" t="s">
        <v>15</v>
      </c>
      <c r="K455" t="str">
        <f>VLOOKUP(tblSalaries[[#This Row],[Where do you work]],tblCountries[[Actual]:[Mapping]],2,FALSE)</f>
        <v>USA</v>
      </c>
      <c r="L455" t="s">
        <v>25</v>
      </c>
    </row>
    <row r="456" spans="2:12" ht="15" customHeight="1">
      <c r="B456" t="s">
        <v>2459</v>
      </c>
      <c r="C456" s="1">
        <v>41055.127418981479</v>
      </c>
      <c r="D456" s="4" t="s">
        <v>556</v>
      </c>
      <c r="E456">
        <v>38000</v>
      </c>
      <c r="F456" t="s">
        <v>69</v>
      </c>
      <c r="G456">
        <f>tblSalaries[[#This Row],[clean Salary (in local currency)]]*VLOOKUP(tblSalaries[[#This Row],[Currency]],tblXrate[],2,FALSE)</f>
        <v>59894.774338556796</v>
      </c>
      <c r="H456" t="s">
        <v>557</v>
      </c>
      <c r="I456" t="s">
        <v>310</v>
      </c>
      <c r="J456" t="s">
        <v>71</v>
      </c>
      <c r="K456" t="str">
        <f>VLOOKUP(tblSalaries[[#This Row],[Where do you work]],tblCountries[[Actual]:[Mapping]],2,FALSE)</f>
        <v>UK</v>
      </c>
      <c r="L456" t="s">
        <v>9</v>
      </c>
    </row>
    <row r="457" spans="2:12" ht="15" customHeight="1">
      <c r="B457" t="s">
        <v>2460</v>
      </c>
      <c r="C457" s="1">
        <v>41055.127847222226</v>
      </c>
      <c r="D457" s="4" t="s">
        <v>558</v>
      </c>
      <c r="E457">
        <v>52000</v>
      </c>
      <c r="F457" t="s">
        <v>86</v>
      </c>
      <c r="G457">
        <f>tblSalaries[[#This Row],[clean Salary (in local currency)]]*VLOOKUP(tblSalaries[[#This Row],[Currency]],tblXrate[],2,FALSE)</f>
        <v>51134.799197576998</v>
      </c>
      <c r="H457" t="s">
        <v>559</v>
      </c>
      <c r="I457" t="s">
        <v>52</v>
      </c>
      <c r="J457" t="s">
        <v>88</v>
      </c>
      <c r="K457" t="str">
        <f>VLOOKUP(tblSalaries[[#This Row],[Where do you work]],tblCountries[[Actual]:[Mapping]],2,FALSE)</f>
        <v>Canada</v>
      </c>
      <c r="L457" t="s">
        <v>9</v>
      </c>
    </row>
    <row r="458" spans="2:12" ht="15" customHeight="1">
      <c r="B458" t="s">
        <v>2461</v>
      </c>
      <c r="C458" s="1">
        <v>41055.129351851851</v>
      </c>
      <c r="D458" s="4">
        <v>125000</v>
      </c>
      <c r="E458">
        <v>125000</v>
      </c>
      <c r="F458" t="s">
        <v>6</v>
      </c>
      <c r="G458">
        <f>tblSalaries[[#This Row],[clean Salary (in local currency)]]*VLOOKUP(tblSalaries[[#This Row],[Currency]],tblXrate[],2,FALSE)</f>
        <v>125000</v>
      </c>
      <c r="H458" t="s">
        <v>560</v>
      </c>
      <c r="I458" t="s">
        <v>52</v>
      </c>
      <c r="J458" t="s">
        <v>15</v>
      </c>
      <c r="K458" t="str">
        <f>VLOOKUP(tblSalaries[[#This Row],[Where do you work]],tblCountries[[Actual]:[Mapping]],2,FALSE)</f>
        <v>USA</v>
      </c>
      <c r="L458" t="s">
        <v>18</v>
      </c>
    </row>
    <row r="459" spans="2:12" ht="15" customHeight="1">
      <c r="B459" t="s">
        <v>2462</v>
      </c>
      <c r="C459" s="1">
        <v>41055.129594907405</v>
      </c>
      <c r="D459" s="4">
        <v>52000</v>
      </c>
      <c r="E459">
        <v>52000</v>
      </c>
      <c r="F459" t="s">
        <v>6</v>
      </c>
      <c r="G459">
        <f>tblSalaries[[#This Row],[clean Salary (in local currency)]]*VLOOKUP(tblSalaries[[#This Row],[Currency]],tblXrate[],2,FALSE)</f>
        <v>52000</v>
      </c>
      <c r="H459" t="s">
        <v>561</v>
      </c>
      <c r="I459" t="s">
        <v>20</v>
      </c>
      <c r="J459" t="s">
        <v>15</v>
      </c>
      <c r="K459" t="str">
        <f>VLOOKUP(tblSalaries[[#This Row],[Where do you work]],tblCountries[[Actual]:[Mapping]],2,FALSE)</f>
        <v>USA</v>
      </c>
      <c r="L459" t="s">
        <v>18</v>
      </c>
    </row>
    <row r="460" spans="2:12" ht="15" customHeight="1">
      <c r="B460" t="s">
        <v>2463</v>
      </c>
      <c r="C460" s="1">
        <v>41055.130393518521</v>
      </c>
      <c r="D460" s="4">
        <v>45000</v>
      </c>
      <c r="E460">
        <v>45000</v>
      </c>
      <c r="F460" t="s">
        <v>6</v>
      </c>
      <c r="G460">
        <f>tblSalaries[[#This Row],[clean Salary (in local currency)]]*VLOOKUP(tblSalaries[[#This Row],[Currency]],tblXrate[],2,FALSE)</f>
        <v>45000</v>
      </c>
      <c r="H460" t="s">
        <v>20</v>
      </c>
      <c r="I460" t="s">
        <v>20</v>
      </c>
      <c r="J460" t="s">
        <v>15</v>
      </c>
      <c r="K460" t="str">
        <f>VLOOKUP(tblSalaries[[#This Row],[Where do you work]],tblCountries[[Actual]:[Mapping]],2,FALSE)</f>
        <v>USA</v>
      </c>
      <c r="L460" t="s">
        <v>9</v>
      </c>
    </row>
    <row r="461" spans="2:12" ht="15" customHeight="1">
      <c r="B461" t="s">
        <v>2464</v>
      </c>
      <c r="C461" s="1">
        <v>41055.130879629629</v>
      </c>
      <c r="D461" s="4">
        <v>25000</v>
      </c>
      <c r="E461">
        <v>25000</v>
      </c>
      <c r="F461" t="s">
        <v>69</v>
      </c>
      <c r="G461">
        <f>tblSalaries[[#This Row],[clean Salary (in local currency)]]*VLOOKUP(tblSalaries[[#This Row],[Currency]],tblXrate[],2,FALSE)</f>
        <v>39404.456801682099</v>
      </c>
      <c r="H461" t="s">
        <v>20</v>
      </c>
      <c r="I461" t="s">
        <v>20</v>
      </c>
      <c r="J461" t="s">
        <v>71</v>
      </c>
      <c r="K461" t="str">
        <f>VLOOKUP(tblSalaries[[#This Row],[Where do you work]],tblCountries[[Actual]:[Mapping]],2,FALSE)</f>
        <v>UK</v>
      </c>
      <c r="L461" t="s">
        <v>9</v>
      </c>
    </row>
    <row r="462" spans="2:12" ht="15" customHeight="1">
      <c r="B462" t="s">
        <v>2465</v>
      </c>
      <c r="C462" s="1">
        <v>41055.131747685184</v>
      </c>
      <c r="D462" s="4">
        <v>60000</v>
      </c>
      <c r="E462">
        <v>60000</v>
      </c>
      <c r="F462" t="s">
        <v>6</v>
      </c>
      <c r="G462">
        <f>tblSalaries[[#This Row],[clean Salary (in local currency)]]*VLOOKUP(tblSalaries[[#This Row],[Currency]],tblXrate[],2,FALSE)</f>
        <v>60000</v>
      </c>
      <c r="H462" t="s">
        <v>562</v>
      </c>
      <c r="I462" t="s">
        <v>52</v>
      </c>
      <c r="J462" t="s">
        <v>15</v>
      </c>
      <c r="K462" t="str">
        <f>VLOOKUP(tblSalaries[[#This Row],[Where do you work]],tblCountries[[Actual]:[Mapping]],2,FALSE)</f>
        <v>USA</v>
      </c>
      <c r="L462" t="s">
        <v>13</v>
      </c>
    </row>
    <row r="463" spans="2:12" ht="15" customHeight="1">
      <c r="B463" t="s">
        <v>2466</v>
      </c>
      <c r="C463" s="1">
        <v>41055.13181712963</v>
      </c>
      <c r="D463" s="4" t="s">
        <v>563</v>
      </c>
      <c r="E463">
        <v>70000</v>
      </c>
      <c r="F463" t="s">
        <v>86</v>
      </c>
      <c r="G463">
        <f>tblSalaries[[#This Row],[clean Salary (in local currency)]]*VLOOKUP(tblSalaries[[#This Row],[Currency]],tblXrate[],2,FALSE)</f>
        <v>68835.306612122877</v>
      </c>
      <c r="H463" t="s">
        <v>564</v>
      </c>
      <c r="I463" t="s">
        <v>52</v>
      </c>
      <c r="J463" t="s">
        <v>88</v>
      </c>
      <c r="K463" t="str">
        <f>VLOOKUP(tblSalaries[[#This Row],[Where do you work]],tblCountries[[Actual]:[Mapping]],2,FALSE)</f>
        <v>Canada</v>
      </c>
      <c r="L463" t="s">
        <v>25</v>
      </c>
    </row>
    <row r="464" spans="2:12" ht="15" customHeight="1">
      <c r="B464" t="s">
        <v>2467</v>
      </c>
      <c r="C464" s="1">
        <v>41055.132881944446</v>
      </c>
      <c r="D464" s="4" t="s">
        <v>565</v>
      </c>
      <c r="E464">
        <v>5250</v>
      </c>
      <c r="F464" t="s">
        <v>6</v>
      </c>
      <c r="G464">
        <f>tblSalaries[[#This Row],[clean Salary (in local currency)]]*VLOOKUP(tblSalaries[[#This Row],[Currency]],tblXrate[],2,FALSE)</f>
        <v>5250</v>
      </c>
      <c r="H464" t="s">
        <v>566</v>
      </c>
      <c r="I464" t="s">
        <v>67</v>
      </c>
      <c r="J464" t="s">
        <v>567</v>
      </c>
      <c r="K464" t="str">
        <f>VLOOKUP(tblSalaries[[#This Row],[Where do you work]],tblCountries[[Actual]:[Mapping]],2,FALSE)</f>
        <v>Republic of Georgia</v>
      </c>
      <c r="L464" t="s">
        <v>9</v>
      </c>
    </row>
    <row r="465" spans="2:12" ht="15" customHeight="1">
      <c r="B465" t="s">
        <v>2468</v>
      </c>
      <c r="C465" s="1">
        <v>41055.133148148147</v>
      </c>
      <c r="D465" s="4">
        <v>87000</v>
      </c>
      <c r="E465">
        <v>87000</v>
      </c>
      <c r="F465" t="s">
        <v>86</v>
      </c>
      <c r="G465">
        <f>tblSalaries[[#This Row],[clean Salary (in local currency)]]*VLOOKUP(tblSalaries[[#This Row],[Currency]],tblXrate[],2,FALSE)</f>
        <v>85552.452503638444</v>
      </c>
      <c r="H465" t="s">
        <v>568</v>
      </c>
      <c r="I465" t="s">
        <v>52</v>
      </c>
      <c r="J465" t="s">
        <v>88</v>
      </c>
      <c r="K465" t="str">
        <f>VLOOKUP(tblSalaries[[#This Row],[Where do you work]],tblCountries[[Actual]:[Mapping]],2,FALSE)</f>
        <v>Canada</v>
      </c>
      <c r="L465" t="s">
        <v>9</v>
      </c>
    </row>
    <row r="466" spans="2:12" ht="15" customHeight="1">
      <c r="B466" t="s">
        <v>2469</v>
      </c>
      <c r="C466" s="1">
        <v>41055.13417824074</v>
      </c>
      <c r="D466" s="4">
        <v>125000</v>
      </c>
      <c r="E466">
        <v>125000</v>
      </c>
      <c r="F466" t="s">
        <v>40</v>
      </c>
      <c r="G466">
        <f>tblSalaries[[#This Row],[clean Salary (in local currency)]]*VLOOKUP(tblSalaries[[#This Row],[Currency]],tblXrate[],2,FALSE)</f>
        <v>2225.989585930321</v>
      </c>
      <c r="H466" t="s">
        <v>569</v>
      </c>
      <c r="I466" t="s">
        <v>20</v>
      </c>
      <c r="J466" t="s">
        <v>8</v>
      </c>
      <c r="K466" t="str">
        <f>VLOOKUP(tblSalaries[[#This Row],[Where do you work]],tblCountries[[Actual]:[Mapping]],2,FALSE)</f>
        <v>India</v>
      </c>
      <c r="L466" t="s">
        <v>9</v>
      </c>
    </row>
    <row r="467" spans="2:12" ht="15" customHeight="1">
      <c r="B467" t="s">
        <v>2470</v>
      </c>
      <c r="C467" s="1">
        <v>41055.135231481479</v>
      </c>
      <c r="D467" s="4">
        <v>150000</v>
      </c>
      <c r="E467">
        <v>150000</v>
      </c>
      <c r="F467" t="s">
        <v>6</v>
      </c>
      <c r="G467">
        <f>tblSalaries[[#This Row],[clean Salary (in local currency)]]*VLOOKUP(tblSalaries[[#This Row],[Currency]],tblXrate[],2,FALSE)</f>
        <v>150000</v>
      </c>
      <c r="H467" t="s">
        <v>29</v>
      </c>
      <c r="I467" t="s">
        <v>4001</v>
      </c>
      <c r="J467" t="s">
        <v>15</v>
      </c>
      <c r="K467" t="str">
        <f>VLOOKUP(tblSalaries[[#This Row],[Where do you work]],tblCountries[[Actual]:[Mapping]],2,FALSE)</f>
        <v>USA</v>
      </c>
      <c r="L467" t="s">
        <v>18</v>
      </c>
    </row>
    <row r="468" spans="2:12" ht="15" customHeight="1">
      <c r="B468" t="s">
        <v>2471</v>
      </c>
      <c r="C468" s="1">
        <v>41055.135428240741</v>
      </c>
      <c r="D468" s="4">
        <v>50000</v>
      </c>
      <c r="E468">
        <v>50000</v>
      </c>
      <c r="F468" t="s">
        <v>6</v>
      </c>
      <c r="G468">
        <f>tblSalaries[[#This Row],[clean Salary (in local currency)]]*VLOOKUP(tblSalaries[[#This Row],[Currency]],tblXrate[],2,FALSE)</f>
        <v>50000</v>
      </c>
      <c r="H468" t="s">
        <v>570</v>
      </c>
      <c r="I468" t="s">
        <v>20</v>
      </c>
      <c r="J468" t="s">
        <v>15</v>
      </c>
      <c r="K468" t="str">
        <f>VLOOKUP(tblSalaries[[#This Row],[Where do you work]],tblCountries[[Actual]:[Mapping]],2,FALSE)</f>
        <v>USA</v>
      </c>
      <c r="L468" t="s">
        <v>9</v>
      </c>
    </row>
    <row r="469" spans="2:12" ht="15" customHeight="1">
      <c r="B469" t="s">
        <v>2472</v>
      </c>
      <c r="C469" s="1">
        <v>41055.135462962964</v>
      </c>
      <c r="D469" s="4">
        <v>70000</v>
      </c>
      <c r="E469">
        <v>70000</v>
      </c>
      <c r="F469" t="s">
        <v>6</v>
      </c>
      <c r="G469">
        <f>tblSalaries[[#This Row],[clean Salary (in local currency)]]*VLOOKUP(tblSalaries[[#This Row],[Currency]],tblXrate[],2,FALSE)</f>
        <v>70000</v>
      </c>
      <c r="H469" t="s">
        <v>20</v>
      </c>
      <c r="I469" t="s">
        <v>20</v>
      </c>
      <c r="J469" t="s">
        <v>15</v>
      </c>
      <c r="K469" t="str">
        <f>VLOOKUP(tblSalaries[[#This Row],[Where do you work]],tblCountries[[Actual]:[Mapping]],2,FALSE)</f>
        <v>USA</v>
      </c>
      <c r="L469" t="s">
        <v>9</v>
      </c>
    </row>
    <row r="470" spans="2:12" ht="15" customHeight="1">
      <c r="B470" t="s">
        <v>2473</v>
      </c>
      <c r="C470" s="1">
        <v>41055.135763888888</v>
      </c>
      <c r="D470" s="4" t="s">
        <v>571</v>
      </c>
      <c r="E470">
        <v>28500</v>
      </c>
      <c r="F470" t="s">
        <v>69</v>
      </c>
      <c r="G470">
        <f>tblSalaries[[#This Row],[clean Salary (in local currency)]]*VLOOKUP(tblSalaries[[#This Row],[Currency]],tblXrate[],2,FALSE)</f>
        <v>44921.080753917595</v>
      </c>
      <c r="H470" t="s">
        <v>572</v>
      </c>
      <c r="I470" t="s">
        <v>52</v>
      </c>
      <c r="J470" t="s">
        <v>71</v>
      </c>
      <c r="K470" t="str">
        <f>VLOOKUP(tblSalaries[[#This Row],[Where do you work]],tblCountries[[Actual]:[Mapping]],2,FALSE)</f>
        <v>UK</v>
      </c>
      <c r="L470" t="s">
        <v>18</v>
      </c>
    </row>
    <row r="471" spans="2:12" ht="15" customHeight="1">
      <c r="B471" t="s">
        <v>2474</v>
      </c>
      <c r="C471" s="1">
        <v>41055.135995370372</v>
      </c>
      <c r="D471" s="4">
        <v>20000</v>
      </c>
      <c r="E471">
        <v>20000</v>
      </c>
      <c r="F471" t="s">
        <v>6</v>
      </c>
      <c r="G471">
        <f>tblSalaries[[#This Row],[clean Salary (in local currency)]]*VLOOKUP(tblSalaries[[#This Row],[Currency]],tblXrate[],2,FALSE)</f>
        <v>20000</v>
      </c>
      <c r="H471" t="s">
        <v>67</v>
      </c>
      <c r="I471" t="s">
        <v>67</v>
      </c>
      <c r="J471" t="s">
        <v>8</v>
      </c>
      <c r="K471" t="str">
        <f>VLOOKUP(tblSalaries[[#This Row],[Where do you work]],tblCountries[[Actual]:[Mapping]],2,FALSE)</f>
        <v>India</v>
      </c>
      <c r="L471" t="s">
        <v>9</v>
      </c>
    </row>
    <row r="472" spans="2:12" ht="15" customHeight="1">
      <c r="B472" t="s">
        <v>2475</v>
      </c>
      <c r="C472" s="1">
        <v>41055.136782407404</v>
      </c>
      <c r="D472" s="4">
        <v>12000</v>
      </c>
      <c r="E472">
        <v>12000</v>
      </c>
      <c r="F472" t="s">
        <v>6</v>
      </c>
      <c r="G472">
        <f>tblSalaries[[#This Row],[clean Salary (in local currency)]]*VLOOKUP(tblSalaries[[#This Row],[Currency]],tblXrate[],2,FALSE)</f>
        <v>12000</v>
      </c>
      <c r="H472" t="s">
        <v>573</v>
      </c>
      <c r="I472" t="s">
        <v>20</v>
      </c>
      <c r="J472" t="s">
        <v>574</v>
      </c>
      <c r="K472" t="str">
        <f>VLOOKUP(tblSalaries[[#This Row],[Where do you work]],tblCountries[[Actual]:[Mapping]],2,FALSE)</f>
        <v>Estonia</v>
      </c>
      <c r="L472" t="s">
        <v>13</v>
      </c>
    </row>
    <row r="473" spans="2:12" ht="15" customHeight="1">
      <c r="B473" t="s">
        <v>2476</v>
      </c>
      <c r="C473" s="1">
        <v>41055.137025462966</v>
      </c>
      <c r="D473" s="4">
        <v>1250000</v>
      </c>
      <c r="E473">
        <v>1250000</v>
      </c>
      <c r="F473" t="s">
        <v>86</v>
      </c>
      <c r="G473">
        <f>tblSalaries[[#This Row],[clean Salary (in local currency)]]*VLOOKUP(tblSalaries[[#This Row],[Currency]],tblXrate[],2,FALSE)</f>
        <v>1229201.9037879086</v>
      </c>
      <c r="H473" t="s">
        <v>575</v>
      </c>
      <c r="I473" t="s">
        <v>310</v>
      </c>
      <c r="J473" t="s">
        <v>88</v>
      </c>
      <c r="K473" t="str">
        <f>VLOOKUP(tblSalaries[[#This Row],[Where do you work]],tblCountries[[Actual]:[Mapping]],2,FALSE)</f>
        <v>Canada</v>
      </c>
      <c r="L473" t="s">
        <v>9</v>
      </c>
    </row>
    <row r="474" spans="2:12" ht="15" customHeight="1">
      <c r="B474" t="s">
        <v>2477</v>
      </c>
      <c r="C474" s="1">
        <v>41055.138194444444</v>
      </c>
      <c r="D474" s="4">
        <v>30000</v>
      </c>
      <c r="E474">
        <v>30000</v>
      </c>
      <c r="F474" t="s">
        <v>6</v>
      </c>
      <c r="G474">
        <f>tblSalaries[[#This Row],[clean Salary (in local currency)]]*VLOOKUP(tblSalaries[[#This Row],[Currency]],tblXrate[],2,FALSE)</f>
        <v>30000</v>
      </c>
      <c r="H474" t="s">
        <v>576</v>
      </c>
      <c r="I474" t="s">
        <v>20</v>
      </c>
      <c r="J474" t="s">
        <v>15</v>
      </c>
      <c r="K474" t="str">
        <f>VLOOKUP(tblSalaries[[#This Row],[Where do you work]],tblCountries[[Actual]:[Mapping]],2,FALSE)</f>
        <v>USA</v>
      </c>
      <c r="L474" t="s">
        <v>186</v>
      </c>
    </row>
    <row r="475" spans="2:12" ht="15" customHeight="1">
      <c r="B475" t="s">
        <v>2478</v>
      </c>
      <c r="C475" s="1">
        <v>41055.139884259261</v>
      </c>
      <c r="D475" s="4">
        <v>2000</v>
      </c>
      <c r="E475">
        <v>24000</v>
      </c>
      <c r="F475" t="s">
        <v>6</v>
      </c>
      <c r="G475">
        <f>tblSalaries[[#This Row],[clean Salary (in local currency)]]*VLOOKUP(tblSalaries[[#This Row],[Currency]],tblXrate[],2,FALSE)</f>
        <v>24000</v>
      </c>
      <c r="H475" t="s">
        <v>522</v>
      </c>
      <c r="I475" t="s">
        <v>279</v>
      </c>
      <c r="J475" t="s">
        <v>577</v>
      </c>
      <c r="K475" t="str">
        <f>VLOOKUP(tblSalaries[[#This Row],[Where do you work]],tblCountries[[Actual]:[Mapping]],2,FALSE)</f>
        <v>Mozambique</v>
      </c>
      <c r="L475" t="s">
        <v>18</v>
      </c>
    </row>
    <row r="476" spans="2:12" ht="15" customHeight="1">
      <c r="B476" t="s">
        <v>2479</v>
      </c>
      <c r="C476" s="1">
        <v>41055.140219907407</v>
      </c>
      <c r="D476" s="4">
        <v>92000</v>
      </c>
      <c r="E476">
        <v>92000</v>
      </c>
      <c r="F476" t="s">
        <v>6</v>
      </c>
      <c r="G476">
        <f>tblSalaries[[#This Row],[clean Salary (in local currency)]]*VLOOKUP(tblSalaries[[#This Row],[Currency]],tblXrate[],2,FALSE)</f>
        <v>92000</v>
      </c>
      <c r="H476" t="s">
        <v>578</v>
      </c>
      <c r="I476" t="s">
        <v>279</v>
      </c>
      <c r="J476" t="s">
        <v>15</v>
      </c>
      <c r="K476" t="str">
        <f>VLOOKUP(tblSalaries[[#This Row],[Where do you work]],tblCountries[[Actual]:[Mapping]],2,FALSE)</f>
        <v>USA</v>
      </c>
      <c r="L476" t="s">
        <v>25</v>
      </c>
    </row>
    <row r="477" spans="2:12" ht="15" customHeight="1">
      <c r="B477" t="s">
        <v>2480</v>
      </c>
      <c r="C477" s="1">
        <v>41055.140659722223</v>
      </c>
      <c r="D477" s="4">
        <v>52000</v>
      </c>
      <c r="E477">
        <v>52000</v>
      </c>
      <c r="F477" t="s">
        <v>6</v>
      </c>
      <c r="G477">
        <f>tblSalaries[[#This Row],[clean Salary (in local currency)]]*VLOOKUP(tblSalaries[[#This Row],[Currency]],tblXrate[],2,FALSE)</f>
        <v>52000</v>
      </c>
      <c r="H477" t="s">
        <v>579</v>
      </c>
      <c r="I477" t="s">
        <v>20</v>
      </c>
      <c r="J477" t="s">
        <v>15</v>
      </c>
      <c r="K477" t="str">
        <f>VLOOKUP(tblSalaries[[#This Row],[Where do you work]],tblCountries[[Actual]:[Mapping]],2,FALSE)</f>
        <v>USA</v>
      </c>
      <c r="L477" t="s">
        <v>9</v>
      </c>
    </row>
    <row r="478" spans="2:12" ht="15" customHeight="1">
      <c r="B478" t="s">
        <v>2481</v>
      </c>
      <c r="C478" s="1">
        <v>41055.141562500001</v>
      </c>
      <c r="D478" s="4" t="s">
        <v>580</v>
      </c>
      <c r="E478">
        <v>169000</v>
      </c>
      <c r="F478" t="s">
        <v>6</v>
      </c>
      <c r="G478">
        <f>tblSalaries[[#This Row],[clean Salary (in local currency)]]*VLOOKUP(tblSalaries[[#This Row],[Currency]],tblXrate[],2,FALSE)</f>
        <v>169000</v>
      </c>
      <c r="H478" t="s">
        <v>581</v>
      </c>
      <c r="I478" t="s">
        <v>4001</v>
      </c>
      <c r="J478" t="s">
        <v>15</v>
      </c>
      <c r="K478" t="str">
        <f>VLOOKUP(tblSalaries[[#This Row],[Where do you work]],tblCountries[[Actual]:[Mapping]],2,FALSE)</f>
        <v>USA</v>
      </c>
      <c r="L478" t="s">
        <v>18</v>
      </c>
    </row>
    <row r="479" spans="2:12" ht="15" customHeight="1">
      <c r="B479" t="s">
        <v>2482</v>
      </c>
      <c r="C479" s="1">
        <v>41055.143020833333</v>
      </c>
      <c r="D479" s="4">
        <v>110000</v>
      </c>
      <c r="E479">
        <v>110000</v>
      </c>
      <c r="F479" t="s">
        <v>6</v>
      </c>
      <c r="G479">
        <f>tblSalaries[[#This Row],[clean Salary (in local currency)]]*VLOOKUP(tblSalaries[[#This Row],[Currency]],tblXrate[],2,FALSE)</f>
        <v>110000</v>
      </c>
      <c r="H479" t="s">
        <v>582</v>
      </c>
      <c r="I479" t="s">
        <v>310</v>
      </c>
      <c r="J479" t="s">
        <v>583</v>
      </c>
      <c r="K479" t="str">
        <f>VLOOKUP(tblSalaries[[#This Row],[Where do you work]],tblCountries[[Actual]:[Mapping]],2,FALSE)</f>
        <v>Norway</v>
      </c>
      <c r="L479" t="s">
        <v>18</v>
      </c>
    </row>
    <row r="480" spans="2:12" ht="15" customHeight="1">
      <c r="B480" t="s">
        <v>2483</v>
      </c>
      <c r="C480" s="1">
        <v>41055.14439814815</v>
      </c>
      <c r="D480" s="4" t="s">
        <v>584</v>
      </c>
      <c r="E480">
        <v>1080000</v>
      </c>
      <c r="F480" t="s">
        <v>585</v>
      </c>
      <c r="G480">
        <f>tblSalaries[[#This Row],[clean Salary (in local currency)]]*VLOOKUP(tblSalaries[[#This Row],[Currency]],tblXrate[],2,FALSE)</f>
        <v>131675.52225194403</v>
      </c>
      <c r="H480" t="s">
        <v>586</v>
      </c>
      <c r="I480" t="s">
        <v>52</v>
      </c>
      <c r="J480" t="s">
        <v>587</v>
      </c>
      <c r="K480" t="str">
        <f>VLOOKUP(tblSalaries[[#This Row],[Where do you work]],tblCountries[[Actual]:[Mapping]],2,FALSE)</f>
        <v>South Africa</v>
      </c>
      <c r="L480" t="s">
        <v>18</v>
      </c>
    </row>
    <row r="481" spans="2:12" ht="15" customHeight="1">
      <c r="B481" t="s">
        <v>2484</v>
      </c>
      <c r="C481" s="1">
        <v>41055.146319444444</v>
      </c>
      <c r="D481" s="4" t="s">
        <v>588</v>
      </c>
      <c r="E481">
        <v>59000</v>
      </c>
      <c r="F481" t="s">
        <v>69</v>
      </c>
      <c r="G481">
        <f>tblSalaries[[#This Row],[clean Salary (in local currency)]]*VLOOKUP(tblSalaries[[#This Row],[Currency]],tblXrate[],2,FALSE)</f>
        <v>92994.518051969761</v>
      </c>
      <c r="H481" t="s">
        <v>589</v>
      </c>
      <c r="I481" t="s">
        <v>356</v>
      </c>
      <c r="J481" t="s">
        <v>71</v>
      </c>
      <c r="K481" t="str">
        <f>VLOOKUP(tblSalaries[[#This Row],[Where do you work]],tblCountries[[Actual]:[Mapping]],2,FALSE)</f>
        <v>UK</v>
      </c>
      <c r="L481" t="s">
        <v>18</v>
      </c>
    </row>
    <row r="482" spans="2:12" ht="15" customHeight="1">
      <c r="B482" t="s">
        <v>2485</v>
      </c>
      <c r="C482" s="1">
        <v>41055.146921296298</v>
      </c>
      <c r="D482" s="4">
        <v>50000</v>
      </c>
      <c r="E482">
        <v>50000</v>
      </c>
      <c r="F482" t="s">
        <v>6</v>
      </c>
      <c r="G482">
        <f>tblSalaries[[#This Row],[clean Salary (in local currency)]]*VLOOKUP(tblSalaries[[#This Row],[Currency]],tblXrate[],2,FALSE)</f>
        <v>50000</v>
      </c>
      <c r="H482" t="s">
        <v>590</v>
      </c>
      <c r="I482" t="s">
        <v>20</v>
      </c>
      <c r="J482" t="s">
        <v>15</v>
      </c>
      <c r="K482" t="str">
        <f>VLOOKUP(tblSalaries[[#This Row],[Where do you work]],tblCountries[[Actual]:[Mapping]],2,FALSE)</f>
        <v>USA</v>
      </c>
      <c r="L482" t="s">
        <v>9</v>
      </c>
    </row>
    <row r="483" spans="2:12" ht="15" customHeight="1">
      <c r="B483" t="s">
        <v>2486</v>
      </c>
      <c r="C483" s="1">
        <v>41055.147372685184</v>
      </c>
      <c r="D483" s="4">
        <v>65000</v>
      </c>
      <c r="E483">
        <v>65000</v>
      </c>
      <c r="F483" t="s">
        <v>6</v>
      </c>
      <c r="G483">
        <f>tblSalaries[[#This Row],[clean Salary (in local currency)]]*VLOOKUP(tblSalaries[[#This Row],[Currency]],tblXrate[],2,FALSE)</f>
        <v>65000</v>
      </c>
      <c r="H483" t="s">
        <v>117</v>
      </c>
      <c r="I483" t="s">
        <v>20</v>
      </c>
      <c r="J483" t="s">
        <v>15</v>
      </c>
      <c r="K483" t="str">
        <f>VLOOKUP(tblSalaries[[#This Row],[Where do you work]],tblCountries[[Actual]:[Mapping]],2,FALSE)</f>
        <v>USA</v>
      </c>
      <c r="L483" t="s">
        <v>18</v>
      </c>
    </row>
    <row r="484" spans="2:12" ht="15" customHeight="1">
      <c r="B484" t="s">
        <v>2487</v>
      </c>
      <c r="C484" s="1">
        <v>41055.147835648146</v>
      </c>
      <c r="D484" s="4">
        <v>46000</v>
      </c>
      <c r="E484">
        <v>46000</v>
      </c>
      <c r="F484" t="s">
        <v>86</v>
      </c>
      <c r="G484">
        <f>tblSalaries[[#This Row],[clean Salary (in local currency)]]*VLOOKUP(tblSalaries[[#This Row],[Currency]],tblXrate[],2,FALSE)</f>
        <v>45234.630059395036</v>
      </c>
      <c r="H484" t="s">
        <v>591</v>
      </c>
      <c r="I484" t="s">
        <v>20</v>
      </c>
      <c r="J484" t="s">
        <v>88</v>
      </c>
      <c r="K484" t="str">
        <f>VLOOKUP(tblSalaries[[#This Row],[Where do you work]],tblCountries[[Actual]:[Mapping]],2,FALSE)</f>
        <v>Canada</v>
      </c>
      <c r="L484" t="s">
        <v>13</v>
      </c>
    </row>
    <row r="485" spans="2:12" ht="15" customHeight="1">
      <c r="B485" t="s">
        <v>2488</v>
      </c>
      <c r="C485" s="1">
        <v>41055.148287037038</v>
      </c>
      <c r="D485" s="4">
        <v>55000</v>
      </c>
      <c r="E485">
        <v>55000</v>
      </c>
      <c r="F485" t="s">
        <v>6</v>
      </c>
      <c r="G485">
        <f>tblSalaries[[#This Row],[clean Salary (in local currency)]]*VLOOKUP(tblSalaries[[#This Row],[Currency]],tblXrate[],2,FALSE)</f>
        <v>55000</v>
      </c>
      <c r="H485" t="s">
        <v>20</v>
      </c>
      <c r="I485" t="s">
        <v>20</v>
      </c>
      <c r="J485" t="s">
        <v>15</v>
      </c>
      <c r="K485" t="str">
        <f>VLOOKUP(tblSalaries[[#This Row],[Where do you work]],tblCountries[[Actual]:[Mapping]],2,FALSE)</f>
        <v>USA</v>
      </c>
      <c r="L485" t="s">
        <v>18</v>
      </c>
    </row>
    <row r="486" spans="2:12" ht="15" customHeight="1">
      <c r="B486" t="s">
        <v>2489</v>
      </c>
      <c r="C486" s="1">
        <v>41055.148657407408</v>
      </c>
      <c r="D486" s="4" t="s">
        <v>592</v>
      </c>
      <c r="E486">
        <v>20000</v>
      </c>
      <c r="F486" t="s">
        <v>6</v>
      </c>
      <c r="G486">
        <f>tblSalaries[[#This Row],[clean Salary (in local currency)]]*VLOOKUP(tblSalaries[[#This Row],[Currency]],tblXrate[],2,FALSE)</f>
        <v>20000</v>
      </c>
      <c r="H486" t="s">
        <v>356</v>
      </c>
      <c r="I486" t="s">
        <v>356</v>
      </c>
      <c r="J486" t="s">
        <v>8</v>
      </c>
      <c r="K486" t="str">
        <f>VLOOKUP(tblSalaries[[#This Row],[Where do you work]],tblCountries[[Actual]:[Mapping]],2,FALSE)</f>
        <v>India</v>
      </c>
      <c r="L486" t="s">
        <v>18</v>
      </c>
    </row>
    <row r="487" spans="2:12" ht="15" customHeight="1">
      <c r="B487" t="s">
        <v>2490</v>
      </c>
      <c r="C487" s="1">
        <v>41055.148784722223</v>
      </c>
      <c r="D487" s="4">
        <v>6000</v>
      </c>
      <c r="E487">
        <v>6000</v>
      </c>
      <c r="F487" t="s">
        <v>6</v>
      </c>
      <c r="G487">
        <f>tblSalaries[[#This Row],[clean Salary (in local currency)]]*VLOOKUP(tblSalaries[[#This Row],[Currency]],tblXrate[],2,FALSE)</f>
        <v>6000</v>
      </c>
      <c r="H487" t="s">
        <v>360</v>
      </c>
      <c r="I487" t="s">
        <v>3999</v>
      </c>
      <c r="J487" t="s">
        <v>8</v>
      </c>
      <c r="K487" t="str">
        <f>VLOOKUP(tblSalaries[[#This Row],[Where do you work]],tblCountries[[Actual]:[Mapping]],2,FALSE)</f>
        <v>India</v>
      </c>
      <c r="L487" t="s">
        <v>13</v>
      </c>
    </row>
    <row r="488" spans="2:12" ht="15" customHeight="1">
      <c r="B488" t="s">
        <v>2491</v>
      </c>
      <c r="C488" s="1">
        <v>41055.151076388887</v>
      </c>
      <c r="D488" s="4">
        <v>190000</v>
      </c>
      <c r="E488">
        <v>190000</v>
      </c>
      <c r="F488" t="s">
        <v>69</v>
      </c>
      <c r="G488">
        <f>tblSalaries[[#This Row],[clean Salary (in local currency)]]*VLOOKUP(tblSalaries[[#This Row],[Currency]],tblXrate[],2,FALSE)</f>
        <v>299473.87169278396</v>
      </c>
      <c r="H488" t="s">
        <v>593</v>
      </c>
      <c r="I488" t="s">
        <v>4001</v>
      </c>
      <c r="J488" t="s">
        <v>71</v>
      </c>
      <c r="K488" t="str">
        <f>VLOOKUP(tblSalaries[[#This Row],[Where do you work]],tblCountries[[Actual]:[Mapping]],2,FALSE)</f>
        <v>UK</v>
      </c>
      <c r="L488" t="s">
        <v>9</v>
      </c>
    </row>
    <row r="489" spans="2:12" ht="15" customHeight="1">
      <c r="B489" t="s">
        <v>2492</v>
      </c>
      <c r="C489" s="1">
        <v>41055.151226851849</v>
      </c>
      <c r="D489" s="4">
        <v>28164</v>
      </c>
      <c r="E489">
        <v>28164</v>
      </c>
      <c r="F489" t="s">
        <v>69</v>
      </c>
      <c r="G489">
        <f>tblSalaries[[#This Row],[clean Salary (in local currency)]]*VLOOKUP(tblSalaries[[#This Row],[Currency]],tblXrate[],2,FALSE)</f>
        <v>44391.484854502989</v>
      </c>
      <c r="H489" t="s">
        <v>594</v>
      </c>
      <c r="I489" t="s">
        <v>52</v>
      </c>
      <c r="J489" t="s">
        <v>71</v>
      </c>
      <c r="K489" t="str">
        <f>VLOOKUP(tblSalaries[[#This Row],[Where do you work]],tblCountries[[Actual]:[Mapping]],2,FALSE)</f>
        <v>UK</v>
      </c>
      <c r="L489" t="s">
        <v>9</v>
      </c>
    </row>
    <row r="490" spans="2:12" ht="15" customHeight="1">
      <c r="B490" t="s">
        <v>2493</v>
      </c>
      <c r="C490" s="1">
        <v>41055.153078703705</v>
      </c>
      <c r="D490" s="4">
        <v>40000</v>
      </c>
      <c r="E490">
        <v>40000</v>
      </c>
      <c r="F490" t="s">
        <v>6</v>
      </c>
      <c r="G490">
        <f>tblSalaries[[#This Row],[clean Salary (in local currency)]]*VLOOKUP(tblSalaries[[#This Row],[Currency]],tblXrate[],2,FALSE)</f>
        <v>40000</v>
      </c>
      <c r="H490" t="s">
        <v>595</v>
      </c>
      <c r="I490" t="s">
        <v>20</v>
      </c>
      <c r="J490" t="s">
        <v>15</v>
      </c>
      <c r="K490" t="str">
        <f>VLOOKUP(tblSalaries[[#This Row],[Where do you work]],tblCountries[[Actual]:[Mapping]],2,FALSE)</f>
        <v>USA</v>
      </c>
      <c r="L490" t="s">
        <v>18</v>
      </c>
    </row>
    <row r="491" spans="2:12" ht="15" customHeight="1">
      <c r="B491" t="s">
        <v>2494</v>
      </c>
      <c r="C491" s="1">
        <v>41055.158819444441</v>
      </c>
      <c r="D491" s="4" t="s">
        <v>596</v>
      </c>
      <c r="E491">
        <v>108000</v>
      </c>
      <c r="F491" t="s">
        <v>6</v>
      </c>
      <c r="G491">
        <f>tblSalaries[[#This Row],[clean Salary (in local currency)]]*VLOOKUP(tblSalaries[[#This Row],[Currency]],tblXrate[],2,FALSE)</f>
        <v>108000</v>
      </c>
      <c r="H491" t="s">
        <v>52</v>
      </c>
      <c r="I491" t="s">
        <v>52</v>
      </c>
      <c r="J491" t="s">
        <v>583</v>
      </c>
      <c r="K491" t="str">
        <f>VLOOKUP(tblSalaries[[#This Row],[Where do you work]],tblCountries[[Actual]:[Mapping]],2,FALSE)</f>
        <v>Norway</v>
      </c>
      <c r="L491" t="s">
        <v>9</v>
      </c>
    </row>
    <row r="492" spans="2:12" ht="15" customHeight="1">
      <c r="B492" t="s">
        <v>2495</v>
      </c>
      <c r="C492" s="1">
        <v>41055.159270833334</v>
      </c>
      <c r="D492" s="4" t="s">
        <v>597</v>
      </c>
      <c r="E492">
        <v>200000</v>
      </c>
      <c r="F492" t="s">
        <v>40</v>
      </c>
      <c r="G492">
        <f>tblSalaries[[#This Row],[clean Salary (in local currency)]]*VLOOKUP(tblSalaries[[#This Row],[Currency]],tblXrate[],2,FALSE)</f>
        <v>3561.5833374885137</v>
      </c>
      <c r="H492" t="s">
        <v>598</v>
      </c>
      <c r="I492" t="s">
        <v>20</v>
      </c>
      <c r="J492" t="s">
        <v>8</v>
      </c>
      <c r="K492" t="str">
        <f>VLOOKUP(tblSalaries[[#This Row],[Where do you work]],tblCountries[[Actual]:[Mapping]],2,FALSE)</f>
        <v>India</v>
      </c>
      <c r="L492" t="s">
        <v>18</v>
      </c>
    </row>
    <row r="493" spans="2:12" ht="15" customHeight="1">
      <c r="B493" t="s">
        <v>2496</v>
      </c>
      <c r="C493" s="1">
        <v>41055.160000000003</v>
      </c>
      <c r="D493" s="4">
        <v>84000</v>
      </c>
      <c r="E493">
        <v>84000</v>
      </c>
      <c r="F493" t="s">
        <v>6</v>
      </c>
      <c r="G493">
        <f>tblSalaries[[#This Row],[clean Salary (in local currency)]]*VLOOKUP(tblSalaries[[#This Row],[Currency]],tblXrate[],2,FALSE)</f>
        <v>84000</v>
      </c>
      <c r="H493" t="s">
        <v>72</v>
      </c>
      <c r="I493" t="s">
        <v>20</v>
      </c>
      <c r="J493" t="s">
        <v>15</v>
      </c>
      <c r="K493" t="str">
        <f>VLOOKUP(tblSalaries[[#This Row],[Where do you work]],tblCountries[[Actual]:[Mapping]],2,FALSE)</f>
        <v>USA</v>
      </c>
      <c r="L493" t="s">
        <v>13</v>
      </c>
    </row>
    <row r="494" spans="2:12" ht="15" customHeight="1">
      <c r="B494" t="s">
        <v>2497</v>
      </c>
      <c r="C494" s="1">
        <v>41055.16138888889</v>
      </c>
      <c r="D494" s="4">
        <v>33000</v>
      </c>
      <c r="E494">
        <v>33000</v>
      </c>
      <c r="F494" t="s">
        <v>69</v>
      </c>
      <c r="G494">
        <f>tblSalaries[[#This Row],[clean Salary (in local currency)]]*VLOOKUP(tblSalaries[[#This Row],[Currency]],tblXrate[],2,FALSE)</f>
        <v>52013.882978220376</v>
      </c>
      <c r="H494" t="s">
        <v>599</v>
      </c>
      <c r="I494" t="s">
        <v>52</v>
      </c>
      <c r="J494" t="s">
        <v>71</v>
      </c>
      <c r="K494" t="str">
        <f>VLOOKUP(tblSalaries[[#This Row],[Where do you work]],tblCountries[[Actual]:[Mapping]],2,FALSE)</f>
        <v>UK</v>
      </c>
      <c r="L494" t="s">
        <v>9</v>
      </c>
    </row>
    <row r="495" spans="2:12" ht="15" customHeight="1">
      <c r="B495" t="s">
        <v>2498</v>
      </c>
      <c r="C495" s="1">
        <v>41055.162141203706</v>
      </c>
      <c r="D495" s="4" t="s">
        <v>600</v>
      </c>
      <c r="E495">
        <v>720000</v>
      </c>
      <c r="F495" t="s">
        <v>40</v>
      </c>
      <c r="G495">
        <f>tblSalaries[[#This Row],[clean Salary (in local currency)]]*VLOOKUP(tblSalaries[[#This Row],[Currency]],tblXrate[],2,FALSE)</f>
        <v>12821.700014958649</v>
      </c>
      <c r="H495" t="s">
        <v>601</v>
      </c>
      <c r="I495" t="s">
        <v>52</v>
      </c>
      <c r="J495" t="s">
        <v>8</v>
      </c>
      <c r="K495" t="str">
        <f>VLOOKUP(tblSalaries[[#This Row],[Where do you work]],tblCountries[[Actual]:[Mapping]],2,FALSE)</f>
        <v>India</v>
      </c>
      <c r="L495" t="s">
        <v>18</v>
      </c>
    </row>
    <row r="496" spans="2:12" ht="15" customHeight="1">
      <c r="B496" t="s">
        <v>2499</v>
      </c>
      <c r="C496" s="1">
        <v>41055.166909722226</v>
      </c>
      <c r="D496" s="4">
        <v>68500</v>
      </c>
      <c r="E496">
        <v>68500</v>
      </c>
      <c r="F496" t="s">
        <v>86</v>
      </c>
      <c r="G496">
        <f>tblSalaries[[#This Row],[clean Salary (in local currency)]]*VLOOKUP(tblSalaries[[#This Row],[Currency]],tblXrate[],2,FALSE)</f>
        <v>67360.264327577388</v>
      </c>
      <c r="H496" t="s">
        <v>14</v>
      </c>
      <c r="I496" t="s">
        <v>20</v>
      </c>
      <c r="J496" t="s">
        <v>88</v>
      </c>
      <c r="K496" t="str">
        <f>VLOOKUP(tblSalaries[[#This Row],[Where do you work]],tblCountries[[Actual]:[Mapping]],2,FALSE)</f>
        <v>Canada</v>
      </c>
      <c r="L496" t="s">
        <v>9</v>
      </c>
    </row>
    <row r="497" spans="2:12" ht="15" customHeight="1">
      <c r="B497" t="s">
        <v>2500</v>
      </c>
      <c r="C497" s="1">
        <v>41055.167881944442</v>
      </c>
      <c r="D497" s="4" t="s">
        <v>602</v>
      </c>
      <c r="E497">
        <v>23000</v>
      </c>
      <c r="F497" t="s">
        <v>6</v>
      </c>
      <c r="G497">
        <f>tblSalaries[[#This Row],[clean Salary (in local currency)]]*VLOOKUP(tblSalaries[[#This Row],[Currency]],tblXrate[],2,FALSE)</f>
        <v>23000</v>
      </c>
      <c r="H497" t="s">
        <v>603</v>
      </c>
      <c r="I497" t="s">
        <v>52</v>
      </c>
      <c r="J497" t="s">
        <v>38</v>
      </c>
      <c r="K497" t="str">
        <f>VLOOKUP(tblSalaries[[#This Row],[Where do you work]],tblCountries[[Actual]:[Mapping]],2,FALSE)</f>
        <v>Hungary</v>
      </c>
      <c r="L497" t="s">
        <v>9</v>
      </c>
    </row>
    <row r="498" spans="2:12" ht="15" customHeight="1">
      <c r="B498" t="s">
        <v>2501</v>
      </c>
      <c r="C498" s="1">
        <v>41055.168043981481</v>
      </c>
      <c r="D498" s="4">
        <v>58000</v>
      </c>
      <c r="E498">
        <v>58000</v>
      </c>
      <c r="F498" t="s">
        <v>69</v>
      </c>
      <c r="G498">
        <f>tblSalaries[[#This Row],[clean Salary (in local currency)]]*VLOOKUP(tblSalaries[[#This Row],[Currency]],tblXrate[],2,FALSE)</f>
        <v>91418.339779902482</v>
      </c>
      <c r="H498" t="s">
        <v>604</v>
      </c>
      <c r="I498" t="s">
        <v>52</v>
      </c>
      <c r="J498" t="s">
        <v>71</v>
      </c>
      <c r="K498" t="str">
        <f>VLOOKUP(tblSalaries[[#This Row],[Where do you work]],tblCountries[[Actual]:[Mapping]],2,FALSE)</f>
        <v>UK</v>
      </c>
      <c r="L498" t="s">
        <v>13</v>
      </c>
    </row>
    <row r="499" spans="2:12" ht="15" customHeight="1">
      <c r="B499" t="s">
        <v>2502</v>
      </c>
      <c r="C499" s="1">
        <v>41055.169131944444</v>
      </c>
      <c r="D499" s="4">
        <v>77000</v>
      </c>
      <c r="E499">
        <v>77000</v>
      </c>
      <c r="F499" t="s">
        <v>6</v>
      </c>
      <c r="G499">
        <f>tblSalaries[[#This Row],[clean Salary (in local currency)]]*VLOOKUP(tblSalaries[[#This Row],[Currency]],tblXrate[],2,FALSE)</f>
        <v>77000</v>
      </c>
      <c r="H499" t="s">
        <v>424</v>
      </c>
      <c r="I499" t="s">
        <v>20</v>
      </c>
      <c r="J499" t="s">
        <v>15</v>
      </c>
      <c r="K499" t="str">
        <f>VLOOKUP(tblSalaries[[#This Row],[Where do you work]],tblCountries[[Actual]:[Mapping]],2,FALSE)</f>
        <v>USA</v>
      </c>
      <c r="L499" t="s">
        <v>13</v>
      </c>
    </row>
    <row r="500" spans="2:12" ht="15" customHeight="1">
      <c r="B500" t="s">
        <v>2503</v>
      </c>
      <c r="C500" s="1">
        <v>41055.170231481483</v>
      </c>
      <c r="D500" s="4">
        <v>100000</v>
      </c>
      <c r="E500">
        <v>100000</v>
      </c>
      <c r="F500" t="s">
        <v>6</v>
      </c>
      <c r="G500">
        <f>tblSalaries[[#This Row],[clean Salary (in local currency)]]*VLOOKUP(tblSalaries[[#This Row],[Currency]],tblXrate[],2,FALSE)</f>
        <v>100000</v>
      </c>
      <c r="H500" t="s">
        <v>20</v>
      </c>
      <c r="I500" t="s">
        <v>20</v>
      </c>
      <c r="J500" t="s">
        <v>15</v>
      </c>
      <c r="K500" t="str">
        <f>VLOOKUP(tblSalaries[[#This Row],[Where do you work]],tblCountries[[Actual]:[Mapping]],2,FALSE)</f>
        <v>USA</v>
      </c>
      <c r="L500" t="s">
        <v>9</v>
      </c>
    </row>
    <row r="501" spans="2:12" ht="15" customHeight="1">
      <c r="B501" t="s">
        <v>2504</v>
      </c>
      <c r="C501" s="1">
        <v>41055.174224537041</v>
      </c>
      <c r="D501" s="4">
        <v>55500</v>
      </c>
      <c r="E501">
        <v>55500</v>
      </c>
      <c r="F501" t="s">
        <v>6</v>
      </c>
      <c r="G501">
        <f>tblSalaries[[#This Row],[clean Salary (in local currency)]]*VLOOKUP(tblSalaries[[#This Row],[Currency]],tblXrate[],2,FALSE)</f>
        <v>55500</v>
      </c>
      <c r="H501" t="s">
        <v>605</v>
      </c>
      <c r="I501" t="s">
        <v>488</v>
      </c>
      <c r="J501" t="s">
        <v>179</v>
      </c>
      <c r="K501" t="str">
        <f>VLOOKUP(tblSalaries[[#This Row],[Where do you work]],tblCountries[[Actual]:[Mapping]],2,FALSE)</f>
        <v>UAE</v>
      </c>
      <c r="L501" t="s">
        <v>9</v>
      </c>
    </row>
    <row r="502" spans="2:12" ht="15" customHeight="1">
      <c r="B502" t="s">
        <v>2505</v>
      </c>
      <c r="C502" s="1">
        <v>41055.175185185188</v>
      </c>
      <c r="D502" s="4" t="s">
        <v>606</v>
      </c>
      <c r="E502">
        <v>15000</v>
      </c>
      <c r="F502" t="s">
        <v>22</v>
      </c>
      <c r="G502">
        <f>tblSalaries[[#This Row],[clean Salary (in local currency)]]*VLOOKUP(tblSalaries[[#This Row],[Currency]],tblXrate[],2,FALSE)</f>
        <v>19055.991584874118</v>
      </c>
      <c r="H502" t="s">
        <v>607</v>
      </c>
      <c r="I502" t="s">
        <v>20</v>
      </c>
      <c r="J502" t="s">
        <v>608</v>
      </c>
      <c r="K502" t="str">
        <f>VLOOKUP(tblSalaries[[#This Row],[Where do you work]],tblCountries[[Actual]:[Mapping]],2,FALSE)</f>
        <v>Spain</v>
      </c>
      <c r="L502" t="s">
        <v>13</v>
      </c>
    </row>
    <row r="503" spans="2:12" ht="15" customHeight="1">
      <c r="B503" t="s">
        <v>2506</v>
      </c>
      <c r="C503" s="1">
        <v>41055.176319444443</v>
      </c>
      <c r="D503" s="4" t="s">
        <v>609</v>
      </c>
      <c r="E503">
        <v>600000</v>
      </c>
      <c r="F503" t="s">
        <v>40</v>
      </c>
      <c r="G503">
        <f>tblSalaries[[#This Row],[clean Salary (in local currency)]]*VLOOKUP(tblSalaries[[#This Row],[Currency]],tblXrate[],2,FALSE)</f>
        <v>10684.750012465542</v>
      </c>
      <c r="H503" t="s">
        <v>610</v>
      </c>
      <c r="I503" t="s">
        <v>52</v>
      </c>
      <c r="J503" t="s">
        <v>8</v>
      </c>
      <c r="K503" t="str">
        <f>VLOOKUP(tblSalaries[[#This Row],[Where do you work]],tblCountries[[Actual]:[Mapping]],2,FALSE)</f>
        <v>India</v>
      </c>
      <c r="L503" t="s">
        <v>9</v>
      </c>
    </row>
    <row r="504" spans="2:12" ht="15" customHeight="1">
      <c r="B504" t="s">
        <v>2507</v>
      </c>
      <c r="C504" s="1">
        <v>41055.176701388889</v>
      </c>
      <c r="D504" s="4">
        <v>8400</v>
      </c>
      <c r="E504">
        <v>8400</v>
      </c>
      <c r="F504" t="s">
        <v>6</v>
      </c>
      <c r="G504">
        <f>tblSalaries[[#This Row],[clean Salary (in local currency)]]*VLOOKUP(tblSalaries[[#This Row],[Currency]],tblXrate[],2,FALSE)</f>
        <v>8400</v>
      </c>
      <c r="H504" t="s">
        <v>52</v>
      </c>
      <c r="I504" t="s">
        <v>52</v>
      </c>
      <c r="J504" t="s">
        <v>8</v>
      </c>
      <c r="K504" t="str">
        <f>VLOOKUP(tblSalaries[[#This Row],[Where do you work]],tblCountries[[Actual]:[Mapping]],2,FALSE)</f>
        <v>India</v>
      </c>
      <c r="L504" t="s">
        <v>9</v>
      </c>
    </row>
    <row r="505" spans="2:12" ht="15" customHeight="1">
      <c r="B505" t="s">
        <v>2508</v>
      </c>
      <c r="C505" s="1">
        <v>41055.17796296296</v>
      </c>
      <c r="D505" s="4" t="s">
        <v>611</v>
      </c>
      <c r="E505">
        <v>500000</v>
      </c>
      <c r="F505" t="s">
        <v>40</v>
      </c>
      <c r="G505">
        <f>tblSalaries[[#This Row],[clean Salary (in local currency)]]*VLOOKUP(tblSalaries[[#This Row],[Currency]],tblXrate[],2,FALSE)</f>
        <v>8903.9583437212841</v>
      </c>
      <c r="H505" t="s">
        <v>612</v>
      </c>
      <c r="I505" t="s">
        <v>52</v>
      </c>
      <c r="J505" t="s">
        <v>8</v>
      </c>
      <c r="K505" t="str">
        <f>VLOOKUP(tblSalaries[[#This Row],[Where do you work]],tblCountries[[Actual]:[Mapping]],2,FALSE)</f>
        <v>India</v>
      </c>
      <c r="L505" t="s">
        <v>18</v>
      </c>
    </row>
    <row r="506" spans="2:12" ht="15" customHeight="1">
      <c r="B506" t="s">
        <v>2509</v>
      </c>
      <c r="C506" s="1">
        <v>41055.178703703707</v>
      </c>
      <c r="D506" s="4">
        <v>12000</v>
      </c>
      <c r="E506">
        <v>12000</v>
      </c>
      <c r="F506" t="s">
        <v>6</v>
      </c>
      <c r="G506">
        <f>tblSalaries[[#This Row],[clean Salary (in local currency)]]*VLOOKUP(tblSalaries[[#This Row],[Currency]],tblXrate[],2,FALSE)</f>
        <v>12000</v>
      </c>
      <c r="H506" t="s">
        <v>607</v>
      </c>
      <c r="I506" t="s">
        <v>20</v>
      </c>
      <c r="J506" t="s">
        <v>143</v>
      </c>
      <c r="K506" t="str">
        <f>VLOOKUP(tblSalaries[[#This Row],[Where do you work]],tblCountries[[Actual]:[Mapping]],2,FALSE)</f>
        <v>Brazil</v>
      </c>
      <c r="L506" t="s">
        <v>13</v>
      </c>
    </row>
    <row r="507" spans="2:12" ht="15" customHeight="1">
      <c r="B507" t="s">
        <v>2510</v>
      </c>
      <c r="C507" s="1">
        <v>41055.179340277777</v>
      </c>
      <c r="D507" s="4">
        <v>65000</v>
      </c>
      <c r="E507">
        <v>65000</v>
      </c>
      <c r="F507" t="s">
        <v>6</v>
      </c>
      <c r="G507">
        <f>tblSalaries[[#This Row],[clean Salary (in local currency)]]*VLOOKUP(tblSalaries[[#This Row],[Currency]],tblXrate[],2,FALSE)</f>
        <v>65000</v>
      </c>
      <c r="H507" t="s">
        <v>613</v>
      </c>
      <c r="I507" t="s">
        <v>52</v>
      </c>
      <c r="J507" t="s">
        <v>15</v>
      </c>
      <c r="K507" t="str">
        <f>VLOOKUP(tblSalaries[[#This Row],[Where do you work]],tblCountries[[Actual]:[Mapping]],2,FALSE)</f>
        <v>USA</v>
      </c>
      <c r="L507" t="s">
        <v>13</v>
      </c>
    </row>
    <row r="508" spans="2:12" ht="15" customHeight="1">
      <c r="B508" t="s">
        <v>2511</v>
      </c>
      <c r="C508" s="1">
        <v>41055.179918981485</v>
      </c>
      <c r="D508" s="4" t="s">
        <v>614</v>
      </c>
      <c r="E508">
        <v>16400</v>
      </c>
      <c r="F508" t="s">
        <v>69</v>
      </c>
      <c r="G508">
        <f>tblSalaries[[#This Row],[clean Salary (in local currency)]]*VLOOKUP(tblSalaries[[#This Row],[Currency]],tblXrate[],2,FALSE)</f>
        <v>25849.323661903458</v>
      </c>
      <c r="H508" t="s">
        <v>615</v>
      </c>
      <c r="I508" t="s">
        <v>20</v>
      </c>
      <c r="J508" t="s">
        <v>71</v>
      </c>
      <c r="K508" t="str">
        <f>VLOOKUP(tblSalaries[[#This Row],[Where do you work]],tblCountries[[Actual]:[Mapping]],2,FALSE)</f>
        <v>UK</v>
      </c>
      <c r="L508" t="s">
        <v>9</v>
      </c>
    </row>
    <row r="509" spans="2:12" ht="15" customHeight="1">
      <c r="B509" t="s">
        <v>2512</v>
      </c>
      <c r="C509" s="1">
        <v>41055.180752314816</v>
      </c>
      <c r="D509" s="4">
        <v>78000</v>
      </c>
      <c r="E509">
        <v>78000</v>
      </c>
      <c r="F509" t="s">
        <v>69</v>
      </c>
      <c r="G509">
        <f>tblSalaries[[#This Row],[clean Salary (in local currency)]]*VLOOKUP(tblSalaries[[#This Row],[Currency]],tblXrate[],2,FALSE)</f>
        <v>122941.90522124816</v>
      </c>
      <c r="H509" t="s">
        <v>616</v>
      </c>
      <c r="I509" t="s">
        <v>20</v>
      </c>
      <c r="J509" t="s">
        <v>71</v>
      </c>
      <c r="K509" t="str">
        <f>VLOOKUP(tblSalaries[[#This Row],[Where do you work]],tblCountries[[Actual]:[Mapping]],2,FALSE)</f>
        <v>UK</v>
      </c>
      <c r="L509" t="s">
        <v>25</v>
      </c>
    </row>
    <row r="510" spans="2:12" ht="15" customHeight="1">
      <c r="B510" t="s">
        <v>2513</v>
      </c>
      <c r="C510" s="1">
        <v>41055.184305555558</v>
      </c>
      <c r="D510" s="4">
        <v>76000</v>
      </c>
      <c r="E510">
        <v>76000</v>
      </c>
      <c r="F510" t="s">
        <v>6</v>
      </c>
      <c r="G510">
        <f>tblSalaries[[#This Row],[clean Salary (in local currency)]]*VLOOKUP(tblSalaries[[#This Row],[Currency]],tblXrate[],2,FALSE)</f>
        <v>76000</v>
      </c>
      <c r="H510" t="s">
        <v>487</v>
      </c>
      <c r="I510" t="s">
        <v>52</v>
      </c>
      <c r="J510" t="s">
        <v>15</v>
      </c>
      <c r="K510" t="str">
        <f>VLOOKUP(tblSalaries[[#This Row],[Where do you work]],tblCountries[[Actual]:[Mapping]],2,FALSE)</f>
        <v>USA</v>
      </c>
      <c r="L510" t="s">
        <v>18</v>
      </c>
    </row>
    <row r="511" spans="2:12" ht="15" customHeight="1">
      <c r="B511" t="s">
        <v>2514</v>
      </c>
      <c r="C511" s="1">
        <v>41055.184837962966</v>
      </c>
      <c r="D511" s="4" t="s">
        <v>617</v>
      </c>
      <c r="E511">
        <v>150000</v>
      </c>
      <c r="F511" t="s">
        <v>6</v>
      </c>
      <c r="G511">
        <f>tblSalaries[[#This Row],[clean Salary (in local currency)]]*VLOOKUP(tblSalaries[[#This Row],[Currency]],tblXrate[],2,FALSE)</f>
        <v>150000</v>
      </c>
      <c r="H511" t="s">
        <v>356</v>
      </c>
      <c r="I511" t="s">
        <v>356</v>
      </c>
      <c r="J511" t="s">
        <v>15</v>
      </c>
      <c r="K511" t="str">
        <f>VLOOKUP(tblSalaries[[#This Row],[Where do you work]],tblCountries[[Actual]:[Mapping]],2,FALSE)</f>
        <v>USA</v>
      </c>
      <c r="L511" t="s">
        <v>13</v>
      </c>
    </row>
    <row r="512" spans="2:12" ht="15" customHeight="1">
      <c r="B512" t="s">
        <v>2515</v>
      </c>
      <c r="C512" s="1">
        <v>41055.185555555552</v>
      </c>
      <c r="D512" s="4">
        <v>54000</v>
      </c>
      <c r="E512">
        <v>54000</v>
      </c>
      <c r="F512" t="s">
        <v>6</v>
      </c>
      <c r="G512">
        <f>tblSalaries[[#This Row],[clean Salary (in local currency)]]*VLOOKUP(tblSalaries[[#This Row],[Currency]],tblXrate[],2,FALSE)</f>
        <v>54000</v>
      </c>
      <c r="H512" t="s">
        <v>207</v>
      </c>
      <c r="I512" t="s">
        <v>20</v>
      </c>
      <c r="J512" t="s">
        <v>15</v>
      </c>
      <c r="K512" t="str">
        <f>VLOOKUP(tblSalaries[[#This Row],[Where do you work]],tblCountries[[Actual]:[Mapping]],2,FALSE)</f>
        <v>USA</v>
      </c>
      <c r="L512" t="s">
        <v>9</v>
      </c>
    </row>
    <row r="513" spans="2:12" ht="15" customHeight="1">
      <c r="B513" t="s">
        <v>2516</v>
      </c>
      <c r="C513" s="1">
        <v>41055.189618055556</v>
      </c>
      <c r="D513" s="4" t="s">
        <v>618</v>
      </c>
      <c r="E513">
        <v>57000</v>
      </c>
      <c r="F513" t="s">
        <v>6</v>
      </c>
      <c r="G513">
        <f>tblSalaries[[#This Row],[clean Salary (in local currency)]]*VLOOKUP(tblSalaries[[#This Row],[Currency]],tblXrate[],2,FALSE)</f>
        <v>57000</v>
      </c>
      <c r="H513" t="s">
        <v>619</v>
      </c>
      <c r="I513" t="s">
        <v>52</v>
      </c>
      <c r="J513" t="s">
        <v>620</v>
      </c>
      <c r="K513" t="str">
        <f>VLOOKUP(tblSalaries[[#This Row],[Where do you work]],tblCountries[[Actual]:[Mapping]],2,FALSE)</f>
        <v>Israel</v>
      </c>
      <c r="L513" t="s">
        <v>9</v>
      </c>
    </row>
    <row r="514" spans="2:12" ht="15" customHeight="1">
      <c r="B514" t="s">
        <v>2517</v>
      </c>
      <c r="C514" s="1">
        <v>41055.189895833333</v>
      </c>
      <c r="D514" s="4">
        <v>61000</v>
      </c>
      <c r="E514">
        <v>61000</v>
      </c>
      <c r="F514" t="s">
        <v>6</v>
      </c>
      <c r="G514">
        <f>tblSalaries[[#This Row],[clean Salary (in local currency)]]*VLOOKUP(tblSalaries[[#This Row],[Currency]],tblXrate[],2,FALSE)</f>
        <v>61000</v>
      </c>
      <c r="H514" t="s">
        <v>89</v>
      </c>
      <c r="I514" t="s">
        <v>310</v>
      </c>
      <c r="J514" t="s">
        <v>15</v>
      </c>
      <c r="K514" t="str">
        <f>VLOOKUP(tblSalaries[[#This Row],[Where do you work]],tblCountries[[Actual]:[Mapping]],2,FALSE)</f>
        <v>USA</v>
      </c>
      <c r="L514" t="s">
        <v>9</v>
      </c>
    </row>
    <row r="515" spans="2:12" ht="15" customHeight="1">
      <c r="B515" t="s">
        <v>2518</v>
      </c>
      <c r="C515" s="1">
        <v>41055.190752314818</v>
      </c>
      <c r="D515" s="4">
        <v>70000</v>
      </c>
      <c r="E515">
        <v>70000</v>
      </c>
      <c r="F515" t="s">
        <v>6</v>
      </c>
      <c r="G515">
        <f>tblSalaries[[#This Row],[clean Salary (in local currency)]]*VLOOKUP(tblSalaries[[#This Row],[Currency]],tblXrate[],2,FALSE)</f>
        <v>70000</v>
      </c>
      <c r="H515" t="s">
        <v>621</v>
      </c>
      <c r="I515" t="s">
        <v>20</v>
      </c>
      <c r="J515" t="s">
        <v>15</v>
      </c>
      <c r="K515" t="str">
        <f>VLOOKUP(tblSalaries[[#This Row],[Where do you work]],tblCountries[[Actual]:[Mapping]],2,FALSE)</f>
        <v>USA</v>
      </c>
      <c r="L515" t="s">
        <v>13</v>
      </c>
    </row>
    <row r="516" spans="2:12" ht="15" customHeight="1">
      <c r="B516" t="s">
        <v>2519</v>
      </c>
      <c r="C516" s="1">
        <v>41055.192164351851</v>
      </c>
      <c r="D516" s="4">
        <v>15000</v>
      </c>
      <c r="E516">
        <v>15000</v>
      </c>
      <c r="F516" t="s">
        <v>6</v>
      </c>
      <c r="G516">
        <f>tblSalaries[[#This Row],[clean Salary (in local currency)]]*VLOOKUP(tblSalaries[[#This Row],[Currency]],tblXrate[],2,FALSE)</f>
        <v>15000</v>
      </c>
      <c r="H516" t="s">
        <v>622</v>
      </c>
      <c r="I516" t="s">
        <v>52</v>
      </c>
      <c r="J516" t="s">
        <v>8</v>
      </c>
      <c r="K516" t="str">
        <f>VLOOKUP(tblSalaries[[#This Row],[Where do you work]],tblCountries[[Actual]:[Mapping]],2,FALSE)</f>
        <v>India</v>
      </c>
      <c r="L516" t="s">
        <v>9</v>
      </c>
    </row>
    <row r="517" spans="2:12" ht="15" customHeight="1">
      <c r="B517" t="s">
        <v>2520</v>
      </c>
      <c r="C517" s="1">
        <v>41055.193877314814</v>
      </c>
      <c r="D517" s="4">
        <v>87550</v>
      </c>
      <c r="E517">
        <v>87550</v>
      </c>
      <c r="F517" t="s">
        <v>86</v>
      </c>
      <c r="G517">
        <f>tblSalaries[[#This Row],[clean Salary (in local currency)]]*VLOOKUP(tblSalaries[[#This Row],[Currency]],tblXrate[],2,FALSE)</f>
        <v>86093.301341305123</v>
      </c>
      <c r="H517" t="s">
        <v>52</v>
      </c>
      <c r="I517" t="s">
        <v>52</v>
      </c>
      <c r="J517" t="s">
        <v>88</v>
      </c>
      <c r="K517" t="str">
        <f>VLOOKUP(tblSalaries[[#This Row],[Where do you work]],tblCountries[[Actual]:[Mapping]],2,FALSE)</f>
        <v>Canada</v>
      </c>
      <c r="L517" t="s">
        <v>9</v>
      </c>
    </row>
    <row r="518" spans="2:12" ht="15" customHeight="1">
      <c r="B518" t="s">
        <v>2521</v>
      </c>
      <c r="C518" s="1">
        <v>41055.194861111115</v>
      </c>
      <c r="D518" s="4">
        <v>72600</v>
      </c>
      <c r="E518">
        <v>72600</v>
      </c>
      <c r="F518" t="s">
        <v>6</v>
      </c>
      <c r="G518">
        <f>tblSalaries[[#This Row],[clean Salary (in local currency)]]*VLOOKUP(tblSalaries[[#This Row],[Currency]],tblXrate[],2,FALSE)</f>
        <v>72600</v>
      </c>
      <c r="H518" t="s">
        <v>623</v>
      </c>
      <c r="I518" t="s">
        <v>52</v>
      </c>
      <c r="J518" t="s">
        <v>15</v>
      </c>
      <c r="K518" t="str">
        <f>VLOOKUP(tblSalaries[[#This Row],[Where do you work]],tblCountries[[Actual]:[Mapping]],2,FALSE)</f>
        <v>USA</v>
      </c>
      <c r="L518" t="s">
        <v>18</v>
      </c>
    </row>
    <row r="519" spans="2:12" ht="15" customHeight="1">
      <c r="B519" t="s">
        <v>2522</v>
      </c>
      <c r="C519" s="1">
        <v>41055.195370370369</v>
      </c>
      <c r="D519" s="4">
        <v>100000</v>
      </c>
      <c r="E519">
        <v>100000</v>
      </c>
      <c r="F519" t="s">
        <v>6</v>
      </c>
      <c r="G519">
        <f>tblSalaries[[#This Row],[clean Salary (in local currency)]]*VLOOKUP(tblSalaries[[#This Row],[Currency]],tblXrate[],2,FALSE)</f>
        <v>100000</v>
      </c>
      <c r="H519" t="s">
        <v>139</v>
      </c>
      <c r="I519" t="s">
        <v>4001</v>
      </c>
      <c r="J519" t="s">
        <v>15</v>
      </c>
      <c r="K519" t="str">
        <f>VLOOKUP(tblSalaries[[#This Row],[Where do you work]],tblCountries[[Actual]:[Mapping]],2,FALSE)</f>
        <v>USA</v>
      </c>
      <c r="L519" t="s">
        <v>18</v>
      </c>
    </row>
    <row r="520" spans="2:12" ht="15" customHeight="1">
      <c r="B520" t="s">
        <v>2523</v>
      </c>
      <c r="C520" s="1">
        <v>41055.197523148148</v>
      </c>
      <c r="D520" s="4">
        <v>104000</v>
      </c>
      <c r="E520">
        <v>104000</v>
      </c>
      <c r="F520" t="s">
        <v>6</v>
      </c>
      <c r="G520">
        <f>tblSalaries[[#This Row],[clean Salary (in local currency)]]*VLOOKUP(tblSalaries[[#This Row],[Currency]],tblXrate[],2,FALSE)</f>
        <v>104000</v>
      </c>
      <c r="H520" t="s">
        <v>624</v>
      </c>
      <c r="I520" t="s">
        <v>20</v>
      </c>
      <c r="J520" t="s">
        <v>15</v>
      </c>
      <c r="K520" t="str">
        <f>VLOOKUP(tblSalaries[[#This Row],[Where do you work]],tblCountries[[Actual]:[Mapping]],2,FALSE)</f>
        <v>USA</v>
      </c>
      <c r="L520" t="s">
        <v>9</v>
      </c>
    </row>
    <row r="521" spans="2:12" ht="15" customHeight="1">
      <c r="B521" t="s">
        <v>2524</v>
      </c>
      <c r="C521" s="1">
        <v>41055.20040509259</v>
      </c>
      <c r="D521" s="4">
        <v>600000</v>
      </c>
      <c r="E521">
        <v>600000</v>
      </c>
      <c r="F521" t="s">
        <v>40</v>
      </c>
      <c r="G521">
        <f>tblSalaries[[#This Row],[clean Salary (in local currency)]]*VLOOKUP(tblSalaries[[#This Row],[Currency]],tblXrate[],2,FALSE)</f>
        <v>10684.750012465542</v>
      </c>
      <c r="H521" t="s">
        <v>201</v>
      </c>
      <c r="I521" t="s">
        <v>52</v>
      </c>
      <c r="J521" t="s">
        <v>8</v>
      </c>
      <c r="K521" t="str">
        <f>VLOOKUP(tblSalaries[[#This Row],[Where do you work]],tblCountries[[Actual]:[Mapping]],2,FALSE)</f>
        <v>India</v>
      </c>
      <c r="L521" t="s">
        <v>9</v>
      </c>
    </row>
    <row r="522" spans="2:12" ht="15" customHeight="1">
      <c r="B522" t="s">
        <v>2525</v>
      </c>
      <c r="C522" s="1">
        <v>41055.200624999998</v>
      </c>
      <c r="D522" s="4">
        <v>200000</v>
      </c>
      <c r="E522">
        <v>200000</v>
      </c>
      <c r="F522" t="s">
        <v>6</v>
      </c>
      <c r="G522">
        <f>tblSalaries[[#This Row],[clean Salary (in local currency)]]*VLOOKUP(tblSalaries[[#This Row],[Currency]],tblXrate[],2,FALSE)</f>
        <v>200000</v>
      </c>
      <c r="H522" t="s">
        <v>625</v>
      </c>
      <c r="I522" t="s">
        <v>4001</v>
      </c>
      <c r="J522" t="s">
        <v>15</v>
      </c>
      <c r="K522" t="str">
        <f>VLOOKUP(tblSalaries[[#This Row],[Where do you work]],tblCountries[[Actual]:[Mapping]],2,FALSE)</f>
        <v>USA</v>
      </c>
      <c r="L522" t="s">
        <v>18</v>
      </c>
    </row>
    <row r="523" spans="2:12" ht="15" customHeight="1">
      <c r="B523" t="s">
        <v>2526</v>
      </c>
      <c r="C523" s="1">
        <v>41055.201631944445</v>
      </c>
      <c r="D523" s="4" t="s">
        <v>626</v>
      </c>
      <c r="E523">
        <v>49248</v>
      </c>
      <c r="F523" t="s">
        <v>22</v>
      </c>
      <c r="G523">
        <f>tblSalaries[[#This Row],[clean Salary (in local currency)]]*VLOOKUP(tblSalaries[[#This Row],[Currency]],tblXrate[],2,FALSE)</f>
        <v>62564.631571458704</v>
      </c>
      <c r="H523" t="s">
        <v>627</v>
      </c>
      <c r="I523" t="s">
        <v>310</v>
      </c>
      <c r="J523" t="s">
        <v>628</v>
      </c>
      <c r="K523" t="str">
        <f>VLOOKUP(tblSalaries[[#This Row],[Where do you work]],tblCountries[[Actual]:[Mapping]],2,FALSE)</f>
        <v>Netherlands</v>
      </c>
      <c r="L523" t="s">
        <v>13</v>
      </c>
    </row>
    <row r="524" spans="2:12" ht="15" customHeight="1">
      <c r="B524" t="s">
        <v>2527</v>
      </c>
      <c r="C524" s="1">
        <v>41055.201932870368</v>
      </c>
      <c r="D524" s="4">
        <v>36500</v>
      </c>
      <c r="E524">
        <v>36500</v>
      </c>
      <c r="F524" t="s">
        <v>69</v>
      </c>
      <c r="G524">
        <f>tblSalaries[[#This Row],[clean Salary (in local currency)]]*VLOOKUP(tblSalaries[[#This Row],[Currency]],tblXrate[],2,FALSE)</f>
        <v>57530.506930455871</v>
      </c>
      <c r="H524" t="s">
        <v>629</v>
      </c>
      <c r="I524" t="s">
        <v>52</v>
      </c>
      <c r="J524" t="s">
        <v>71</v>
      </c>
      <c r="K524" t="str">
        <f>VLOOKUP(tblSalaries[[#This Row],[Where do you work]],tblCountries[[Actual]:[Mapping]],2,FALSE)</f>
        <v>UK</v>
      </c>
      <c r="L524" t="s">
        <v>18</v>
      </c>
    </row>
    <row r="525" spans="2:12" ht="15" customHeight="1">
      <c r="B525" t="s">
        <v>2528</v>
      </c>
      <c r="C525" s="1">
        <v>41055.20857638889</v>
      </c>
      <c r="D525" s="4">
        <v>82300</v>
      </c>
      <c r="E525">
        <v>82300</v>
      </c>
      <c r="F525" t="s">
        <v>6</v>
      </c>
      <c r="G525">
        <f>tblSalaries[[#This Row],[clean Salary (in local currency)]]*VLOOKUP(tblSalaries[[#This Row],[Currency]],tblXrate[],2,FALSE)</f>
        <v>82300</v>
      </c>
      <c r="H525" t="s">
        <v>630</v>
      </c>
      <c r="I525" t="s">
        <v>52</v>
      </c>
      <c r="J525" t="s">
        <v>15</v>
      </c>
      <c r="K525" t="str">
        <f>VLOOKUP(tblSalaries[[#This Row],[Where do you work]],tblCountries[[Actual]:[Mapping]],2,FALSE)</f>
        <v>USA</v>
      </c>
      <c r="L525" t="s">
        <v>18</v>
      </c>
    </row>
    <row r="526" spans="2:12" ht="15" customHeight="1">
      <c r="B526" t="s">
        <v>2529</v>
      </c>
      <c r="C526" s="1">
        <v>41055.211678240739</v>
      </c>
      <c r="D526" s="4">
        <v>95000</v>
      </c>
      <c r="E526">
        <v>95000</v>
      </c>
      <c r="F526" t="s">
        <v>6</v>
      </c>
      <c r="G526">
        <f>tblSalaries[[#This Row],[clean Salary (in local currency)]]*VLOOKUP(tblSalaries[[#This Row],[Currency]],tblXrate[],2,FALSE)</f>
        <v>95000</v>
      </c>
      <c r="H526" t="s">
        <v>631</v>
      </c>
      <c r="I526" t="s">
        <v>356</v>
      </c>
      <c r="J526" t="s">
        <v>15</v>
      </c>
      <c r="K526" t="str">
        <f>VLOOKUP(tblSalaries[[#This Row],[Where do you work]],tblCountries[[Actual]:[Mapping]],2,FALSE)</f>
        <v>USA</v>
      </c>
      <c r="L526" t="s">
        <v>9</v>
      </c>
    </row>
    <row r="527" spans="2:12" ht="15" customHeight="1">
      <c r="B527" t="s">
        <v>2530</v>
      </c>
      <c r="C527" s="1">
        <v>41055.213541666664</v>
      </c>
      <c r="D527" s="4">
        <v>140000</v>
      </c>
      <c r="E527">
        <v>140000</v>
      </c>
      <c r="F527" t="s">
        <v>69</v>
      </c>
      <c r="G527">
        <f>tblSalaries[[#This Row],[clean Salary (in local currency)]]*VLOOKUP(tblSalaries[[#This Row],[Currency]],tblXrate[],2,FALSE)</f>
        <v>220664.95808941979</v>
      </c>
      <c r="H527" t="s">
        <v>632</v>
      </c>
      <c r="I527" t="s">
        <v>67</v>
      </c>
      <c r="J527" t="s">
        <v>71</v>
      </c>
      <c r="K527" t="str">
        <f>VLOOKUP(tblSalaries[[#This Row],[Where do you work]],tblCountries[[Actual]:[Mapping]],2,FALSE)</f>
        <v>UK</v>
      </c>
      <c r="L527" t="s">
        <v>13</v>
      </c>
    </row>
    <row r="528" spans="2:12" ht="15" customHeight="1">
      <c r="B528" t="s">
        <v>2531</v>
      </c>
      <c r="C528" s="1">
        <v>41055.217395833337</v>
      </c>
      <c r="D528" s="4">
        <v>72000</v>
      </c>
      <c r="E528">
        <v>72000</v>
      </c>
      <c r="F528" t="s">
        <v>6</v>
      </c>
      <c r="G528">
        <f>tblSalaries[[#This Row],[clean Salary (in local currency)]]*VLOOKUP(tblSalaries[[#This Row],[Currency]],tblXrate[],2,FALSE)</f>
        <v>72000</v>
      </c>
      <c r="H528" t="s">
        <v>633</v>
      </c>
      <c r="I528" t="s">
        <v>20</v>
      </c>
      <c r="J528" t="s">
        <v>65</v>
      </c>
      <c r="K528" t="str">
        <f>VLOOKUP(tblSalaries[[#This Row],[Where do you work]],tblCountries[[Actual]:[Mapping]],2,FALSE)</f>
        <v>Russia</v>
      </c>
      <c r="L528" t="s">
        <v>18</v>
      </c>
    </row>
    <row r="529" spans="2:12" ht="15" customHeight="1">
      <c r="B529" t="s">
        <v>2532</v>
      </c>
      <c r="C529" s="1">
        <v>41055.219375000001</v>
      </c>
      <c r="D529" s="4">
        <v>60000</v>
      </c>
      <c r="E529">
        <v>60000</v>
      </c>
      <c r="F529" t="s">
        <v>82</v>
      </c>
      <c r="G529">
        <f>tblSalaries[[#This Row],[clean Salary (in local currency)]]*VLOOKUP(tblSalaries[[#This Row],[Currency]],tblXrate[],2,FALSE)</f>
        <v>61194.579384158147</v>
      </c>
      <c r="H529" t="s">
        <v>20</v>
      </c>
      <c r="I529" t="s">
        <v>20</v>
      </c>
      <c r="J529" t="s">
        <v>84</v>
      </c>
      <c r="K529" t="str">
        <f>VLOOKUP(tblSalaries[[#This Row],[Where do you work]],tblCountries[[Actual]:[Mapping]],2,FALSE)</f>
        <v>Australia</v>
      </c>
      <c r="L529" t="s">
        <v>18</v>
      </c>
    </row>
    <row r="530" spans="2:12" ht="15" customHeight="1">
      <c r="B530" t="s">
        <v>2533</v>
      </c>
      <c r="C530" s="1">
        <v>41055.220972222225</v>
      </c>
      <c r="D530" s="4" t="s">
        <v>634</v>
      </c>
      <c r="E530">
        <v>120000</v>
      </c>
      <c r="F530" t="s">
        <v>6</v>
      </c>
      <c r="G530">
        <f>tblSalaries[[#This Row],[clean Salary (in local currency)]]*VLOOKUP(tblSalaries[[#This Row],[Currency]],tblXrate[],2,FALSE)</f>
        <v>120000</v>
      </c>
      <c r="H530" t="s">
        <v>635</v>
      </c>
      <c r="I530" t="s">
        <v>52</v>
      </c>
      <c r="J530" t="s">
        <v>636</v>
      </c>
      <c r="K530" t="str">
        <f>VLOOKUP(tblSalaries[[#This Row],[Where do you work]],tblCountries[[Actual]:[Mapping]],2,FALSE)</f>
        <v>New Zealand</v>
      </c>
      <c r="L530" t="s">
        <v>18</v>
      </c>
    </row>
    <row r="531" spans="2:12" ht="15" customHeight="1">
      <c r="B531" t="s">
        <v>2534</v>
      </c>
      <c r="C531" s="1">
        <v>41055.221145833333</v>
      </c>
      <c r="D531" s="4" t="s">
        <v>637</v>
      </c>
      <c r="E531">
        <v>95000</v>
      </c>
      <c r="F531" t="s">
        <v>6</v>
      </c>
      <c r="G531">
        <f>tblSalaries[[#This Row],[clean Salary (in local currency)]]*VLOOKUP(tblSalaries[[#This Row],[Currency]],tblXrate[],2,FALSE)</f>
        <v>95000</v>
      </c>
      <c r="H531" t="s">
        <v>638</v>
      </c>
      <c r="I531" t="s">
        <v>4001</v>
      </c>
      <c r="J531" t="s">
        <v>639</v>
      </c>
      <c r="K531" t="str">
        <f>VLOOKUP(tblSalaries[[#This Row],[Where do you work]],tblCountries[[Actual]:[Mapping]],2,FALSE)</f>
        <v>Central America</v>
      </c>
      <c r="L531" t="s">
        <v>18</v>
      </c>
    </row>
    <row r="532" spans="2:12" ht="15" customHeight="1">
      <c r="B532" t="s">
        <v>2535</v>
      </c>
      <c r="C532" s="1">
        <v>41055.222719907404</v>
      </c>
      <c r="D532" s="4">
        <v>50000</v>
      </c>
      <c r="E532">
        <v>50000</v>
      </c>
      <c r="F532" t="s">
        <v>6</v>
      </c>
      <c r="G532">
        <f>tblSalaries[[#This Row],[clean Salary (in local currency)]]*VLOOKUP(tblSalaries[[#This Row],[Currency]],tblXrate[],2,FALSE)</f>
        <v>50000</v>
      </c>
      <c r="H532" t="s">
        <v>640</v>
      </c>
      <c r="I532" t="s">
        <v>20</v>
      </c>
      <c r="J532" t="s">
        <v>15</v>
      </c>
      <c r="K532" t="str">
        <f>VLOOKUP(tblSalaries[[#This Row],[Where do you work]],tblCountries[[Actual]:[Mapping]],2,FALSE)</f>
        <v>USA</v>
      </c>
      <c r="L532" t="s">
        <v>18</v>
      </c>
    </row>
    <row r="533" spans="2:12" ht="15" customHeight="1">
      <c r="B533" t="s">
        <v>2536</v>
      </c>
      <c r="C533" s="1">
        <v>41055.224537037036</v>
      </c>
      <c r="D533" s="4" t="s">
        <v>641</v>
      </c>
      <c r="E533">
        <v>73000</v>
      </c>
      <c r="F533" t="s">
        <v>69</v>
      </c>
      <c r="G533">
        <f>tblSalaries[[#This Row],[clean Salary (in local currency)]]*VLOOKUP(tblSalaries[[#This Row],[Currency]],tblXrate[],2,FALSE)</f>
        <v>115061.01386091174</v>
      </c>
      <c r="H533" t="s">
        <v>642</v>
      </c>
      <c r="I533" t="s">
        <v>52</v>
      </c>
      <c r="J533" t="s">
        <v>71</v>
      </c>
      <c r="K533" t="str">
        <f>VLOOKUP(tblSalaries[[#This Row],[Where do you work]],tblCountries[[Actual]:[Mapping]],2,FALSE)</f>
        <v>UK</v>
      </c>
      <c r="L533" t="s">
        <v>9</v>
      </c>
    </row>
    <row r="534" spans="2:12" ht="15" customHeight="1">
      <c r="B534" t="s">
        <v>2537</v>
      </c>
      <c r="C534" s="1">
        <v>41055.225185185183</v>
      </c>
      <c r="D534" s="4">
        <v>50000</v>
      </c>
      <c r="E534">
        <v>50000</v>
      </c>
      <c r="F534" t="s">
        <v>6</v>
      </c>
      <c r="G534">
        <f>tblSalaries[[#This Row],[clean Salary (in local currency)]]*VLOOKUP(tblSalaries[[#This Row],[Currency]],tblXrate[],2,FALSE)</f>
        <v>50000</v>
      </c>
      <c r="H534" t="s">
        <v>643</v>
      </c>
      <c r="I534" t="s">
        <v>20</v>
      </c>
      <c r="J534" t="s">
        <v>644</v>
      </c>
      <c r="K534" t="str">
        <f>VLOOKUP(tblSalaries[[#This Row],[Where do you work]],tblCountries[[Actual]:[Mapping]],2,FALSE)</f>
        <v>self-employed</v>
      </c>
      <c r="L534" t="s">
        <v>9</v>
      </c>
    </row>
    <row r="535" spans="2:12" ht="15" customHeight="1">
      <c r="B535" t="s">
        <v>2538</v>
      </c>
      <c r="C535" s="1">
        <v>41055.22724537037</v>
      </c>
      <c r="D535" s="4">
        <v>46000</v>
      </c>
      <c r="E535">
        <v>46000</v>
      </c>
      <c r="F535" t="s">
        <v>6</v>
      </c>
      <c r="G535">
        <f>tblSalaries[[#This Row],[clean Salary (in local currency)]]*VLOOKUP(tblSalaries[[#This Row],[Currency]],tblXrate[],2,FALSE)</f>
        <v>46000</v>
      </c>
      <c r="H535" t="s">
        <v>200</v>
      </c>
      <c r="I535" t="s">
        <v>20</v>
      </c>
      <c r="J535" t="s">
        <v>15</v>
      </c>
      <c r="K535" t="str">
        <f>VLOOKUP(tblSalaries[[#This Row],[Where do you work]],tblCountries[[Actual]:[Mapping]],2,FALSE)</f>
        <v>USA</v>
      </c>
      <c r="L535" t="s">
        <v>18</v>
      </c>
    </row>
    <row r="536" spans="2:12" ht="15" customHeight="1">
      <c r="B536" t="s">
        <v>2539</v>
      </c>
      <c r="C536" s="1">
        <v>41055.227511574078</v>
      </c>
      <c r="D536" s="4" t="s">
        <v>645</v>
      </c>
      <c r="E536">
        <v>600000</v>
      </c>
      <c r="F536" t="s">
        <v>32</v>
      </c>
      <c r="G536">
        <f>tblSalaries[[#This Row],[clean Salary (in local currency)]]*VLOOKUP(tblSalaries[[#This Row],[Currency]],tblXrate[],2,FALSE)</f>
        <v>6368.453230079479</v>
      </c>
      <c r="H536" t="s">
        <v>646</v>
      </c>
      <c r="I536" t="s">
        <v>356</v>
      </c>
      <c r="J536" t="s">
        <v>17</v>
      </c>
      <c r="K536" t="str">
        <f>VLOOKUP(tblSalaries[[#This Row],[Where do you work]],tblCountries[[Actual]:[Mapping]],2,FALSE)</f>
        <v>Pakistan</v>
      </c>
      <c r="L536" t="s">
        <v>9</v>
      </c>
    </row>
    <row r="537" spans="2:12" ht="15" customHeight="1">
      <c r="B537" t="s">
        <v>2540</v>
      </c>
      <c r="C537" s="1">
        <v>41055.228310185186</v>
      </c>
      <c r="D537" s="4">
        <v>85000</v>
      </c>
      <c r="E537">
        <v>85000</v>
      </c>
      <c r="F537" t="s">
        <v>82</v>
      </c>
      <c r="G537">
        <f>tblSalaries[[#This Row],[clean Salary (in local currency)]]*VLOOKUP(tblSalaries[[#This Row],[Currency]],tblXrate[],2,FALSE)</f>
        <v>86692.320794224041</v>
      </c>
      <c r="H537" t="s">
        <v>647</v>
      </c>
      <c r="I537" t="s">
        <v>20</v>
      </c>
      <c r="J537" t="s">
        <v>84</v>
      </c>
      <c r="K537" t="str">
        <f>VLOOKUP(tblSalaries[[#This Row],[Where do you work]],tblCountries[[Actual]:[Mapping]],2,FALSE)</f>
        <v>Australia</v>
      </c>
      <c r="L537" t="s">
        <v>9</v>
      </c>
    </row>
    <row r="538" spans="2:12" ht="15" customHeight="1">
      <c r="B538" t="s">
        <v>2541</v>
      </c>
      <c r="C538" s="1">
        <v>41055.229108796295</v>
      </c>
      <c r="D538" s="4">
        <v>450000</v>
      </c>
      <c r="E538">
        <v>450000</v>
      </c>
      <c r="F538" t="s">
        <v>40</v>
      </c>
      <c r="G538">
        <f>tblSalaries[[#This Row],[clean Salary (in local currency)]]*VLOOKUP(tblSalaries[[#This Row],[Currency]],tblXrate[],2,FALSE)</f>
        <v>8013.5625093491553</v>
      </c>
      <c r="H538" t="s">
        <v>648</v>
      </c>
      <c r="I538" t="s">
        <v>52</v>
      </c>
      <c r="J538" t="s">
        <v>8</v>
      </c>
      <c r="K538" t="str">
        <f>VLOOKUP(tblSalaries[[#This Row],[Where do you work]],tblCountries[[Actual]:[Mapping]],2,FALSE)</f>
        <v>India</v>
      </c>
      <c r="L538" t="s">
        <v>13</v>
      </c>
    </row>
    <row r="539" spans="2:12" ht="15" customHeight="1">
      <c r="B539" t="s">
        <v>2542</v>
      </c>
      <c r="C539" s="1">
        <v>41055.229143518518</v>
      </c>
      <c r="D539" s="4">
        <v>43000</v>
      </c>
      <c r="E539">
        <v>43000</v>
      </c>
      <c r="F539" t="s">
        <v>6</v>
      </c>
      <c r="G539">
        <f>tblSalaries[[#This Row],[clean Salary (in local currency)]]*VLOOKUP(tblSalaries[[#This Row],[Currency]],tblXrate[],2,FALSE)</f>
        <v>43000</v>
      </c>
      <c r="H539" t="s">
        <v>310</v>
      </c>
      <c r="I539" t="s">
        <v>310</v>
      </c>
      <c r="J539" t="s">
        <v>15</v>
      </c>
      <c r="K539" t="str">
        <f>VLOOKUP(tblSalaries[[#This Row],[Where do you work]],tblCountries[[Actual]:[Mapping]],2,FALSE)</f>
        <v>USA</v>
      </c>
      <c r="L539" t="s">
        <v>13</v>
      </c>
    </row>
    <row r="540" spans="2:12" ht="15" customHeight="1">
      <c r="B540" t="s">
        <v>2543</v>
      </c>
      <c r="C540" s="1">
        <v>41055.229305555556</v>
      </c>
      <c r="D540" s="4">
        <v>1500</v>
      </c>
      <c r="E540">
        <v>18000</v>
      </c>
      <c r="F540" t="s">
        <v>6</v>
      </c>
      <c r="G540">
        <f>tblSalaries[[#This Row],[clean Salary (in local currency)]]*VLOOKUP(tblSalaries[[#This Row],[Currency]],tblXrate[],2,FALSE)</f>
        <v>18000</v>
      </c>
      <c r="H540" t="s">
        <v>279</v>
      </c>
      <c r="I540" t="s">
        <v>279</v>
      </c>
      <c r="J540" t="s">
        <v>143</v>
      </c>
      <c r="K540" t="str">
        <f>VLOOKUP(tblSalaries[[#This Row],[Where do you work]],tblCountries[[Actual]:[Mapping]],2,FALSE)</f>
        <v>Brazil</v>
      </c>
      <c r="L540" t="s">
        <v>9</v>
      </c>
    </row>
    <row r="541" spans="2:12" ht="15" customHeight="1">
      <c r="B541" t="s">
        <v>2544</v>
      </c>
      <c r="C541" s="1">
        <v>41055.229930555557</v>
      </c>
      <c r="D541" s="4">
        <v>55000</v>
      </c>
      <c r="E541">
        <v>55000</v>
      </c>
      <c r="F541" t="s">
        <v>6</v>
      </c>
      <c r="G541">
        <f>tblSalaries[[#This Row],[clean Salary (in local currency)]]*VLOOKUP(tblSalaries[[#This Row],[Currency]],tblXrate[],2,FALSE)</f>
        <v>55000</v>
      </c>
      <c r="H541" t="s">
        <v>387</v>
      </c>
      <c r="I541" t="s">
        <v>20</v>
      </c>
      <c r="J541" t="s">
        <v>15</v>
      </c>
      <c r="K541" t="str">
        <f>VLOOKUP(tblSalaries[[#This Row],[Where do you work]],tblCountries[[Actual]:[Mapping]],2,FALSE)</f>
        <v>USA</v>
      </c>
      <c r="L541" t="s">
        <v>18</v>
      </c>
    </row>
    <row r="542" spans="2:12" ht="15" customHeight="1">
      <c r="B542" t="s">
        <v>2545</v>
      </c>
      <c r="C542" s="1">
        <v>41055.230150462965</v>
      </c>
      <c r="D542" s="4" t="s">
        <v>457</v>
      </c>
      <c r="E542">
        <v>500000</v>
      </c>
      <c r="F542" t="s">
        <v>40</v>
      </c>
      <c r="G542">
        <f>tblSalaries[[#This Row],[clean Salary (in local currency)]]*VLOOKUP(tblSalaries[[#This Row],[Currency]],tblXrate[],2,FALSE)</f>
        <v>8903.9583437212841</v>
      </c>
      <c r="H542" t="s">
        <v>649</v>
      </c>
      <c r="I542" t="s">
        <v>20</v>
      </c>
      <c r="J542" t="s">
        <v>8</v>
      </c>
      <c r="K542" t="str">
        <f>VLOOKUP(tblSalaries[[#This Row],[Where do you work]],tblCountries[[Actual]:[Mapping]],2,FALSE)</f>
        <v>India</v>
      </c>
      <c r="L542" t="s">
        <v>13</v>
      </c>
    </row>
    <row r="543" spans="2:12" ht="15" customHeight="1">
      <c r="B543" t="s">
        <v>2546</v>
      </c>
      <c r="C543" s="1">
        <v>41055.231747685182</v>
      </c>
      <c r="D543" s="4">
        <v>45000</v>
      </c>
      <c r="E543">
        <v>45000</v>
      </c>
      <c r="F543" t="s">
        <v>6</v>
      </c>
      <c r="G543">
        <f>tblSalaries[[#This Row],[clean Salary (in local currency)]]*VLOOKUP(tblSalaries[[#This Row],[Currency]],tblXrate[],2,FALSE)</f>
        <v>45000</v>
      </c>
      <c r="H543" t="s">
        <v>650</v>
      </c>
      <c r="I543" t="s">
        <v>3999</v>
      </c>
      <c r="J543" t="s">
        <v>15</v>
      </c>
      <c r="K543" t="str">
        <f>VLOOKUP(tblSalaries[[#This Row],[Where do you work]],tblCountries[[Actual]:[Mapping]],2,FALSE)</f>
        <v>USA</v>
      </c>
      <c r="L543" t="s">
        <v>13</v>
      </c>
    </row>
    <row r="544" spans="2:12" ht="15" customHeight="1">
      <c r="B544" t="s">
        <v>2547</v>
      </c>
      <c r="C544" s="1">
        <v>41055.232638888891</v>
      </c>
      <c r="D544" s="4">
        <v>50000</v>
      </c>
      <c r="E544">
        <v>50000</v>
      </c>
      <c r="F544" t="s">
        <v>6</v>
      </c>
      <c r="G544">
        <f>tblSalaries[[#This Row],[clean Salary (in local currency)]]*VLOOKUP(tblSalaries[[#This Row],[Currency]],tblXrate[],2,FALSE)</f>
        <v>50000</v>
      </c>
      <c r="H544" t="s">
        <v>651</v>
      </c>
      <c r="I544" t="s">
        <v>52</v>
      </c>
      <c r="J544" t="s">
        <v>15</v>
      </c>
      <c r="K544" t="str">
        <f>VLOOKUP(tblSalaries[[#This Row],[Where do you work]],tblCountries[[Actual]:[Mapping]],2,FALSE)</f>
        <v>USA</v>
      </c>
      <c r="L544" t="s">
        <v>9</v>
      </c>
    </row>
    <row r="545" spans="2:13" ht="15" customHeight="1">
      <c r="B545" t="s">
        <v>2548</v>
      </c>
      <c r="C545" s="1">
        <v>41055.239374999997</v>
      </c>
      <c r="D545" s="4" t="s">
        <v>652</v>
      </c>
      <c r="E545">
        <v>80000</v>
      </c>
      <c r="F545" t="s">
        <v>6</v>
      </c>
      <c r="G545">
        <f>tblSalaries[[#This Row],[clean Salary (in local currency)]]*VLOOKUP(tblSalaries[[#This Row],[Currency]],tblXrate[],2,FALSE)</f>
        <v>80000</v>
      </c>
      <c r="H545" t="s">
        <v>653</v>
      </c>
      <c r="I545" t="s">
        <v>20</v>
      </c>
      <c r="J545" t="s">
        <v>15</v>
      </c>
      <c r="K545" t="str">
        <f>VLOOKUP(tblSalaries[[#This Row],[Where do you work]],tblCountries[[Actual]:[Mapping]],2,FALSE)</f>
        <v>USA</v>
      </c>
      <c r="L545" t="s">
        <v>13</v>
      </c>
    </row>
    <row r="546" spans="2:13" ht="15" customHeight="1">
      <c r="B546" t="s">
        <v>2549</v>
      </c>
      <c r="C546" s="1">
        <v>41055.240300925929</v>
      </c>
      <c r="D546" s="4">
        <v>67000</v>
      </c>
      <c r="E546">
        <v>67000</v>
      </c>
      <c r="F546" t="s">
        <v>6</v>
      </c>
      <c r="G546">
        <f>tblSalaries[[#This Row],[clean Salary (in local currency)]]*VLOOKUP(tblSalaries[[#This Row],[Currency]],tblXrate[],2,FALSE)</f>
        <v>67000</v>
      </c>
      <c r="H546" t="s">
        <v>394</v>
      </c>
      <c r="I546" t="s">
        <v>20</v>
      </c>
      <c r="J546" t="s">
        <v>15</v>
      </c>
      <c r="K546" t="str">
        <f>VLOOKUP(tblSalaries[[#This Row],[Where do you work]],tblCountries[[Actual]:[Mapping]],2,FALSE)</f>
        <v>USA</v>
      </c>
      <c r="L546" t="s">
        <v>9</v>
      </c>
    </row>
    <row r="547" spans="2:13" ht="15" customHeight="1">
      <c r="B547" t="s">
        <v>2550</v>
      </c>
      <c r="C547" s="1">
        <v>41055.240763888891</v>
      </c>
      <c r="D547" s="4">
        <v>111000</v>
      </c>
      <c r="E547">
        <v>111000</v>
      </c>
      <c r="F547" t="s">
        <v>6</v>
      </c>
      <c r="G547">
        <f>tblSalaries[[#This Row],[clean Salary (in local currency)]]*VLOOKUP(tblSalaries[[#This Row],[Currency]],tblXrate[],2,FALSE)</f>
        <v>111000</v>
      </c>
      <c r="H547" t="s">
        <v>424</v>
      </c>
      <c r="I547" t="s">
        <v>20</v>
      </c>
      <c r="J547" t="s">
        <v>654</v>
      </c>
      <c r="K547" t="str">
        <f>VLOOKUP(tblSalaries[[#This Row],[Where do you work]],tblCountries[[Actual]:[Mapping]],2,FALSE)</f>
        <v>Japan</v>
      </c>
      <c r="L547" t="s">
        <v>13</v>
      </c>
    </row>
    <row r="548" spans="2:13" ht="15" customHeight="1">
      <c r="B548" t="s">
        <v>2551</v>
      </c>
      <c r="C548" s="1">
        <v>41055.241782407407</v>
      </c>
      <c r="D548" s="4">
        <v>120000</v>
      </c>
      <c r="E548">
        <v>120000</v>
      </c>
      <c r="F548" t="s">
        <v>6</v>
      </c>
      <c r="G548">
        <f>tblSalaries[[#This Row],[clean Salary (in local currency)]]*VLOOKUP(tblSalaries[[#This Row],[Currency]],tblXrate[],2,FALSE)</f>
        <v>120000</v>
      </c>
      <c r="H548" t="s">
        <v>139</v>
      </c>
      <c r="I548" t="s">
        <v>4001</v>
      </c>
      <c r="J548" t="s">
        <v>15</v>
      </c>
      <c r="K548" t="str">
        <f>VLOOKUP(tblSalaries[[#This Row],[Where do you work]],tblCountries[[Actual]:[Mapping]],2,FALSE)</f>
        <v>USA</v>
      </c>
      <c r="L548" t="s">
        <v>9</v>
      </c>
    </row>
    <row r="549" spans="2:13" ht="15" customHeight="1">
      <c r="B549" t="s">
        <v>2552</v>
      </c>
      <c r="C549" s="1">
        <v>41055.241805555554</v>
      </c>
      <c r="D549" s="4" t="s">
        <v>655</v>
      </c>
      <c r="E549">
        <v>20000</v>
      </c>
      <c r="F549" t="s">
        <v>69</v>
      </c>
      <c r="G549">
        <f>tblSalaries[[#This Row],[clean Salary (in local currency)]]*VLOOKUP(tblSalaries[[#This Row],[Currency]],tblXrate[],2,FALSE)</f>
        <v>31523.565441345683</v>
      </c>
      <c r="H549" t="s">
        <v>656</v>
      </c>
      <c r="I549" t="s">
        <v>356</v>
      </c>
      <c r="J549" t="s">
        <v>71</v>
      </c>
      <c r="K549" t="str">
        <f>VLOOKUP(tblSalaries[[#This Row],[Where do you work]],tblCountries[[Actual]:[Mapping]],2,FALSE)</f>
        <v>UK</v>
      </c>
      <c r="L549" t="s">
        <v>9</v>
      </c>
    </row>
    <row r="550" spans="2:13" ht="15" customHeight="1">
      <c r="B550" t="s">
        <v>2553</v>
      </c>
      <c r="C550" s="1">
        <v>41055.243298611109</v>
      </c>
      <c r="D550" s="4">
        <v>77000</v>
      </c>
      <c r="E550">
        <v>77000</v>
      </c>
      <c r="F550" t="s">
        <v>82</v>
      </c>
      <c r="G550">
        <f>tblSalaries[[#This Row],[clean Salary (in local currency)]]*VLOOKUP(tblSalaries[[#This Row],[Currency]],tblXrate[],2,FALSE)</f>
        <v>78533.043543002947</v>
      </c>
      <c r="H550" t="s">
        <v>657</v>
      </c>
      <c r="I550" t="s">
        <v>20</v>
      </c>
      <c r="J550" t="s">
        <v>84</v>
      </c>
      <c r="K550" t="str">
        <f>VLOOKUP(tblSalaries[[#This Row],[Where do you work]],tblCountries[[Actual]:[Mapping]],2,FALSE)</f>
        <v>Australia</v>
      </c>
      <c r="L550" t="s">
        <v>18</v>
      </c>
    </row>
    <row r="551" spans="2:13" ht="15" customHeight="1">
      <c r="B551" t="s">
        <v>2554</v>
      </c>
      <c r="C551" s="1">
        <v>41055.243321759262</v>
      </c>
      <c r="D551" s="4">
        <v>60000</v>
      </c>
      <c r="E551">
        <v>60000</v>
      </c>
      <c r="F551" t="s">
        <v>6</v>
      </c>
      <c r="G551">
        <f>tblSalaries[[#This Row],[clean Salary (in local currency)]]*VLOOKUP(tblSalaries[[#This Row],[Currency]],tblXrate[],2,FALSE)</f>
        <v>60000</v>
      </c>
      <c r="H551" t="s">
        <v>658</v>
      </c>
      <c r="I551" t="s">
        <v>67</v>
      </c>
      <c r="J551" t="s">
        <v>15</v>
      </c>
      <c r="K551" t="str">
        <f>VLOOKUP(tblSalaries[[#This Row],[Where do you work]],tblCountries[[Actual]:[Mapping]],2,FALSE)</f>
        <v>USA</v>
      </c>
      <c r="L551" t="s">
        <v>25</v>
      </c>
    </row>
    <row r="552" spans="2:13" ht="15" customHeight="1">
      <c r="B552" t="s">
        <v>2555</v>
      </c>
      <c r="C552" s="1">
        <v>41055.243356481478</v>
      </c>
      <c r="D552" s="4">
        <v>35000</v>
      </c>
      <c r="E552">
        <v>35000</v>
      </c>
      <c r="F552" t="s">
        <v>6</v>
      </c>
      <c r="G552">
        <f>tblSalaries[[#This Row],[clean Salary (in local currency)]]*VLOOKUP(tblSalaries[[#This Row],[Currency]],tblXrate[],2,FALSE)</f>
        <v>35000</v>
      </c>
      <c r="H552" t="s">
        <v>20</v>
      </c>
      <c r="I552" t="s">
        <v>20</v>
      </c>
      <c r="J552" t="s">
        <v>15</v>
      </c>
      <c r="K552" t="str">
        <f>VLOOKUP(tblSalaries[[#This Row],[Where do you work]],tblCountries[[Actual]:[Mapping]],2,FALSE)</f>
        <v>USA</v>
      </c>
      <c r="L552" t="s">
        <v>18</v>
      </c>
    </row>
    <row r="553" spans="2:13" ht="15" customHeight="1">
      <c r="B553" t="s">
        <v>2556</v>
      </c>
      <c r="C553" s="1">
        <v>41055.244988425926</v>
      </c>
      <c r="D553" s="4">
        <v>50000</v>
      </c>
      <c r="E553">
        <v>50000</v>
      </c>
      <c r="F553" t="s">
        <v>22</v>
      </c>
      <c r="G553">
        <f>tblSalaries[[#This Row],[clean Salary (in local currency)]]*VLOOKUP(tblSalaries[[#This Row],[Currency]],tblXrate[],2,FALSE)</f>
        <v>63519.971949580387</v>
      </c>
      <c r="H553" t="s">
        <v>659</v>
      </c>
      <c r="I553" t="s">
        <v>52</v>
      </c>
      <c r="J553" t="s">
        <v>136</v>
      </c>
      <c r="K553" t="str">
        <f>VLOOKUP(tblSalaries[[#This Row],[Where do you work]],tblCountries[[Actual]:[Mapping]],2,FALSE)</f>
        <v>Panama</v>
      </c>
      <c r="L553" t="s">
        <v>18</v>
      </c>
    </row>
    <row r="554" spans="2:13" ht="15" customHeight="1">
      <c r="B554" t="s">
        <v>2557</v>
      </c>
      <c r="C554" s="1">
        <v>41055.246782407405</v>
      </c>
      <c r="D554" s="4">
        <v>54000</v>
      </c>
      <c r="E554">
        <v>54000</v>
      </c>
      <c r="F554" t="s">
        <v>6</v>
      </c>
      <c r="G554">
        <f>tblSalaries[[#This Row],[clean Salary (in local currency)]]*VLOOKUP(tblSalaries[[#This Row],[Currency]],tblXrate[],2,FALSE)</f>
        <v>54000</v>
      </c>
      <c r="H554" t="s">
        <v>660</v>
      </c>
      <c r="I554" t="s">
        <v>67</v>
      </c>
      <c r="J554" t="s">
        <v>15</v>
      </c>
      <c r="K554" t="str">
        <f>VLOOKUP(tblSalaries[[#This Row],[Where do you work]],tblCountries[[Actual]:[Mapping]],2,FALSE)</f>
        <v>USA</v>
      </c>
      <c r="L554" t="s">
        <v>13</v>
      </c>
      <c r="M554">
        <v>5</v>
      </c>
    </row>
    <row r="555" spans="2:13" ht="15" customHeight="1">
      <c r="B555" t="s">
        <v>2558</v>
      </c>
      <c r="C555" s="1">
        <v>41055.251354166663</v>
      </c>
      <c r="D555" s="4">
        <v>1300</v>
      </c>
      <c r="E555">
        <v>15600</v>
      </c>
      <c r="F555" t="s">
        <v>6</v>
      </c>
      <c r="G555">
        <f>tblSalaries[[#This Row],[clean Salary (in local currency)]]*VLOOKUP(tblSalaries[[#This Row],[Currency]],tblXrate[],2,FALSE)</f>
        <v>15600</v>
      </c>
      <c r="H555" t="s">
        <v>661</v>
      </c>
      <c r="I555" t="s">
        <v>488</v>
      </c>
      <c r="J555" t="s">
        <v>662</v>
      </c>
      <c r="K555" t="str">
        <f>VLOOKUP(tblSalaries[[#This Row],[Where do you work]],tblCountries[[Actual]:[Mapping]],2,FALSE)</f>
        <v>Brazil</v>
      </c>
      <c r="L555" t="s">
        <v>9</v>
      </c>
      <c r="M555">
        <v>20</v>
      </c>
    </row>
    <row r="556" spans="2:13" ht="15" customHeight="1">
      <c r="B556" t="s">
        <v>2559</v>
      </c>
      <c r="C556" s="1">
        <v>41055.25582175926</v>
      </c>
      <c r="D556" s="4">
        <v>35000</v>
      </c>
      <c r="E556">
        <v>35000</v>
      </c>
      <c r="F556" t="s">
        <v>6</v>
      </c>
      <c r="G556">
        <f>tblSalaries[[#This Row],[clean Salary (in local currency)]]*VLOOKUP(tblSalaries[[#This Row],[Currency]],tblXrate[],2,FALSE)</f>
        <v>35000</v>
      </c>
      <c r="H556" t="s">
        <v>663</v>
      </c>
      <c r="I556" t="s">
        <v>20</v>
      </c>
      <c r="J556" t="s">
        <v>15</v>
      </c>
      <c r="K556" t="str">
        <f>VLOOKUP(tblSalaries[[#This Row],[Where do you work]],tblCountries[[Actual]:[Mapping]],2,FALSE)</f>
        <v>USA</v>
      </c>
      <c r="L556" t="s">
        <v>25</v>
      </c>
      <c r="M556">
        <v>7</v>
      </c>
    </row>
    <row r="557" spans="2:13" ht="15" customHeight="1">
      <c r="B557" t="s">
        <v>2560</v>
      </c>
      <c r="C557" s="1">
        <v>41055.257037037038</v>
      </c>
      <c r="D557" s="4">
        <v>188000</v>
      </c>
      <c r="E557">
        <v>188000</v>
      </c>
      <c r="F557" t="s">
        <v>6</v>
      </c>
      <c r="G557">
        <f>tblSalaries[[#This Row],[clean Salary (in local currency)]]*VLOOKUP(tblSalaries[[#This Row],[Currency]],tblXrate[],2,FALSE)</f>
        <v>188000</v>
      </c>
      <c r="H557" t="s">
        <v>664</v>
      </c>
      <c r="I557" t="s">
        <v>4001</v>
      </c>
      <c r="J557" t="s">
        <v>15</v>
      </c>
      <c r="K557" t="str">
        <f>VLOOKUP(tblSalaries[[#This Row],[Where do you work]],tblCountries[[Actual]:[Mapping]],2,FALSE)</f>
        <v>USA</v>
      </c>
      <c r="L557" t="s">
        <v>25</v>
      </c>
      <c r="M557">
        <v>20</v>
      </c>
    </row>
    <row r="558" spans="2:13" ht="15" customHeight="1">
      <c r="B558" t="s">
        <v>2561</v>
      </c>
      <c r="C558" s="1">
        <v>41055.259872685187</v>
      </c>
      <c r="D558" s="4">
        <v>27500</v>
      </c>
      <c r="E558">
        <v>27500</v>
      </c>
      <c r="F558" t="s">
        <v>6</v>
      </c>
      <c r="G558">
        <f>tblSalaries[[#This Row],[clean Salary (in local currency)]]*VLOOKUP(tblSalaries[[#This Row],[Currency]],tblXrate[],2,FALSE)</f>
        <v>27500</v>
      </c>
      <c r="H558" t="s">
        <v>616</v>
      </c>
      <c r="I558" t="s">
        <v>20</v>
      </c>
      <c r="J558" t="s">
        <v>15</v>
      </c>
      <c r="K558" t="str">
        <f>VLOOKUP(tblSalaries[[#This Row],[Where do you work]],tblCountries[[Actual]:[Mapping]],2,FALSE)</f>
        <v>USA</v>
      </c>
      <c r="L558" t="s">
        <v>13</v>
      </c>
      <c r="M558">
        <v>1</v>
      </c>
    </row>
    <row r="559" spans="2:13" ht="15" customHeight="1">
      <c r="B559" t="s">
        <v>2562</v>
      </c>
      <c r="C559" s="1">
        <v>41055.264328703706</v>
      </c>
      <c r="D559" s="4">
        <v>140000</v>
      </c>
      <c r="E559">
        <v>140000</v>
      </c>
      <c r="F559" t="s">
        <v>6</v>
      </c>
      <c r="G559">
        <f>tblSalaries[[#This Row],[clean Salary (in local currency)]]*VLOOKUP(tblSalaries[[#This Row],[Currency]],tblXrate[],2,FALSE)</f>
        <v>140000</v>
      </c>
      <c r="H559" t="s">
        <v>270</v>
      </c>
      <c r="I559" t="s">
        <v>488</v>
      </c>
      <c r="J559" t="s">
        <v>15</v>
      </c>
      <c r="K559" t="str">
        <f>VLOOKUP(tblSalaries[[#This Row],[Where do you work]],tblCountries[[Actual]:[Mapping]],2,FALSE)</f>
        <v>USA</v>
      </c>
      <c r="L559" t="s">
        <v>18</v>
      </c>
      <c r="M559">
        <v>10</v>
      </c>
    </row>
    <row r="560" spans="2:13" ht="15" customHeight="1">
      <c r="B560" t="s">
        <v>2563</v>
      </c>
      <c r="C560" s="1">
        <v>41055.266701388886</v>
      </c>
      <c r="D560" s="4">
        <v>55000</v>
      </c>
      <c r="E560">
        <v>55000</v>
      </c>
      <c r="F560" t="s">
        <v>22</v>
      </c>
      <c r="G560">
        <f>tblSalaries[[#This Row],[clean Salary (in local currency)]]*VLOOKUP(tblSalaries[[#This Row],[Currency]],tblXrate[],2,FALSE)</f>
        <v>69871.969144538423</v>
      </c>
      <c r="H560" t="s">
        <v>647</v>
      </c>
      <c r="I560" t="s">
        <v>20</v>
      </c>
      <c r="J560" t="s">
        <v>628</v>
      </c>
      <c r="K560" t="str">
        <f>VLOOKUP(tblSalaries[[#This Row],[Where do you work]],tblCountries[[Actual]:[Mapping]],2,FALSE)</f>
        <v>Netherlands</v>
      </c>
      <c r="L560" t="s">
        <v>13</v>
      </c>
      <c r="M560">
        <v>6</v>
      </c>
    </row>
    <row r="561" spans="2:13" ht="15" customHeight="1">
      <c r="B561" t="s">
        <v>2564</v>
      </c>
      <c r="C561" s="1">
        <v>41055.278460648151</v>
      </c>
      <c r="D561" s="4">
        <v>45000</v>
      </c>
      <c r="E561">
        <v>45000</v>
      </c>
      <c r="F561" t="s">
        <v>6</v>
      </c>
      <c r="G561">
        <f>tblSalaries[[#This Row],[clean Salary (in local currency)]]*VLOOKUP(tblSalaries[[#This Row],[Currency]],tblXrate[],2,FALSE)</f>
        <v>45000</v>
      </c>
      <c r="H561" t="s">
        <v>665</v>
      </c>
      <c r="I561" t="s">
        <v>20</v>
      </c>
      <c r="J561" t="s">
        <v>15</v>
      </c>
      <c r="K561" t="str">
        <f>VLOOKUP(tblSalaries[[#This Row],[Where do you work]],tblCountries[[Actual]:[Mapping]],2,FALSE)</f>
        <v>USA</v>
      </c>
      <c r="L561" t="s">
        <v>9</v>
      </c>
      <c r="M561">
        <v>2</v>
      </c>
    </row>
    <row r="562" spans="2:13" ht="15" customHeight="1">
      <c r="B562" t="s">
        <v>2565</v>
      </c>
      <c r="C562" s="1">
        <v>41055.28197916667</v>
      </c>
      <c r="D562" s="4" t="s">
        <v>666</v>
      </c>
      <c r="E562">
        <v>95000</v>
      </c>
      <c r="F562" t="s">
        <v>6</v>
      </c>
      <c r="G562">
        <f>tblSalaries[[#This Row],[clean Salary (in local currency)]]*VLOOKUP(tblSalaries[[#This Row],[Currency]],tblXrate[],2,FALSE)</f>
        <v>95000</v>
      </c>
      <c r="H562" t="s">
        <v>207</v>
      </c>
      <c r="I562" t="s">
        <v>20</v>
      </c>
      <c r="J562" t="s">
        <v>84</v>
      </c>
      <c r="K562" t="str">
        <f>VLOOKUP(tblSalaries[[#This Row],[Where do you work]],tblCountries[[Actual]:[Mapping]],2,FALSE)</f>
        <v>Australia</v>
      </c>
      <c r="L562" t="s">
        <v>18</v>
      </c>
      <c r="M562">
        <v>11</v>
      </c>
    </row>
    <row r="563" spans="2:13" ht="15" customHeight="1">
      <c r="B563" t="s">
        <v>2566</v>
      </c>
      <c r="C563" s="1">
        <v>41055.282638888886</v>
      </c>
      <c r="D563" s="4" t="s">
        <v>667</v>
      </c>
      <c r="E563">
        <v>155000</v>
      </c>
      <c r="F563" t="s">
        <v>82</v>
      </c>
      <c r="G563">
        <f>tblSalaries[[#This Row],[clean Salary (in local currency)]]*VLOOKUP(tblSalaries[[#This Row],[Currency]],tblXrate[],2,FALSE)</f>
        <v>158085.99674240855</v>
      </c>
      <c r="H563" t="s">
        <v>668</v>
      </c>
      <c r="I563" t="s">
        <v>52</v>
      </c>
      <c r="J563" t="s">
        <v>84</v>
      </c>
      <c r="K563" t="str">
        <f>VLOOKUP(tblSalaries[[#This Row],[Where do you work]],tblCountries[[Actual]:[Mapping]],2,FALSE)</f>
        <v>Australia</v>
      </c>
      <c r="L563" t="s">
        <v>9</v>
      </c>
      <c r="M563">
        <v>20</v>
      </c>
    </row>
    <row r="564" spans="2:13" ht="15" customHeight="1">
      <c r="B564" t="s">
        <v>2567</v>
      </c>
      <c r="C564" s="1">
        <v>41055.283321759256</v>
      </c>
      <c r="D564" s="4" t="s">
        <v>669</v>
      </c>
      <c r="E564">
        <v>80000</v>
      </c>
      <c r="F564" t="s">
        <v>670</v>
      </c>
      <c r="G564">
        <f>tblSalaries[[#This Row],[clean Salary (in local currency)]]*VLOOKUP(tblSalaries[[#This Row],[Currency]],tblXrate[],2,FALSE)</f>
        <v>63807.047488395103</v>
      </c>
      <c r="H564" t="s">
        <v>671</v>
      </c>
      <c r="I564" t="s">
        <v>20</v>
      </c>
      <c r="J564" t="s">
        <v>672</v>
      </c>
      <c r="K564" t="str">
        <f>VLOOKUP(tblSalaries[[#This Row],[Where do you work]],tblCountries[[Actual]:[Mapping]],2,FALSE)</f>
        <v>New Zealand</v>
      </c>
      <c r="L564" t="s">
        <v>9</v>
      </c>
      <c r="M564">
        <v>23</v>
      </c>
    </row>
    <row r="565" spans="2:13" ht="15" customHeight="1">
      <c r="B565" t="s">
        <v>2568</v>
      </c>
      <c r="C565" s="1">
        <v>41055.284988425927</v>
      </c>
      <c r="D565" s="4">
        <v>38000</v>
      </c>
      <c r="E565">
        <v>38000</v>
      </c>
      <c r="F565" t="s">
        <v>6</v>
      </c>
      <c r="G565">
        <f>tblSalaries[[#This Row],[clean Salary (in local currency)]]*VLOOKUP(tblSalaries[[#This Row],[Currency]],tblXrate[],2,FALSE)</f>
        <v>38000</v>
      </c>
      <c r="H565" t="s">
        <v>673</v>
      </c>
      <c r="I565" t="s">
        <v>20</v>
      </c>
      <c r="J565" t="s">
        <v>15</v>
      </c>
      <c r="K565" t="str">
        <f>VLOOKUP(tblSalaries[[#This Row],[Where do you work]],tblCountries[[Actual]:[Mapping]],2,FALSE)</f>
        <v>USA</v>
      </c>
      <c r="L565" t="s">
        <v>13</v>
      </c>
      <c r="M565">
        <v>11</v>
      </c>
    </row>
    <row r="566" spans="2:13" ht="15" customHeight="1">
      <c r="B566" t="s">
        <v>2569</v>
      </c>
      <c r="C566" s="1">
        <v>41055.287962962961</v>
      </c>
      <c r="D566" s="4">
        <v>90000</v>
      </c>
      <c r="E566">
        <v>90000</v>
      </c>
      <c r="F566" t="s">
        <v>6</v>
      </c>
      <c r="G566">
        <f>tblSalaries[[#This Row],[clean Salary (in local currency)]]*VLOOKUP(tblSalaries[[#This Row],[Currency]],tblXrate[],2,FALSE)</f>
        <v>90000</v>
      </c>
      <c r="H566" t="s">
        <v>674</v>
      </c>
      <c r="I566" t="s">
        <v>52</v>
      </c>
      <c r="J566" t="s">
        <v>15</v>
      </c>
      <c r="K566" t="str">
        <f>VLOOKUP(tblSalaries[[#This Row],[Where do you work]],tblCountries[[Actual]:[Mapping]],2,FALSE)</f>
        <v>USA</v>
      </c>
      <c r="L566" t="s">
        <v>9</v>
      </c>
      <c r="M566">
        <v>6</v>
      </c>
    </row>
    <row r="567" spans="2:13" ht="15" customHeight="1">
      <c r="B567" t="s">
        <v>2570</v>
      </c>
      <c r="C567" s="1">
        <v>41055.289687500001</v>
      </c>
      <c r="D567" s="4" t="s">
        <v>675</v>
      </c>
      <c r="E567">
        <v>28800</v>
      </c>
      <c r="F567" t="s">
        <v>69</v>
      </c>
      <c r="G567">
        <f>tblSalaries[[#This Row],[clean Salary (in local currency)]]*VLOOKUP(tblSalaries[[#This Row],[Currency]],tblXrate[],2,FALSE)</f>
        <v>45393.934235537781</v>
      </c>
      <c r="H567" t="s">
        <v>642</v>
      </c>
      <c r="I567" t="s">
        <v>52</v>
      </c>
      <c r="J567" t="s">
        <v>71</v>
      </c>
      <c r="K567" t="str">
        <f>VLOOKUP(tblSalaries[[#This Row],[Where do you work]],tblCountries[[Actual]:[Mapping]],2,FALSE)</f>
        <v>UK</v>
      </c>
      <c r="L567" t="s">
        <v>9</v>
      </c>
      <c r="M567">
        <v>27</v>
      </c>
    </row>
    <row r="568" spans="2:13" ht="15" customHeight="1">
      <c r="B568" t="s">
        <v>2571</v>
      </c>
      <c r="C568" s="1">
        <v>41055.29247685185</v>
      </c>
      <c r="D568" s="4" t="s">
        <v>676</v>
      </c>
      <c r="E568">
        <v>21000</v>
      </c>
      <c r="F568" t="s">
        <v>69</v>
      </c>
      <c r="G568">
        <f>tblSalaries[[#This Row],[clean Salary (in local currency)]]*VLOOKUP(tblSalaries[[#This Row],[Currency]],tblXrate[],2,FALSE)</f>
        <v>33099.743713412965</v>
      </c>
      <c r="H568" t="s">
        <v>108</v>
      </c>
      <c r="I568" t="s">
        <v>20</v>
      </c>
      <c r="J568" t="s">
        <v>71</v>
      </c>
      <c r="K568" t="str">
        <f>VLOOKUP(tblSalaries[[#This Row],[Where do you work]],tblCountries[[Actual]:[Mapping]],2,FALSE)</f>
        <v>UK</v>
      </c>
      <c r="L568" t="s">
        <v>13</v>
      </c>
      <c r="M568">
        <v>10</v>
      </c>
    </row>
    <row r="569" spans="2:13" ht="15" customHeight="1">
      <c r="B569" t="s">
        <v>2572</v>
      </c>
      <c r="C569" s="1">
        <v>41055.296412037038</v>
      </c>
      <c r="D569" s="4" t="s">
        <v>677</v>
      </c>
      <c r="E569">
        <v>4285</v>
      </c>
      <c r="F569" t="s">
        <v>6</v>
      </c>
      <c r="G569">
        <f>tblSalaries[[#This Row],[clean Salary (in local currency)]]*VLOOKUP(tblSalaries[[#This Row],[Currency]],tblXrate[],2,FALSE)</f>
        <v>4285</v>
      </c>
      <c r="H569" t="s">
        <v>678</v>
      </c>
      <c r="I569" t="s">
        <v>20</v>
      </c>
      <c r="J569" t="s">
        <v>8</v>
      </c>
      <c r="K569" t="str">
        <f>VLOOKUP(tblSalaries[[#This Row],[Where do you work]],tblCountries[[Actual]:[Mapping]],2,FALSE)</f>
        <v>India</v>
      </c>
      <c r="L569" t="s">
        <v>13</v>
      </c>
      <c r="M569">
        <v>6</v>
      </c>
    </row>
    <row r="570" spans="2:13" ht="15" customHeight="1">
      <c r="B570" t="s">
        <v>2573</v>
      </c>
      <c r="C570" s="1">
        <v>41055.301412037035</v>
      </c>
      <c r="D570" s="4">
        <v>6000</v>
      </c>
      <c r="E570">
        <v>6000</v>
      </c>
      <c r="F570" t="s">
        <v>6</v>
      </c>
      <c r="G570">
        <f>tblSalaries[[#This Row],[clean Salary (in local currency)]]*VLOOKUP(tblSalaries[[#This Row],[Currency]],tblXrate[],2,FALSE)</f>
        <v>6000</v>
      </c>
      <c r="H570" t="s">
        <v>679</v>
      </c>
      <c r="I570" t="s">
        <v>52</v>
      </c>
      <c r="J570" t="s">
        <v>680</v>
      </c>
      <c r="K570" t="str">
        <f>VLOOKUP(tblSalaries[[#This Row],[Where do you work]],tblCountries[[Actual]:[Mapping]],2,FALSE)</f>
        <v>Guyana</v>
      </c>
      <c r="L570" t="s">
        <v>25</v>
      </c>
      <c r="M570">
        <v>20</v>
      </c>
    </row>
    <row r="571" spans="2:13" ht="15" customHeight="1">
      <c r="B571" t="s">
        <v>2574</v>
      </c>
      <c r="C571" s="1">
        <v>41055.30263888889</v>
      </c>
      <c r="D571" s="4" t="s">
        <v>681</v>
      </c>
      <c r="E571">
        <v>22000</v>
      </c>
      <c r="F571" t="s">
        <v>82</v>
      </c>
      <c r="G571">
        <f>tblSalaries[[#This Row],[clean Salary (in local currency)]]*VLOOKUP(tblSalaries[[#This Row],[Currency]],tblXrate[],2,FALSE)</f>
        <v>22438.012440857987</v>
      </c>
      <c r="H571" t="s">
        <v>108</v>
      </c>
      <c r="I571" t="s">
        <v>20</v>
      </c>
      <c r="J571" t="s">
        <v>84</v>
      </c>
      <c r="K571" t="str">
        <f>VLOOKUP(tblSalaries[[#This Row],[Where do you work]],tblCountries[[Actual]:[Mapping]],2,FALSE)</f>
        <v>Australia</v>
      </c>
      <c r="L571" t="s">
        <v>9</v>
      </c>
      <c r="M571">
        <v>8</v>
      </c>
    </row>
    <row r="572" spans="2:13" ht="15" customHeight="1">
      <c r="B572" t="s">
        <v>2575</v>
      </c>
      <c r="C572" s="1">
        <v>41055.304826388892</v>
      </c>
      <c r="D572" s="4">
        <v>90000</v>
      </c>
      <c r="E572">
        <v>90000</v>
      </c>
      <c r="F572" t="s">
        <v>6</v>
      </c>
      <c r="G572">
        <f>tblSalaries[[#This Row],[clean Salary (in local currency)]]*VLOOKUP(tblSalaries[[#This Row],[Currency]],tblXrate[],2,FALSE)</f>
        <v>90000</v>
      </c>
      <c r="H572" t="s">
        <v>52</v>
      </c>
      <c r="I572" t="s">
        <v>52</v>
      </c>
      <c r="J572" t="s">
        <v>15</v>
      </c>
      <c r="K572" t="str">
        <f>VLOOKUP(tblSalaries[[#This Row],[Where do you work]],tblCountries[[Actual]:[Mapping]],2,FALSE)</f>
        <v>USA</v>
      </c>
      <c r="L572" t="s">
        <v>18</v>
      </c>
      <c r="M572">
        <v>15</v>
      </c>
    </row>
    <row r="573" spans="2:13" ht="15" customHeight="1">
      <c r="B573" t="s">
        <v>2576</v>
      </c>
      <c r="C573" s="1">
        <v>41055.307766203703</v>
      </c>
      <c r="D573" s="4">
        <v>150000</v>
      </c>
      <c r="E573">
        <v>150000</v>
      </c>
      <c r="F573" t="s">
        <v>6</v>
      </c>
      <c r="G573">
        <f>tblSalaries[[#This Row],[clean Salary (in local currency)]]*VLOOKUP(tblSalaries[[#This Row],[Currency]],tblXrate[],2,FALSE)</f>
        <v>150000</v>
      </c>
      <c r="H573" t="s">
        <v>29</v>
      </c>
      <c r="I573" t="s">
        <v>4001</v>
      </c>
      <c r="J573" t="s">
        <v>15</v>
      </c>
      <c r="K573" t="str">
        <f>VLOOKUP(tblSalaries[[#This Row],[Where do you work]],tblCountries[[Actual]:[Mapping]],2,FALSE)</f>
        <v>USA</v>
      </c>
      <c r="L573" t="s">
        <v>9</v>
      </c>
      <c r="M573">
        <v>22</v>
      </c>
    </row>
    <row r="574" spans="2:13" ht="15" customHeight="1">
      <c r="B574" t="s">
        <v>2577</v>
      </c>
      <c r="C574" s="1">
        <v>41055.314108796294</v>
      </c>
      <c r="D574" s="4">
        <v>130000</v>
      </c>
      <c r="E574">
        <v>130000</v>
      </c>
      <c r="F574" t="s">
        <v>82</v>
      </c>
      <c r="G574">
        <f>tblSalaries[[#This Row],[clean Salary (in local currency)]]*VLOOKUP(tblSalaries[[#This Row],[Currency]],tblXrate[],2,FALSE)</f>
        <v>132588.25533234264</v>
      </c>
      <c r="H574" t="s">
        <v>310</v>
      </c>
      <c r="I574" t="s">
        <v>310</v>
      </c>
      <c r="J574" t="s">
        <v>84</v>
      </c>
      <c r="K574" t="str">
        <f>VLOOKUP(tblSalaries[[#This Row],[Where do you work]],tblCountries[[Actual]:[Mapping]],2,FALSE)</f>
        <v>Australia</v>
      </c>
      <c r="L574" t="s">
        <v>18</v>
      </c>
      <c r="M574">
        <v>27</v>
      </c>
    </row>
    <row r="575" spans="2:13" ht="15" customHeight="1">
      <c r="B575" t="s">
        <v>2578</v>
      </c>
      <c r="C575" s="1">
        <v>41055.316932870373</v>
      </c>
      <c r="D575" s="4">
        <v>45000</v>
      </c>
      <c r="E575">
        <v>45000</v>
      </c>
      <c r="F575" t="s">
        <v>6</v>
      </c>
      <c r="G575">
        <f>tblSalaries[[#This Row],[clean Salary (in local currency)]]*VLOOKUP(tblSalaries[[#This Row],[Currency]],tblXrate[],2,FALSE)</f>
        <v>45000</v>
      </c>
      <c r="H575" t="s">
        <v>42</v>
      </c>
      <c r="I575" t="s">
        <v>20</v>
      </c>
      <c r="J575" t="s">
        <v>15</v>
      </c>
      <c r="K575" t="str">
        <f>VLOOKUP(tblSalaries[[#This Row],[Where do you work]],tblCountries[[Actual]:[Mapping]],2,FALSE)</f>
        <v>USA</v>
      </c>
      <c r="L575" t="s">
        <v>9</v>
      </c>
      <c r="M575">
        <v>3</v>
      </c>
    </row>
    <row r="576" spans="2:13" ht="15" customHeight="1">
      <c r="B576" t="s">
        <v>2579</v>
      </c>
      <c r="C576" s="1">
        <v>41055.317974537036</v>
      </c>
      <c r="D576" s="4">
        <v>50000</v>
      </c>
      <c r="E576">
        <v>50000</v>
      </c>
      <c r="F576" t="s">
        <v>6</v>
      </c>
      <c r="G576">
        <f>tblSalaries[[#This Row],[clean Salary (in local currency)]]*VLOOKUP(tblSalaries[[#This Row],[Currency]],tblXrate[],2,FALSE)</f>
        <v>50000</v>
      </c>
      <c r="H576" t="s">
        <v>660</v>
      </c>
      <c r="I576" t="s">
        <v>67</v>
      </c>
      <c r="J576" t="s">
        <v>15</v>
      </c>
      <c r="K576" t="str">
        <f>VLOOKUP(tblSalaries[[#This Row],[Where do you work]],tblCountries[[Actual]:[Mapping]],2,FALSE)</f>
        <v>USA</v>
      </c>
      <c r="L576" t="s">
        <v>18</v>
      </c>
      <c r="M576">
        <v>10</v>
      </c>
    </row>
    <row r="577" spans="2:13" ht="15" customHeight="1">
      <c r="B577" t="s">
        <v>2580</v>
      </c>
      <c r="C577" s="1">
        <v>41055.322268518517</v>
      </c>
      <c r="D577" s="4">
        <v>300000</v>
      </c>
      <c r="E577">
        <v>300000</v>
      </c>
      <c r="F577" t="s">
        <v>6</v>
      </c>
      <c r="G577">
        <f>tblSalaries[[#This Row],[clean Salary (in local currency)]]*VLOOKUP(tblSalaries[[#This Row],[Currency]],tblXrate[],2,FALSE)</f>
        <v>300000</v>
      </c>
      <c r="H577" t="s">
        <v>682</v>
      </c>
      <c r="I577" t="s">
        <v>4001</v>
      </c>
      <c r="J577" t="s">
        <v>15</v>
      </c>
      <c r="K577" t="str">
        <f>VLOOKUP(tblSalaries[[#This Row],[Where do you work]],tblCountries[[Actual]:[Mapping]],2,FALSE)</f>
        <v>USA</v>
      </c>
      <c r="L577" t="s">
        <v>18</v>
      </c>
      <c r="M577">
        <v>30</v>
      </c>
    </row>
    <row r="578" spans="2:13" ht="15" customHeight="1">
      <c r="B578" t="s">
        <v>2581</v>
      </c>
      <c r="C578" s="1">
        <v>41055.325335648151</v>
      </c>
      <c r="D578" s="4">
        <v>102000</v>
      </c>
      <c r="E578">
        <v>102000</v>
      </c>
      <c r="F578" t="s">
        <v>82</v>
      </c>
      <c r="G578">
        <f>tblSalaries[[#This Row],[clean Salary (in local currency)]]*VLOOKUP(tblSalaries[[#This Row],[Currency]],tblXrate[],2,FALSE)</f>
        <v>104030.78495306884</v>
      </c>
      <c r="H578" t="s">
        <v>683</v>
      </c>
      <c r="I578" t="s">
        <v>52</v>
      </c>
      <c r="J578" t="s">
        <v>84</v>
      </c>
      <c r="K578" t="str">
        <f>VLOOKUP(tblSalaries[[#This Row],[Where do you work]],tblCountries[[Actual]:[Mapping]],2,FALSE)</f>
        <v>Australia</v>
      </c>
      <c r="L578" t="s">
        <v>25</v>
      </c>
      <c r="M578">
        <v>10</v>
      </c>
    </row>
    <row r="579" spans="2:13" ht="15" customHeight="1">
      <c r="B579" t="s">
        <v>2582</v>
      </c>
      <c r="C579" s="1">
        <v>41055.326967592591</v>
      </c>
      <c r="D579" s="4">
        <v>115000</v>
      </c>
      <c r="E579">
        <v>115000</v>
      </c>
      <c r="F579" t="s">
        <v>6</v>
      </c>
      <c r="G579">
        <f>tblSalaries[[#This Row],[clean Salary (in local currency)]]*VLOOKUP(tblSalaries[[#This Row],[Currency]],tblXrate[],2,FALSE)</f>
        <v>115000</v>
      </c>
      <c r="H579" t="s">
        <v>684</v>
      </c>
      <c r="I579" t="s">
        <v>52</v>
      </c>
      <c r="J579" t="s">
        <v>15</v>
      </c>
      <c r="K579" t="str">
        <f>VLOOKUP(tblSalaries[[#This Row],[Where do you work]],tblCountries[[Actual]:[Mapping]],2,FALSE)</f>
        <v>USA</v>
      </c>
      <c r="L579" t="s">
        <v>9</v>
      </c>
      <c r="M579">
        <v>15</v>
      </c>
    </row>
    <row r="580" spans="2:13" ht="15" customHeight="1">
      <c r="B580" t="s">
        <v>2583</v>
      </c>
      <c r="C580" s="1">
        <v>41055.328622685185</v>
      </c>
      <c r="D580" s="4">
        <v>70000</v>
      </c>
      <c r="E580">
        <v>70000</v>
      </c>
      <c r="F580" t="s">
        <v>6</v>
      </c>
      <c r="G580">
        <f>tblSalaries[[#This Row],[clean Salary (in local currency)]]*VLOOKUP(tblSalaries[[#This Row],[Currency]],tblXrate[],2,FALSE)</f>
        <v>70000</v>
      </c>
      <c r="H580" t="s">
        <v>14</v>
      </c>
      <c r="I580" t="s">
        <v>20</v>
      </c>
      <c r="J580" t="s">
        <v>15</v>
      </c>
      <c r="K580" t="str">
        <f>VLOOKUP(tblSalaries[[#This Row],[Where do you work]],tblCountries[[Actual]:[Mapping]],2,FALSE)</f>
        <v>USA</v>
      </c>
      <c r="L580" t="s">
        <v>9</v>
      </c>
      <c r="M580">
        <v>3</v>
      </c>
    </row>
    <row r="581" spans="2:13" ht="15" customHeight="1">
      <c r="B581" t="s">
        <v>2584</v>
      </c>
      <c r="C581" s="1">
        <v>41055.331296296295</v>
      </c>
      <c r="D581" s="4">
        <v>106000</v>
      </c>
      <c r="E581">
        <v>106000</v>
      </c>
      <c r="F581" t="s">
        <v>82</v>
      </c>
      <c r="G581">
        <f>tblSalaries[[#This Row],[clean Salary (in local currency)]]*VLOOKUP(tblSalaries[[#This Row],[Currency]],tblXrate[],2,FALSE)</f>
        <v>108110.42357867939</v>
      </c>
      <c r="H581" t="s">
        <v>685</v>
      </c>
      <c r="I581" t="s">
        <v>67</v>
      </c>
      <c r="J581" t="s">
        <v>84</v>
      </c>
      <c r="K581" t="str">
        <f>VLOOKUP(tblSalaries[[#This Row],[Where do you work]],tblCountries[[Actual]:[Mapping]],2,FALSE)</f>
        <v>Australia</v>
      </c>
      <c r="L581" t="s">
        <v>9</v>
      </c>
      <c r="M581">
        <v>16</v>
      </c>
    </row>
    <row r="582" spans="2:13" ht="15" customHeight="1">
      <c r="B582" t="s">
        <v>2585</v>
      </c>
      <c r="C582" s="1">
        <v>41055.334537037037</v>
      </c>
      <c r="D582" s="4">
        <v>75000</v>
      </c>
      <c r="E582">
        <v>75000</v>
      </c>
      <c r="F582" t="s">
        <v>6</v>
      </c>
      <c r="G582">
        <f>tblSalaries[[#This Row],[clean Salary (in local currency)]]*VLOOKUP(tblSalaries[[#This Row],[Currency]],tblXrate[],2,FALSE)</f>
        <v>75000</v>
      </c>
      <c r="H582" t="s">
        <v>686</v>
      </c>
      <c r="I582" t="s">
        <v>20</v>
      </c>
      <c r="J582" t="s">
        <v>15</v>
      </c>
      <c r="K582" t="str">
        <f>VLOOKUP(tblSalaries[[#This Row],[Where do you work]],tblCountries[[Actual]:[Mapping]],2,FALSE)</f>
        <v>USA</v>
      </c>
      <c r="L582" t="s">
        <v>18</v>
      </c>
      <c r="M582">
        <v>25</v>
      </c>
    </row>
    <row r="583" spans="2:13" ht="15" customHeight="1">
      <c r="B583" t="s">
        <v>2586</v>
      </c>
      <c r="C583" s="1">
        <v>41055.337071759262</v>
      </c>
      <c r="D583" s="4">
        <v>40414</v>
      </c>
      <c r="E583">
        <v>40414</v>
      </c>
      <c r="F583" t="s">
        <v>6</v>
      </c>
      <c r="G583">
        <f>tblSalaries[[#This Row],[clean Salary (in local currency)]]*VLOOKUP(tblSalaries[[#This Row],[Currency]],tblXrate[],2,FALSE)</f>
        <v>40414</v>
      </c>
      <c r="H583" t="s">
        <v>687</v>
      </c>
      <c r="I583" t="s">
        <v>20</v>
      </c>
      <c r="J583" t="s">
        <v>15</v>
      </c>
      <c r="K583" t="str">
        <f>VLOOKUP(tblSalaries[[#This Row],[Where do you work]],tblCountries[[Actual]:[Mapping]],2,FALSE)</f>
        <v>USA</v>
      </c>
      <c r="L583" t="s">
        <v>9</v>
      </c>
      <c r="M583">
        <v>8</v>
      </c>
    </row>
    <row r="584" spans="2:13" ht="15" customHeight="1">
      <c r="B584" t="s">
        <v>2587</v>
      </c>
      <c r="C584" s="1">
        <v>41055.337256944447</v>
      </c>
      <c r="D584" s="4">
        <v>65000</v>
      </c>
      <c r="E584">
        <v>65000</v>
      </c>
      <c r="F584" t="s">
        <v>6</v>
      </c>
      <c r="G584">
        <f>tblSalaries[[#This Row],[clean Salary (in local currency)]]*VLOOKUP(tblSalaries[[#This Row],[Currency]],tblXrate[],2,FALSE)</f>
        <v>65000</v>
      </c>
      <c r="H584" t="s">
        <v>153</v>
      </c>
      <c r="I584" t="s">
        <v>20</v>
      </c>
      <c r="J584" t="s">
        <v>15</v>
      </c>
      <c r="K584" t="str">
        <f>VLOOKUP(tblSalaries[[#This Row],[Where do you work]],tblCountries[[Actual]:[Mapping]],2,FALSE)</f>
        <v>USA</v>
      </c>
      <c r="L584" t="s">
        <v>9</v>
      </c>
      <c r="M584">
        <v>3</v>
      </c>
    </row>
    <row r="585" spans="2:13" ht="15" customHeight="1">
      <c r="B585" t="s">
        <v>2588</v>
      </c>
      <c r="C585" s="1">
        <v>41055.339386574073</v>
      </c>
      <c r="D585" s="4">
        <v>120000</v>
      </c>
      <c r="E585">
        <v>120000</v>
      </c>
      <c r="F585" t="s">
        <v>6</v>
      </c>
      <c r="G585">
        <f>tblSalaries[[#This Row],[clean Salary (in local currency)]]*VLOOKUP(tblSalaries[[#This Row],[Currency]],tblXrate[],2,FALSE)</f>
        <v>120000</v>
      </c>
      <c r="H585" t="s">
        <v>688</v>
      </c>
      <c r="I585" t="s">
        <v>20</v>
      </c>
      <c r="J585" t="s">
        <v>15</v>
      </c>
      <c r="K585" t="str">
        <f>VLOOKUP(tblSalaries[[#This Row],[Where do you work]],tblCountries[[Actual]:[Mapping]],2,FALSE)</f>
        <v>USA</v>
      </c>
      <c r="L585" t="s">
        <v>13</v>
      </c>
      <c r="M585">
        <v>7</v>
      </c>
    </row>
    <row r="586" spans="2:13" ht="15" customHeight="1">
      <c r="B586" t="s">
        <v>2589</v>
      </c>
      <c r="C586" s="1">
        <v>41055.340775462966</v>
      </c>
      <c r="D586" s="4">
        <v>8000</v>
      </c>
      <c r="E586">
        <v>96000</v>
      </c>
      <c r="F586" t="s">
        <v>3910</v>
      </c>
      <c r="G586">
        <f>tblSalaries[[#This Row],[clean Salary (in local currency)]]*VLOOKUP(tblSalaries[[#This Row],[Currency]],tblXrate[],2,FALSE)</f>
        <v>15092.18020692008</v>
      </c>
      <c r="H586" t="s">
        <v>689</v>
      </c>
      <c r="I586" t="s">
        <v>310</v>
      </c>
      <c r="J586" t="s">
        <v>690</v>
      </c>
      <c r="K586" t="str">
        <f>VLOOKUP(tblSalaries[[#This Row],[Where do you work]],tblCountries[[Actual]:[Mapping]],2,FALSE)</f>
        <v>China</v>
      </c>
      <c r="L586" t="s">
        <v>9</v>
      </c>
      <c r="M586">
        <v>10</v>
      </c>
    </row>
    <row r="587" spans="2:13" ht="15" customHeight="1">
      <c r="B587" t="s">
        <v>2590</v>
      </c>
      <c r="C587" s="1">
        <v>41055.345752314817</v>
      </c>
      <c r="D587" s="4" t="s">
        <v>691</v>
      </c>
      <c r="E587">
        <v>36000</v>
      </c>
      <c r="F587" t="s">
        <v>6</v>
      </c>
      <c r="G587">
        <f>tblSalaries[[#This Row],[clean Salary (in local currency)]]*VLOOKUP(tblSalaries[[#This Row],[Currency]],tblXrate[],2,FALSE)</f>
        <v>36000</v>
      </c>
      <c r="H587" t="s">
        <v>692</v>
      </c>
      <c r="I587" t="s">
        <v>356</v>
      </c>
      <c r="J587" t="s">
        <v>65</v>
      </c>
      <c r="K587" t="str">
        <f>VLOOKUP(tblSalaries[[#This Row],[Where do you work]],tblCountries[[Actual]:[Mapping]],2,FALSE)</f>
        <v>Russia</v>
      </c>
      <c r="L587" t="s">
        <v>13</v>
      </c>
      <c r="M587">
        <v>10</v>
      </c>
    </row>
    <row r="588" spans="2:13" ht="15" customHeight="1">
      <c r="B588" t="s">
        <v>2591</v>
      </c>
      <c r="C588" s="1">
        <v>41055.354166666664</v>
      </c>
      <c r="D588" s="4" t="s">
        <v>281</v>
      </c>
      <c r="E588">
        <v>50000</v>
      </c>
      <c r="F588" t="s">
        <v>22</v>
      </c>
      <c r="G588">
        <f>tblSalaries[[#This Row],[clean Salary (in local currency)]]*VLOOKUP(tblSalaries[[#This Row],[Currency]],tblXrate[],2,FALSE)</f>
        <v>63519.971949580387</v>
      </c>
      <c r="H588" t="s">
        <v>20</v>
      </c>
      <c r="I588" t="s">
        <v>20</v>
      </c>
      <c r="J588" t="s">
        <v>24</v>
      </c>
      <c r="K588" t="str">
        <f>VLOOKUP(tblSalaries[[#This Row],[Where do you work]],tblCountries[[Actual]:[Mapping]],2,FALSE)</f>
        <v>Germany</v>
      </c>
      <c r="L588" t="s">
        <v>18</v>
      </c>
      <c r="M588">
        <v>4</v>
      </c>
    </row>
    <row r="589" spans="2:13" ht="15" customHeight="1">
      <c r="B589" t="s">
        <v>2592</v>
      </c>
      <c r="C589" s="1">
        <v>41055.363275462965</v>
      </c>
      <c r="D589" s="4">
        <v>108000</v>
      </c>
      <c r="E589">
        <v>108000</v>
      </c>
      <c r="F589" t="s">
        <v>6</v>
      </c>
      <c r="G589">
        <f>tblSalaries[[#This Row],[clean Salary (in local currency)]]*VLOOKUP(tblSalaries[[#This Row],[Currency]],tblXrate[],2,FALSE)</f>
        <v>108000</v>
      </c>
      <c r="H589" t="s">
        <v>693</v>
      </c>
      <c r="I589" t="s">
        <v>356</v>
      </c>
      <c r="J589" t="s">
        <v>15</v>
      </c>
      <c r="K589" t="str">
        <f>VLOOKUP(tblSalaries[[#This Row],[Where do you work]],tblCountries[[Actual]:[Mapping]],2,FALSE)</f>
        <v>USA</v>
      </c>
      <c r="L589" t="s">
        <v>18</v>
      </c>
      <c r="M589">
        <v>7</v>
      </c>
    </row>
    <row r="590" spans="2:13" ht="15" customHeight="1">
      <c r="B590" t="s">
        <v>2593</v>
      </c>
      <c r="C590" s="1">
        <v>41055.364976851852</v>
      </c>
      <c r="D590" s="4">
        <v>75000</v>
      </c>
      <c r="E590">
        <v>75000</v>
      </c>
      <c r="F590" t="s">
        <v>6</v>
      </c>
      <c r="G590">
        <f>tblSalaries[[#This Row],[clean Salary (in local currency)]]*VLOOKUP(tblSalaries[[#This Row],[Currency]],tblXrate[],2,FALSE)</f>
        <v>75000</v>
      </c>
      <c r="H590" t="s">
        <v>14</v>
      </c>
      <c r="I590" t="s">
        <v>20</v>
      </c>
      <c r="J590" t="s">
        <v>15</v>
      </c>
      <c r="K590" t="str">
        <f>VLOOKUP(tblSalaries[[#This Row],[Where do you work]],tblCountries[[Actual]:[Mapping]],2,FALSE)</f>
        <v>USA</v>
      </c>
      <c r="L590" t="s">
        <v>9</v>
      </c>
      <c r="M590">
        <v>5</v>
      </c>
    </row>
    <row r="591" spans="2:13" ht="15" customHeight="1">
      <c r="B591" t="s">
        <v>2594</v>
      </c>
      <c r="C591" s="1">
        <v>41055.368796296294</v>
      </c>
      <c r="D591" s="4" t="s">
        <v>694</v>
      </c>
      <c r="E591">
        <v>400000</v>
      </c>
      <c r="F591" t="s">
        <v>40</v>
      </c>
      <c r="G591">
        <f>tblSalaries[[#This Row],[clean Salary (in local currency)]]*VLOOKUP(tblSalaries[[#This Row],[Currency]],tblXrate[],2,FALSE)</f>
        <v>7123.1666749770275</v>
      </c>
      <c r="H591" t="s">
        <v>695</v>
      </c>
      <c r="I591" t="s">
        <v>52</v>
      </c>
      <c r="J591" t="s">
        <v>8</v>
      </c>
      <c r="K591" t="str">
        <f>VLOOKUP(tblSalaries[[#This Row],[Where do you work]],tblCountries[[Actual]:[Mapping]],2,FALSE)</f>
        <v>India</v>
      </c>
      <c r="L591" t="s">
        <v>25</v>
      </c>
      <c r="M591">
        <v>3</v>
      </c>
    </row>
    <row r="592" spans="2:13" ht="15" customHeight="1">
      <c r="B592" t="s">
        <v>2595</v>
      </c>
      <c r="C592" s="1">
        <v>41055.369444444441</v>
      </c>
      <c r="D592" s="4">
        <v>50000</v>
      </c>
      <c r="E592">
        <v>50000</v>
      </c>
      <c r="F592" t="s">
        <v>6</v>
      </c>
      <c r="G592">
        <f>tblSalaries[[#This Row],[clean Salary (in local currency)]]*VLOOKUP(tblSalaries[[#This Row],[Currency]],tblXrate[],2,FALSE)</f>
        <v>50000</v>
      </c>
      <c r="H592" t="s">
        <v>696</v>
      </c>
      <c r="I592" t="s">
        <v>52</v>
      </c>
      <c r="J592" t="s">
        <v>8</v>
      </c>
      <c r="K592" t="str">
        <f>VLOOKUP(tblSalaries[[#This Row],[Where do you work]],tblCountries[[Actual]:[Mapping]],2,FALSE)</f>
        <v>India</v>
      </c>
      <c r="L592" t="s">
        <v>25</v>
      </c>
      <c r="M592">
        <v>25</v>
      </c>
    </row>
    <row r="593" spans="2:13" ht="15" customHeight="1">
      <c r="B593" t="s">
        <v>2596</v>
      </c>
      <c r="C593" s="1">
        <v>41055.371666666666</v>
      </c>
      <c r="D593" s="4">
        <v>45000</v>
      </c>
      <c r="E593">
        <v>45000</v>
      </c>
      <c r="F593" t="s">
        <v>6</v>
      </c>
      <c r="G593">
        <f>tblSalaries[[#This Row],[clean Salary (in local currency)]]*VLOOKUP(tblSalaries[[#This Row],[Currency]],tblXrate[],2,FALSE)</f>
        <v>45000</v>
      </c>
      <c r="H593" t="s">
        <v>697</v>
      </c>
      <c r="I593" t="s">
        <v>20</v>
      </c>
      <c r="J593" t="s">
        <v>15</v>
      </c>
      <c r="K593" t="str">
        <f>VLOOKUP(tblSalaries[[#This Row],[Where do you work]],tblCountries[[Actual]:[Mapping]],2,FALSE)</f>
        <v>USA</v>
      </c>
      <c r="L593" t="s">
        <v>9</v>
      </c>
      <c r="M593">
        <v>15</v>
      </c>
    </row>
    <row r="594" spans="2:13" ht="15" customHeight="1">
      <c r="B594" t="s">
        <v>2597</v>
      </c>
      <c r="C594" s="1">
        <v>41055.371724537035</v>
      </c>
      <c r="D594" s="4">
        <v>45000</v>
      </c>
      <c r="E594">
        <v>45000</v>
      </c>
      <c r="F594" t="s">
        <v>6</v>
      </c>
      <c r="G594">
        <f>tblSalaries[[#This Row],[clean Salary (in local currency)]]*VLOOKUP(tblSalaries[[#This Row],[Currency]],tblXrate[],2,FALSE)</f>
        <v>45000</v>
      </c>
      <c r="H594" t="s">
        <v>698</v>
      </c>
      <c r="I594" t="s">
        <v>310</v>
      </c>
      <c r="J594" t="s">
        <v>15</v>
      </c>
      <c r="K594" t="str">
        <f>VLOOKUP(tblSalaries[[#This Row],[Where do you work]],tblCountries[[Actual]:[Mapping]],2,FALSE)</f>
        <v>USA</v>
      </c>
      <c r="L594" t="s">
        <v>9</v>
      </c>
      <c r="M594">
        <v>7</v>
      </c>
    </row>
    <row r="595" spans="2:13" ht="15" customHeight="1">
      <c r="B595" t="s">
        <v>2598</v>
      </c>
      <c r="C595" s="1">
        <v>41055.372372685182</v>
      </c>
      <c r="D595" s="4" t="s">
        <v>699</v>
      </c>
      <c r="E595">
        <v>90000</v>
      </c>
      <c r="F595" t="s">
        <v>6</v>
      </c>
      <c r="G595">
        <f>tblSalaries[[#This Row],[clean Salary (in local currency)]]*VLOOKUP(tblSalaries[[#This Row],[Currency]],tblXrate[],2,FALSE)</f>
        <v>90000</v>
      </c>
      <c r="H595" t="s">
        <v>700</v>
      </c>
      <c r="I595" t="s">
        <v>52</v>
      </c>
      <c r="J595" t="s">
        <v>15</v>
      </c>
      <c r="K595" t="str">
        <f>VLOOKUP(tblSalaries[[#This Row],[Where do you work]],tblCountries[[Actual]:[Mapping]],2,FALSE)</f>
        <v>USA</v>
      </c>
      <c r="L595" t="s">
        <v>18</v>
      </c>
      <c r="M595">
        <v>20</v>
      </c>
    </row>
    <row r="596" spans="2:13" ht="15" customHeight="1">
      <c r="B596" t="s">
        <v>2599</v>
      </c>
      <c r="C596" s="1">
        <v>41055.374247685184</v>
      </c>
      <c r="D596" s="4" t="s">
        <v>701</v>
      </c>
      <c r="E596">
        <v>240000</v>
      </c>
      <c r="F596" t="s">
        <v>40</v>
      </c>
      <c r="G596">
        <f>tblSalaries[[#This Row],[clean Salary (in local currency)]]*VLOOKUP(tblSalaries[[#This Row],[Currency]],tblXrate[],2,FALSE)</f>
        <v>4273.9000049862161</v>
      </c>
      <c r="H596" t="s">
        <v>702</v>
      </c>
      <c r="I596" t="s">
        <v>20</v>
      </c>
      <c r="J596" t="s">
        <v>8</v>
      </c>
      <c r="K596" t="str">
        <f>VLOOKUP(tblSalaries[[#This Row],[Where do you work]],tblCountries[[Actual]:[Mapping]],2,FALSE)</f>
        <v>India</v>
      </c>
      <c r="L596" t="s">
        <v>18</v>
      </c>
      <c r="M596">
        <v>5</v>
      </c>
    </row>
    <row r="597" spans="2:13" ht="15" customHeight="1">
      <c r="B597" t="s">
        <v>2600</v>
      </c>
      <c r="C597" s="1">
        <v>41055.394814814812</v>
      </c>
      <c r="D597" s="4">
        <v>50000</v>
      </c>
      <c r="E597">
        <v>50000</v>
      </c>
      <c r="F597" t="s">
        <v>6</v>
      </c>
      <c r="G597">
        <f>tblSalaries[[#This Row],[clean Salary (in local currency)]]*VLOOKUP(tblSalaries[[#This Row],[Currency]],tblXrate[],2,FALSE)</f>
        <v>50000</v>
      </c>
      <c r="H597" t="s">
        <v>703</v>
      </c>
      <c r="I597" t="s">
        <v>52</v>
      </c>
      <c r="J597" t="s">
        <v>8</v>
      </c>
      <c r="K597" t="str">
        <f>VLOOKUP(tblSalaries[[#This Row],[Where do you work]],tblCountries[[Actual]:[Mapping]],2,FALSE)</f>
        <v>India</v>
      </c>
      <c r="L597" t="s">
        <v>25</v>
      </c>
      <c r="M597">
        <v>10</v>
      </c>
    </row>
    <row r="598" spans="2:13" ht="15" customHeight="1">
      <c r="B598" t="s">
        <v>2601</v>
      </c>
      <c r="C598" s="1">
        <v>41055.39502314815</v>
      </c>
      <c r="D598" s="4">
        <v>65000</v>
      </c>
      <c r="E598">
        <v>65000</v>
      </c>
      <c r="F598" t="s">
        <v>6</v>
      </c>
      <c r="G598">
        <f>tblSalaries[[#This Row],[clean Salary (in local currency)]]*VLOOKUP(tblSalaries[[#This Row],[Currency]],tblXrate[],2,FALSE)</f>
        <v>65000</v>
      </c>
      <c r="H598" t="s">
        <v>704</v>
      </c>
      <c r="I598" t="s">
        <v>20</v>
      </c>
      <c r="J598" t="s">
        <v>15</v>
      </c>
      <c r="K598" t="str">
        <f>VLOOKUP(tblSalaries[[#This Row],[Where do you work]],tblCountries[[Actual]:[Mapping]],2,FALSE)</f>
        <v>USA</v>
      </c>
      <c r="L598" t="s">
        <v>18</v>
      </c>
      <c r="M598">
        <v>17</v>
      </c>
    </row>
    <row r="599" spans="2:13" ht="15" customHeight="1">
      <c r="B599" t="s">
        <v>2602</v>
      </c>
      <c r="C599" s="1">
        <v>41055.400324074071</v>
      </c>
      <c r="D599" s="4">
        <v>70000</v>
      </c>
      <c r="E599">
        <v>70000</v>
      </c>
      <c r="F599" t="s">
        <v>6</v>
      </c>
      <c r="G599">
        <f>tblSalaries[[#This Row],[clean Salary (in local currency)]]*VLOOKUP(tblSalaries[[#This Row],[Currency]],tblXrate[],2,FALSE)</f>
        <v>70000</v>
      </c>
      <c r="H599" t="s">
        <v>705</v>
      </c>
      <c r="I599" t="s">
        <v>20</v>
      </c>
      <c r="J599" t="s">
        <v>15</v>
      </c>
      <c r="K599" t="str">
        <f>VLOOKUP(tblSalaries[[#This Row],[Where do you work]],tblCountries[[Actual]:[Mapping]],2,FALSE)</f>
        <v>USA</v>
      </c>
      <c r="L599" t="s">
        <v>18</v>
      </c>
      <c r="M599">
        <v>18</v>
      </c>
    </row>
    <row r="600" spans="2:13" ht="15" customHeight="1">
      <c r="B600" t="s">
        <v>2603</v>
      </c>
      <c r="C600" s="1">
        <v>41055.410960648151</v>
      </c>
      <c r="D600" s="4">
        <v>160000</v>
      </c>
      <c r="E600">
        <v>160000</v>
      </c>
      <c r="F600" t="s">
        <v>6</v>
      </c>
      <c r="G600">
        <f>tblSalaries[[#This Row],[clean Salary (in local currency)]]*VLOOKUP(tblSalaries[[#This Row],[Currency]],tblXrate[],2,FALSE)</f>
        <v>160000</v>
      </c>
      <c r="H600" t="s">
        <v>706</v>
      </c>
      <c r="I600" t="s">
        <v>20</v>
      </c>
      <c r="J600" t="s">
        <v>15</v>
      </c>
      <c r="K600" t="str">
        <f>VLOOKUP(tblSalaries[[#This Row],[Where do you work]],tblCountries[[Actual]:[Mapping]],2,FALSE)</f>
        <v>USA</v>
      </c>
      <c r="L600" t="s">
        <v>9</v>
      </c>
      <c r="M600">
        <v>5</v>
      </c>
    </row>
    <row r="601" spans="2:13" ht="15" customHeight="1">
      <c r="B601" t="s">
        <v>2604</v>
      </c>
      <c r="C601" s="1">
        <v>41055.411365740743</v>
      </c>
      <c r="D601" s="4">
        <v>100000</v>
      </c>
      <c r="E601">
        <v>100000</v>
      </c>
      <c r="F601" t="s">
        <v>82</v>
      </c>
      <c r="G601">
        <f>tblSalaries[[#This Row],[clean Salary (in local currency)]]*VLOOKUP(tblSalaries[[#This Row],[Currency]],tblXrate[],2,FALSE)</f>
        <v>101990.96564026357</v>
      </c>
      <c r="H601" t="s">
        <v>707</v>
      </c>
      <c r="I601" t="s">
        <v>52</v>
      </c>
      <c r="J601" t="s">
        <v>84</v>
      </c>
      <c r="K601" t="str">
        <f>VLOOKUP(tblSalaries[[#This Row],[Where do you work]],tblCountries[[Actual]:[Mapping]],2,FALSE)</f>
        <v>Australia</v>
      </c>
      <c r="L601" t="s">
        <v>18</v>
      </c>
      <c r="M601">
        <v>20</v>
      </c>
    </row>
    <row r="602" spans="2:13" ht="15" customHeight="1">
      <c r="B602" t="s">
        <v>2605</v>
      </c>
      <c r="C602" s="1">
        <v>41055.417685185188</v>
      </c>
      <c r="D602" s="4">
        <v>380000</v>
      </c>
      <c r="E602">
        <v>380000</v>
      </c>
      <c r="F602" t="s">
        <v>40</v>
      </c>
      <c r="G602">
        <f>tblSalaries[[#This Row],[clean Salary (in local currency)]]*VLOOKUP(tblSalaries[[#This Row],[Currency]],tblXrate[],2,FALSE)</f>
        <v>6767.0083412281756</v>
      </c>
      <c r="H602" t="s">
        <v>709</v>
      </c>
      <c r="I602" t="s">
        <v>52</v>
      </c>
      <c r="J602" t="s">
        <v>8</v>
      </c>
      <c r="K602" t="str">
        <f>VLOOKUP(tblSalaries[[#This Row],[Where do you work]],tblCountries[[Actual]:[Mapping]],2,FALSE)</f>
        <v>India</v>
      </c>
      <c r="L602" t="s">
        <v>9</v>
      </c>
      <c r="M602">
        <v>10</v>
      </c>
    </row>
    <row r="603" spans="2:13" ht="15" customHeight="1">
      <c r="B603" t="s">
        <v>2606</v>
      </c>
      <c r="C603" s="1">
        <v>41055.430960648147</v>
      </c>
      <c r="D603" s="4">
        <v>30000</v>
      </c>
      <c r="E603">
        <v>30000</v>
      </c>
      <c r="F603" t="s">
        <v>6</v>
      </c>
      <c r="G603">
        <f>tblSalaries[[#This Row],[clean Salary (in local currency)]]*VLOOKUP(tblSalaries[[#This Row],[Currency]],tblXrate[],2,FALSE)</f>
        <v>30000</v>
      </c>
      <c r="H603" t="s">
        <v>710</v>
      </c>
      <c r="I603" t="s">
        <v>20</v>
      </c>
      <c r="J603" t="s">
        <v>15</v>
      </c>
      <c r="K603" t="str">
        <f>VLOOKUP(tblSalaries[[#This Row],[Where do you work]],tblCountries[[Actual]:[Mapping]],2,FALSE)</f>
        <v>USA</v>
      </c>
      <c r="L603" t="s">
        <v>18</v>
      </c>
      <c r="M603">
        <v>8</v>
      </c>
    </row>
    <row r="604" spans="2:13" ht="15" customHeight="1">
      <c r="B604" t="s">
        <v>2607</v>
      </c>
      <c r="C604" s="1">
        <v>41055.43246527778</v>
      </c>
      <c r="D604" s="4" t="s">
        <v>711</v>
      </c>
      <c r="E604">
        <v>420000</v>
      </c>
      <c r="F604" t="s">
        <v>40</v>
      </c>
      <c r="G604">
        <f>tblSalaries[[#This Row],[clean Salary (in local currency)]]*VLOOKUP(tblSalaries[[#This Row],[Currency]],tblXrate[],2,FALSE)</f>
        <v>7479.3250087258784</v>
      </c>
      <c r="H604" t="s">
        <v>712</v>
      </c>
      <c r="I604" t="s">
        <v>20</v>
      </c>
      <c r="J604" t="s">
        <v>8</v>
      </c>
      <c r="K604" t="str">
        <f>VLOOKUP(tblSalaries[[#This Row],[Where do you work]],tblCountries[[Actual]:[Mapping]],2,FALSE)</f>
        <v>India</v>
      </c>
      <c r="L604" t="s">
        <v>9</v>
      </c>
      <c r="M604">
        <v>3</v>
      </c>
    </row>
    <row r="605" spans="2:13" ht="15" customHeight="1">
      <c r="B605" t="s">
        <v>2608</v>
      </c>
      <c r="C605" s="1">
        <v>41055.438680555555</v>
      </c>
      <c r="D605" s="4">
        <v>61000</v>
      </c>
      <c r="E605">
        <v>61000</v>
      </c>
      <c r="F605" t="s">
        <v>6</v>
      </c>
      <c r="G605">
        <f>tblSalaries[[#This Row],[clean Salary (in local currency)]]*VLOOKUP(tblSalaries[[#This Row],[Currency]],tblXrate[],2,FALSE)</f>
        <v>61000</v>
      </c>
      <c r="H605" t="s">
        <v>713</v>
      </c>
      <c r="I605" t="s">
        <v>52</v>
      </c>
      <c r="J605" t="s">
        <v>15</v>
      </c>
      <c r="K605" t="str">
        <f>VLOOKUP(tblSalaries[[#This Row],[Where do you work]],tblCountries[[Actual]:[Mapping]],2,FALSE)</f>
        <v>USA</v>
      </c>
      <c r="L605" t="s">
        <v>9</v>
      </c>
      <c r="M605">
        <v>5</v>
      </c>
    </row>
    <row r="606" spans="2:13" ht="15" customHeight="1">
      <c r="B606" t="s">
        <v>2609</v>
      </c>
      <c r="C606" s="1">
        <v>41055.438969907409</v>
      </c>
      <c r="D606" s="4" t="s">
        <v>714</v>
      </c>
      <c r="E606">
        <v>13800</v>
      </c>
      <c r="F606" t="s">
        <v>6</v>
      </c>
      <c r="G606">
        <f>tblSalaries[[#This Row],[clean Salary (in local currency)]]*VLOOKUP(tblSalaries[[#This Row],[Currency]],tblXrate[],2,FALSE)</f>
        <v>13800</v>
      </c>
      <c r="H606" t="s">
        <v>715</v>
      </c>
      <c r="I606" t="s">
        <v>488</v>
      </c>
      <c r="J606" t="s">
        <v>716</v>
      </c>
      <c r="K606" t="str">
        <f>VLOOKUP(tblSalaries[[#This Row],[Where do you work]],tblCountries[[Actual]:[Mapping]],2,FALSE)</f>
        <v>Sri Lanka</v>
      </c>
      <c r="L606" t="s">
        <v>9</v>
      </c>
      <c r="M606">
        <v>20</v>
      </c>
    </row>
    <row r="607" spans="2:13" ht="15" customHeight="1">
      <c r="B607" t="s">
        <v>2610</v>
      </c>
      <c r="C607" s="1">
        <v>41055.4452662037</v>
      </c>
      <c r="D607" s="4" t="s">
        <v>717</v>
      </c>
      <c r="E607">
        <v>850000</v>
      </c>
      <c r="F607" t="s">
        <v>40</v>
      </c>
      <c r="G607">
        <f>tblSalaries[[#This Row],[clean Salary (in local currency)]]*VLOOKUP(tblSalaries[[#This Row],[Currency]],tblXrate[],2,FALSE)</f>
        <v>15136.729184326183</v>
      </c>
      <c r="H607" t="s">
        <v>108</v>
      </c>
      <c r="I607" t="s">
        <v>20</v>
      </c>
      <c r="J607" t="s">
        <v>8</v>
      </c>
      <c r="K607" t="str">
        <f>VLOOKUP(tblSalaries[[#This Row],[Where do you work]],tblCountries[[Actual]:[Mapping]],2,FALSE)</f>
        <v>India</v>
      </c>
      <c r="L607" t="s">
        <v>9</v>
      </c>
      <c r="M607">
        <v>6</v>
      </c>
    </row>
    <row r="608" spans="2:13" ht="15" customHeight="1">
      <c r="B608" t="s">
        <v>2611</v>
      </c>
      <c r="C608" s="1">
        <v>41055.447141203702</v>
      </c>
      <c r="D608" s="4">
        <v>1800000</v>
      </c>
      <c r="E608">
        <v>1800000</v>
      </c>
      <c r="F608" t="s">
        <v>40</v>
      </c>
      <c r="G608">
        <f>tblSalaries[[#This Row],[clean Salary (in local currency)]]*VLOOKUP(tblSalaries[[#This Row],[Currency]],tblXrate[],2,FALSE)</f>
        <v>32054.250037396621</v>
      </c>
      <c r="H608" t="s">
        <v>718</v>
      </c>
      <c r="I608" t="s">
        <v>52</v>
      </c>
      <c r="J608" t="s">
        <v>8</v>
      </c>
      <c r="K608" t="str">
        <f>VLOOKUP(tblSalaries[[#This Row],[Where do you work]],tblCountries[[Actual]:[Mapping]],2,FALSE)</f>
        <v>India</v>
      </c>
      <c r="L608" t="s">
        <v>18</v>
      </c>
      <c r="M608">
        <v>10</v>
      </c>
    </row>
    <row r="609" spans="2:13" ht="15" customHeight="1">
      <c r="B609" t="s">
        <v>2612</v>
      </c>
      <c r="C609" s="1">
        <v>41055.452141203707</v>
      </c>
      <c r="D609" s="4">
        <v>80000</v>
      </c>
      <c r="E609">
        <v>80000</v>
      </c>
      <c r="F609" t="s">
        <v>6</v>
      </c>
      <c r="G609">
        <f>tblSalaries[[#This Row],[clean Salary (in local currency)]]*VLOOKUP(tblSalaries[[#This Row],[Currency]],tblXrate[],2,FALSE)</f>
        <v>80000</v>
      </c>
      <c r="H609" t="s">
        <v>719</v>
      </c>
      <c r="I609" t="s">
        <v>488</v>
      </c>
      <c r="J609" t="s">
        <v>15</v>
      </c>
      <c r="K609" t="str">
        <f>VLOOKUP(tblSalaries[[#This Row],[Where do you work]],tblCountries[[Actual]:[Mapping]],2,FALSE)</f>
        <v>USA</v>
      </c>
      <c r="L609" t="s">
        <v>9</v>
      </c>
      <c r="M609">
        <v>15</v>
      </c>
    </row>
    <row r="610" spans="2:13" ht="15" customHeight="1">
      <c r="B610" t="s">
        <v>2613</v>
      </c>
      <c r="C610" s="1">
        <v>41055.454421296294</v>
      </c>
      <c r="D610" s="4">
        <v>21000</v>
      </c>
      <c r="E610">
        <v>21000</v>
      </c>
      <c r="F610" t="s">
        <v>6</v>
      </c>
      <c r="G610">
        <f>tblSalaries[[#This Row],[clean Salary (in local currency)]]*VLOOKUP(tblSalaries[[#This Row],[Currency]],tblXrate[],2,FALSE)</f>
        <v>21000</v>
      </c>
      <c r="H610" t="s">
        <v>52</v>
      </c>
      <c r="I610" t="s">
        <v>52</v>
      </c>
      <c r="J610" t="s">
        <v>8</v>
      </c>
      <c r="K610" t="str">
        <f>VLOOKUP(tblSalaries[[#This Row],[Where do you work]],tblCountries[[Actual]:[Mapping]],2,FALSE)</f>
        <v>India</v>
      </c>
      <c r="L610" t="s">
        <v>13</v>
      </c>
      <c r="M610">
        <v>23</v>
      </c>
    </row>
    <row r="611" spans="2:13" ht="15" customHeight="1">
      <c r="B611" t="s">
        <v>2614</v>
      </c>
      <c r="C611" s="1">
        <v>41055.457754629628</v>
      </c>
      <c r="D611" s="4">
        <v>250000</v>
      </c>
      <c r="E611">
        <v>250000</v>
      </c>
      <c r="F611" t="s">
        <v>86</v>
      </c>
      <c r="G611">
        <f>tblSalaries[[#This Row],[clean Salary (in local currency)]]*VLOOKUP(tblSalaries[[#This Row],[Currency]],tblXrate[],2,FALSE)</f>
        <v>245840.3807575817</v>
      </c>
      <c r="H611" t="s">
        <v>207</v>
      </c>
      <c r="I611" t="s">
        <v>20</v>
      </c>
      <c r="J611" t="s">
        <v>88</v>
      </c>
      <c r="K611" t="str">
        <f>VLOOKUP(tblSalaries[[#This Row],[Where do you work]],tblCountries[[Actual]:[Mapping]],2,FALSE)</f>
        <v>Canada</v>
      </c>
      <c r="L611" t="s">
        <v>9</v>
      </c>
      <c r="M611">
        <v>32</v>
      </c>
    </row>
    <row r="612" spans="2:13" ht="15" customHeight="1">
      <c r="B612" t="s">
        <v>2615</v>
      </c>
      <c r="C612" s="1">
        <v>41055.458090277774</v>
      </c>
      <c r="D612" s="4" t="s">
        <v>720</v>
      </c>
      <c r="E612">
        <v>160000</v>
      </c>
      <c r="F612" t="s">
        <v>40</v>
      </c>
      <c r="G612">
        <f>tblSalaries[[#This Row],[clean Salary (in local currency)]]*VLOOKUP(tblSalaries[[#This Row],[Currency]],tblXrate[],2,FALSE)</f>
        <v>2849.2666699908109</v>
      </c>
      <c r="H612" t="s">
        <v>721</v>
      </c>
      <c r="I612" t="s">
        <v>3999</v>
      </c>
      <c r="J612" t="s">
        <v>8</v>
      </c>
      <c r="K612" t="str">
        <f>VLOOKUP(tblSalaries[[#This Row],[Where do you work]],tblCountries[[Actual]:[Mapping]],2,FALSE)</f>
        <v>India</v>
      </c>
      <c r="L612" t="s">
        <v>13</v>
      </c>
      <c r="M612">
        <v>3</v>
      </c>
    </row>
    <row r="613" spans="2:13" ht="15" customHeight="1">
      <c r="B613" t="s">
        <v>2616</v>
      </c>
      <c r="C613" s="1">
        <v>41055.459675925929</v>
      </c>
      <c r="D613" s="4">
        <v>700</v>
      </c>
      <c r="E613">
        <v>8400</v>
      </c>
      <c r="F613" t="s">
        <v>6</v>
      </c>
      <c r="G613">
        <f>tblSalaries[[#This Row],[clean Salary (in local currency)]]*VLOOKUP(tblSalaries[[#This Row],[Currency]],tblXrate[],2,FALSE)</f>
        <v>8400</v>
      </c>
      <c r="H613" t="s">
        <v>722</v>
      </c>
      <c r="I613" t="s">
        <v>52</v>
      </c>
      <c r="J613" t="s">
        <v>8</v>
      </c>
      <c r="K613" t="str">
        <f>VLOOKUP(tblSalaries[[#This Row],[Where do you work]],tblCountries[[Actual]:[Mapping]],2,FALSE)</f>
        <v>India</v>
      </c>
      <c r="L613" t="s">
        <v>13</v>
      </c>
      <c r="M613">
        <v>26</v>
      </c>
    </row>
    <row r="614" spans="2:13" ht="15" customHeight="1">
      <c r="B614" t="s">
        <v>2617</v>
      </c>
      <c r="C614" s="1">
        <v>41055.460439814815</v>
      </c>
      <c r="D614" s="4" t="s">
        <v>723</v>
      </c>
      <c r="E614">
        <v>85000</v>
      </c>
      <c r="F614" t="s">
        <v>82</v>
      </c>
      <c r="G614">
        <f>tblSalaries[[#This Row],[clean Salary (in local currency)]]*VLOOKUP(tblSalaries[[#This Row],[Currency]],tblXrate[],2,FALSE)</f>
        <v>86692.320794224041</v>
      </c>
      <c r="H614" t="s">
        <v>646</v>
      </c>
      <c r="I614" t="s">
        <v>356</v>
      </c>
      <c r="J614" t="s">
        <v>84</v>
      </c>
      <c r="K614" t="str">
        <f>VLOOKUP(tblSalaries[[#This Row],[Where do you work]],tblCountries[[Actual]:[Mapping]],2,FALSE)</f>
        <v>Australia</v>
      </c>
      <c r="L614" t="s">
        <v>25</v>
      </c>
      <c r="M614">
        <v>20</v>
      </c>
    </row>
    <row r="615" spans="2:13" ht="15" customHeight="1">
      <c r="B615" t="s">
        <v>2618</v>
      </c>
      <c r="C615" s="1">
        <v>41055.460486111115</v>
      </c>
      <c r="D615" s="4">
        <v>50000</v>
      </c>
      <c r="E615">
        <v>50000</v>
      </c>
      <c r="F615" t="s">
        <v>6</v>
      </c>
      <c r="G615">
        <f>tblSalaries[[#This Row],[clean Salary (in local currency)]]*VLOOKUP(tblSalaries[[#This Row],[Currency]],tblXrate[],2,FALSE)</f>
        <v>50000</v>
      </c>
      <c r="H615" t="s">
        <v>724</v>
      </c>
      <c r="I615" t="s">
        <v>52</v>
      </c>
      <c r="J615" t="s">
        <v>15</v>
      </c>
      <c r="K615" t="str">
        <f>VLOOKUP(tblSalaries[[#This Row],[Where do you work]],tblCountries[[Actual]:[Mapping]],2,FALSE)</f>
        <v>USA</v>
      </c>
      <c r="L615" t="s">
        <v>9</v>
      </c>
      <c r="M615">
        <v>20</v>
      </c>
    </row>
    <row r="616" spans="2:13" ht="15" customHeight="1">
      <c r="B616" t="s">
        <v>2619</v>
      </c>
      <c r="C616" s="1">
        <v>41055.460972222223</v>
      </c>
      <c r="D616" s="4">
        <v>4000</v>
      </c>
      <c r="E616">
        <v>4000</v>
      </c>
      <c r="F616" t="s">
        <v>6</v>
      </c>
      <c r="G616">
        <f>tblSalaries[[#This Row],[clean Salary (in local currency)]]*VLOOKUP(tblSalaries[[#This Row],[Currency]],tblXrate[],2,FALSE)</f>
        <v>4000</v>
      </c>
      <c r="H616" t="s">
        <v>721</v>
      </c>
      <c r="I616" t="s">
        <v>3999</v>
      </c>
      <c r="J616" t="s">
        <v>8</v>
      </c>
      <c r="K616" t="str">
        <f>VLOOKUP(tblSalaries[[#This Row],[Where do you work]],tblCountries[[Actual]:[Mapping]],2,FALSE)</f>
        <v>India</v>
      </c>
      <c r="L616" t="s">
        <v>13</v>
      </c>
      <c r="M616">
        <v>6</v>
      </c>
    </row>
    <row r="617" spans="2:13" ht="15" customHeight="1">
      <c r="B617" t="s">
        <v>2620</v>
      </c>
      <c r="C617" s="1">
        <v>41055.462326388886</v>
      </c>
      <c r="D617" s="4">
        <v>100000</v>
      </c>
      <c r="E617">
        <v>100000</v>
      </c>
      <c r="F617" t="s">
        <v>82</v>
      </c>
      <c r="G617">
        <f>tblSalaries[[#This Row],[clean Salary (in local currency)]]*VLOOKUP(tblSalaries[[#This Row],[Currency]],tblXrate[],2,FALSE)</f>
        <v>101990.96564026357</v>
      </c>
      <c r="H617" t="s">
        <v>207</v>
      </c>
      <c r="I617" t="s">
        <v>20</v>
      </c>
      <c r="J617" t="s">
        <v>84</v>
      </c>
      <c r="K617" t="str">
        <f>VLOOKUP(tblSalaries[[#This Row],[Where do you work]],tblCountries[[Actual]:[Mapping]],2,FALSE)</f>
        <v>Australia</v>
      </c>
      <c r="L617" t="s">
        <v>13</v>
      </c>
      <c r="M617">
        <v>1</v>
      </c>
    </row>
    <row r="618" spans="2:13" ht="15" customHeight="1">
      <c r="B618" t="s">
        <v>2621</v>
      </c>
      <c r="C618" s="1">
        <v>41055.462476851855</v>
      </c>
      <c r="D618" s="4">
        <v>95000</v>
      </c>
      <c r="E618">
        <v>95000</v>
      </c>
      <c r="F618" t="s">
        <v>6</v>
      </c>
      <c r="G618">
        <f>tblSalaries[[#This Row],[clean Salary (in local currency)]]*VLOOKUP(tblSalaries[[#This Row],[Currency]],tblXrate[],2,FALSE)</f>
        <v>95000</v>
      </c>
      <c r="H618" t="s">
        <v>564</v>
      </c>
      <c r="I618" t="s">
        <v>52</v>
      </c>
      <c r="J618" t="s">
        <v>15</v>
      </c>
      <c r="K618" t="str">
        <f>VLOOKUP(tblSalaries[[#This Row],[Where do you work]],tblCountries[[Actual]:[Mapping]],2,FALSE)</f>
        <v>USA</v>
      </c>
      <c r="L618" t="s">
        <v>25</v>
      </c>
      <c r="M618">
        <v>10</v>
      </c>
    </row>
    <row r="619" spans="2:13" ht="15" customHeight="1">
      <c r="B619" t="s">
        <v>2622</v>
      </c>
      <c r="C619" s="1">
        <v>41055.463206018518</v>
      </c>
      <c r="D619" s="4">
        <v>10000</v>
      </c>
      <c r="E619">
        <v>10000</v>
      </c>
      <c r="F619" t="s">
        <v>6</v>
      </c>
      <c r="G619">
        <f>tblSalaries[[#This Row],[clean Salary (in local currency)]]*VLOOKUP(tblSalaries[[#This Row],[Currency]],tblXrate[],2,FALSE)</f>
        <v>10000</v>
      </c>
      <c r="H619" t="s">
        <v>725</v>
      </c>
      <c r="I619" t="s">
        <v>52</v>
      </c>
      <c r="J619" t="s">
        <v>726</v>
      </c>
      <c r="K619" t="str">
        <f>VLOOKUP(tblSalaries[[#This Row],[Where do you work]],tblCountries[[Actual]:[Mapping]],2,FALSE)</f>
        <v>Indonesia</v>
      </c>
      <c r="L619" t="s">
        <v>18</v>
      </c>
      <c r="M619">
        <v>5</v>
      </c>
    </row>
    <row r="620" spans="2:13" ht="15" customHeight="1">
      <c r="B620" t="s">
        <v>2623</v>
      </c>
      <c r="C620" s="1">
        <v>41055.464895833335</v>
      </c>
      <c r="D620" s="4">
        <v>4200</v>
      </c>
      <c r="E620">
        <v>4200</v>
      </c>
      <c r="F620" t="s">
        <v>6</v>
      </c>
      <c r="G620">
        <f>tblSalaries[[#This Row],[clean Salary (in local currency)]]*VLOOKUP(tblSalaries[[#This Row],[Currency]],tblXrate[],2,FALSE)</f>
        <v>4200</v>
      </c>
      <c r="H620" t="s">
        <v>721</v>
      </c>
      <c r="I620" t="s">
        <v>3999</v>
      </c>
      <c r="J620" t="s">
        <v>8</v>
      </c>
      <c r="K620" t="str">
        <f>VLOOKUP(tblSalaries[[#This Row],[Where do you work]],tblCountries[[Actual]:[Mapping]],2,FALSE)</f>
        <v>India</v>
      </c>
      <c r="L620" t="s">
        <v>13</v>
      </c>
      <c r="M620">
        <v>4</v>
      </c>
    </row>
    <row r="621" spans="2:13" ht="15" customHeight="1">
      <c r="B621" t="s">
        <v>2624</v>
      </c>
      <c r="C621" s="1">
        <v>41055.465543981481</v>
      </c>
      <c r="D621" s="4" t="s">
        <v>727</v>
      </c>
      <c r="E621">
        <v>720000</v>
      </c>
      <c r="F621" t="s">
        <v>40</v>
      </c>
      <c r="G621">
        <f>tblSalaries[[#This Row],[clean Salary (in local currency)]]*VLOOKUP(tblSalaries[[#This Row],[Currency]],tblXrate[],2,FALSE)</f>
        <v>12821.700014958649</v>
      </c>
      <c r="H621" t="s">
        <v>728</v>
      </c>
      <c r="I621" t="s">
        <v>52</v>
      </c>
      <c r="J621" t="s">
        <v>8</v>
      </c>
      <c r="K621" t="str">
        <f>VLOOKUP(tblSalaries[[#This Row],[Where do you work]],tblCountries[[Actual]:[Mapping]],2,FALSE)</f>
        <v>India</v>
      </c>
      <c r="L621" t="s">
        <v>9</v>
      </c>
      <c r="M621">
        <v>12</v>
      </c>
    </row>
    <row r="622" spans="2:13" ht="15" customHeight="1">
      <c r="B622" t="s">
        <v>2625</v>
      </c>
      <c r="C622" s="1">
        <v>41055.47078703704</v>
      </c>
      <c r="D622" s="4">
        <v>39000</v>
      </c>
      <c r="E622">
        <v>39000</v>
      </c>
      <c r="F622" t="s">
        <v>6</v>
      </c>
      <c r="G622">
        <f>tblSalaries[[#This Row],[clean Salary (in local currency)]]*VLOOKUP(tblSalaries[[#This Row],[Currency]],tblXrate[],2,FALSE)</f>
        <v>39000</v>
      </c>
      <c r="H622" t="s">
        <v>729</v>
      </c>
      <c r="I622" t="s">
        <v>20</v>
      </c>
      <c r="J622" t="s">
        <v>15</v>
      </c>
      <c r="K622" t="str">
        <f>VLOOKUP(tblSalaries[[#This Row],[Where do you work]],tblCountries[[Actual]:[Mapping]],2,FALSE)</f>
        <v>USA</v>
      </c>
      <c r="L622" t="s">
        <v>13</v>
      </c>
      <c r="M622">
        <v>3</v>
      </c>
    </row>
    <row r="623" spans="2:13" ht="15" customHeight="1">
      <c r="B623" t="s">
        <v>2626</v>
      </c>
      <c r="C623" s="1">
        <v>41055.476921296293</v>
      </c>
      <c r="D623" s="4">
        <v>60000</v>
      </c>
      <c r="E623">
        <v>60000</v>
      </c>
      <c r="F623" t="s">
        <v>6</v>
      </c>
      <c r="G623">
        <f>tblSalaries[[#This Row],[clean Salary (in local currency)]]*VLOOKUP(tblSalaries[[#This Row],[Currency]],tblXrate[],2,FALSE)</f>
        <v>60000</v>
      </c>
      <c r="H623" t="s">
        <v>42</v>
      </c>
      <c r="I623" t="s">
        <v>20</v>
      </c>
      <c r="J623" t="s">
        <v>15</v>
      </c>
      <c r="K623" t="str">
        <f>VLOOKUP(tblSalaries[[#This Row],[Where do you work]],tblCountries[[Actual]:[Mapping]],2,FALSE)</f>
        <v>USA</v>
      </c>
      <c r="L623" t="s">
        <v>9</v>
      </c>
      <c r="M623">
        <v>12</v>
      </c>
    </row>
    <row r="624" spans="2:13" ht="15" customHeight="1">
      <c r="B624" t="s">
        <v>2627</v>
      </c>
      <c r="C624" s="1">
        <v>41055.479618055557</v>
      </c>
      <c r="D624" s="4" t="s">
        <v>730</v>
      </c>
      <c r="E624">
        <v>170000</v>
      </c>
      <c r="F624" t="s">
        <v>82</v>
      </c>
      <c r="G624">
        <f>tblSalaries[[#This Row],[clean Salary (in local currency)]]*VLOOKUP(tblSalaries[[#This Row],[Currency]],tblXrate[],2,FALSE)</f>
        <v>173384.64158844808</v>
      </c>
      <c r="H624" t="s">
        <v>731</v>
      </c>
      <c r="I624" t="s">
        <v>20</v>
      </c>
      <c r="J624" t="s">
        <v>84</v>
      </c>
      <c r="K624" t="str">
        <f>VLOOKUP(tblSalaries[[#This Row],[Where do you work]],tblCountries[[Actual]:[Mapping]],2,FALSE)</f>
        <v>Australia</v>
      </c>
      <c r="L624" t="s">
        <v>13</v>
      </c>
      <c r="M624">
        <v>10</v>
      </c>
    </row>
    <row r="625" spans="2:13" ht="15" customHeight="1">
      <c r="B625" t="s">
        <v>2628</v>
      </c>
      <c r="C625" s="1">
        <v>41055.479953703703</v>
      </c>
      <c r="D625" s="4">
        <v>125000</v>
      </c>
      <c r="E625">
        <v>125000</v>
      </c>
      <c r="F625" t="s">
        <v>6</v>
      </c>
      <c r="G625">
        <f>tblSalaries[[#This Row],[clean Salary (in local currency)]]*VLOOKUP(tblSalaries[[#This Row],[Currency]],tblXrate[],2,FALSE)</f>
        <v>125000</v>
      </c>
      <c r="H625" t="s">
        <v>20</v>
      </c>
      <c r="I625" t="s">
        <v>20</v>
      </c>
      <c r="J625" t="s">
        <v>15</v>
      </c>
      <c r="K625" t="str">
        <f>VLOOKUP(tblSalaries[[#This Row],[Where do you work]],tblCountries[[Actual]:[Mapping]],2,FALSE)</f>
        <v>USA</v>
      </c>
      <c r="L625" t="s">
        <v>18</v>
      </c>
      <c r="M625">
        <v>20</v>
      </c>
    </row>
    <row r="626" spans="2:13" ht="15" customHeight="1">
      <c r="B626" t="s">
        <v>2629</v>
      </c>
      <c r="C626" s="1">
        <v>41055.480462962965</v>
      </c>
      <c r="D626" s="4">
        <v>78000</v>
      </c>
      <c r="E626">
        <v>78000</v>
      </c>
      <c r="F626" t="s">
        <v>82</v>
      </c>
      <c r="G626">
        <f>tblSalaries[[#This Row],[clean Salary (in local currency)]]*VLOOKUP(tblSalaries[[#This Row],[Currency]],tblXrate[],2,FALSE)</f>
        <v>79552.953199405587</v>
      </c>
      <c r="H626" t="s">
        <v>732</v>
      </c>
      <c r="I626" t="s">
        <v>310</v>
      </c>
      <c r="J626" t="s">
        <v>84</v>
      </c>
      <c r="K626" t="str">
        <f>VLOOKUP(tblSalaries[[#This Row],[Where do you work]],tblCountries[[Actual]:[Mapping]],2,FALSE)</f>
        <v>Australia</v>
      </c>
      <c r="L626" t="s">
        <v>13</v>
      </c>
      <c r="M626">
        <v>4</v>
      </c>
    </row>
    <row r="627" spans="2:13" ht="15" customHeight="1">
      <c r="B627" t="s">
        <v>2630</v>
      </c>
      <c r="C627" s="1">
        <v>41055.48337962963</v>
      </c>
      <c r="D627" s="4" t="s">
        <v>733</v>
      </c>
      <c r="E627">
        <v>200000</v>
      </c>
      <c r="F627" t="s">
        <v>40</v>
      </c>
      <c r="G627">
        <f>tblSalaries[[#This Row],[clean Salary (in local currency)]]*VLOOKUP(tblSalaries[[#This Row],[Currency]],tblXrate[],2,FALSE)</f>
        <v>3561.5833374885137</v>
      </c>
      <c r="H627" t="s">
        <v>734</v>
      </c>
      <c r="I627" t="s">
        <v>310</v>
      </c>
      <c r="J627" t="s">
        <v>8</v>
      </c>
      <c r="K627" t="str">
        <f>VLOOKUP(tblSalaries[[#This Row],[Where do you work]],tblCountries[[Actual]:[Mapping]],2,FALSE)</f>
        <v>India</v>
      </c>
      <c r="L627" t="s">
        <v>9</v>
      </c>
      <c r="M627">
        <v>3</v>
      </c>
    </row>
    <row r="628" spans="2:13" ht="15" customHeight="1">
      <c r="B628" t="s">
        <v>2631</v>
      </c>
      <c r="C628" s="1">
        <v>41055.4843287037</v>
      </c>
      <c r="D628" s="4">
        <v>80000</v>
      </c>
      <c r="E628">
        <v>80000</v>
      </c>
      <c r="F628" t="s">
        <v>6</v>
      </c>
      <c r="G628">
        <f>tblSalaries[[#This Row],[clean Salary (in local currency)]]*VLOOKUP(tblSalaries[[#This Row],[Currency]],tblXrate[],2,FALSE)</f>
        <v>80000</v>
      </c>
      <c r="H628" t="s">
        <v>735</v>
      </c>
      <c r="I628" t="s">
        <v>52</v>
      </c>
      <c r="J628" t="s">
        <v>15</v>
      </c>
      <c r="K628" t="str">
        <f>VLOOKUP(tblSalaries[[#This Row],[Where do you work]],tblCountries[[Actual]:[Mapping]],2,FALSE)</f>
        <v>USA</v>
      </c>
      <c r="L628" t="s">
        <v>9</v>
      </c>
      <c r="M628">
        <v>8</v>
      </c>
    </row>
    <row r="629" spans="2:13" ht="15" customHeight="1">
      <c r="B629" t="s">
        <v>2632</v>
      </c>
      <c r="C629" s="1">
        <v>41055.4846412037</v>
      </c>
      <c r="D629" s="4">
        <v>600000</v>
      </c>
      <c r="E629">
        <v>600000</v>
      </c>
      <c r="F629" t="s">
        <v>40</v>
      </c>
      <c r="G629">
        <f>tblSalaries[[#This Row],[clean Salary (in local currency)]]*VLOOKUP(tblSalaries[[#This Row],[Currency]],tblXrate[],2,FALSE)</f>
        <v>10684.750012465542</v>
      </c>
      <c r="H629" t="s">
        <v>14</v>
      </c>
      <c r="I629" t="s">
        <v>20</v>
      </c>
      <c r="J629" t="s">
        <v>8</v>
      </c>
      <c r="K629" t="str">
        <f>VLOOKUP(tblSalaries[[#This Row],[Where do you work]],tblCountries[[Actual]:[Mapping]],2,FALSE)</f>
        <v>India</v>
      </c>
      <c r="L629" t="s">
        <v>18</v>
      </c>
      <c r="M629">
        <v>3</v>
      </c>
    </row>
    <row r="630" spans="2:13" ht="15" customHeight="1">
      <c r="B630" t="s">
        <v>2633</v>
      </c>
      <c r="C630" s="1">
        <v>41055.485972222225</v>
      </c>
      <c r="D630" s="4" t="s">
        <v>736</v>
      </c>
      <c r="E630">
        <v>300000</v>
      </c>
      <c r="F630" t="s">
        <v>40</v>
      </c>
      <c r="G630">
        <f>tblSalaries[[#This Row],[clean Salary (in local currency)]]*VLOOKUP(tblSalaries[[#This Row],[Currency]],tblXrate[],2,FALSE)</f>
        <v>5342.3750062327708</v>
      </c>
      <c r="H630" t="s">
        <v>737</v>
      </c>
      <c r="I630" t="s">
        <v>279</v>
      </c>
      <c r="J630" t="s">
        <v>8</v>
      </c>
      <c r="K630" t="str">
        <f>VLOOKUP(tblSalaries[[#This Row],[Where do you work]],tblCountries[[Actual]:[Mapping]],2,FALSE)</f>
        <v>India</v>
      </c>
      <c r="L630" t="s">
        <v>13</v>
      </c>
      <c r="M630">
        <v>2</v>
      </c>
    </row>
    <row r="631" spans="2:13" ht="15" customHeight="1">
      <c r="B631" t="s">
        <v>2634</v>
      </c>
      <c r="C631" s="1">
        <v>41055.486504629633</v>
      </c>
      <c r="D631" s="4" t="s">
        <v>738</v>
      </c>
      <c r="E631">
        <v>4000000</v>
      </c>
      <c r="F631" t="s">
        <v>40</v>
      </c>
      <c r="G631">
        <f>tblSalaries[[#This Row],[clean Salary (in local currency)]]*VLOOKUP(tblSalaries[[#This Row],[Currency]],tblXrate[],2,FALSE)</f>
        <v>71231.666749770273</v>
      </c>
      <c r="H631" t="s">
        <v>739</v>
      </c>
      <c r="I631" t="s">
        <v>52</v>
      </c>
      <c r="J631" t="s">
        <v>8</v>
      </c>
      <c r="K631" t="str">
        <f>VLOOKUP(tblSalaries[[#This Row],[Where do you work]],tblCountries[[Actual]:[Mapping]],2,FALSE)</f>
        <v>India</v>
      </c>
      <c r="L631" t="s">
        <v>9</v>
      </c>
      <c r="M631">
        <v>1.5</v>
      </c>
    </row>
    <row r="632" spans="2:13" ht="15" customHeight="1">
      <c r="B632" t="s">
        <v>2635</v>
      </c>
      <c r="C632" s="1">
        <v>41055.490011574075</v>
      </c>
      <c r="D632" s="4" t="s">
        <v>740</v>
      </c>
      <c r="E632">
        <v>4500000</v>
      </c>
      <c r="F632" t="s">
        <v>40</v>
      </c>
      <c r="G632">
        <f>tblSalaries[[#This Row],[clean Salary (in local currency)]]*VLOOKUP(tblSalaries[[#This Row],[Currency]],tblXrate[],2,FALSE)</f>
        <v>80135.625093491559</v>
      </c>
      <c r="H632" t="s">
        <v>741</v>
      </c>
      <c r="I632" t="s">
        <v>4001</v>
      </c>
      <c r="J632" t="s">
        <v>8</v>
      </c>
      <c r="K632" t="str">
        <f>VLOOKUP(tblSalaries[[#This Row],[Where do you work]],tblCountries[[Actual]:[Mapping]],2,FALSE)</f>
        <v>India</v>
      </c>
      <c r="L632" t="s">
        <v>25</v>
      </c>
      <c r="M632">
        <v>6</v>
      </c>
    </row>
    <row r="633" spans="2:13" ht="15" customHeight="1">
      <c r="B633" t="s">
        <v>2636</v>
      </c>
      <c r="C633" s="1">
        <v>41055.49050925926</v>
      </c>
      <c r="D633" s="4">
        <v>55000</v>
      </c>
      <c r="E633">
        <v>55000</v>
      </c>
      <c r="F633" t="s">
        <v>86</v>
      </c>
      <c r="G633">
        <f>tblSalaries[[#This Row],[clean Salary (in local currency)]]*VLOOKUP(tblSalaries[[#This Row],[Currency]],tblXrate[],2,FALSE)</f>
        <v>54084.883766667976</v>
      </c>
      <c r="H633" t="s">
        <v>724</v>
      </c>
      <c r="I633" t="s">
        <v>52</v>
      </c>
      <c r="J633" t="s">
        <v>88</v>
      </c>
      <c r="K633" t="str">
        <f>VLOOKUP(tblSalaries[[#This Row],[Where do you work]],tblCountries[[Actual]:[Mapping]],2,FALSE)</f>
        <v>Canada</v>
      </c>
      <c r="L633" t="s">
        <v>9</v>
      </c>
      <c r="M633">
        <v>5</v>
      </c>
    </row>
    <row r="634" spans="2:13" ht="15" customHeight="1">
      <c r="B634" t="s">
        <v>2637</v>
      </c>
      <c r="C634" s="1">
        <v>41055.491180555553</v>
      </c>
      <c r="D634" s="4">
        <v>53000</v>
      </c>
      <c r="E634">
        <v>53000</v>
      </c>
      <c r="F634" t="s">
        <v>6</v>
      </c>
      <c r="G634">
        <f>tblSalaries[[#This Row],[clean Salary (in local currency)]]*VLOOKUP(tblSalaries[[#This Row],[Currency]],tblXrate[],2,FALSE)</f>
        <v>53000</v>
      </c>
      <c r="H634" t="s">
        <v>14</v>
      </c>
      <c r="I634" t="s">
        <v>20</v>
      </c>
      <c r="J634" t="s">
        <v>15</v>
      </c>
      <c r="K634" t="str">
        <f>VLOOKUP(tblSalaries[[#This Row],[Where do you work]],tblCountries[[Actual]:[Mapping]],2,FALSE)</f>
        <v>USA</v>
      </c>
      <c r="L634" t="s">
        <v>9</v>
      </c>
      <c r="M634">
        <v>30</v>
      </c>
    </row>
    <row r="635" spans="2:13" ht="15" customHeight="1">
      <c r="B635" t="s">
        <v>2638</v>
      </c>
      <c r="C635" s="1">
        <v>41055.491412037038</v>
      </c>
      <c r="D635" s="4" t="s">
        <v>742</v>
      </c>
      <c r="E635">
        <v>300000</v>
      </c>
      <c r="F635" t="s">
        <v>40</v>
      </c>
      <c r="G635">
        <f>tblSalaries[[#This Row],[clean Salary (in local currency)]]*VLOOKUP(tblSalaries[[#This Row],[Currency]],tblXrate[],2,FALSE)</f>
        <v>5342.3750062327708</v>
      </c>
      <c r="H635" t="s">
        <v>360</v>
      </c>
      <c r="I635" t="s">
        <v>3999</v>
      </c>
      <c r="J635" t="s">
        <v>8</v>
      </c>
      <c r="K635" t="str">
        <f>VLOOKUP(tblSalaries[[#This Row],[Where do you work]],tblCountries[[Actual]:[Mapping]],2,FALSE)</f>
        <v>India</v>
      </c>
      <c r="L635" t="s">
        <v>9</v>
      </c>
      <c r="M635">
        <v>1</v>
      </c>
    </row>
    <row r="636" spans="2:13" ht="15" customHeight="1">
      <c r="B636" t="s">
        <v>2639</v>
      </c>
      <c r="C636" s="1">
        <v>41055.493090277778</v>
      </c>
      <c r="D636" s="4" t="s">
        <v>743</v>
      </c>
      <c r="E636">
        <v>400000</v>
      </c>
      <c r="F636" t="s">
        <v>40</v>
      </c>
      <c r="G636">
        <f>tblSalaries[[#This Row],[clean Salary (in local currency)]]*VLOOKUP(tblSalaries[[#This Row],[Currency]],tblXrate[],2,FALSE)</f>
        <v>7123.1666749770275</v>
      </c>
      <c r="H636" t="s">
        <v>744</v>
      </c>
      <c r="I636" t="s">
        <v>52</v>
      </c>
      <c r="J636" t="s">
        <v>8</v>
      </c>
      <c r="K636" t="str">
        <f>VLOOKUP(tblSalaries[[#This Row],[Where do you work]],tblCountries[[Actual]:[Mapping]],2,FALSE)</f>
        <v>India</v>
      </c>
      <c r="L636" t="s">
        <v>25</v>
      </c>
      <c r="M636">
        <v>5</v>
      </c>
    </row>
    <row r="637" spans="2:13" ht="15" customHeight="1">
      <c r="B637" t="s">
        <v>2640</v>
      </c>
      <c r="C637" s="1">
        <v>41055.493449074071</v>
      </c>
      <c r="D637" s="4" t="s">
        <v>745</v>
      </c>
      <c r="E637">
        <v>600000</v>
      </c>
      <c r="F637" t="s">
        <v>40</v>
      </c>
      <c r="G637">
        <f>tblSalaries[[#This Row],[clean Salary (in local currency)]]*VLOOKUP(tblSalaries[[#This Row],[Currency]],tblXrate[],2,FALSE)</f>
        <v>10684.750012465542</v>
      </c>
      <c r="H637" t="s">
        <v>746</v>
      </c>
      <c r="I637" t="s">
        <v>52</v>
      </c>
      <c r="J637" t="s">
        <v>8</v>
      </c>
      <c r="K637" t="str">
        <f>VLOOKUP(tblSalaries[[#This Row],[Where do you work]],tblCountries[[Actual]:[Mapping]],2,FALSE)</f>
        <v>India</v>
      </c>
      <c r="L637" t="s">
        <v>9</v>
      </c>
      <c r="M637">
        <v>11</v>
      </c>
    </row>
    <row r="638" spans="2:13" ht="15" customHeight="1">
      <c r="B638" t="s">
        <v>2641</v>
      </c>
      <c r="C638" s="1">
        <v>41055.496724537035</v>
      </c>
      <c r="D638" s="4">
        <v>4000</v>
      </c>
      <c r="E638">
        <v>4000</v>
      </c>
      <c r="F638" t="s">
        <v>6</v>
      </c>
      <c r="G638">
        <f>tblSalaries[[#This Row],[clean Salary (in local currency)]]*VLOOKUP(tblSalaries[[#This Row],[Currency]],tblXrate[],2,FALSE)</f>
        <v>4000</v>
      </c>
      <c r="H638" t="s">
        <v>721</v>
      </c>
      <c r="I638" t="s">
        <v>3999</v>
      </c>
      <c r="J638" t="s">
        <v>8</v>
      </c>
      <c r="K638" t="str">
        <f>VLOOKUP(tblSalaries[[#This Row],[Where do you work]],tblCountries[[Actual]:[Mapping]],2,FALSE)</f>
        <v>India</v>
      </c>
      <c r="L638" t="s">
        <v>13</v>
      </c>
      <c r="M638">
        <v>4</v>
      </c>
    </row>
    <row r="639" spans="2:13" ht="15" customHeight="1">
      <c r="B639" t="s">
        <v>2642</v>
      </c>
      <c r="C639" s="1">
        <v>41055.498877314814</v>
      </c>
      <c r="D639" s="4">
        <v>8000</v>
      </c>
      <c r="E639">
        <v>8000</v>
      </c>
      <c r="F639" t="s">
        <v>6</v>
      </c>
      <c r="G639">
        <f>tblSalaries[[#This Row],[clean Salary (in local currency)]]*VLOOKUP(tblSalaries[[#This Row],[Currency]],tblXrate[],2,FALSE)</f>
        <v>8000</v>
      </c>
      <c r="H639" t="s">
        <v>747</v>
      </c>
      <c r="I639" t="s">
        <v>52</v>
      </c>
      <c r="J639" t="s">
        <v>748</v>
      </c>
      <c r="K639" t="str">
        <f>VLOOKUP(tblSalaries[[#This Row],[Where do you work]],tblCountries[[Actual]:[Mapping]],2,FALSE)</f>
        <v>Thailand</v>
      </c>
      <c r="L639" t="s">
        <v>13</v>
      </c>
      <c r="M639">
        <v>1</v>
      </c>
    </row>
    <row r="640" spans="2:13" ht="15" customHeight="1">
      <c r="B640" t="s">
        <v>2643</v>
      </c>
      <c r="C640" s="1">
        <v>41055.503877314812</v>
      </c>
      <c r="D640" s="4">
        <v>150000</v>
      </c>
      <c r="E640">
        <v>150000</v>
      </c>
      <c r="F640" t="s">
        <v>40</v>
      </c>
      <c r="G640">
        <f>tblSalaries[[#This Row],[clean Salary (in local currency)]]*VLOOKUP(tblSalaries[[#This Row],[Currency]],tblXrate[],2,FALSE)</f>
        <v>2671.1875031163854</v>
      </c>
      <c r="H640" t="s">
        <v>749</v>
      </c>
      <c r="I640" t="s">
        <v>52</v>
      </c>
      <c r="J640" t="s">
        <v>8</v>
      </c>
      <c r="K640" t="str">
        <f>VLOOKUP(tblSalaries[[#This Row],[Where do you work]],tblCountries[[Actual]:[Mapping]],2,FALSE)</f>
        <v>India</v>
      </c>
      <c r="L640" t="s">
        <v>18</v>
      </c>
      <c r="M640">
        <v>5</v>
      </c>
    </row>
    <row r="641" spans="2:13" ht="15" customHeight="1">
      <c r="B641" t="s">
        <v>2644</v>
      </c>
      <c r="C641" s="1">
        <v>41055.50980324074</v>
      </c>
      <c r="D641" s="4" t="s">
        <v>750</v>
      </c>
      <c r="E641">
        <v>800000</v>
      </c>
      <c r="F641" t="s">
        <v>40</v>
      </c>
      <c r="G641">
        <f>tblSalaries[[#This Row],[clean Salary (in local currency)]]*VLOOKUP(tblSalaries[[#This Row],[Currency]],tblXrate[],2,FALSE)</f>
        <v>14246.333349954055</v>
      </c>
      <c r="H641" t="s">
        <v>279</v>
      </c>
      <c r="I641" t="s">
        <v>279</v>
      </c>
      <c r="J641" t="s">
        <v>8</v>
      </c>
      <c r="K641" t="str">
        <f>VLOOKUP(tblSalaries[[#This Row],[Where do you work]],tblCountries[[Actual]:[Mapping]],2,FALSE)</f>
        <v>India</v>
      </c>
      <c r="L641" t="s">
        <v>18</v>
      </c>
      <c r="M641">
        <v>3</v>
      </c>
    </row>
    <row r="642" spans="2:13" ht="15" customHeight="1">
      <c r="B642" t="s">
        <v>2645</v>
      </c>
      <c r="C642" s="1">
        <v>41055.511817129627</v>
      </c>
      <c r="D642" s="4">
        <v>480000</v>
      </c>
      <c r="E642">
        <v>480000</v>
      </c>
      <c r="F642" t="s">
        <v>40</v>
      </c>
      <c r="G642">
        <f>tblSalaries[[#This Row],[clean Salary (in local currency)]]*VLOOKUP(tblSalaries[[#This Row],[Currency]],tblXrate[],2,FALSE)</f>
        <v>8547.8000099724322</v>
      </c>
      <c r="H642" t="s">
        <v>751</v>
      </c>
      <c r="I642" t="s">
        <v>3999</v>
      </c>
      <c r="J642" t="s">
        <v>8</v>
      </c>
      <c r="K642" t="str">
        <f>VLOOKUP(tblSalaries[[#This Row],[Where do you work]],tblCountries[[Actual]:[Mapping]],2,FALSE)</f>
        <v>India</v>
      </c>
      <c r="L642" t="s">
        <v>25</v>
      </c>
      <c r="M642">
        <v>3</v>
      </c>
    </row>
    <row r="643" spans="2:13" ht="15" customHeight="1">
      <c r="B643" t="s">
        <v>2646</v>
      </c>
      <c r="C643" s="1">
        <v>41055.513738425929</v>
      </c>
      <c r="D643" s="4" t="s">
        <v>752</v>
      </c>
      <c r="E643">
        <v>432000</v>
      </c>
      <c r="F643" t="s">
        <v>40</v>
      </c>
      <c r="G643">
        <f>tblSalaries[[#This Row],[clean Salary (in local currency)]]*VLOOKUP(tblSalaries[[#This Row],[Currency]],tblXrate[],2,FALSE)</f>
        <v>7693.0200089751897</v>
      </c>
      <c r="H643" t="s">
        <v>753</v>
      </c>
      <c r="I643" t="s">
        <v>52</v>
      </c>
      <c r="J643" t="s">
        <v>8</v>
      </c>
      <c r="K643" t="str">
        <f>VLOOKUP(tblSalaries[[#This Row],[Where do you work]],tblCountries[[Actual]:[Mapping]],2,FALSE)</f>
        <v>India</v>
      </c>
      <c r="L643" t="s">
        <v>18</v>
      </c>
      <c r="M643">
        <v>5</v>
      </c>
    </row>
    <row r="644" spans="2:13" ht="15" customHeight="1">
      <c r="B644" t="s">
        <v>2647</v>
      </c>
      <c r="C644" s="1">
        <v>41055.513807870368</v>
      </c>
      <c r="D644" s="4">
        <v>4000</v>
      </c>
      <c r="E644">
        <v>4000</v>
      </c>
      <c r="F644" t="s">
        <v>6</v>
      </c>
      <c r="G644">
        <f>tblSalaries[[#This Row],[clean Salary (in local currency)]]*VLOOKUP(tblSalaries[[#This Row],[Currency]],tblXrate[],2,FALSE)</f>
        <v>4000</v>
      </c>
      <c r="H644" t="s">
        <v>754</v>
      </c>
      <c r="I644" t="s">
        <v>52</v>
      </c>
      <c r="J644" t="s">
        <v>8</v>
      </c>
      <c r="K644" t="str">
        <f>VLOOKUP(tblSalaries[[#This Row],[Where do you work]],tblCountries[[Actual]:[Mapping]],2,FALSE)</f>
        <v>India</v>
      </c>
      <c r="L644" t="s">
        <v>13</v>
      </c>
      <c r="M644">
        <v>8</v>
      </c>
    </row>
    <row r="645" spans="2:13" ht="15" customHeight="1">
      <c r="B645" t="s">
        <v>2648</v>
      </c>
      <c r="C645" s="1">
        <v>41055.513969907406</v>
      </c>
      <c r="D645" s="4">
        <v>450</v>
      </c>
      <c r="E645">
        <v>5400</v>
      </c>
      <c r="F645" t="s">
        <v>6</v>
      </c>
      <c r="G645">
        <f>tblSalaries[[#This Row],[clean Salary (in local currency)]]*VLOOKUP(tblSalaries[[#This Row],[Currency]],tblXrate[],2,FALSE)</f>
        <v>5400</v>
      </c>
      <c r="H645" t="s">
        <v>635</v>
      </c>
      <c r="I645" t="s">
        <v>52</v>
      </c>
      <c r="J645" t="s">
        <v>8</v>
      </c>
      <c r="K645" t="str">
        <f>VLOOKUP(tblSalaries[[#This Row],[Where do you work]],tblCountries[[Actual]:[Mapping]],2,FALSE)</f>
        <v>India</v>
      </c>
      <c r="L645" t="s">
        <v>13</v>
      </c>
      <c r="M645">
        <v>3</v>
      </c>
    </row>
    <row r="646" spans="2:13" ht="15" customHeight="1">
      <c r="B646" t="s">
        <v>2649</v>
      </c>
      <c r="C646" s="1">
        <v>41055.516134259262</v>
      </c>
      <c r="D646" s="4">
        <v>10500000</v>
      </c>
      <c r="E646">
        <v>10500000</v>
      </c>
      <c r="F646" t="s">
        <v>40</v>
      </c>
      <c r="G646">
        <f>tblSalaries[[#This Row],[clean Salary (in local currency)]]*VLOOKUP(tblSalaries[[#This Row],[Currency]],tblXrate[],2,FALSE)</f>
        <v>186983.12521814698</v>
      </c>
      <c r="H646" t="s">
        <v>755</v>
      </c>
      <c r="I646" t="s">
        <v>52</v>
      </c>
      <c r="J646" t="s">
        <v>8</v>
      </c>
      <c r="K646" t="str">
        <f>VLOOKUP(tblSalaries[[#This Row],[Where do you work]],tblCountries[[Actual]:[Mapping]],2,FALSE)</f>
        <v>India</v>
      </c>
      <c r="L646" t="s">
        <v>18</v>
      </c>
      <c r="M646">
        <v>10</v>
      </c>
    </row>
    <row r="647" spans="2:13" ht="15" customHeight="1">
      <c r="B647" t="s">
        <v>2650</v>
      </c>
      <c r="C647" s="1">
        <v>41055.517465277779</v>
      </c>
      <c r="D647" s="4">
        <v>21500</v>
      </c>
      <c r="E647">
        <v>21500</v>
      </c>
      <c r="F647" t="s">
        <v>6</v>
      </c>
      <c r="G647">
        <f>tblSalaries[[#This Row],[clean Salary (in local currency)]]*VLOOKUP(tblSalaries[[#This Row],[Currency]],tblXrate[],2,FALSE)</f>
        <v>21500</v>
      </c>
      <c r="H647" t="s">
        <v>756</v>
      </c>
      <c r="I647" t="s">
        <v>20</v>
      </c>
      <c r="J647" t="s">
        <v>8</v>
      </c>
      <c r="K647" t="str">
        <f>VLOOKUP(tblSalaries[[#This Row],[Where do you work]],tblCountries[[Actual]:[Mapping]],2,FALSE)</f>
        <v>India</v>
      </c>
      <c r="L647" t="s">
        <v>9</v>
      </c>
      <c r="M647">
        <v>9</v>
      </c>
    </row>
    <row r="648" spans="2:13" ht="15" customHeight="1">
      <c r="B648" t="s">
        <v>2651</v>
      </c>
      <c r="C648" s="1">
        <v>41055.518437500003</v>
      </c>
      <c r="D648" s="4">
        <v>15000</v>
      </c>
      <c r="E648">
        <v>15000</v>
      </c>
      <c r="F648" t="s">
        <v>6</v>
      </c>
      <c r="G648">
        <f>tblSalaries[[#This Row],[clean Salary (in local currency)]]*VLOOKUP(tblSalaries[[#This Row],[Currency]],tblXrate[],2,FALSE)</f>
        <v>15000</v>
      </c>
      <c r="H648" t="s">
        <v>721</v>
      </c>
      <c r="I648" t="s">
        <v>3999</v>
      </c>
      <c r="J648" t="s">
        <v>8</v>
      </c>
      <c r="K648" t="str">
        <f>VLOOKUP(tblSalaries[[#This Row],[Where do you work]],tblCountries[[Actual]:[Mapping]],2,FALSE)</f>
        <v>India</v>
      </c>
      <c r="L648" t="s">
        <v>13</v>
      </c>
      <c r="M648">
        <v>2</v>
      </c>
    </row>
    <row r="649" spans="2:13" ht="15" customHeight="1">
      <c r="B649" t="s">
        <v>2652</v>
      </c>
      <c r="C649" s="1">
        <v>41055.51898148148</v>
      </c>
      <c r="D649" s="4">
        <v>200000</v>
      </c>
      <c r="E649">
        <v>200000</v>
      </c>
      <c r="F649" t="s">
        <v>32</v>
      </c>
      <c r="G649">
        <f>tblSalaries[[#This Row],[clean Salary (in local currency)]]*VLOOKUP(tblSalaries[[#This Row],[Currency]],tblXrate[],2,FALSE)</f>
        <v>2122.8177433598262</v>
      </c>
      <c r="H649" t="s">
        <v>757</v>
      </c>
      <c r="I649" t="s">
        <v>310</v>
      </c>
      <c r="J649" t="s">
        <v>17</v>
      </c>
      <c r="K649" t="str">
        <f>VLOOKUP(tblSalaries[[#This Row],[Where do you work]],tblCountries[[Actual]:[Mapping]],2,FALSE)</f>
        <v>Pakistan</v>
      </c>
      <c r="L649" t="s">
        <v>18</v>
      </c>
      <c r="M649">
        <v>2</v>
      </c>
    </row>
    <row r="650" spans="2:13" ht="15" customHeight="1">
      <c r="B650" t="s">
        <v>2653</v>
      </c>
      <c r="C650" s="1">
        <v>41055.519502314812</v>
      </c>
      <c r="D650" s="4" t="s">
        <v>758</v>
      </c>
      <c r="E650">
        <v>950000</v>
      </c>
      <c r="F650" t="s">
        <v>40</v>
      </c>
      <c r="G650">
        <f>tblSalaries[[#This Row],[clean Salary (in local currency)]]*VLOOKUP(tblSalaries[[#This Row],[Currency]],tblXrate[],2,FALSE)</f>
        <v>16917.52085307044</v>
      </c>
      <c r="H650" t="s">
        <v>759</v>
      </c>
      <c r="I650" t="s">
        <v>52</v>
      </c>
      <c r="J650" t="s">
        <v>8</v>
      </c>
      <c r="K650" t="str">
        <f>VLOOKUP(tblSalaries[[#This Row],[Where do you work]],tblCountries[[Actual]:[Mapping]],2,FALSE)</f>
        <v>India</v>
      </c>
      <c r="L650" t="s">
        <v>9</v>
      </c>
      <c r="M650">
        <v>3</v>
      </c>
    </row>
    <row r="651" spans="2:13" ht="15" customHeight="1">
      <c r="B651" t="s">
        <v>2654</v>
      </c>
      <c r="C651" s="1">
        <v>41055.519571759258</v>
      </c>
      <c r="D651" s="4" t="s">
        <v>760</v>
      </c>
      <c r="E651">
        <v>165000</v>
      </c>
      <c r="F651" t="s">
        <v>40</v>
      </c>
      <c r="G651">
        <f>tblSalaries[[#This Row],[clean Salary (in local currency)]]*VLOOKUP(tblSalaries[[#This Row],[Currency]],tblXrate[],2,FALSE)</f>
        <v>2938.3062534280239</v>
      </c>
      <c r="H651" t="s">
        <v>761</v>
      </c>
      <c r="I651" t="s">
        <v>52</v>
      </c>
      <c r="J651" t="s">
        <v>8</v>
      </c>
      <c r="K651" t="str">
        <f>VLOOKUP(tblSalaries[[#This Row],[Where do you work]],tblCountries[[Actual]:[Mapping]],2,FALSE)</f>
        <v>India</v>
      </c>
      <c r="L651" t="s">
        <v>13</v>
      </c>
      <c r="M651">
        <v>11</v>
      </c>
    </row>
    <row r="652" spans="2:13" ht="15" customHeight="1">
      <c r="B652" t="s">
        <v>2655</v>
      </c>
      <c r="C652" s="1">
        <v>41055.521087962959</v>
      </c>
      <c r="D652" s="4">
        <v>1400</v>
      </c>
      <c r="E652">
        <v>16800</v>
      </c>
      <c r="F652" t="s">
        <v>6</v>
      </c>
      <c r="G652">
        <f>tblSalaries[[#This Row],[clean Salary (in local currency)]]*VLOOKUP(tblSalaries[[#This Row],[Currency]],tblXrate[],2,FALSE)</f>
        <v>16800</v>
      </c>
      <c r="H652" t="s">
        <v>678</v>
      </c>
      <c r="I652" t="s">
        <v>20</v>
      </c>
      <c r="J652" t="s">
        <v>17</v>
      </c>
      <c r="K652" t="str">
        <f>VLOOKUP(tblSalaries[[#This Row],[Where do you work]],tblCountries[[Actual]:[Mapping]],2,FALSE)</f>
        <v>Pakistan</v>
      </c>
      <c r="L652" t="s">
        <v>9</v>
      </c>
      <c r="M652">
        <v>12</v>
      </c>
    </row>
    <row r="653" spans="2:13" ht="15" customHeight="1">
      <c r="B653" t="s">
        <v>2656</v>
      </c>
      <c r="C653" s="1">
        <v>41055.521863425929</v>
      </c>
      <c r="D653" s="4">
        <v>37000</v>
      </c>
      <c r="E653">
        <v>37000</v>
      </c>
      <c r="F653" t="s">
        <v>6</v>
      </c>
      <c r="G653">
        <f>tblSalaries[[#This Row],[clean Salary (in local currency)]]*VLOOKUP(tblSalaries[[#This Row],[Currency]],tblXrate[],2,FALSE)</f>
        <v>37000</v>
      </c>
      <c r="H653" t="s">
        <v>762</v>
      </c>
      <c r="I653" t="s">
        <v>279</v>
      </c>
      <c r="J653" t="s">
        <v>8</v>
      </c>
      <c r="K653" t="str">
        <f>VLOOKUP(tblSalaries[[#This Row],[Where do you work]],tblCountries[[Actual]:[Mapping]],2,FALSE)</f>
        <v>India</v>
      </c>
      <c r="L653" t="s">
        <v>9</v>
      </c>
      <c r="M653">
        <v>10</v>
      </c>
    </row>
    <row r="654" spans="2:13" ht="15" customHeight="1">
      <c r="B654" t="s">
        <v>2657</v>
      </c>
      <c r="C654" s="1">
        <v>41055.523472222223</v>
      </c>
      <c r="D654" s="4" t="s">
        <v>736</v>
      </c>
      <c r="E654">
        <v>300000</v>
      </c>
      <c r="F654" t="s">
        <v>40</v>
      </c>
      <c r="G654">
        <f>tblSalaries[[#This Row],[clean Salary (in local currency)]]*VLOOKUP(tblSalaries[[#This Row],[Currency]],tblXrate[],2,FALSE)</f>
        <v>5342.3750062327708</v>
      </c>
      <c r="H654" t="s">
        <v>763</v>
      </c>
      <c r="I654" t="s">
        <v>20</v>
      </c>
      <c r="J654" t="s">
        <v>8</v>
      </c>
      <c r="K654" t="str">
        <f>VLOOKUP(tblSalaries[[#This Row],[Where do you work]],tblCountries[[Actual]:[Mapping]],2,FALSE)</f>
        <v>India</v>
      </c>
      <c r="L654" t="s">
        <v>9</v>
      </c>
      <c r="M654">
        <v>4.5</v>
      </c>
    </row>
    <row r="655" spans="2:13" ht="15" customHeight="1">
      <c r="B655" t="s">
        <v>2658</v>
      </c>
      <c r="C655" s="1">
        <v>41055.524791666663</v>
      </c>
      <c r="D655" s="4" t="s">
        <v>764</v>
      </c>
      <c r="E655">
        <v>200000</v>
      </c>
      <c r="F655" t="s">
        <v>40</v>
      </c>
      <c r="G655">
        <f>tblSalaries[[#This Row],[clean Salary (in local currency)]]*VLOOKUP(tblSalaries[[#This Row],[Currency]],tblXrate[],2,FALSE)</f>
        <v>3561.5833374885137</v>
      </c>
      <c r="H655" t="s">
        <v>765</v>
      </c>
      <c r="I655" t="s">
        <v>3999</v>
      </c>
      <c r="J655" t="s">
        <v>8</v>
      </c>
      <c r="K655" t="str">
        <f>VLOOKUP(tblSalaries[[#This Row],[Where do you work]],tblCountries[[Actual]:[Mapping]],2,FALSE)</f>
        <v>India</v>
      </c>
      <c r="L655" t="s">
        <v>13</v>
      </c>
      <c r="M655">
        <v>3</v>
      </c>
    </row>
    <row r="656" spans="2:13" ht="15" customHeight="1">
      <c r="B656" t="s">
        <v>2659</v>
      </c>
      <c r="C656" s="1">
        <v>41055.525613425925</v>
      </c>
      <c r="D656" s="4" t="s">
        <v>766</v>
      </c>
      <c r="E656">
        <v>480000</v>
      </c>
      <c r="F656" t="s">
        <v>40</v>
      </c>
      <c r="G656">
        <f>tblSalaries[[#This Row],[clean Salary (in local currency)]]*VLOOKUP(tblSalaries[[#This Row],[Currency]],tblXrate[],2,FALSE)</f>
        <v>8547.8000099724322</v>
      </c>
      <c r="H656" t="s">
        <v>767</v>
      </c>
      <c r="I656" t="s">
        <v>52</v>
      </c>
      <c r="J656" t="s">
        <v>8</v>
      </c>
      <c r="K656" t="str">
        <f>VLOOKUP(tblSalaries[[#This Row],[Where do you work]],tblCountries[[Actual]:[Mapping]],2,FALSE)</f>
        <v>India</v>
      </c>
      <c r="L656" t="s">
        <v>18</v>
      </c>
      <c r="M656">
        <v>8</v>
      </c>
    </row>
    <row r="657" spans="2:13" ht="15" customHeight="1">
      <c r="B657" t="s">
        <v>2660</v>
      </c>
      <c r="C657" s="1">
        <v>41055.53224537037</v>
      </c>
      <c r="D657" s="4">
        <v>5800</v>
      </c>
      <c r="E657">
        <v>5800</v>
      </c>
      <c r="F657" t="s">
        <v>6</v>
      </c>
      <c r="G657">
        <f>tblSalaries[[#This Row],[clean Salary (in local currency)]]*VLOOKUP(tblSalaries[[#This Row],[Currency]],tblXrate[],2,FALSE)</f>
        <v>5800</v>
      </c>
      <c r="H657" t="s">
        <v>768</v>
      </c>
      <c r="I657" t="s">
        <v>52</v>
      </c>
      <c r="J657" t="s">
        <v>8</v>
      </c>
      <c r="K657" t="str">
        <f>VLOOKUP(tblSalaries[[#This Row],[Where do you work]],tblCountries[[Actual]:[Mapping]],2,FALSE)</f>
        <v>India</v>
      </c>
      <c r="L657" t="s">
        <v>13</v>
      </c>
      <c r="M657">
        <v>8</v>
      </c>
    </row>
    <row r="658" spans="2:13" ht="15" customHeight="1">
      <c r="B658" t="s">
        <v>2661</v>
      </c>
      <c r="C658" s="1">
        <v>41055.533553240741</v>
      </c>
      <c r="D658" s="4" t="s">
        <v>769</v>
      </c>
      <c r="E658">
        <v>230000</v>
      </c>
      <c r="F658" t="s">
        <v>40</v>
      </c>
      <c r="G658">
        <f>tblSalaries[[#This Row],[clean Salary (in local currency)]]*VLOOKUP(tblSalaries[[#This Row],[Currency]],tblXrate[],2,FALSE)</f>
        <v>4095.8208381117906</v>
      </c>
      <c r="H658" t="s">
        <v>721</v>
      </c>
      <c r="I658" t="s">
        <v>3999</v>
      </c>
      <c r="J658" t="s">
        <v>8</v>
      </c>
      <c r="K658" t="str">
        <f>VLOOKUP(tblSalaries[[#This Row],[Where do you work]],tblCountries[[Actual]:[Mapping]],2,FALSE)</f>
        <v>India</v>
      </c>
      <c r="L658" t="s">
        <v>13</v>
      </c>
      <c r="M658">
        <v>3</v>
      </c>
    </row>
    <row r="659" spans="2:13" ht="15" customHeight="1">
      <c r="B659" t="s">
        <v>2662</v>
      </c>
      <c r="C659" s="1">
        <v>41055.534814814811</v>
      </c>
      <c r="D659" s="4" t="s">
        <v>770</v>
      </c>
      <c r="E659">
        <v>276000</v>
      </c>
      <c r="F659" t="s">
        <v>40</v>
      </c>
      <c r="G659">
        <f>tblSalaries[[#This Row],[clean Salary (in local currency)]]*VLOOKUP(tblSalaries[[#This Row],[Currency]],tblXrate[],2,FALSE)</f>
        <v>4914.9850057341491</v>
      </c>
      <c r="H659" t="s">
        <v>771</v>
      </c>
      <c r="I659" t="s">
        <v>52</v>
      </c>
      <c r="J659" t="s">
        <v>17</v>
      </c>
      <c r="K659" t="str">
        <f>VLOOKUP(tblSalaries[[#This Row],[Where do you work]],tblCountries[[Actual]:[Mapping]],2,FALSE)</f>
        <v>Pakistan</v>
      </c>
      <c r="L659" t="s">
        <v>25</v>
      </c>
      <c r="M659">
        <v>3</v>
      </c>
    </row>
    <row r="660" spans="2:13" ht="15" customHeight="1">
      <c r="B660" t="s">
        <v>2663</v>
      </c>
      <c r="C660" s="1">
        <v>41055.536539351851</v>
      </c>
      <c r="D660" s="4">
        <v>24000</v>
      </c>
      <c r="E660">
        <v>24000</v>
      </c>
      <c r="F660" t="s">
        <v>6</v>
      </c>
      <c r="G660">
        <f>tblSalaries[[#This Row],[clean Salary (in local currency)]]*VLOOKUP(tblSalaries[[#This Row],[Currency]],tblXrate[],2,FALSE)</f>
        <v>24000</v>
      </c>
      <c r="H660" t="s">
        <v>772</v>
      </c>
      <c r="I660" t="s">
        <v>52</v>
      </c>
      <c r="J660" t="s">
        <v>773</v>
      </c>
      <c r="K660" t="str">
        <f>VLOOKUP(tblSalaries[[#This Row],[Where do you work]],tblCountries[[Actual]:[Mapping]],2,FALSE)</f>
        <v>Saudi Arabia</v>
      </c>
      <c r="L660" t="s">
        <v>9</v>
      </c>
      <c r="M660">
        <v>12</v>
      </c>
    </row>
    <row r="661" spans="2:13" ht="15" customHeight="1">
      <c r="B661" t="s">
        <v>2664</v>
      </c>
      <c r="C661" s="1">
        <v>41055.537303240744</v>
      </c>
      <c r="D661" s="4" t="s">
        <v>774</v>
      </c>
      <c r="E661">
        <v>24000</v>
      </c>
      <c r="F661" t="s">
        <v>6</v>
      </c>
      <c r="G661">
        <f>tblSalaries[[#This Row],[clean Salary (in local currency)]]*VLOOKUP(tblSalaries[[#This Row],[Currency]],tblXrate[],2,FALSE)</f>
        <v>24000</v>
      </c>
      <c r="H661" t="s">
        <v>310</v>
      </c>
      <c r="I661" t="s">
        <v>310</v>
      </c>
      <c r="J661" t="s">
        <v>179</v>
      </c>
      <c r="K661" t="str">
        <f>VLOOKUP(tblSalaries[[#This Row],[Where do you work]],tblCountries[[Actual]:[Mapping]],2,FALSE)</f>
        <v>UAE</v>
      </c>
      <c r="L661" t="s">
        <v>18</v>
      </c>
      <c r="M661">
        <v>15</v>
      </c>
    </row>
    <row r="662" spans="2:13" ht="15" customHeight="1">
      <c r="B662" t="s">
        <v>2665</v>
      </c>
      <c r="C662" s="1">
        <v>41055.537673611114</v>
      </c>
      <c r="D662" s="4">
        <v>8738</v>
      </c>
      <c r="E662">
        <v>8738</v>
      </c>
      <c r="F662" t="s">
        <v>6</v>
      </c>
      <c r="G662">
        <f>tblSalaries[[#This Row],[clean Salary (in local currency)]]*VLOOKUP(tblSalaries[[#This Row],[Currency]],tblXrate[],2,FALSE)</f>
        <v>8738</v>
      </c>
      <c r="H662" t="s">
        <v>775</v>
      </c>
      <c r="I662" t="s">
        <v>52</v>
      </c>
      <c r="J662" t="s">
        <v>8</v>
      </c>
      <c r="K662" t="str">
        <f>VLOOKUP(tblSalaries[[#This Row],[Where do you work]],tblCountries[[Actual]:[Mapping]],2,FALSE)</f>
        <v>India</v>
      </c>
      <c r="L662" t="s">
        <v>13</v>
      </c>
      <c r="M662">
        <v>7.3</v>
      </c>
    </row>
    <row r="663" spans="2:13" ht="15" customHeight="1">
      <c r="B663" t="s">
        <v>2666</v>
      </c>
      <c r="C663" s="1">
        <v>41055.537916666668</v>
      </c>
      <c r="D663" s="4">
        <v>15000</v>
      </c>
      <c r="E663">
        <v>15000</v>
      </c>
      <c r="F663" t="s">
        <v>6</v>
      </c>
      <c r="G663">
        <f>tblSalaries[[#This Row],[clean Salary (in local currency)]]*VLOOKUP(tblSalaries[[#This Row],[Currency]],tblXrate[],2,FALSE)</f>
        <v>15000</v>
      </c>
      <c r="H663" t="s">
        <v>776</v>
      </c>
      <c r="I663" t="s">
        <v>20</v>
      </c>
      <c r="J663" t="s">
        <v>726</v>
      </c>
      <c r="K663" t="str">
        <f>VLOOKUP(tblSalaries[[#This Row],[Where do you work]],tblCountries[[Actual]:[Mapping]],2,FALSE)</f>
        <v>Indonesia</v>
      </c>
      <c r="L663" t="s">
        <v>9</v>
      </c>
      <c r="M663">
        <v>1</v>
      </c>
    </row>
    <row r="664" spans="2:13" ht="15" customHeight="1">
      <c r="B664" t="s">
        <v>2667</v>
      </c>
      <c r="C664" s="1">
        <v>41055.538298611114</v>
      </c>
      <c r="D664" s="4">
        <v>4700</v>
      </c>
      <c r="E664">
        <v>56400</v>
      </c>
      <c r="F664" t="s">
        <v>6</v>
      </c>
      <c r="G664">
        <f>tblSalaries[[#This Row],[clean Salary (in local currency)]]*VLOOKUP(tblSalaries[[#This Row],[Currency]],tblXrate[],2,FALSE)</f>
        <v>56400</v>
      </c>
      <c r="H664" t="s">
        <v>642</v>
      </c>
      <c r="I664" t="s">
        <v>52</v>
      </c>
      <c r="J664" t="s">
        <v>179</v>
      </c>
      <c r="K664" t="str">
        <f>VLOOKUP(tblSalaries[[#This Row],[Where do you work]],tblCountries[[Actual]:[Mapping]],2,FALSE)</f>
        <v>UAE</v>
      </c>
      <c r="L664" t="s">
        <v>18</v>
      </c>
      <c r="M664">
        <v>6</v>
      </c>
    </row>
    <row r="665" spans="2:13" ht="15" customHeight="1">
      <c r="B665" t="s">
        <v>2668</v>
      </c>
      <c r="C665" s="1">
        <v>41055.541122685187</v>
      </c>
      <c r="D665" s="4">
        <v>10200</v>
      </c>
      <c r="E665">
        <v>10200</v>
      </c>
      <c r="F665" t="s">
        <v>6</v>
      </c>
      <c r="G665">
        <f>tblSalaries[[#This Row],[clean Salary (in local currency)]]*VLOOKUP(tblSalaries[[#This Row],[Currency]],tblXrate[],2,FALSE)</f>
        <v>10200</v>
      </c>
      <c r="H665" t="s">
        <v>42</v>
      </c>
      <c r="I665" t="s">
        <v>20</v>
      </c>
      <c r="J665" t="s">
        <v>8</v>
      </c>
      <c r="K665" t="str">
        <f>VLOOKUP(tblSalaries[[#This Row],[Where do you work]],tblCountries[[Actual]:[Mapping]],2,FALSE)</f>
        <v>India</v>
      </c>
      <c r="L665" t="s">
        <v>9</v>
      </c>
      <c r="M665">
        <v>4.5</v>
      </c>
    </row>
    <row r="666" spans="2:13" ht="15" customHeight="1">
      <c r="B666" t="s">
        <v>2669</v>
      </c>
      <c r="C666" s="1">
        <v>41055.541446759256</v>
      </c>
      <c r="D666" s="4">
        <v>325000</v>
      </c>
      <c r="E666">
        <v>325000</v>
      </c>
      <c r="F666" t="s">
        <v>40</v>
      </c>
      <c r="G666">
        <f>tblSalaries[[#This Row],[clean Salary (in local currency)]]*VLOOKUP(tblSalaries[[#This Row],[Currency]],tblXrate[],2,FALSE)</f>
        <v>5787.5729234188348</v>
      </c>
      <c r="H666" t="s">
        <v>721</v>
      </c>
      <c r="I666" t="s">
        <v>3999</v>
      </c>
      <c r="J666" t="s">
        <v>8</v>
      </c>
      <c r="K666" t="str">
        <f>VLOOKUP(tblSalaries[[#This Row],[Where do you work]],tblCountries[[Actual]:[Mapping]],2,FALSE)</f>
        <v>India</v>
      </c>
      <c r="L666" t="s">
        <v>13</v>
      </c>
      <c r="M666">
        <v>4.5</v>
      </c>
    </row>
    <row r="667" spans="2:13" ht="15" customHeight="1">
      <c r="B667" t="s">
        <v>2670</v>
      </c>
      <c r="C667" s="1">
        <v>41055.542870370373</v>
      </c>
      <c r="D667" s="4">
        <v>105000</v>
      </c>
      <c r="E667">
        <v>105000</v>
      </c>
      <c r="F667" t="s">
        <v>6</v>
      </c>
      <c r="G667">
        <f>tblSalaries[[#This Row],[clean Salary (in local currency)]]*VLOOKUP(tblSalaries[[#This Row],[Currency]],tblXrate[],2,FALSE)</f>
        <v>105000</v>
      </c>
      <c r="H667" t="s">
        <v>76</v>
      </c>
      <c r="I667" t="s">
        <v>356</v>
      </c>
      <c r="J667" t="s">
        <v>15</v>
      </c>
      <c r="K667" t="str">
        <f>VLOOKUP(tblSalaries[[#This Row],[Where do you work]],tblCountries[[Actual]:[Mapping]],2,FALSE)</f>
        <v>USA</v>
      </c>
      <c r="L667" t="s">
        <v>18</v>
      </c>
      <c r="M667">
        <v>15</v>
      </c>
    </row>
    <row r="668" spans="2:13" ht="15" customHeight="1">
      <c r="B668" t="s">
        <v>2671</v>
      </c>
      <c r="C668" s="1">
        <v>41055.542974537035</v>
      </c>
      <c r="D668" s="4" t="s">
        <v>777</v>
      </c>
      <c r="E668">
        <v>250000</v>
      </c>
      <c r="F668" t="s">
        <v>40</v>
      </c>
      <c r="G668">
        <f>tblSalaries[[#This Row],[clean Salary (in local currency)]]*VLOOKUP(tblSalaries[[#This Row],[Currency]],tblXrate[],2,FALSE)</f>
        <v>4451.9791718606421</v>
      </c>
      <c r="H668" t="s">
        <v>778</v>
      </c>
      <c r="I668" t="s">
        <v>52</v>
      </c>
      <c r="J668" t="s">
        <v>8</v>
      </c>
      <c r="K668" t="str">
        <f>VLOOKUP(tblSalaries[[#This Row],[Where do you work]],tblCountries[[Actual]:[Mapping]],2,FALSE)</f>
        <v>India</v>
      </c>
      <c r="L668" t="s">
        <v>18</v>
      </c>
      <c r="M668">
        <v>5</v>
      </c>
    </row>
    <row r="669" spans="2:13" ht="15" customHeight="1">
      <c r="B669" t="s">
        <v>2672</v>
      </c>
      <c r="C669" s="1">
        <v>41055.543634259258</v>
      </c>
      <c r="D669" s="4">
        <v>470000</v>
      </c>
      <c r="E669">
        <v>470000</v>
      </c>
      <c r="F669" t="s">
        <v>40</v>
      </c>
      <c r="G669">
        <f>tblSalaries[[#This Row],[clean Salary (in local currency)]]*VLOOKUP(tblSalaries[[#This Row],[Currency]],tblXrate[],2,FALSE)</f>
        <v>8369.7208430980063</v>
      </c>
      <c r="H669" t="s">
        <v>356</v>
      </c>
      <c r="I669" t="s">
        <v>356</v>
      </c>
      <c r="J669" t="s">
        <v>8</v>
      </c>
      <c r="K669" t="str">
        <f>VLOOKUP(tblSalaries[[#This Row],[Where do you work]],tblCountries[[Actual]:[Mapping]],2,FALSE)</f>
        <v>India</v>
      </c>
      <c r="L669" t="s">
        <v>13</v>
      </c>
      <c r="M669">
        <v>4</v>
      </c>
    </row>
    <row r="670" spans="2:13" ht="15" customHeight="1">
      <c r="B670" t="s">
        <v>2673</v>
      </c>
      <c r="C670" s="1">
        <v>41055.544120370374</v>
      </c>
      <c r="D670" s="4">
        <v>720000</v>
      </c>
      <c r="E670">
        <v>720000</v>
      </c>
      <c r="F670" t="s">
        <v>3951</v>
      </c>
      <c r="G670">
        <f>tblSalaries[[#This Row],[clean Salary (in local currency)]]*VLOOKUP(tblSalaries[[#This Row],[Currency]],tblXrate[],2,FALSE)</f>
        <v>17067.637625607145</v>
      </c>
      <c r="H670" t="s">
        <v>454</v>
      </c>
      <c r="I670" t="s">
        <v>52</v>
      </c>
      <c r="J670" t="s">
        <v>347</v>
      </c>
      <c r="K670" t="str">
        <f>VLOOKUP(tblSalaries[[#This Row],[Where do you work]],tblCountries[[Actual]:[Mapping]],2,FALSE)</f>
        <v>Philippines</v>
      </c>
      <c r="L670" t="s">
        <v>9</v>
      </c>
      <c r="M670">
        <v>9</v>
      </c>
    </row>
    <row r="671" spans="2:13" ht="15" customHeight="1">
      <c r="B671" t="s">
        <v>2674</v>
      </c>
      <c r="C671" s="1">
        <v>41055.544421296298</v>
      </c>
      <c r="D671" s="4">
        <v>100000</v>
      </c>
      <c r="E671">
        <v>100000</v>
      </c>
      <c r="F671" t="s">
        <v>82</v>
      </c>
      <c r="G671">
        <f>tblSalaries[[#This Row],[clean Salary (in local currency)]]*VLOOKUP(tblSalaries[[#This Row],[Currency]],tblXrate[],2,FALSE)</f>
        <v>101990.96564026357</v>
      </c>
      <c r="H671" t="s">
        <v>779</v>
      </c>
      <c r="I671" t="s">
        <v>52</v>
      </c>
      <c r="J671" t="s">
        <v>84</v>
      </c>
      <c r="K671" t="str">
        <f>VLOOKUP(tblSalaries[[#This Row],[Where do you work]],tblCountries[[Actual]:[Mapping]],2,FALSE)</f>
        <v>Australia</v>
      </c>
      <c r="L671" t="s">
        <v>25</v>
      </c>
      <c r="M671">
        <v>20</v>
      </c>
    </row>
    <row r="672" spans="2:13" ht="15" customHeight="1">
      <c r="B672" t="s">
        <v>2675</v>
      </c>
      <c r="C672" s="1">
        <v>41055.545173611114</v>
      </c>
      <c r="D672" s="4" t="s">
        <v>780</v>
      </c>
      <c r="E672">
        <v>220000</v>
      </c>
      <c r="F672" t="s">
        <v>40</v>
      </c>
      <c r="G672">
        <f>tblSalaries[[#This Row],[clean Salary (in local currency)]]*VLOOKUP(tblSalaries[[#This Row],[Currency]],tblXrate[],2,FALSE)</f>
        <v>3917.7416712373652</v>
      </c>
      <c r="H672" t="s">
        <v>781</v>
      </c>
      <c r="I672" t="s">
        <v>20</v>
      </c>
      <c r="J672" t="s">
        <v>8</v>
      </c>
      <c r="K672" t="str">
        <f>VLOOKUP(tblSalaries[[#This Row],[Where do you work]],tblCountries[[Actual]:[Mapping]],2,FALSE)</f>
        <v>India</v>
      </c>
      <c r="L672" t="s">
        <v>18</v>
      </c>
      <c r="M672">
        <v>3</v>
      </c>
    </row>
    <row r="673" spans="2:13" ht="15" customHeight="1">
      <c r="B673" t="s">
        <v>2676</v>
      </c>
      <c r="C673" s="1">
        <v>41055.547673611109</v>
      </c>
      <c r="D673" s="4">
        <v>52000</v>
      </c>
      <c r="E673">
        <v>52000</v>
      </c>
      <c r="F673" t="s">
        <v>6</v>
      </c>
      <c r="G673">
        <f>tblSalaries[[#This Row],[clean Salary (in local currency)]]*VLOOKUP(tblSalaries[[#This Row],[Currency]],tblXrate[],2,FALSE)</f>
        <v>52000</v>
      </c>
      <c r="H673" t="s">
        <v>782</v>
      </c>
      <c r="I673" t="s">
        <v>67</v>
      </c>
      <c r="J673" t="s">
        <v>15</v>
      </c>
      <c r="K673" t="str">
        <f>VLOOKUP(tblSalaries[[#This Row],[Where do you work]],tblCountries[[Actual]:[Mapping]],2,FALSE)</f>
        <v>USA</v>
      </c>
      <c r="L673" t="s">
        <v>9</v>
      </c>
      <c r="M673">
        <v>18</v>
      </c>
    </row>
    <row r="674" spans="2:13" ht="15" customHeight="1">
      <c r="B674" t="s">
        <v>2677</v>
      </c>
      <c r="C674" s="1">
        <v>41055.549317129633</v>
      </c>
      <c r="D674" s="4" t="s">
        <v>783</v>
      </c>
      <c r="E674">
        <v>260000</v>
      </c>
      <c r="F674" t="s">
        <v>40</v>
      </c>
      <c r="G674">
        <f>tblSalaries[[#This Row],[clean Salary (in local currency)]]*VLOOKUP(tblSalaries[[#This Row],[Currency]],tblXrate[],2,FALSE)</f>
        <v>4630.058338735068</v>
      </c>
      <c r="H674" t="s">
        <v>20</v>
      </c>
      <c r="I674" t="s">
        <v>20</v>
      </c>
      <c r="J674" t="s">
        <v>8</v>
      </c>
      <c r="K674" t="str">
        <f>VLOOKUP(tblSalaries[[#This Row],[Where do you work]],tblCountries[[Actual]:[Mapping]],2,FALSE)</f>
        <v>India</v>
      </c>
      <c r="L674" t="s">
        <v>9</v>
      </c>
      <c r="M674">
        <v>2</v>
      </c>
    </row>
    <row r="675" spans="2:13" ht="15" customHeight="1">
      <c r="B675" t="s">
        <v>2678</v>
      </c>
      <c r="C675" s="1">
        <v>41055.550555555557</v>
      </c>
      <c r="D675" s="4" t="s">
        <v>784</v>
      </c>
      <c r="E675">
        <v>120000</v>
      </c>
      <c r="F675" t="s">
        <v>40</v>
      </c>
      <c r="G675">
        <f>tblSalaries[[#This Row],[clean Salary (in local currency)]]*VLOOKUP(tblSalaries[[#This Row],[Currency]],tblXrate[],2,FALSE)</f>
        <v>2136.9500024931081</v>
      </c>
      <c r="H675" t="s">
        <v>153</v>
      </c>
      <c r="I675" t="s">
        <v>20</v>
      </c>
      <c r="J675" t="s">
        <v>8</v>
      </c>
      <c r="K675" t="str">
        <f>VLOOKUP(tblSalaries[[#This Row],[Where do you work]],tblCountries[[Actual]:[Mapping]],2,FALSE)</f>
        <v>India</v>
      </c>
      <c r="L675" t="s">
        <v>18</v>
      </c>
      <c r="M675">
        <v>3</v>
      </c>
    </row>
    <row r="676" spans="2:13" ht="15" customHeight="1">
      <c r="B676" t="s">
        <v>2679</v>
      </c>
      <c r="C676" s="1">
        <v>41055.553020833337</v>
      </c>
      <c r="D676" s="4">
        <v>13000</v>
      </c>
      <c r="E676">
        <v>13000</v>
      </c>
      <c r="F676" t="s">
        <v>6</v>
      </c>
      <c r="G676">
        <f>tblSalaries[[#This Row],[clean Salary (in local currency)]]*VLOOKUP(tblSalaries[[#This Row],[Currency]],tblXrate[],2,FALSE)</f>
        <v>13000</v>
      </c>
      <c r="H676" t="s">
        <v>20</v>
      </c>
      <c r="I676" t="s">
        <v>20</v>
      </c>
      <c r="J676" t="s">
        <v>8</v>
      </c>
      <c r="K676" t="str">
        <f>VLOOKUP(tblSalaries[[#This Row],[Where do you work]],tblCountries[[Actual]:[Mapping]],2,FALSE)</f>
        <v>India</v>
      </c>
      <c r="L676" t="s">
        <v>25</v>
      </c>
      <c r="M676">
        <v>4</v>
      </c>
    </row>
    <row r="677" spans="2:13" ht="15" customHeight="1">
      <c r="B677" t="s">
        <v>2680</v>
      </c>
      <c r="C677" s="1">
        <v>41055.553888888891</v>
      </c>
      <c r="D677" s="4" t="s">
        <v>785</v>
      </c>
      <c r="E677">
        <v>144000</v>
      </c>
      <c r="F677" t="s">
        <v>40</v>
      </c>
      <c r="G677">
        <f>tblSalaries[[#This Row],[clean Salary (in local currency)]]*VLOOKUP(tblSalaries[[#This Row],[Currency]],tblXrate[],2,FALSE)</f>
        <v>2564.3400029917298</v>
      </c>
      <c r="H677" t="s">
        <v>786</v>
      </c>
      <c r="I677" t="s">
        <v>52</v>
      </c>
      <c r="J677" t="s">
        <v>8</v>
      </c>
      <c r="K677" t="str">
        <f>VLOOKUP(tblSalaries[[#This Row],[Where do you work]],tblCountries[[Actual]:[Mapping]],2,FALSE)</f>
        <v>India</v>
      </c>
      <c r="L677" t="s">
        <v>18</v>
      </c>
      <c r="M677">
        <v>7</v>
      </c>
    </row>
    <row r="678" spans="2:13" ht="15" customHeight="1">
      <c r="B678" t="s">
        <v>2681</v>
      </c>
      <c r="C678" s="1">
        <v>41055.554201388892</v>
      </c>
      <c r="D678" s="4" t="s">
        <v>787</v>
      </c>
      <c r="E678">
        <v>1150000</v>
      </c>
      <c r="F678" t="s">
        <v>40</v>
      </c>
      <c r="G678">
        <f>tblSalaries[[#This Row],[clean Salary (in local currency)]]*VLOOKUP(tblSalaries[[#This Row],[Currency]],tblXrate[],2,FALSE)</f>
        <v>20479.104190558952</v>
      </c>
      <c r="H678" t="s">
        <v>788</v>
      </c>
      <c r="I678" t="s">
        <v>52</v>
      </c>
      <c r="J678" t="s">
        <v>8</v>
      </c>
      <c r="K678" t="str">
        <f>VLOOKUP(tblSalaries[[#This Row],[Where do you work]],tblCountries[[Actual]:[Mapping]],2,FALSE)</f>
        <v>India</v>
      </c>
      <c r="L678" t="s">
        <v>18</v>
      </c>
      <c r="M678">
        <v>7</v>
      </c>
    </row>
    <row r="679" spans="2:13" ht="15" customHeight="1">
      <c r="B679" t="s">
        <v>2682</v>
      </c>
      <c r="C679" s="1">
        <v>41055.554537037038</v>
      </c>
      <c r="D679" s="4" t="s">
        <v>789</v>
      </c>
      <c r="E679">
        <v>33500</v>
      </c>
      <c r="F679" t="s">
        <v>6</v>
      </c>
      <c r="G679">
        <f>tblSalaries[[#This Row],[clean Salary (in local currency)]]*VLOOKUP(tblSalaries[[#This Row],[Currency]],tblXrate[],2,FALSE)</f>
        <v>33500</v>
      </c>
      <c r="H679" t="s">
        <v>790</v>
      </c>
      <c r="I679" t="s">
        <v>310</v>
      </c>
      <c r="J679" t="s">
        <v>359</v>
      </c>
      <c r="K679" t="str">
        <f>VLOOKUP(tblSalaries[[#This Row],[Where do you work]],tblCountries[[Actual]:[Mapping]],2,FALSE)</f>
        <v>Dubai</v>
      </c>
      <c r="L679" t="s">
        <v>25</v>
      </c>
      <c r="M679">
        <v>10</v>
      </c>
    </row>
    <row r="680" spans="2:13" ht="15" customHeight="1">
      <c r="B680" t="s">
        <v>2683</v>
      </c>
      <c r="C680" s="1">
        <v>41055.555347222224</v>
      </c>
      <c r="D680" s="4">
        <v>50000</v>
      </c>
      <c r="E680">
        <v>50000</v>
      </c>
      <c r="F680" t="s">
        <v>6</v>
      </c>
      <c r="G680">
        <f>tblSalaries[[#This Row],[clean Salary (in local currency)]]*VLOOKUP(tblSalaries[[#This Row],[Currency]],tblXrate[],2,FALSE)</f>
        <v>50000</v>
      </c>
      <c r="H680" t="s">
        <v>791</v>
      </c>
      <c r="I680" t="s">
        <v>52</v>
      </c>
      <c r="J680" t="s">
        <v>8</v>
      </c>
      <c r="K680" t="str">
        <f>VLOOKUP(tblSalaries[[#This Row],[Where do you work]],tblCountries[[Actual]:[Mapping]],2,FALSE)</f>
        <v>India</v>
      </c>
      <c r="L680" t="s">
        <v>18</v>
      </c>
      <c r="M680">
        <v>20</v>
      </c>
    </row>
    <row r="681" spans="2:13" ht="15" customHeight="1">
      <c r="B681" t="s">
        <v>2684</v>
      </c>
      <c r="C681" s="1">
        <v>41055.557442129626</v>
      </c>
      <c r="D681" s="4">
        <v>300000</v>
      </c>
      <c r="E681">
        <v>300000</v>
      </c>
      <c r="F681" t="s">
        <v>40</v>
      </c>
      <c r="G681">
        <f>tblSalaries[[#This Row],[clean Salary (in local currency)]]*VLOOKUP(tblSalaries[[#This Row],[Currency]],tblXrate[],2,FALSE)</f>
        <v>5342.3750062327708</v>
      </c>
      <c r="H681" t="s">
        <v>792</v>
      </c>
      <c r="I681" t="s">
        <v>52</v>
      </c>
      <c r="J681" t="s">
        <v>8</v>
      </c>
      <c r="K681" t="str">
        <f>VLOOKUP(tblSalaries[[#This Row],[Where do you work]],tblCountries[[Actual]:[Mapping]],2,FALSE)</f>
        <v>India</v>
      </c>
      <c r="L681" t="s">
        <v>18</v>
      </c>
      <c r="M681">
        <v>3</v>
      </c>
    </row>
    <row r="682" spans="2:13" ht="15" customHeight="1">
      <c r="B682" t="s">
        <v>2685</v>
      </c>
      <c r="C682" s="1">
        <v>41055.558391203704</v>
      </c>
      <c r="D682" s="4" t="s">
        <v>793</v>
      </c>
      <c r="E682">
        <v>648000</v>
      </c>
      <c r="F682" t="s">
        <v>40</v>
      </c>
      <c r="G682">
        <f>tblSalaries[[#This Row],[clean Salary (in local currency)]]*VLOOKUP(tblSalaries[[#This Row],[Currency]],tblXrate[],2,FALSE)</f>
        <v>11539.530013462785</v>
      </c>
      <c r="H682" t="s">
        <v>794</v>
      </c>
      <c r="I682" t="s">
        <v>20</v>
      </c>
      <c r="J682" t="s">
        <v>8</v>
      </c>
      <c r="K682" t="str">
        <f>VLOOKUP(tblSalaries[[#This Row],[Where do you work]],tblCountries[[Actual]:[Mapping]],2,FALSE)</f>
        <v>India</v>
      </c>
      <c r="L682" t="s">
        <v>13</v>
      </c>
      <c r="M682">
        <v>2</v>
      </c>
    </row>
    <row r="683" spans="2:13" ht="15" customHeight="1">
      <c r="B683" t="s">
        <v>2686</v>
      </c>
      <c r="C683" s="1">
        <v>41055.558495370373</v>
      </c>
      <c r="D683" s="4">
        <v>7000</v>
      </c>
      <c r="E683">
        <v>7000</v>
      </c>
      <c r="F683" t="s">
        <v>6</v>
      </c>
      <c r="G683">
        <f>tblSalaries[[#This Row],[clean Salary (in local currency)]]*VLOOKUP(tblSalaries[[#This Row],[Currency]],tblXrate[],2,FALSE)</f>
        <v>7000</v>
      </c>
      <c r="H683" t="s">
        <v>795</v>
      </c>
      <c r="I683" t="s">
        <v>52</v>
      </c>
      <c r="J683" t="s">
        <v>8</v>
      </c>
      <c r="K683" t="str">
        <f>VLOOKUP(tblSalaries[[#This Row],[Where do you work]],tblCountries[[Actual]:[Mapping]],2,FALSE)</f>
        <v>India</v>
      </c>
      <c r="L683" t="s">
        <v>9</v>
      </c>
      <c r="M683">
        <v>23</v>
      </c>
    </row>
    <row r="684" spans="2:13" ht="15" customHeight="1">
      <c r="B684" t="s">
        <v>2687</v>
      </c>
      <c r="C684" s="1">
        <v>41055.558749999997</v>
      </c>
      <c r="D684" s="4">
        <v>380000</v>
      </c>
      <c r="E684">
        <v>380000</v>
      </c>
      <c r="F684" t="s">
        <v>40</v>
      </c>
      <c r="G684">
        <f>tblSalaries[[#This Row],[clean Salary (in local currency)]]*VLOOKUP(tblSalaries[[#This Row],[Currency]],tblXrate[],2,FALSE)</f>
        <v>6767.0083412281756</v>
      </c>
      <c r="H684" t="s">
        <v>796</v>
      </c>
      <c r="I684" t="s">
        <v>3999</v>
      </c>
      <c r="J684" t="s">
        <v>8</v>
      </c>
      <c r="K684" t="str">
        <f>VLOOKUP(tblSalaries[[#This Row],[Where do you work]],tblCountries[[Actual]:[Mapping]],2,FALSE)</f>
        <v>India</v>
      </c>
      <c r="L684" t="s">
        <v>18</v>
      </c>
      <c r="M684">
        <v>6</v>
      </c>
    </row>
    <row r="685" spans="2:13" ht="15" customHeight="1">
      <c r="B685" t="s">
        <v>2688</v>
      </c>
      <c r="C685" s="1">
        <v>41055.561944444446</v>
      </c>
      <c r="D685" s="4" t="s">
        <v>797</v>
      </c>
      <c r="E685">
        <v>3000</v>
      </c>
      <c r="F685" t="s">
        <v>6</v>
      </c>
      <c r="G685">
        <f>tblSalaries[[#This Row],[clean Salary (in local currency)]]*VLOOKUP(tblSalaries[[#This Row],[Currency]],tblXrate[],2,FALSE)</f>
        <v>3000</v>
      </c>
      <c r="H685" t="s">
        <v>798</v>
      </c>
      <c r="I685" t="s">
        <v>356</v>
      </c>
      <c r="J685" t="s">
        <v>799</v>
      </c>
      <c r="K685" t="str">
        <f>VLOOKUP(tblSalaries[[#This Row],[Where do you work]],tblCountries[[Actual]:[Mapping]],2,FALSE)</f>
        <v>Cambodia</v>
      </c>
      <c r="L685" t="s">
        <v>18</v>
      </c>
      <c r="M685">
        <v>2</v>
      </c>
    </row>
    <row r="686" spans="2:13" ht="15" customHeight="1">
      <c r="B686" t="s">
        <v>2689</v>
      </c>
      <c r="C686" s="1">
        <v>41055.562210648146</v>
      </c>
      <c r="D686" s="4" t="s">
        <v>800</v>
      </c>
      <c r="E686">
        <v>250000</v>
      </c>
      <c r="F686" t="s">
        <v>40</v>
      </c>
      <c r="G686">
        <f>tblSalaries[[#This Row],[clean Salary (in local currency)]]*VLOOKUP(tblSalaries[[#This Row],[Currency]],tblXrate[],2,FALSE)</f>
        <v>4451.9791718606421</v>
      </c>
      <c r="H686" t="s">
        <v>801</v>
      </c>
      <c r="I686" t="s">
        <v>3999</v>
      </c>
      <c r="J686" t="s">
        <v>8</v>
      </c>
      <c r="K686" t="str">
        <f>VLOOKUP(tblSalaries[[#This Row],[Where do you work]],tblCountries[[Actual]:[Mapping]],2,FALSE)</f>
        <v>India</v>
      </c>
      <c r="L686" t="s">
        <v>13</v>
      </c>
      <c r="M686">
        <v>4</v>
      </c>
    </row>
    <row r="687" spans="2:13" ht="15" customHeight="1">
      <c r="B687" t="s">
        <v>2690</v>
      </c>
      <c r="C687" s="1">
        <v>41055.563425925924</v>
      </c>
      <c r="D687" s="4" t="s">
        <v>802</v>
      </c>
      <c r="E687">
        <v>150000</v>
      </c>
      <c r="F687" t="s">
        <v>40</v>
      </c>
      <c r="G687">
        <f>tblSalaries[[#This Row],[clean Salary (in local currency)]]*VLOOKUP(tblSalaries[[#This Row],[Currency]],tblXrate[],2,FALSE)</f>
        <v>2671.1875031163854</v>
      </c>
      <c r="H687" t="s">
        <v>803</v>
      </c>
      <c r="I687" t="s">
        <v>4001</v>
      </c>
      <c r="J687" t="s">
        <v>8</v>
      </c>
      <c r="K687" t="str">
        <f>VLOOKUP(tblSalaries[[#This Row],[Where do you work]],tblCountries[[Actual]:[Mapping]],2,FALSE)</f>
        <v>India</v>
      </c>
      <c r="L687" t="s">
        <v>9</v>
      </c>
      <c r="M687">
        <v>4.5</v>
      </c>
    </row>
    <row r="688" spans="2:13" ht="15" customHeight="1">
      <c r="B688" t="s">
        <v>2691</v>
      </c>
      <c r="C688" s="1">
        <v>41055.567939814813</v>
      </c>
      <c r="D688" s="4">
        <v>278400</v>
      </c>
      <c r="E688">
        <v>278400</v>
      </c>
      <c r="F688" t="s">
        <v>40</v>
      </c>
      <c r="G688">
        <f>tblSalaries[[#This Row],[clean Salary (in local currency)]]*VLOOKUP(tblSalaries[[#This Row],[Currency]],tblXrate[],2,FALSE)</f>
        <v>4957.7240057840108</v>
      </c>
      <c r="H688" t="s">
        <v>804</v>
      </c>
      <c r="I688" t="s">
        <v>52</v>
      </c>
      <c r="J688" t="s">
        <v>8</v>
      </c>
      <c r="K688" t="str">
        <f>VLOOKUP(tblSalaries[[#This Row],[Where do you work]],tblCountries[[Actual]:[Mapping]],2,FALSE)</f>
        <v>India</v>
      </c>
      <c r="L688" t="s">
        <v>9</v>
      </c>
      <c r="M688">
        <v>5</v>
      </c>
    </row>
    <row r="689" spans="2:13" ht="15" customHeight="1">
      <c r="B689" t="s">
        <v>2692</v>
      </c>
      <c r="C689" s="1">
        <v>41055.571076388886</v>
      </c>
      <c r="D689" s="4">
        <v>180000</v>
      </c>
      <c r="E689">
        <v>180000</v>
      </c>
      <c r="F689" t="s">
        <v>40</v>
      </c>
      <c r="G689">
        <f>tblSalaries[[#This Row],[clean Salary (in local currency)]]*VLOOKUP(tblSalaries[[#This Row],[Currency]],tblXrate[],2,FALSE)</f>
        <v>3205.4250037396623</v>
      </c>
      <c r="H689" t="s">
        <v>805</v>
      </c>
      <c r="I689" t="s">
        <v>310</v>
      </c>
      <c r="J689" t="s">
        <v>8</v>
      </c>
      <c r="K689" t="str">
        <f>VLOOKUP(tblSalaries[[#This Row],[Where do you work]],tblCountries[[Actual]:[Mapping]],2,FALSE)</f>
        <v>India</v>
      </c>
      <c r="L689" t="s">
        <v>18</v>
      </c>
      <c r="M689">
        <v>14</v>
      </c>
    </row>
    <row r="690" spans="2:13" ht="15" customHeight="1">
      <c r="B690" t="s">
        <v>2693</v>
      </c>
      <c r="C690" s="1">
        <v>41055.571504629632</v>
      </c>
      <c r="D690" s="4">
        <v>800000</v>
      </c>
      <c r="E690">
        <v>800000</v>
      </c>
      <c r="F690" t="s">
        <v>40</v>
      </c>
      <c r="G690">
        <f>tblSalaries[[#This Row],[clean Salary (in local currency)]]*VLOOKUP(tblSalaries[[#This Row],[Currency]],tblXrate[],2,FALSE)</f>
        <v>14246.333349954055</v>
      </c>
      <c r="H690" t="s">
        <v>52</v>
      </c>
      <c r="I690" t="s">
        <v>52</v>
      </c>
      <c r="J690" t="s">
        <v>8</v>
      </c>
      <c r="K690" t="str">
        <f>VLOOKUP(tblSalaries[[#This Row],[Where do you work]],tblCountries[[Actual]:[Mapping]],2,FALSE)</f>
        <v>India</v>
      </c>
      <c r="L690" t="s">
        <v>9</v>
      </c>
      <c r="M690">
        <v>7</v>
      </c>
    </row>
    <row r="691" spans="2:13" ht="15" customHeight="1">
      <c r="B691" t="s">
        <v>2694</v>
      </c>
      <c r="C691" s="1">
        <v>41055.572835648149</v>
      </c>
      <c r="D691" s="4" t="s">
        <v>806</v>
      </c>
      <c r="E691">
        <v>300000</v>
      </c>
      <c r="F691" t="s">
        <v>40</v>
      </c>
      <c r="G691">
        <f>tblSalaries[[#This Row],[clean Salary (in local currency)]]*VLOOKUP(tblSalaries[[#This Row],[Currency]],tblXrate[],2,FALSE)</f>
        <v>5342.3750062327708</v>
      </c>
      <c r="H691" t="s">
        <v>20</v>
      </c>
      <c r="I691" t="s">
        <v>20</v>
      </c>
      <c r="J691" t="s">
        <v>8</v>
      </c>
      <c r="K691" t="str">
        <f>VLOOKUP(tblSalaries[[#This Row],[Where do you work]],tblCountries[[Actual]:[Mapping]],2,FALSE)</f>
        <v>India</v>
      </c>
      <c r="L691" t="s">
        <v>13</v>
      </c>
      <c r="M691">
        <v>7</v>
      </c>
    </row>
    <row r="692" spans="2:13" ht="15" customHeight="1">
      <c r="B692" t="s">
        <v>2695</v>
      </c>
      <c r="C692" s="1">
        <v>41055.574212962965</v>
      </c>
      <c r="D692" s="4" t="s">
        <v>807</v>
      </c>
      <c r="E692">
        <v>370000</v>
      </c>
      <c r="F692" t="s">
        <v>40</v>
      </c>
      <c r="G692">
        <f>tblSalaries[[#This Row],[clean Salary (in local currency)]]*VLOOKUP(tblSalaries[[#This Row],[Currency]],tblXrate[],2,FALSE)</f>
        <v>6588.9291743537506</v>
      </c>
      <c r="H692" t="s">
        <v>386</v>
      </c>
      <c r="I692" t="s">
        <v>20</v>
      </c>
      <c r="J692" t="s">
        <v>8</v>
      </c>
      <c r="K692" t="str">
        <f>VLOOKUP(tblSalaries[[#This Row],[Where do you work]],tblCountries[[Actual]:[Mapping]],2,FALSE)</f>
        <v>India</v>
      </c>
      <c r="L692" t="s">
        <v>13</v>
      </c>
      <c r="M692">
        <v>2</v>
      </c>
    </row>
    <row r="693" spans="2:13" ht="15" customHeight="1">
      <c r="B693" t="s">
        <v>2696</v>
      </c>
      <c r="C693" s="1">
        <v>41055.574374999997</v>
      </c>
      <c r="D693" s="4" t="s">
        <v>807</v>
      </c>
      <c r="E693">
        <v>370000</v>
      </c>
      <c r="F693" t="s">
        <v>40</v>
      </c>
      <c r="G693">
        <f>tblSalaries[[#This Row],[clean Salary (in local currency)]]*VLOOKUP(tblSalaries[[#This Row],[Currency]],tblXrate[],2,FALSE)</f>
        <v>6588.9291743537506</v>
      </c>
      <c r="H693" t="s">
        <v>386</v>
      </c>
      <c r="I693" t="s">
        <v>20</v>
      </c>
      <c r="J693" t="s">
        <v>8</v>
      </c>
      <c r="K693" t="str">
        <f>VLOOKUP(tblSalaries[[#This Row],[Where do you work]],tblCountries[[Actual]:[Mapping]],2,FALSE)</f>
        <v>India</v>
      </c>
      <c r="L693" t="s">
        <v>13</v>
      </c>
      <c r="M693">
        <v>2</v>
      </c>
    </row>
    <row r="694" spans="2:13" ht="15" customHeight="1">
      <c r="B694" t="s">
        <v>2697</v>
      </c>
      <c r="C694" s="1">
        <v>41055.576319444444</v>
      </c>
      <c r="D694" s="4">
        <v>35000</v>
      </c>
      <c r="E694">
        <v>35000</v>
      </c>
      <c r="F694" t="s">
        <v>6</v>
      </c>
      <c r="G694">
        <f>tblSalaries[[#This Row],[clean Salary (in local currency)]]*VLOOKUP(tblSalaries[[#This Row],[Currency]],tblXrate[],2,FALSE)</f>
        <v>35000</v>
      </c>
      <c r="H694" t="s">
        <v>660</v>
      </c>
      <c r="I694" t="s">
        <v>67</v>
      </c>
      <c r="J694" t="s">
        <v>15</v>
      </c>
      <c r="K694" t="str">
        <f>VLOOKUP(tblSalaries[[#This Row],[Where do you work]],tblCountries[[Actual]:[Mapping]],2,FALSE)</f>
        <v>USA</v>
      </c>
      <c r="L694" t="s">
        <v>9</v>
      </c>
      <c r="M694">
        <v>10</v>
      </c>
    </row>
    <row r="695" spans="2:13" ht="15" customHeight="1">
      <c r="B695" t="s">
        <v>2698</v>
      </c>
      <c r="C695" s="1">
        <v>41055.581377314818</v>
      </c>
      <c r="D695" s="4">
        <v>720000</v>
      </c>
      <c r="E695">
        <v>720000</v>
      </c>
      <c r="F695" t="s">
        <v>40</v>
      </c>
      <c r="G695">
        <f>tblSalaries[[#This Row],[clean Salary (in local currency)]]*VLOOKUP(tblSalaries[[#This Row],[Currency]],tblXrate[],2,FALSE)</f>
        <v>12821.700014958649</v>
      </c>
      <c r="H695" t="s">
        <v>808</v>
      </c>
      <c r="I695" t="s">
        <v>310</v>
      </c>
      <c r="J695" t="s">
        <v>8</v>
      </c>
      <c r="K695" t="str">
        <f>VLOOKUP(tblSalaries[[#This Row],[Where do you work]],tblCountries[[Actual]:[Mapping]],2,FALSE)</f>
        <v>India</v>
      </c>
      <c r="L695" t="s">
        <v>9</v>
      </c>
      <c r="M695">
        <v>4</v>
      </c>
    </row>
    <row r="696" spans="2:13" ht="15" customHeight="1">
      <c r="B696" t="s">
        <v>2699</v>
      </c>
      <c r="C696" s="1">
        <v>41055.584027777775</v>
      </c>
      <c r="D696" s="4">
        <v>600000</v>
      </c>
      <c r="E696">
        <v>600000</v>
      </c>
      <c r="F696" t="s">
        <v>40</v>
      </c>
      <c r="G696">
        <f>tblSalaries[[#This Row],[clean Salary (in local currency)]]*VLOOKUP(tblSalaries[[#This Row],[Currency]],tblXrate[],2,FALSE)</f>
        <v>10684.750012465542</v>
      </c>
      <c r="H696" t="s">
        <v>809</v>
      </c>
      <c r="I696" t="s">
        <v>52</v>
      </c>
      <c r="J696" t="s">
        <v>8</v>
      </c>
      <c r="K696" t="str">
        <f>VLOOKUP(tblSalaries[[#This Row],[Where do you work]],tblCountries[[Actual]:[Mapping]],2,FALSE)</f>
        <v>India</v>
      </c>
      <c r="L696" t="s">
        <v>25</v>
      </c>
      <c r="M696">
        <v>2</v>
      </c>
    </row>
    <row r="697" spans="2:13" ht="15" customHeight="1">
      <c r="B697" t="s">
        <v>2700</v>
      </c>
      <c r="C697" s="1">
        <v>41055.584131944444</v>
      </c>
      <c r="D697" s="4">
        <v>10000</v>
      </c>
      <c r="E697">
        <v>10000</v>
      </c>
      <c r="F697" t="s">
        <v>6</v>
      </c>
      <c r="G697">
        <f>tblSalaries[[#This Row],[clean Salary (in local currency)]]*VLOOKUP(tblSalaries[[#This Row],[Currency]],tblXrate[],2,FALSE)</f>
        <v>10000</v>
      </c>
      <c r="H697" t="s">
        <v>749</v>
      </c>
      <c r="I697" t="s">
        <v>52</v>
      </c>
      <c r="J697" t="s">
        <v>8</v>
      </c>
      <c r="K697" t="str">
        <f>VLOOKUP(tblSalaries[[#This Row],[Where do you work]],tblCountries[[Actual]:[Mapping]],2,FALSE)</f>
        <v>India</v>
      </c>
      <c r="L697" t="s">
        <v>9</v>
      </c>
      <c r="M697">
        <v>2</v>
      </c>
    </row>
    <row r="698" spans="2:13" ht="15" customHeight="1">
      <c r="B698" t="s">
        <v>2701</v>
      </c>
      <c r="C698" s="1">
        <v>41055.586516203701</v>
      </c>
      <c r="D698" s="4" t="s">
        <v>810</v>
      </c>
      <c r="E698">
        <v>120000</v>
      </c>
      <c r="F698" t="s">
        <v>40</v>
      </c>
      <c r="G698">
        <f>tblSalaries[[#This Row],[clean Salary (in local currency)]]*VLOOKUP(tblSalaries[[#This Row],[Currency]],tblXrate[],2,FALSE)</f>
        <v>2136.9500024931081</v>
      </c>
      <c r="H698" t="s">
        <v>811</v>
      </c>
      <c r="I698" t="s">
        <v>20</v>
      </c>
      <c r="J698" t="s">
        <v>8</v>
      </c>
      <c r="K698" t="str">
        <f>VLOOKUP(tblSalaries[[#This Row],[Where do you work]],tblCountries[[Actual]:[Mapping]],2,FALSE)</f>
        <v>India</v>
      </c>
      <c r="L698" t="s">
        <v>25</v>
      </c>
      <c r="M698">
        <v>0</v>
      </c>
    </row>
    <row r="699" spans="2:13" ht="15" customHeight="1">
      <c r="B699" t="s">
        <v>2702</v>
      </c>
      <c r="C699" s="1">
        <v>41055.590868055559</v>
      </c>
      <c r="D699" s="4" t="s">
        <v>812</v>
      </c>
      <c r="E699">
        <v>480000</v>
      </c>
      <c r="F699" t="s">
        <v>40</v>
      </c>
      <c r="G699">
        <f>tblSalaries[[#This Row],[clean Salary (in local currency)]]*VLOOKUP(tblSalaries[[#This Row],[Currency]],tblXrate[],2,FALSE)</f>
        <v>8547.8000099724322</v>
      </c>
      <c r="H699" t="s">
        <v>207</v>
      </c>
      <c r="I699" t="s">
        <v>20</v>
      </c>
      <c r="J699" t="s">
        <v>8</v>
      </c>
      <c r="K699" t="str">
        <f>VLOOKUP(tblSalaries[[#This Row],[Where do you work]],tblCountries[[Actual]:[Mapping]],2,FALSE)</f>
        <v>India</v>
      </c>
      <c r="L699" t="s">
        <v>9</v>
      </c>
      <c r="M699">
        <v>4</v>
      </c>
    </row>
    <row r="700" spans="2:13" ht="15" customHeight="1">
      <c r="B700" t="s">
        <v>2703</v>
      </c>
      <c r="C700" s="1">
        <v>41055.591574074075</v>
      </c>
      <c r="D700" s="4" t="s">
        <v>813</v>
      </c>
      <c r="E700">
        <v>450000</v>
      </c>
      <c r="F700" t="s">
        <v>40</v>
      </c>
      <c r="G700">
        <f>tblSalaries[[#This Row],[clean Salary (in local currency)]]*VLOOKUP(tblSalaries[[#This Row],[Currency]],tblXrate[],2,FALSE)</f>
        <v>8013.5625093491553</v>
      </c>
      <c r="H700" t="s">
        <v>153</v>
      </c>
      <c r="I700" t="s">
        <v>20</v>
      </c>
      <c r="J700" t="s">
        <v>8</v>
      </c>
      <c r="K700" t="str">
        <f>VLOOKUP(tblSalaries[[#This Row],[Where do you work]],tblCountries[[Actual]:[Mapping]],2,FALSE)</f>
        <v>India</v>
      </c>
      <c r="L700" t="s">
        <v>13</v>
      </c>
      <c r="M700">
        <v>8</v>
      </c>
    </row>
    <row r="701" spans="2:13" ht="15" customHeight="1">
      <c r="B701" t="s">
        <v>2704</v>
      </c>
      <c r="C701" s="1">
        <v>41055.593460648146</v>
      </c>
      <c r="D701" s="4">
        <v>400000</v>
      </c>
      <c r="E701">
        <v>400000</v>
      </c>
      <c r="F701" t="s">
        <v>40</v>
      </c>
      <c r="G701">
        <f>tblSalaries[[#This Row],[clean Salary (in local currency)]]*VLOOKUP(tblSalaries[[#This Row],[Currency]],tblXrate[],2,FALSE)</f>
        <v>7123.1666749770275</v>
      </c>
      <c r="H701" t="s">
        <v>356</v>
      </c>
      <c r="I701" t="s">
        <v>356</v>
      </c>
      <c r="J701" t="s">
        <v>8</v>
      </c>
      <c r="K701" t="str">
        <f>VLOOKUP(tblSalaries[[#This Row],[Where do you work]],tblCountries[[Actual]:[Mapping]],2,FALSE)</f>
        <v>India</v>
      </c>
      <c r="L701" t="s">
        <v>9</v>
      </c>
      <c r="M701">
        <v>0</v>
      </c>
    </row>
    <row r="702" spans="2:13" ht="15" customHeight="1">
      <c r="B702" t="s">
        <v>2705</v>
      </c>
      <c r="C702" s="1">
        <v>41055.594606481478</v>
      </c>
      <c r="D702" s="4" t="s">
        <v>814</v>
      </c>
      <c r="E702">
        <v>2300000</v>
      </c>
      <c r="F702" t="s">
        <v>40</v>
      </c>
      <c r="G702">
        <f>tblSalaries[[#This Row],[clean Salary (in local currency)]]*VLOOKUP(tblSalaries[[#This Row],[Currency]],tblXrate[],2,FALSE)</f>
        <v>40958.208381117904</v>
      </c>
      <c r="H702" t="s">
        <v>256</v>
      </c>
      <c r="I702" t="s">
        <v>20</v>
      </c>
      <c r="J702" t="s">
        <v>8</v>
      </c>
      <c r="K702" t="str">
        <f>VLOOKUP(tblSalaries[[#This Row],[Where do you work]],tblCountries[[Actual]:[Mapping]],2,FALSE)</f>
        <v>India</v>
      </c>
      <c r="L702" t="s">
        <v>13</v>
      </c>
      <c r="M702">
        <v>5</v>
      </c>
    </row>
    <row r="703" spans="2:13" ht="15" customHeight="1">
      <c r="B703" t="s">
        <v>2706</v>
      </c>
      <c r="C703" s="1">
        <v>41055.595960648148</v>
      </c>
      <c r="D703" s="4">
        <v>636000</v>
      </c>
      <c r="E703">
        <v>636000</v>
      </c>
      <c r="F703" t="s">
        <v>40</v>
      </c>
      <c r="G703">
        <f>tblSalaries[[#This Row],[clean Salary (in local currency)]]*VLOOKUP(tblSalaries[[#This Row],[Currency]],tblXrate[],2,FALSE)</f>
        <v>11325.835013213473</v>
      </c>
      <c r="H703" t="s">
        <v>815</v>
      </c>
      <c r="I703" t="s">
        <v>52</v>
      </c>
      <c r="J703" t="s">
        <v>8</v>
      </c>
      <c r="K703" t="str">
        <f>VLOOKUP(tblSalaries[[#This Row],[Where do you work]],tblCountries[[Actual]:[Mapping]],2,FALSE)</f>
        <v>India</v>
      </c>
      <c r="L703" t="s">
        <v>9</v>
      </c>
      <c r="M703">
        <v>2</v>
      </c>
    </row>
    <row r="704" spans="2:13" ht="15" customHeight="1">
      <c r="B704" t="s">
        <v>2707</v>
      </c>
      <c r="C704" s="1">
        <v>41055.597488425927</v>
      </c>
      <c r="D704" s="4" t="s">
        <v>816</v>
      </c>
      <c r="E704">
        <v>15000</v>
      </c>
      <c r="F704" t="s">
        <v>6</v>
      </c>
      <c r="G704">
        <f>tblSalaries[[#This Row],[clean Salary (in local currency)]]*VLOOKUP(tblSalaries[[#This Row],[Currency]],tblXrate[],2,FALSE)</f>
        <v>15000</v>
      </c>
      <c r="H704" t="s">
        <v>817</v>
      </c>
      <c r="I704" t="s">
        <v>310</v>
      </c>
      <c r="J704" t="s">
        <v>818</v>
      </c>
      <c r="K704" t="str">
        <f>VLOOKUP(tblSalaries[[#This Row],[Where do you work]],tblCountries[[Actual]:[Mapping]],2,FALSE)</f>
        <v>Lithuania</v>
      </c>
      <c r="L704" t="s">
        <v>9</v>
      </c>
      <c r="M704">
        <v>2</v>
      </c>
    </row>
    <row r="705" spans="2:13" ht="15" customHeight="1">
      <c r="B705" t="s">
        <v>2708</v>
      </c>
      <c r="C705" s="1">
        <v>41055.598668981482</v>
      </c>
      <c r="D705" s="4">
        <v>1000</v>
      </c>
      <c r="E705">
        <v>12000</v>
      </c>
      <c r="F705" t="s">
        <v>6</v>
      </c>
      <c r="G705">
        <f>tblSalaries[[#This Row],[clean Salary (in local currency)]]*VLOOKUP(tblSalaries[[#This Row],[Currency]],tblXrate[],2,FALSE)</f>
        <v>12000</v>
      </c>
      <c r="H705" t="s">
        <v>819</v>
      </c>
      <c r="I705" t="s">
        <v>20</v>
      </c>
      <c r="J705" t="s">
        <v>820</v>
      </c>
      <c r="K705" t="str">
        <f>VLOOKUP(tblSalaries[[#This Row],[Where do you work]],tblCountries[[Actual]:[Mapping]],2,FALSE)</f>
        <v>UAE</v>
      </c>
      <c r="L705" t="s">
        <v>9</v>
      </c>
      <c r="M705">
        <v>12</v>
      </c>
    </row>
    <row r="706" spans="2:13" ht="15" customHeight="1">
      <c r="B706" t="s">
        <v>2709</v>
      </c>
      <c r="C706" s="1">
        <v>41055.599861111114</v>
      </c>
      <c r="D706" s="4">
        <v>500000</v>
      </c>
      <c r="E706">
        <v>500000</v>
      </c>
      <c r="F706" t="s">
        <v>40</v>
      </c>
      <c r="G706">
        <f>tblSalaries[[#This Row],[clean Salary (in local currency)]]*VLOOKUP(tblSalaries[[#This Row],[Currency]],tblXrate[],2,FALSE)</f>
        <v>8903.9583437212841</v>
      </c>
      <c r="H706" t="s">
        <v>821</v>
      </c>
      <c r="I706" t="s">
        <v>3999</v>
      </c>
      <c r="J706" t="s">
        <v>8</v>
      </c>
      <c r="K706" t="str">
        <f>VLOOKUP(tblSalaries[[#This Row],[Where do you work]],tblCountries[[Actual]:[Mapping]],2,FALSE)</f>
        <v>India</v>
      </c>
      <c r="L706" t="s">
        <v>18</v>
      </c>
      <c r="M706">
        <v>1</v>
      </c>
    </row>
    <row r="707" spans="2:13" ht="15" customHeight="1">
      <c r="B707" t="s">
        <v>2710</v>
      </c>
      <c r="C707" s="1">
        <v>41055.606377314813</v>
      </c>
      <c r="D707" s="4">
        <v>500000</v>
      </c>
      <c r="E707">
        <v>500000</v>
      </c>
      <c r="F707" t="s">
        <v>40</v>
      </c>
      <c r="G707">
        <f>tblSalaries[[#This Row],[clean Salary (in local currency)]]*VLOOKUP(tblSalaries[[#This Row],[Currency]],tblXrate[],2,FALSE)</f>
        <v>8903.9583437212841</v>
      </c>
      <c r="H707" t="s">
        <v>279</v>
      </c>
      <c r="I707" t="s">
        <v>279</v>
      </c>
      <c r="J707" t="s">
        <v>8</v>
      </c>
      <c r="K707" t="str">
        <f>VLOOKUP(tblSalaries[[#This Row],[Where do you work]],tblCountries[[Actual]:[Mapping]],2,FALSE)</f>
        <v>India</v>
      </c>
      <c r="L707" t="s">
        <v>13</v>
      </c>
      <c r="M707">
        <v>2</v>
      </c>
    </row>
    <row r="708" spans="2:13" ht="15" customHeight="1">
      <c r="B708" t="s">
        <v>2711</v>
      </c>
      <c r="C708" s="1">
        <v>41055.608194444445</v>
      </c>
      <c r="D708" s="4" t="s">
        <v>822</v>
      </c>
      <c r="E708">
        <v>720000</v>
      </c>
      <c r="F708" t="s">
        <v>40</v>
      </c>
      <c r="G708">
        <f>tblSalaries[[#This Row],[clean Salary (in local currency)]]*VLOOKUP(tblSalaries[[#This Row],[Currency]],tblXrate[],2,FALSE)</f>
        <v>12821.700014958649</v>
      </c>
      <c r="H708" t="s">
        <v>823</v>
      </c>
      <c r="I708" t="s">
        <v>52</v>
      </c>
      <c r="J708" t="s">
        <v>8</v>
      </c>
      <c r="K708" t="str">
        <f>VLOOKUP(tblSalaries[[#This Row],[Where do you work]],tblCountries[[Actual]:[Mapping]],2,FALSE)</f>
        <v>India</v>
      </c>
      <c r="L708" t="s">
        <v>13</v>
      </c>
      <c r="M708">
        <v>10</v>
      </c>
    </row>
    <row r="709" spans="2:13" ht="15" customHeight="1">
      <c r="B709" t="s">
        <v>2712</v>
      </c>
      <c r="C709" s="1">
        <v>41055.611805555556</v>
      </c>
      <c r="D709" s="4" t="s">
        <v>824</v>
      </c>
      <c r="E709">
        <v>180000</v>
      </c>
      <c r="F709" t="s">
        <v>40</v>
      </c>
      <c r="G709">
        <f>tblSalaries[[#This Row],[clean Salary (in local currency)]]*VLOOKUP(tblSalaries[[#This Row],[Currency]],tblXrate[],2,FALSE)</f>
        <v>3205.4250037396623</v>
      </c>
      <c r="H709" t="s">
        <v>825</v>
      </c>
      <c r="I709" t="s">
        <v>52</v>
      </c>
      <c r="J709" t="s">
        <v>8</v>
      </c>
      <c r="K709" t="str">
        <f>VLOOKUP(tblSalaries[[#This Row],[Where do you work]],tblCountries[[Actual]:[Mapping]],2,FALSE)</f>
        <v>India</v>
      </c>
      <c r="L709" t="s">
        <v>13</v>
      </c>
      <c r="M709">
        <v>7</v>
      </c>
    </row>
    <row r="710" spans="2:13" ht="15" customHeight="1">
      <c r="B710" t="s">
        <v>2713</v>
      </c>
      <c r="C710" s="1">
        <v>41055.615914351853</v>
      </c>
      <c r="D710" s="4">
        <v>375000</v>
      </c>
      <c r="E710">
        <v>375000</v>
      </c>
      <c r="F710" t="s">
        <v>40</v>
      </c>
      <c r="G710">
        <f>tblSalaries[[#This Row],[clean Salary (in local currency)]]*VLOOKUP(tblSalaries[[#This Row],[Currency]],tblXrate[],2,FALSE)</f>
        <v>6677.9687577909626</v>
      </c>
      <c r="H710" t="s">
        <v>91</v>
      </c>
      <c r="I710" t="s">
        <v>52</v>
      </c>
      <c r="J710" t="s">
        <v>8</v>
      </c>
      <c r="K710" t="str">
        <f>VLOOKUP(tblSalaries[[#This Row],[Where do you work]],tblCountries[[Actual]:[Mapping]],2,FALSE)</f>
        <v>India</v>
      </c>
      <c r="L710" t="s">
        <v>18</v>
      </c>
      <c r="M710">
        <v>6</v>
      </c>
    </row>
    <row r="711" spans="2:13" ht="15" customHeight="1">
      <c r="B711" t="s">
        <v>2714</v>
      </c>
      <c r="C711" s="1">
        <v>41055.618773148148</v>
      </c>
      <c r="D711" s="4">
        <v>85000</v>
      </c>
      <c r="E711">
        <v>85000</v>
      </c>
      <c r="F711" t="s">
        <v>670</v>
      </c>
      <c r="G711">
        <f>tblSalaries[[#This Row],[clean Salary (in local currency)]]*VLOOKUP(tblSalaries[[#This Row],[Currency]],tblXrate[],2,FALSE)</f>
        <v>67794.987956419791</v>
      </c>
      <c r="H711" t="s">
        <v>826</v>
      </c>
      <c r="I711" t="s">
        <v>52</v>
      </c>
      <c r="J711" t="s">
        <v>672</v>
      </c>
      <c r="K711" t="str">
        <f>VLOOKUP(tblSalaries[[#This Row],[Where do you work]],tblCountries[[Actual]:[Mapping]],2,FALSE)</f>
        <v>New Zealand</v>
      </c>
      <c r="L711" t="s">
        <v>9</v>
      </c>
      <c r="M711">
        <v>15</v>
      </c>
    </row>
    <row r="712" spans="2:13" ht="15" customHeight="1">
      <c r="B712" t="s">
        <v>2715</v>
      </c>
      <c r="C712" s="1">
        <v>41055.623368055552</v>
      </c>
      <c r="D712" s="4">
        <v>31250</v>
      </c>
      <c r="E712">
        <v>31250</v>
      </c>
      <c r="F712" t="s">
        <v>6</v>
      </c>
      <c r="G712">
        <f>tblSalaries[[#This Row],[clean Salary (in local currency)]]*VLOOKUP(tblSalaries[[#This Row],[Currency]],tblXrate[],2,FALSE)</f>
        <v>31250</v>
      </c>
      <c r="H712" t="s">
        <v>827</v>
      </c>
      <c r="I712" t="s">
        <v>52</v>
      </c>
      <c r="J712" t="s">
        <v>8</v>
      </c>
      <c r="K712" t="str">
        <f>VLOOKUP(tblSalaries[[#This Row],[Where do you work]],tblCountries[[Actual]:[Mapping]],2,FALSE)</f>
        <v>India</v>
      </c>
      <c r="L712" t="s">
        <v>18</v>
      </c>
      <c r="M712">
        <v>6</v>
      </c>
    </row>
    <row r="713" spans="2:13" ht="15" customHeight="1">
      <c r="B713" t="s">
        <v>2716</v>
      </c>
      <c r="C713" s="1">
        <v>41055.623437499999</v>
      </c>
      <c r="D713" s="4" t="s">
        <v>828</v>
      </c>
      <c r="E713">
        <v>204000</v>
      </c>
      <c r="F713" t="s">
        <v>32</v>
      </c>
      <c r="G713">
        <f>tblSalaries[[#This Row],[clean Salary (in local currency)]]*VLOOKUP(tblSalaries[[#This Row],[Currency]],tblXrate[],2,FALSE)</f>
        <v>2165.2740982270229</v>
      </c>
      <c r="H713" t="s">
        <v>829</v>
      </c>
      <c r="I713" t="s">
        <v>52</v>
      </c>
      <c r="J713" t="s">
        <v>17</v>
      </c>
      <c r="K713" t="str">
        <f>VLOOKUP(tblSalaries[[#This Row],[Where do you work]],tblCountries[[Actual]:[Mapping]],2,FALSE)</f>
        <v>Pakistan</v>
      </c>
      <c r="L713" t="s">
        <v>13</v>
      </c>
      <c r="M713">
        <v>2</v>
      </c>
    </row>
    <row r="714" spans="2:13" ht="15" customHeight="1">
      <c r="B714" t="s">
        <v>2717</v>
      </c>
      <c r="C714" s="1">
        <v>41055.623888888891</v>
      </c>
      <c r="D714" s="4" t="s">
        <v>830</v>
      </c>
      <c r="E714">
        <v>400000</v>
      </c>
      <c r="F714" t="s">
        <v>40</v>
      </c>
      <c r="G714">
        <f>tblSalaries[[#This Row],[clean Salary (in local currency)]]*VLOOKUP(tblSalaries[[#This Row],[Currency]],tblXrate[],2,FALSE)</f>
        <v>7123.1666749770275</v>
      </c>
      <c r="H714" t="s">
        <v>831</v>
      </c>
      <c r="I714" t="s">
        <v>3999</v>
      </c>
      <c r="J714" t="s">
        <v>8</v>
      </c>
      <c r="K714" t="str">
        <f>VLOOKUP(tblSalaries[[#This Row],[Where do you work]],tblCountries[[Actual]:[Mapping]],2,FALSE)</f>
        <v>India</v>
      </c>
      <c r="L714" t="s">
        <v>13</v>
      </c>
      <c r="M714">
        <v>4</v>
      </c>
    </row>
    <row r="715" spans="2:13" ht="15" customHeight="1">
      <c r="B715" t="s">
        <v>2718</v>
      </c>
      <c r="C715" s="1">
        <v>41055.625694444447</v>
      </c>
      <c r="D715" s="4" t="s">
        <v>832</v>
      </c>
      <c r="E715">
        <v>130000</v>
      </c>
      <c r="F715" t="s">
        <v>6</v>
      </c>
      <c r="G715">
        <f>tblSalaries[[#This Row],[clean Salary (in local currency)]]*VLOOKUP(tblSalaries[[#This Row],[Currency]],tblXrate[],2,FALSE)</f>
        <v>130000</v>
      </c>
      <c r="H715" t="s">
        <v>833</v>
      </c>
      <c r="I715" t="s">
        <v>52</v>
      </c>
      <c r="J715" t="s">
        <v>84</v>
      </c>
      <c r="K715" t="str">
        <f>VLOOKUP(tblSalaries[[#This Row],[Where do you work]],tblCountries[[Actual]:[Mapping]],2,FALSE)</f>
        <v>Australia</v>
      </c>
      <c r="L715" t="s">
        <v>9</v>
      </c>
      <c r="M715">
        <v>3</v>
      </c>
    </row>
    <row r="716" spans="2:13" ht="15" customHeight="1">
      <c r="B716" t="s">
        <v>2719</v>
      </c>
      <c r="C716" s="1">
        <v>41055.626168981478</v>
      </c>
      <c r="D716" s="4" t="s">
        <v>834</v>
      </c>
      <c r="E716">
        <v>250000</v>
      </c>
      <c r="F716" t="s">
        <v>40</v>
      </c>
      <c r="G716">
        <f>tblSalaries[[#This Row],[clean Salary (in local currency)]]*VLOOKUP(tblSalaries[[#This Row],[Currency]],tblXrate[],2,FALSE)</f>
        <v>4451.9791718606421</v>
      </c>
      <c r="H716" t="s">
        <v>804</v>
      </c>
      <c r="I716" t="s">
        <v>52</v>
      </c>
      <c r="J716" t="s">
        <v>8</v>
      </c>
      <c r="K716" t="str">
        <f>VLOOKUP(tblSalaries[[#This Row],[Where do you work]],tblCountries[[Actual]:[Mapping]],2,FALSE)</f>
        <v>India</v>
      </c>
      <c r="L716" t="s">
        <v>9</v>
      </c>
      <c r="M716">
        <v>6</v>
      </c>
    </row>
    <row r="717" spans="2:13" ht="15" customHeight="1">
      <c r="B717" t="s">
        <v>2720</v>
      </c>
      <c r="C717" s="1">
        <v>41055.626782407409</v>
      </c>
      <c r="D717" s="4">
        <v>800</v>
      </c>
      <c r="E717">
        <v>9600</v>
      </c>
      <c r="F717" t="s">
        <v>6</v>
      </c>
      <c r="G717">
        <f>tblSalaries[[#This Row],[clean Salary (in local currency)]]*VLOOKUP(tblSalaries[[#This Row],[Currency]],tblXrate[],2,FALSE)</f>
        <v>9600</v>
      </c>
      <c r="H717" t="s">
        <v>147</v>
      </c>
      <c r="I717" t="s">
        <v>20</v>
      </c>
      <c r="J717" t="s">
        <v>48</v>
      </c>
      <c r="K717" t="str">
        <f>VLOOKUP(tblSalaries[[#This Row],[Where do you work]],tblCountries[[Actual]:[Mapping]],2,FALSE)</f>
        <v>South Africa</v>
      </c>
      <c r="L717" t="s">
        <v>9</v>
      </c>
      <c r="M717">
        <v>2</v>
      </c>
    </row>
    <row r="718" spans="2:13" ht="15" customHeight="1">
      <c r="B718" t="s">
        <v>2721</v>
      </c>
      <c r="C718" s="1">
        <v>41055.628159722219</v>
      </c>
      <c r="D718" s="4" t="s">
        <v>835</v>
      </c>
      <c r="E718">
        <v>390000</v>
      </c>
      <c r="F718" t="s">
        <v>40</v>
      </c>
      <c r="G718">
        <f>tblSalaries[[#This Row],[clean Salary (in local currency)]]*VLOOKUP(tblSalaries[[#This Row],[Currency]],tblXrate[],2,FALSE)</f>
        <v>6945.0875081026015</v>
      </c>
      <c r="H718" t="s">
        <v>207</v>
      </c>
      <c r="I718" t="s">
        <v>20</v>
      </c>
      <c r="J718" t="s">
        <v>8</v>
      </c>
      <c r="K718" t="str">
        <f>VLOOKUP(tblSalaries[[#This Row],[Where do you work]],tblCountries[[Actual]:[Mapping]],2,FALSE)</f>
        <v>India</v>
      </c>
      <c r="L718" t="s">
        <v>9</v>
      </c>
      <c r="M718">
        <v>1</v>
      </c>
    </row>
    <row r="719" spans="2:13" ht="15" customHeight="1">
      <c r="B719" t="s">
        <v>2722</v>
      </c>
      <c r="C719" s="1">
        <v>41055.628958333335</v>
      </c>
      <c r="D719" s="4">
        <v>600000</v>
      </c>
      <c r="E719">
        <v>600000</v>
      </c>
      <c r="F719" t="s">
        <v>40</v>
      </c>
      <c r="G719">
        <f>tblSalaries[[#This Row],[clean Salary (in local currency)]]*VLOOKUP(tblSalaries[[#This Row],[Currency]],tblXrate[],2,FALSE)</f>
        <v>10684.750012465542</v>
      </c>
      <c r="H719" t="s">
        <v>836</v>
      </c>
      <c r="I719" t="s">
        <v>310</v>
      </c>
      <c r="J719" t="s">
        <v>8</v>
      </c>
      <c r="K719" t="str">
        <f>VLOOKUP(tblSalaries[[#This Row],[Where do you work]],tblCountries[[Actual]:[Mapping]],2,FALSE)</f>
        <v>India</v>
      </c>
      <c r="L719" t="s">
        <v>13</v>
      </c>
      <c r="M719">
        <v>7</v>
      </c>
    </row>
    <row r="720" spans="2:13" ht="15" customHeight="1">
      <c r="B720" t="s">
        <v>2723</v>
      </c>
      <c r="C720" s="1">
        <v>41055.629166666666</v>
      </c>
      <c r="D720" s="4">
        <v>4.8</v>
      </c>
      <c r="E720">
        <v>480000</v>
      </c>
      <c r="F720" t="s">
        <v>40</v>
      </c>
      <c r="G720">
        <f>tblSalaries[[#This Row],[clean Salary (in local currency)]]*VLOOKUP(tblSalaries[[#This Row],[Currency]],tblXrate[],2,FALSE)</f>
        <v>8547.8000099724322</v>
      </c>
      <c r="H720" t="s">
        <v>837</v>
      </c>
      <c r="I720" t="s">
        <v>20</v>
      </c>
      <c r="J720" t="s">
        <v>8</v>
      </c>
      <c r="K720" t="str">
        <f>VLOOKUP(tblSalaries[[#This Row],[Where do you work]],tblCountries[[Actual]:[Mapping]],2,FALSE)</f>
        <v>India</v>
      </c>
      <c r="L720" t="s">
        <v>18</v>
      </c>
      <c r="M720">
        <v>3.5</v>
      </c>
    </row>
    <row r="721" spans="2:13" ht="15" customHeight="1">
      <c r="B721" t="s">
        <v>2724</v>
      </c>
      <c r="C721" s="1">
        <v>41055.630312499998</v>
      </c>
      <c r="D721" s="4">
        <v>35000</v>
      </c>
      <c r="E721">
        <v>35000</v>
      </c>
      <c r="F721" t="s">
        <v>6</v>
      </c>
      <c r="G721">
        <f>tblSalaries[[#This Row],[clean Salary (in local currency)]]*VLOOKUP(tblSalaries[[#This Row],[Currency]],tblXrate[],2,FALSE)</f>
        <v>35000</v>
      </c>
      <c r="H721" t="s">
        <v>616</v>
      </c>
      <c r="I721" t="s">
        <v>20</v>
      </c>
      <c r="J721" t="s">
        <v>8</v>
      </c>
      <c r="K721" t="str">
        <f>VLOOKUP(tblSalaries[[#This Row],[Where do you work]],tblCountries[[Actual]:[Mapping]],2,FALSE)</f>
        <v>India</v>
      </c>
      <c r="L721" t="s">
        <v>9</v>
      </c>
      <c r="M721">
        <v>10</v>
      </c>
    </row>
    <row r="722" spans="2:13" ht="15" customHeight="1">
      <c r="B722" t="s">
        <v>2725</v>
      </c>
      <c r="C722" s="1">
        <v>41055.631562499999</v>
      </c>
      <c r="D722" s="4" t="s">
        <v>838</v>
      </c>
      <c r="E722">
        <v>1000000</v>
      </c>
      <c r="F722" t="s">
        <v>40</v>
      </c>
      <c r="G722">
        <f>tblSalaries[[#This Row],[clean Salary (in local currency)]]*VLOOKUP(tblSalaries[[#This Row],[Currency]],tblXrate[],2,FALSE)</f>
        <v>17807.916687442568</v>
      </c>
      <c r="H722" t="s">
        <v>839</v>
      </c>
      <c r="I722" t="s">
        <v>20</v>
      </c>
      <c r="J722" t="s">
        <v>8</v>
      </c>
      <c r="K722" t="str">
        <f>VLOOKUP(tblSalaries[[#This Row],[Where do you work]],tblCountries[[Actual]:[Mapping]],2,FALSE)</f>
        <v>India</v>
      </c>
      <c r="L722" t="s">
        <v>18</v>
      </c>
      <c r="M722">
        <v>12</v>
      </c>
    </row>
    <row r="723" spans="2:13" ht="15" customHeight="1">
      <c r="B723" t="s">
        <v>2726</v>
      </c>
      <c r="C723" s="1">
        <v>41055.640057870369</v>
      </c>
      <c r="D723" s="4">
        <v>180000</v>
      </c>
      <c r="E723">
        <v>180000</v>
      </c>
      <c r="F723" t="s">
        <v>40</v>
      </c>
      <c r="G723">
        <f>tblSalaries[[#This Row],[clean Salary (in local currency)]]*VLOOKUP(tblSalaries[[#This Row],[Currency]],tblXrate[],2,FALSE)</f>
        <v>3205.4250037396623</v>
      </c>
      <c r="H723" t="s">
        <v>310</v>
      </c>
      <c r="I723" t="s">
        <v>310</v>
      </c>
      <c r="J723" t="s">
        <v>8</v>
      </c>
      <c r="K723" t="str">
        <f>VLOOKUP(tblSalaries[[#This Row],[Where do you work]],tblCountries[[Actual]:[Mapping]],2,FALSE)</f>
        <v>India</v>
      </c>
      <c r="L723" t="s">
        <v>13</v>
      </c>
      <c r="M723">
        <v>4</v>
      </c>
    </row>
    <row r="724" spans="2:13" ht="15" customHeight="1">
      <c r="B724" t="s">
        <v>2727</v>
      </c>
      <c r="C724" s="1">
        <v>41055.64203703704</v>
      </c>
      <c r="D724" s="4">
        <v>5000</v>
      </c>
      <c r="E724">
        <v>60000</v>
      </c>
      <c r="F724" t="s">
        <v>6</v>
      </c>
      <c r="G724">
        <f>tblSalaries[[#This Row],[clean Salary (in local currency)]]*VLOOKUP(tblSalaries[[#This Row],[Currency]],tblXrate[],2,FALSE)</f>
        <v>60000</v>
      </c>
      <c r="H724" t="s">
        <v>52</v>
      </c>
      <c r="I724" t="s">
        <v>52</v>
      </c>
      <c r="J724" t="s">
        <v>65</v>
      </c>
      <c r="K724" t="str">
        <f>VLOOKUP(tblSalaries[[#This Row],[Where do you work]],tblCountries[[Actual]:[Mapping]],2,FALSE)</f>
        <v>Russia</v>
      </c>
      <c r="L724" t="s">
        <v>9</v>
      </c>
      <c r="M724">
        <v>10</v>
      </c>
    </row>
    <row r="725" spans="2:13" ht="15" customHeight="1">
      <c r="B725" t="s">
        <v>2728</v>
      </c>
      <c r="C725" s="1">
        <v>41055.644305555557</v>
      </c>
      <c r="D725" s="4" t="s">
        <v>840</v>
      </c>
      <c r="E725">
        <v>800000</v>
      </c>
      <c r="F725" t="s">
        <v>40</v>
      </c>
      <c r="G725">
        <f>tblSalaries[[#This Row],[clean Salary (in local currency)]]*VLOOKUP(tblSalaries[[#This Row],[Currency]],tblXrate[],2,FALSE)</f>
        <v>14246.333349954055</v>
      </c>
      <c r="H725" t="s">
        <v>52</v>
      </c>
      <c r="I725" t="s">
        <v>52</v>
      </c>
      <c r="J725" t="s">
        <v>8</v>
      </c>
      <c r="K725" t="str">
        <f>VLOOKUP(tblSalaries[[#This Row],[Where do you work]],tblCountries[[Actual]:[Mapping]],2,FALSE)</f>
        <v>India</v>
      </c>
      <c r="L725" t="s">
        <v>18</v>
      </c>
      <c r="M725">
        <v>13</v>
      </c>
    </row>
    <row r="726" spans="2:13" ht="15" customHeight="1">
      <c r="B726" t="s">
        <v>2729</v>
      </c>
      <c r="C726" s="1">
        <v>41055.646099537036</v>
      </c>
      <c r="D726" s="4" t="s">
        <v>841</v>
      </c>
      <c r="E726">
        <v>600000</v>
      </c>
      <c r="F726" t="s">
        <v>40</v>
      </c>
      <c r="G726">
        <f>tblSalaries[[#This Row],[clean Salary (in local currency)]]*VLOOKUP(tblSalaries[[#This Row],[Currency]],tblXrate[],2,FALSE)</f>
        <v>10684.750012465542</v>
      </c>
      <c r="H726" t="s">
        <v>842</v>
      </c>
      <c r="I726" t="s">
        <v>52</v>
      </c>
      <c r="J726" t="s">
        <v>8</v>
      </c>
      <c r="K726" t="str">
        <f>VLOOKUP(tblSalaries[[#This Row],[Where do you work]],tblCountries[[Actual]:[Mapping]],2,FALSE)</f>
        <v>India</v>
      </c>
      <c r="L726" t="s">
        <v>18</v>
      </c>
      <c r="M726">
        <v>8</v>
      </c>
    </row>
    <row r="727" spans="2:13" ht="15" customHeight="1">
      <c r="B727" t="s">
        <v>2730</v>
      </c>
      <c r="C727" s="1">
        <v>41055.64980324074</v>
      </c>
      <c r="D727" s="4">
        <v>40000</v>
      </c>
      <c r="E727">
        <v>40000</v>
      </c>
      <c r="F727" t="s">
        <v>6</v>
      </c>
      <c r="G727">
        <f>tblSalaries[[#This Row],[clean Salary (in local currency)]]*VLOOKUP(tblSalaries[[#This Row],[Currency]],tblXrate[],2,FALSE)</f>
        <v>40000</v>
      </c>
      <c r="H727" t="s">
        <v>843</v>
      </c>
      <c r="I727" t="s">
        <v>52</v>
      </c>
      <c r="J727" t="s">
        <v>8</v>
      </c>
      <c r="K727" t="str">
        <f>VLOOKUP(tblSalaries[[#This Row],[Where do you work]],tblCountries[[Actual]:[Mapping]],2,FALSE)</f>
        <v>India</v>
      </c>
      <c r="L727" t="s">
        <v>13</v>
      </c>
      <c r="M727">
        <v>15</v>
      </c>
    </row>
    <row r="728" spans="2:13" ht="15" customHeight="1">
      <c r="B728" t="s">
        <v>2731</v>
      </c>
      <c r="C728" s="1">
        <v>41055.655925925923</v>
      </c>
      <c r="D728" s="4">
        <v>5022</v>
      </c>
      <c r="E728">
        <v>5022</v>
      </c>
      <c r="F728" t="s">
        <v>6</v>
      </c>
      <c r="G728">
        <f>tblSalaries[[#This Row],[clean Salary (in local currency)]]*VLOOKUP(tblSalaries[[#This Row],[Currency]],tblXrate[],2,FALSE)</f>
        <v>5022</v>
      </c>
      <c r="H728" t="s">
        <v>844</v>
      </c>
      <c r="I728" t="s">
        <v>20</v>
      </c>
      <c r="J728" t="s">
        <v>17</v>
      </c>
      <c r="K728" t="str">
        <f>VLOOKUP(tblSalaries[[#This Row],[Where do you work]],tblCountries[[Actual]:[Mapping]],2,FALSE)</f>
        <v>Pakistan</v>
      </c>
      <c r="L728" t="s">
        <v>9</v>
      </c>
      <c r="M728">
        <v>15</v>
      </c>
    </row>
    <row r="729" spans="2:13" ht="15" customHeight="1">
      <c r="B729" t="s">
        <v>2732</v>
      </c>
      <c r="C729" s="1">
        <v>41055.660543981481</v>
      </c>
      <c r="D729" s="4">
        <v>410000</v>
      </c>
      <c r="E729">
        <v>410000</v>
      </c>
      <c r="F729" t="s">
        <v>40</v>
      </c>
      <c r="G729">
        <f>tblSalaries[[#This Row],[clean Salary (in local currency)]]*VLOOKUP(tblSalaries[[#This Row],[Currency]],tblXrate[],2,FALSE)</f>
        <v>7301.2458418514525</v>
      </c>
      <c r="H729" t="s">
        <v>7</v>
      </c>
      <c r="I729" t="s">
        <v>20</v>
      </c>
      <c r="J729" t="s">
        <v>8</v>
      </c>
      <c r="K729" t="str">
        <f>VLOOKUP(tblSalaries[[#This Row],[Where do you work]],tblCountries[[Actual]:[Mapping]],2,FALSE)</f>
        <v>India</v>
      </c>
      <c r="L729" t="s">
        <v>13</v>
      </c>
      <c r="M729">
        <v>5</v>
      </c>
    </row>
    <row r="730" spans="2:13" ht="15" customHeight="1">
      <c r="B730" t="s">
        <v>2733</v>
      </c>
      <c r="C730" s="1">
        <v>41055.661921296298</v>
      </c>
      <c r="D730" s="4">
        <v>10000</v>
      </c>
      <c r="E730">
        <v>120000</v>
      </c>
      <c r="F730" t="s">
        <v>845</v>
      </c>
      <c r="G730">
        <f>tblSalaries[[#This Row],[clean Salary (in local currency)]]*VLOOKUP(tblSalaries[[#This Row],[Currency]],tblXrate[],2,FALSE)</f>
        <v>19831.432821021317</v>
      </c>
      <c r="H730" t="s">
        <v>846</v>
      </c>
      <c r="I730" t="s">
        <v>20</v>
      </c>
      <c r="J730" t="s">
        <v>847</v>
      </c>
      <c r="K730" t="str">
        <f>VLOOKUP(tblSalaries[[#This Row],[Where do you work]],tblCountries[[Actual]:[Mapping]],2,FALSE)</f>
        <v>Egypt</v>
      </c>
      <c r="L730" t="s">
        <v>13</v>
      </c>
      <c r="M730">
        <v>5</v>
      </c>
    </row>
    <row r="731" spans="2:13" ht="15" customHeight="1">
      <c r="B731" t="s">
        <v>2734</v>
      </c>
      <c r="C731" s="1">
        <v>41055.662499999999</v>
      </c>
      <c r="D731" s="4" t="s">
        <v>848</v>
      </c>
      <c r="E731">
        <v>600000</v>
      </c>
      <c r="F731" t="s">
        <v>40</v>
      </c>
      <c r="G731">
        <f>tblSalaries[[#This Row],[clean Salary (in local currency)]]*VLOOKUP(tblSalaries[[#This Row],[Currency]],tblXrate[],2,FALSE)</f>
        <v>10684.750012465542</v>
      </c>
      <c r="H731" t="s">
        <v>642</v>
      </c>
      <c r="I731" t="s">
        <v>52</v>
      </c>
      <c r="J731" t="s">
        <v>8</v>
      </c>
      <c r="K731" t="str">
        <f>VLOOKUP(tblSalaries[[#This Row],[Where do you work]],tblCountries[[Actual]:[Mapping]],2,FALSE)</f>
        <v>India</v>
      </c>
      <c r="L731" t="s">
        <v>9</v>
      </c>
      <c r="M731">
        <v>5</v>
      </c>
    </row>
    <row r="732" spans="2:13" ht="15" customHeight="1">
      <c r="B732" t="s">
        <v>2735</v>
      </c>
      <c r="C732" s="1">
        <v>41055.664548611108</v>
      </c>
      <c r="D732" s="4" t="s">
        <v>849</v>
      </c>
      <c r="E732">
        <v>4800</v>
      </c>
      <c r="F732" t="s">
        <v>6</v>
      </c>
      <c r="G732">
        <f>tblSalaries[[#This Row],[clean Salary (in local currency)]]*VLOOKUP(tblSalaries[[#This Row],[Currency]],tblXrate[],2,FALSE)</f>
        <v>4800</v>
      </c>
      <c r="H732" t="s">
        <v>850</v>
      </c>
      <c r="I732" t="s">
        <v>20</v>
      </c>
      <c r="J732" t="s">
        <v>851</v>
      </c>
      <c r="K732" t="str">
        <f>VLOOKUP(tblSalaries[[#This Row],[Where do you work]],tblCountries[[Actual]:[Mapping]],2,FALSE)</f>
        <v>Bhutan</v>
      </c>
      <c r="L732" t="s">
        <v>9</v>
      </c>
      <c r="M732">
        <v>2</v>
      </c>
    </row>
    <row r="733" spans="2:13" ht="15" customHeight="1">
      <c r="B733" t="s">
        <v>2736</v>
      </c>
      <c r="C733" s="1">
        <v>41055.666481481479</v>
      </c>
      <c r="D733" s="4" t="s">
        <v>852</v>
      </c>
      <c r="E733">
        <v>66000</v>
      </c>
      <c r="F733" t="s">
        <v>22</v>
      </c>
      <c r="G733">
        <f>tblSalaries[[#This Row],[clean Salary (in local currency)]]*VLOOKUP(tblSalaries[[#This Row],[Currency]],tblXrate[],2,FALSE)</f>
        <v>83846.362973446114</v>
      </c>
      <c r="H733" t="s">
        <v>853</v>
      </c>
      <c r="I733" t="s">
        <v>20</v>
      </c>
      <c r="J733" t="s">
        <v>378</v>
      </c>
      <c r="K733" t="str">
        <f>VLOOKUP(tblSalaries[[#This Row],[Where do you work]],tblCountries[[Actual]:[Mapping]],2,FALSE)</f>
        <v>Germany</v>
      </c>
      <c r="L733" t="s">
        <v>9</v>
      </c>
      <c r="M733">
        <v>7</v>
      </c>
    </row>
    <row r="734" spans="2:13" ht="15" customHeight="1">
      <c r="B734" t="s">
        <v>2737</v>
      </c>
      <c r="C734" s="1">
        <v>41055.667986111112</v>
      </c>
      <c r="D734" s="4">
        <v>15000</v>
      </c>
      <c r="E734">
        <v>15000</v>
      </c>
      <c r="F734" t="s">
        <v>6</v>
      </c>
      <c r="G734">
        <f>tblSalaries[[#This Row],[clean Salary (in local currency)]]*VLOOKUP(tblSalaries[[#This Row],[Currency]],tblXrate[],2,FALSE)</f>
        <v>15000</v>
      </c>
      <c r="H734" t="s">
        <v>854</v>
      </c>
      <c r="I734" t="s">
        <v>488</v>
      </c>
      <c r="J734" t="s">
        <v>8</v>
      </c>
      <c r="K734" t="str">
        <f>VLOOKUP(tblSalaries[[#This Row],[Where do you work]],tblCountries[[Actual]:[Mapping]],2,FALSE)</f>
        <v>India</v>
      </c>
      <c r="L734" t="s">
        <v>18</v>
      </c>
      <c r="M734">
        <v>2</v>
      </c>
    </row>
    <row r="735" spans="2:13" ht="15" customHeight="1">
      <c r="B735" t="s">
        <v>2738</v>
      </c>
      <c r="C735" s="1">
        <v>41055.670162037037</v>
      </c>
      <c r="D735" s="4">
        <v>10000</v>
      </c>
      <c r="E735">
        <v>10000</v>
      </c>
      <c r="F735" t="s">
        <v>6</v>
      </c>
      <c r="G735">
        <f>tblSalaries[[#This Row],[clean Salary (in local currency)]]*VLOOKUP(tblSalaries[[#This Row],[Currency]],tblXrate[],2,FALSE)</f>
        <v>10000</v>
      </c>
      <c r="H735" t="s">
        <v>855</v>
      </c>
      <c r="I735" t="s">
        <v>20</v>
      </c>
      <c r="J735" t="s">
        <v>8</v>
      </c>
      <c r="K735" t="str">
        <f>VLOOKUP(tblSalaries[[#This Row],[Where do you work]],tblCountries[[Actual]:[Mapping]],2,FALSE)</f>
        <v>India</v>
      </c>
      <c r="L735" t="s">
        <v>9</v>
      </c>
      <c r="M735">
        <v>12</v>
      </c>
    </row>
    <row r="736" spans="2:13" ht="15" customHeight="1">
      <c r="B736" t="s">
        <v>2739</v>
      </c>
      <c r="C736" s="1">
        <v>41055.673703703702</v>
      </c>
      <c r="D736" s="4">
        <v>74000</v>
      </c>
      <c r="E736">
        <v>74000</v>
      </c>
      <c r="F736" t="s">
        <v>69</v>
      </c>
      <c r="G736">
        <f>tblSalaries[[#This Row],[clean Salary (in local currency)]]*VLOOKUP(tblSalaries[[#This Row],[Currency]],tblXrate[],2,FALSE)</f>
        <v>116637.19213297902</v>
      </c>
      <c r="H736" t="s">
        <v>856</v>
      </c>
      <c r="I736" t="s">
        <v>52</v>
      </c>
      <c r="J736" t="s">
        <v>71</v>
      </c>
      <c r="K736" t="str">
        <f>VLOOKUP(tblSalaries[[#This Row],[Where do you work]],tblCountries[[Actual]:[Mapping]],2,FALSE)</f>
        <v>UK</v>
      </c>
      <c r="L736" t="s">
        <v>9</v>
      </c>
      <c r="M736">
        <v>5</v>
      </c>
    </row>
    <row r="737" spans="2:13" ht="15" customHeight="1">
      <c r="B737" t="s">
        <v>2740</v>
      </c>
      <c r="C737" s="1">
        <v>41055.675104166665</v>
      </c>
      <c r="D737" s="4" t="s">
        <v>857</v>
      </c>
      <c r="E737">
        <v>21798</v>
      </c>
      <c r="F737" t="s">
        <v>69</v>
      </c>
      <c r="G737">
        <f>tblSalaries[[#This Row],[clean Salary (in local currency)]]*VLOOKUP(tblSalaries[[#This Row],[Currency]],tblXrate[],2,FALSE)</f>
        <v>34357.533974522659</v>
      </c>
      <c r="H737" t="s">
        <v>153</v>
      </c>
      <c r="I737" t="s">
        <v>20</v>
      </c>
      <c r="J737" t="s">
        <v>71</v>
      </c>
      <c r="K737" t="str">
        <f>VLOOKUP(tblSalaries[[#This Row],[Where do you work]],tblCountries[[Actual]:[Mapping]],2,FALSE)</f>
        <v>UK</v>
      </c>
      <c r="L737" t="s">
        <v>13</v>
      </c>
      <c r="M737">
        <v>1.5</v>
      </c>
    </row>
    <row r="738" spans="2:13" ht="15" customHeight="1">
      <c r="B738" t="s">
        <v>2741</v>
      </c>
      <c r="C738" s="1">
        <v>41055.678229166668</v>
      </c>
      <c r="D738" s="4">
        <v>65000</v>
      </c>
      <c r="E738">
        <v>65000</v>
      </c>
      <c r="F738" t="s">
        <v>69</v>
      </c>
      <c r="G738">
        <f>tblSalaries[[#This Row],[clean Salary (in local currency)]]*VLOOKUP(tblSalaries[[#This Row],[Currency]],tblXrate[],2,FALSE)</f>
        <v>102451.58768437347</v>
      </c>
      <c r="H738" t="s">
        <v>858</v>
      </c>
      <c r="I738" t="s">
        <v>52</v>
      </c>
      <c r="J738" t="s">
        <v>71</v>
      </c>
      <c r="K738" t="str">
        <f>VLOOKUP(tblSalaries[[#This Row],[Where do you work]],tblCountries[[Actual]:[Mapping]],2,FALSE)</f>
        <v>UK</v>
      </c>
      <c r="L738" t="s">
        <v>9</v>
      </c>
      <c r="M738">
        <v>15</v>
      </c>
    </row>
    <row r="739" spans="2:13" ht="15" customHeight="1">
      <c r="B739" t="s">
        <v>2742</v>
      </c>
      <c r="C739" s="1">
        <v>41055.682986111111</v>
      </c>
      <c r="D739" s="4">
        <v>16000</v>
      </c>
      <c r="E739">
        <v>16000</v>
      </c>
      <c r="F739" t="s">
        <v>6</v>
      </c>
      <c r="G739">
        <f>tblSalaries[[#This Row],[clean Salary (in local currency)]]*VLOOKUP(tblSalaries[[#This Row],[Currency]],tblXrate[],2,FALSE)</f>
        <v>16000</v>
      </c>
      <c r="H739" t="s">
        <v>279</v>
      </c>
      <c r="I739" t="s">
        <v>279</v>
      </c>
      <c r="J739" t="s">
        <v>8</v>
      </c>
      <c r="K739" t="str">
        <f>VLOOKUP(tblSalaries[[#This Row],[Where do you work]],tblCountries[[Actual]:[Mapping]],2,FALSE)</f>
        <v>India</v>
      </c>
      <c r="L739" t="s">
        <v>18</v>
      </c>
      <c r="M739">
        <v>5</v>
      </c>
    </row>
    <row r="740" spans="2:13" ht="15" customHeight="1">
      <c r="B740" t="s">
        <v>2743</v>
      </c>
      <c r="C740" s="1">
        <v>41055.684641203705</v>
      </c>
      <c r="D740" s="4">
        <v>6000</v>
      </c>
      <c r="E740">
        <v>6000</v>
      </c>
      <c r="F740" t="s">
        <v>6</v>
      </c>
      <c r="G740">
        <f>tblSalaries[[#This Row],[clean Salary (in local currency)]]*VLOOKUP(tblSalaries[[#This Row],[Currency]],tblXrate[],2,FALSE)</f>
        <v>6000</v>
      </c>
      <c r="H740" t="s">
        <v>859</v>
      </c>
      <c r="I740" t="s">
        <v>52</v>
      </c>
      <c r="J740" t="s">
        <v>8</v>
      </c>
      <c r="K740" t="str">
        <f>VLOOKUP(tblSalaries[[#This Row],[Where do you work]],tblCountries[[Actual]:[Mapping]],2,FALSE)</f>
        <v>India</v>
      </c>
      <c r="L740" t="s">
        <v>18</v>
      </c>
      <c r="M740">
        <v>6</v>
      </c>
    </row>
    <row r="741" spans="2:13" ht="15" customHeight="1">
      <c r="B741" t="s">
        <v>2744</v>
      </c>
      <c r="C741" s="1">
        <v>41055.685127314813</v>
      </c>
      <c r="D741" s="4" t="s">
        <v>860</v>
      </c>
      <c r="E741">
        <v>360000</v>
      </c>
      <c r="F741" t="s">
        <v>40</v>
      </c>
      <c r="G741">
        <f>tblSalaries[[#This Row],[clean Salary (in local currency)]]*VLOOKUP(tblSalaries[[#This Row],[Currency]],tblXrate[],2,FALSE)</f>
        <v>6410.8500074793246</v>
      </c>
      <c r="H741" t="s">
        <v>861</v>
      </c>
      <c r="I741" t="s">
        <v>52</v>
      </c>
      <c r="J741" t="s">
        <v>8</v>
      </c>
      <c r="K741" t="str">
        <f>VLOOKUP(tblSalaries[[#This Row],[Where do you work]],tblCountries[[Actual]:[Mapping]],2,FALSE)</f>
        <v>India</v>
      </c>
      <c r="L741" t="s">
        <v>13</v>
      </c>
      <c r="M741">
        <v>6</v>
      </c>
    </row>
    <row r="742" spans="2:13" ht="15" customHeight="1">
      <c r="B742" t="s">
        <v>2745</v>
      </c>
      <c r="C742" s="1">
        <v>41055.687222222223</v>
      </c>
      <c r="D742" s="4">
        <v>36000</v>
      </c>
      <c r="E742">
        <v>36000</v>
      </c>
      <c r="F742" t="s">
        <v>6</v>
      </c>
      <c r="G742">
        <f>tblSalaries[[#This Row],[clean Salary (in local currency)]]*VLOOKUP(tblSalaries[[#This Row],[Currency]],tblXrate[],2,FALSE)</f>
        <v>36000</v>
      </c>
      <c r="H742" t="s">
        <v>485</v>
      </c>
      <c r="I742" t="s">
        <v>279</v>
      </c>
      <c r="J742" t="s">
        <v>820</v>
      </c>
      <c r="K742" t="str">
        <f>VLOOKUP(tblSalaries[[#This Row],[Where do you work]],tblCountries[[Actual]:[Mapping]],2,FALSE)</f>
        <v>UAE</v>
      </c>
      <c r="L742" t="s">
        <v>25</v>
      </c>
      <c r="M742">
        <v>7</v>
      </c>
    </row>
    <row r="743" spans="2:13" ht="15" customHeight="1">
      <c r="B743" t="s">
        <v>2746</v>
      </c>
      <c r="C743" s="1">
        <v>41055.690254629626</v>
      </c>
      <c r="D743" s="4">
        <v>20000</v>
      </c>
      <c r="E743">
        <v>20000</v>
      </c>
      <c r="F743" t="s">
        <v>6</v>
      </c>
      <c r="G743">
        <f>tblSalaries[[#This Row],[clean Salary (in local currency)]]*VLOOKUP(tblSalaries[[#This Row],[Currency]],tblXrate[],2,FALSE)</f>
        <v>20000</v>
      </c>
      <c r="H743" t="s">
        <v>522</v>
      </c>
      <c r="I743" t="s">
        <v>279</v>
      </c>
      <c r="J743" t="s">
        <v>8</v>
      </c>
      <c r="K743" t="str">
        <f>VLOOKUP(tblSalaries[[#This Row],[Where do you work]],tblCountries[[Actual]:[Mapping]],2,FALSE)</f>
        <v>India</v>
      </c>
      <c r="L743" t="s">
        <v>25</v>
      </c>
      <c r="M743">
        <v>7</v>
      </c>
    </row>
    <row r="744" spans="2:13" ht="15" customHeight="1">
      <c r="B744" t="s">
        <v>2747</v>
      </c>
      <c r="C744" s="1">
        <v>41055.690486111111</v>
      </c>
      <c r="D744" s="4" t="s">
        <v>862</v>
      </c>
      <c r="E744">
        <v>240000</v>
      </c>
      <c r="F744" t="s">
        <v>40</v>
      </c>
      <c r="G744">
        <f>tblSalaries[[#This Row],[clean Salary (in local currency)]]*VLOOKUP(tblSalaries[[#This Row],[Currency]],tblXrate[],2,FALSE)</f>
        <v>4273.9000049862161</v>
      </c>
      <c r="H744" t="s">
        <v>863</v>
      </c>
      <c r="I744" t="s">
        <v>310</v>
      </c>
      <c r="J744" t="s">
        <v>8</v>
      </c>
      <c r="K744" t="str">
        <f>VLOOKUP(tblSalaries[[#This Row],[Where do you work]],tblCountries[[Actual]:[Mapping]],2,FALSE)</f>
        <v>India</v>
      </c>
      <c r="L744" t="s">
        <v>9</v>
      </c>
      <c r="M744">
        <v>8</v>
      </c>
    </row>
    <row r="745" spans="2:13" ht="15" customHeight="1">
      <c r="B745" t="s">
        <v>2748</v>
      </c>
      <c r="C745" s="1">
        <v>41055.690937500003</v>
      </c>
      <c r="D745" s="4" t="s">
        <v>864</v>
      </c>
      <c r="E745">
        <v>24000</v>
      </c>
      <c r="F745" t="s">
        <v>69</v>
      </c>
      <c r="G745">
        <f>tblSalaries[[#This Row],[clean Salary (in local currency)]]*VLOOKUP(tblSalaries[[#This Row],[Currency]],tblXrate[],2,FALSE)</f>
        <v>37828.278529614821</v>
      </c>
      <c r="H745" t="s">
        <v>865</v>
      </c>
      <c r="I745" t="s">
        <v>67</v>
      </c>
      <c r="J745" t="s">
        <v>71</v>
      </c>
      <c r="K745" t="str">
        <f>VLOOKUP(tblSalaries[[#This Row],[Where do you work]],tblCountries[[Actual]:[Mapping]],2,FALSE)</f>
        <v>UK</v>
      </c>
      <c r="L745" t="s">
        <v>13</v>
      </c>
      <c r="M745">
        <v>8</v>
      </c>
    </row>
    <row r="746" spans="2:13" ht="15" customHeight="1">
      <c r="B746" t="s">
        <v>2749</v>
      </c>
      <c r="C746" s="1">
        <v>41055.701481481483</v>
      </c>
      <c r="D746" s="4" t="s">
        <v>866</v>
      </c>
      <c r="E746">
        <v>11000</v>
      </c>
      <c r="F746" t="s">
        <v>6</v>
      </c>
      <c r="G746">
        <f>tblSalaries[[#This Row],[clean Salary (in local currency)]]*VLOOKUP(tblSalaries[[#This Row],[Currency]],tblXrate[],2,FALSE)</f>
        <v>11000</v>
      </c>
      <c r="H746" t="s">
        <v>867</v>
      </c>
      <c r="I746" t="s">
        <v>52</v>
      </c>
      <c r="J746" t="s">
        <v>716</v>
      </c>
      <c r="K746" t="str">
        <f>VLOOKUP(tblSalaries[[#This Row],[Where do you work]],tblCountries[[Actual]:[Mapping]],2,FALSE)</f>
        <v>Sri Lanka</v>
      </c>
      <c r="L746" t="s">
        <v>13</v>
      </c>
      <c r="M746">
        <v>4.5</v>
      </c>
    </row>
    <row r="747" spans="2:13" ht="15" customHeight="1">
      <c r="B747" t="s">
        <v>2750</v>
      </c>
      <c r="C747" s="1">
        <v>41055.701921296299</v>
      </c>
      <c r="D747" s="4">
        <v>8000</v>
      </c>
      <c r="E747">
        <v>8000</v>
      </c>
      <c r="F747" t="s">
        <v>6</v>
      </c>
      <c r="G747">
        <f>tblSalaries[[#This Row],[clean Salary (in local currency)]]*VLOOKUP(tblSalaries[[#This Row],[Currency]],tblXrate[],2,FALSE)</f>
        <v>8000</v>
      </c>
      <c r="H747" t="s">
        <v>207</v>
      </c>
      <c r="I747" t="s">
        <v>20</v>
      </c>
      <c r="J747" t="s">
        <v>8</v>
      </c>
      <c r="K747" t="str">
        <f>VLOOKUP(tblSalaries[[#This Row],[Where do you work]],tblCountries[[Actual]:[Mapping]],2,FALSE)</f>
        <v>India</v>
      </c>
      <c r="L747" t="s">
        <v>18</v>
      </c>
      <c r="M747">
        <v>6</v>
      </c>
    </row>
    <row r="748" spans="2:13" ht="15" customHeight="1">
      <c r="B748" t="s">
        <v>2751</v>
      </c>
      <c r="C748" s="1">
        <v>41055.71025462963</v>
      </c>
      <c r="D748" s="4" t="s">
        <v>868</v>
      </c>
      <c r="E748">
        <v>225000</v>
      </c>
      <c r="F748" t="s">
        <v>40</v>
      </c>
      <c r="G748">
        <f>tblSalaries[[#This Row],[clean Salary (in local currency)]]*VLOOKUP(tblSalaries[[#This Row],[Currency]],tblXrate[],2,FALSE)</f>
        <v>4006.7812546745777</v>
      </c>
      <c r="H748" t="s">
        <v>721</v>
      </c>
      <c r="I748" t="s">
        <v>3999</v>
      </c>
      <c r="J748" t="s">
        <v>8</v>
      </c>
      <c r="K748" t="str">
        <f>VLOOKUP(tblSalaries[[#This Row],[Where do you work]],tblCountries[[Actual]:[Mapping]],2,FALSE)</f>
        <v>India</v>
      </c>
      <c r="L748" t="s">
        <v>13</v>
      </c>
      <c r="M748">
        <v>5.5</v>
      </c>
    </row>
    <row r="749" spans="2:13" ht="15" customHeight="1">
      <c r="B749" t="s">
        <v>2752</v>
      </c>
      <c r="C749" s="1">
        <v>41055.710439814815</v>
      </c>
      <c r="D749" s="4">
        <v>1488000</v>
      </c>
      <c r="E749">
        <v>1488000</v>
      </c>
      <c r="F749" t="s">
        <v>3984</v>
      </c>
      <c r="G749">
        <f>tblSalaries[[#This Row],[clean Salary (in local currency)]]*VLOOKUP(tblSalaries[[#This Row],[Currency]],tblXrate[],2,FALSE)</f>
        <v>9171.0323574730355</v>
      </c>
      <c r="H749" t="s">
        <v>869</v>
      </c>
      <c r="I749" t="s">
        <v>52</v>
      </c>
      <c r="J749" t="s">
        <v>870</v>
      </c>
      <c r="K749" t="str">
        <f>VLOOKUP(tblSalaries[[#This Row],[Where do you work]],tblCountries[[Actual]:[Mapping]],2,FALSE)</f>
        <v>Nigeria</v>
      </c>
      <c r="L749" t="s">
        <v>18</v>
      </c>
      <c r="M749">
        <v>5</v>
      </c>
    </row>
    <row r="750" spans="2:13" ht="15" customHeight="1">
      <c r="B750" t="s">
        <v>2753</v>
      </c>
      <c r="C750" s="1">
        <v>41055.710717592592</v>
      </c>
      <c r="D750" s="4" t="s">
        <v>871</v>
      </c>
      <c r="E750">
        <v>240000</v>
      </c>
      <c r="F750" t="s">
        <v>40</v>
      </c>
      <c r="G750">
        <f>tblSalaries[[#This Row],[clean Salary (in local currency)]]*VLOOKUP(tblSalaries[[#This Row],[Currency]],tblXrate[],2,FALSE)</f>
        <v>4273.9000049862161</v>
      </c>
      <c r="H750" t="s">
        <v>872</v>
      </c>
      <c r="I750" t="s">
        <v>20</v>
      </c>
      <c r="J750" t="s">
        <v>8</v>
      </c>
      <c r="K750" t="str">
        <f>VLOOKUP(tblSalaries[[#This Row],[Where do you work]],tblCountries[[Actual]:[Mapping]],2,FALSE)</f>
        <v>India</v>
      </c>
      <c r="L750" t="s">
        <v>18</v>
      </c>
      <c r="M750">
        <v>20</v>
      </c>
    </row>
    <row r="751" spans="2:13" ht="15" customHeight="1">
      <c r="B751" t="s">
        <v>2754</v>
      </c>
      <c r="C751" s="1">
        <v>41055.711377314816</v>
      </c>
      <c r="D751" s="4" t="s">
        <v>873</v>
      </c>
      <c r="E751">
        <v>700000</v>
      </c>
      <c r="F751" t="s">
        <v>40</v>
      </c>
      <c r="G751">
        <f>tblSalaries[[#This Row],[clean Salary (in local currency)]]*VLOOKUP(tblSalaries[[#This Row],[Currency]],tblXrate[],2,FALSE)</f>
        <v>12465.541681209797</v>
      </c>
      <c r="H751" t="s">
        <v>874</v>
      </c>
      <c r="I751" t="s">
        <v>20</v>
      </c>
      <c r="J751" t="s">
        <v>8</v>
      </c>
      <c r="K751" t="str">
        <f>VLOOKUP(tblSalaries[[#This Row],[Where do you work]],tblCountries[[Actual]:[Mapping]],2,FALSE)</f>
        <v>India</v>
      </c>
      <c r="L751" t="s">
        <v>13</v>
      </c>
      <c r="M751">
        <v>5</v>
      </c>
    </row>
    <row r="752" spans="2:13" ht="15" customHeight="1">
      <c r="B752" t="s">
        <v>2755</v>
      </c>
      <c r="C752" s="1">
        <v>41055.713055555556</v>
      </c>
      <c r="D752" s="4">
        <v>2000</v>
      </c>
      <c r="E752">
        <v>24000</v>
      </c>
      <c r="F752" t="s">
        <v>6</v>
      </c>
      <c r="G752">
        <f>tblSalaries[[#This Row],[clean Salary (in local currency)]]*VLOOKUP(tblSalaries[[#This Row],[Currency]],tblXrate[],2,FALSE)</f>
        <v>24000</v>
      </c>
      <c r="H752" t="s">
        <v>875</v>
      </c>
      <c r="I752" t="s">
        <v>20</v>
      </c>
      <c r="J752" t="s">
        <v>8</v>
      </c>
      <c r="K752" t="str">
        <f>VLOOKUP(tblSalaries[[#This Row],[Where do you work]],tblCountries[[Actual]:[Mapping]],2,FALSE)</f>
        <v>India</v>
      </c>
      <c r="L752" t="s">
        <v>18</v>
      </c>
      <c r="M752">
        <v>1</v>
      </c>
    </row>
    <row r="753" spans="2:13" ht="15" customHeight="1">
      <c r="B753" t="s">
        <v>2756</v>
      </c>
      <c r="C753" s="1">
        <v>41055.713541666664</v>
      </c>
      <c r="D753" s="4">
        <v>20000</v>
      </c>
      <c r="E753">
        <v>20000</v>
      </c>
      <c r="F753" t="s">
        <v>6</v>
      </c>
      <c r="G753">
        <f>tblSalaries[[#This Row],[clean Salary (in local currency)]]*VLOOKUP(tblSalaries[[#This Row],[Currency]],tblXrate[],2,FALSE)</f>
        <v>20000</v>
      </c>
      <c r="H753" t="s">
        <v>876</v>
      </c>
      <c r="I753" t="s">
        <v>356</v>
      </c>
      <c r="J753" t="s">
        <v>877</v>
      </c>
      <c r="K753" t="str">
        <f>VLOOKUP(tblSalaries[[#This Row],[Where do you work]],tblCountries[[Actual]:[Mapping]],2,FALSE)</f>
        <v>Denmark</v>
      </c>
      <c r="L753" t="s">
        <v>18</v>
      </c>
      <c r="M753">
        <v>15</v>
      </c>
    </row>
    <row r="754" spans="2:13" ht="15" customHeight="1">
      <c r="B754" t="s">
        <v>2757</v>
      </c>
      <c r="C754" s="1">
        <v>41055.713993055557</v>
      </c>
      <c r="D754" s="4">
        <v>62000</v>
      </c>
      <c r="E754">
        <v>62000</v>
      </c>
      <c r="F754" t="s">
        <v>6</v>
      </c>
      <c r="G754">
        <f>tblSalaries[[#This Row],[clean Salary (in local currency)]]*VLOOKUP(tblSalaries[[#This Row],[Currency]],tblXrate[],2,FALSE)</f>
        <v>62000</v>
      </c>
      <c r="H754" t="s">
        <v>878</v>
      </c>
      <c r="I754" t="s">
        <v>20</v>
      </c>
      <c r="J754" t="s">
        <v>15</v>
      </c>
      <c r="K754" t="str">
        <f>VLOOKUP(tblSalaries[[#This Row],[Where do you work]],tblCountries[[Actual]:[Mapping]],2,FALSE)</f>
        <v>USA</v>
      </c>
      <c r="L754" t="s">
        <v>18</v>
      </c>
      <c r="M754">
        <v>20</v>
      </c>
    </row>
    <row r="755" spans="2:13" ht="15" customHeight="1">
      <c r="B755" t="s">
        <v>2758</v>
      </c>
      <c r="C755" s="1">
        <v>41055.714861111112</v>
      </c>
      <c r="D755" s="4" t="s">
        <v>879</v>
      </c>
      <c r="E755">
        <v>14960</v>
      </c>
      <c r="F755" t="s">
        <v>6</v>
      </c>
      <c r="G755">
        <f>tblSalaries[[#This Row],[clean Salary (in local currency)]]*VLOOKUP(tblSalaries[[#This Row],[Currency]],tblXrate[],2,FALSE)</f>
        <v>14960</v>
      </c>
      <c r="H755" t="s">
        <v>880</v>
      </c>
      <c r="I755" t="s">
        <v>488</v>
      </c>
      <c r="J755" t="s">
        <v>133</v>
      </c>
      <c r="K755" t="str">
        <f>VLOOKUP(tblSalaries[[#This Row],[Where do you work]],tblCountries[[Actual]:[Mapping]],2,FALSE)</f>
        <v>Saudi Arabia</v>
      </c>
      <c r="L755" t="s">
        <v>13</v>
      </c>
      <c r="M755">
        <v>2</v>
      </c>
    </row>
    <row r="756" spans="2:13" ht="15" customHeight="1">
      <c r="B756" t="s">
        <v>2759</v>
      </c>
      <c r="C756" s="1">
        <v>41055.715509259258</v>
      </c>
      <c r="D756" s="4">
        <v>120000</v>
      </c>
      <c r="E756">
        <v>120000</v>
      </c>
      <c r="F756" t="s">
        <v>40</v>
      </c>
      <c r="G756">
        <f>tblSalaries[[#This Row],[clean Salary (in local currency)]]*VLOOKUP(tblSalaries[[#This Row],[Currency]],tblXrate[],2,FALSE)</f>
        <v>2136.9500024931081</v>
      </c>
      <c r="H756" t="s">
        <v>881</v>
      </c>
      <c r="I756" t="s">
        <v>310</v>
      </c>
      <c r="J756" t="s">
        <v>8</v>
      </c>
      <c r="K756" t="str">
        <f>VLOOKUP(tblSalaries[[#This Row],[Where do you work]],tblCountries[[Actual]:[Mapping]],2,FALSE)</f>
        <v>India</v>
      </c>
      <c r="L756" t="s">
        <v>18</v>
      </c>
      <c r="M756">
        <v>2</v>
      </c>
    </row>
    <row r="757" spans="2:13" ht="15" customHeight="1">
      <c r="B757" t="s">
        <v>2760</v>
      </c>
      <c r="C757" s="1">
        <v>41055.725474537037</v>
      </c>
      <c r="D757" s="4">
        <v>30232</v>
      </c>
      <c r="E757">
        <v>30232</v>
      </c>
      <c r="F757" t="s">
        <v>6</v>
      </c>
      <c r="G757">
        <f>tblSalaries[[#This Row],[clean Salary (in local currency)]]*VLOOKUP(tblSalaries[[#This Row],[Currency]],tblXrate[],2,FALSE)</f>
        <v>30232</v>
      </c>
      <c r="H757" t="s">
        <v>882</v>
      </c>
      <c r="I757" t="s">
        <v>310</v>
      </c>
      <c r="J757" t="s">
        <v>883</v>
      </c>
      <c r="K757" t="str">
        <f>VLOOKUP(tblSalaries[[#This Row],[Where do you work]],tblCountries[[Actual]:[Mapping]],2,FALSE)</f>
        <v>USA</v>
      </c>
      <c r="L757" t="s">
        <v>18</v>
      </c>
      <c r="M757">
        <v>5</v>
      </c>
    </row>
    <row r="758" spans="2:13" ht="15" customHeight="1">
      <c r="B758" t="s">
        <v>2761</v>
      </c>
      <c r="C758" s="1">
        <v>41055.725474537037</v>
      </c>
      <c r="D758" s="4">
        <v>41000</v>
      </c>
      <c r="E758">
        <v>41000</v>
      </c>
      <c r="F758" t="s">
        <v>6</v>
      </c>
      <c r="G758">
        <f>tblSalaries[[#This Row],[clean Salary (in local currency)]]*VLOOKUP(tblSalaries[[#This Row],[Currency]],tblXrate[],2,FALSE)</f>
        <v>41000</v>
      </c>
      <c r="H758" t="s">
        <v>207</v>
      </c>
      <c r="I758" t="s">
        <v>20</v>
      </c>
      <c r="J758" t="s">
        <v>15</v>
      </c>
      <c r="K758" t="str">
        <f>VLOOKUP(tblSalaries[[#This Row],[Where do you work]],tblCountries[[Actual]:[Mapping]],2,FALSE)</f>
        <v>USA</v>
      </c>
      <c r="L758" t="s">
        <v>13</v>
      </c>
      <c r="M758">
        <v>4</v>
      </c>
    </row>
    <row r="759" spans="2:13" ht="15" customHeight="1">
      <c r="B759" t="s">
        <v>2762</v>
      </c>
      <c r="C759" s="1">
        <v>41055.730509259258</v>
      </c>
      <c r="D759" s="4" t="s">
        <v>884</v>
      </c>
      <c r="E759">
        <v>95000</v>
      </c>
      <c r="F759" t="s">
        <v>82</v>
      </c>
      <c r="G759">
        <f>tblSalaries[[#This Row],[clean Salary (in local currency)]]*VLOOKUP(tblSalaries[[#This Row],[Currency]],tblXrate[],2,FALSE)</f>
        <v>96891.417358250401</v>
      </c>
      <c r="H759" t="s">
        <v>885</v>
      </c>
      <c r="I759" t="s">
        <v>20</v>
      </c>
      <c r="J759" t="s">
        <v>84</v>
      </c>
      <c r="K759" t="str">
        <f>VLOOKUP(tblSalaries[[#This Row],[Where do you work]],tblCountries[[Actual]:[Mapping]],2,FALSE)</f>
        <v>Australia</v>
      </c>
      <c r="L759" t="s">
        <v>18</v>
      </c>
      <c r="M759">
        <v>11</v>
      </c>
    </row>
    <row r="760" spans="2:13" ht="15" customHeight="1">
      <c r="B760" t="s">
        <v>2763</v>
      </c>
      <c r="C760" s="1">
        <v>41055.739282407405</v>
      </c>
      <c r="D760" s="4" t="s">
        <v>886</v>
      </c>
      <c r="E760">
        <v>1200000</v>
      </c>
      <c r="F760" t="s">
        <v>40</v>
      </c>
      <c r="G760">
        <f>tblSalaries[[#This Row],[clean Salary (in local currency)]]*VLOOKUP(tblSalaries[[#This Row],[Currency]],tblXrate[],2,FALSE)</f>
        <v>21369.500024931083</v>
      </c>
      <c r="H760" t="s">
        <v>887</v>
      </c>
      <c r="I760" t="s">
        <v>52</v>
      </c>
      <c r="J760" t="s">
        <v>8</v>
      </c>
      <c r="K760" t="str">
        <f>VLOOKUP(tblSalaries[[#This Row],[Where do you work]],tblCountries[[Actual]:[Mapping]],2,FALSE)</f>
        <v>India</v>
      </c>
      <c r="L760" t="s">
        <v>13</v>
      </c>
      <c r="M760">
        <v>14</v>
      </c>
    </row>
    <row r="761" spans="2:13" ht="15" customHeight="1">
      <c r="B761" t="s">
        <v>2764</v>
      </c>
      <c r="C761" s="1">
        <v>41055.740972222222</v>
      </c>
      <c r="D761" s="4">
        <v>205000</v>
      </c>
      <c r="E761">
        <v>205000</v>
      </c>
      <c r="F761" t="s">
        <v>40</v>
      </c>
      <c r="G761">
        <f>tblSalaries[[#This Row],[clean Salary (in local currency)]]*VLOOKUP(tblSalaries[[#This Row],[Currency]],tblXrate[],2,FALSE)</f>
        <v>3650.6229209257262</v>
      </c>
      <c r="H761" t="s">
        <v>888</v>
      </c>
      <c r="I761" t="s">
        <v>310</v>
      </c>
      <c r="J761" t="s">
        <v>8</v>
      </c>
      <c r="K761" t="str">
        <f>VLOOKUP(tblSalaries[[#This Row],[Where do you work]],tblCountries[[Actual]:[Mapping]],2,FALSE)</f>
        <v>India</v>
      </c>
      <c r="L761" t="s">
        <v>13</v>
      </c>
      <c r="M761">
        <v>10</v>
      </c>
    </row>
    <row r="762" spans="2:13" ht="15" customHeight="1">
      <c r="B762" t="s">
        <v>2765</v>
      </c>
      <c r="C762" s="1">
        <v>41055.741087962961</v>
      </c>
      <c r="D762" s="4" t="s">
        <v>889</v>
      </c>
      <c r="E762">
        <v>19068</v>
      </c>
      <c r="F762" t="s">
        <v>6</v>
      </c>
      <c r="G762">
        <f>tblSalaries[[#This Row],[clean Salary (in local currency)]]*VLOOKUP(tblSalaries[[#This Row],[Currency]],tblXrate[],2,FALSE)</f>
        <v>19068</v>
      </c>
      <c r="H762" t="s">
        <v>890</v>
      </c>
      <c r="I762" t="s">
        <v>310</v>
      </c>
      <c r="J762" t="s">
        <v>347</v>
      </c>
      <c r="K762" t="str">
        <f>VLOOKUP(tblSalaries[[#This Row],[Where do you work]],tblCountries[[Actual]:[Mapping]],2,FALSE)</f>
        <v>Philippines</v>
      </c>
      <c r="L762" t="s">
        <v>13</v>
      </c>
      <c r="M762">
        <v>20</v>
      </c>
    </row>
    <row r="763" spans="2:13" ht="15" customHeight="1">
      <c r="B763" t="s">
        <v>2766</v>
      </c>
      <c r="C763" s="1">
        <v>41055.74255787037</v>
      </c>
      <c r="D763" s="4" t="s">
        <v>534</v>
      </c>
      <c r="E763">
        <v>300000</v>
      </c>
      <c r="F763" t="s">
        <v>40</v>
      </c>
      <c r="G763">
        <f>tblSalaries[[#This Row],[clean Salary (in local currency)]]*VLOOKUP(tblSalaries[[#This Row],[Currency]],tblXrate[],2,FALSE)</f>
        <v>5342.3750062327708</v>
      </c>
      <c r="H763" t="s">
        <v>891</v>
      </c>
      <c r="I763" t="s">
        <v>488</v>
      </c>
      <c r="J763" t="s">
        <v>8</v>
      </c>
      <c r="K763" t="str">
        <f>VLOOKUP(tblSalaries[[#This Row],[Where do you work]],tblCountries[[Actual]:[Mapping]],2,FALSE)</f>
        <v>India</v>
      </c>
      <c r="L763" t="s">
        <v>13</v>
      </c>
      <c r="M763">
        <v>4</v>
      </c>
    </row>
    <row r="764" spans="2:13" ht="15" customHeight="1">
      <c r="B764" t="s">
        <v>2767</v>
      </c>
      <c r="C764" s="1">
        <v>41055.744062500002</v>
      </c>
      <c r="D764" s="4">
        <v>48000</v>
      </c>
      <c r="E764">
        <v>48000</v>
      </c>
      <c r="F764" t="s">
        <v>6</v>
      </c>
      <c r="G764">
        <f>tblSalaries[[#This Row],[clean Salary (in local currency)]]*VLOOKUP(tblSalaries[[#This Row],[Currency]],tblXrate[],2,FALSE)</f>
        <v>48000</v>
      </c>
      <c r="H764" t="s">
        <v>356</v>
      </c>
      <c r="I764" t="s">
        <v>356</v>
      </c>
      <c r="J764" t="s">
        <v>171</v>
      </c>
      <c r="K764" t="str">
        <f>VLOOKUP(tblSalaries[[#This Row],[Where do you work]],tblCountries[[Actual]:[Mapping]],2,FALSE)</f>
        <v>Singapore</v>
      </c>
      <c r="L764" t="s">
        <v>13</v>
      </c>
      <c r="M764">
        <v>3</v>
      </c>
    </row>
    <row r="765" spans="2:13" ht="15" customHeight="1">
      <c r="B765" t="s">
        <v>2768</v>
      </c>
      <c r="C765" s="1">
        <v>41055.763761574075</v>
      </c>
      <c r="D765" s="4" t="s">
        <v>892</v>
      </c>
      <c r="E765">
        <v>220000</v>
      </c>
      <c r="F765" t="s">
        <v>40</v>
      </c>
      <c r="G765">
        <f>tblSalaries[[#This Row],[clean Salary (in local currency)]]*VLOOKUP(tblSalaries[[#This Row],[Currency]],tblXrate[],2,FALSE)</f>
        <v>3917.7416712373652</v>
      </c>
      <c r="H765" t="s">
        <v>893</v>
      </c>
      <c r="I765" t="s">
        <v>279</v>
      </c>
      <c r="J765" t="s">
        <v>8</v>
      </c>
      <c r="K765" t="str">
        <f>VLOOKUP(tblSalaries[[#This Row],[Where do you work]],tblCountries[[Actual]:[Mapping]],2,FALSE)</f>
        <v>India</v>
      </c>
      <c r="L765" t="s">
        <v>9</v>
      </c>
      <c r="M765">
        <v>2</v>
      </c>
    </row>
    <row r="766" spans="2:13" ht="15" customHeight="1">
      <c r="B766" t="s">
        <v>2769</v>
      </c>
      <c r="C766" s="1">
        <v>41055.770208333335</v>
      </c>
      <c r="D766" s="4">
        <v>13500</v>
      </c>
      <c r="E766">
        <v>13500</v>
      </c>
      <c r="F766" t="s">
        <v>6</v>
      </c>
      <c r="G766">
        <f>tblSalaries[[#This Row],[clean Salary (in local currency)]]*VLOOKUP(tblSalaries[[#This Row],[Currency]],tblXrate[],2,FALSE)</f>
        <v>13500</v>
      </c>
      <c r="H766" t="s">
        <v>360</v>
      </c>
      <c r="I766" t="s">
        <v>3999</v>
      </c>
      <c r="J766" t="s">
        <v>8</v>
      </c>
      <c r="K766" t="str">
        <f>VLOOKUP(tblSalaries[[#This Row],[Where do you work]],tblCountries[[Actual]:[Mapping]],2,FALSE)</f>
        <v>India</v>
      </c>
      <c r="L766" t="s">
        <v>13</v>
      </c>
      <c r="M766">
        <v>2.5</v>
      </c>
    </row>
    <row r="767" spans="2:13" ht="15" customHeight="1">
      <c r="B767" t="s">
        <v>2770</v>
      </c>
      <c r="C767" s="1">
        <v>41055.774537037039</v>
      </c>
      <c r="D767" s="4" t="s">
        <v>894</v>
      </c>
      <c r="E767">
        <v>45000</v>
      </c>
      <c r="F767" t="s">
        <v>6</v>
      </c>
      <c r="G767">
        <f>tblSalaries[[#This Row],[clean Salary (in local currency)]]*VLOOKUP(tblSalaries[[#This Row],[Currency]],tblXrate[],2,FALSE)</f>
        <v>45000</v>
      </c>
      <c r="H767" t="s">
        <v>49</v>
      </c>
      <c r="I767" t="s">
        <v>52</v>
      </c>
      <c r="J767" t="s">
        <v>8</v>
      </c>
      <c r="K767" t="str">
        <f>VLOOKUP(tblSalaries[[#This Row],[Where do you work]],tblCountries[[Actual]:[Mapping]],2,FALSE)</f>
        <v>India</v>
      </c>
      <c r="L767" t="s">
        <v>25</v>
      </c>
      <c r="M767">
        <v>15</v>
      </c>
    </row>
    <row r="768" spans="2:13" ht="15" customHeight="1">
      <c r="B768" t="s">
        <v>2771</v>
      </c>
      <c r="C768" s="1">
        <v>41055.776863425926</v>
      </c>
      <c r="D768" s="4">
        <v>55000</v>
      </c>
      <c r="E768">
        <v>55000</v>
      </c>
      <c r="F768" t="s">
        <v>22</v>
      </c>
      <c r="G768">
        <f>tblSalaries[[#This Row],[clean Salary (in local currency)]]*VLOOKUP(tblSalaries[[#This Row],[Currency]],tblXrate[],2,FALSE)</f>
        <v>69871.969144538423</v>
      </c>
      <c r="H768" t="s">
        <v>29</v>
      </c>
      <c r="I768" t="s">
        <v>4001</v>
      </c>
      <c r="J768" t="s">
        <v>895</v>
      </c>
      <c r="K768" t="str">
        <f>VLOOKUP(tblSalaries[[#This Row],[Where do you work]],tblCountries[[Actual]:[Mapping]],2,FALSE)</f>
        <v>Italy</v>
      </c>
      <c r="L768" t="s">
        <v>18</v>
      </c>
      <c r="M768">
        <v>18</v>
      </c>
    </row>
    <row r="769" spans="2:13" ht="15" customHeight="1">
      <c r="B769" t="s">
        <v>2772</v>
      </c>
      <c r="C769" s="1">
        <v>41055.778831018521</v>
      </c>
      <c r="D769" s="4" t="s">
        <v>896</v>
      </c>
      <c r="E769">
        <v>480000</v>
      </c>
      <c r="F769" t="s">
        <v>40</v>
      </c>
      <c r="G769">
        <f>tblSalaries[[#This Row],[clean Salary (in local currency)]]*VLOOKUP(tblSalaries[[#This Row],[Currency]],tblXrate[],2,FALSE)</f>
        <v>8547.8000099724322</v>
      </c>
      <c r="H769" t="s">
        <v>897</v>
      </c>
      <c r="I769" t="s">
        <v>52</v>
      </c>
      <c r="J769" t="s">
        <v>8</v>
      </c>
      <c r="K769" t="str">
        <f>VLOOKUP(tblSalaries[[#This Row],[Where do you work]],tblCountries[[Actual]:[Mapping]],2,FALSE)</f>
        <v>India</v>
      </c>
      <c r="L769" t="s">
        <v>9</v>
      </c>
      <c r="M769">
        <v>11</v>
      </c>
    </row>
    <row r="770" spans="2:13" ht="15" customHeight="1">
      <c r="B770" t="s">
        <v>2773</v>
      </c>
      <c r="C770" s="1">
        <v>41055.780555555553</v>
      </c>
      <c r="D770" s="4" t="s">
        <v>898</v>
      </c>
      <c r="E770">
        <v>33600</v>
      </c>
      <c r="F770" t="s">
        <v>358</v>
      </c>
      <c r="G770">
        <f>tblSalaries[[#This Row],[clean Salary (in local currency)]]*VLOOKUP(tblSalaries[[#This Row],[Currency]],tblXrate[],2,FALSE)</f>
        <v>9146.5655463031271</v>
      </c>
      <c r="H770" t="s">
        <v>310</v>
      </c>
      <c r="I770" t="s">
        <v>310</v>
      </c>
      <c r="J770" t="s">
        <v>359</v>
      </c>
      <c r="K770" t="str">
        <f>VLOOKUP(tblSalaries[[#This Row],[Where do you work]],tblCountries[[Actual]:[Mapping]],2,FALSE)</f>
        <v>Dubai</v>
      </c>
      <c r="L770" t="s">
        <v>25</v>
      </c>
      <c r="M770">
        <v>7</v>
      </c>
    </row>
    <row r="771" spans="2:13" ht="15" customHeight="1">
      <c r="B771" t="s">
        <v>2774</v>
      </c>
      <c r="C771" s="1">
        <v>41055.789490740739</v>
      </c>
      <c r="D771" s="4">
        <v>570000</v>
      </c>
      <c r="E771">
        <v>570000</v>
      </c>
      <c r="F771" t="s">
        <v>40</v>
      </c>
      <c r="G771">
        <f>tblSalaries[[#This Row],[clean Salary (in local currency)]]*VLOOKUP(tblSalaries[[#This Row],[Currency]],tblXrate[],2,FALSE)</f>
        <v>10150.512511842264</v>
      </c>
      <c r="H771" t="s">
        <v>20</v>
      </c>
      <c r="I771" t="s">
        <v>20</v>
      </c>
      <c r="J771" t="s">
        <v>8</v>
      </c>
      <c r="K771" t="str">
        <f>VLOOKUP(tblSalaries[[#This Row],[Where do you work]],tblCountries[[Actual]:[Mapping]],2,FALSE)</f>
        <v>India</v>
      </c>
      <c r="L771" t="s">
        <v>13</v>
      </c>
      <c r="M771">
        <v>2.4</v>
      </c>
    </row>
    <row r="772" spans="2:13" ht="15" customHeight="1">
      <c r="B772" t="s">
        <v>2775</v>
      </c>
      <c r="C772" s="1">
        <v>41055.797164351854</v>
      </c>
      <c r="D772" s="4">
        <v>636000</v>
      </c>
      <c r="E772">
        <v>636000</v>
      </c>
      <c r="F772" t="s">
        <v>40</v>
      </c>
      <c r="G772">
        <f>tblSalaries[[#This Row],[clean Salary (in local currency)]]*VLOOKUP(tblSalaries[[#This Row],[Currency]],tblXrate[],2,FALSE)</f>
        <v>11325.835013213473</v>
      </c>
      <c r="H772" t="s">
        <v>564</v>
      </c>
      <c r="I772" t="s">
        <v>52</v>
      </c>
      <c r="J772" t="s">
        <v>8</v>
      </c>
      <c r="K772" t="str">
        <f>VLOOKUP(tblSalaries[[#This Row],[Where do you work]],tblCountries[[Actual]:[Mapping]],2,FALSE)</f>
        <v>India</v>
      </c>
      <c r="L772" t="s">
        <v>9</v>
      </c>
      <c r="M772">
        <v>7</v>
      </c>
    </row>
    <row r="773" spans="2:13" ht="15" customHeight="1">
      <c r="B773" t="s">
        <v>2776</v>
      </c>
      <c r="C773" s="1">
        <v>41055.801145833335</v>
      </c>
      <c r="D773" s="4" t="s">
        <v>899</v>
      </c>
      <c r="E773">
        <v>180000</v>
      </c>
      <c r="F773" t="s">
        <v>32</v>
      </c>
      <c r="G773">
        <f>tblSalaries[[#This Row],[clean Salary (in local currency)]]*VLOOKUP(tblSalaries[[#This Row],[Currency]],tblXrate[],2,FALSE)</f>
        <v>1910.5359690238436</v>
      </c>
      <c r="H773" t="s">
        <v>900</v>
      </c>
      <c r="I773" t="s">
        <v>3999</v>
      </c>
      <c r="J773" t="s">
        <v>17</v>
      </c>
      <c r="K773" t="str">
        <f>VLOOKUP(tblSalaries[[#This Row],[Where do you work]],tblCountries[[Actual]:[Mapping]],2,FALSE)</f>
        <v>Pakistan</v>
      </c>
      <c r="L773" t="s">
        <v>13</v>
      </c>
      <c r="M773">
        <v>7</v>
      </c>
    </row>
    <row r="774" spans="2:13" ht="15" customHeight="1">
      <c r="B774" t="s">
        <v>2777</v>
      </c>
      <c r="C774" s="1">
        <v>41055.807557870372</v>
      </c>
      <c r="D774" s="4" t="s">
        <v>901</v>
      </c>
      <c r="E774">
        <v>36000</v>
      </c>
      <c r="F774" t="s">
        <v>6</v>
      </c>
      <c r="G774">
        <f>tblSalaries[[#This Row],[clean Salary (in local currency)]]*VLOOKUP(tblSalaries[[#This Row],[Currency]],tblXrate[],2,FALSE)</f>
        <v>36000</v>
      </c>
      <c r="H774" t="s">
        <v>902</v>
      </c>
      <c r="I774" t="s">
        <v>52</v>
      </c>
      <c r="J774" t="s">
        <v>84</v>
      </c>
      <c r="K774" t="str">
        <f>VLOOKUP(tblSalaries[[#This Row],[Where do you work]],tblCountries[[Actual]:[Mapping]],2,FALSE)</f>
        <v>Australia</v>
      </c>
      <c r="L774" t="s">
        <v>18</v>
      </c>
      <c r="M774">
        <v>12</v>
      </c>
    </row>
    <row r="775" spans="2:13" ht="15" customHeight="1">
      <c r="B775" t="s">
        <v>2778</v>
      </c>
      <c r="C775" s="1">
        <v>41055.812071759261</v>
      </c>
      <c r="D775" s="4" t="s">
        <v>903</v>
      </c>
      <c r="E775">
        <v>2250000</v>
      </c>
      <c r="F775" t="s">
        <v>40</v>
      </c>
      <c r="G775">
        <f>tblSalaries[[#This Row],[clean Salary (in local currency)]]*VLOOKUP(tblSalaries[[#This Row],[Currency]],tblXrate[],2,FALSE)</f>
        <v>40067.812546745779</v>
      </c>
      <c r="H775" t="s">
        <v>904</v>
      </c>
      <c r="I775" t="s">
        <v>310</v>
      </c>
      <c r="J775" t="s">
        <v>8</v>
      </c>
      <c r="K775" t="str">
        <f>VLOOKUP(tblSalaries[[#This Row],[Where do you work]],tblCountries[[Actual]:[Mapping]],2,FALSE)</f>
        <v>India</v>
      </c>
      <c r="L775" t="s">
        <v>25</v>
      </c>
      <c r="M775">
        <v>5</v>
      </c>
    </row>
    <row r="776" spans="2:13" ht="15" customHeight="1">
      <c r="B776" t="s">
        <v>2779</v>
      </c>
      <c r="C776" s="1">
        <v>41055.812199074076</v>
      </c>
      <c r="D776" s="4">
        <v>16000</v>
      </c>
      <c r="E776">
        <v>16000</v>
      </c>
      <c r="F776" t="s">
        <v>6</v>
      </c>
      <c r="G776">
        <f>tblSalaries[[#This Row],[clean Salary (in local currency)]]*VLOOKUP(tblSalaries[[#This Row],[Currency]],tblXrate[],2,FALSE)</f>
        <v>16000</v>
      </c>
      <c r="H776" t="s">
        <v>905</v>
      </c>
      <c r="I776" t="s">
        <v>3999</v>
      </c>
      <c r="J776" t="s">
        <v>8</v>
      </c>
      <c r="K776" t="str">
        <f>VLOOKUP(tblSalaries[[#This Row],[Where do you work]],tblCountries[[Actual]:[Mapping]],2,FALSE)</f>
        <v>India</v>
      </c>
      <c r="L776" t="s">
        <v>13</v>
      </c>
      <c r="M776">
        <v>1</v>
      </c>
    </row>
    <row r="777" spans="2:13" ht="15" customHeight="1">
      <c r="B777" t="s">
        <v>2780</v>
      </c>
      <c r="C777" s="1">
        <v>41055.815416666665</v>
      </c>
      <c r="D777" s="4">
        <v>240000</v>
      </c>
      <c r="E777">
        <v>240000</v>
      </c>
      <c r="F777" t="s">
        <v>40</v>
      </c>
      <c r="G777">
        <f>tblSalaries[[#This Row],[clean Salary (in local currency)]]*VLOOKUP(tblSalaries[[#This Row],[Currency]],tblXrate[],2,FALSE)</f>
        <v>4273.9000049862161</v>
      </c>
      <c r="H777" t="s">
        <v>20</v>
      </c>
      <c r="I777" t="s">
        <v>20</v>
      </c>
      <c r="J777" t="s">
        <v>8</v>
      </c>
      <c r="K777" t="str">
        <f>VLOOKUP(tblSalaries[[#This Row],[Where do you work]],tblCountries[[Actual]:[Mapping]],2,FALSE)</f>
        <v>India</v>
      </c>
      <c r="L777" t="s">
        <v>13</v>
      </c>
      <c r="M777">
        <v>4</v>
      </c>
    </row>
    <row r="778" spans="2:13" ht="15" customHeight="1">
      <c r="B778" t="s">
        <v>2781</v>
      </c>
      <c r="C778" s="1">
        <v>41055.821944444448</v>
      </c>
      <c r="D778" s="4" t="s">
        <v>906</v>
      </c>
      <c r="E778">
        <v>400000</v>
      </c>
      <c r="F778" t="s">
        <v>40</v>
      </c>
      <c r="G778">
        <f>tblSalaries[[#This Row],[clean Salary (in local currency)]]*VLOOKUP(tblSalaries[[#This Row],[Currency]],tblXrate[],2,FALSE)</f>
        <v>7123.1666749770275</v>
      </c>
      <c r="H778" t="s">
        <v>622</v>
      </c>
      <c r="I778" t="s">
        <v>52</v>
      </c>
      <c r="J778" t="s">
        <v>8</v>
      </c>
      <c r="K778" t="str">
        <f>VLOOKUP(tblSalaries[[#This Row],[Where do you work]],tblCountries[[Actual]:[Mapping]],2,FALSE)</f>
        <v>India</v>
      </c>
      <c r="L778" t="s">
        <v>9</v>
      </c>
      <c r="M778">
        <v>7</v>
      </c>
    </row>
    <row r="779" spans="2:13" ht="15" customHeight="1">
      <c r="B779" t="s">
        <v>2782</v>
      </c>
      <c r="C779" s="1">
        <v>41055.839131944442</v>
      </c>
      <c r="D779" s="4">
        <v>10000</v>
      </c>
      <c r="E779">
        <v>10000</v>
      </c>
      <c r="F779" t="s">
        <v>6</v>
      </c>
      <c r="G779">
        <f>tblSalaries[[#This Row],[clean Salary (in local currency)]]*VLOOKUP(tblSalaries[[#This Row],[Currency]],tblXrate[],2,FALSE)</f>
        <v>10000</v>
      </c>
      <c r="H779" t="s">
        <v>907</v>
      </c>
      <c r="I779" t="s">
        <v>52</v>
      </c>
      <c r="J779" t="s">
        <v>8</v>
      </c>
      <c r="K779" t="str">
        <f>VLOOKUP(tblSalaries[[#This Row],[Where do you work]],tblCountries[[Actual]:[Mapping]],2,FALSE)</f>
        <v>India</v>
      </c>
      <c r="L779" t="s">
        <v>25</v>
      </c>
      <c r="M779">
        <v>12</v>
      </c>
    </row>
    <row r="780" spans="2:13" ht="15" customHeight="1">
      <c r="B780" t="s">
        <v>2783</v>
      </c>
      <c r="C780" s="1">
        <v>41055.844768518517</v>
      </c>
      <c r="D780" s="4" t="s">
        <v>908</v>
      </c>
      <c r="E780">
        <v>66000</v>
      </c>
      <c r="F780" t="s">
        <v>86</v>
      </c>
      <c r="G780">
        <f>tblSalaries[[#This Row],[clean Salary (in local currency)]]*VLOOKUP(tblSalaries[[#This Row],[Currency]],tblXrate[],2,FALSE)</f>
        <v>64901.860520001574</v>
      </c>
      <c r="H780" t="s">
        <v>909</v>
      </c>
      <c r="I780" t="s">
        <v>20</v>
      </c>
      <c r="J780" t="s">
        <v>88</v>
      </c>
      <c r="K780" t="str">
        <f>VLOOKUP(tblSalaries[[#This Row],[Where do you work]],tblCountries[[Actual]:[Mapping]],2,FALSE)</f>
        <v>Canada</v>
      </c>
      <c r="L780" t="s">
        <v>18</v>
      </c>
      <c r="M780">
        <v>20</v>
      </c>
    </row>
    <row r="781" spans="2:13" ht="15" customHeight="1">
      <c r="B781" t="s">
        <v>2784</v>
      </c>
      <c r="C781" s="1">
        <v>41055.846944444442</v>
      </c>
      <c r="D781" s="4">
        <v>65000</v>
      </c>
      <c r="E781">
        <v>65000</v>
      </c>
      <c r="F781" t="s">
        <v>6</v>
      </c>
      <c r="G781">
        <f>tblSalaries[[#This Row],[clean Salary (in local currency)]]*VLOOKUP(tblSalaries[[#This Row],[Currency]],tblXrate[],2,FALSE)</f>
        <v>65000</v>
      </c>
      <c r="H781" t="s">
        <v>910</v>
      </c>
      <c r="I781" t="s">
        <v>20</v>
      </c>
      <c r="J781" t="s">
        <v>15</v>
      </c>
      <c r="K781" t="str">
        <f>VLOOKUP(tblSalaries[[#This Row],[Where do you work]],tblCountries[[Actual]:[Mapping]],2,FALSE)</f>
        <v>USA</v>
      </c>
      <c r="L781" t="s">
        <v>18</v>
      </c>
      <c r="M781">
        <v>10</v>
      </c>
    </row>
    <row r="782" spans="2:13" ht="15" customHeight="1">
      <c r="B782" t="s">
        <v>2785</v>
      </c>
      <c r="C782" s="1">
        <v>41055.847615740742</v>
      </c>
      <c r="D782" s="4" t="s">
        <v>911</v>
      </c>
      <c r="E782">
        <v>450000</v>
      </c>
      <c r="F782" t="s">
        <v>40</v>
      </c>
      <c r="G782">
        <f>tblSalaries[[#This Row],[clean Salary (in local currency)]]*VLOOKUP(tblSalaries[[#This Row],[Currency]],tblXrate[],2,FALSE)</f>
        <v>8013.5625093491553</v>
      </c>
      <c r="H782" t="s">
        <v>912</v>
      </c>
      <c r="I782" t="s">
        <v>52</v>
      </c>
      <c r="J782" t="s">
        <v>8</v>
      </c>
      <c r="K782" t="str">
        <f>VLOOKUP(tblSalaries[[#This Row],[Where do you work]],tblCountries[[Actual]:[Mapping]],2,FALSE)</f>
        <v>India</v>
      </c>
      <c r="L782" t="s">
        <v>13</v>
      </c>
      <c r="M782">
        <v>1.5</v>
      </c>
    </row>
    <row r="783" spans="2:13" ht="15" customHeight="1">
      <c r="B783" t="s">
        <v>2786</v>
      </c>
      <c r="C783" s="1">
        <v>41055.852303240739</v>
      </c>
      <c r="D783" s="4">
        <v>100000</v>
      </c>
      <c r="E783">
        <v>100000</v>
      </c>
      <c r="F783" t="s">
        <v>86</v>
      </c>
      <c r="G783">
        <f>tblSalaries[[#This Row],[clean Salary (in local currency)]]*VLOOKUP(tblSalaries[[#This Row],[Currency]],tblXrate[],2,FALSE)</f>
        <v>98336.152303032693</v>
      </c>
      <c r="H783" t="s">
        <v>913</v>
      </c>
      <c r="I783" t="s">
        <v>4001</v>
      </c>
      <c r="J783" t="s">
        <v>88</v>
      </c>
      <c r="K783" t="str">
        <f>VLOOKUP(tblSalaries[[#This Row],[Where do you work]],tblCountries[[Actual]:[Mapping]],2,FALSE)</f>
        <v>Canada</v>
      </c>
      <c r="L783" t="s">
        <v>9</v>
      </c>
      <c r="M783">
        <v>5</v>
      </c>
    </row>
    <row r="784" spans="2:13" ht="15" customHeight="1">
      <c r="B784" t="s">
        <v>2787</v>
      </c>
      <c r="C784" s="1">
        <v>41055.855208333334</v>
      </c>
      <c r="D784" s="4" t="s">
        <v>914</v>
      </c>
      <c r="E784">
        <v>150000</v>
      </c>
      <c r="F784" t="s">
        <v>40</v>
      </c>
      <c r="G784">
        <f>tblSalaries[[#This Row],[clean Salary (in local currency)]]*VLOOKUP(tblSalaries[[#This Row],[Currency]],tblXrate[],2,FALSE)</f>
        <v>2671.1875031163854</v>
      </c>
      <c r="H784" t="s">
        <v>915</v>
      </c>
      <c r="I784" t="s">
        <v>20</v>
      </c>
      <c r="J784" t="s">
        <v>8</v>
      </c>
      <c r="K784" t="str">
        <f>VLOOKUP(tblSalaries[[#This Row],[Where do you work]],tblCountries[[Actual]:[Mapping]],2,FALSE)</f>
        <v>India</v>
      </c>
      <c r="L784" t="s">
        <v>9</v>
      </c>
      <c r="M784">
        <v>2</v>
      </c>
    </row>
    <row r="785" spans="2:13" ht="15" customHeight="1">
      <c r="B785" t="s">
        <v>2788</v>
      </c>
      <c r="C785" s="1">
        <v>41055.868136574078</v>
      </c>
      <c r="D785" s="4">
        <v>96000</v>
      </c>
      <c r="E785">
        <v>96000</v>
      </c>
      <c r="F785" t="s">
        <v>6</v>
      </c>
      <c r="G785">
        <f>tblSalaries[[#This Row],[clean Salary (in local currency)]]*VLOOKUP(tblSalaries[[#This Row],[Currency]],tblXrate[],2,FALSE)</f>
        <v>96000</v>
      </c>
      <c r="H785" t="s">
        <v>721</v>
      </c>
      <c r="I785" t="s">
        <v>3999</v>
      </c>
      <c r="J785" t="s">
        <v>8</v>
      </c>
      <c r="K785" t="str">
        <f>VLOOKUP(tblSalaries[[#This Row],[Where do you work]],tblCountries[[Actual]:[Mapping]],2,FALSE)</f>
        <v>India</v>
      </c>
      <c r="L785" t="s">
        <v>13</v>
      </c>
      <c r="M785">
        <v>8</v>
      </c>
    </row>
    <row r="786" spans="2:13" ht="15" customHeight="1">
      <c r="B786" t="s">
        <v>2789</v>
      </c>
      <c r="C786" s="1">
        <v>41055.873067129629</v>
      </c>
      <c r="D786" s="4" t="s">
        <v>916</v>
      </c>
      <c r="E786">
        <v>1152000</v>
      </c>
      <c r="F786" t="s">
        <v>40</v>
      </c>
      <c r="G786">
        <f>tblSalaries[[#This Row],[clean Salary (in local currency)]]*VLOOKUP(tblSalaries[[#This Row],[Currency]],tblXrate[],2,FALSE)</f>
        <v>20514.720023933838</v>
      </c>
      <c r="H786" t="s">
        <v>917</v>
      </c>
      <c r="I786" t="s">
        <v>310</v>
      </c>
      <c r="J786" t="s">
        <v>8</v>
      </c>
      <c r="K786" t="str">
        <f>VLOOKUP(tblSalaries[[#This Row],[Where do you work]],tblCountries[[Actual]:[Mapping]],2,FALSE)</f>
        <v>India</v>
      </c>
      <c r="L786" t="s">
        <v>9</v>
      </c>
      <c r="M786">
        <v>6</v>
      </c>
    </row>
    <row r="787" spans="2:13" ht="15" customHeight="1">
      <c r="B787" t="s">
        <v>2790</v>
      </c>
      <c r="C787" s="1">
        <v>41055.873113425929</v>
      </c>
      <c r="D787" s="4">
        <v>15000</v>
      </c>
      <c r="E787">
        <v>15000</v>
      </c>
      <c r="F787" t="s">
        <v>22</v>
      </c>
      <c r="G787">
        <f>tblSalaries[[#This Row],[clean Salary (in local currency)]]*VLOOKUP(tblSalaries[[#This Row],[Currency]],tblXrate[],2,FALSE)</f>
        <v>19055.991584874118</v>
      </c>
      <c r="H787" t="s">
        <v>918</v>
      </c>
      <c r="I787" t="s">
        <v>20</v>
      </c>
      <c r="J787" t="s">
        <v>608</v>
      </c>
      <c r="K787" t="str">
        <f>VLOOKUP(tblSalaries[[#This Row],[Where do you work]],tblCountries[[Actual]:[Mapping]],2,FALSE)</f>
        <v>Spain</v>
      </c>
      <c r="L787" t="s">
        <v>18</v>
      </c>
      <c r="M787">
        <v>10</v>
      </c>
    </row>
    <row r="788" spans="2:13" ht="15" customHeight="1">
      <c r="B788" t="s">
        <v>2791</v>
      </c>
      <c r="C788" s="1">
        <v>41055.875462962962</v>
      </c>
      <c r="D788" s="4" t="s">
        <v>919</v>
      </c>
      <c r="E788">
        <v>65000</v>
      </c>
      <c r="F788" t="s">
        <v>82</v>
      </c>
      <c r="G788">
        <f>tblSalaries[[#This Row],[clean Salary (in local currency)]]*VLOOKUP(tblSalaries[[#This Row],[Currency]],tblXrate[],2,FALSE)</f>
        <v>66294.12766617132</v>
      </c>
      <c r="H788" t="s">
        <v>920</v>
      </c>
      <c r="I788" t="s">
        <v>20</v>
      </c>
      <c r="J788" t="s">
        <v>84</v>
      </c>
      <c r="K788" t="str">
        <f>VLOOKUP(tblSalaries[[#This Row],[Where do you work]],tblCountries[[Actual]:[Mapping]],2,FALSE)</f>
        <v>Australia</v>
      </c>
      <c r="L788" t="s">
        <v>13</v>
      </c>
      <c r="M788">
        <v>10</v>
      </c>
    </row>
    <row r="789" spans="2:13" ht="15" customHeight="1">
      <c r="B789" t="s">
        <v>2792</v>
      </c>
      <c r="C789" s="1">
        <v>41055.878877314812</v>
      </c>
      <c r="D789" s="4" t="s">
        <v>921</v>
      </c>
      <c r="E789">
        <v>377000</v>
      </c>
      <c r="F789" t="s">
        <v>40</v>
      </c>
      <c r="G789">
        <f>tblSalaries[[#This Row],[clean Salary (in local currency)]]*VLOOKUP(tblSalaries[[#This Row],[Currency]],tblXrate[],2,FALSE)</f>
        <v>6713.584591165848</v>
      </c>
      <c r="H789" t="s">
        <v>922</v>
      </c>
      <c r="I789" t="s">
        <v>20</v>
      </c>
      <c r="J789" t="s">
        <v>8</v>
      </c>
      <c r="K789" t="str">
        <f>VLOOKUP(tblSalaries[[#This Row],[Where do you work]],tblCountries[[Actual]:[Mapping]],2,FALSE)</f>
        <v>India</v>
      </c>
      <c r="L789" t="s">
        <v>25</v>
      </c>
      <c r="M789">
        <v>7</v>
      </c>
    </row>
    <row r="790" spans="2:13" ht="15" customHeight="1">
      <c r="B790" t="s">
        <v>2793</v>
      </c>
      <c r="C790" s="1">
        <v>41055.880023148151</v>
      </c>
      <c r="D790" s="4" t="s">
        <v>400</v>
      </c>
      <c r="E790">
        <v>29000</v>
      </c>
      <c r="F790" t="s">
        <v>69</v>
      </c>
      <c r="G790">
        <f>tblSalaries[[#This Row],[clean Salary (in local currency)]]*VLOOKUP(tblSalaries[[#This Row],[Currency]],tblXrate[],2,FALSE)</f>
        <v>45709.169889951241</v>
      </c>
      <c r="H790" t="s">
        <v>923</v>
      </c>
      <c r="I790" t="s">
        <v>3999</v>
      </c>
      <c r="J790" t="s">
        <v>71</v>
      </c>
      <c r="K790" t="str">
        <f>VLOOKUP(tblSalaries[[#This Row],[Where do you work]],tblCountries[[Actual]:[Mapping]],2,FALSE)</f>
        <v>UK</v>
      </c>
      <c r="L790" t="s">
        <v>18</v>
      </c>
      <c r="M790">
        <v>15</v>
      </c>
    </row>
    <row r="791" spans="2:13" ht="15" customHeight="1">
      <c r="B791" t="s">
        <v>2794</v>
      </c>
      <c r="C791" s="1">
        <v>41055.882175925923</v>
      </c>
      <c r="D791" s="4">
        <v>48500</v>
      </c>
      <c r="E791">
        <v>48500</v>
      </c>
      <c r="F791" t="s">
        <v>6</v>
      </c>
      <c r="G791">
        <f>tblSalaries[[#This Row],[clean Salary (in local currency)]]*VLOOKUP(tblSalaries[[#This Row],[Currency]],tblXrate[],2,FALSE)</f>
        <v>48500</v>
      </c>
      <c r="H791" t="s">
        <v>924</v>
      </c>
      <c r="I791" t="s">
        <v>52</v>
      </c>
      <c r="J791" t="s">
        <v>15</v>
      </c>
      <c r="K791" t="str">
        <f>VLOOKUP(tblSalaries[[#This Row],[Where do you work]],tblCountries[[Actual]:[Mapping]],2,FALSE)</f>
        <v>USA</v>
      </c>
      <c r="L791" t="s">
        <v>18</v>
      </c>
      <c r="M791">
        <v>10</v>
      </c>
    </row>
    <row r="792" spans="2:13" ht="15" customHeight="1">
      <c r="B792" t="s">
        <v>2795</v>
      </c>
      <c r="C792" s="1">
        <v>41055.884050925924</v>
      </c>
      <c r="D792" s="4">
        <v>600000</v>
      </c>
      <c r="E792">
        <v>600000</v>
      </c>
      <c r="F792" t="s">
        <v>40</v>
      </c>
      <c r="G792">
        <f>tblSalaries[[#This Row],[clean Salary (in local currency)]]*VLOOKUP(tblSalaries[[#This Row],[Currency]],tblXrate[],2,FALSE)</f>
        <v>10684.750012465542</v>
      </c>
      <c r="H792" t="s">
        <v>7</v>
      </c>
      <c r="I792" t="s">
        <v>20</v>
      </c>
      <c r="J792" t="s">
        <v>8</v>
      </c>
      <c r="K792" t="str">
        <f>VLOOKUP(tblSalaries[[#This Row],[Where do you work]],tblCountries[[Actual]:[Mapping]],2,FALSE)</f>
        <v>India</v>
      </c>
      <c r="L792" t="s">
        <v>13</v>
      </c>
      <c r="M792">
        <v>4</v>
      </c>
    </row>
    <row r="793" spans="2:13" ht="15" customHeight="1">
      <c r="B793" t="s">
        <v>2796</v>
      </c>
      <c r="C793" s="1">
        <v>41055.884618055556</v>
      </c>
      <c r="D793" s="4">
        <v>33900</v>
      </c>
      <c r="E793">
        <v>33900</v>
      </c>
      <c r="F793" t="s">
        <v>6</v>
      </c>
      <c r="G793">
        <f>tblSalaries[[#This Row],[clean Salary (in local currency)]]*VLOOKUP(tblSalaries[[#This Row],[Currency]],tblXrate[],2,FALSE)</f>
        <v>33900</v>
      </c>
      <c r="H793" t="s">
        <v>263</v>
      </c>
      <c r="I793" t="s">
        <v>20</v>
      </c>
      <c r="J793" t="s">
        <v>15</v>
      </c>
      <c r="K793" t="str">
        <f>VLOOKUP(tblSalaries[[#This Row],[Where do you work]],tblCountries[[Actual]:[Mapping]],2,FALSE)</f>
        <v>USA</v>
      </c>
      <c r="L793" t="s">
        <v>18</v>
      </c>
      <c r="M793">
        <v>10</v>
      </c>
    </row>
    <row r="794" spans="2:13" ht="15" customHeight="1">
      <c r="B794" t="s">
        <v>2797</v>
      </c>
      <c r="C794" s="1">
        <v>41055.892118055555</v>
      </c>
      <c r="D794" s="4" t="s">
        <v>925</v>
      </c>
      <c r="E794">
        <v>900000</v>
      </c>
      <c r="F794" t="s">
        <v>585</v>
      </c>
      <c r="G794">
        <f>tblSalaries[[#This Row],[clean Salary (in local currency)]]*VLOOKUP(tblSalaries[[#This Row],[Currency]],tblXrate[],2,FALSE)</f>
        <v>109729.60187662003</v>
      </c>
      <c r="H794" t="s">
        <v>207</v>
      </c>
      <c r="I794" t="s">
        <v>20</v>
      </c>
      <c r="J794" t="s">
        <v>48</v>
      </c>
      <c r="K794" t="str">
        <f>VLOOKUP(tblSalaries[[#This Row],[Where do you work]],tblCountries[[Actual]:[Mapping]],2,FALSE)</f>
        <v>South Africa</v>
      </c>
      <c r="L794" t="s">
        <v>13</v>
      </c>
      <c r="M794">
        <v>40</v>
      </c>
    </row>
    <row r="795" spans="2:13" ht="15" customHeight="1">
      <c r="B795" t="s">
        <v>2798</v>
      </c>
      <c r="C795" s="1">
        <v>41055.893761574072</v>
      </c>
      <c r="D795" s="4">
        <v>850000</v>
      </c>
      <c r="E795">
        <v>850000</v>
      </c>
      <c r="F795" t="s">
        <v>40</v>
      </c>
      <c r="G795">
        <f>tblSalaries[[#This Row],[clean Salary (in local currency)]]*VLOOKUP(tblSalaries[[#This Row],[Currency]],tblXrate[],2,FALSE)</f>
        <v>15136.729184326183</v>
      </c>
      <c r="H795" t="s">
        <v>926</v>
      </c>
      <c r="I795" t="s">
        <v>20</v>
      </c>
      <c r="J795" t="s">
        <v>8</v>
      </c>
      <c r="K795" t="str">
        <f>VLOOKUP(tblSalaries[[#This Row],[Where do you work]],tblCountries[[Actual]:[Mapping]],2,FALSE)</f>
        <v>India</v>
      </c>
      <c r="L795" t="s">
        <v>9</v>
      </c>
      <c r="M795">
        <v>2</v>
      </c>
    </row>
    <row r="796" spans="2:13" ht="15" customHeight="1">
      <c r="B796" t="s">
        <v>2799</v>
      </c>
      <c r="C796" s="1">
        <v>41055.893946759257</v>
      </c>
      <c r="D796" s="4">
        <v>85000</v>
      </c>
      <c r="E796">
        <v>85000</v>
      </c>
      <c r="F796" t="s">
        <v>6</v>
      </c>
      <c r="G796">
        <f>tblSalaries[[#This Row],[clean Salary (in local currency)]]*VLOOKUP(tblSalaries[[#This Row],[Currency]],tblXrate[],2,FALSE)</f>
        <v>85000</v>
      </c>
      <c r="H796" t="s">
        <v>927</v>
      </c>
      <c r="I796" t="s">
        <v>4001</v>
      </c>
      <c r="J796" t="s">
        <v>15</v>
      </c>
      <c r="K796" t="str">
        <f>VLOOKUP(tblSalaries[[#This Row],[Where do you work]],tblCountries[[Actual]:[Mapping]],2,FALSE)</f>
        <v>USA</v>
      </c>
      <c r="L796" t="s">
        <v>9</v>
      </c>
      <c r="M796">
        <v>15</v>
      </c>
    </row>
    <row r="797" spans="2:13" ht="15" customHeight="1">
      <c r="B797" t="s">
        <v>2800</v>
      </c>
      <c r="C797" s="1">
        <v>41055.903344907405</v>
      </c>
      <c r="D797" s="4" t="s">
        <v>928</v>
      </c>
      <c r="E797">
        <v>450000</v>
      </c>
      <c r="F797" t="s">
        <v>40</v>
      </c>
      <c r="G797">
        <f>tblSalaries[[#This Row],[clean Salary (in local currency)]]*VLOOKUP(tblSalaries[[#This Row],[Currency]],tblXrate[],2,FALSE)</f>
        <v>8013.5625093491553</v>
      </c>
      <c r="H797" t="s">
        <v>929</v>
      </c>
      <c r="I797" t="s">
        <v>52</v>
      </c>
      <c r="J797" t="s">
        <v>8</v>
      </c>
      <c r="K797" t="str">
        <f>VLOOKUP(tblSalaries[[#This Row],[Where do you work]],tblCountries[[Actual]:[Mapping]],2,FALSE)</f>
        <v>India</v>
      </c>
      <c r="L797" t="s">
        <v>9</v>
      </c>
      <c r="M797">
        <v>6</v>
      </c>
    </row>
    <row r="798" spans="2:13" ht="15" customHeight="1">
      <c r="B798" t="s">
        <v>2801</v>
      </c>
      <c r="C798" s="1">
        <v>41055.905486111114</v>
      </c>
      <c r="D798" s="4">
        <v>48000</v>
      </c>
      <c r="E798">
        <v>48000</v>
      </c>
      <c r="F798" t="s">
        <v>6</v>
      </c>
      <c r="G798">
        <f>tblSalaries[[#This Row],[clean Salary (in local currency)]]*VLOOKUP(tblSalaries[[#This Row],[Currency]],tblXrate[],2,FALSE)</f>
        <v>48000</v>
      </c>
      <c r="H798" t="s">
        <v>930</v>
      </c>
      <c r="I798" t="s">
        <v>52</v>
      </c>
      <c r="J798" t="s">
        <v>15</v>
      </c>
      <c r="K798" t="str">
        <f>VLOOKUP(tblSalaries[[#This Row],[Where do you work]],tblCountries[[Actual]:[Mapping]],2,FALSE)</f>
        <v>USA</v>
      </c>
      <c r="L798" t="s">
        <v>18</v>
      </c>
      <c r="M798">
        <v>16</v>
      </c>
    </row>
    <row r="799" spans="2:13" ht="15" customHeight="1">
      <c r="B799" t="s">
        <v>2802</v>
      </c>
      <c r="C799" s="1">
        <v>41055.914305555554</v>
      </c>
      <c r="D799" s="4">
        <v>170000</v>
      </c>
      <c r="E799">
        <v>170000</v>
      </c>
      <c r="F799" t="s">
        <v>40</v>
      </c>
      <c r="G799">
        <f>tblSalaries[[#This Row],[clean Salary (in local currency)]]*VLOOKUP(tblSalaries[[#This Row],[Currency]],tblXrate[],2,FALSE)</f>
        <v>3027.3458368652364</v>
      </c>
      <c r="H799" t="s">
        <v>931</v>
      </c>
      <c r="I799" t="s">
        <v>3999</v>
      </c>
      <c r="J799" t="s">
        <v>8</v>
      </c>
      <c r="K799" t="str">
        <f>VLOOKUP(tblSalaries[[#This Row],[Where do you work]],tblCountries[[Actual]:[Mapping]],2,FALSE)</f>
        <v>India</v>
      </c>
      <c r="L799" t="s">
        <v>9</v>
      </c>
      <c r="M799">
        <v>2</v>
      </c>
    </row>
    <row r="800" spans="2:13" ht="15" customHeight="1">
      <c r="B800" t="s">
        <v>2803</v>
      </c>
      <c r="C800" s="1">
        <v>41055.914456018516</v>
      </c>
      <c r="D800" s="4">
        <v>13100</v>
      </c>
      <c r="E800">
        <v>13100</v>
      </c>
      <c r="F800" t="s">
        <v>6</v>
      </c>
      <c r="G800">
        <f>tblSalaries[[#This Row],[clean Salary (in local currency)]]*VLOOKUP(tblSalaries[[#This Row],[Currency]],tblXrate[],2,FALSE)</f>
        <v>13100</v>
      </c>
      <c r="H800" t="s">
        <v>932</v>
      </c>
      <c r="I800" t="s">
        <v>310</v>
      </c>
      <c r="J800" t="s">
        <v>8</v>
      </c>
      <c r="K800" t="str">
        <f>VLOOKUP(tblSalaries[[#This Row],[Where do you work]],tblCountries[[Actual]:[Mapping]],2,FALSE)</f>
        <v>India</v>
      </c>
      <c r="L800" t="s">
        <v>18</v>
      </c>
      <c r="M800">
        <v>5</v>
      </c>
    </row>
    <row r="801" spans="2:13" ht="15" customHeight="1">
      <c r="B801" t="s">
        <v>2804</v>
      </c>
      <c r="C801" s="1">
        <v>41055.918668981481</v>
      </c>
      <c r="D801" s="4">
        <v>5000</v>
      </c>
      <c r="E801">
        <v>60000</v>
      </c>
      <c r="F801" t="s">
        <v>6</v>
      </c>
      <c r="G801">
        <f>tblSalaries[[#This Row],[clean Salary (in local currency)]]*VLOOKUP(tblSalaries[[#This Row],[Currency]],tblXrate[],2,FALSE)</f>
        <v>60000</v>
      </c>
      <c r="H801" t="s">
        <v>815</v>
      </c>
      <c r="I801" t="s">
        <v>52</v>
      </c>
      <c r="J801" t="s">
        <v>179</v>
      </c>
      <c r="K801" t="str">
        <f>VLOOKUP(tblSalaries[[#This Row],[Where do you work]],tblCountries[[Actual]:[Mapping]],2,FALSE)</f>
        <v>UAE</v>
      </c>
      <c r="L801" t="s">
        <v>18</v>
      </c>
      <c r="M801">
        <v>15</v>
      </c>
    </row>
    <row r="802" spans="2:13" ht="15" customHeight="1">
      <c r="B802" t="s">
        <v>2805</v>
      </c>
      <c r="C802" s="1">
        <v>41055.921979166669</v>
      </c>
      <c r="D802" s="4" t="s">
        <v>933</v>
      </c>
      <c r="E802">
        <v>24000</v>
      </c>
      <c r="F802" t="s">
        <v>6</v>
      </c>
      <c r="G802">
        <f>tblSalaries[[#This Row],[clean Salary (in local currency)]]*VLOOKUP(tblSalaries[[#This Row],[Currency]],tblXrate[],2,FALSE)</f>
        <v>24000</v>
      </c>
      <c r="H802" t="s">
        <v>934</v>
      </c>
      <c r="I802" t="s">
        <v>52</v>
      </c>
      <c r="J802" t="s">
        <v>935</v>
      </c>
      <c r="K802" t="str">
        <f>VLOOKUP(tblSalaries[[#This Row],[Where do you work]],tblCountries[[Actual]:[Mapping]],2,FALSE)</f>
        <v>Croatia</v>
      </c>
      <c r="L802" t="s">
        <v>18</v>
      </c>
      <c r="M802">
        <v>5</v>
      </c>
    </row>
    <row r="803" spans="2:13" ht="15" customHeight="1">
      <c r="B803" t="s">
        <v>2806</v>
      </c>
      <c r="C803" s="1">
        <v>41055.92287037037</v>
      </c>
      <c r="D803" s="4" t="s">
        <v>936</v>
      </c>
      <c r="E803">
        <v>240000</v>
      </c>
      <c r="F803" t="s">
        <v>40</v>
      </c>
      <c r="G803">
        <f>tblSalaries[[#This Row],[clean Salary (in local currency)]]*VLOOKUP(tblSalaries[[#This Row],[Currency]],tblXrate[],2,FALSE)</f>
        <v>4273.9000049862161</v>
      </c>
      <c r="H803" t="s">
        <v>755</v>
      </c>
      <c r="I803" t="s">
        <v>52</v>
      </c>
      <c r="J803" t="s">
        <v>8</v>
      </c>
      <c r="K803" t="str">
        <f>VLOOKUP(tblSalaries[[#This Row],[Where do you work]],tblCountries[[Actual]:[Mapping]],2,FALSE)</f>
        <v>India</v>
      </c>
      <c r="L803" t="s">
        <v>18</v>
      </c>
      <c r="M803">
        <v>3</v>
      </c>
    </row>
    <row r="804" spans="2:13" ht="15" customHeight="1">
      <c r="B804" t="s">
        <v>2807</v>
      </c>
      <c r="C804" s="1">
        <v>41055.927893518521</v>
      </c>
      <c r="D804" s="4" t="s">
        <v>937</v>
      </c>
      <c r="E804">
        <v>650000</v>
      </c>
      <c r="F804" t="s">
        <v>40</v>
      </c>
      <c r="G804">
        <f>tblSalaries[[#This Row],[clean Salary (in local currency)]]*VLOOKUP(tblSalaries[[#This Row],[Currency]],tblXrate[],2,FALSE)</f>
        <v>11575.14584683767</v>
      </c>
      <c r="H804" t="s">
        <v>938</v>
      </c>
      <c r="I804" t="s">
        <v>52</v>
      </c>
      <c r="J804" t="s">
        <v>8</v>
      </c>
      <c r="K804" t="str">
        <f>VLOOKUP(tblSalaries[[#This Row],[Where do you work]],tblCountries[[Actual]:[Mapping]],2,FALSE)</f>
        <v>India</v>
      </c>
      <c r="L804" t="s">
        <v>18</v>
      </c>
      <c r="M804">
        <v>5</v>
      </c>
    </row>
    <row r="805" spans="2:13" ht="15" customHeight="1">
      <c r="B805" t="s">
        <v>2808</v>
      </c>
      <c r="C805" s="1">
        <v>41055.932615740741</v>
      </c>
      <c r="D805" s="4">
        <v>95000</v>
      </c>
      <c r="E805">
        <v>95000</v>
      </c>
      <c r="F805" t="s">
        <v>6</v>
      </c>
      <c r="G805">
        <f>tblSalaries[[#This Row],[clean Salary (in local currency)]]*VLOOKUP(tblSalaries[[#This Row],[Currency]],tblXrate[],2,FALSE)</f>
        <v>95000</v>
      </c>
      <c r="H805" t="s">
        <v>207</v>
      </c>
      <c r="I805" t="s">
        <v>20</v>
      </c>
      <c r="J805" t="s">
        <v>15</v>
      </c>
      <c r="K805" t="str">
        <f>VLOOKUP(tblSalaries[[#This Row],[Where do you work]],tblCountries[[Actual]:[Mapping]],2,FALSE)</f>
        <v>USA</v>
      </c>
      <c r="L805" t="s">
        <v>18</v>
      </c>
      <c r="M805">
        <v>13</v>
      </c>
    </row>
    <row r="806" spans="2:13" ht="15" customHeight="1">
      <c r="B806" t="s">
        <v>2809</v>
      </c>
      <c r="C806" s="1">
        <v>41055.933078703703</v>
      </c>
      <c r="D806" s="4">
        <v>516000</v>
      </c>
      <c r="E806">
        <v>516000</v>
      </c>
      <c r="F806" t="s">
        <v>40</v>
      </c>
      <c r="G806">
        <f>tblSalaries[[#This Row],[clean Salary (in local currency)]]*VLOOKUP(tblSalaries[[#This Row],[Currency]],tblXrate[],2,FALSE)</f>
        <v>9188.8850107203652</v>
      </c>
      <c r="H806" t="s">
        <v>939</v>
      </c>
      <c r="I806" t="s">
        <v>52</v>
      </c>
      <c r="J806" t="s">
        <v>8</v>
      </c>
      <c r="K806" t="str">
        <f>VLOOKUP(tblSalaries[[#This Row],[Where do you work]],tblCountries[[Actual]:[Mapping]],2,FALSE)</f>
        <v>India</v>
      </c>
      <c r="L806" t="s">
        <v>9</v>
      </c>
      <c r="M806">
        <v>0</v>
      </c>
    </row>
    <row r="807" spans="2:13" ht="15" customHeight="1">
      <c r="B807" t="s">
        <v>2810</v>
      </c>
      <c r="C807" s="1">
        <v>41055.936990740738</v>
      </c>
      <c r="D807" s="4" t="s">
        <v>940</v>
      </c>
      <c r="E807">
        <v>504000</v>
      </c>
      <c r="F807" t="s">
        <v>40</v>
      </c>
      <c r="G807">
        <f>tblSalaries[[#This Row],[clean Salary (in local currency)]]*VLOOKUP(tblSalaries[[#This Row],[Currency]],tblXrate[],2,FALSE)</f>
        <v>8975.1900104710548</v>
      </c>
      <c r="H807" t="s">
        <v>941</v>
      </c>
      <c r="I807" t="s">
        <v>52</v>
      </c>
      <c r="J807" t="s">
        <v>8</v>
      </c>
      <c r="K807" t="str">
        <f>VLOOKUP(tblSalaries[[#This Row],[Where do you work]],tblCountries[[Actual]:[Mapping]],2,FALSE)</f>
        <v>India</v>
      </c>
      <c r="L807" t="s">
        <v>13</v>
      </c>
      <c r="M807">
        <v>3</v>
      </c>
    </row>
    <row r="808" spans="2:13" ht="15" customHeight="1">
      <c r="B808" t="s">
        <v>2811</v>
      </c>
      <c r="C808" s="1">
        <v>41055.937048611115</v>
      </c>
      <c r="D808" s="4">
        <v>144000</v>
      </c>
      <c r="E808">
        <v>144000</v>
      </c>
      <c r="F808" t="s">
        <v>40</v>
      </c>
      <c r="G808">
        <f>tblSalaries[[#This Row],[clean Salary (in local currency)]]*VLOOKUP(tblSalaries[[#This Row],[Currency]],tblXrate[],2,FALSE)</f>
        <v>2564.3400029917298</v>
      </c>
      <c r="H808" t="s">
        <v>942</v>
      </c>
      <c r="I808" t="s">
        <v>20</v>
      </c>
      <c r="J808" t="s">
        <v>8</v>
      </c>
      <c r="K808" t="str">
        <f>VLOOKUP(tblSalaries[[#This Row],[Where do you work]],tblCountries[[Actual]:[Mapping]],2,FALSE)</f>
        <v>India</v>
      </c>
      <c r="L808" t="s">
        <v>13</v>
      </c>
      <c r="M808">
        <v>1</v>
      </c>
    </row>
    <row r="809" spans="2:13" ht="15" customHeight="1">
      <c r="B809" t="s">
        <v>2812</v>
      </c>
      <c r="C809" s="1">
        <v>41055.946655092594</v>
      </c>
      <c r="D809" s="4" t="s">
        <v>943</v>
      </c>
      <c r="E809">
        <v>55000</v>
      </c>
      <c r="F809" t="s">
        <v>69</v>
      </c>
      <c r="G809">
        <f>tblSalaries[[#This Row],[clean Salary (in local currency)]]*VLOOKUP(tblSalaries[[#This Row],[Currency]],tblXrate[],2,FALSE)</f>
        <v>86689.804963700633</v>
      </c>
      <c r="H809" t="s">
        <v>944</v>
      </c>
      <c r="I809" t="s">
        <v>488</v>
      </c>
      <c r="J809" t="s">
        <v>71</v>
      </c>
      <c r="K809" t="str">
        <f>VLOOKUP(tblSalaries[[#This Row],[Where do you work]],tblCountries[[Actual]:[Mapping]],2,FALSE)</f>
        <v>UK</v>
      </c>
      <c r="L809" t="s">
        <v>9</v>
      </c>
      <c r="M809">
        <v>12</v>
      </c>
    </row>
    <row r="810" spans="2:13" ht="15" customHeight="1">
      <c r="B810" t="s">
        <v>2813</v>
      </c>
      <c r="C810" s="1">
        <v>41055.946666666663</v>
      </c>
      <c r="D810" s="4">
        <v>15500</v>
      </c>
      <c r="E810">
        <v>15500</v>
      </c>
      <c r="F810" t="s">
        <v>6</v>
      </c>
      <c r="G810">
        <f>tblSalaries[[#This Row],[clean Salary (in local currency)]]*VLOOKUP(tblSalaries[[#This Row],[Currency]],tblXrate[],2,FALSE)</f>
        <v>15500</v>
      </c>
      <c r="H810" t="s">
        <v>279</v>
      </c>
      <c r="I810" t="s">
        <v>279</v>
      </c>
      <c r="J810" t="s">
        <v>8</v>
      </c>
      <c r="K810" t="str">
        <f>VLOOKUP(tblSalaries[[#This Row],[Where do you work]],tblCountries[[Actual]:[Mapping]],2,FALSE)</f>
        <v>India</v>
      </c>
      <c r="L810" t="s">
        <v>25</v>
      </c>
      <c r="M810">
        <v>3</v>
      </c>
    </row>
    <row r="811" spans="2:13" ht="15" customHeight="1">
      <c r="B811" t="s">
        <v>2814</v>
      </c>
      <c r="C811" s="1">
        <v>41055.948078703703</v>
      </c>
      <c r="D811" s="4" t="s">
        <v>945</v>
      </c>
      <c r="E811">
        <v>300000</v>
      </c>
      <c r="F811" t="s">
        <v>3900</v>
      </c>
      <c r="G811">
        <f>tblSalaries[[#This Row],[clean Salary (in local currency)]]*VLOOKUP(tblSalaries[[#This Row],[Currency]],tblXrate[],2,FALSE)</f>
        <v>148284.35006969364</v>
      </c>
      <c r="H811" t="s">
        <v>946</v>
      </c>
      <c r="I811" t="s">
        <v>20</v>
      </c>
      <c r="J811" t="s">
        <v>143</v>
      </c>
      <c r="K811" t="str">
        <f>VLOOKUP(tblSalaries[[#This Row],[Where do you work]],tblCountries[[Actual]:[Mapping]],2,FALSE)</f>
        <v>Brazil</v>
      </c>
      <c r="L811" t="s">
        <v>13</v>
      </c>
      <c r="M811">
        <v>3</v>
      </c>
    </row>
    <row r="812" spans="2:13" ht="15" customHeight="1">
      <c r="B812" t="s">
        <v>2815</v>
      </c>
      <c r="C812" s="1">
        <v>41055.950127314813</v>
      </c>
      <c r="D812" s="4">
        <v>600000</v>
      </c>
      <c r="E812">
        <v>600000</v>
      </c>
      <c r="F812" t="s">
        <v>40</v>
      </c>
      <c r="G812">
        <f>tblSalaries[[#This Row],[clean Salary (in local currency)]]*VLOOKUP(tblSalaries[[#This Row],[Currency]],tblXrate[],2,FALSE)</f>
        <v>10684.750012465542</v>
      </c>
      <c r="H812" t="s">
        <v>855</v>
      </c>
      <c r="I812" t="s">
        <v>20</v>
      </c>
      <c r="J812" t="s">
        <v>8</v>
      </c>
      <c r="K812" t="str">
        <f>VLOOKUP(tblSalaries[[#This Row],[Where do you work]],tblCountries[[Actual]:[Mapping]],2,FALSE)</f>
        <v>India</v>
      </c>
      <c r="L812" t="s">
        <v>13</v>
      </c>
      <c r="M812">
        <v>5</v>
      </c>
    </row>
    <row r="813" spans="2:13" ht="15" customHeight="1">
      <c r="B813" t="s">
        <v>2816</v>
      </c>
      <c r="C813" s="1">
        <v>41055.95108796296</v>
      </c>
      <c r="D813" s="4">
        <v>75000</v>
      </c>
      <c r="E813">
        <v>75000</v>
      </c>
      <c r="F813" t="s">
        <v>6</v>
      </c>
      <c r="G813">
        <f>tblSalaries[[#This Row],[clean Salary (in local currency)]]*VLOOKUP(tblSalaries[[#This Row],[Currency]],tblXrate[],2,FALSE)</f>
        <v>75000</v>
      </c>
      <c r="H813" t="s">
        <v>947</v>
      </c>
      <c r="I813" t="s">
        <v>20</v>
      </c>
      <c r="J813" t="s">
        <v>15</v>
      </c>
      <c r="K813" t="str">
        <f>VLOOKUP(tblSalaries[[#This Row],[Where do you work]],tblCountries[[Actual]:[Mapping]],2,FALSE)</f>
        <v>USA</v>
      </c>
      <c r="L813" t="s">
        <v>18</v>
      </c>
      <c r="M813">
        <v>27</v>
      </c>
    </row>
    <row r="814" spans="2:13" ht="15" customHeight="1">
      <c r="B814" t="s">
        <v>2817</v>
      </c>
      <c r="C814" s="1">
        <v>41055.953877314816</v>
      </c>
      <c r="D814" s="4" t="s">
        <v>948</v>
      </c>
      <c r="E814">
        <v>12000</v>
      </c>
      <c r="F814" t="s">
        <v>6</v>
      </c>
      <c r="G814">
        <f>tblSalaries[[#This Row],[clean Salary (in local currency)]]*VLOOKUP(tblSalaries[[#This Row],[Currency]],tblXrate[],2,FALSE)</f>
        <v>12000</v>
      </c>
      <c r="H814" t="s">
        <v>949</v>
      </c>
      <c r="I814" t="s">
        <v>52</v>
      </c>
      <c r="J814" t="s">
        <v>27</v>
      </c>
      <c r="K814" t="str">
        <f>VLOOKUP(tblSalaries[[#This Row],[Where do you work]],tblCountries[[Actual]:[Mapping]],2,FALSE)</f>
        <v>Ukraine</v>
      </c>
      <c r="L814" t="s">
        <v>9</v>
      </c>
      <c r="M814">
        <v>5</v>
      </c>
    </row>
    <row r="815" spans="2:13" ht="15" customHeight="1">
      <c r="B815" t="s">
        <v>2818</v>
      </c>
      <c r="C815" s="1">
        <v>41055.959722222222</v>
      </c>
      <c r="D815" s="4" t="s">
        <v>950</v>
      </c>
      <c r="E815">
        <v>1700000</v>
      </c>
      <c r="F815" t="s">
        <v>40</v>
      </c>
      <c r="G815">
        <f>tblSalaries[[#This Row],[clean Salary (in local currency)]]*VLOOKUP(tblSalaries[[#This Row],[Currency]],tblXrate[],2,FALSE)</f>
        <v>30273.458368652366</v>
      </c>
      <c r="H815" t="s">
        <v>951</v>
      </c>
      <c r="I815" t="s">
        <v>52</v>
      </c>
      <c r="J815" t="s">
        <v>8</v>
      </c>
      <c r="K815" t="str">
        <f>VLOOKUP(tblSalaries[[#This Row],[Where do you work]],tblCountries[[Actual]:[Mapping]],2,FALSE)</f>
        <v>India</v>
      </c>
      <c r="L815" t="s">
        <v>13</v>
      </c>
      <c r="M815">
        <v>1.1000000000000001</v>
      </c>
    </row>
    <row r="816" spans="2:13" ht="15" customHeight="1">
      <c r="B816" t="s">
        <v>2819</v>
      </c>
      <c r="C816" s="1">
        <v>41055.960659722223</v>
      </c>
      <c r="D816" s="4" t="s">
        <v>952</v>
      </c>
      <c r="E816">
        <v>30000</v>
      </c>
      <c r="F816" t="s">
        <v>6</v>
      </c>
      <c r="G816">
        <f>tblSalaries[[#This Row],[clean Salary (in local currency)]]*VLOOKUP(tblSalaries[[#This Row],[Currency]],tblXrate[],2,FALSE)</f>
        <v>30000</v>
      </c>
      <c r="H816" t="s">
        <v>953</v>
      </c>
      <c r="I816" t="s">
        <v>488</v>
      </c>
      <c r="J816" t="s">
        <v>954</v>
      </c>
      <c r="K816" t="str">
        <f>VLOOKUP(tblSalaries[[#This Row],[Where do you work]],tblCountries[[Actual]:[Mapping]],2,FALSE)</f>
        <v>Indonesia</v>
      </c>
      <c r="L816" t="s">
        <v>9</v>
      </c>
      <c r="M816">
        <v>7</v>
      </c>
    </row>
    <row r="817" spans="2:13" ht="15" customHeight="1">
      <c r="B817" t="s">
        <v>2820</v>
      </c>
      <c r="C817" s="1">
        <v>41055.961099537039</v>
      </c>
      <c r="D817" s="4" t="s">
        <v>419</v>
      </c>
      <c r="E817">
        <v>360000</v>
      </c>
      <c r="F817" t="s">
        <v>40</v>
      </c>
      <c r="G817">
        <f>tblSalaries[[#This Row],[clean Salary (in local currency)]]*VLOOKUP(tblSalaries[[#This Row],[Currency]],tblXrate[],2,FALSE)</f>
        <v>6410.8500074793246</v>
      </c>
      <c r="H817" t="s">
        <v>955</v>
      </c>
      <c r="I817" t="s">
        <v>20</v>
      </c>
      <c r="J817" t="s">
        <v>8</v>
      </c>
      <c r="K817" t="str">
        <f>VLOOKUP(tblSalaries[[#This Row],[Where do you work]],tblCountries[[Actual]:[Mapping]],2,FALSE)</f>
        <v>India</v>
      </c>
      <c r="L817" t="s">
        <v>13</v>
      </c>
      <c r="M817">
        <v>4</v>
      </c>
    </row>
    <row r="818" spans="2:13" ht="15" customHeight="1">
      <c r="B818" t="s">
        <v>2821</v>
      </c>
      <c r="C818" s="1">
        <v>41055.961134259262</v>
      </c>
      <c r="D818" s="4">
        <v>100000</v>
      </c>
      <c r="E818">
        <v>100000</v>
      </c>
      <c r="F818" t="s">
        <v>6</v>
      </c>
      <c r="G818">
        <f>tblSalaries[[#This Row],[clean Salary (in local currency)]]*VLOOKUP(tblSalaries[[#This Row],[Currency]],tblXrate[],2,FALSE)</f>
        <v>100000</v>
      </c>
      <c r="H818" t="s">
        <v>456</v>
      </c>
      <c r="I818" t="s">
        <v>4001</v>
      </c>
      <c r="J818" t="s">
        <v>15</v>
      </c>
      <c r="K818" t="str">
        <f>VLOOKUP(tblSalaries[[#This Row],[Where do you work]],tblCountries[[Actual]:[Mapping]],2,FALSE)</f>
        <v>USA</v>
      </c>
      <c r="L818" t="s">
        <v>9</v>
      </c>
      <c r="M818">
        <v>10</v>
      </c>
    </row>
    <row r="819" spans="2:13" ht="15" customHeight="1">
      <c r="B819" t="s">
        <v>2822</v>
      </c>
      <c r="C819" s="1">
        <v>41055.961724537039</v>
      </c>
      <c r="D819" s="4">
        <v>42000</v>
      </c>
      <c r="E819">
        <v>42000</v>
      </c>
      <c r="F819" t="s">
        <v>22</v>
      </c>
      <c r="G819">
        <f>tblSalaries[[#This Row],[clean Salary (in local currency)]]*VLOOKUP(tblSalaries[[#This Row],[Currency]],tblXrate[],2,FALSE)</f>
        <v>53356.776437647524</v>
      </c>
      <c r="H819" t="s">
        <v>43</v>
      </c>
      <c r="I819" t="s">
        <v>279</v>
      </c>
      <c r="J819" t="s">
        <v>96</v>
      </c>
      <c r="K819" t="str">
        <f>VLOOKUP(tblSalaries[[#This Row],[Where do you work]],tblCountries[[Actual]:[Mapping]],2,FALSE)</f>
        <v>Netherlands</v>
      </c>
      <c r="L819" t="s">
        <v>9</v>
      </c>
      <c r="M819">
        <v>2</v>
      </c>
    </row>
    <row r="820" spans="2:13" ht="15" customHeight="1">
      <c r="B820" t="s">
        <v>2823</v>
      </c>
      <c r="C820" s="1">
        <v>41055.96197916667</v>
      </c>
      <c r="D820" s="4">
        <v>40000</v>
      </c>
      <c r="E820">
        <v>40000</v>
      </c>
      <c r="F820" t="s">
        <v>6</v>
      </c>
      <c r="G820">
        <f>tblSalaries[[#This Row],[clean Salary (in local currency)]]*VLOOKUP(tblSalaries[[#This Row],[Currency]],tblXrate[],2,FALSE)</f>
        <v>40000</v>
      </c>
      <c r="H820" t="s">
        <v>956</v>
      </c>
      <c r="I820" t="s">
        <v>52</v>
      </c>
      <c r="J820" t="s">
        <v>15</v>
      </c>
      <c r="K820" t="str">
        <f>VLOOKUP(tblSalaries[[#This Row],[Where do you work]],tblCountries[[Actual]:[Mapping]],2,FALSE)</f>
        <v>USA</v>
      </c>
      <c r="L820" t="s">
        <v>18</v>
      </c>
      <c r="M820">
        <v>20</v>
      </c>
    </row>
    <row r="821" spans="2:13" ht="15" customHeight="1">
      <c r="B821" t="s">
        <v>2824</v>
      </c>
      <c r="C821" s="1">
        <v>41055.968726851854</v>
      </c>
      <c r="D821" s="4" t="s">
        <v>957</v>
      </c>
      <c r="E821">
        <v>550000</v>
      </c>
      <c r="F821" t="s">
        <v>40</v>
      </c>
      <c r="G821">
        <f>tblSalaries[[#This Row],[clean Salary (in local currency)]]*VLOOKUP(tblSalaries[[#This Row],[Currency]],tblXrate[],2,FALSE)</f>
        <v>9794.354178093412</v>
      </c>
      <c r="H821" t="s">
        <v>537</v>
      </c>
      <c r="I821" t="s">
        <v>20</v>
      </c>
      <c r="J821" t="s">
        <v>8</v>
      </c>
      <c r="K821" t="str">
        <f>VLOOKUP(tblSalaries[[#This Row],[Where do you work]],tblCountries[[Actual]:[Mapping]],2,FALSE)</f>
        <v>India</v>
      </c>
      <c r="L821" t="s">
        <v>9</v>
      </c>
      <c r="M821">
        <v>1</v>
      </c>
    </row>
    <row r="822" spans="2:13" ht="15" customHeight="1">
      <c r="B822" t="s">
        <v>2825</v>
      </c>
      <c r="C822" s="1">
        <v>41055.968958333331</v>
      </c>
      <c r="D822" s="4" t="s">
        <v>958</v>
      </c>
      <c r="E822">
        <v>65000</v>
      </c>
      <c r="F822" t="s">
        <v>959</v>
      </c>
      <c r="G822">
        <f>tblSalaries[[#This Row],[clean Salary (in local currency)]]*VLOOKUP(tblSalaries[[#This Row],[Currency]],tblXrate[],2,FALSE)</f>
        <v>18499.860539512854</v>
      </c>
      <c r="H822" t="s">
        <v>960</v>
      </c>
      <c r="I822" t="s">
        <v>67</v>
      </c>
      <c r="J822" t="s">
        <v>73</v>
      </c>
      <c r="K822" t="str">
        <f>VLOOKUP(tblSalaries[[#This Row],[Where do you work]],tblCountries[[Actual]:[Mapping]],2,FALSE)</f>
        <v>Romania</v>
      </c>
      <c r="L822" t="s">
        <v>9</v>
      </c>
      <c r="M822">
        <v>6</v>
      </c>
    </row>
    <row r="823" spans="2:13" ht="15" customHeight="1">
      <c r="B823" t="s">
        <v>2826</v>
      </c>
      <c r="C823" s="1">
        <v>41055.970243055555</v>
      </c>
      <c r="D823" s="4" t="s">
        <v>961</v>
      </c>
      <c r="E823">
        <v>15600</v>
      </c>
      <c r="F823" t="s">
        <v>22</v>
      </c>
      <c r="G823">
        <f>tblSalaries[[#This Row],[clean Salary (in local currency)]]*VLOOKUP(tblSalaries[[#This Row],[Currency]],tblXrate[],2,FALSE)</f>
        <v>19818.231248269083</v>
      </c>
      <c r="H823" t="s">
        <v>962</v>
      </c>
      <c r="I823" t="s">
        <v>488</v>
      </c>
      <c r="J823" t="s">
        <v>30</v>
      </c>
      <c r="K823" t="str">
        <f>VLOOKUP(tblSalaries[[#This Row],[Where do you work]],tblCountries[[Actual]:[Mapping]],2,FALSE)</f>
        <v>Portugal</v>
      </c>
      <c r="L823" t="s">
        <v>9</v>
      </c>
      <c r="M823">
        <v>5</v>
      </c>
    </row>
    <row r="824" spans="2:13" ht="15" customHeight="1">
      <c r="B824" t="s">
        <v>2827</v>
      </c>
      <c r="C824" s="1">
        <v>41055.973576388889</v>
      </c>
      <c r="D824" s="4" t="s">
        <v>963</v>
      </c>
      <c r="E824">
        <v>600000</v>
      </c>
      <c r="F824" t="s">
        <v>40</v>
      </c>
      <c r="G824">
        <f>tblSalaries[[#This Row],[clean Salary (in local currency)]]*VLOOKUP(tblSalaries[[#This Row],[Currency]],tblXrate[],2,FALSE)</f>
        <v>10684.750012465542</v>
      </c>
      <c r="H824" t="s">
        <v>964</v>
      </c>
      <c r="I824" t="s">
        <v>52</v>
      </c>
      <c r="J824" t="s">
        <v>8</v>
      </c>
      <c r="K824" t="str">
        <f>VLOOKUP(tblSalaries[[#This Row],[Where do you work]],tblCountries[[Actual]:[Mapping]],2,FALSE)</f>
        <v>India</v>
      </c>
      <c r="L824" t="s">
        <v>13</v>
      </c>
      <c r="M824">
        <v>20</v>
      </c>
    </row>
    <row r="825" spans="2:13" ht="15" customHeight="1">
      <c r="B825" t="s">
        <v>2828</v>
      </c>
      <c r="C825" s="1">
        <v>41055.983495370368</v>
      </c>
      <c r="D825" s="4" t="s">
        <v>965</v>
      </c>
      <c r="E825">
        <v>600000</v>
      </c>
      <c r="F825" t="s">
        <v>40</v>
      </c>
      <c r="G825">
        <f>tblSalaries[[#This Row],[clean Salary (in local currency)]]*VLOOKUP(tblSalaries[[#This Row],[Currency]],tblXrate[],2,FALSE)</f>
        <v>10684.750012465542</v>
      </c>
      <c r="H825" t="s">
        <v>201</v>
      </c>
      <c r="I825" t="s">
        <v>52</v>
      </c>
      <c r="J825" t="s">
        <v>8</v>
      </c>
      <c r="K825" t="str">
        <f>VLOOKUP(tblSalaries[[#This Row],[Where do you work]],tblCountries[[Actual]:[Mapping]],2,FALSE)</f>
        <v>India</v>
      </c>
      <c r="L825" t="s">
        <v>18</v>
      </c>
      <c r="M825">
        <v>18</v>
      </c>
    </row>
    <row r="826" spans="2:13" ht="15" customHeight="1">
      <c r="B826" t="s">
        <v>2829</v>
      </c>
      <c r="C826" s="1">
        <v>41055.985000000001</v>
      </c>
      <c r="D826" s="4">
        <v>1000000</v>
      </c>
      <c r="E826">
        <v>1000000</v>
      </c>
      <c r="F826" t="s">
        <v>40</v>
      </c>
      <c r="G826">
        <f>tblSalaries[[#This Row],[clean Salary (in local currency)]]*VLOOKUP(tblSalaries[[#This Row],[Currency]],tblXrate[],2,FALSE)</f>
        <v>17807.916687442568</v>
      </c>
      <c r="H826" t="s">
        <v>966</v>
      </c>
      <c r="I826" t="s">
        <v>20</v>
      </c>
      <c r="J826" t="s">
        <v>8</v>
      </c>
      <c r="K826" t="str">
        <f>VLOOKUP(tblSalaries[[#This Row],[Where do you work]],tblCountries[[Actual]:[Mapping]],2,FALSE)</f>
        <v>India</v>
      </c>
      <c r="L826" t="s">
        <v>9</v>
      </c>
      <c r="M826">
        <v>10</v>
      </c>
    </row>
    <row r="827" spans="2:13" ht="15" customHeight="1">
      <c r="B827" t="s">
        <v>2830</v>
      </c>
      <c r="C827" s="1">
        <v>41055.991365740738</v>
      </c>
      <c r="D827" s="4" t="s">
        <v>967</v>
      </c>
      <c r="E827">
        <v>13000</v>
      </c>
      <c r="F827" t="s">
        <v>6</v>
      </c>
      <c r="G827">
        <f>tblSalaries[[#This Row],[clean Salary (in local currency)]]*VLOOKUP(tblSalaries[[#This Row],[Currency]],tblXrate[],2,FALSE)</f>
        <v>13000</v>
      </c>
      <c r="H827" t="s">
        <v>207</v>
      </c>
      <c r="I827" t="s">
        <v>20</v>
      </c>
      <c r="J827" t="s">
        <v>8</v>
      </c>
      <c r="K827" t="str">
        <f>VLOOKUP(tblSalaries[[#This Row],[Where do you work]],tblCountries[[Actual]:[Mapping]],2,FALSE)</f>
        <v>India</v>
      </c>
      <c r="L827" t="s">
        <v>13</v>
      </c>
      <c r="M827">
        <v>6</v>
      </c>
    </row>
    <row r="828" spans="2:13" ht="15" customHeight="1">
      <c r="B828" t="s">
        <v>2831</v>
      </c>
      <c r="C828" s="1">
        <v>41055.999224537038</v>
      </c>
      <c r="D828" s="4" t="s">
        <v>968</v>
      </c>
      <c r="E828">
        <v>900000</v>
      </c>
      <c r="F828" t="s">
        <v>40</v>
      </c>
      <c r="G828">
        <f>tblSalaries[[#This Row],[clean Salary (in local currency)]]*VLOOKUP(tblSalaries[[#This Row],[Currency]],tblXrate[],2,FALSE)</f>
        <v>16027.125018698311</v>
      </c>
      <c r="H828" t="s">
        <v>938</v>
      </c>
      <c r="I828" t="s">
        <v>52</v>
      </c>
      <c r="J828" t="s">
        <v>8</v>
      </c>
      <c r="K828" t="str">
        <f>VLOOKUP(tblSalaries[[#This Row],[Where do you work]],tblCountries[[Actual]:[Mapping]],2,FALSE)</f>
        <v>India</v>
      </c>
      <c r="L828" t="s">
        <v>25</v>
      </c>
      <c r="M828">
        <v>9</v>
      </c>
    </row>
    <row r="829" spans="2:13" ht="15" customHeight="1">
      <c r="B829" t="s">
        <v>2832</v>
      </c>
      <c r="C829" s="1">
        <v>41056.001909722225</v>
      </c>
      <c r="D829" s="4">
        <v>85000</v>
      </c>
      <c r="E829">
        <v>85000</v>
      </c>
      <c r="F829" t="s">
        <v>6</v>
      </c>
      <c r="G829">
        <f>tblSalaries[[#This Row],[clean Salary (in local currency)]]*VLOOKUP(tblSalaries[[#This Row],[Currency]],tblXrate[],2,FALSE)</f>
        <v>85000</v>
      </c>
      <c r="H829" t="s">
        <v>969</v>
      </c>
      <c r="I829" t="s">
        <v>310</v>
      </c>
      <c r="J829" t="s">
        <v>15</v>
      </c>
      <c r="K829" t="str">
        <f>VLOOKUP(tblSalaries[[#This Row],[Where do you work]],tblCountries[[Actual]:[Mapping]],2,FALSE)</f>
        <v>USA</v>
      </c>
      <c r="L829" t="s">
        <v>13</v>
      </c>
      <c r="M829">
        <v>1</v>
      </c>
    </row>
    <row r="830" spans="2:13" ht="15" customHeight="1">
      <c r="B830" t="s">
        <v>2833</v>
      </c>
      <c r="C830" s="1">
        <v>41056.005462962959</v>
      </c>
      <c r="D830" s="4">
        <v>6000</v>
      </c>
      <c r="E830">
        <v>6000</v>
      </c>
      <c r="F830" t="s">
        <v>6</v>
      </c>
      <c r="G830">
        <f>tblSalaries[[#This Row],[clean Salary (in local currency)]]*VLOOKUP(tblSalaries[[#This Row],[Currency]],tblXrate[],2,FALSE)</f>
        <v>6000</v>
      </c>
      <c r="H830" t="s">
        <v>970</v>
      </c>
      <c r="I830" t="s">
        <v>20</v>
      </c>
      <c r="J830" t="s">
        <v>971</v>
      </c>
      <c r="K830" t="str">
        <f>VLOOKUP(tblSalaries[[#This Row],[Where do you work]],tblCountries[[Actual]:[Mapping]],2,FALSE)</f>
        <v>Colombia</v>
      </c>
      <c r="L830" t="s">
        <v>25</v>
      </c>
      <c r="M830">
        <v>10</v>
      </c>
    </row>
    <row r="831" spans="2:13" ht="15" customHeight="1">
      <c r="B831" t="s">
        <v>2834</v>
      </c>
      <c r="C831" s="1">
        <v>41056.008946759262</v>
      </c>
      <c r="D831" s="4">
        <v>30000</v>
      </c>
      <c r="E831">
        <v>30000</v>
      </c>
      <c r="F831" t="s">
        <v>6</v>
      </c>
      <c r="G831">
        <f>tblSalaries[[#This Row],[clean Salary (in local currency)]]*VLOOKUP(tblSalaries[[#This Row],[Currency]],tblXrate[],2,FALSE)</f>
        <v>30000</v>
      </c>
      <c r="H831" t="s">
        <v>721</v>
      </c>
      <c r="I831" t="s">
        <v>3999</v>
      </c>
      <c r="J831" t="s">
        <v>8</v>
      </c>
      <c r="K831" t="str">
        <f>VLOOKUP(tblSalaries[[#This Row],[Where do you work]],tblCountries[[Actual]:[Mapping]],2,FALSE)</f>
        <v>India</v>
      </c>
      <c r="L831" t="s">
        <v>9</v>
      </c>
      <c r="M831">
        <v>2</v>
      </c>
    </row>
    <row r="832" spans="2:13" ht="15" customHeight="1">
      <c r="B832" t="s">
        <v>2835</v>
      </c>
      <c r="C832" s="1">
        <v>41056.013240740744</v>
      </c>
      <c r="D832" s="4">
        <v>100000</v>
      </c>
      <c r="E832">
        <v>100000</v>
      </c>
      <c r="F832" t="s">
        <v>69</v>
      </c>
      <c r="G832">
        <f>tblSalaries[[#This Row],[clean Salary (in local currency)]]*VLOOKUP(tblSalaries[[#This Row],[Currency]],tblXrate[],2,FALSE)</f>
        <v>157617.8272067284</v>
      </c>
      <c r="H832" t="s">
        <v>181</v>
      </c>
      <c r="I832" t="s">
        <v>488</v>
      </c>
      <c r="J832" t="s">
        <v>71</v>
      </c>
      <c r="K832" t="str">
        <f>VLOOKUP(tblSalaries[[#This Row],[Where do you work]],tblCountries[[Actual]:[Mapping]],2,FALSE)</f>
        <v>UK</v>
      </c>
      <c r="L832" t="s">
        <v>18</v>
      </c>
      <c r="M832">
        <v>20</v>
      </c>
    </row>
    <row r="833" spans="2:13" ht="15" customHeight="1">
      <c r="B833" t="s">
        <v>2836</v>
      </c>
      <c r="C833" s="1">
        <v>41056.022986111115</v>
      </c>
      <c r="D833" s="4" t="s">
        <v>972</v>
      </c>
      <c r="E833">
        <v>1200000</v>
      </c>
      <c r="F833" t="s">
        <v>40</v>
      </c>
      <c r="G833">
        <f>tblSalaries[[#This Row],[clean Salary (in local currency)]]*VLOOKUP(tblSalaries[[#This Row],[Currency]],tblXrate[],2,FALSE)</f>
        <v>21369.500024931083</v>
      </c>
      <c r="H833" t="s">
        <v>204</v>
      </c>
      <c r="I833" t="s">
        <v>52</v>
      </c>
      <c r="J833" t="s">
        <v>8</v>
      </c>
      <c r="K833" t="str">
        <f>VLOOKUP(tblSalaries[[#This Row],[Where do you work]],tblCountries[[Actual]:[Mapping]],2,FALSE)</f>
        <v>India</v>
      </c>
      <c r="L833" t="s">
        <v>25</v>
      </c>
      <c r="M833">
        <v>18</v>
      </c>
    </row>
    <row r="834" spans="2:13" ht="15" customHeight="1">
      <c r="B834" t="s">
        <v>2837</v>
      </c>
      <c r="C834" s="1">
        <v>41056.037037037036</v>
      </c>
      <c r="D834" s="4" t="s">
        <v>973</v>
      </c>
      <c r="E834">
        <v>200000</v>
      </c>
      <c r="F834" t="s">
        <v>40</v>
      </c>
      <c r="G834">
        <f>tblSalaries[[#This Row],[clean Salary (in local currency)]]*VLOOKUP(tblSalaries[[#This Row],[Currency]],tblXrate[],2,FALSE)</f>
        <v>3561.5833374885137</v>
      </c>
      <c r="H834" t="s">
        <v>974</v>
      </c>
      <c r="I834" t="s">
        <v>3999</v>
      </c>
      <c r="J834" t="s">
        <v>8</v>
      </c>
      <c r="K834" t="str">
        <f>VLOOKUP(tblSalaries[[#This Row],[Where do you work]],tblCountries[[Actual]:[Mapping]],2,FALSE)</f>
        <v>India</v>
      </c>
      <c r="L834" t="s">
        <v>9</v>
      </c>
      <c r="M834">
        <v>1</v>
      </c>
    </row>
    <row r="835" spans="2:13" ht="15" customHeight="1">
      <c r="B835" t="s">
        <v>2838</v>
      </c>
      <c r="C835" s="1">
        <v>41056.044976851852</v>
      </c>
      <c r="D835" s="4">
        <v>5000</v>
      </c>
      <c r="E835">
        <v>5000</v>
      </c>
      <c r="F835" t="s">
        <v>6</v>
      </c>
      <c r="G835">
        <f>tblSalaries[[#This Row],[clean Salary (in local currency)]]*VLOOKUP(tblSalaries[[#This Row],[Currency]],tblXrate[],2,FALSE)</f>
        <v>5000</v>
      </c>
      <c r="H835" t="s">
        <v>975</v>
      </c>
      <c r="I835" t="s">
        <v>52</v>
      </c>
      <c r="J835" t="s">
        <v>8</v>
      </c>
      <c r="K835" t="str">
        <f>VLOOKUP(tblSalaries[[#This Row],[Where do you work]],tblCountries[[Actual]:[Mapping]],2,FALSE)</f>
        <v>India</v>
      </c>
      <c r="L835" t="s">
        <v>9</v>
      </c>
      <c r="M835">
        <v>1</v>
      </c>
    </row>
    <row r="836" spans="2:13" ht="15" customHeight="1">
      <c r="B836" t="s">
        <v>2839</v>
      </c>
      <c r="C836" s="1">
        <v>41056.057013888887</v>
      </c>
      <c r="D836" s="4" t="s">
        <v>976</v>
      </c>
      <c r="E836">
        <v>200000</v>
      </c>
      <c r="F836" t="s">
        <v>40</v>
      </c>
      <c r="G836">
        <f>tblSalaries[[#This Row],[clean Salary (in local currency)]]*VLOOKUP(tblSalaries[[#This Row],[Currency]],tblXrate[],2,FALSE)</f>
        <v>3561.5833374885137</v>
      </c>
      <c r="H836" t="s">
        <v>108</v>
      </c>
      <c r="I836" t="s">
        <v>20</v>
      </c>
      <c r="J836" t="s">
        <v>8</v>
      </c>
      <c r="K836" t="str">
        <f>VLOOKUP(tblSalaries[[#This Row],[Where do you work]],tblCountries[[Actual]:[Mapping]],2,FALSE)</f>
        <v>India</v>
      </c>
      <c r="L836" t="s">
        <v>9</v>
      </c>
      <c r="M836">
        <v>2</v>
      </c>
    </row>
    <row r="837" spans="2:13" ht="15" customHeight="1">
      <c r="B837" t="s">
        <v>2840</v>
      </c>
      <c r="C837" s="1">
        <v>41056.063136574077</v>
      </c>
      <c r="D837" s="4" t="s">
        <v>977</v>
      </c>
      <c r="E837">
        <v>30000</v>
      </c>
      <c r="F837" t="s">
        <v>22</v>
      </c>
      <c r="G837">
        <f>tblSalaries[[#This Row],[clean Salary (in local currency)]]*VLOOKUP(tblSalaries[[#This Row],[Currency]],tblXrate[],2,FALSE)</f>
        <v>38111.983169748237</v>
      </c>
      <c r="H837" t="s">
        <v>978</v>
      </c>
      <c r="I837" t="s">
        <v>310</v>
      </c>
      <c r="J837" t="s">
        <v>979</v>
      </c>
      <c r="K837" t="str">
        <f>VLOOKUP(tblSalaries[[#This Row],[Where do you work]],tblCountries[[Actual]:[Mapping]],2,FALSE)</f>
        <v>Portugal</v>
      </c>
      <c r="L837" t="s">
        <v>13</v>
      </c>
      <c r="M837">
        <v>8</v>
      </c>
    </row>
    <row r="838" spans="2:13" ht="15" customHeight="1">
      <c r="B838" t="s">
        <v>2841</v>
      </c>
      <c r="C838" s="1">
        <v>41056.0702662037</v>
      </c>
      <c r="D838" s="4" t="s">
        <v>980</v>
      </c>
      <c r="E838">
        <v>1000000</v>
      </c>
      <c r="F838" t="s">
        <v>40</v>
      </c>
      <c r="G838">
        <f>tblSalaries[[#This Row],[clean Salary (in local currency)]]*VLOOKUP(tblSalaries[[#This Row],[Currency]],tblXrate[],2,FALSE)</f>
        <v>17807.916687442568</v>
      </c>
      <c r="H838" t="s">
        <v>379</v>
      </c>
      <c r="I838" t="s">
        <v>20</v>
      </c>
      <c r="J838" t="s">
        <v>8</v>
      </c>
      <c r="K838" t="str">
        <f>VLOOKUP(tblSalaries[[#This Row],[Where do you work]],tblCountries[[Actual]:[Mapping]],2,FALSE)</f>
        <v>India</v>
      </c>
      <c r="L838" t="s">
        <v>9</v>
      </c>
      <c r="M838">
        <v>6.5</v>
      </c>
    </row>
    <row r="839" spans="2:13" ht="15" customHeight="1">
      <c r="B839" t="s">
        <v>2842</v>
      </c>
      <c r="C839" s="1">
        <v>41056.073611111111</v>
      </c>
      <c r="D839" s="4">
        <v>650000</v>
      </c>
      <c r="E839">
        <v>650000</v>
      </c>
      <c r="F839" t="s">
        <v>40</v>
      </c>
      <c r="G839">
        <f>tblSalaries[[#This Row],[clean Salary (in local currency)]]*VLOOKUP(tblSalaries[[#This Row],[Currency]],tblXrate[],2,FALSE)</f>
        <v>11575.14584683767</v>
      </c>
      <c r="H839" t="s">
        <v>981</v>
      </c>
      <c r="I839" t="s">
        <v>20</v>
      </c>
      <c r="J839" t="s">
        <v>8</v>
      </c>
      <c r="K839" t="str">
        <f>VLOOKUP(tblSalaries[[#This Row],[Where do you work]],tblCountries[[Actual]:[Mapping]],2,FALSE)</f>
        <v>India</v>
      </c>
      <c r="L839" t="s">
        <v>13</v>
      </c>
      <c r="M839">
        <v>3.5</v>
      </c>
    </row>
    <row r="840" spans="2:13" ht="15" customHeight="1">
      <c r="B840" t="s">
        <v>2843</v>
      </c>
      <c r="C840" s="1">
        <v>41056.106504629628</v>
      </c>
      <c r="D840" s="4">
        <v>100000</v>
      </c>
      <c r="E840">
        <v>100000</v>
      </c>
      <c r="F840" t="s">
        <v>86</v>
      </c>
      <c r="G840">
        <f>tblSalaries[[#This Row],[clean Salary (in local currency)]]*VLOOKUP(tblSalaries[[#This Row],[Currency]],tblXrate[],2,FALSE)</f>
        <v>98336.152303032693</v>
      </c>
      <c r="H840" t="s">
        <v>982</v>
      </c>
      <c r="I840" t="s">
        <v>52</v>
      </c>
      <c r="J840" t="s">
        <v>88</v>
      </c>
      <c r="K840" t="str">
        <f>VLOOKUP(tblSalaries[[#This Row],[Where do you work]],tblCountries[[Actual]:[Mapping]],2,FALSE)</f>
        <v>Canada</v>
      </c>
      <c r="L840" t="s">
        <v>18</v>
      </c>
      <c r="M840">
        <v>10</v>
      </c>
    </row>
    <row r="841" spans="2:13" ht="15" customHeight="1">
      <c r="B841" t="s">
        <v>2844</v>
      </c>
      <c r="C841" s="1">
        <v>41056.129189814812</v>
      </c>
      <c r="D841" s="4">
        <v>92500</v>
      </c>
      <c r="E841">
        <v>92500</v>
      </c>
      <c r="F841" t="s">
        <v>6</v>
      </c>
      <c r="G841">
        <f>tblSalaries[[#This Row],[clean Salary (in local currency)]]*VLOOKUP(tblSalaries[[#This Row],[Currency]],tblXrate[],2,FALSE)</f>
        <v>92500</v>
      </c>
      <c r="H841" t="s">
        <v>984</v>
      </c>
      <c r="I841" t="s">
        <v>20</v>
      </c>
      <c r="J841" t="s">
        <v>15</v>
      </c>
      <c r="K841" t="str">
        <f>VLOOKUP(tblSalaries[[#This Row],[Where do you work]],tblCountries[[Actual]:[Mapping]],2,FALSE)</f>
        <v>USA</v>
      </c>
      <c r="L841" t="s">
        <v>18</v>
      </c>
      <c r="M841">
        <v>15</v>
      </c>
    </row>
    <row r="842" spans="2:13" ht="15" customHeight="1">
      <c r="B842" t="s">
        <v>2845</v>
      </c>
      <c r="C842" s="1">
        <v>41056.13616898148</v>
      </c>
      <c r="D842" s="4" t="s">
        <v>985</v>
      </c>
      <c r="E842">
        <v>550000</v>
      </c>
      <c r="F842" t="s">
        <v>40</v>
      </c>
      <c r="G842">
        <f>tblSalaries[[#This Row],[clean Salary (in local currency)]]*VLOOKUP(tblSalaries[[#This Row],[Currency]],tblXrate[],2,FALSE)</f>
        <v>9794.354178093412</v>
      </c>
      <c r="H842" t="s">
        <v>20</v>
      </c>
      <c r="I842" t="s">
        <v>20</v>
      </c>
      <c r="J842" t="s">
        <v>8</v>
      </c>
      <c r="K842" t="str">
        <f>VLOOKUP(tblSalaries[[#This Row],[Where do you work]],tblCountries[[Actual]:[Mapping]],2,FALSE)</f>
        <v>India</v>
      </c>
      <c r="L842" t="s">
        <v>9</v>
      </c>
      <c r="M842">
        <v>1</v>
      </c>
    </row>
    <row r="843" spans="2:13" ht="15" customHeight="1">
      <c r="B843" t="s">
        <v>2846</v>
      </c>
      <c r="C843" s="1">
        <v>41056.13853009259</v>
      </c>
      <c r="D843" s="4">
        <v>32000</v>
      </c>
      <c r="E843">
        <v>32000</v>
      </c>
      <c r="F843" t="s">
        <v>6</v>
      </c>
      <c r="G843">
        <f>tblSalaries[[#This Row],[clean Salary (in local currency)]]*VLOOKUP(tblSalaries[[#This Row],[Currency]],tblXrate[],2,FALSE)</f>
        <v>32000</v>
      </c>
      <c r="H843" t="s">
        <v>986</v>
      </c>
      <c r="I843" t="s">
        <v>52</v>
      </c>
      <c r="J843" t="s">
        <v>15</v>
      </c>
      <c r="K843" t="str">
        <f>VLOOKUP(tblSalaries[[#This Row],[Where do you work]],tblCountries[[Actual]:[Mapping]],2,FALSE)</f>
        <v>USA</v>
      </c>
      <c r="L843" t="s">
        <v>9</v>
      </c>
      <c r="M843">
        <v>1</v>
      </c>
    </row>
    <row r="844" spans="2:13" ht="15" customHeight="1">
      <c r="B844" t="s">
        <v>2847</v>
      </c>
      <c r="C844" s="1">
        <v>41056.142418981479</v>
      </c>
      <c r="D844" s="4">
        <v>55000</v>
      </c>
      <c r="E844">
        <v>55000</v>
      </c>
      <c r="F844" t="s">
        <v>6</v>
      </c>
      <c r="G844">
        <f>tblSalaries[[#This Row],[clean Salary (in local currency)]]*VLOOKUP(tblSalaries[[#This Row],[Currency]],tblXrate[],2,FALSE)</f>
        <v>55000</v>
      </c>
      <c r="H844" t="s">
        <v>20</v>
      </c>
      <c r="I844" t="s">
        <v>20</v>
      </c>
      <c r="J844" t="s">
        <v>15</v>
      </c>
      <c r="K844" t="str">
        <f>VLOOKUP(tblSalaries[[#This Row],[Where do you work]],tblCountries[[Actual]:[Mapping]],2,FALSE)</f>
        <v>USA</v>
      </c>
      <c r="L844" t="s">
        <v>9</v>
      </c>
      <c r="M844">
        <v>10</v>
      </c>
    </row>
    <row r="845" spans="2:13" ht="15" customHeight="1">
      <c r="B845" t="s">
        <v>2848</v>
      </c>
      <c r="C845" s="1">
        <v>41056.142974537041</v>
      </c>
      <c r="D845" s="4">
        <v>40000</v>
      </c>
      <c r="E845">
        <v>40000</v>
      </c>
      <c r="F845" t="s">
        <v>6</v>
      </c>
      <c r="G845">
        <f>tblSalaries[[#This Row],[clean Salary (in local currency)]]*VLOOKUP(tblSalaries[[#This Row],[Currency]],tblXrate[],2,FALSE)</f>
        <v>40000</v>
      </c>
      <c r="H845" t="s">
        <v>987</v>
      </c>
      <c r="I845" t="s">
        <v>20</v>
      </c>
      <c r="J845" t="s">
        <v>15</v>
      </c>
      <c r="K845" t="str">
        <f>VLOOKUP(tblSalaries[[#This Row],[Where do you work]],tblCountries[[Actual]:[Mapping]],2,FALSE)</f>
        <v>USA</v>
      </c>
      <c r="L845" t="s">
        <v>13</v>
      </c>
      <c r="M845">
        <v>4</v>
      </c>
    </row>
    <row r="846" spans="2:13" ht="15" customHeight="1">
      <c r="B846" t="s">
        <v>2849</v>
      </c>
      <c r="C846" s="1">
        <v>41056.151064814818</v>
      </c>
      <c r="D846" s="4" t="s">
        <v>797</v>
      </c>
      <c r="E846">
        <v>3000</v>
      </c>
      <c r="F846" t="s">
        <v>6</v>
      </c>
      <c r="G846">
        <f>tblSalaries[[#This Row],[clean Salary (in local currency)]]*VLOOKUP(tblSalaries[[#This Row],[Currency]],tblXrate[],2,FALSE)</f>
        <v>3000</v>
      </c>
      <c r="H846" t="s">
        <v>130</v>
      </c>
      <c r="I846" t="s">
        <v>20</v>
      </c>
      <c r="J846" t="s">
        <v>17</v>
      </c>
      <c r="K846" t="str">
        <f>VLOOKUP(tblSalaries[[#This Row],[Where do you work]],tblCountries[[Actual]:[Mapping]],2,FALSE)</f>
        <v>Pakistan</v>
      </c>
      <c r="L846" t="s">
        <v>18</v>
      </c>
      <c r="M846">
        <v>2</v>
      </c>
    </row>
    <row r="847" spans="2:13" ht="15" customHeight="1">
      <c r="B847" t="s">
        <v>2850</v>
      </c>
      <c r="C847" s="1">
        <v>41056.15111111111</v>
      </c>
      <c r="D847" s="4">
        <v>43600</v>
      </c>
      <c r="E847">
        <v>43600</v>
      </c>
      <c r="F847" t="s">
        <v>6</v>
      </c>
      <c r="G847">
        <f>tblSalaries[[#This Row],[clean Salary (in local currency)]]*VLOOKUP(tblSalaries[[#This Row],[Currency]],tblXrate[],2,FALSE)</f>
        <v>43600</v>
      </c>
      <c r="H847" t="s">
        <v>153</v>
      </c>
      <c r="I847" t="s">
        <v>20</v>
      </c>
      <c r="J847" t="s">
        <v>15</v>
      </c>
      <c r="K847" t="str">
        <f>VLOOKUP(tblSalaries[[#This Row],[Where do you work]],tblCountries[[Actual]:[Mapping]],2,FALSE)</f>
        <v>USA</v>
      </c>
      <c r="L847" t="s">
        <v>9</v>
      </c>
      <c r="M847">
        <v>5</v>
      </c>
    </row>
    <row r="848" spans="2:13" ht="15" customHeight="1">
      <c r="B848" t="s">
        <v>2851</v>
      </c>
      <c r="C848" s="1">
        <v>41056.166828703703</v>
      </c>
      <c r="D848" s="4" t="s">
        <v>988</v>
      </c>
      <c r="E848">
        <v>540000</v>
      </c>
      <c r="F848" t="s">
        <v>40</v>
      </c>
      <c r="G848">
        <f>tblSalaries[[#This Row],[clean Salary (in local currency)]]*VLOOKUP(tblSalaries[[#This Row],[Currency]],tblXrate[],2,FALSE)</f>
        <v>9616.275011218986</v>
      </c>
      <c r="H848" t="s">
        <v>251</v>
      </c>
      <c r="I848" t="s">
        <v>20</v>
      </c>
      <c r="J848" t="s">
        <v>8</v>
      </c>
      <c r="K848" t="str">
        <f>VLOOKUP(tblSalaries[[#This Row],[Where do you work]],tblCountries[[Actual]:[Mapping]],2,FALSE)</f>
        <v>India</v>
      </c>
      <c r="L848" t="s">
        <v>13</v>
      </c>
      <c r="M848">
        <v>8</v>
      </c>
    </row>
    <row r="849" spans="2:13" ht="15" customHeight="1">
      <c r="B849" t="s">
        <v>2852</v>
      </c>
      <c r="C849" s="1">
        <v>41056.17046296296</v>
      </c>
      <c r="D849" s="4">
        <v>35000</v>
      </c>
      <c r="E849">
        <v>35000</v>
      </c>
      <c r="F849" t="s">
        <v>6</v>
      </c>
      <c r="G849">
        <f>tblSalaries[[#This Row],[clean Salary (in local currency)]]*VLOOKUP(tblSalaries[[#This Row],[Currency]],tblXrate[],2,FALSE)</f>
        <v>35000</v>
      </c>
      <c r="H849" t="s">
        <v>707</v>
      </c>
      <c r="I849" t="s">
        <v>52</v>
      </c>
      <c r="J849" t="s">
        <v>989</v>
      </c>
      <c r="K849" t="str">
        <f>VLOOKUP(tblSalaries[[#This Row],[Where do you work]],tblCountries[[Actual]:[Mapping]],2,FALSE)</f>
        <v>Uruguay</v>
      </c>
      <c r="L849" t="s">
        <v>13</v>
      </c>
      <c r="M849">
        <v>10</v>
      </c>
    </row>
    <row r="850" spans="2:13" ht="15" customHeight="1">
      <c r="B850" t="s">
        <v>2853</v>
      </c>
      <c r="C850" s="1">
        <v>41056.1716087963</v>
      </c>
      <c r="D850" s="4">
        <v>12000</v>
      </c>
      <c r="E850">
        <v>12000</v>
      </c>
      <c r="F850" t="s">
        <v>6</v>
      </c>
      <c r="G850">
        <f>tblSalaries[[#This Row],[clean Salary (in local currency)]]*VLOOKUP(tblSalaries[[#This Row],[Currency]],tblXrate[],2,FALSE)</f>
        <v>12000</v>
      </c>
      <c r="H850" t="s">
        <v>990</v>
      </c>
      <c r="I850" t="s">
        <v>356</v>
      </c>
      <c r="J850" t="s">
        <v>608</v>
      </c>
      <c r="K850" t="str">
        <f>VLOOKUP(tblSalaries[[#This Row],[Where do you work]],tblCountries[[Actual]:[Mapping]],2,FALSE)</f>
        <v>Spain</v>
      </c>
      <c r="L850" t="s">
        <v>18</v>
      </c>
      <c r="M850">
        <v>15</v>
      </c>
    </row>
    <row r="851" spans="2:13" ht="15" customHeight="1">
      <c r="B851" t="s">
        <v>2854</v>
      </c>
      <c r="C851" s="1">
        <v>41056.175046296295</v>
      </c>
      <c r="D851" s="4">
        <v>5000</v>
      </c>
      <c r="E851">
        <v>5000</v>
      </c>
      <c r="F851" t="s">
        <v>6</v>
      </c>
      <c r="G851">
        <f>tblSalaries[[#This Row],[clean Salary (in local currency)]]*VLOOKUP(tblSalaries[[#This Row],[Currency]],tblXrate[],2,FALSE)</f>
        <v>5000</v>
      </c>
      <c r="H851" t="s">
        <v>991</v>
      </c>
      <c r="I851" t="s">
        <v>356</v>
      </c>
      <c r="J851" t="s">
        <v>992</v>
      </c>
      <c r="K851" t="str">
        <f>VLOOKUP(tblSalaries[[#This Row],[Where do you work]],tblCountries[[Actual]:[Mapping]],2,FALSE)</f>
        <v>Aruba</v>
      </c>
      <c r="L851" t="s">
        <v>25</v>
      </c>
      <c r="M851">
        <v>13</v>
      </c>
    </row>
    <row r="852" spans="2:13" ht="15" customHeight="1">
      <c r="B852" t="s">
        <v>2855</v>
      </c>
      <c r="C852" s="1">
        <v>41056.188287037039</v>
      </c>
      <c r="D852" s="4" t="s">
        <v>993</v>
      </c>
      <c r="E852">
        <v>134000</v>
      </c>
      <c r="F852" t="s">
        <v>585</v>
      </c>
      <c r="G852">
        <f>tblSalaries[[#This Row],[clean Salary (in local currency)]]*VLOOKUP(tblSalaries[[#This Row],[Currency]],tblXrate[],2,FALSE)</f>
        <v>16337.518501630093</v>
      </c>
      <c r="H852" t="s">
        <v>153</v>
      </c>
      <c r="I852" t="s">
        <v>20</v>
      </c>
      <c r="J852" t="s">
        <v>48</v>
      </c>
      <c r="K852" t="str">
        <f>VLOOKUP(tblSalaries[[#This Row],[Where do you work]],tblCountries[[Actual]:[Mapping]],2,FALSE)</f>
        <v>South Africa</v>
      </c>
      <c r="L852" t="s">
        <v>9</v>
      </c>
      <c r="M852">
        <v>2</v>
      </c>
    </row>
    <row r="853" spans="2:13" ht="15" customHeight="1">
      <c r="B853" t="s">
        <v>2856</v>
      </c>
      <c r="C853" s="1">
        <v>41056.194826388892</v>
      </c>
      <c r="D853" s="4">
        <v>65000</v>
      </c>
      <c r="E853">
        <v>65000</v>
      </c>
      <c r="F853" t="s">
        <v>6</v>
      </c>
      <c r="G853">
        <f>tblSalaries[[#This Row],[clean Salary (in local currency)]]*VLOOKUP(tblSalaries[[#This Row],[Currency]],tblXrate[],2,FALSE)</f>
        <v>65000</v>
      </c>
      <c r="H853" t="s">
        <v>994</v>
      </c>
      <c r="I853" t="s">
        <v>20</v>
      </c>
      <c r="J853" t="s">
        <v>15</v>
      </c>
      <c r="K853" t="str">
        <f>VLOOKUP(tblSalaries[[#This Row],[Where do you work]],tblCountries[[Actual]:[Mapping]],2,FALSE)</f>
        <v>USA</v>
      </c>
      <c r="L853" t="s">
        <v>25</v>
      </c>
      <c r="M853">
        <v>8</v>
      </c>
    </row>
    <row r="854" spans="2:13" ht="15" customHeight="1">
      <c r="B854" t="s">
        <v>2857</v>
      </c>
      <c r="C854" s="1">
        <v>41056.262280092589</v>
      </c>
      <c r="D854" s="4">
        <v>40000</v>
      </c>
      <c r="E854">
        <v>40000</v>
      </c>
      <c r="F854" t="s">
        <v>6</v>
      </c>
      <c r="G854">
        <f>tblSalaries[[#This Row],[clean Salary (in local currency)]]*VLOOKUP(tblSalaries[[#This Row],[Currency]],tblXrate[],2,FALSE)</f>
        <v>40000</v>
      </c>
      <c r="H854" t="s">
        <v>995</v>
      </c>
      <c r="I854" t="s">
        <v>20</v>
      </c>
      <c r="J854" t="s">
        <v>15</v>
      </c>
      <c r="K854" t="str">
        <f>VLOOKUP(tblSalaries[[#This Row],[Where do you work]],tblCountries[[Actual]:[Mapping]],2,FALSE)</f>
        <v>USA</v>
      </c>
      <c r="L854" t="s">
        <v>13</v>
      </c>
      <c r="M854">
        <v>2</v>
      </c>
    </row>
    <row r="855" spans="2:13" ht="15" customHeight="1">
      <c r="B855" t="s">
        <v>2858</v>
      </c>
      <c r="C855" s="1">
        <v>41056.27584490741</v>
      </c>
      <c r="D855" s="4">
        <v>98000</v>
      </c>
      <c r="E855">
        <v>98000</v>
      </c>
      <c r="F855" t="s">
        <v>6</v>
      </c>
      <c r="G855">
        <f>tblSalaries[[#This Row],[clean Salary (in local currency)]]*VLOOKUP(tblSalaries[[#This Row],[Currency]],tblXrate[],2,FALSE)</f>
        <v>98000</v>
      </c>
      <c r="H855" t="s">
        <v>996</v>
      </c>
      <c r="I855" t="s">
        <v>52</v>
      </c>
      <c r="J855" t="s">
        <v>997</v>
      </c>
      <c r="K855" t="str">
        <f>VLOOKUP(tblSalaries[[#This Row],[Where do you work]],tblCountries[[Actual]:[Mapping]],2,FALSE)</f>
        <v>Indonesia</v>
      </c>
      <c r="L855" t="s">
        <v>18</v>
      </c>
      <c r="M855">
        <v>14</v>
      </c>
    </row>
    <row r="856" spans="2:13" ht="15" customHeight="1">
      <c r="B856" t="s">
        <v>2859</v>
      </c>
      <c r="C856" s="1">
        <v>41056.275868055556</v>
      </c>
      <c r="D856" s="4">
        <v>50000</v>
      </c>
      <c r="E856">
        <v>50000</v>
      </c>
      <c r="F856" t="s">
        <v>6</v>
      </c>
      <c r="G856">
        <f>tblSalaries[[#This Row],[clean Salary (in local currency)]]*VLOOKUP(tblSalaries[[#This Row],[Currency]],tblXrate[],2,FALSE)</f>
        <v>50000</v>
      </c>
      <c r="H856" t="s">
        <v>998</v>
      </c>
      <c r="I856" t="s">
        <v>4001</v>
      </c>
      <c r="J856" t="s">
        <v>15</v>
      </c>
      <c r="K856" t="str">
        <f>VLOOKUP(tblSalaries[[#This Row],[Where do you work]],tblCountries[[Actual]:[Mapping]],2,FALSE)</f>
        <v>USA</v>
      </c>
      <c r="L856" t="s">
        <v>13</v>
      </c>
      <c r="M856">
        <v>15</v>
      </c>
    </row>
    <row r="857" spans="2:13" ht="15" customHeight="1">
      <c r="B857" t="s">
        <v>2860</v>
      </c>
      <c r="C857" s="1">
        <v>41056.305023148147</v>
      </c>
      <c r="D857" s="4">
        <v>135000</v>
      </c>
      <c r="E857">
        <v>135000</v>
      </c>
      <c r="F857" t="s">
        <v>6</v>
      </c>
      <c r="G857">
        <f>tblSalaries[[#This Row],[clean Salary (in local currency)]]*VLOOKUP(tblSalaries[[#This Row],[Currency]],tblXrate[],2,FALSE)</f>
        <v>135000</v>
      </c>
      <c r="H857" t="s">
        <v>999</v>
      </c>
      <c r="I857" t="s">
        <v>4001</v>
      </c>
      <c r="J857" t="s">
        <v>15</v>
      </c>
      <c r="K857" t="str">
        <f>VLOOKUP(tblSalaries[[#This Row],[Where do you work]],tblCountries[[Actual]:[Mapping]],2,FALSE)</f>
        <v>USA</v>
      </c>
      <c r="L857" t="s">
        <v>9</v>
      </c>
      <c r="M857">
        <v>25</v>
      </c>
    </row>
    <row r="858" spans="2:13" ht="15" customHeight="1">
      <c r="B858" t="s">
        <v>2861</v>
      </c>
      <c r="C858" s="1">
        <v>41056.33865740741</v>
      </c>
      <c r="D858" s="4" t="s">
        <v>1000</v>
      </c>
      <c r="E858">
        <v>125000</v>
      </c>
      <c r="F858" t="s">
        <v>6</v>
      </c>
      <c r="G858">
        <f>tblSalaries[[#This Row],[clean Salary (in local currency)]]*VLOOKUP(tblSalaries[[#This Row],[Currency]],tblXrate[],2,FALSE)</f>
        <v>125000</v>
      </c>
      <c r="H858" t="s">
        <v>1001</v>
      </c>
      <c r="I858" t="s">
        <v>52</v>
      </c>
      <c r="J858" t="s">
        <v>583</v>
      </c>
      <c r="K858" t="str">
        <f>VLOOKUP(tblSalaries[[#This Row],[Where do you work]],tblCountries[[Actual]:[Mapping]],2,FALSE)</f>
        <v>Norway</v>
      </c>
      <c r="L858" t="s">
        <v>9</v>
      </c>
      <c r="M858">
        <v>6</v>
      </c>
    </row>
    <row r="859" spans="2:13" ht="15" customHeight="1">
      <c r="B859" t="s">
        <v>2862</v>
      </c>
      <c r="C859" s="1">
        <v>41056.371157407404</v>
      </c>
      <c r="D859" s="4">
        <v>4500</v>
      </c>
      <c r="E859">
        <v>4500</v>
      </c>
      <c r="F859" t="s">
        <v>6</v>
      </c>
      <c r="G859">
        <f>tblSalaries[[#This Row],[clean Salary (in local currency)]]*VLOOKUP(tblSalaries[[#This Row],[Currency]],tblXrate[],2,FALSE)</f>
        <v>4500</v>
      </c>
      <c r="H859" t="s">
        <v>1002</v>
      </c>
      <c r="I859" t="s">
        <v>20</v>
      </c>
      <c r="J859" t="s">
        <v>997</v>
      </c>
      <c r="K859" t="str">
        <f>VLOOKUP(tblSalaries[[#This Row],[Where do you work]],tblCountries[[Actual]:[Mapping]],2,FALSE)</f>
        <v>Indonesia</v>
      </c>
      <c r="L859" t="s">
        <v>18</v>
      </c>
      <c r="M859">
        <v>4</v>
      </c>
    </row>
    <row r="860" spans="2:13" ht="15" customHeight="1">
      <c r="B860" t="s">
        <v>2863</v>
      </c>
      <c r="C860" s="1">
        <v>41056.371944444443</v>
      </c>
      <c r="D860" s="4">
        <v>115000</v>
      </c>
      <c r="E860">
        <v>115000</v>
      </c>
      <c r="F860" t="s">
        <v>6</v>
      </c>
      <c r="G860">
        <f>tblSalaries[[#This Row],[clean Salary (in local currency)]]*VLOOKUP(tblSalaries[[#This Row],[Currency]],tblXrate[],2,FALSE)</f>
        <v>115000</v>
      </c>
      <c r="H860" t="s">
        <v>1003</v>
      </c>
      <c r="I860" t="s">
        <v>20</v>
      </c>
      <c r="J860" t="s">
        <v>15</v>
      </c>
      <c r="K860" t="str">
        <f>VLOOKUP(tblSalaries[[#This Row],[Where do you work]],tblCountries[[Actual]:[Mapping]],2,FALSE)</f>
        <v>USA</v>
      </c>
      <c r="L860" t="s">
        <v>9</v>
      </c>
      <c r="M860">
        <v>10</v>
      </c>
    </row>
    <row r="861" spans="2:13" ht="15" customHeight="1">
      <c r="B861" t="s">
        <v>2864</v>
      </c>
      <c r="C861" s="1">
        <v>41056.387349537035</v>
      </c>
      <c r="D861" s="4">
        <v>70000</v>
      </c>
      <c r="E861">
        <v>70000</v>
      </c>
      <c r="F861" t="s">
        <v>6</v>
      </c>
      <c r="G861">
        <f>tblSalaries[[#This Row],[clean Salary (in local currency)]]*VLOOKUP(tblSalaries[[#This Row],[Currency]],tblXrate[],2,FALSE)</f>
        <v>70000</v>
      </c>
      <c r="H861" t="s">
        <v>14</v>
      </c>
      <c r="I861" t="s">
        <v>20</v>
      </c>
      <c r="J861" t="s">
        <v>15</v>
      </c>
      <c r="K861" t="str">
        <f>VLOOKUP(tblSalaries[[#This Row],[Where do you work]],tblCountries[[Actual]:[Mapping]],2,FALSE)</f>
        <v>USA</v>
      </c>
      <c r="L861" t="s">
        <v>13</v>
      </c>
      <c r="M861">
        <v>15</v>
      </c>
    </row>
    <row r="862" spans="2:13" ht="15" customHeight="1">
      <c r="B862" t="s">
        <v>2865</v>
      </c>
      <c r="C862" s="1">
        <v>41056.409375000003</v>
      </c>
      <c r="D862" s="4">
        <v>5000</v>
      </c>
      <c r="E862">
        <v>60000</v>
      </c>
      <c r="F862" t="s">
        <v>6</v>
      </c>
      <c r="G862">
        <f>tblSalaries[[#This Row],[clean Salary (in local currency)]]*VLOOKUP(tblSalaries[[#This Row],[Currency]],tblXrate[],2,FALSE)</f>
        <v>60000</v>
      </c>
      <c r="H862" t="s">
        <v>1004</v>
      </c>
      <c r="I862" t="s">
        <v>20</v>
      </c>
      <c r="J862" t="s">
        <v>15</v>
      </c>
      <c r="K862" t="str">
        <f>VLOOKUP(tblSalaries[[#This Row],[Where do you work]],tblCountries[[Actual]:[Mapping]],2,FALSE)</f>
        <v>USA</v>
      </c>
      <c r="L862" t="s">
        <v>18</v>
      </c>
      <c r="M862">
        <v>8</v>
      </c>
    </row>
    <row r="863" spans="2:13" ht="15" customHeight="1">
      <c r="B863" t="s">
        <v>2866</v>
      </c>
      <c r="C863" s="1">
        <v>41056.426006944443</v>
      </c>
      <c r="D863" s="4">
        <v>87456</v>
      </c>
      <c r="E863">
        <v>87456</v>
      </c>
      <c r="F863" t="s">
        <v>6</v>
      </c>
      <c r="G863">
        <f>tblSalaries[[#This Row],[clean Salary (in local currency)]]*VLOOKUP(tblSalaries[[#This Row],[Currency]],tblXrate[],2,FALSE)</f>
        <v>87456</v>
      </c>
      <c r="H863" t="s">
        <v>1005</v>
      </c>
      <c r="I863" t="s">
        <v>52</v>
      </c>
      <c r="J863" t="s">
        <v>15</v>
      </c>
      <c r="K863" t="str">
        <f>VLOOKUP(tblSalaries[[#This Row],[Where do you work]],tblCountries[[Actual]:[Mapping]],2,FALSE)</f>
        <v>USA</v>
      </c>
      <c r="L863" t="s">
        <v>18</v>
      </c>
      <c r="M863">
        <v>12</v>
      </c>
    </row>
    <row r="864" spans="2:13" ht="15" customHeight="1">
      <c r="B864" t="s">
        <v>2867</v>
      </c>
      <c r="C864" s="1">
        <v>41056.480752314812</v>
      </c>
      <c r="D864" s="4">
        <v>26400</v>
      </c>
      <c r="E864">
        <v>26400</v>
      </c>
      <c r="F864" t="s">
        <v>6</v>
      </c>
      <c r="G864">
        <f>tblSalaries[[#This Row],[clean Salary (in local currency)]]*VLOOKUP(tblSalaries[[#This Row],[Currency]],tblXrate[],2,FALSE)</f>
        <v>26400</v>
      </c>
      <c r="H864" t="s">
        <v>1006</v>
      </c>
      <c r="I864" t="s">
        <v>20</v>
      </c>
      <c r="J864" t="s">
        <v>179</v>
      </c>
      <c r="K864" t="str">
        <f>VLOOKUP(tblSalaries[[#This Row],[Where do you work]],tblCountries[[Actual]:[Mapping]],2,FALSE)</f>
        <v>UAE</v>
      </c>
      <c r="L864" t="s">
        <v>13</v>
      </c>
      <c r="M864">
        <v>6</v>
      </c>
    </row>
    <row r="865" spans="2:13" ht="15" customHeight="1">
      <c r="B865" t="s">
        <v>2868</v>
      </c>
      <c r="C865" s="1">
        <v>41056.49324074074</v>
      </c>
      <c r="D865" s="4">
        <v>1000</v>
      </c>
      <c r="E865">
        <v>12000</v>
      </c>
      <c r="F865" t="s">
        <v>6</v>
      </c>
      <c r="G865">
        <f>tblSalaries[[#This Row],[clean Salary (in local currency)]]*VLOOKUP(tblSalaries[[#This Row],[Currency]],tblXrate[],2,FALSE)</f>
        <v>12000</v>
      </c>
      <c r="H865" t="s">
        <v>1007</v>
      </c>
      <c r="I865" t="s">
        <v>52</v>
      </c>
      <c r="J865" t="s">
        <v>179</v>
      </c>
      <c r="K865" t="str">
        <f>VLOOKUP(tblSalaries[[#This Row],[Where do you work]],tblCountries[[Actual]:[Mapping]],2,FALSE)</f>
        <v>UAE</v>
      </c>
      <c r="L865" t="s">
        <v>13</v>
      </c>
      <c r="M865">
        <v>18</v>
      </c>
    </row>
    <row r="866" spans="2:13" ht="15" customHeight="1">
      <c r="B866" t="s">
        <v>2869</v>
      </c>
      <c r="C866" s="1">
        <v>41056.50267361111</v>
      </c>
      <c r="D866" s="4">
        <v>144000</v>
      </c>
      <c r="E866">
        <v>144000</v>
      </c>
      <c r="F866" t="s">
        <v>40</v>
      </c>
      <c r="G866">
        <f>tblSalaries[[#This Row],[clean Salary (in local currency)]]*VLOOKUP(tblSalaries[[#This Row],[Currency]],tblXrate[],2,FALSE)</f>
        <v>2564.3400029917298</v>
      </c>
      <c r="H866" t="s">
        <v>1008</v>
      </c>
      <c r="I866" t="s">
        <v>20</v>
      </c>
      <c r="J866" t="s">
        <v>8</v>
      </c>
      <c r="K866" t="str">
        <f>VLOOKUP(tblSalaries[[#This Row],[Where do you work]],tblCountries[[Actual]:[Mapping]],2,FALSE)</f>
        <v>India</v>
      </c>
      <c r="L866" t="s">
        <v>9</v>
      </c>
      <c r="M866">
        <v>1</v>
      </c>
    </row>
    <row r="867" spans="2:13" ht="15" customHeight="1">
      <c r="B867" t="s">
        <v>2870</v>
      </c>
      <c r="C867" s="1">
        <v>41056.522743055553</v>
      </c>
      <c r="D867" s="4" t="s">
        <v>1009</v>
      </c>
      <c r="E867">
        <v>62000</v>
      </c>
      <c r="F867" t="s">
        <v>6</v>
      </c>
      <c r="G867">
        <f>tblSalaries[[#This Row],[clean Salary (in local currency)]]*VLOOKUP(tblSalaries[[#This Row],[Currency]],tblXrate[],2,FALSE)</f>
        <v>62000</v>
      </c>
      <c r="H867" t="s">
        <v>1010</v>
      </c>
      <c r="I867" t="s">
        <v>52</v>
      </c>
      <c r="J867" t="s">
        <v>1011</v>
      </c>
      <c r="K867" t="str">
        <f>VLOOKUP(tblSalaries[[#This Row],[Where do you work]],tblCountries[[Actual]:[Mapping]],2,FALSE)</f>
        <v>Qatar</v>
      </c>
      <c r="L867" t="s">
        <v>13</v>
      </c>
      <c r="M867">
        <v>11</v>
      </c>
    </row>
    <row r="868" spans="2:13" ht="15" customHeight="1">
      <c r="B868" t="s">
        <v>2871</v>
      </c>
      <c r="C868" s="1">
        <v>41056.52447916667</v>
      </c>
      <c r="D868" s="4" t="s">
        <v>1012</v>
      </c>
      <c r="E868">
        <v>300000</v>
      </c>
      <c r="F868" t="s">
        <v>40</v>
      </c>
      <c r="G868">
        <f>tblSalaries[[#This Row],[clean Salary (in local currency)]]*VLOOKUP(tblSalaries[[#This Row],[Currency]],tblXrate[],2,FALSE)</f>
        <v>5342.3750062327708</v>
      </c>
      <c r="H868" t="s">
        <v>1013</v>
      </c>
      <c r="I868" t="s">
        <v>20</v>
      </c>
      <c r="J868" t="s">
        <v>8</v>
      </c>
      <c r="K868" t="str">
        <f>VLOOKUP(tblSalaries[[#This Row],[Where do you work]],tblCountries[[Actual]:[Mapping]],2,FALSE)</f>
        <v>India</v>
      </c>
      <c r="L868" t="s">
        <v>25</v>
      </c>
      <c r="M868">
        <v>10</v>
      </c>
    </row>
    <row r="869" spans="2:13" ht="15" customHeight="1">
      <c r="B869" t="s">
        <v>2872</v>
      </c>
      <c r="C869" s="1">
        <v>41056.525717592594</v>
      </c>
      <c r="D869" s="4">
        <v>40000</v>
      </c>
      <c r="E869">
        <v>40000</v>
      </c>
      <c r="F869" t="s">
        <v>22</v>
      </c>
      <c r="G869">
        <f>tblSalaries[[#This Row],[clean Salary (in local currency)]]*VLOOKUP(tblSalaries[[#This Row],[Currency]],tblXrate[],2,FALSE)</f>
        <v>50815.977559664309</v>
      </c>
      <c r="H869" t="s">
        <v>1014</v>
      </c>
      <c r="I869" t="s">
        <v>20</v>
      </c>
      <c r="J869" t="s">
        <v>628</v>
      </c>
      <c r="K869" t="str">
        <f>VLOOKUP(tblSalaries[[#This Row],[Where do you work]],tblCountries[[Actual]:[Mapping]],2,FALSE)</f>
        <v>Netherlands</v>
      </c>
      <c r="L869" t="s">
        <v>9</v>
      </c>
      <c r="M869">
        <v>4</v>
      </c>
    </row>
    <row r="870" spans="2:13" ht="15" customHeight="1">
      <c r="B870" t="s">
        <v>2873</v>
      </c>
      <c r="C870" s="1">
        <v>41056.528807870367</v>
      </c>
      <c r="D870" s="4" t="s">
        <v>1015</v>
      </c>
      <c r="E870">
        <v>25560</v>
      </c>
      <c r="F870" t="s">
        <v>6</v>
      </c>
      <c r="G870">
        <f>tblSalaries[[#This Row],[clean Salary (in local currency)]]*VLOOKUP(tblSalaries[[#This Row],[Currency]],tblXrate[],2,FALSE)</f>
        <v>25560</v>
      </c>
      <c r="H870" t="s">
        <v>1016</v>
      </c>
      <c r="I870" t="s">
        <v>52</v>
      </c>
      <c r="J870" t="s">
        <v>1017</v>
      </c>
      <c r="K870" t="str">
        <f>VLOOKUP(tblSalaries[[#This Row],[Where do you work]],tblCountries[[Actual]:[Mapping]],2,FALSE)</f>
        <v>Saudi Arabia</v>
      </c>
      <c r="L870" t="s">
        <v>9</v>
      </c>
      <c r="M870">
        <v>3</v>
      </c>
    </row>
    <row r="871" spans="2:13" ht="15" customHeight="1">
      <c r="B871" t="s">
        <v>2874</v>
      </c>
      <c r="C871" s="1">
        <v>41056.540173611109</v>
      </c>
      <c r="D871" s="4" t="s">
        <v>1018</v>
      </c>
      <c r="E871">
        <v>720000</v>
      </c>
      <c r="F871" t="s">
        <v>40</v>
      </c>
      <c r="G871">
        <f>tblSalaries[[#This Row],[clean Salary (in local currency)]]*VLOOKUP(tblSalaries[[#This Row],[Currency]],tblXrate[],2,FALSE)</f>
        <v>12821.700014958649</v>
      </c>
      <c r="H871" t="s">
        <v>1019</v>
      </c>
      <c r="I871" t="s">
        <v>310</v>
      </c>
      <c r="J871" t="s">
        <v>8</v>
      </c>
      <c r="K871" t="str">
        <f>VLOOKUP(tblSalaries[[#This Row],[Where do you work]],tblCountries[[Actual]:[Mapping]],2,FALSE)</f>
        <v>India</v>
      </c>
      <c r="L871" t="s">
        <v>9</v>
      </c>
      <c r="M871">
        <v>3</v>
      </c>
    </row>
    <row r="872" spans="2:13" ht="15" customHeight="1">
      <c r="B872" t="s">
        <v>2875</v>
      </c>
      <c r="C872" s="1">
        <v>41056.546412037038</v>
      </c>
      <c r="D872" s="4">
        <v>600000</v>
      </c>
      <c r="E872">
        <v>600000</v>
      </c>
      <c r="F872" t="s">
        <v>40</v>
      </c>
      <c r="G872">
        <f>tblSalaries[[#This Row],[clean Salary (in local currency)]]*VLOOKUP(tblSalaries[[#This Row],[Currency]],tblXrate[],2,FALSE)</f>
        <v>10684.750012465542</v>
      </c>
      <c r="H872" t="s">
        <v>1020</v>
      </c>
      <c r="I872" t="s">
        <v>52</v>
      </c>
      <c r="J872" t="s">
        <v>8</v>
      </c>
      <c r="K872" t="str">
        <f>VLOOKUP(tblSalaries[[#This Row],[Where do you work]],tblCountries[[Actual]:[Mapping]],2,FALSE)</f>
        <v>India</v>
      </c>
      <c r="L872" t="s">
        <v>13</v>
      </c>
      <c r="M872">
        <v>5</v>
      </c>
    </row>
    <row r="873" spans="2:13" ht="15" customHeight="1">
      <c r="B873" t="s">
        <v>2876</v>
      </c>
      <c r="C873" s="1">
        <v>41056.560636574075</v>
      </c>
      <c r="D873" s="4" t="s">
        <v>1021</v>
      </c>
      <c r="E873">
        <v>420000</v>
      </c>
      <c r="F873" t="s">
        <v>32</v>
      </c>
      <c r="G873">
        <f>tblSalaries[[#This Row],[clean Salary (in local currency)]]*VLOOKUP(tblSalaries[[#This Row],[Currency]],tblXrate[],2,FALSE)</f>
        <v>4457.9172610556352</v>
      </c>
      <c r="H873" t="s">
        <v>1022</v>
      </c>
      <c r="I873" t="s">
        <v>52</v>
      </c>
      <c r="J873" t="s">
        <v>17</v>
      </c>
      <c r="K873" t="str">
        <f>VLOOKUP(tblSalaries[[#This Row],[Where do you work]],tblCountries[[Actual]:[Mapping]],2,FALSE)</f>
        <v>Pakistan</v>
      </c>
      <c r="L873" t="s">
        <v>13</v>
      </c>
      <c r="M873">
        <v>4</v>
      </c>
    </row>
    <row r="874" spans="2:13" ht="15" customHeight="1">
      <c r="B874" t="s">
        <v>2877</v>
      </c>
      <c r="C874" s="1">
        <v>41056.562407407408</v>
      </c>
      <c r="D874" s="4" t="s">
        <v>1023</v>
      </c>
      <c r="E874">
        <v>125000</v>
      </c>
      <c r="F874" t="s">
        <v>6</v>
      </c>
      <c r="G874">
        <f>tblSalaries[[#This Row],[clean Salary (in local currency)]]*VLOOKUP(tblSalaries[[#This Row],[Currency]],tblXrate[],2,FALSE)</f>
        <v>125000</v>
      </c>
      <c r="H874" t="s">
        <v>1024</v>
      </c>
      <c r="I874" t="s">
        <v>4001</v>
      </c>
      <c r="J874" t="s">
        <v>48</v>
      </c>
      <c r="K874" t="str">
        <f>VLOOKUP(tblSalaries[[#This Row],[Where do you work]],tblCountries[[Actual]:[Mapping]],2,FALSE)</f>
        <v>South Africa</v>
      </c>
      <c r="L874" t="s">
        <v>9</v>
      </c>
      <c r="M874">
        <v>20</v>
      </c>
    </row>
    <row r="875" spans="2:13" ht="15" customHeight="1">
      <c r="B875" t="s">
        <v>2878</v>
      </c>
      <c r="C875" s="1">
        <v>41056.565416666665</v>
      </c>
      <c r="D875" s="4">
        <v>43000</v>
      </c>
      <c r="E875">
        <v>43000</v>
      </c>
      <c r="F875" t="s">
        <v>6</v>
      </c>
      <c r="G875">
        <f>tblSalaries[[#This Row],[clean Salary (in local currency)]]*VLOOKUP(tblSalaries[[#This Row],[Currency]],tblXrate[],2,FALSE)</f>
        <v>43000</v>
      </c>
      <c r="H875" t="s">
        <v>14</v>
      </c>
      <c r="I875" t="s">
        <v>20</v>
      </c>
      <c r="J875" t="s">
        <v>15</v>
      </c>
      <c r="K875" t="str">
        <f>VLOOKUP(tblSalaries[[#This Row],[Where do you work]],tblCountries[[Actual]:[Mapping]],2,FALSE)</f>
        <v>USA</v>
      </c>
      <c r="L875" t="s">
        <v>9</v>
      </c>
      <c r="M875">
        <v>1</v>
      </c>
    </row>
    <row r="876" spans="2:13" ht="15" customHeight="1">
      <c r="B876" t="s">
        <v>2879</v>
      </c>
      <c r="C876" s="1">
        <v>41056.570185185185</v>
      </c>
      <c r="D876" s="4" t="s">
        <v>1025</v>
      </c>
      <c r="E876">
        <v>400000</v>
      </c>
      <c r="F876" t="s">
        <v>40</v>
      </c>
      <c r="G876">
        <f>tblSalaries[[#This Row],[clean Salary (in local currency)]]*VLOOKUP(tblSalaries[[#This Row],[Currency]],tblXrate[],2,FALSE)</f>
        <v>7123.1666749770275</v>
      </c>
      <c r="H876" t="s">
        <v>522</v>
      </c>
      <c r="I876" t="s">
        <v>279</v>
      </c>
      <c r="J876" t="s">
        <v>8</v>
      </c>
      <c r="K876" t="str">
        <f>VLOOKUP(tblSalaries[[#This Row],[Where do you work]],tblCountries[[Actual]:[Mapping]],2,FALSE)</f>
        <v>India</v>
      </c>
      <c r="L876" t="s">
        <v>18</v>
      </c>
      <c r="M876">
        <v>6</v>
      </c>
    </row>
    <row r="877" spans="2:13" ht="15" customHeight="1">
      <c r="B877" t="s">
        <v>2880</v>
      </c>
      <c r="C877" s="1">
        <v>41056.570196759261</v>
      </c>
      <c r="D877" s="4">
        <v>10000</v>
      </c>
      <c r="E877">
        <v>10000</v>
      </c>
      <c r="F877" t="s">
        <v>6</v>
      </c>
      <c r="G877">
        <f>tblSalaries[[#This Row],[clean Salary (in local currency)]]*VLOOKUP(tblSalaries[[#This Row],[Currency]],tblXrate[],2,FALSE)</f>
        <v>10000</v>
      </c>
      <c r="H877" t="s">
        <v>1026</v>
      </c>
      <c r="I877" t="s">
        <v>310</v>
      </c>
      <c r="J877" t="s">
        <v>1027</v>
      </c>
      <c r="K877" t="str">
        <f>VLOOKUP(tblSalaries[[#This Row],[Where do you work]],tblCountries[[Actual]:[Mapping]],2,FALSE)</f>
        <v>Vietnam</v>
      </c>
      <c r="L877" t="s">
        <v>9</v>
      </c>
      <c r="M877">
        <v>4</v>
      </c>
    </row>
    <row r="878" spans="2:13" ht="15" customHeight="1">
      <c r="B878" t="s">
        <v>2881</v>
      </c>
      <c r="C878" s="1">
        <v>41056.571006944447</v>
      </c>
      <c r="D878" s="4" t="s">
        <v>1028</v>
      </c>
      <c r="E878">
        <v>500000</v>
      </c>
      <c r="F878" t="s">
        <v>40</v>
      </c>
      <c r="G878">
        <f>tblSalaries[[#This Row],[clean Salary (in local currency)]]*VLOOKUP(tblSalaries[[#This Row],[Currency]],tblXrate[],2,FALSE)</f>
        <v>8903.9583437212841</v>
      </c>
      <c r="H878" t="s">
        <v>1029</v>
      </c>
      <c r="I878" t="s">
        <v>52</v>
      </c>
      <c r="J878" t="s">
        <v>8</v>
      </c>
      <c r="K878" t="str">
        <f>VLOOKUP(tblSalaries[[#This Row],[Where do you work]],tblCountries[[Actual]:[Mapping]],2,FALSE)</f>
        <v>India</v>
      </c>
      <c r="L878" t="s">
        <v>25</v>
      </c>
      <c r="M878">
        <v>5</v>
      </c>
    </row>
    <row r="879" spans="2:13" ht="15" customHeight="1">
      <c r="B879" t="s">
        <v>2882</v>
      </c>
      <c r="C879" s="1">
        <v>41056.573460648149</v>
      </c>
      <c r="D879" s="4">
        <v>36500</v>
      </c>
      <c r="E879">
        <v>36500</v>
      </c>
      <c r="F879" t="s">
        <v>6</v>
      </c>
      <c r="G879">
        <f>tblSalaries[[#This Row],[clean Salary (in local currency)]]*VLOOKUP(tblSalaries[[#This Row],[Currency]],tblXrate[],2,FALSE)</f>
        <v>36500</v>
      </c>
      <c r="H879" t="s">
        <v>310</v>
      </c>
      <c r="I879" t="s">
        <v>310</v>
      </c>
      <c r="J879" t="s">
        <v>133</v>
      </c>
      <c r="K879" t="str">
        <f>VLOOKUP(tblSalaries[[#This Row],[Where do you work]],tblCountries[[Actual]:[Mapping]],2,FALSE)</f>
        <v>Saudi Arabia</v>
      </c>
      <c r="L879" t="s">
        <v>9</v>
      </c>
      <c r="M879">
        <v>15</v>
      </c>
    </row>
    <row r="880" spans="2:13" ht="15" customHeight="1">
      <c r="B880" t="s">
        <v>2883</v>
      </c>
      <c r="C880" s="1">
        <v>41056.5783912037</v>
      </c>
      <c r="D880" s="4" t="s">
        <v>1030</v>
      </c>
      <c r="E880">
        <v>100000</v>
      </c>
      <c r="F880" t="s">
        <v>6</v>
      </c>
      <c r="G880">
        <f>tblSalaries[[#This Row],[clean Salary (in local currency)]]*VLOOKUP(tblSalaries[[#This Row],[Currency]],tblXrate[],2,FALSE)</f>
        <v>100000</v>
      </c>
      <c r="H880" t="s">
        <v>139</v>
      </c>
      <c r="I880" t="s">
        <v>4001</v>
      </c>
      <c r="J880" t="s">
        <v>1031</v>
      </c>
      <c r="K880" t="str">
        <f>VLOOKUP(tblSalaries[[#This Row],[Where do you work]],tblCountries[[Actual]:[Mapping]],2,FALSE)</f>
        <v>Mexico</v>
      </c>
      <c r="L880" t="s">
        <v>13</v>
      </c>
      <c r="M880">
        <v>10</v>
      </c>
    </row>
    <row r="881" spans="2:13" ht="15" customHeight="1">
      <c r="B881" t="s">
        <v>2884</v>
      </c>
      <c r="C881" s="1">
        <v>41056.586469907408</v>
      </c>
      <c r="D881" s="4" t="s">
        <v>80</v>
      </c>
      <c r="E881">
        <v>400000</v>
      </c>
      <c r="F881" t="s">
        <v>40</v>
      </c>
      <c r="G881">
        <f>tblSalaries[[#This Row],[clean Salary (in local currency)]]*VLOOKUP(tblSalaries[[#This Row],[Currency]],tblXrate[],2,FALSE)</f>
        <v>7123.1666749770275</v>
      </c>
      <c r="H881" t="s">
        <v>1032</v>
      </c>
      <c r="I881" t="s">
        <v>310</v>
      </c>
      <c r="J881" t="s">
        <v>8</v>
      </c>
      <c r="K881" t="str">
        <f>VLOOKUP(tblSalaries[[#This Row],[Where do you work]],tblCountries[[Actual]:[Mapping]],2,FALSE)</f>
        <v>India</v>
      </c>
      <c r="L881" t="s">
        <v>18</v>
      </c>
      <c r="M881">
        <v>8</v>
      </c>
    </row>
    <row r="882" spans="2:13" ht="15" customHeight="1">
      <c r="B882" t="s">
        <v>2885</v>
      </c>
      <c r="C882" s="1">
        <v>41056.598738425928</v>
      </c>
      <c r="D882" s="4" t="s">
        <v>1033</v>
      </c>
      <c r="E882">
        <v>2300000</v>
      </c>
      <c r="F882" t="s">
        <v>40</v>
      </c>
      <c r="G882">
        <f>tblSalaries[[#This Row],[clean Salary (in local currency)]]*VLOOKUP(tblSalaries[[#This Row],[Currency]],tblXrate[],2,FALSE)</f>
        <v>40958.208381117904</v>
      </c>
      <c r="H882" t="s">
        <v>1034</v>
      </c>
      <c r="I882" t="s">
        <v>52</v>
      </c>
      <c r="J882" t="s">
        <v>8</v>
      </c>
      <c r="K882" t="str">
        <f>VLOOKUP(tblSalaries[[#This Row],[Where do you work]],tblCountries[[Actual]:[Mapping]],2,FALSE)</f>
        <v>India</v>
      </c>
      <c r="L882" t="s">
        <v>18</v>
      </c>
      <c r="M882">
        <v>8</v>
      </c>
    </row>
    <row r="883" spans="2:13" ht="15" customHeight="1">
      <c r="B883" t="s">
        <v>2886</v>
      </c>
      <c r="C883" s="1">
        <v>41056.602465277778</v>
      </c>
      <c r="D883" s="4" t="s">
        <v>1035</v>
      </c>
      <c r="E883">
        <v>1200000</v>
      </c>
      <c r="F883" t="s">
        <v>40</v>
      </c>
      <c r="G883">
        <f>tblSalaries[[#This Row],[clean Salary (in local currency)]]*VLOOKUP(tblSalaries[[#This Row],[Currency]],tblXrate[],2,FALSE)</f>
        <v>21369.500024931083</v>
      </c>
      <c r="H883" t="s">
        <v>1036</v>
      </c>
      <c r="I883" t="s">
        <v>4001</v>
      </c>
      <c r="J883" t="s">
        <v>8</v>
      </c>
      <c r="K883" t="str">
        <f>VLOOKUP(tblSalaries[[#This Row],[Where do you work]],tblCountries[[Actual]:[Mapping]],2,FALSE)</f>
        <v>India</v>
      </c>
      <c r="L883" t="s">
        <v>9</v>
      </c>
      <c r="M883">
        <v>17</v>
      </c>
    </row>
    <row r="884" spans="2:13" ht="15" customHeight="1">
      <c r="B884" t="s">
        <v>2887</v>
      </c>
      <c r="C884" s="1">
        <v>41056.616215277776</v>
      </c>
      <c r="D884" s="4">
        <v>120000</v>
      </c>
      <c r="E884">
        <v>120000</v>
      </c>
      <c r="F884" t="s">
        <v>40</v>
      </c>
      <c r="G884">
        <f>tblSalaries[[#This Row],[clean Salary (in local currency)]]*VLOOKUP(tblSalaries[[#This Row],[Currency]],tblXrate[],2,FALSE)</f>
        <v>2136.9500024931081</v>
      </c>
      <c r="H884" t="s">
        <v>1037</v>
      </c>
      <c r="I884" t="s">
        <v>52</v>
      </c>
      <c r="J884" t="s">
        <v>8</v>
      </c>
      <c r="K884" t="str">
        <f>VLOOKUP(tblSalaries[[#This Row],[Where do you work]],tblCountries[[Actual]:[Mapping]],2,FALSE)</f>
        <v>India</v>
      </c>
      <c r="L884" t="s">
        <v>9</v>
      </c>
      <c r="M884">
        <v>5</v>
      </c>
    </row>
    <row r="885" spans="2:13" ht="15" customHeight="1">
      <c r="B885" t="s">
        <v>2888</v>
      </c>
      <c r="C885" s="1">
        <v>41056.6175</v>
      </c>
      <c r="D885" s="4" t="s">
        <v>1038</v>
      </c>
      <c r="E885">
        <v>500000</v>
      </c>
      <c r="F885" t="s">
        <v>40</v>
      </c>
      <c r="G885">
        <f>tblSalaries[[#This Row],[clean Salary (in local currency)]]*VLOOKUP(tblSalaries[[#This Row],[Currency]],tblXrate[],2,FALSE)</f>
        <v>8903.9583437212841</v>
      </c>
      <c r="H885" t="s">
        <v>737</v>
      </c>
      <c r="I885" t="s">
        <v>279</v>
      </c>
      <c r="J885" t="s">
        <v>8</v>
      </c>
      <c r="K885" t="str">
        <f>VLOOKUP(tblSalaries[[#This Row],[Where do you work]],tblCountries[[Actual]:[Mapping]],2,FALSE)</f>
        <v>India</v>
      </c>
      <c r="L885" t="s">
        <v>18</v>
      </c>
      <c r="M885">
        <v>3</v>
      </c>
    </row>
    <row r="886" spans="2:13" ht="15" customHeight="1">
      <c r="B886" t="s">
        <v>2889</v>
      </c>
      <c r="C886" s="1">
        <v>41056.618703703702</v>
      </c>
      <c r="D886" s="4">
        <v>1000000</v>
      </c>
      <c r="E886">
        <v>1000000</v>
      </c>
      <c r="F886" t="s">
        <v>40</v>
      </c>
      <c r="G886">
        <f>tblSalaries[[#This Row],[clean Salary (in local currency)]]*VLOOKUP(tblSalaries[[#This Row],[Currency]],tblXrate[],2,FALSE)</f>
        <v>17807.916687442568</v>
      </c>
      <c r="H886" t="s">
        <v>1039</v>
      </c>
      <c r="I886" t="s">
        <v>52</v>
      </c>
      <c r="J886" t="s">
        <v>8</v>
      </c>
      <c r="K886" t="str">
        <f>VLOOKUP(tblSalaries[[#This Row],[Where do you work]],tblCountries[[Actual]:[Mapping]],2,FALSE)</f>
        <v>India</v>
      </c>
      <c r="L886" t="s">
        <v>9</v>
      </c>
      <c r="M886">
        <v>5</v>
      </c>
    </row>
    <row r="887" spans="2:13" ht="15" customHeight="1">
      <c r="B887" t="s">
        <v>2890</v>
      </c>
      <c r="C887" s="1">
        <v>41056.621874999997</v>
      </c>
      <c r="D887" s="4" t="s">
        <v>717</v>
      </c>
      <c r="E887">
        <v>850000</v>
      </c>
      <c r="F887" t="s">
        <v>40</v>
      </c>
      <c r="G887">
        <f>tblSalaries[[#This Row],[clean Salary (in local currency)]]*VLOOKUP(tblSalaries[[#This Row],[Currency]],tblXrate[],2,FALSE)</f>
        <v>15136.729184326183</v>
      </c>
      <c r="H887" t="s">
        <v>1022</v>
      </c>
      <c r="I887" t="s">
        <v>52</v>
      </c>
      <c r="J887" t="s">
        <v>8</v>
      </c>
      <c r="K887" t="str">
        <f>VLOOKUP(tblSalaries[[#This Row],[Where do you work]],tblCountries[[Actual]:[Mapping]],2,FALSE)</f>
        <v>India</v>
      </c>
      <c r="L887" t="s">
        <v>18</v>
      </c>
      <c r="M887">
        <v>3</v>
      </c>
    </row>
    <row r="888" spans="2:13" ht="15" customHeight="1">
      <c r="B888" t="s">
        <v>2891</v>
      </c>
      <c r="C888" s="1">
        <v>41056.625717592593</v>
      </c>
      <c r="D888" s="4" t="s">
        <v>1040</v>
      </c>
      <c r="E888">
        <v>168000</v>
      </c>
      <c r="F888" t="s">
        <v>3951</v>
      </c>
      <c r="G888">
        <f>tblSalaries[[#This Row],[clean Salary (in local currency)]]*VLOOKUP(tblSalaries[[#This Row],[Currency]],tblXrate[],2,FALSE)</f>
        <v>3982.448779308334</v>
      </c>
      <c r="H888" t="s">
        <v>1041</v>
      </c>
      <c r="I888" t="s">
        <v>20</v>
      </c>
      <c r="J888" t="s">
        <v>347</v>
      </c>
      <c r="K888" t="str">
        <f>VLOOKUP(tblSalaries[[#This Row],[Where do you work]],tblCountries[[Actual]:[Mapping]],2,FALSE)</f>
        <v>Philippines</v>
      </c>
      <c r="L888" t="s">
        <v>9</v>
      </c>
      <c r="M888">
        <v>10</v>
      </c>
    </row>
    <row r="889" spans="2:13" ht="15" customHeight="1">
      <c r="B889" t="s">
        <v>2892</v>
      </c>
      <c r="C889" s="1">
        <v>41056.642824074072</v>
      </c>
      <c r="D889" s="4">
        <v>1300</v>
      </c>
      <c r="E889">
        <v>15600</v>
      </c>
      <c r="F889" t="s">
        <v>6</v>
      </c>
      <c r="G889">
        <f>tblSalaries[[#This Row],[clean Salary (in local currency)]]*VLOOKUP(tblSalaries[[#This Row],[Currency]],tblXrate[],2,FALSE)</f>
        <v>15600</v>
      </c>
      <c r="H889" t="s">
        <v>1042</v>
      </c>
      <c r="I889" t="s">
        <v>488</v>
      </c>
      <c r="J889" t="s">
        <v>1043</v>
      </c>
      <c r="K889" t="str">
        <f>VLOOKUP(tblSalaries[[#This Row],[Where do you work]],tblCountries[[Actual]:[Mapping]],2,FALSE)</f>
        <v xml:space="preserve">Kuwait </v>
      </c>
      <c r="L889" t="s">
        <v>9</v>
      </c>
      <c r="M889">
        <v>13</v>
      </c>
    </row>
    <row r="890" spans="2:13" ht="15" customHeight="1">
      <c r="B890" t="s">
        <v>2893</v>
      </c>
      <c r="C890" s="1">
        <v>41056.643449074072</v>
      </c>
      <c r="D890" s="4" t="s">
        <v>1044</v>
      </c>
      <c r="E890">
        <v>180000</v>
      </c>
      <c r="F890" t="s">
        <v>40</v>
      </c>
      <c r="G890">
        <f>tblSalaries[[#This Row],[clean Salary (in local currency)]]*VLOOKUP(tblSalaries[[#This Row],[Currency]],tblXrate[],2,FALSE)</f>
        <v>3205.4250037396623</v>
      </c>
      <c r="H890" t="s">
        <v>749</v>
      </c>
      <c r="I890" t="s">
        <v>20</v>
      </c>
      <c r="J890" t="s">
        <v>8</v>
      </c>
      <c r="K890" t="str">
        <f>VLOOKUP(tblSalaries[[#This Row],[Where do you work]],tblCountries[[Actual]:[Mapping]],2,FALSE)</f>
        <v>India</v>
      </c>
      <c r="L890" t="s">
        <v>18</v>
      </c>
      <c r="M890">
        <v>3.5</v>
      </c>
    </row>
    <row r="891" spans="2:13" ht="15" customHeight="1">
      <c r="B891" t="s">
        <v>2894</v>
      </c>
      <c r="C891" s="1">
        <v>41056.647337962961</v>
      </c>
      <c r="D891" s="4">
        <v>10000</v>
      </c>
      <c r="E891">
        <v>10000</v>
      </c>
      <c r="F891" t="s">
        <v>6</v>
      </c>
      <c r="G891">
        <f>tblSalaries[[#This Row],[clean Salary (in local currency)]]*VLOOKUP(tblSalaries[[#This Row],[Currency]],tblXrate[],2,FALSE)</f>
        <v>10000</v>
      </c>
      <c r="H891" t="s">
        <v>523</v>
      </c>
      <c r="I891" t="s">
        <v>52</v>
      </c>
      <c r="J891" t="s">
        <v>8</v>
      </c>
      <c r="K891" t="str">
        <f>VLOOKUP(tblSalaries[[#This Row],[Where do you work]],tblCountries[[Actual]:[Mapping]],2,FALSE)</f>
        <v>India</v>
      </c>
      <c r="L891" t="s">
        <v>9</v>
      </c>
      <c r="M891">
        <v>6</v>
      </c>
    </row>
    <row r="892" spans="2:13" ht="15" customHeight="1">
      <c r="B892" t="s">
        <v>2895</v>
      </c>
      <c r="C892" s="1">
        <v>41056.655636574076</v>
      </c>
      <c r="D892" s="4">
        <v>75010</v>
      </c>
      <c r="E892">
        <v>75010</v>
      </c>
      <c r="F892" t="s">
        <v>6</v>
      </c>
      <c r="G892">
        <f>tblSalaries[[#This Row],[clean Salary (in local currency)]]*VLOOKUP(tblSalaries[[#This Row],[Currency]],tblXrate[],2,FALSE)</f>
        <v>75010</v>
      </c>
      <c r="H892" t="s">
        <v>459</v>
      </c>
      <c r="I892" t="s">
        <v>20</v>
      </c>
      <c r="J892" t="s">
        <v>15</v>
      </c>
      <c r="K892" t="str">
        <f>VLOOKUP(tblSalaries[[#This Row],[Where do you work]],tblCountries[[Actual]:[Mapping]],2,FALSE)</f>
        <v>USA</v>
      </c>
      <c r="L892" t="s">
        <v>18</v>
      </c>
      <c r="M892">
        <v>6</v>
      </c>
    </row>
    <row r="893" spans="2:13" ht="15" customHeight="1">
      <c r="B893" t="s">
        <v>2896</v>
      </c>
      <c r="C893" s="1">
        <v>41056.656157407408</v>
      </c>
      <c r="D893" s="4" t="s">
        <v>1045</v>
      </c>
      <c r="E893">
        <v>600000</v>
      </c>
      <c r="F893" t="s">
        <v>40</v>
      </c>
      <c r="G893">
        <f>tblSalaries[[#This Row],[clean Salary (in local currency)]]*VLOOKUP(tblSalaries[[#This Row],[Currency]],tblXrate[],2,FALSE)</f>
        <v>10684.750012465542</v>
      </c>
      <c r="H893" t="s">
        <v>52</v>
      </c>
      <c r="I893" t="s">
        <v>52</v>
      </c>
      <c r="J893" t="s">
        <v>8</v>
      </c>
      <c r="K893" t="str">
        <f>VLOOKUP(tblSalaries[[#This Row],[Where do you work]],tblCountries[[Actual]:[Mapping]],2,FALSE)</f>
        <v>India</v>
      </c>
      <c r="L893" t="s">
        <v>13</v>
      </c>
      <c r="M893">
        <v>9</v>
      </c>
    </row>
    <row r="894" spans="2:13" ht="15" customHeight="1">
      <c r="B894" t="s">
        <v>2897</v>
      </c>
      <c r="C894" s="1">
        <v>41056.658368055556</v>
      </c>
      <c r="D894" s="4">
        <v>16350</v>
      </c>
      <c r="E894">
        <v>16350</v>
      </c>
      <c r="F894" t="s">
        <v>6</v>
      </c>
      <c r="G894">
        <f>tblSalaries[[#This Row],[clean Salary (in local currency)]]*VLOOKUP(tblSalaries[[#This Row],[Currency]],tblXrate[],2,FALSE)</f>
        <v>16350</v>
      </c>
      <c r="H894" t="s">
        <v>846</v>
      </c>
      <c r="I894" t="s">
        <v>52</v>
      </c>
      <c r="J894" t="s">
        <v>8</v>
      </c>
      <c r="K894" t="str">
        <f>VLOOKUP(tblSalaries[[#This Row],[Where do you work]],tblCountries[[Actual]:[Mapping]],2,FALSE)</f>
        <v>India</v>
      </c>
      <c r="L894" t="s">
        <v>9</v>
      </c>
      <c r="M894">
        <v>5</v>
      </c>
    </row>
    <row r="895" spans="2:13" ht="15" customHeight="1">
      <c r="B895" t="s">
        <v>2898</v>
      </c>
      <c r="C895" s="1">
        <v>41056.673657407409</v>
      </c>
      <c r="D895" s="4">
        <v>80000</v>
      </c>
      <c r="E895">
        <v>80000</v>
      </c>
      <c r="F895" t="s">
        <v>69</v>
      </c>
      <c r="G895">
        <f>tblSalaries[[#This Row],[clean Salary (in local currency)]]*VLOOKUP(tblSalaries[[#This Row],[Currency]],tblXrate[],2,FALSE)</f>
        <v>126094.26176538273</v>
      </c>
      <c r="H895" t="s">
        <v>1046</v>
      </c>
      <c r="I895" t="s">
        <v>310</v>
      </c>
      <c r="J895" t="s">
        <v>71</v>
      </c>
      <c r="K895" t="str">
        <f>VLOOKUP(tblSalaries[[#This Row],[Where do you work]],tblCountries[[Actual]:[Mapping]],2,FALSE)</f>
        <v>UK</v>
      </c>
      <c r="L895" t="s">
        <v>9</v>
      </c>
      <c r="M895">
        <v>10</v>
      </c>
    </row>
    <row r="896" spans="2:13" ht="15" customHeight="1">
      <c r="B896" t="s">
        <v>2899</v>
      </c>
      <c r="C896" s="1">
        <v>41056.67392361111</v>
      </c>
      <c r="D896" s="4">
        <v>60000</v>
      </c>
      <c r="E896">
        <v>60000</v>
      </c>
      <c r="F896" t="s">
        <v>6</v>
      </c>
      <c r="G896">
        <f>tblSalaries[[#This Row],[clean Salary (in local currency)]]*VLOOKUP(tblSalaries[[#This Row],[Currency]],tblXrate[],2,FALSE)</f>
        <v>60000</v>
      </c>
      <c r="H896" t="s">
        <v>1047</v>
      </c>
      <c r="I896" t="s">
        <v>310</v>
      </c>
      <c r="J896" t="s">
        <v>171</v>
      </c>
      <c r="K896" t="str">
        <f>VLOOKUP(tblSalaries[[#This Row],[Where do you work]],tblCountries[[Actual]:[Mapping]],2,FALSE)</f>
        <v>Singapore</v>
      </c>
      <c r="L896" t="s">
        <v>13</v>
      </c>
      <c r="M896">
        <v>10</v>
      </c>
    </row>
    <row r="897" spans="2:13" ht="15" customHeight="1">
      <c r="B897" t="s">
        <v>2900</v>
      </c>
      <c r="C897" s="1">
        <v>41056.683912037035</v>
      </c>
      <c r="D897" s="4">
        <v>1300000</v>
      </c>
      <c r="E897">
        <v>1300000</v>
      </c>
      <c r="F897" t="s">
        <v>40</v>
      </c>
      <c r="G897">
        <f>tblSalaries[[#This Row],[clean Salary (in local currency)]]*VLOOKUP(tblSalaries[[#This Row],[Currency]],tblXrate[],2,FALSE)</f>
        <v>23150.291693675339</v>
      </c>
      <c r="H897" t="s">
        <v>1048</v>
      </c>
      <c r="I897" t="s">
        <v>52</v>
      </c>
      <c r="J897" t="s">
        <v>8</v>
      </c>
      <c r="K897" t="str">
        <f>VLOOKUP(tblSalaries[[#This Row],[Where do you work]],tblCountries[[Actual]:[Mapping]],2,FALSE)</f>
        <v>India</v>
      </c>
      <c r="L897" t="s">
        <v>25</v>
      </c>
      <c r="M897">
        <v>3</v>
      </c>
    </row>
    <row r="898" spans="2:13" ht="15" customHeight="1">
      <c r="B898" t="s">
        <v>2901</v>
      </c>
      <c r="C898" s="1">
        <v>41056.688125000001</v>
      </c>
      <c r="D898" s="4">
        <v>775000</v>
      </c>
      <c r="E898">
        <v>775000</v>
      </c>
      <c r="F898" t="s">
        <v>40</v>
      </c>
      <c r="G898">
        <f>tblSalaries[[#This Row],[clean Salary (in local currency)]]*VLOOKUP(tblSalaries[[#This Row],[Currency]],tblXrate[],2,FALSE)</f>
        <v>13801.135432767991</v>
      </c>
      <c r="H898" t="s">
        <v>20</v>
      </c>
      <c r="I898" t="s">
        <v>20</v>
      </c>
      <c r="J898" t="s">
        <v>8</v>
      </c>
      <c r="K898" t="str">
        <f>VLOOKUP(tblSalaries[[#This Row],[Where do you work]],tblCountries[[Actual]:[Mapping]],2,FALSE)</f>
        <v>India</v>
      </c>
      <c r="L898" t="s">
        <v>9</v>
      </c>
      <c r="M898">
        <v>2</v>
      </c>
    </row>
    <row r="899" spans="2:13" ht="15" customHeight="1">
      <c r="B899" t="s">
        <v>2902</v>
      </c>
      <c r="C899" s="1">
        <v>41056.701967592591</v>
      </c>
      <c r="D899" s="4" t="s">
        <v>1049</v>
      </c>
      <c r="E899">
        <v>1050000</v>
      </c>
      <c r="F899" t="s">
        <v>40</v>
      </c>
      <c r="G899">
        <f>tblSalaries[[#This Row],[clean Salary (in local currency)]]*VLOOKUP(tblSalaries[[#This Row],[Currency]],tblXrate[],2,FALSE)</f>
        <v>18698.312521814696</v>
      </c>
      <c r="H899" t="s">
        <v>1050</v>
      </c>
      <c r="I899" t="s">
        <v>52</v>
      </c>
      <c r="J899" t="s">
        <v>8</v>
      </c>
      <c r="K899" t="str">
        <f>VLOOKUP(tblSalaries[[#This Row],[Where do you work]],tblCountries[[Actual]:[Mapping]],2,FALSE)</f>
        <v>India</v>
      </c>
      <c r="L899" t="s">
        <v>13</v>
      </c>
      <c r="M899">
        <v>5</v>
      </c>
    </row>
    <row r="900" spans="2:13" ht="15" customHeight="1">
      <c r="B900" t="s">
        <v>2903</v>
      </c>
      <c r="C900" s="1">
        <v>41056.715694444443</v>
      </c>
      <c r="D900" s="4">
        <v>36000</v>
      </c>
      <c r="E900">
        <v>36000</v>
      </c>
      <c r="F900" t="s">
        <v>6</v>
      </c>
      <c r="G900">
        <f>tblSalaries[[#This Row],[clean Salary (in local currency)]]*VLOOKUP(tblSalaries[[#This Row],[Currency]],tblXrate[],2,FALSE)</f>
        <v>36000</v>
      </c>
      <c r="H900" t="s">
        <v>1051</v>
      </c>
      <c r="I900" t="s">
        <v>488</v>
      </c>
      <c r="J900" t="s">
        <v>1052</v>
      </c>
      <c r="K900" t="str">
        <f>VLOOKUP(tblSalaries[[#This Row],[Where do you work]],tblCountries[[Actual]:[Mapping]],2,FALSE)</f>
        <v>Czech Republic</v>
      </c>
      <c r="L900" t="s">
        <v>18</v>
      </c>
      <c r="M900">
        <v>9</v>
      </c>
    </row>
    <row r="901" spans="2:13" ht="15" customHeight="1">
      <c r="B901" t="s">
        <v>2904</v>
      </c>
      <c r="C901" s="1">
        <v>41056.720081018517</v>
      </c>
      <c r="D901" s="4" t="s">
        <v>1053</v>
      </c>
      <c r="E901">
        <v>486000</v>
      </c>
      <c r="F901" t="s">
        <v>40</v>
      </c>
      <c r="G901">
        <f>tblSalaries[[#This Row],[clean Salary (in local currency)]]*VLOOKUP(tblSalaries[[#This Row],[Currency]],tblXrate[],2,FALSE)</f>
        <v>8654.6475100970874</v>
      </c>
      <c r="H901" t="s">
        <v>1054</v>
      </c>
      <c r="I901" t="s">
        <v>52</v>
      </c>
      <c r="J901" t="s">
        <v>8</v>
      </c>
      <c r="K901" t="str">
        <f>VLOOKUP(tblSalaries[[#This Row],[Where do you work]],tblCountries[[Actual]:[Mapping]],2,FALSE)</f>
        <v>India</v>
      </c>
      <c r="L901" t="s">
        <v>13</v>
      </c>
      <c r="M901">
        <v>6</v>
      </c>
    </row>
    <row r="902" spans="2:13" ht="15" customHeight="1">
      <c r="B902" t="s">
        <v>2905</v>
      </c>
      <c r="C902" s="1">
        <v>41056.720416666663</v>
      </c>
      <c r="D902" s="4" t="s">
        <v>524</v>
      </c>
      <c r="E902">
        <v>65000</v>
      </c>
      <c r="F902" t="s">
        <v>69</v>
      </c>
      <c r="G902">
        <f>tblSalaries[[#This Row],[clean Salary (in local currency)]]*VLOOKUP(tblSalaries[[#This Row],[Currency]],tblXrate[],2,FALSE)</f>
        <v>102451.58768437347</v>
      </c>
      <c r="H902" t="s">
        <v>52</v>
      </c>
      <c r="I902" t="s">
        <v>52</v>
      </c>
      <c r="J902" t="s">
        <v>71</v>
      </c>
      <c r="K902" t="str">
        <f>VLOOKUP(tblSalaries[[#This Row],[Where do you work]],tblCountries[[Actual]:[Mapping]],2,FALSE)</f>
        <v>UK</v>
      </c>
      <c r="L902" t="s">
        <v>25</v>
      </c>
      <c r="M902">
        <v>15</v>
      </c>
    </row>
    <row r="903" spans="2:13" ht="15" customHeight="1">
      <c r="B903" t="s">
        <v>2906</v>
      </c>
      <c r="C903" s="1">
        <v>41056.725104166668</v>
      </c>
      <c r="D903" s="4">
        <v>36400</v>
      </c>
      <c r="E903">
        <v>36400</v>
      </c>
      <c r="F903" t="s">
        <v>6</v>
      </c>
      <c r="G903">
        <f>tblSalaries[[#This Row],[clean Salary (in local currency)]]*VLOOKUP(tblSalaries[[#This Row],[Currency]],tblXrate[],2,FALSE)</f>
        <v>36400</v>
      </c>
      <c r="H903" t="s">
        <v>20</v>
      </c>
      <c r="I903" t="s">
        <v>20</v>
      </c>
      <c r="J903" t="s">
        <v>1055</v>
      </c>
      <c r="K903" t="str">
        <f>VLOOKUP(tblSalaries[[#This Row],[Where do you work]],tblCountries[[Actual]:[Mapping]],2,FALSE)</f>
        <v>Zimbabwe</v>
      </c>
      <c r="L903" t="s">
        <v>9</v>
      </c>
      <c r="M903">
        <v>20</v>
      </c>
    </row>
    <row r="904" spans="2:13" ht="15" customHeight="1">
      <c r="B904" t="s">
        <v>2907</v>
      </c>
      <c r="C904" s="1">
        <v>41056.763553240744</v>
      </c>
      <c r="D904" s="4">
        <v>64210.1</v>
      </c>
      <c r="E904">
        <v>64210</v>
      </c>
      <c r="F904" t="s">
        <v>69</v>
      </c>
      <c r="G904">
        <f>tblSalaries[[#This Row],[clean Salary (in local currency)]]*VLOOKUP(tblSalaries[[#This Row],[Currency]],tblXrate[],2,FALSE)</f>
        <v>101206.40684944032</v>
      </c>
      <c r="H904" t="s">
        <v>1056</v>
      </c>
      <c r="I904" t="s">
        <v>356</v>
      </c>
      <c r="J904" t="s">
        <v>71</v>
      </c>
      <c r="K904" t="str">
        <f>VLOOKUP(tblSalaries[[#This Row],[Where do you work]],tblCountries[[Actual]:[Mapping]],2,FALSE)</f>
        <v>UK</v>
      </c>
      <c r="L904" t="s">
        <v>9</v>
      </c>
      <c r="M904">
        <v>16</v>
      </c>
    </row>
    <row r="905" spans="2:13" ht="15" customHeight="1">
      <c r="B905" t="s">
        <v>2908</v>
      </c>
      <c r="C905" s="1">
        <v>41056.773506944446</v>
      </c>
      <c r="D905" s="4" t="s">
        <v>1057</v>
      </c>
      <c r="E905">
        <v>300000</v>
      </c>
      <c r="F905" t="s">
        <v>40</v>
      </c>
      <c r="G905">
        <f>tblSalaries[[#This Row],[clean Salary (in local currency)]]*VLOOKUP(tblSalaries[[#This Row],[Currency]],tblXrate[],2,FALSE)</f>
        <v>5342.3750062327708</v>
      </c>
      <c r="H905" t="s">
        <v>1058</v>
      </c>
      <c r="I905" t="s">
        <v>20</v>
      </c>
      <c r="J905" t="s">
        <v>8</v>
      </c>
      <c r="K905" t="str">
        <f>VLOOKUP(tblSalaries[[#This Row],[Where do you work]],tblCountries[[Actual]:[Mapping]],2,FALSE)</f>
        <v>India</v>
      </c>
      <c r="L905" t="s">
        <v>9</v>
      </c>
      <c r="M905">
        <v>0.5</v>
      </c>
    </row>
    <row r="906" spans="2:13" ht="15" customHeight="1">
      <c r="B906" t="s">
        <v>2909</v>
      </c>
      <c r="C906" s="1">
        <v>41056.819050925929</v>
      </c>
      <c r="D906" s="4">
        <v>104000</v>
      </c>
      <c r="E906">
        <v>104000</v>
      </c>
      <c r="F906" t="s">
        <v>358</v>
      </c>
      <c r="G906">
        <f>tblSalaries[[#This Row],[clean Salary (in local currency)]]*VLOOKUP(tblSalaries[[#This Row],[Currency]],tblXrate[],2,FALSE)</f>
        <v>28310.79811950968</v>
      </c>
      <c r="H906" t="s">
        <v>14</v>
      </c>
      <c r="I906" t="s">
        <v>20</v>
      </c>
      <c r="J906" t="s">
        <v>179</v>
      </c>
      <c r="K906" t="str">
        <f>VLOOKUP(tblSalaries[[#This Row],[Where do you work]],tblCountries[[Actual]:[Mapping]],2,FALSE)</f>
        <v>UAE</v>
      </c>
      <c r="L906" t="s">
        <v>9</v>
      </c>
      <c r="M906">
        <v>11</v>
      </c>
    </row>
    <row r="907" spans="2:13" ht="15" customHeight="1">
      <c r="B907" t="s">
        <v>2910</v>
      </c>
      <c r="C907" s="1">
        <v>41056.820775462962</v>
      </c>
      <c r="D907" s="4">
        <v>20500</v>
      </c>
      <c r="E907">
        <v>20500</v>
      </c>
      <c r="F907" t="s">
        <v>22</v>
      </c>
      <c r="G907">
        <f>tblSalaries[[#This Row],[clean Salary (in local currency)]]*VLOOKUP(tblSalaries[[#This Row],[Currency]],tblXrate[],2,FALSE)</f>
        <v>26043.18849932796</v>
      </c>
      <c r="H907" t="s">
        <v>1059</v>
      </c>
      <c r="I907" t="s">
        <v>52</v>
      </c>
      <c r="J907" t="s">
        <v>75</v>
      </c>
      <c r="K907" t="str">
        <f>VLOOKUP(tblSalaries[[#This Row],[Where do you work]],tblCountries[[Actual]:[Mapping]],2,FALSE)</f>
        <v>Poland</v>
      </c>
      <c r="L907" t="s">
        <v>9</v>
      </c>
      <c r="M907">
        <v>8</v>
      </c>
    </row>
    <row r="908" spans="2:13" ht="15" customHeight="1">
      <c r="B908" t="s">
        <v>2911</v>
      </c>
      <c r="C908" s="1">
        <v>41056.846412037034</v>
      </c>
      <c r="D908" s="4" t="s">
        <v>884</v>
      </c>
      <c r="E908">
        <v>95000</v>
      </c>
      <c r="F908" t="s">
        <v>82</v>
      </c>
      <c r="G908">
        <f>tblSalaries[[#This Row],[clean Salary (in local currency)]]*VLOOKUP(tblSalaries[[#This Row],[Currency]],tblXrate[],2,FALSE)</f>
        <v>96891.417358250401</v>
      </c>
      <c r="H908" t="s">
        <v>1060</v>
      </c>
      <c r="I908" t="s">
        <v>20</v>
      </c>
      <c r="J908" t="s">
        <v>84</v>
      </c>
      <c r="K908" t="str">
        <f>VLOOKUP(tblSalaries[[#This Row],[Where do you work]],tblCountries[[Actual]:[Mapping]],2,FALSE)</f>
        <v>Australia</v>
      </c>
      <c r="L908" t="s">
        <v>25</v>
      </c>
      <c r="M908">
        <v>7</v>
      </c>
    </row>
    <row r="909" spans="2:13" ht="15" customHeight="1">
      <c r="B909" t="s">
        <v>2912</v>
      </c>
      <c r="C909" s="1">
        <v>41056.863344907404</v>
      </c>
      <c r="D909" s="4" t="s">
        <v>785</v>
      </c>
      <c r="E909">
        <v>144000</v>
      </c>
      <c r="F909" t="s">
        <v>40</v>
      </c>
      <c r="G909">
        <f>tblSalaries[[#This Row],[clean Salary (in local currency)]]*VLOOKUP(tblSalaries[[#This Row],[Currency]],tblXrate[],2,FALSE)</f>
        <v>2564.3400029917298</v>
      </c>
      <c r="H909" t="s">
        <v>1061</v>
      </c>
      <c r="I909" t="s">
        <v>488</v>
      </c>
      <c r="J909" t="s">
        <v>8</v>
      </c>
      <c r="K909" t="str">
        <f>VLOOKUP(tblSalaries[[#This Row],[Where do you work]],tblCountries[[Actual]:[Mapping]],2,FALSE)</f>
        <v>India</v>
      </c>
      <c r="L909" t="s">
        <v>9</v>
      </c>
      <c r="M909">
        <v>4</v>
      </c>
    </row>
    <row r="910" spans="2:13" ht="15" customHeight="1">
      <c r="B910" t="s">
        <v>2913</v>
      </c>
      <c r="C910" s="1">
        <v>41056.869386574072</v>
      </c>
      <c r="D910" s="4">
        <v>180000</v>
      </c>
      <c r="E910">
        <v>180000</v>
      </c>
      <c r="F910" t="s">
        <v>40</v>
      </c>
      <c r="G910">
        <f>tblSalaries[[#This Row],[clean Salary (in local currency)]]*VLOOKUP(tblSalaries[[#This Row],[Currency]],tblXrate[],2,FALSE)</f>
        <v>3205.4250037396623</v>
      </c>
      <c r="H910" t="s">
        <v>1062</v>
      </c>
      <c r="I910" t="s">
        <v>3999</v>
      </c>
      <c r="J910" t="s">
        <v>8</v>
      </c>
      <c r="K910" t="str">
        <f>VLOOKUP(tblSalaries[[#This Row],[Where do you work]],tblCountries[[Actual]:[Mapping]],2,FALSE)</f>
        <v>India</v>
      </c>
      <c r="L910" t="s">
        <v>13</v>
      </c>
      <c r="M910">
        <v>8</v>
      </c>
    </row>
    <row r="911" spans="2:13" ht="15" customHeight="1">
      <c r="B911" t="s">
        <v>2914</v>
      </c>
      <c r="C911" s="1">
        <v>41056.877858796295</v>
      </c>
      <c r="D911" s="4">
        <v>600000</v>
      </c>
      <c r="E911">
        <v>600000</v>
      </c>
      <c r="F911" t="s">
        <v>40</v>
      </c>
      <c r="G911">
        <f>tblSalaries[[#This Row],[clean Salary (in local currency)]]*VLOOKUP(tblSalaries[[#This Row],[Currency]],tblXrate[],2,FALSE)</f>
        <v>10684.750012465542</v>
      </c>
      <c r="H911" t="s">
        <v>108</v>
      </c>
      <c r="I911" t="s">
        <v>20</v>
      </c>
      <c r="J911" t="s">
        <v>8</v>
      </c>
      <c r="K911" t="str">
        <f>VLOOKUP(tblSalaries[[#This Row],[Where do you work]],tblCountries[[Actual]:[Mapping]],2,FALSE)</f>
        <v>India</v>
      </c>
      <c r="L911" t="s">
        <v>13</v>
      </c>
      <c r="M911">
        <v>8</v>
      </c>
    </row>
    <row r="912" spans="2:13" ht="15" customHeight="1">
      <c r="B912" t="s">
        <v>2915</v>
      </c>
      <c r="C912" s="1">
        <v>41056.890057870369</v>
      </c>
      <c r="D912" s="4">
        <v>150000</v>
      </c>
      <c r="E912">
        <v>150000</v>
      </c>
      <c r="F912" t="s">
        <v>6</v>
      </c>
      <c r="G912">
        <f>tblSalaries[[#This Row],[clean Salary (in local currency)]]*VLOOKUP(tblSalaries[[#This Row],[Currency]],tblXrate[],2,FALSE)</f>
        <v>150000</v>
      </c>
      <c r="H912" t="s">
        <v>488</v>
      </c>
      <c r="I912" t="s">
        <v>488</v>
      </c>
      <c r="J912" t="s">
        <v>15</v>
      </c>
      <c r="K912" t="str">
        <f>VLOOKUP(tblSalaries[[#This Row],[Where do you work]],tblCountries[[Actual]:[Mapping]],2,FALSE)</f>
        <v>USA</v>
      </c>
      <c r="L912" t="s">
        <v>9</v>
      </c>
      <c r="M912">
        <v>25</v>
      </c>
    </row>
    <row r="913" spans="2:13" ht="15" customHeight="1">
      <c r="B913" t="s">
        <v>2916</v>
      </c>
      <c r="C913" s="1">
        <v>41056.892152777778</v>
      </c>
      <c r="D913" s="4" t="s">
        <v>1063</v>
      </c>
      <c r="E913">
        <v>700000</v>
      </c>
      <c r="F913" t="s">
        <v>40</v>
      </c>
      <c r="G913">
        <f>tblSalaries[[#This Row],[clean Salary (in local currency)]]*VLOOKUP(tblSalaries[[#This Row],[Currency]],tblXrate[],2,FALSE)</f>
        <v>12465.541681209797</v>
      </c>
      <c r="H913" t="s">
        <v>1064</v>
      </c>
      <c r="I913" t="s">
        <v>52</v>
      </c>
      <c r="J913" t="s">
        <v>8</v>
      </c>
      <c r="K913" t="str">
        <f>VLOOKUP(tblSalaries[[#This Row],[Where do you work]],tblCountries[[Actual]:[Mapping]],2,FALSE)</f>
        <v>India</v>
      </c>
      <c r="L913" t="s">
        <v>9</v>
      </c>
      <c r="M913">
        <v>3</v>
      </c>
    </row>
    <row r="914" spans="2:13" ht="15" customHeight="1">
      <c r="B914" t="s">
        <v>2917</v>
      </c>
      <c r="C914" s="1">
        <v>41056.906006944446</v>
      </c>
      <c r="D914" s="4" t="s">
        <v>606</v>
      </c>
      <c r="E914">
        <v>15000</v>
      </c>
      <c r="F914" t="s">
        <v>22</v>
      </c>
      <c r="G914">
        <f>tblSalaries[[#This Row],[clean Salary (in local currency)]]*VLOOKUP(tblSalaries[[#This Row],[Currency]],tblXrate[],2,FALSE)</f>
        <v>19055.991584874118</v>
      </c>
      <c r="H914" t="s">
        <v>1065</v>
      </c>
      <c r="I914" t="s">
        <v>20</v>
      </c>
      <c r="J914" t="s">
        <v>1066</v>
      </c>
      <c r="K914" t="str">
        <f>VLOOKUP(tblSalaries[[#This Row],[Where do you work]],tblCountries[[Actual]:[Mapping]],2,FALSE)</f>
        <v>Slovenia</v>
      </c>
      <c r="L914" t="s">
        <v>9</v>
      </c>
      <c r="M914">
        <v>4</v>
      </c>
    </row>
    <row r="915" spans="2:13" ht="15" customHeight="1">
      <c r="B915" t="s">
        <v>2918</v>
      </c>
      <c r="C915" s="1">
        <v>41056.90966435185</v>
      </c>
      <c r="D915" s="4">
        <v>105000</v>
      </c>
      <c r="E915">
        <v>105000</v>
      </c>
      <c r="F915" t="s">
        <v>6</v>
      </c>
      <c r="G915">
        <f>tblSalaries[[#This Row],[clean Salary (in local currency)]]*VLOOKUP(tblSalaries[[#This Row],[Currency]],tblXrate[],2,FALSE)</f>
        <v>105000</v>
      </c>
      <c r="H915" t="s">
        <v>42</v>
      </c>
      <c r="I915" t="s">
        <v>20</v>
      </c>
      <c r="J915" t="s">
        <v>15</v>
      </c>
      <c r="K915" t="str">
        <f>VLOOKUP(tblSalaries[[#This Row],[Where do you work]],tblCountries[[Actual]:[Mapping]],2,FALSE)</f>
        <v>USA</v>
      </c>
      <c r="L915" t="s">
        <v>9</v>
      </c>
      <c r="M915">
        <v>20</v>
      </c>
    </row>
    <row r="916" spans="2:13" ht="15" customHeight="1">
      <c r="B916" t="s">
        <v>2919</v>
      </c>
      <c r="C916" s="1">
        <v>41056.920312499999</v>
      </c>
      <c r="D916" s="4">
        <v>24000</v>
      </c>
      <c r="E916">
        <v>24000</v>
      </c>
      <c r="F916" t="s">
        <v>6</v>
      </c>
      <c r="G916">
        <f>tblSalaries[[#This Row],[clean Salary (in local currency)]]*VLOOKUP(tblSalaries[[#This Row],[Currency]],tblXrate[],2,FALSE)</f>
        <v>24000</v>
      </c>
      <c r="H916" t="s">
        <v>42</v>
      </c>
      <c r="I916" t="s">
        <v>20</v>
      </c>
      <c r="J916" t="s">
        <v>8</v>
      </c>
      <c r="K916" t="str">
        <f>VLOOKUP(tblSalaries[[#This Row],[Where do you work]],tblCountries[[Actual]:[Mapping]],2,FALSE)</f>
        <v>India</v>
      </c>
      <c r="L916" t="s">
        <v>9</v>
      </c>
      <c r="M916">
        <v>3</v>
      </c>
    </row>
    <row r="917" spans="2:13" ht="15" customHeight="1">
      <c r="B917" t="s">
        <v>2920</v>
      </c>
      <c r="C917" s="1">
        <v>41056.931956018518</v>
      </c>
      <c r="D917" s="4" t="s">
        <v>1067</v>
      </c>
      <c r="E917">
        <v>50000</v>
      </c>
      <c r="F917" t="s">
        <v>69</v>
      </c>
      <c r="G917">
        <f>tblSalaries[[#This Row],[clean Salary (in local currency)]]*VLOOKUP(tblSalaries[[#This Row],[Currency]],tblXrate[],2,FALSE)</f>
        <v>78808.913603364199</v>
      </c>
      <c r="H917" t="s">
        <v>1068</v>
      </c>
      <c r="I917" t="s">
        <v>20</v>
      </c>
      <c r="J917" t="s">
        <v>71</v>
      </c>
      <c r="K917" t="str">
        <f>VLOOKUP(tblSalaries[[#This Row],[Where do you work]],tblCountries[[Actual]:[Mapping]],2,FALSE)</f>
        <v>UK</v>
      </c>
      <c r="L917" t="s">
        <v>13</v>
      </c>
      <c r="M917">
        <v>10</v>
      </c>
    </row>
    <row r="918" spans="2:13" ht="15" customHeight="1">
      <c r="B918" t="s">
        <v>2921</v>
      </c>
      <c r="C918" s="1">
        <v>41056.94122685185</v>
      </c>
      <c r="D918" s="4">
        <v>42000</v>
      </c>
      <c r="E918">
        <v>42000</v>
      </c>
      <c r="F918" t="s">
        <v>6</v>
      </c>
      <c r="G918">
        <f>tblSalaries[[#This Row],[clean Salary (in local currency)]]*VLOOKUP(tblSalaries[[#This Row],[Currency]],tblXrate[],2,FALSE)</f>
        <v>42000</v>
      </c>
      <c r="H918" t="s">
        <v>1069</v>
      </c>
      <c r="I918" t="s">
        <v>488</v>
      </c>
      <c r="J918" t="s">
        <v>133</v>
      </c>
      <c r="K918" t="str">
        <f>VLOOKUP(tblSalaries[[#This Row],[Where do you work]],tblCountries[[Actual]:[Mapping]],2,FALSE)</f>
        <v>Saudi Arabia</v>
      </c>
      <c r="L918" t="s">
        <v>13</v>
      </c>
      <c r="M918">
        <v>15</v>
      </c>
    </row>
    <row r="919" spans="2:13" ht="15" customHeight="1">
      <c r="B919" t="s">
        <v>2922</v>
      </c>
      <c r="C919" s="1">
        <v>41056.944884259261</v>
      </c>
      <c r="D919" s="4" t="s">
        <v>1070</v>
      </c>
      <c r="E919">
        <v>19200</v>
      </c>
      <c r="F919" t="s">
        <v>3900</v>
      </c>
      <c r="G919">
        <f>tblSalaries[[#This Row],[clean Salary (in local currency)]]*VLOOKUP(tblSalaries[[#This Row],[Currency]],tblXrate[],2,FALSE)</f>
        <v>9490.1984044603923</v>
      </c>
      <c r="H919" t="s">
        <v>1071</v>
      </c>
      <c r="I919" t="s">
        <v>20</v>
      </c>
      <c r="J919" t="s">
        <v>143</v>
      </c>
      <c r="K919" t="str">
        <f>VLOOKUP(tblSalaries[[#This Row],[Where do you work]],tblCountries[[Actual]:[Mapping]],2,FALSE)</f>
        <v>Brazil</v>
      </c>
      <c r="L919" t="s">
        <v>13</v>
      </c>
      <c r="M919">
        <v>8</v>
      </c>
    </row>
    <row r="920" spans="2:13" ht="15" customHeight="1">
      <c r="B920" t="s">
        <v>2923</v>
      </c>
      <c r="C920" s="1">
        <v>41056.957395833335</v>
      </c>
      <c r="D920" s="4">
        <v>60000</v>
      </c>
      <c r="E920">
        <v>60000</v>
      </c>
      <c r="F920" t="s">
        <v>6</v>
      </c>
      <c r="G920">
        <f>tblSalaries[[#This Row],[clean Salary (in local currency)]]*VLOOKUP(tblSalaries[[#This Row],[Currency]],tblXrate[],2,FALSE)</f>
        <v>60000</v>
      </c>
      <c r="H920" t="s">
        <v>356</v>
      </c>
      <c r="I920" t="s">
        <v>356</v>
      </c>
      <c r="J920" t="s">
        <v>171</v>
      </c>
      <c r="K920" t="str">
        <f>VLOOKUP(tblSalaries[[#This Row],[Where do you work]],tblCountries[[Actual]:[Mapping]],2,FALSE)</f>
        <v>Singapore</v>
      </c>
      <c r="L920" t="s">
        <v>9</v>
      </c>
      <c r="M920">
        <v>5</v>
      </c>
    </row>
    <row r="921" spans="2:13" ht="15" customHeight="1">
      <c r="B921" t="s">
        <v>2924</v>
      </c>
      <c r="C921" s="1">
        <v>41056.960659722223</v>
      </c>
      <c r="D921" s="4">
        <v>1000000</v>
      </c>
      <c r="E921">
        <v>1000000</v>
      </c>
      <c r="F921" t="s">
        <v>40</v>
      </c>
      <c r="G921">
        <f>tblSalaries[[#This Row],[clean Salary (in local currency)]]*VLOOKUP(tblSalaries[[#This Row],[Currency]],tblXrate[],2,FALSE)</f>
        <v>17807.916687442568</v>
      </c>
      <c r="H921" t="s">
        <v>1072</v>
      </c>
      <c r="I921" t="s">
        <v>52</v>
      </c>
      <c r="J921" t="s">
        <v>8</v>
      </c>
      <c r="K921" t="str">
        <f>VLOOKUP(tblSalaries[[#This Row],[Where do you work]],tblCountries[[Actual]:[Mapping]],2,FALSE)</f>
        <v>India</v>
      </c>
      <c r="L921" t="s">
        <v>13</v>
      </c>
      <c r="M921">
        <v>8</v>
      </c>
    </row>
    <row r="922" spans="2:13" ht="15" customHeight="1">
      <c r="B922" t="s">
        <v>2925</v>
      </c>
      <c r="C922" s="1">
        <v>41056.965289351851</v>
      </c>
      <c r="D922" s="4" t="s">
        <v>1073</v>
      </c>
      <c r="E922">
        <v>700000</v>
      </c>
      <c r="F922" t="s">
        <v>40</v>
      </c>
      <c r="G922">
        <f>tblSalaries[[#This Row],[clean Salary (in local currency)]]*VLOOKUP(tblSalaries[[#This Row],[Currency]],tblXrate[],2,FALSE)</f>
        <v>12465.541681209797</v>
      </c>
      <c r="H922" t="s">
        <v>207</v>
      </c>
      <c r="I922" t="s">
        <v>20</v>
      </c>
      <c r="J922" t="s">
        <v>8</v>
      </c>
      <c r="K922" t="str">
        <f>VLOOKUP(tblSalaries[[#This Row],[Where do you work]],tblCountries[[Actual]:[Mapping]],2,FALSE)</f>
        <v>India</v>
      </c>
      <c r="L922" t="s">
        <v>13</v>
      </c>
      <c r="M922">
        <v>1</v>
      </c>
    </row>
    <row r="923" spans="2:13" ht="15" customHeight="1">
      <c r="B923" t="s">
        <v>2926</v>
      </c>
      <c r="C923" s="1">
        <v>41056.980902777781</v>
      </c>
      <c r="D923" s="4">
        <v>20571</v>
      </c>
      <c r="E923">
        <v>20571</v>
      </c>
      <c r="F923" t="s">
        <v>6</v>
      </c>
      <c r="G923">
        <f>tblSalaries[[#This Row],[clean Salary (in local currency)]]*VLOOKUP(tblSalaries[[#This Row],[Currency]],tblXrate[],2,FALSE)</f>
        <v>20571</v>
      </c>
      <c r="H923" t="s">
        <v>29</v>
      </c>
      <c r="I923" t="s">
        <v>4001</v>
      </c>
      <c r="J923" t="s">
        <v>1074</v>
      </c>
      <c r="K923" t="str">
        <f>VLOOKUP(tblSalaries[[#This Row],[Where do you work]],tblCountries[[Actual]:[Mapping]],2,FALSE)</f>
        <v>Albania</v>
      </c>
      <c r="L923" t="s">
        <v>9</v>
      </c>
      <c r="M923">
        <v>8</v>
      </c>
    </row>
    <row r="924" spans="2:13" ht="15" customHeight="1">
      <c r="B924" t="s">
        <v>2927</v>
      </c>
      <c r="C924" s="1">
        <v>41056.988437499997</v>
      </c>
      <c r="D924" s="4">
        <v>290</v>
      </c>
      <c r="E924">
        <v>3480</v>
      </c>
      <c r="F924" t="s">
        <v>6</v>
      </c>
      <c r="G924">
        <f>tblSalaries[[#This Row],[clean Salary (in local currency)]]*VLOOKUP(tblSalaries[[#This Row],[Currency]],tblXrate[],2,FALSE)</f>
        <v>3480</v>
      </c>
      <c r="H924" t="s">
        <v>1075</v>
      </c>
      <c r="I924" t="s">
        <v>52</v>
      </c>
      <c r="J924" t="s">
        <v>17</v>
      </c>
      <c r="K924" t="str">
        <f>VLOOKUP(tblSalaries[[#This Row],[Where do you work]],tblCountries[[Actual]:[Mapping]],2,FALSE)</f>
        <v>Pakistan</v>
      </c>
      <c r="L924" t="s">
        <v>13</v>
      </c>
      <c r="M924">
        <v>6</v>
      </c>
    </row>
    <row r="925" spans="2:13" ht="15" customHeight="1">
      <c r="B925" t="s">
        <v>2928</v>
      </c>
      <c r="C925" s="1">
        <v>41056.990312499998</v>
      </c>
      <c r="D925" s="4">
        <v>18060</v>
      </c>
      <c r="E925">
        <v>18060</v>
      </c>
      <c r="F925" t="s">
        <v>6</v>
      </c>
      <c r="G925">
        <f>tblSalaries[[#This Row],[clean Salary (in local currency)]]*VLOOKUP(tblSalaries[[#This Row],[Currency]],tblXrate[],2,FALSE)</f>
        <v>18060</v>
      </c>
      <c r="H925" t="s">
        <v>1076</v>
      </c>
      <c r="I925" t="s">
        <v>3999</v>
      </c>
      <c r="J925" t="s">
        <v>347</v>
      </c>
      <c r="K925" t="str">
        <f>VLOOKUP(tblSalaries[[#This Row],[Where do you work]],tblCountries[[Actual]:[Mapping]],2,FALSE)</f>
        <v>Philippines</v>
      </c>
      <c r="L925" t="s">
        <v>9</v>
      </c>
      <c r="M925">
        <v>12</v>
      </c>
    </row>
    <row r="926" spans="2:13" ht="15" customHeight="1">
      <c r="B926" t="s">
        <v>2929</v>
      </c>
      <c r="C926" s="1">
        <v>41056.991261574076</v>
      </c>
      <c r="D926" s="4" t="s">
        <v>520</v>
      </c>
      <c r="E926">
        <v>30000</v>
      </c>
      <c r="F926" t="s">
        <v>6</v>
      </c>
      <c r="G926">
        <f>tblSalaries[[#This Row],[clean Salary (in local currency)]]*VLOOKUP(tblSalaries[[#This Row],[Currency]],tblXrate[],2,FALSE)</f>
        <v>30000</v>
      </c>
      <c r="H926" t="s">
        <v>1077</v>
      </c>
      <c r="I926" t="s">
        <v>310</v>
      </c>
      <c r="J926" t="s">
        <v>1078</v>
      </c>
      <c r="K926" t="str">
        <f>VLOOKUP(tblSalaries[[#This Row],[Where do you work]],tblCountries[[Actual]:[Mapping]],2,FALSE)</f>
        <v>Iran</v>
      </c>
      <c r="L926" t="s">
        <v>18</v>
      </c>
      <c r="M926">
        <v>30</v>
      </c>
    </row>
    <row r="927" spans="2:13" ht="15" customHeight="1">
      <c r="B927" t="s">
        <v>2930</v>
      </c>
      <c r="C927" s="1">
        <v>41056.995000000003</v>
      </c>
      <c r="D927" s="4" t="s">
        <v>1079</v>
      </c>
      <c r="E927">
        <v>24000</v>
      </c>
      <c r="F927" t="s">
        <v>6</v>
      </c>
      <c r="G927">
        <f>tblSalaries[[#This Row],[clean Salary (in local currency)]]*VLOOKUP(tblSalaries[[#This Row],[Currency]],tblXrate[],2,FALSE)</f>
        <v>24000</v>
      </c>
      <c r="H927" t="s">
        <v>1080</v>
      </c>
      <c r="I927" t="s">
        <v>52</v>
      </c>
      <c r="J927" t="s">
        <v>8</v>
      </c>
      <c r="K927" t="str">
        <f>VLOOKUP(tblSalaries[[#This Row],[Where do you work]],tblCountries[[Actual]:[Mapping]],2,FALSE)</f>
        <v>India</v>
      </c>
      <c r="L927" t="s">
        <v>9</v>
      </c>
      <c r="M927">
        <v>10</v>
      </c>
    </row>
    <row r="928" spans="2:13" ht="15" customHeight="1">
      <c r="B928" t="s">
        <v>2931</v>
      </c>
      <c r="C928" s="1">
        <v>41057.00744212963</v>
      </c>
      <c r="D928" s="4">
        <v>63200</v>
      </c>
      <c r="E928">
        <v>63200</v>
      </c>
      <c r="F928" t="s">
        <v>22</v>
      </c>
      <c r="G928">
        <f>tblSalaries[[#This Row],[clean Salary (in local currency)]]*VLOOKUP(tblSalaries[[#This Row],[Currency]],tblXrate[],2,FALSE)</f>
        <v>80289.244544269619</v>
      </c>
      <c r="H928" t="s">
        <v>356</v>
      </c>
      <c r="I928" t="s">
        <v>356</v>
      </c>
      <c r="J928" t="s">
        <v>106</v>
      </c>
      <c r="K928" t="str">
        <f>VLOOKUP(tblSalaries[[#This Row],[Where do you work]],tblCountries[[Actual]:[Mapping]],2,FALSE)</f>
        <v>France</v>
      </c>
      <c r="L928" t="s">
        <v>9</v>
      </c>
      <c r="M928">
        <v>3</v>
      </c>
    </row>
    <row r="929" spans="2:13" ht="15" customHeight="1">
      <c r="B929" t="s">
        <v>2932</v>
      </c>
      <c r="C929" s="1">
        <v>41057.012106481481</v>
      </c>
      <c r="D929" s="4">
        <v>70000</v>
      </c>
      <c r="E929">
        <v>70000</v>
      </c>
      <c r="F929" t="s">
        <v>6</v>
      </c>
      <c r="G929">
        <f>tblSalaries[[#This Row],[clean Salary (in local currency)]]*VLOOKUP(tblSalaries[[#This Row],[Currency]],tblXrate[],2,FALSE)</f>
        <v>70000</v>
      </c>
      <c r="H929" t="s">
        <v>1081</v>
      </c>
      <c r="I929" t="s">
        <v>52</v>
      </c>
      <c r="J929" t="s">
        <v>15</v>
      </c>
      <c r="K929" t="str">
        <f>VLOOKUP(tblSalaries[[#This Row],[Where do you work]],tblCountries[[Actual]:[Mapping]],2,FALSE)</f>
        <v>USA</v>
      </c>
      <c r="L929" t="s">
        <v>9</v>
      </c>
      <c r="M929">
        <v>4</v>
      </c>
    </row>
    <row r="930" spans="2:13" ht="15" customHeight="1">
      <c r="B930" t="s">
        <v>2933</v>
      </c>
      <c r="C930" s="1">
        <v>41057.020092592589</v>
      </c>
      <c r="D930" s="4" t="s">
        <v>896</v>
      </c>
      <c r="E930">
        <v>480000</v>
      </c>
      <c r="F930" t="s">
        <v>40</v>
      </c>
      <c r="G930">
        <f>tblSalaries[[#This Row],[clean Salary (in local currency)]]*VLOOKUP(tblSalaries[[#This Row],[Currency]],tblXrate[],2,FALSE)</f>
        <v>8547.8000099724322</v>
      </c>
      <c r="H930" t="s">
        <v>52</v>
      </c>
      <c r="I930" t="s">
        <v>52</v>
      </c>
      <c r="J930" t="s">
        <v>8</v>
      </c>
      <c r="K930" t="str">
        <f>VLOOKUP(tblSalaries[[#This Row],[Where do you work]],tblCountries[[Actual]:[Mapping]],2,FALSE)</f>
        <v>India</v>
      </c>
      <c r="L930" t="s">
        <v>18</v>
      </c>
      <c r="M930">
        <v>2</v>
      </c>
    </row>
    <row r="931" spans="2:13" ht="15" customHeight="1">
      <c r="B931" t="s">
        <v>2934</v>
      </c>
      <c r="C931" s="1">
        <v>41057.025231481479</v>
      </c>
      <c r="D931" s="4" t="s">
        <v>1083</v>
      </c>
      <c r="E931">
        <v>600000</v>
      </c>
      <c r="F931" t="s">
        <v>40</v>
      </c>
      <c r="G931">
        <f>tblSalaries[[#This Row],[clean Salary (in local currency)]]*VLOOKUP(tblSalaries[[#This Row],[Currency]],tblXrate[],2,FALSE)</f>
        <v>10684.750012465542</v>
      </c>
      <c r="H931" t="s">
        <v>1084</v>
      </c>
      <c r="I931" t="s">
        <v>20</v>
      </c>
      <c r="J931" t="s">
        <v>8</v>
      </c>
      <c r="K931" t="str">
        <f>VLOOKUP(tblSalaries[[#This Row],[Where do you work]],tblCountries[[Actual]:[Mapping]],2,FALSE)</f>
        <v>India</v>
      </c>
      <c r="L931" t="s">
        <v>9</v>
      </c>
      <c r="M931">
        <v>11</v>
      </c>
    </row>
    <row r="932" spans="2:13" ht="15" customHeight="1">
      <c r="B932" t="s">
        <v>2935</v>
      </c>
      <c r="C932" s="1">
        <v>41057.030324074076</v>
      </c>
      <c r="D932" s="4" t="s">
        <v>1085</v>
      </c>
      <c r="E932">
        <v>600000</v>
      </c>
      <c r="F932" t="s">
        <v>40</v>
      </c>
      <c r="G932">
        <f>tblSalaries[[#This Row],[clean Salary (in local currency)]]*VLOOKUP(tblSalaries[[#This Row],[Currency]],tblXrate[],2,FALSE)</f>
        <v>10684.750012465542</v>
      </c>
      <c r="H932" t="s">
        <v>749</v>
      </c>
      <c r="I932" t="s">
        <v>20</v>
      </c>
      <c r="J932" t="s">
        <v>8</v>
      </c>
      <c r="K932" t="str">
        <f>VLOOKUP(tblSalaries[[#This Row],[Where do you work]],tblCountries[[Actual]:[Mapping]],2,FALSE)</f>
        <v>India</v>
      </c>
      <c r="L932" t="s">
        <v>18</v>
      </c>
      <c r="M932">
        <v>4</v>
      </c>
    </row>
    <row r="933" spans="2:13" ht="15" customHeight="1">
      <c r="B933" t="s">
        <v>2936</v>
      </c>
      <c r="C933" s="1">
        <v>41057.033599537041</v>
      </c>
      <c r="D933" s="4">
        <v>20000</v>
      </c>
      <c r="E933">
        <v>20000</v>
      </c>
      <c r="F933" t="s">
        <v>6</v>
      </c>
      <c r="G933">
        <f>tblSalaries[[#This Row],[clean Salary (in local currency)]]*VLOOKUP(tblSalaries[[#This Row],[Currency]],tblXrate[],2,FALSE)</f>
        <v>20000</v>
      </c>
      <c r="H933" t="s">
        <v>1046</v>
      </c>
      <c r="I933" t="s">
        <v>310</v>
      </c>
      <c r="J933" t="s">
        <v>1086</v>
      </c>
      <c r="K933" t="str">
        <f>VLOOKUP(tblSalaries[[#This Row],[Where do you work]],tblCountries[[Actual]:[Mapping]],2,FALSE)</f>
        <v>Zambia</v>
      </c>
      <c r="L933" t="s">
        <v>13</v>
      </c>
      <c r="M933">
        <v>2</v>
      </c>
    </row>
    <row r="934" spans="2:13" ht="15" customHeight="1">
      <c r="B934" t="s">
        <v>2937</v>
      </c>
      <c r="C934" s="1">
        <v>41057.053668981483</v>
      </c>
      <c r="D934" s="4" t="s">
        <v>1087</v>
      </c>
      <c r="E934">
        <v>42000</v>
      </c>
      <c r="F934" t="s">
        <v>22</v>
      </c>
      <c r="G934">
        <f>tblSalaries[[#This Row],[clean Salary (in local currency)]]*VLOOKUP(tblSalaries[[#This Row],[Currency]],tblXrate[],2,FALSE)</f>
        <v>53356.776437647524</v>
      </c>
      <c r="H934" t="s">
        <v>356</v>
      </c>
      <c r="I934" t="s">
        <v>356</v>
      </c>
      <c r="J934" t="s">
        <v>24</v>
      </c>
      <c r="K934" t="str">
        <f>VLOOKUP(tblSalaries[[#This Row],[Where do you work]],tblCountries[[Actual]:[Mapping]],2,FALSE)</f>
        <v>Germany</v>
      </c>
      <c r="L934" t="s">
        <v>18</v>
      </c>
      <c r="M934">
        <v>3</v>
      </c>
    </row>
    <row r="935" spans="2:13" ht="15" customHeight="1">
      <c r="B935" t="s">
        <v>2938</v>
      </c>
      <c r="C935" s="1">
        <v>41057.062025462961</v>
      </c>
      <c r="D935" s="4">
        <v>3000</v>
      </c>
      <c r="E935">
        <v>36000</v>
      </c>
      <c r="F935" t="s">
        <v>6</v>
      </c>
      <c r="G935">
        <f>tblSalaries[[#This Row],[clean Salary (in local currency)]]*VLOOKUP(tblSalaries[[#This Row],[Currency]],tblXrate[],2,FALSE)</f>
        <v>36000</v>
      </c>
      <c r="H935" t="s">
        <v>310</v>
      </c>
      <c r="I935" t="s">
        <v>310</v>
      </c>
      <c r="J935" t="s">
        <v>126</v>
      </c>
      <c r="K935" t="str">
        <f>VLOOKUP(tblSalaries[[#This Row],[Where do you work]],tblCountries[[Actual]:[Mapping]],2,FALSE)</f>
        <v>UAE</v>
      </c>
      <c r="L935" t="s">
        <v>9</v>
      </c>
      <c r="M935">
        <v>4.5</v>
      </c>
    </row>
    <row r="936" spans="2:13" ht="15" customHeight="1">
      <c r="B936" t="s">
        <v>2939</v>
      </c>
      <c r="C936" s="1">
        <v>41057.062835648147</v>
      </c>
      <c r="D936" s="4">
        <v>57000</v>
      </c>
      <c r="E936">
        <v>57000</v>
      </c>
      <c r="F936" t="s">
        <v>6</v>
      </c>
      <c r="G936">
        <f>tblSalaries[[#This Row],[clean Salary (in local currency)]]*VLOOKUP(tblSalaries[[#This Row],[Currency]],tblXrate[],2,FALSE)</f>
        <v>57000</v>
      </c>
      <c r="H936" t="s">
        <v>1088</v>
      </c>
      <c r="I936" t="s">
        <v>279</v>
      </c>
      <c r="J936" t="s">
        <v>15</v>
      </c>
      <c r="K936" t="str">
        <f>VLOOKUP(tblSalaries[[#This Row],[Where do you work]],tblCountries[[Actual]:[Mapping]],2,FALSE)</f>
        <v>USA</v>
      </c>
      <c r="L936" t="s">
        <v>18</v>
      </c>
      <c r="M936">
        <v>4</v>
      </c>
    </row>
    <row r="937" spans="2:13" ht="15" customHeight="1">
      <c r="B937" t="s">
        <v>2940</v>
      </c>
      <c r="C937" s="1">
        <v>41057.074641203704</v>
      </c>
      <c r="D937" s="4">
        <v>135000</v>
      </c>
      <c r="E937">
        <v>135000</v>
      </c>
      <c r="F937" t="s">
        <v>6</v>
      </c>
      <c r="G937">
        <f>tblSalaries[[#This Row],[clean Salary (in local currency)]]*VLOOKUP(tblSalaries[[#This Row],[Currency]],tblXrate[],2,FALSE)</f>
        <v>135000</v>
      </c>
      <c r="H937" t="s">
        <v>1089</v>
      </c>
      <c r="I937" t="s">
        <v>52</v>
      </c>
      <c r="J937" t="s">
        <v>15</v>
      </c>
      <c r="K937" t="str">
        <f>VLOOKUP(tblSalaries[[#This Row],[Where do you work]],tblCountries[[Actual]:[Mapping]],2,FALSE)</f>
        <v>USA</v>
      </c>
      <c r="L937" t="s">
        <v>13</v>
      </c>
      <c r="M937">
        <v>15</v>
      </c>
    </row>
    <row r="938" spans="2:13" ht="15" customHeight="1">
      <c r="B938" t="s">
        <v>2941</v>
      </c>
      <c r="C938" s="1">
        <v>41057.100844907407</v>
      </c>
      <c r="D938" s="4">
        <v>75000</v>
      </c>
      <c r="E938">
        <v>75000</v>
      </c>
      <c r="F938" t="s">
        <v>22</v>
      </c>
      <c r="G938">
        <f>tblSalaries[[#This Row],[clean Salary (in local currency)]]*VLOOKUP(tblSalaries[[#This Row],[Currency]],tblXrate[],2,FALSE)</f>
        <v>95279.957924370581</v>
      </c>
      <c r="H938" t="s">
        <v>1090</v>
      </c>
      <c r="I938" t="s">
        <v>20</v>
      </c>
      <c r="J938" t="s">
        <v>628</v>
      </c>
      <c r="K938" t="str">
        <f>VLOOKUP(tblSalaries[[#This Row],[Where do you work]],tblCountries[[Actual]:[Mapping]],2,FALSE)</f>
        <v>Netherlands</v>
      </c>
      <c r="L938" t="s">
        <v>9</v>
      </c>
      <c r="M938">
        <v>4</v>
      </c>
    </row>
    <row r="939" spans="2:13" ht="15" customHeight="1">
      <c r="B939" t="s">
        <v>2942</v>
      </c>
      <c r="C939" s="1">
        <v>41057.148773148147</v>
      </c>
      <c r="D939" s="4">
        <v>45000</v>
      </c>
      <c r="E939">
        <v>45000</v>
      </c>
      <c r="F939" t="s">
        <v>22</v>
      </c>
      <c r="G939">
        <f>tblSalaries[[#This Row],[clean Salary (in local currency)]]*VLOOKUP(tblSalaries[[#This Row],[Currency]],tblXrate[],2,FALSE)</f>
        <v>57167.974754622352</v>
      </c>
      <c r="H939" t="s">
        <v>1091</v>
      </c>
      <c r="I939" t="s">
        <v>20</v>
      </c>
      <c r="J939" t="s">
        <v>1092</v>
      </c>
      <c r="K939" t="str">
        <f>VLOOKUP(tblSalaries[[#This Row],[Where do you work]],tblCountries[[Actual]:[Mapping]],2,FALSE)</f>
        <v>Netherlands</v>
      </c>
      <c r="L939" t="s">
        <v>18</v>
      </c>
      <c r="M939">
        <v>10</v>
      </c>
    </row>
    <row r="940" spans="2:13" ht="15" customHeight="1">
      <c r="B940" t="s">
        <v>2943</v>
      </c>
      <c r="C940" s="1">
        <v>41057.155555555553</v>
      </c>
      <c r="D940" s="4" t="s">
        <v>1093</v>
      </c>
      <c r="E940">
        <v>2000000</v>
      </c>
      <c r="F940" t="s">
        <v>3984</v>
      </c>
      <c r="G940">
        <f>tblSalaries[[#This Row],[clean Salary (in local currency)]]*VLOOKUP(tblSalaries[[#This Row],[Currency]],tblXrate[],2,FALSE)</f>
        <v>12326.656394453004</v>
      </c>
      <c r="H940" t="s">
        <v>1094</v>
      </c>
      <c r="I940" t="s">
        <v>52</v>
      </c>
      <c r="J940" t="s">
        <v>870</v>
      </c>
      <c r="K940" t="str">
        <f>VLOOKUP(tblSalaries[[#This Row],[Where do you work]],tblCountries[[Actual]:[Mapping]],2,FALSE)</f>
        <v>Nigeria</v>
      </c>
      <c r="L940" t="s">
        <v>9</v>
      </c>
      <c r="M940">
        <v>5</v>
      </c>
    </row>
    <row r="941" spans="2:13" ht="15" customHeight="1">
      <c r="B941" t="s">
        <v>2944</v>
      </c>
      <c r="C941" s="1">
        <v>41057.170300925929</v>
      </c>
      <c r="D941" s="4">
        <v>8000</v>
      </c>
      <c r="E941">
        <v>8000</v>
      </c>
      <c r="F941" t="s">
        <v>6</v>
      </c>
      <c r="G941">
        <f>tblSalaries[[#This Row],[clean Salary (in local currency)]]*VLOOKUP(tblSalaries[[#This Row],[Currency]],tblXrate[],2,FALSE)</f>
        <v>8000</v>
      </c>
      <c r="H941" t="s">
        <v>167</v>
      </c>
      <c r="I941" t="s">
        <v>20</v>
      </c>
      <c r="J941" t="s">
        <v>8</v>
      </c>
      <c r="K941" t="str">
        <f>VLOOKUP(tblSalaries[[#This Row],[Where do you work]],tblCountries[[Actual]:[Mapping]],2,FALSE)</f>
        <v>India</v>
      </c>
      <c r="L941" t="s">
        <v>25</v>
      </c>
      <c r="M941">
        <v>5</v>
      </c>
    </row>
    <row r="942" spans="2:13" ht="15" customHeight="1">
      <c r="B942" t="s">
        <v>2945</v>
      </c>
      <c r="C942" s="1">
        <v>41057.194918981484</v>
      </c>
      <c r="D942" s="4" t="s">
        <v>1095</v>
      </c>
      <c r="E942">
        <v>48000</v>
      </c>
      <c r="F942" t="s">
        <v>6</v>
      </c>
      <c r="G942">
        <f>tblSalaries[[#This Row],[clean Salary (in local currency)]]*VLOOKUP(tblSalaries[[#This Row],[Currency]],tblXrate[],2,FALSE)</f>
        <v>48000</v>
      </c>
      <c r="H942" t="s">
        <v>1096</v>
      </c>
      <c r="I942" t="s">
        <v>52</v>
      </c>
      <c r="J942" t="s">
        <v>106</v>
      </c>
      <c r="K942" t="str">
        <f>VLOOKUP(tblSalaries[[#This Row],[Where do you work]],tblCountries[[Actual]:[Mapping]],2,FALSE)</f>
        <v>France</v>
      </c>
      <c r="L942" t="s">
        <v>9</v>
      </c>
      <c r="M942">
        <v>5</v>
      </c>
    </row>
    <row r="943" spans="2:13" ht="15" customHeight="1">
      <c r="B943" t="s">
        <v>2946</v>
      </c>
      <c r="C943" s="1">
        <v>41057.213703703703</v>
      </c>
      <c r="D943" s="4">
        <v>40000</v>
      </c>
      <c r="E943">
        <v>40000</v>
      </c>
      <c r="F943" t="s">
        <v>6</v>
      </c>
      <c r="G943">
        <f>tblSalaries[[#This Row],[clean Salary (in local currency)]]*VLOOKUP(tblSalaries[[#This Row],[Currency]],tblXrate[],2,FALSE)</f>
        <v>40000</v>
      </c>
      <c r="H943" t="s">
        <v>256</v>
      </c>
      <c r="I943" t="s">
        <v>20</v>
      </c>
      <c r="J943" t="s">
        <v>1097</v>
      </c>
      <c r="K943" t="str">
        <f>VLOOKUP(tblSalaries[[#This Row],[Where do you work]],tblCountries[[Actual]:[Mapping]],2,FALSE)</f>
        <v>New Zealand</v>
      </c>
      <c r="L943" t="s">
        <v>9</v>
      </c>
      <c r="M943">
        <v>5</v>
      </c>
    </row>
    <row r="944" spans="2:13" ht="15" customHeight="1">
      <c r="B944" t="s">
        <v>2947</v>
      </c>
      <c r="C944" s="1">
        <v>41057.214722222219</v>
      </c>
      <c r="D944" s="4" t="s">
        <v>1098</v>
      </c>
      <c r="E944">
        <v>75000</v>
      </c>
      <c r="F944" t="s">
        <v>670</v>
      </c>
      <c r="G944">
        <f>tblSalaries[[#This Row],[clean Salary (in local currency)]]*VLOOKUP(tblSalaries[[#This Row],[Currency]],tblXrate[],2,FALSE)</f>
        <v>59819.107020370408</v>
      </c>
      <c r="H944" t="s">
        <v>392</v>
      </c>
      <c r="I944" t="s">
        <v>20</v>
      </c>
      <c r="J944" t="s">
        <v>1099</v>
      </c>
      <c r="K944" t="str">
        <f>VLOOKUP(tblSalaries[[#This Row],[Where do you work]],tblCountries[[Actual]:[Mapping]],2,FALSE)</f>
        <v>New Zealand</v>
      </c>
      <c r="L944" t="s">
        <v>9</v>
      </c>
      <c r="M944">
        <v>10</v>
      </c>
    </row>
    <row r="945" spans="2:13" ht="15" customHeight="1">
      <c r="B945" t="s">
        <v>2948</v>
      </c>
      <c r="C945" s="1">
        <v>41057.217106481483</v>
      </c>
      <c r="D945" s="4">
        <v>150000</v>
      </c>
      <c r="E945">
        <v>150000</v>
      </c>
      <c r="F945" t="s">
        <v>6</v>
      </c>
      <c r="G945">
        <f>tblSalaries[[#This Row],[clean Salary (in local currency)]]*VLOOKUP(tblSalaries[[#This Row],[Currency]],tblXrate[],2,FALSE)</f>
        <v>150000</v>
      </c>
      <c r="H945" t="s">
        <v>1100</v>
      </c>
      <c r="I945" t="s">
        <v>20</v>
      </c>
      <c r="J945" t="s">
        <v>46</v>
      </c>
      <c r="K945" t="str">
        <f>VLOOKUP(tblSalaries[[#This Row],[Where do you work]],tblCountries[[Actual]:[Mapping]],2,FALSE)</f>
        <v>Switzerland</v>
      </c>
      <c r="L945" t="s">
        <v>25</v>
      </c>
      <c r="M945">
        <v>20</v>
      </c>
    </row>
    <row r="946" spans="2:13" ht="15" customHeight="1">
      <c r="B946" t="s">
        <v>2949</v>
      </c>
      <c r="C946" s="1">
        <v>41057.222696759258</v>
      </c>
      <c r="D946" s="4">
        <v>80000</v>
      </c>
      <c r="E946">
        <v>80000</v>
      </c>
      <c r="F946" t="s">
        <v>82</v>
      </c>
      <c r="G946">
        <f>tblSalaries[[#This Row],[clean Salary (in local currency)]]*VLOOKUP(tblSalaries[[#This Row],[Currency]],tblXrate[],2,FALSE)</f>
        <v>81592.772512210868</v>
      </c>
      <c r="H946" t="s">
        <v>1101</v>
      </c>
      <c r="I946" t="s">
        <v>52</v>
      </c>
      <c r="J946" t="s">
        <v>84</v>
      </c>
      <c r="K946" t="str">
        <f>VLOOKUP(tblSalaries[[#This Row],[Where do you work]],tblCountries[[Actual]:[Mapping]],2,FALSE)</f>
        <v>Australia</v>
      </c>
      <c r="L946" t="s">
        <v>9</v>
      </c>
      <c r="M946">
        <v>25</v>
      </c>
    </row>
    <row r="947" spans="2:13" ht="15" customHeight="1">
      <c r="B947" t="s">
        <v>2950</v>
      </c>
      <c r="C947" s="1">
        <v>41057.242314814815</v>
      </c>
      <c r="D947" s="4">
        <v>95000</v>
      </c>
      <c r="E947">
        <v>95000</v>
      </c>
      <c r="F947" t="s">
        <v>82</v>
      </c>
      <c r="G947">
        <f>tblSalaries[[#This Row],[clean Salary (in local currency)]]*VLOOKUP(tblSalaries[[#This Row],[Currency]],tblXrate[],2,FALSE)</f>
        <v>96891.417358250401</v>
      </c>
      <c r="H947" t="s">
        <v>160</v>
      </c>
      <c r="I947" t="s">
        <v>20</v>
      </c>
      <c r="J947" t="s">
        <v>84</v>
      </c>
      <c r="K947" t="str">
        <f>VLOOKUP(tblSalaries[[#This Row],[Where do you work]],tblCountries[[Actual]:[Mapping]],2,FALSE)</f>
        <v>Australia</v>
      </c>
      <c r="L947" t="s">
        <v>18</v>
      </c>
      <c r="M947">
        <v>20</v>
      </c>
    </row>
    <row r="948" spans="2:13" ht="15" customHeight="1">
      <c r="B948" t="s">
        <v>2951</v>
      </c>
      <c r="C948" s="1">
        <v>41057.24386574074</v>
      </c>
      <c r="D948" s="4" t="s">
        <v>1102</v>
      </c>
      <c r="E948">
        <v>90000</v>
      </c>
      <c r="F948" t="s">
        <v>82</v>
      </c>
      <c r="G948">
        <f>tblSalaries[[#This Row],[clean Salary (in local currency)]]*VLOOKUP(tblSalaries[[#This Row],[Currency]],tblXrate[],2,FALSE)</f>
        <v>91791.869076237213</v>
      </c>
      <c r="H948" t="s">
        <v>926</v>
      </c>
      <c r="I948" t="s">
        <v>20</v>
      </c>
      <c r="J948" t="s">
        <v>84</v>
      </c>
      <c r="K948" t="str">
        <f>VLOOKUP(tblSalaries[[#This Row],[Where do you work]],tblCountries[[Actual]:[Mapping]],2,FALSE)</f>
        <v>Australia</v>
      </c>
      <c r="L948" t="s">
        <v>9</v>
      </c>
      <c r="M948">
        <v>13</v>
      </c>
    </row>
    <row r="949" spans="2:13" ht="15" customHeight="1">
      <c r="B949" t="s">
        <v>2952</v>
      </c>
      <c r="C949" s="1">
        <v>41057.243981481479</v>
      </c>
      <c r="D949" s="4">
        <v>15000</v>
      </c>
      <c r="E949">
        <v>15000</v>
      </c>
      <c r="F949" t="s">
        <v>6</v>
      </c>
      <c r="G949">
        <f>tblSalaries[[#This Row],[clean Salary (in local currency)]]*VLOOKUP(tblSalaries[[#This Row],[Currency]],tblXrate[],2,FALSE)</f>
        <v>15000</v>
      </c>
      <c r="H949" t="s">
        <v>1103</v>
      </c>
      <c r="I949" t="s">
        <v>20</v>
      </c>
      <c r="J949" t="s">
        <v>8</v>
      </c>
      <c r="K949" t="str">
        <f>VLOOKUP(tblSalaries[[#This Row],[Where do you work]],tblCountries[[Actual]:[Mapping]],2,FALSE)</f>
        <v>India</v>
      </c>
      <c r="L949" t="s">
        <v>18</v>
      </c>
      <c r="M949">
        <v>2</v>
      </c>
    </row>
    <row r="950" spans="2:13" ht="15" customHeight="1">
      <c r="B950" t="s">
        <v>2953</v>
      </c>
      <c r="C950" s="1">
        <v>41057.267777777779</v>
      </c>
      <c r="D950" s="4" t="s">
        <v>1104</v>
      </c>
      <c r="E950">
        <v>65000</v>
      </c>
      <c r="F950" t="s">
        <v>82</v>
      </c>
      <c r="G950">
        <f>tblSalaries[[#This Row],[clean Salary (in local currency)]]*VLOOKUP(tblSalaries[[#This Row],[Currency]],tblXrate[],2,FALSE)</f>
        <v>66294.12766617132</v>
      </c>
      <c r="H950" t="s">
        <v>1105</v>
      </c>
      <c r="I950" t="s">
        <v>52</v>
      </c>
      <c r="J950" t="s">
        <v>84</v>
      </c>
      <c r="K950" t="str">
        <f>VLOOKUP(tblSalaries[[#This Row],[Where do you work]],tblCountries[[Actual]:[Mapping]],2,FALSE)</f>
        <v>Australia</v>
      </c>
      <c r="L950" t="s">
        <v>18</v>
      </c>
      <c r="M950">
        <v>5</v>
      </c>
    </row>
    <row r="951" spans="2:13" ht="15" customHeight="1">
      <c r="B951" t="s">
        <v>2954</v>
      </c>
      <c r="C951" s="1">
        <v>41057.274884259263</v>
      </c>
      <c r="D951" s="4">
        <v>100000</v>
      </c>
      <c r="E951">
        <v>100000</v>
      </c>
      <c r="F951" t="s">
        <v>82</v>
      </c>
      <c r="G951">
        <f>tblSalaries[[#This Row],[clean Salary (in local currency)]]*VLOOKUP(tblSalaries[[#This Row],[Currency]],tblXrate[],2,FALSE)</f>
        <v>101990.96564026357</v>
      </c>
      <c r="H951" t="s">
        <v>76</v>
      </c>
      <c r="I951" t="s">
        <v>356</v>
      </c>
      <c r="J951" t="s">
        <v>84</v>
      </c>
      <c r="K951" t="str">
        <f>VLOOKUP(tblSalaries[[#This Row],[Where do you work]],tblCountries[[Actual]:[Mapping]],2,FALSE)</f>
        <v>Australia</v>
      </c>
      <c r="L951" t="s">
        <v>13</v>
      </c>
      <c r="M951">
        <v>6</v>
      </c>
    </row>
    <row r="952" spans="2:13" ht="15" customHeight="1">
      <c r="B952" t="s">
        <v>2955</v>
      </c>
      <c r="C952" s="1">
        <v>41057.286041666666</v>
      </c>
      <c r="D952" s="4">
        <v>60000</v>
      </c>
      <c r="E952">
        <v>60000</v>
      </c>
      <c r="F952" t="s">
        <v>6</v>
      </c>
      <c r="G952">
        <f>tblSalaries[[#This Row],[clean Salary (in local currency)]]*VLOOKUP(tblSalaries[[#This Row],[Currency]],tblXrate[],2,FALSE)</f>
        <v>60000</v>
      </c>
      <c r="H952" t="s">
        <v>1106</v>
      </c>
      <c r="I952" t="s">
        <v>52</v>
      </c>
      <c r="J952" t="s">
        <v>15</v>
      </c>
      <c r="K952" t="str">
        <f>VLOOKUP(tblSalaries[[#This Row],[Where do you work]],tblCountries[[Actual]:[Mapping]],2,FALSE)</f>
        <v>USA</v>
      </c>
      <c r="L952" t="s">
        <v>18</v>
      </c>
      <c r="M952">
        <v>3</v>
      </c>
    </row>
    <row r="953" spans="2:13" ht="15" customHeight="1">
      <c r="B953" t="s">
        <v>2956</v>
      </c>
      <c r="C953" s="1">
        <v>41057.286168981482</v>
      </c>
      <c r="D953" s="4">
        <v>43000</v>
      </c>
      <c r="E953">
        <v>43000</v>
      </c>
      <c r="F953" t="s">
        <v>82</v>
      </c>
      <c r="G953">
        <f>tblSalaries[[#This Row],[clean Salary (in local currency)]]*VLOOKUP(tblSalaries[[#This Row],[Currency]],tblXrate[],2,FALSE)</f>
        <v>43856.11522531334</v>
      </c>
      <c r="H953" t="s">
        <v>1107</v>
      </c>
      <c r="I953" t="s">
        <v>52</v>
      </c>
      <c r="J953" t="s">
        <v>84</v>
      </c>
      <c r="K953" t="str">
        <f>VLOOKUP(tblSalaries[[#This Row],[Where do you work]],tblCountries[[Actual]:[Mapping]],2,FALSE)</f>
        <v>Australia</v>
      </c>
      <c r="L953" t="s">
        <v>13</v>
      </c>
      <c r="M953">
        <v>1</v>
      </c>
    </row>
    <row r="954" spans="2:13" ht="15" customHeight="1">
      <c r="B954" t="s">
        <v>2957</v>
      </c>
      <c r="C954" s="1">
        <v>41057.286168981482</v>
      </c>
      <c r="D954" s="4">
        <v>45616</v>
      </c>
      <c r="E954">
        <v>45616</v>
      </c>
      <c r="F954" t="s">
        <v>6</v>
      </c>
      <c r="G954">
        <f>tblSalaries[[#This Row],[clean Salary (in local currency)]]*VLOOKUP(tblSalaries[[#This Row],[Currency]],tblXrate[],2,FALSE)</f>
        <v>45616</v>
      </c>
      <c r="H954" t="s">
        <v>1108</v>
      </c>
      <c r="I954" t="s">
        <v>20</v>
      </c>
      <c r="J954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>
        <v>1.5</v>
      </c>
    </row>
    <row r="955" spans="2:13" ht="15" customHeight="1">
      <c r="B955" t="s">
        <v>2958</v>
      </c>
      <c r="C955" s="1">
        <v>41057.291956018518</v>
      </c>
      <c r="D955" s="4">
        <v>95000</v>
      </c>
      <c r="E955">
        <v>95000</v>
      </c>
      <c r="F955" t="s">
        <v>670</v>
      </c>
      <c r="G955">
        <f>tblSalaries[[#This Row],[clean Salary (in local currency)]]*VLOOKUP(tblSalaries[[#This Row],[Currency]],tblXrate[],2,FALSE)</f>
        <v>75770.868892469181</v>
      </c>
      <c r="H955" t="s">
        <v>808</v>
      </c>
      <c r="I955" t="s">
        <v>310</v>
      </c>
      <c r="J955" t="s">
        <v>672</v>
      </c>
      <c r="K955" t="str">
        <f>VLOOKUP(tblSalaries[[#This Row],[Where do you work]],tblCountries[[Actual]:[Mapping]],2,FALSE)</f>
        <v>New Zealand</v>
      </c>
      <c r="L955" t="s">
        <v>9</v>
      </c>
      <c r="M955">
        <v>20</v>
      </c>
    </row>
    <row r="956" spans="2:13" ht="15" customHeight="1">
      <c r="B956" t="s">
        <v>2959</v>
      </c>
      <c r="C956" s="1">
        <v>41057.306388888886</v>
      </c>
      <c r="D956" s="4">
        <v>56600</v>
      </c>
      <c r="E956">
        <v>56600</v>
      </c>
      <c r="F956" t="s">
        <v>82</v>
      </c>
      <c r="G956">
        <f>tblSalaries[[#This Row],[clean Salary (in local currency)]]*VLOOKUP(tblSalaries[[#This Row],[Currency]],tblXrate[],2,FALSE)</f>
        <v>57726.886552389187</v>
      </c>
      <c r="H956" t="s">
        <v>1109</v>
      </c>
      <c r="I956" t="s">
        <v>52</v>
      </c>
      <c r="J956" t="s">
        <v>84</v>
      </c>
      <c r="K956" t="str">
        <f>VLOOKUP(tblSalaries[[#This Row],[Where do you work]],tblCountries[[Actual]:[Mapping]],2,FALSE)</f>
        <v>Australia</v>
      </c>
      <c r="L956" t="s">
        <v>18</v>
      </c>
      <c r="M956">
        <v>2</v>
      </c>
    </row>
    <row r="957" spans="2:13" ht="15" customHeight="1">
      <c r="B957" t="s">
        <v>2960</v>
      </c>
      <c r="C957" s="1">
        <v>41057.307719907411</v>
      </c>
      <c r="D957" s="4">
        <v>20000</v>
      </c>
      <c r="E957">
        <v>20000</v>
      </c>
      <c r="F957" t="s">
        <v>6</v>
      </c>
      <c r="G957">
        <f>tblSalaries[[#This Row],[clean Salary (in local currency)]]*VLOOKUP(tblSalaries[[#This Row],[Currency]],tblXrate[],2,FALSE)</f>
        <v>20000</v>
      </c>
      <c r="H957" t="s">
        <v>214</v>
      </c>
      <c r="I957" t="s">
        <v>20</v>
      </c>
      <c r="J957" t="s">
        <v>84</v>
      </c>
      <c r="K957" t="str">
        <f>VLOOKUP(tblSalaries[[#This Row],[Where do you work]],tblCountries[[Actual]:[Mapping]],2,FALSE)</f>
        <v>Australia</v>
      </c>
      <c r="L957" t="s">
        <v>18</v>
      </c>
      <c r="M957">
        <v>2</v>
      </c>
    </row>
    <row r="958" spans="2:13" ht="15" customHeight="1">
      <c r="B958" t="s">
        <v>2961</v>
      </c>
      <c r="C958" s="1">
        <v>41057.311192129629</v>
      </c>
      <c r="D958" s="4" t="s">
        <v>1110</v>
      </c>
      <c r="E958">
        <v>200000</v>
      </c>
      <c r="F958" t="s">
        <v>82</v>
      </c>
      <c r="G958">
        <f>tblSalaries[[#This Row],[clean Salary (in local currency)]]*VLOOKUP(tblSalaries[[#This Row],[Currency]],tblXrate[],2,FALSE)</f>
        <v>203981.93128052715</v>
      </c>
      <c r="H958" t="s">
        <v>856</v>
      </c>
      <c r="I958" t="s">
        <v>52</v>
      </c>
      <c r="J95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>
        <v>15</v>
      </c>
    </row>
    <row r="959" spans="2:13" ht="15" customHeight="1">
      <c r="B959" t="s">
        <v>2962</v>
      </c>
      <c r="C959" s="1">
        <v>41057.31150462963</v>
      </c>
      <c r="D959" s="4">
        <v>50000</v>
      </c>
      <c r="E959">
        <v>50000</v>
      </c>
      <c r="F959" t="s">
        <v>82</v>
      </c>
      <c r="G959">
        <f>tblSalaries[[#This Row],[clean Salary (in local currency)]]*VLOOKUP(tblSalaries[[#This Row],[Currency]],tblXrate[],2,FALSE)</f>
        <v>50995.482820131787</v>
      </c>
      <c r="H959" t="s">
        <v>700</v>
      </c>
      <c r="I959" t="s">
        <v>488</v>
      </c>
      <c r="J959" t="s">
        <v>84</v>
      </c>
      <c r="K959" t="str">
        <f>VLOOKUP(tblSalaries[[#This Row],[Where do you work]],tblCountries[[Actual]:[Mapping]],2,FALSE)</f>
        <v>Australia</v>
      </c>
      <c r="L959" t="s">
        <v>25</v>
      </c>
      <c r="M959">
        <v>5</v>
      </c>
    </row>
    <row r="960" spans="2:13" ht="15" customHeight="1">
      <c r="B960" t="s">
        <v>2963</v>
      </c>
      <c r="C960" s="1">
        <v>41057.312303240738</v>
      </c>
      <c r="D960" s="4">
        <v>125000</v>
      </c>
      <c r="E960">
        <v>125000</v>
      </c>
      <c r="F960" t="s">
        <v>82</v>
      </c>
      <c r="G960">
        <f>tblSalaries[[#This Row],[clean Salary (in local currency)]]*VLOOKUP(tblSalaries[[#This Row],[Currency]],tblXrate[],2,FALSE)</f>
        <v>127488.70705032947</v>
      </c>
      <c r="H960" t="s">
        <v>1111</v>
      </c>
      <c r="I960" t="s">
        <v>4001</v>
      </c>
      <c r="J960" t="s">
        <v>84</v>
      </c>
      <c r="K960" t="str">
        <f>VLOOKUP(tblSalaries[[#This Row],[Where do you work]],tblCountries[[Actual]:[Mapping]],2,FALSE)</f>
        <v>Australia</v>
      </c>
      <c r="L960" t="s">
        <v>9</v>
      </c>
      <c r="M960">
        <v>15</v>
      </c>
    </row>
    <row r="961" spans="2:13" ht="15" customHeight="1">
      <c r="B961" t="s">
        <v>2964</v>
      </c>
      <c r="C961" s="1">
        <v>41057.314918981479</v>
      </c>
      <c r="D961" s="4">
        <v>65000</v>
      </c>
      <c r="E961">
        <v>65000</v>
      </c>
      <c r="F961" t="s">
        <v>82</v>
      </c>
      <c r="G961">
        <f>tblSalaries[[#This Row],[clean Salary (in local currency)]]*VLOOKUP(tblSalaries[[#This Row],[Currency]],tblXrate[],2,FALSE)</f>
        <v>66294.12766617132</v>
      </c>
      <c r="H961" t="s">
        <v>153</v>
      </c>
      <c r="I961" t="s">
        <v>20</v>
      </c>
      <c r="J961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>
        <v>4</v>
      </c>
    </row>
    <row r="962" spans="2:13" ht="15" customHeight="1">
      <c r="B962" t="s">
        <v>2965</v>
      </c>
      <c r="C962" s="1">
        <v>41057.319004629629</v>
      </c>
      <c r="D962" s="4">
        <v>62000</v>
      </c>
      <c r="E962">
        <v>62000</v>
      </c>
      <c r="F962" t="s">
        <v>82</v>
      </c>
      <c r="G962">
        <f>tblSalaries[[#This Row],[clean Salary (in local currency)]]*VLOOKUP(tblSalaries[[#This Row],[Currency]],tblXrate[],2,FALSE)</f>
        <v>63234.398696963413</v>
      </c>
      <c r="H962" t="s">
        <v>207</v>
      </c>
      <c r="I962" t="s">
        <v>20</v>
      </c>
      <c r="J962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>
        <v>3</v>
      </c>
    </row>
    <row r="963" spans="2:13" ht="15" customHeight="1">
      <c r="B963" t="s">
        <v>2966</v>
      </c>
      <c r="C963" s="1">
        <v>41057.323935185188</v>
      </c>
      <c r="D963" s="4">
        <v>260000</v>
      </c>
      <c r="E963">
        <v>260000</v>
      </c>
      <c r="F963" t="s">
        <v>6</v>
      </c>
      <c r="G963">
        <f>tblSalaries[[#This Row],[clean Salary (in local currency)]]*VLOOKUP(tblSalaries[[#This Row],[Currency]],tblXrate[],2,FALSE)</f>
        <v>260000</v>
      </c>
      <c r="H963" t="s">
        <v>29</v>
      </c>
      <c r="I963" t="s">
        <v>4001</v>
      </c>
      <c r="J963" t="s">
        <v>15</v>
      </c>
      <c r="K963" t="str">
        <f>VLOOKUP(tblSalaries[[#This Row],[Where do you work]],tblCountries[[Actual]:[Mapping]],2,FALSE)</f>
        <v>USA</v>
      </c>
      <c r="L963" t="s">
        <v>18</v>
      </c>
      <c r="M963">
        <v>10</v>
      </c>
    </row>
    <row r="964" spans="2:13" ht="15" customHeight="1">
      <c r="B964" t="s">
        <v>2967</v>
      </c>
      <c r="C964" s="1">
        <v>41057.33320601852</v>
      </c>
      <c r="D964" s="4">
        <v>110000</v>
      </c>
      <c r="E964">
        <v>110000</v>
      </c>
      <c r="F964" t="s">
        <v>82</v>
      </c>
      <c r="G964">
        <f>tblSalaries[[#This Row],[clean Salary (in local currency)]]*VLOOKUP(tblSalaries[[#This Row],[Currency]],tblXrate[],2,FALSE)</f>
        <v>112190.06220428993</v>
      </c>
      <c r="H964" t="s">
        <v>1113</v>
      </c>
      <c r="I964" t="s">
        <v>52</v>
      </c>
      <c r="J964" t="s">
        <v>84</v>
      </c>
      <c r="K964" t="str">
        <f>VLOOKUP(tblSalaries[[#This Row],[Where do you work]],tblCountries[[Actual]:[Mapping]],2,FALSE)</f>
        <v>Australia</v>
      </c>
      <c r="L964" t="s">
        <v>18</v>
      </c>
      <c r="M964">
        <v>8</v>
      </c>
    </row>
    <row r="965" spans="2:13" ht="15" customHeight="1">
      <c r="B965" t="s">
        <v>2968</v>
      </c>
      <c r="C965" s="1">
        <v>41057.335532407407</v>
      </c>
      <c r="D965" s="4" t="s">
        <v>1114</v>
      </c>
      <c r="E965">
        <v>70000</v>
      </c>
      <c r="F965" t="s">
        <v>82</v>
      </c>
      <c r="G965">
        <f>tblSalaries[[#This Row],[clean Salary (in local currency)]]*VLOOKUP(tblSalaries[[#This Row],[Currency]],tblXrate[],2,FALSE)</f>
        <v>71393.675948184507</v>
      </c>
      <c r="H965" t="s">
        <v>45</v>
      </c>
      <c r="I965" t="s">
        <v>52</v>
      </c>
      <c r="J965" t="s">
        <v>84</v>
      </c>
      <c r="K965" t="str">
        <f>VLOOKUP(tblSalaries[[#This Row],[Where do you work]],tblCountries[[Actual]:[Mapping]],2,FALSE)</f>
        <v>Australia</v>
      </c>
      <c r="L965" t="s">
        <v>9</v>
      </c>
      <c r="M965">
        <v>7</v>
      </c>
    </row>
    <row r="966" spans="2:13" ht="15" customHeight="1">
      <c r="B966" t="s">
        <v>2969</v>
      </c>
      <c r="C966" s="1">
        <v>41057.349120370367</v>
      </c>
      <c r="D966" s="4" t="s">
        <v>1115</v>
      </c>
      <c r="E966">
        <v>85000</v>
      </c>
      <c r="F966" t="s">
        <v>6</v>
      </c>
      <c r="G966">
        <f>tblSalaries[[#This Row],[clean Salary (in local currency)]]*VLOOKUP(tblSalaries[[#This Row],[Currency]],tblXrate[],2,FALSE)</f>
        <v>85000</v>
      </c>
      <c r="H966" t="s">
        <v>1116</v>
      </c>
      <c r="I966" t="s">
        <v>3999</v>
      </c>
      <c r="J966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>
        <v>8</v>
      </c>
    </row>
    <row r="967" spans="2:13" ht="15" customHeight="1">
      <c r="B967" t="s">
        <v>2970</v>
      </c>
      <c r="C967" s="1">
        <v>41057.351886574077</v>
      </c>
      <c r="D967" s="4">
        <v>94000</v>
      </c>
      <c r="E967">
        <v>94000</v>
      </c>
      <c r="F967" t="s">
        <v>82</v>
      </c>
      <c r="G967">
        <f>tblSalaries[[#This Row],[clean Salary (in local currency)]]*VLOOKUP(tblSalaries[[#This Row],[Currency]],tblXrate[],2,FALSE)</f>
        <v>95871.50770184776</v>
      </c>
      <c r="H967" t="s">
        <v>207</v>
      </c>
      <c r="I967" t="s">
        <v>20</v>
      </c>
      <c r="J967" t="s">
        <v>84</v>
      </c>
      <c r="K967" t="str">
        <f>VLOOKUP(tblSalaries[[#This Row],[Where do you work]],tblCountries[[Actual]:[Mapping]],2,FALSE)</f>
        <v>Australia</v>
      </c>
      <c r="L967" t="s">
        <v>18</v>
      </c>
      <c r="M967">
        <v>2.5</v>
      </c>
    </row>
    <row r="968" spans="2:13" ht="15" customHeight="1">
      <c r="B968" t="s">
        <v>2971</v>
      </c>
      <c r="C968" s="1">
        <v>41057.35800925926</v>
      </c>
      <c r="D968" s="4" t="s">
        <v>1117</v>
      </c>
      <c r="E968">
        <v>107000</v>
      </c>
      <c r="F968" t="s">
        <v>82</v>
      </c>
      <c r="G968">
        <f>tblSalaries[[#This Row],[clean Salary (in local currency)]]*VLOOKUP(tblSalaries[[#This Row],[Currency]],tblXrate[],2,FALSE)</f>
        <v>109130.33323508203</v>
      </c>
      <c r="H968" t="s">
        <v>772</v>
      </c>
      <c r="I968" t="s">
        <v>52</v>
      </c>
      <c r="J968" t="s">
        <v>84</v>
      </c>
      <c r="K968" t="str">
        <f>VLOOKUP(tblSalaries[[#This Row],[Where do you work]],tblCountries[[Actual]:[Mapping]],2,FALSE)</f>
        <v>Australia</v>
      </c>
      <c r="L968" t="s">
        <v>9</v>
      </c>
      <c r="M968">
        <v>35</v>
      </c>
    </row>
    <row r="969" spans="2:13" ht="15" customHeight="1">
      <c r="B969" t="s">
        <v>2972</v>
      </c>
      <c r="C969" s="1">
        <v>41057.361030092594</v>
      </c>
      <c r="D969" s="4">
        <v>3000</v>
      </c>
      <c r="E969">
        <v>36000</v>
      </c>
      <c r="F969" t="s">
        <v>6</v>
      </c>
      <c r="G969">
        <f>tblSalaries[[#This Row],[clean Salary (in local currency)]]*VLOOKUP(tblSalaries[[#This Row],[Currency]],tblXrate[],2,FALSE)</f>
        <v>36000</v>
      </c>
      <c r="H969" t="s">
        <v>168</v>
      </c>
      <c r="I969" t="s">
        <v>52</v>
      </c>
      <c r="J969" t="s">
        <v>1118</v>
      </c>
      <c r="K969" t="str">
        <f>VLOOKUP(tblSalaries[[#This Row],[Where do you work]],tblCountries[[Actual]:[Mapping]],2,FALSE)</f>
        <v>Malaysia</v>
      </c>
      <c r="L969" t="s">
        <v>25</v>
      </c>
      <c r="M969">
        <v>3</v>
      </c>
    </row>
    <row r="970" spans="2:13" ht="15" customHeight="1">
      <c r="B970" t="s">
        <v>2973</v>
      </c>
      <c r="C970" s="1">
        <v>41057.361956018518</v>
      </c>
      <c r="D970" s="4">
        <v>120000</v>
      </c>
      <c r="E970">
        <v>120000</v>
      </c>
      <c r="F970" t="s">
        <v>82</v>
      </c>
      <c r="G970">
        <f>tblSalaries[[#This Row],[clean Salary (in local currency)]]*VLOOKUP(tblSalaries[[#This Row],[Currency]],tblXrate[],2,FALSE)</f>
        <v>122389.15876831629</v>
      </c>
      <c r="H970" t="s">
        <v>256</v>
      </c>
      <c r="I970" t="s">
        <v>20</v>
      </c>
      <c r="J970" t="s">
        <v>84</v>
      </c>
      <c r="K970" t="str">
        <f>VLOOKUP(tblSalaries[[#This Row],[Where do you work]],tblCountries[[Actual]:[Mapping]],2,FALSE)</f>
        <v>Australia</v>
      </c>
      <c r="L970" t="s">
        <v>9</v>
      </c>
      <c r="M970">
        <v>2</v>
      </c>
    </row>
    <row r="971" spans="2:13" ht="15" customHeight="1">
      <c r="B971" t="s">
        <v>2974</v>
      </c>
      <c r="C971" s="1">
        <v>41057.366423611114</v>
      </c>
      <c r="D971" s="4" t="s">
        <v>1119</v>
      </c>
      <c r="E971">
        <v>52000</v>
      </c>
      <c r="F971" t="s">
        <v>82</v>
      </c>
      <c r="G971">
        <f>tblSalaries[[#This Row],[clean Salary (in local currency)]]*VLOOKUP(tblSalaries[[#This Row],[Currency]],tblXrate[],2,FALSE)</f>
        <v>53035.30213293706</v>
      </c>
      <c r="H971" t="s">
        <v>1120</v>
      </c>
      <c r="I971" t="s">
        <v>20</v>
      </c>
      <c r="J971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>
        <v>4</v>
      </c>
    </row>
    <row r="972" spans="2:13" ht="15" customHeight="1">
      <c r="B972" t="s">
        <v>2975</v>
      </c>
      <c r="C972" s="1">
        <v>41057.367314814815</v>
      </c>
      <c r="D972" s="4">
        <v>125000</v>
      </c>
      <c r="E972">
        <v>125000</v>
      </c>
      <c r="F972" t="s">
        <v>6</v>
      </c>
      <c r="G972">
        <f>tblSalaries[[#This Row],[clean Salary (in local currency)]]*VLOOKUP(tblSalaries[[#This Row],[Currency]],tblXrate[],2,FALSE)</f>
        <v>125000</v>
      </c>
      <c r="H972" t="s">
        <v>1121</v>
      </c>
      <c r="I972" t="s">
        <v>4001</v>
      </c>
      <c r="J972" t="s">
        <v>15</v>
      </c>
      <c r="K972" t="str">
        <f>VLOOKUP(tblSalaries[[#This Row],[Where do you work]],tblCountries[[Actual]:[Mapping]],2,FALSE)</f>
        <v>USA</v>
      </c>
      <c r="L972" t="s">
        <v>9</v>
      </c>
      <c r="M972">
        <v>10</v>
      </c>
    </row>
    <row r="973" spans="2:13" ht="15" customHeight="1">
      <c r="B973" t="s">
        <v>2976</v>
      </c>
      <c r="C973" s="1">
        <v>41057.37773148148</v>
      </c>
      <c r="D973" s="4">
        <v>19000</v>
      </c>
      <c r="E973">
        <v>19000</v>
      </c>
      <c r="F973" t="s">
        <v>6</v>
      </c>
      <c r="G973">
        <f>tblSalaries[[#This Row],[clean Salary (in local currency)]]*VLOOKUP(tblSalaries[[#This Row],[Currency]],tblXrate[],2,FALSE)</f>
        <v>19000</v>
      </c>
      <c r="H973" t="s">
        <v>1122</v>
      </c>
      <c r="I973" t="s">
        <v>20</v>
      </c>
      <c r="J973" t="s">
        <v>1123</v>
      </c>
      <c r="K973" t="str">
        <f>VLOOKUP(tblSalaries[[#This Row],[Where do you work]],tblCountries[[Actual]:[Mapping]],2,FALSE)</f>
        <v>China</v>
      </c>
      <c r="L973" t="s">
        <v>9</v>
      </c>
      <c r="M973">
        <v>6</v>
      </c>
    </row>
    <row r="974" spans="2:13" ht="15" customHeight="1">
      <c r="B974" t="s">
        <v>2977</v>
      </c>
      <c r="C974" s="1">
        <v>41057.383645833332</v>
      </c>
      <c r="D974" s="4">
        <v>92000</v>
      </c>
      <c r="E974">
        <v>92000</v>
      </c>
      <c r="F974" t="s">
        <v>82</v>
      </c>
      <c r="G974">
        <f>tblSalaries[[#This Row],[clean Salary (in local currency)]]*VLOOKUP(tblSalaries[[#This Row],[Currency]],tblXrate[],2,FALSE)</f>
        <v>93831.688389042494</v>
      </c>
      <c r="H974" t="s">
        <v>1122</v>
      </c>
      <c r="I974" t="s">
        <v>20</v>
      </c>
      <c r="J974" t="s">
        <v>84</v>
      </c>
      <c r="K974" t="str">
        <f>VLOOKUP(tblSalaries[[#This Row],[Where do you work]],tblCountries[[Actual]:[Mapping]],2,FALSE)</f>
        <v>Australia</v>
      </c>
      <c r="L974" t="s">
        <v>13</v>
      </c>
      <c r="M974">
        <v>6</v>
      </c>
    </row>
    <row r="975" spans="2:13" ht="15" customHeight="1">
      <c r="B975" t="s">
        <v>2978</v>
      </c>
      <c r="C975" s="1">
        <v>41057.390231481484</v>
      </c>
      <c r="D975" s="4">
        <v>100000</v>
      </c>
      <c r="E975">
        <v>100000</v>
      </c>
      <c r="F975" t="s">
        <v>82</v>
      </c>
      <c r="G975">
        <f>tblSalaries[[#This Row],[clean Salary (in local currency)]]*VLOOKUP(tblSalaries[[#This Row],[Currency]],tblXrate[],2,FALSE)</f>
        <v>101990.96564026357</v>
      </c>
      <c r="H975" t="s">
        <v>855</v>
      </c>
      <c r="I975" t="s">
        <v>20</v>
      </c>
      <c r="J975" t="s">
        <v>84</v>
      </c>
      <c r="K975" t="str">
        <f>VLOOKUP(tblSalaries[[#This Row],[Where do you work]],tblCountries[[Actual]:[Mapping]],2,FALSE)</f>
        <v>Australia</v>
      </c>
      <c r="L975" t="s">
        <v>9</v>
      </c>
      <c r="M975">
        <v>20</v>
      </c>
    </row>
    <row r="976" spans="2:13" ht="15" customHeight="1">
      <c r="B976" t="s">
        <v>2979</v>
      </c>
      <c r="C976" s="1">
        <v>41057.393171296295</v>
      </c>
      <c r="D976" s="4">
        <v>120000</v>
      </c>
      <c r="E976">
        <v>120000</v>
      </c>
      <c r="F976" t="s">
        <v>82</v>
      </c>
      <c r="G976">
        <f>tblSalaries[[#This Row],[clean Salary (in local currency)]]*VLOOKUP(tblSalaries[[#This Row],[Currency]],tblXrate[],2,FALSE)</f>
        <v>122389.15876831629</v>
      </c>
      <c r="H976" t="s">
        <v>1124</v>
      </c>
      <c r="I976" t="s">
        <v>20</v>
      </c>
      <c r="J976" t="s">
        <v>84</v>
      </c>
      <c r="K976" t="str">
        <f>VLOOKUP(tblSalaries[[#This Row],[Where do you work]],tblCountries[[Actual]:[Mapping]],2,FALSE)</f>
        <v>Australia</v>
      </c>
      <c r="L976" t="s">
        <v>9</v>
      </c>
      <c r="M976">
        <v>5</v>
      </c>
    </row>
    <row r="977" spans="2:13" ht="15" customHeight="1">
      <c r="B977" t="s">
        <v>2980</v>
      </c>
      <c r="C977" s="1">
        <v>41057.401724537034</v>
      </c>
      <c r="D977" s="4">
        <v>35000</v>
      </c>
      <c r="E977">
        <v>35000</v>
      </c>
      <c r="F977" t="s">
        <v>86</v>
      </c>
      <c r="G977">
        <f>tblSalaries[[#This Row],[clean Salary (in local currency)]]*VLOOKUP(tblSalaries[[#This Row],[Currency]],tblXrate[],2,FALSE)</f>
        <v>34417.653306061438</v>
      </c>
      <c r="H977" t="s">
        <v>855</v>
      </c>
      <c r="I977" t="s">
        <v>20</v>
      </c>
      <c r="J977" t="s">
        <v>88</v>
      </c>
      <c r="K977" t="str">
        <f>VLOOKUP(tblSalaries[[#This Row],[Where do you work]],tblCountries[[Actual]:[Mapping]],2,FALSE)</f>
        <v>Canada</v>
      </c>
      <c r="L977" t="s">
        <v>13</v>
      </c>
      <c r="M977">
        <v>4</v>
      </c>
    </row>
    <row r="978" spans="2:13" ht="15" customHeight="1">
      <c r="B978" t="s">
        <v>2981</v>
      </c>
      <c r="C978" s="1">
        <v>41057.40289351852</v>
      </c>
      <c r="D978" s="4" t="s">
        <v>1125</v>
      </c>
      <c r="E978">
        <v>12000</v>
      </c>
      <c r="F978" t="s">
        <v>6</v>
      </c>
      <c r="G978">
        <f>tblSalaries[[#This Row],[clean Salary (in local currency)]]*VLOOKUP(tblSalaries[[#This Row],[Currency]],tblXrate[],2,FALSE)</f>
        <v>12000</v>
      </c>
      <c r="H978" t="s">
        <v>52</v>
      </c>
      <c r="I978" t="s">
        <v>52</v>
      </c>
      <c r="J978" t="s">
        <v>1126</v>
      </c>
      <c r="K978" t="str">
        <f>VLOOKUP(tblSalaries[[#This Row],[Where do you work]],tblCountries[[Actual]:[Mapping]],2,FALSE)</f>
        <v>Asia</v>
      </c>
      <c r="L978" t="s">
        <v>13</v>
      </c>
      <c r="M978">
        <v>3</v>
      </c>
    </row>
    <row r="979" spans="2:13" ht="15" customHeight="1">
      <c r="B979" t="s">
        <v>2982</v>
      </c>
      <c r="C979" s="1">
        <v>41057.40351851852</v>
      </c>
      <c r="D979" s="4">
        <v>204000</v>
      </c>
      <c r="E979">
        <v>204000</v>
      </c>
      <c r="F979" t="s">
        <v>40</v>
      </c>
      <c r="G979">
        <f>tblSalaries[[#This Row],[clean Salary (in local currency)]]*VLOOKUP(tblSalaries[[#This Row],[Currency]],tblXrate[],2,FALSE)</f>
        <v>3632.815004238284</v>
      </c>
      <c r="H979" t="s">
        <v>1127</v>
      </c>
      <c r="I979" t="s">
        <v>52</v>
      </c>
      <c r="J979" t="s">
        <v>8</v>
      </c>
      <c r="K979" t="str">
        <f>VLOOKUP(tblSalaries[[#This Row],[Where do you work]],tblCountries[[Actual]:[Mapping]],2,FALSE)</f>
        <v>India</v>
      </c>
      <c r="L979" t="s">
        <v>9</v>
      </c>
      <c r="M979">
        <v>0</v>
      </c>
    </row>
    <row r="980" spans="2:13" ht="15" customHeight="1">
      <c r="B980" t="s">
        <v>2983</v>
      </c>
      <c r="C980" s="1">
        <v>41057.405243055553</v>
      </c>
      <c r="D980" s="4" t="s">
        <v>1128</v>
      </c>
      <c r="E980">
        <v>1200000</v>
      </c>
      <c r="F980" t="s">
        <v>40</v>
      </c>
      <c r="G980">
        <f>tblSalaries[[#This Row],[clean Salary (in local currency)]]*VLOOKUP(tblSalaries[[#This Row],[Currency]],tblXrate[],2,FALSE)</f>
        <v>21369.500024931083</v>
      </c>
      <c r="H980" t="s">
        <v>76</v>
      </c>
      <c r="I980" t="s">
        <v>356</v>
      </c>
      <c r="J980" t="s">
        <v>8</v>
      </c>
      <c r="K980" t="str">
        <f>VLOOKUP(tblSalaries[[#This Row],[Where do you work]],tblCountries[[Actual]:[Mapping]],2,FALSE)</f>
        <v>India</v>
      </c>
      <c r="L980" t="s">
        <v>13</v>
      </c>
      <c r="M980">
        <v>6</v>
      </c>
    </row>
    <row r="981" spans="2:13" ht="15" customHeight="1">
      <c r="B981" t="s">
        <v>2984</v>
      </c>
      <c r="C981" s="1">
        <v>41057.410694444443</v>
      </c>
      <c r="D981" s="4" t="s">
        <v>457</v>
      </c>
      <c r="E981">
        <v>500000</v>
      </c>
      <c r="F981" t="s">
        <v>40</v>
      </c>
      <c r="G981">
        <f>tblSalaries[[#This Row],[clean Salary (in local currency)]]*VLOOKUP(tblSalaries[[#This Row],[Currency]],tblXrate[],2,FALSE)</f>
        <v>8903.9583437212841</v>
      </c>
      <c r="H981" t="s">
        <v>207</v>
      </c>
      <c r="I981" t="s">
        <v>20</v>
      </c>
      <c r="J981" t="s">
        <v>8</v>
      </c>
      <c r="K981" t="str">
        <f>VLOOKUP(tblSalaries[[#This Row],[Where do you work]],tblCountries[[Actual]:[Mapping]],2,FALSE)</f>
        <v>India</v>
      </c>
      <c r="L981" t="s">
        <v>9</v>
      </c>
      <c r="M981">
        <v>7</v>
      </c>
    </row>
    <row r="982" spans="2:13" ht="15" customHeight="1">
      <c r="B982" t="s">
        <v>2985</v>
      </c>
      <c r="C982" s="1">
        <v>41057.427395833336</v>
      </c>
      <c r="D982" s="4" t="s">
        <v>1129</v>
      </c>
      <c r="E982">
        <v>48000</v>
      </c>
      <c r="F982" t="s">
        <v>3939</v>
      </c>
      <c r="G982">
        <f>tblSalaries[[#This Row],[clean Salary (in local currency)]]*VLOOKUP(tblSalaries[[#This Row],[Currency]],tblXrate[],2,FALSE)</f>
        <v>15206.427249917633</v>
      </c>
      <c r="H982" t="s">
        <v>1130</v>
      </c>
      <c r="I982" t="s">
        <v>52</v>
      </c>
      <c r="J982" t="s">
        <v>1131</v>
      </c>
      <c r="K982" t="str">
        <f>VLOOKUP(tblSalaries[[#This Row],[Where do you work]],tblCountries[[Actual]:[Mapping]],2,FALSE)</f>
        <v>Malaysia</v>
      </c>
      <c r="L982" t="s">
        <v>9</v>
      </c>
      <c r="M982">
        <v>2</v>
      </c>
    </row>
    <row r="983" spans="2:13" ht="15" customHeight="1">
      <c r="B983" t="s">
        <v>2986</v>
      </c>
      <c r="C983" s="1">
        <v>41057.431921296295</v>
      </c>
      <c r="D983" s="4" t="s">
        <v>1132</v>
      </c>
      <c r="E983">
        <v>180000</v>
      </c>
      <c r="F983" t="s">
        <v>670</v>
      </c>
      <c r="G983">
        <f>tblSalaries[[#This Row],[clean Salary (in local currency)]]*VLOOKUP(tblSalaries[[#This Row],[Currency]],tblXrate[],2,FALSE)</f>
        <v>143565.85684888897</v>
      </c>
      <c r="H983" t="s">
        <v>448</v>
      </c>
      <c r="I983" t="s">
        <v>52</v>
      </c>
      <c r="J983" t="s">
        <v>672</v>
      </c>
      <c r="K983" t="str">
        <f>VLOOKUP(tblSalaries[[#This Row],[Where do you work]],tblCountries[[Actual]:[Mapping]],2,FALSE)</f>
        <v>New Zealand</v>
      </c>
      <c r="L983" t="s">
        <v>9</v>
      </c>
      <c r="M983">
        <v>25</v>
      </c>
    </row>
    <row r="984" spans="2:13" ht="15" customHeight="1">
      <c r="B984" t="s">
        <v>2987</v>
      </c>
      <c r="C984" s="1">
        <v>41057.434618055559</v>
      </c>
      <c r="D984" s="4" t="s">
        <v>1133</v>
      </c>
      <c r="E984">
        <v>545000</v>
      </c>
      <c r="F984" t="s">
        <v>40</v>
      </c>
      <c r="G984">
        <f>tblSalaries[[#This Row],[clean Salary (in local currency)]]*VLOOKUP(tblSalaries[[#This Row],[Currency]],tblXrate[],2,FALSE)</f>
        <v>9705.3145946561999</v>
      </c>
      <c r="H984" t="s">
        <v>1022</v>
      </c>
      <c r="I984" t="s">
        <v>52</v>
      </c>
      <c r="J984" t="s">
        <v>8</v>
      </c>
      <c r="K984" t="str">
        <f>VLOOKUP(tblSalaries[[#This Row],[Where do you work]],tblCountries[[Actual]:[Mapping]],2,FALSE)</f>
        <v>India</v>
      </c>
      <c r="L984" t="s">
        <v>18</v>
      </c>
      <c r="M984">
        <v>6</v>
      </c>
    </row>
    <row r="985" spans="2:13" ht="15" customHeight="1">
      <c r="B985" t="s">
        <v>2988</v>
      </c>
      <c r="C985" s="1">
        <v>41057.435937499999</v>
      </c>
      <c r="D985" s="4" t="s">
        <v>1134</v>
      </c>
      <c r="E985">
        <v>1000000</v>
      </c>
      <c r="F985" t="s">
        <v>40</v>
      </c>
      <c r="G985">
        <f>tblSalaries[[#This Row],[clean Salary (in local currency)]]*VLOOKUP(tblSalaries[[#This Row],[Currency]],tblXrate[],2,FALSE)</f>
        <v>17807.916687442568</v>
      </c>
      <c r="H985" t="s">
        <v>1135</v>
      </c>
      <c r="I985" t="s">
        <v>52</v>
      </c>
      <c r="J985" t="s">
        <v>8</v>
      </c>
      <c r="K985" t="str">
        <f>VLOOKUP(tblSalaries[[#This Row],[Where do you work]],tblCountries[[Actual]:[Mapping]],2,FALSE)</f>
        <v>India</v>
      </c>
      <c r="L985" t="s">
        <v>13</v>
      </c>
      <c r="M985">
        <v>8</v>
      </c>
    </row>
    <row r="986" spans="2:13" ht="15" customHeight="1">
      <c r="B986" t="s">
        <v>2989</v>
      </c>
      <c r="C986" s="1">
        <v>41057.435972222222</v>
      </c>
      <c r="D986" s="4">
        <v>180000</v>
      </c>
      <c r="E986">
        <v>180000</v>
      </c>
      <c r="F986" t="s">
        <v>40</v>
      </c>
      <c r="G986">
        <f>tblSalaries[[#This Row],[clean Salary (in local currency)]]*VLOOKUP(tblSalaries[[#This Row],[Currency]],tblXrate[],2,FALSE)</f>
        <v>3205.4250037396623</v>
      </c>
      <c r="H986" t="s">
        <v>1136</v>
      </c>
      <c r="I986" t="s">
        <v>20</v>
      </c>
      <c r="J986" t="s">
        <v>1137</v>
      </c>
      <c r="K986" t="str">
        <f>VLOOKUP(tblSalaries[[#This Row],[Where do you work]],tblCountries[[Actual]:[Mapping]],2,FALSE)</f>
        <v>India</v>
      </c>
      <c r="L986" t="s">
        <v>9</v>
      </c>
      <c r="M986">
        <v>10</v>
      </c>
    </row>
    <row r="987" spans="2:13" ht="15" customHeight="1">
      <c r="B987" t="s">
        <v>2990</v>
      </c>
      <c r="C987" s="1">
        <v>41057.437280092592</v>
      </c>
      <c r="D987" s="4" t="s">
        <v>1138</v>
      </c>
      <c r="E987">
        <v>45000</v>
      </c>
      <c r="F987" t="s">
        <v>6</v>
      </c>
      <c r="G987">
        <f>tblSalaries[[#This Row],[clean Salary (in local currency)]]*VLOOKUP(tblSalaries[[#This Row],[Currency]],tblXrate[],2,FALSE)</f>
        <v>45000</v>
      </c>
      <c r="H987" t="s">
        <v>1139</v>
      </c>
      <c r="I987" t="s">
        <v>310</v>
      </c>
      <c r="J987" t="s">
        <v>15</v>
      </c>
      <c r="K987" t="str">
        <f>VLOOKUP(tblSalaries[[#This Row],[Where do you work]],tblCountries[[Actual]:[Mapping]],2,FALSE)</f>
        <v>USA</v>
      </c>
      <c r="L987" t="s">
        <v>13</v>
      </c>
      <c r="M987">
        <v>3</v>
      </c>
    </row>
    <row r="988" spans="2:13" ht="15" customHeight="1">
      <c r="B988" t="s">
        <v>2991</v>
      </c>
      <c r="C988" s="1">
        <v>41057.443668981483</v>
      </c>
      <c r="D988" s="4">
        <v>700000</v>
      </c>
      <c r="E988">
        <v>700000</v>
      </c>
      <c r="F988" t="s">
        <v>40</v>
      </c>
      <c r="G988">
        <f>tblSalaries[[#This Row],[clean Salary (in local currency)]]*VLOOKUP(tblSalaries[[#This Row],[Currency]],tblXrate[],2,FALSE)</f>
        <v>12465.541681209797</v>
      </c>
      <c r="H988" t="s">
        <v>1140</v>
      </c>
      <c r="I988" t="s">
        <v>52</v>
      </c>
      <c r="J988" t="s">
        <v>8</v>
      </c>
      <c r="K988" t="str">
        <f>VLOOKUP(tblSalaries[[#This Row],[Where do you work]],tblCountries[[Actual]:[Mapping]],2,FALSE)</f>
        <v>India</v>
      </c>
      <c r="L988" t="s">
        <v>18</v>
      </c>
      <c r="M988">
        <v>7</v>
      </c>
    </row>
    <row r="989" spans="2:13" ht="15" customHeight="1">
      <c r="B989" t="s">
        <v>2992</v>
      </c>
      <c r="C989" s="1">
        <v>41057.4455787037</v>
      </c>
      <c r="D989" s="4">
        <v>94000</v>
      </c>
      <c r="E989">
        <v>94000</v>
      </c>
      <c r="F989" t="s">
        <v>82</v>
      </c>
      <c r="G989">
        <f>tblSalaries[[#This Row],[clean Salary (in local currency)]]*VLOOKUP(tblSalaries[[#This Row],[Currency]],tblXrate[],2,FALSE)</f>
        <v>95871.50770184776</v>
      </c>
      <c r="H989" t="s">
        <v>1141</v>
      </c>
      <c r="I989" t="s">
        <v>20</v>
      </c>
      <c r="J989" t="s">
        <v>84</v>
      </c>
      <c r="K989" t="str">
        <f>VLOOKUP(tblSalaries[[#This Row],[Where do you work]],tblCountries[[Actual]:[Mapping]],2,FALSE)</f>
        <v>Australia</v>
      </c>
      <c r="L989" t="s">
        <v>18</v>
      </c>
      <c r="M989">
        <v>14</v>
      </c>
    </row>
    <row r="990" spans="2:13" ht="15" customHeight="1">
      <c r="B990" t="s">
        <v>2993</v>
      </c>
      <c r="C990" s="1">
        <v>41057.445925925924</v>
      </c>
      <c r="D990" s="4">
        <v>170000</v>
      </c>
      <c r="E990">
        <v>170000</v>
      </c>
      <c r="F990" t="s">
        <v>82</v>
      </c>
      <c r="G990">
        <f>tblSalaries[[#This Row],[clean Salary (in local currency)]]*VLOOKUP(tblSalaries[[#This Row],[Currency]],tblXrate[],2,FALSE)</f>
        <v>173384.64158844808</v>
      </c>
      <c r="H990" t="s">
        <v>1142</v>
      </c>
      <c r="I990" t="s">
        <v>356</v>
      </c>
      <c r="J990" t="s">
        <v>84</v>
      </c>
      <c r="K990" t="str">
        <f>VLOOKUP(tblSalaries[[#This Row],[Where do you work]],tblCountries[[Actual]:[Mapping]],2,FALSE)</f>
        <v>Australia</v>
      </c>
      <c r="L990" t="s">
        <v>18</v>
      </c>
      <c r="M990">
        <v>8</v>
      </c>
    </row>
    <row r="991" spans="2:13" ht="15" customHeight="1">
      <c r="B991" t="s">
        <v>2994</v>
      </c>
      <c r="C991" s="1">
        <v>41057.466585648152</v>
      </c>
      <c r="D991" s="4">
        <v>650000</v>
      </c>
      <c r="E991">
        <v>650000</v>
      </c>
      <c r="F991" t="s">
        <v>40</v>
      </c>
      <c r="G991">
        <f>tblSalaries[[#This Row],[clean Salary (in local currency)]]*VLOOKUP(tblSalaries[[#This Row],[Currency]],tblXrate[],2,FALSE)</f>
        <v>11575.14584683767</v>
      </c>
      <c r="H991" t="s">
        <v>1143</v>
      </c>
      <c r="I991" t="s">
        <v>52</v>
      </c>
      <c r="J991" t="s">
        <v>8</v>
      </c>
      <c r="K991" t="str">
        <f>VLOOKUP(tblSalaries[[#This Row],[Where do you work]],tblCountries[[Actual]:[Mapping]],2,FALSE)</f>
        <v>India</v>
      </c>
      <c r="L991" t="s">
        <v>18</v>
      </c>
      <c r="M991">
        <v>1</v>
      </c>
    </row>
    <row r="992" spans="2:13" ht="15" customHeight="1">
      <c r="B992" t="s">
        <v>2995</v>
      </c>
      <c r="C992" s="1">
        <v>41057.480092592596</v>
      </c>
      <c r="D992" s="4">
        <v>18000</v>
      </c>
      <c r="E992">
        <v>18000</v>
      </c>
      <c r="F992" t="s">
        <v>6</v>
      </c>
      <c r="G992">
        <f>tblSalaries[[#This Row],[clean Salary (in local currency)]]*VLOOKUP(tblSalaries[[#This Row],[Currency]],tblXrate[],2,FALSE)</f>
        <v>18000</v>
      </c>
      <c r="H992" t="s">
        <v>1144</v>
      </c>
      <c r="I992" t="s">
        <v>67</v>
      </c>
      <c r="J992" t="s">
        <v>8</v>
      </c>
      <c r="K992" t="str">
        <f>VLOOKUP(tblSalaries[[#This Row],[Where do you work]],tblCountries[[Actual]:[Mapping]],2,FALSE)</f>
        <v>India</v>
      </c>
      <c r="L992" t="s">
        <v>13</v>
      </c>
      <c r="M992">
        <v>8</v>
      </c>
    </row>
    <row r="993" spans="2:13" ht="15" customHeight="1">
      <c r="B993" t="s">
        <v>2996</v>
      </c>
      <c r="C993" s="1">
        <v>41057.481307870374</v>
      </c>
      <c r="D993" s="4" t="s">
        <v>1114</v>
      </c>
      <c r="E993">
        <v>70000</v>
      </c>
      <c r="F993" t="s">
        <v>82</v>
      </c>
      <c r="G993">
        <f>tblSalaries[[#This Row],[clean Salary (in local currency)]]*VLOOKUP(tblSalaries[[#This Row],[Currency]],tblXrate[],2,FALSE)</f>
        <v>71393.675948184507</v>
      </c>
      <c r="H993" t="s">
        <v>139</v>
      </c>
      <c r="I993" t="s">
        <v>4001</v>
      </c>
      <c r="J993" t="s">
        <v>84</v>
      </c>
      <c r="K993" t="str">
        <f>VLOOKUP(tblSalaries[[#This Row],[Where do you work]],tblCountries[[Actual]:[Mapping]],2,FALSE)</f>
        <v>Australia</v>
      </c>
      <c r="L993" t="s">
        <v>13</v>
      </c>
      <c r="M993">
        <v>2</v>
      </c>
    </row>
    <row r="994" spans="2:13" ht="15" customHeight="1">
      <c r="B994" t="s">
        <v>2997</v>
      </c>
      <c r="C994" s="1">
        <v>41057.48133101852</v>
      </c>
      <c r="D994" s="4" t="s">
        <v>1145</v>
      </c>
      <c r="E994">
        <v>350000</v>
      </c>
      <c r="F994" t="s">
        <v>40</v>
      </c>
      <c r="G994">
        <f>tblSalaries[[#This Row],[clean Salary (in local currency)]]*VLOOKUP(tblSalaries[[#This Row],[Currency]],tblXrate[],2,FALSE)</f>
        <v>6232.7708406048987</v>
      </c>
      <c r="H994" t="s">
        <v>153</v>
      </c>
      <c r="I994" t="s">
        <v>20</v>
      </c>
      <c r="J994" t="s">
        <v>8</v>
      </c>
      <c r="K994" t="str">
        <f>VLOOKUP(tblSalaries[[#This Row],[Where do you work]],tblCountries[[Actual]:[Mapping]],2,FALSE)</f>
        <v>India</v>
      </c>
      <c r="L994" t="s">
        <v>9</v>
      </c>
      <c r="M994">
        <v>2.5</v>
      </c>
    </row>
    <row r="995" spans="2:13" ht="15" customHeight="1">
      <c r="B995" t="s">
        <v>2998</v>
      </c>
      <c r="C995" s="1">
        <v>41057.484224537038</v>
      </c>
      <c r="D995" s="4" t="s">
        <v>1146</v>
      </c>
      <c r="E995">
        <v>240000</v>
      </c>
      <c r="F995" t="s">
        <v>1147</v>
      </c>
      <c r="G995">
        <f>tblSalaries[[#This Row],[clean Salary (in local currency)]]*VLOOKUP(tblSalaries[[#This Row],[Currency]],tblXrate[],2,FALSE)</f>
        <v>1805.7739622442759</v>
      </c>
      <c r="H995" t="s">
        <v>939</v>
      </c>
      <c r="I995" t="s">
        <v>52</v>
      </c>
      <c r="J995" t="s">
        <v>716</v>
      </c>
      <c r="K995" t="str">
        <f>VLOOKUP(tblSalaries[[#This Row],[Where do you work]],tblCountries[[Actual]:[Mapping]],2,FALSE)</f>
        <v>Sri Lanka</v>
      </c>
      <c r="L995" t="s">
        <v>9</v>
      </c>
      <c r="M995">
        <v>3</v>
      </c>
    </row>
    <row r="996" spans="2:13" ht="15" customHeight="1">
      <c r="B996" t="s">
        <v>2999</v>
      </c>
      <c r="C996" s="1">
        <v>41057.48542824074</v>
      </c>
      <c r="D996" s="4" t="s">
        <v>1148</v>
      </c>
      <c r="E996">
        <v>640000</v>
      </c>
      <c r="F996" t="s">
        <v>40</v>
      </c>
      <c r="G996">
        <f>tblSalaries[[#This Row],[clean Salary (in local currency)]]*VLOOKUP(tblSalaries[[#This Row],[Currency]],tblXrate[],2,FALSE)</f>
        <v>11397.066679963244</v>
      </c>
      <c r="H996" t="s">
        <v>1149</v>
      </c>
      <c r="I996" t="s">
        <v>20</v>
      </c>
      <c r="J996" t="s">
        <v>8</v>
      </c>
      <c r="K996" t="str">
        <f>VLOOKUP(tblSalaries[[#This Row],[Where do you work]],tblCountries[[Actual]:[Mapping]],2,FALSE)</f>
        <v>India</v>
      </c>
      <c r="L996" t="s">
        <v>13</v>
      </c>
      <c r="M996">
        <v>6</v>
      </c>
    </row>
    <row r="997" spans="2:13" ht="15" customHeight="1">
      <c r="B997" t="s">
        <v>3000</v>
      </c>
      <c r="C997" s="1">
        <v>41057.486932870372</v>
      </c>
      <c r="D997" s="4">
        <v>15000</v>
      </c>
      <c r="E997">
        <v>15000</v>
      </c>
      <c r="F997" t="s">
        <v>6</v>
      </c>
      <c r="G997">
        <f>tblSalaries[[#This Row],[clean Salary (in local currency)]]*VLOOKUP(tblSalaries[[#This Row],[Currency]],tblXrate[],2,FALSE)</f>
        <v>15000</v>
      </c>
      <c r="H997" t="s">
        <v>1150</v>
      </c>
      <c r="I997" t="s">
        <v>52</v>
      </c>
      <c r="J997" t="s">
        <v>8</v>
      </c>
      <c r="K997" t="str">
        <f>VLOOKUP(tblSalaries[[#This Row],[Where do you work]],tblCountries[[Actual]:[Mapping]],2,FALSE)</f>
        <v>India</v>
      </c>
      <c r="L997" t="s">
        <v>9</v>
      </c>
      <c r="M997">
        <v>4</v>
      </c>
    </row>
    <row r="998" spans="2:13" ht="15" customHeight="1">
      <c r="B998" t="s">
        <v>3001</v>
      </c>
      <c r="C998" s="1">
        <v>41057.499062499999</v>
      </c>
      <c r="D998" s="4" t="s">
        <v>1151</v>
      </c>
      <c r="E998">
        <v>308500</v>
      </c>
      <c r="F998" t="s">
        <v>585</v>
      </c>
      <c r="G998">
        <f>tblSalaries[[#This Row],[clean Salary (in local currency)]]*VLOOKUP(tblSalaries[[#This Row],[Currency]],tblXrate[],2,FALSE)</f>
        <v>37612.869087708088</v>
      </c>
      <c r="H998" t="s">
        <v>1152</v>
      </c>
      <c r="I998" t="s">
        <v>52</v>
      </c>
      <c r="J998" t="s">
        <v>48</v>
      </c>
      <c r="K998" t="str">
        <f>VLOOKUP(tblSalaries[[#This Row],[Where do you work]],tblCountries[[Actual]:[Mapping]],2,FALSE)</f>
        <v>South Africa</v>
      </c>
      <c r="L998" t="s">
        <v>13</v>
      </c>
      <c r="M998">
        <v>3</v>
      </c>
    </row>
    <row r="999" spans="2:13" ht="15" customHeight="1">
      <c r="B999" t="s">
        <v>3002</v>
      </c>
      <c r="C999" s="1">
        <v>41057.500162037039</v>
      </c>
      <c r="D999" s="4">
        <v>3.65</v>
      </c>
      <c r="E999">
        <v>365000</v>
      </c>
      <c r="F999" t="s">
        <v>40</v>
      </c>
      <c r="G999">
        <f>tblSalaries[[#This Row],[clean Salary (in local currency)]]*VLOOKUP(tblSalaries[[#This Row],[Currency]],tblXrate[],2,FALSE)</f>
        <v>6499.8895909165376</v>
      </c>
      <c r="H999" t="s">
        <v>1153</v>
      </c>
      <c r="I999" t="s">
        <v>20</v>
      </c>
      <c r="J999" t="s">
        <v>8</v>
      </c>
      <c r="K999" t="str">
        <f>VLOOKUP(tblSalaries[[#This Row],[Where do you work]],tblCountries[[Actual]:[Mapping]],2,FALSE)</f>
        <v>India</v>
      </c>
      <c r="L999" t="s">
        <v>9</v>
      </c>
      <c r="M999">
        <v>3</v>
      </c>
    </row>
    <row r="1000" spans="2:13" ht="15" customHeight="1">
      <c r="B1000" t="s">
        <v>3003</v>
      </c>
      <c r="C1000" s="1">
        <v>41057.506678240738</v>
      </c>
      <c r="D1000" s="4" t="s">
        <v>1154</v>
      </c>
      <c r="E1000">
        <v>20000</v>
      </c>
      <c r="F1000" t="s">
        <v>6</v>
      </c>
      <c r="G1000">
        <f>tblSalaries[[#This Row],[clean Salary (in local currency)]]*VLOOKUP(tblSalaries[[#This Row],[Currency]],tblXrate[],2,FALSE)</f>
        <v>20000</v>
      </c>
      <c r="H1000" t="s">
        <v>1155</v>
      </c>
      <c r="I1000" t="s">
        <v>3999</v>
      </c>
      <c r="J1000" t="s">
        <v>1156</v>
      </c>
      <c r="K1000" t="str">
        <f>VLOOKUP(tblSalaries[[#This Row],[Where do you work]],tblCountries[[Actual]:[Mapping]],2,FALSE)</f>
        <v>Paraguay</v>
      </c>
      <c r="L1000" t="s">
        <v>13</v>
      </c>
      <c r="M1000">
        <v>6</v>
      </c>
    </row>
    <row r="1001" spans="2:13" ht="15" customHeight="1">
      <c r="B1001" t="s">
        <v>3004</v>
      </c>
      <c r="C1001" s="1">
        <v>41057.507048611114</v>
      </c>
      <c r="D1001" s="4">
        <v>7265</v>
      </c>
      <c r="E1001">
        <v>7265</v>
      </c>
      <c r="F1001" t="s">
        <v>6</v>
      </c>
      <c r="G1001">
        <f>tblSalaries[[#This Row],[clean Salary (in local currency)]]*VLOOKUP(tblSalaries[[#This Row],[Currency]],tblXrate[],2,FALSE)</f>
        <v>7265</v>
      </c>
      <c r="H1001" t="s">
        <v>1157</v>
      </c>
      <c r="I1001" t="s">
        <v>279</v>
      </c>
      <c r="J1001" t="s">
        <v>8</v>
      </c>
      <c r="K1001" t="str">
        <f>VLOOKUP(tblSalaries[[#This Row],[Where do you work]],tblCountries[[Actual]:[Mapping]],2,FALSE)</f>
        <v>India</v>
      </c>
      <c r="L1001" t="s">
        <v>9</v>
      </c>
      <c r="M1001">
        <v>6</v>
      </c>
    </row>
    <row r="1002" spans="2:13" ht="15" customHeight="1">
      <c r="B1002" t="s">
        <v>3005</v>
      </c>
      <c r="C1002" s="1">
        <v>41057.511030092595</v>
      </c>
      <c r="D1002" s="4" t="s">
        <v>1158</v>
      </c>
      <c r="E1002">
        <v>92000</v>
      </c>
      <c r="F1002" t="s">
        <v>1159</v>
      </c>
      <c r="G1002">
        <f>tblSalaries[[#This Row],[clean Salary (in local currency)]]*VLOOKUP(tblSalaries[[#This Row],[Currency]],tblXrate[],2,FALSE)</f>
        <v>72571.80269935554</v>
      </c>
      <c r="H1002" t="s">
        <v>642</v>
      </c>
      <c r="I1002" t="s">
        <v>52</v>
      </c>
      <c r="J1002" t="s">
        <v>171</v>
      </c>
      <c r="K1002" t="str">
        <f>VLOOKUP(tblSalaries[[#This Row],[Where do you work]],tblCountries[[Actual]:[Mapping]],2,FALSE)</f>
        <v>Singapore</v>
      </c>
      <c r="L1002" t="s">
        <v>13</v>
      </c>
      <c r="M1002">
        <v>15</v>
      </c>
    </row>
    <row r="1003" spans="2:13" ht="15" customHeight="1">
      <c r="B1003" t="s">
        <v>3006</v>
      </c>
      <c r="C1003" s="1">
        <v>41057.514444444445</v>
      </c>
      <c r="D1003" s="4" t="s">
        <v>1160</v>
      </c>
      <c r="E1003">
        <v>450000</v>
      </c>
      <c r="F1003" t="s">
        <v>40</v>
      </c>
      <c r="G1003">
        <f>tblSalaries[[#This Row],[clean Salary (in local currency)]]*VLOOKUP(tblSalaries[[#This Row],[Currency]],tblXrate[],2,FALSE)</f>
        <v>8013.5625093491553</v>
      </c>
      <c r="H1003" t="s">
        <v>804</v>
      </c>
      <c r="I1003" t="s">
        <v>52</v>
      </c>
      <c r="J1003" t="s">
        <v>8</v>
      </c>
      <c r="K1003" t="str">
        <f>VLOOKUP(tblSalaries[[#This Row],[Where do you work]],tblCountries[[Actual]:[Mapping]],2,FALSE)</f>
        <v>India</v>
      </c>
      <c r="L1003" t="s">
        <v>13</v>
      </c>
      <c r="M1003">
        <v>15</v>
      </c>
    </row>
    <row r="1004" spans="2:13" ht="15" customHeight="1">
      <c r="B1004" t="s">
        <v>3007</v>
      </c>
      <c r="C1004" s="1">
        <v>41057.518067129633</v>
      </c>
      <c r="D1004" s="4" t="s">
        <v>1161</v>
      </c>
      <c r="E1004">
        <v>570000</v>
      </c>
      <c r="F1004" t="s">
        <v>40</v>
      </c>
      <c r="G1004">
        <f>tblSalaries[[#This Row],[clean Salary (in local currency)]]*VLOOKUP(tblSalaries[[#This Row],[Currency]],tblXrate[],2,FALSE)</f>
        <v>10150.512511842264</v>
      </c>
      <c r="H1004" t="s">
        <v>1162</v>
      </c>
      <c r="I1004" t="s">
        <v>20</v>
      </c>
      <c r="J1004" t="s">
        <v>8</v>
      </c>
      <c r="K1004" t="str">
        <f>VLOOKUP(tblSalaries[[#This Row],[Where do you work]],tblCountries[[Actual]:[Mapping]],2,FALSE)</f>
        <v>India</v>
      </c>
      <c r="L1004" t="s">
        <v>9</v>
      </c>
      <c r="M1004">
        <v>5</v>
      </c>
    </row>
    <row r="1005" spans="2:13" ht="15" customHeight="1">
      <c r="B1005" t="s">
        <v>3008</v>
      </c>
      <c r="C1005" s="1">
        <v>41057.518541666665</v>
      </c>
      <c r="D1005" s="4">
        <v>65000</v>
      </c>
      <c r="E1005">
        <v>65000</v>
      </c>
      <c r="F1005" t="s">
        <v>6</v>
      </c>
      <c r="G1005">
        <f>tblSalaries[[#This Row],[clean Salary (in local currency)]]*VLOOKUP(tblSalaries[[#This Row],[Currency]],tblXrate[],2,FALSE)</f>
        <v>65000</v>
      </c>
      <c r="H1005" t="s">
        <v>488</v>
      </c>
      <c r="I1005" t="s">
        <v>488</v>
      </c>
      <c r="J1005" t="s">
        <v>15</v>
      </c>
      <c r="K1005" t="str">
        <f>VLOOKUP(tblSalaries[[#This Row],[Where do you work]],tblCountries[[Actual]:[Mapping]],2,FALSE)</f>
        <v>USA</v>
      </c>
      <c r="L1005" t="s">
        <v>9</v>
      </c>
      <c r="M1005">
        <v>9</v>
      </c>
    </row>
    <row r="1006" spans="2:13" ht="15" customHeight="1">
      <c r="B1006" t="s">
        <v>3009</v>
      </c>
      <c r="C1006" s="1">
        <v>41057.522361111114</v>
      </c>
      <c r="D1006" s="4">
        <v>300000</v>
      </c>
      <c r="E1006">
        <v>300000</v>
      </c>
      <c r="F1006" t="s">
        <v>32</v>
      </c>
      <c r="G1006">
        <f>tblSalaries[[#This Row],[clean Salary (in local currency)]]*VLOOKUP(tblSalaries[[#This Row],[Currency]],tblXrate[],2,FALSE)</f>
        <v>3184.2266150397395</v>
      </c>
      <c r="H1006" t="s">
        <v>897</v>
      </c>
      <c r="I1006" t="s">
        <v>52</v>
      </c>
      <c r="J1006" t="s">
        <v>17</v>
      </c>
      <c r="K1006" t="str">
        <f>VLOOKUP(tblSalaries[[#This Row],[Where do you work]],tblCountries[[Actual]:[Mapping]],2,FALSE)</f>
        <v>Pakistan</v>
      </c>
      <c r="L1006" t="s">
        <v>9</v>
      </c>
      <c r="M1006">
        <v>4</v>
      </c>
    </row>
    <row r="1007" spans="2:13" ht="15" customHeight="1">
      <c r="B1007" t="s">
        <v>3010</v>
      </c>
      <c r="C1007" s="1">
        <v>41057.524745370371</v>
      </c>
      <c r="D1007" s="4" t="s">
        <v>1163</v>
      </c>
      <c r="E1007">
        <v>612000</v>
      </c>
      <c r="F1007" t="s">
        <v>40</v>
      </c>
      <c r="G1007">
        <f>tblSalaries[[#This Row],[clean Salary (in local currency)]]*VLOOKUP(tblSalaries[[#This Row],[Currency]],tblXrate[],2,FALSE)</f>
        <v>10898.445012714852</v>
      </c>
      <c r="H1007" t="s">
        <v>1164</v>
      </c>
      <c r="I1007" t="s">
        <v>52</v>
      </c>
      <c r="J1007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>
        <v>13</v>
      </c>
    </row>
    <row r="1008" spans="2:13" ht="15" customHeight="1">
      <c r="B1008" t="s">
        <v>3011</v>
      </c>
      <c r="C1008" s="1">
        <v>41057.528078703705</v>
      </c>
      <c r="D1008" s="4">
        <v>900</v>
      </c>
      <c r="E1008">
        <v>10800</v>
      </c>
      <c r="F1008" t="s">
        <v>6</v>
      </c>
      <c r="G1008">
        <f>tblSalaries[[#This Row],[clean Salary (in local currency)]]*VLOOKUP(tblSalaries[[#This Row],[Currency]],tblXrate[],2,FALSE)</f>
        <v>10800</v>
      </c>
      <c r="H1008" t="s">
        <v>1165</v>
      </c>
      <c r="I1008" t="s">
        <v>52</v>
      </c>
      <c r="J1008" t="s">
        <v>17</v>
      </c>
      <c r="K1008" t="str">
        <f>VLOOKUP(tblSalaries[[#This Row],[Where do you work]],tblCountries[[Actual]:[Mapping]],2,FALSE)</f>
        <v>Pakistan</v>
      </c>
      <c r="L1008" t="s">
        <v>13</v>
      </c>
      <c r="M1008">
        <v>5</v>
      </c>
    </row>
    <row r="1009" spans="2:13" ht="15" customHeight="1">
      <c r="B1009" t="s">
        <v>3012</v>
      </c>
      <c r="C1009" s="1">
        <v>41057.532870370371</v>
      </c>
      <c r="D1009" s="4">
        <v>120000</v>
      </c>
      <c r="E1009">
        <v>120000</v>
      </c>
      <c r="F1009" t="s">
        <v>40</v>
      </c>
      <c r="G1009">
        <f>tblSalaries[[#This Row],[clean Salary (in local currency)]]*VLOOKUP(tblSalaries[[#This Row],[Currency]],tblXrate[],2,FALSE)</f>
        <v>2136.9500024931081</v>
      </c>
      <c r="H1009" t="s">
        <v>1166</v>
      </c>
      <c r="I1009" t="s">
        <v>20</v>
      </c>
      <c r="J1009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>
        <v>3.5</v>
      </c>
    </row>
    <row r="1010" spans="2:13" ht="15" customHeight="1">
      <c r="B1010" t="s">
        <v>3013</v>
      </c>
      <c r="C1010" s="1">
        <v>41057.536030092589</v>
      </c>
      <c r="D1010" s="4">
        <v>45000</v>
      </c>
      <c r="E1010">
        <v>45000</v>
      </c>
      <c r="F1010" t="s">
        <v>6</v>
      </c>
      <c r="G1010">
        <f>tblSalaries[[#This Row],[clean Salary (in local currency)]]*VLOOKUP(tblSalaries[[#This Row],[Currency]],tblXrate[],2,FALSE)</f>
        <v>45000</v>
      </c>
      <c r="H1010" t="s">
        <v>279</v>
      </c>
      <c r="I1010" t="s">
        <v>279</v>
      </c>
      <c r="J1010" t="s">
        <v>1167</v>
      </c>
      <c r="K1010" t="str">
        <f>VLOOKUP(tblSalaries[[#This Row],[Where do you work]],tblCountries[[Actual]:[Mapping]],2,FALSE)</f>
        <v>Singapore</v>
      </c>
      <c r="L1010" t="s">
        <v>18</v>
      </c>
      <c r="M1010">
        <v>4</v>
      </c>
    </row>
    <row r="1011" spans="2:13" ht="15" customHeight="1">
      <c r="B1011" t="s">
        <v>3014</v>
      </c>
      <c r="C1011" s="1">
        <v>41057.539733796293</v>
      </c>
      <c r="D1011" s="4" t="s">
        <v>1168</v>
      </c>
      <c r="E1011">
        <v>400000</v>
      </c>
      <c r="F1011" t="s">
        <v>40</v>
      </c>
      <c r="G1011">
        <f>tblSalaries[[#This Row],[clean Salary (in local currency)]]*VLOOKUP(tblSalaries[[#This Row],[Currency]],tblXrate[],2,FALSE)</f>
        <v>7123.1666749770275</v>
      </c>
      <c r="H1011" t="s">
        <v>929</v>
      </c>
      <c r="I1011" t="s">
        <v>52</v>
      </c>
      <c r="J1011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>
        <v>5</v>
      </c>
    </row>
    <row r="1012" spans="2:13" ht="15" customHeight="1">
      <c r="B1012" t="s">
        <v>3015</v>
      </c>
      <c r="C1012" s="1">
        <v>41057.54078703704</v>
      </c>
      <c r="D1012" s="4" t="s">
        <v>1169</v>
      </c>
      <c r="E1012">
        <v>300000</v>
      </c>
      <c r="F1012" t="s">
        <v>40</v>
      </c>
      <c r="G1012">
        <f>tblSalaries[[#This Row],[clean Salary (in local currency)]]*VLOOKUP(tblSalaries[[#This Row],[Currency]],tblXrate[],2,FALSE)</f>
        <v>5342.3750062327708</v>
      </c>
      <c r="H1012" t="s">
        <v>1170</v>
      </c>
      <c r="I1012" t="s">
        <v>310</v>
      </c>
      <c r="J1012" t="s">
        <v>8</v>
      </c>
      <c r="K1012" t="str">
        <f>VLOOKUP(tblSalaries[[#This Row],[Where do you work]],tblCountries[[Actual]:[Mapping]],2,FALSE)</f>
        <v>India</v>
      </c>
      <c r="L1012" t="s">
        <v>18</v>
      </c>
      <c r="M1012">
        <v>5</v>
      </c>
    </row>
    <row r="1013" spans="2:13" ht="15" customHeight="1">
      <c r="B1013" t="s">
        <v>3016</v>
      </c>
      <c r="C1013" s="1">
        <v>41057.541655092595</v>
      </c>
      <c r="D1013" s="4">
        <v>18000</v>
      </c>
      <c r="E1013">
        <v>18000</v>
      </c>
      <c r="F1013" t="s">
        <v>6</v>
      </c>
      <c r="G1013">
        <f>tblSalaries[[#This Row],[clean Salary (in local currency)]]*VLOOKUP(tblSalaries[[#This Row],[Currency]],tblXrate[],2,FALSE)</f>
        <v>18000</v>
      </c>
      <c r="H1013" t="s">
        <v>1171</v>
      </c>
      <c r="I1013" t="s">
        <v>52</v>
      </c>
      <c r="J1013" t="s">
        <v>8</v>
      </c>
      <c r="K1013" t="str">
        <f>VLOOKUP(tblSalaries[[#This Row],[Where do you work]],tblCountries[[Actual]:[Mapping]],2,FALSE)</f>
        <v>India</v>
      </c>
      <c r="L1013" t="s">
        <v>18</v>
      </c>
      <c r="M1013">
        <v>4.5999999999999996</v>
      </c>
    </row>
    <row r="1014" spans="2:13" ht="15" customHeight="1">
      <c r="B1014" t="s">
        <v>3017</v>
      </c>
      <c r="C1014" s="1">
        <v>41057.542847222219</v>
      </c>
      <c r="D1014" s="4" t="s">
        <v>1172</v>
      </c>
      <c r="E1014">
        <v>456000</v>
      </c>
      <c r="F1014" t="s">
        <v>32</v>
      </c>
      <c r="G1014">
        <f>tblSalaries[[#This Row],[clean Salary (in local currency)]]*VLOOKUP(tblSalaries[[#This Row],[Currency]],tblXrate[],2,FALSE)</f>
        <v>4840.0244548604041</v>
      </c>
      <c r="H1014" t="s">
        <v>1173</v>
      </c>
      <c r="I1014" t="s">
        <v>52</v>
      </c>
      <c r="J1014" t="s">
        <v>17</v>
      </c>
      <c r="K1014" t="str">
        <f>VLOOKUP(tblSalaries[[#This Row],[Where do you work]],tblCountries[[Actual]:[Mapping]],2,FALSE)</f>
        <v>Pakistan</v>
      </c>
      <c r="L1014" t="s">
        <v>9</v>
      </c>
      <c r="M1014">
        <v>2</v>
      </c>
    </row>
    <row r="1015" spans="2:13" ht="15" customHeight="1">
      <c r="B1015" t="s">
        <v>3018</v>
      </c>
      <c r="C1015" s="1">
        <v>41057.543703703705</v>
      </c>
      <c r="D1015" s="4" t="s">
        <v>1174</v>
      </c>
      <c r="E1015">
        <v>420000</v>
      </c>
      <c r="F1015" t="s">
        <v>40</v>
      </c>
      <c r="G1015">
        <f>tblSalaries[[#This Row],[clean Salary (in local currency)]]*VLOOKUP(tblSalaries[[#This Row],[Currency]],tblXrate[],2,FALSE)</f>
        <v>7479.3250087258784</v>
      </c>
      <c r="H1015" t="s">
        <v>20</v>
      </c>
      <c r="I1015" t="s">
        <v>20</v>
      </c>
      <c r="J1015" t="s">
        <v>8</v>
      </c>
      <c r="K1015" t="str">
        <f>VLOOKUP(tblSalaries[[#This Row],[Where do you work]],tblCountries[[Actual]:[Mapping]],2,FALSE)</f>
        <v>India</v>
      </c>
      <c r="L1015" t="s">
        <v>18</v>
      </c>
      <c r="M1015">
        <v>10</v>
      </c>
    </row>
    <row r="1016" spans="2:13" ht="15" customHeight="1">
      <c r="B1016" t="s">
        <v>3019</v>
      </c>
      <c r="C1016" s="1">
        <v>41057.545590277776</v>
      </c>
      <c r="D1016" s="4">
        <v>210000</v>
      </c>
      <c r="E1016">
        <v>210000</v>
      </c>
      <c r="F1016" t="s">
        <v>40</v>
      </c>
      <c r="G1016">
        <f>tblSalaries[[#This Row],[clean Salary (in local currency)]]*VLOOKUP(tblSalaries[[#This Row],[Currency]],tblXrate[],2,FALSE)</f>
        <v>3739.6625043629392</v>
      </c>
      <c r="H1016" t="s">
        <v>801</v>
      </c>
      <c r="I1016" t="s">
        <v>3999</v>
      </c>
      <c r="J1016" t="s">
        <v>8</v>
      </c>
      <c r="K1016" t="str">
        <f>VLOOKUP(tblSalaries[[#This Row],[Where do you work]],tblCountries[[Actual]:[Mapping]],2,FALSE)</f>
        <v>India</v>
      </c>
      <c r="L1016" t="s">
        <v>13</v>
      </c>
      <c r="M1016">
        <v>3.5</v>
      </c>
    </row>
    <row r="1017" spans="2:13" ht="15" customHeight="1">
      <c r="B1017" t="s">
        <v>3020</v>
      </c>
      <c r="C1017" s="1">
        <v>41057.546261574076</v>
      </c>
      <c r="D1017" s="4">
        <v>3500</v>
      </c>
      <c r="E1017">
        <v>42000</v>
      </c>
      <c r="F1017" t="s">
        <v>6</v>
      </c>
      <c r="G1017">
        <f>tblSalaries[[#This Row],[clean Salary (in local currency)]]*VLOOKUP(tblSalaries[[#This Row],[Currency]],tblXrate[],2,FALSE)</f>
        <v>42000</v>
      </c>
      <c r="H1017" t="s">
        <v>1175</v>
      </c>
      <c r="I1017" t="s">
        <v>52</v>
      </c>
      <c r="J1017" t="s">
        <v>1176</v>
      </c>
      <c r="K1017" t="str">
        <f>VLOOKUP(tblSalaries[[#This Row],[Where do you work]],tblCountries[[Actual]:[Mapping]],2,FALSE)</f>
        <v>Kuwait</v>
      </c>
      <c r="L1017" t="s">
        <v>13</v>
      </c>
      <c r="M1017">
        <v>5</v>
      </c>
    </row>
    <row r="1018" spans="2:13" ht="15" customHeight="1">
      <c r="B1018" t="s">
        <v>3021</v>
      </c>
      <c r="C1018" s="1">
        <v>41057.548634259256</v>
      </c>
      <c r="D1018" s="4">
        <v>28000</v>
      </c>
      <c r="E1018">
        <v>28000</v>
      </c>
      <c r="F1018" t="s">
        <v>6</v>
      </c>
      <c r="G1018">
        <f>tblSalaries[[#This Row],[clean Salary (in local currency)]]*VLOOKUP(tblSalaries[[#This Row],[Currency]],tblXrate[],2,FALSE)</f>
        <v>28000</v>
      </c>
      <c r="H1018" t="s">
        <v>1082</v>
      </c>
      <c r="I1018" t="s">
        <v>3999</v>
      </c>
      <c r="J1018" t="s">
        <v>8</v>
      </c>
      <c r="K1018" t="str">
        <f>VLOOKUP(tblSalaries[[#This Row],[Where do you work]],tblCountries[[Actual]:[Mapping]],2,FALSE)</f>
        <v>India</v>
      </c>
      <c r="L1018" t="s">
        <v>18</v>
      </c>
      <c r="M1018">
        <v>3</v>
      </c>
    </row>
    <row r="1019" spans="2:13" ht="15" customHeight="1">
      <c r="B1019" t="s">
        <v>3022</v>
      </c>
      <c r="C1019" s="1">
        <v>41057.549791666665</v>
      </c>
      <c r="D1019" s="4">
        <v>6000</v>
      </c>
      <c r="E1019">
        <v>6000</v>
      </c>
      <c r="F1019" t="s">
        <v>6</v>
      </c>
      <c r="G1019">
        <f>tblSalaries[[#This Row],[clean Salary (in local currency)]]*VLOOKUP(tblSalaries[[#This Row],[Currency]],tblXrate[],2,FALSE)</f>
        <v>6000</v>
      </c>
      <c r="H1019" t="s">
        <v>52</v>
      </c>
      <c r="I1019" t="s">
        <v>52</v>
      </c>
      <c r="J1019" t="s">
        <v>8</v>
      </c>
      <c r="K1019" t="str">
        <f>VLOOKUP(tblSalaries[[#This Row],[Where do you work]],tblCountries[[Actual]:[Mapping]],2,FALSE)</f>
        <v>India</v>
      </c>
      <c r="L1019" t="s">
        <v>9</v>
      </c>
      <c r="M1019">
        <v>5</v>
      </c>
    </row>
    <row r="1020" spans="2:13" ht="15" customHeight="1">
      <c r="B1020" t="s">
        <v>3023</v>
      </c>
      <c r="C1020" s="1">
        <v>41057.559976851851</v>
      </c>
      <c r="D1020" s="4">
        <v>55</v>
      </c>
      <c r="E1020">
        <v>55000</v>
      </c>
      <c r="F1020" t="s">
        <v>670</v>
      </c>
      <c r="G1020">
        <f>tblSalaries[[#This Row],[clean Salary (in local currency)]]*VLOOKUP(tblSalaries[[#This Row],[Currency]],tblXrate[],2,FALSE)</f>
        <v>43867.345148271634</v>
      </c>
      <c r="H1020" t="s">
        <v>14</v>
      </c>
      <c r="I1020" t="s">
        <v>20</v>
      </c>
      <c r="J1020" t="s">
        <v>672</v>
      </c>
      <c r="K1020" t="str">
        <f>VLOOKUP(tblSalaries[[#This Row],[Where do you work]],tblCountries[[Actual]:[Mapping]],2,FALSE)</f>
        <v>New Zealand</v>
      </c>
      <c r="L1020" t="s">
        <v>13</v>
      </c>
      <c r="M1020">
        <v>10</v>
      </c>
    </row>
    <row r="1021" spans="2:13" ht="15" customHeight="1">
      <c r="B1021" t="s">
        <v>3024</v>
      </c>
      <c r="C1021" s="1">
        <v>41057.560949074075</v>
      </c>
      <c r="D1021" s="4" t="s">
        <v>1177</v>
      </c>
      <c r="E1021">
        <v>1000000</v>
      </c>
      <c r="F1021" t="s">
        <v>40</v>
      </c>
      <c r="G1021">
        <f>tblSalaries[[#This Row],[clean Salary (in local currency)]]*VLOOKUP(tblSalaries[[#This Row],[Currency]],tblXrate[],2,FALSE)</f>
        <v>17807.916687442568</v>
      </c>
      <c r="H1021" t="s">
        <v>1178</v>
      </c>
      <c r="I1021" t="s">
        <v>20</v>
      </c>
      <c r="J1021" t="s">
        <v>8</v>
      </c>
      <c r="K1021" t="str">
        <f>VLOOKUP(tblSalaries[[#This Row],[Where do you work]],tblCountries[[Actual]:[Mapping]],2,FALSE)</f>
        <v>India</v>
      </c>
      <c r="L1021" t="s">
        <v>25</v>
      </c>
      <c r="M1021">
        <v>25</v>
      </c>
    </row>
    <row r="1022" spans="2:13" ht="15" customHeight="1">
      <c r="B1022" t="s">
        <v>3025</v>
      </c>
      <c r="C1022" s="1">
        <v>41057.567476851851</v>
      </c>
      <c r="D1022" s="4">
        <v>600000</v>
      </c>
      <c r="E1022">
        <v>600000</v>
      </c>
      <c r="F1022" t="s">
        <v>40</v>
      </c>
      <c r="G1022">
        <f>tblSalaries[[#This Row],[clean Salary (in local currency)]]*VLOOKUP(tblSalaries[[#This Row],[Currency]],tblXrate[],2,FALSE)</f>
        <v>10684.750012465542</v>
      </c>
      <c r="H1022" t="s">
        <v>207</v>
      </c>
      <c r="I1022" t="s">
        <v>20</v>
      </c>
      <c r="J1022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>
        <v>12</v>
      </c>
    </row>
    <row r="1023" spans="2:13" ht="15" customHeight="1">
      <c r="B1023" t="s">
        <v>3026</v>
      </c>
      <c r="C1023" s="1">
        <v>41057.570115740738</v>
      </c>
      <c r="D1023" s="4" t="s">
        <v>1179</v>
      </c>
      <c r="E1023">
        <v>60000</v>
      </c>
      <c r="F1023" t="s">
        <v>6</v>
      </c>
      <c r="G1023">
        <f>tblSalaries[[#This Row],[clean Salary (in local currency)]]*VLOOKUP(tblSalaries[[#This Row],[Currency]],tblXrate[],2,FALSE)</f>
        <v>60000</v>
      </c>
      <c r="H1023" t="s">
        <v>1180</v>
      </c>
      <c r="I1023" t="s">
        <v>356</v>
      </c>
      <c r="J1023" t="s">
        <v>515</v>
      </c>
      <c r="K1023" t="str">
        <f>VLOOKUP(tblSalaries[[#This Row],[Where do you work]],tblCountries[[Actual]:[Mapping]],2,FALSE)</f>
        <v>Finland</v>
      </c>
      <c r="L1023" t="s">
        <v>13</v>
      </c>
      <c r="M1023">
        <v>5</v>
      </c>
    </row>
    <row r="1024" spans="2:13" ht="15" customHeight="1">
      <c r="B1024" t="s">
        <v>3027</v>
      </c>
      <c r="C1024" s="1">
        <v>41057.570520833331</v>
      </c>
      <c r="D1024" s="4">
        <v>476000</v>
      </c>
      <c r="E1024">
        <v>476000</v>
      </c>
      <c r="F1024" t="s">
        <v>40</v>
      </c>
      <c r="G1024">
        <f>tblSalaries[[#This Row],[clean Salary (in local currency)]]*VLOOKUP(tblSalaries[[#This Row],[Currency]],tblXrate[],2,FALSE)</f>
        <v>8476.5683432226633</v>
      </c>
      <c r="H1024" t="s">
        <v>1181</v>
      </c>
      <c r="I1024" t="s">
        <v>3999</v>
      </c>
      <c r="J1024" t="s">
        <v>8</v>
      </c>
      <c r="K1024" t="str">
        <f>VLOOKUP(tblSalaries[[#This Row],[Where do you work]],tblCountries[[Actual]:[Mapping]],2,FALSE)</f>
        <v>India</v>
      </c>
      <c r="L1024" t="s">
        <v>9</v>
      </c>
      <c r="M1024">
        <v>8</v>
      </c>
    </row>
    <row r="1025" spans="2:13" ht="15" customHeight="1">
      <c r="B1025" t="s">
        <v>3028</v>
      </c>
      <c r="C1025" s="1">
        <v>41057.570972222224</v>
      </c>
      <c r="D1025" s="4">
        <v>725</v>
      </c>
      <c r="E1025">
        <v>8700</v>
      </c>
      <c r="F1025" t="s">
        <v>6</v>
      </c>
      <c r="G1025">
        <f>tblSalaries[[#This Row],[clean Salary (in local currency)]]*VLOOKUP(tblSalaries[[#This Row],[Currency]],tblXrate[],2,FALSE)</f>
        <v>8700</v>
      </c>
      <c r="H1025" t="s">
        <v>1182</v>
      </c>
      <c r="I1025" t="s">
        <v>488</v>
      </c>
      <c r="J1025" t="s">
        <v>8</v>
      </c>
      <c r="K1025" t="str">
        <f>VLOOKUP(tblSalaries[[#This Row],[Where do you work]],tblCountries[[Actual]:[Mapping]],2,FALSE)</f>
        <v>India</v>
      </c>
      <c r="L1025" t="s">
        <v>18</v>
      </c>
      <c r="M1025">
        <v>7</v>
      </c>
    </row>
    <row r="1026" spans="2:13" ht="15" customHeight="1">
      <c r="B1026" t="s">
        <v>3029</v>
      </c>
      <c r="C1026" s="1">
        <v>41057.571238425924</v>
      </c>
      <c r="D1026" s="4" t="s">
        <v>1183</v>
      </c>
      <c r="E1026">
        <v>200000</v>
      </c>
      <c r="F1026" t="s">
        <v>40</v>
      </c>
      <c r="G1026">
        <f>tblSalaries[[#This Row],[clean Salary (in local currency)]]*VLOOKUP(tblSalaries[[#This Row],[Currency]],tblXrate[],2,FALSE)</f>
        <v>3561.5833374885137</v>
      </c>
      <c r="H1026" t="s">
        <v>1184</v>
      </c>
      <c r="I1026" t="s">
        <v>52</v>
      </c>
      <c r="J1026" t="s">
        <v>8</v>
      </c>
      <c r="K1026" t="str">
        <f>VLOOKUP(tblSalaries[[#This Row],[Where do you work]],tblCountries[[Actual]:[Mapping]],2,FALSE)</f>
        <v>India</v>
      </c>
      <c r="L1026" t="s">
        <v>13</v>
      </c>
      <c r="M1026">
        <v>8</v>
      </c>
    </row>
    <row r="1027" spans="2:13" ht="15" customHeight="1">
      <c r="B1027" t="s">
        <v>3030</v>
      </c>
      <c r="C1027" s="1">
        <v>41057.571539351855</v>
      </c>
      <c r="D1027" s="4">
        <v>1.8</v>
      </c>
      <c r="E1027">
        <v>180000</v>
      </c>
      <c r="F1027" t="s">
        <v>40</v>
      </c>
      <c r="G1027">
        <f>tblSalaries[[#This Row],[clean Salary (in local currency)]]*VLOOKUP(tblSalaries[[#This Row],[Currency]],tblXrate[],2,FALSE)</f>
        <v>3205.4250037396623</v>
      </c>
      <c r="H1027" t="s">
        <v>429</v>
      </c>
      <c r="I1027" t="s">
        <v>3999</v>
      </c>
      <c r="J1027" t="s">
        <v>8</v>
      </c>
      <c r="K1027" t="str">
        <f>VLOOKUP(tblSalaries[[#This Row],[Where do you work]],tblCountries[[Actual]:[Mapping]],2,FALSE)</f>
        <v>India</v>
      </c>
      <c r="L1027" t="s">
        <v>13</v>
      </c>
      <c r="M1027">
        <v>4</v>
      </c>
    </row>
    <row r="1028" spans="2:13" ht="15" customHeight="1">
      <c r="B1028" t="s">
        <v>3031</v>
      </c>
      <c r="C1028" s="1">
        <v>41057.573807870373</v>
      </c>
      <c r="D1028" s="4">
        <v>252000</v>
      </c>
      <c r="E1028">
        <v>252000</v>
      </c>
      <c r="F1028" t="s">
        <v>40</v>
      </c>
      <c r="G1028">
        <f>tblSalaries[[#This Row],[clean Salary (in local currency)]]*VLOOKUP(tblSalaries[[#This Row],[Currency]],tblXrate[],2,FALSE)</f>
        <v>4487.5950052355274</v>
      </c>
      <c r="H1028" t="s">
        <v>1185</v>
      </c>
      <c r="I1028" t="s">
        <v>310</v>
      </c>
      <c r="J1028" t="s">
        <v>8</v>
      </c>
      <c r="K1028" t="str">
        <f>VLOOKUP(tblSalaries[[#This Row],[Where do you work]],tblCountries[[Actual]:[Mapping]],2,FALSE)</f>
        <v>India</v>
      </c>
      <c r="L1028" t="s">
        <v>25</v>
      </c>
      <c r="M1028">
        <v>5</v>
      </c>
    </row>
    <row r="1029" spans="2:13" ht="15" customHeight="1">
      <c r="B1029" t="s">
        <v>3032</v>
      </c>
      <c r="C1029" s="1">
        <v>41057.579826388886</v>
      </c>
      <c r="D1029" s="4" t="s">
        <v>1186</v>
      </c>
      <c r="E1029">
        <v>700000</v>
      </c>
      <c r="F1029" t="s">
        <v>40</v>
      </c>
      <c r="G1029">
        <f>tblSalaries[[#This Row],[clean Salary (in local currency)]]*VLOOKUP(tblSalaries[[#This Row],[Currency]],tblXrate[],2,FALSE)</f>
        <v>12465.541681209797</v>
      </c>
      <c r="H1029" t="s">
        <v>503</v>
      </c>
      <c r="I1029" t="s">
        <v>20</v>
      </c>
      <c r="J1029" t="s">
        <v>8</v>
      </c>
      <c r="K1029" t="str">
        <f>VLOOKUP(tblSalaries[[#This Row],[Where do you work]],tblCountries[[Actual]:[Mapping]],2,FALSE)</f>
        <v>India</v>
      </c>
      <c r="L1029" t="s">
        <v>9</v>
      </c>
      <c r="M1029">
        <v>5</v>
      </c>
    </row>
    <row r="1030" spans="2:13" ht="15" customHeight="1">
      <c r="B1030" t="s">
        <v>3033</v>
      </c>
      <c r="C1030" s="1">
        <v>41057.583981481483</v>
      </c>
      <c r="D1030" s="4">
        <v>194</v>
      </c>
      <c r="E1030">
        <v>2400</v>
      </c>
      <c r="F1030" t="s">
        <v>6</v>
      </c>
      <c r="G1030">
        <f>tblSalaries[[#This Row],[clean Salary (in local currency)]]*VLOOKUP(tblSalaries[[#This Row],[Currency]],tblXrate[],2,FALSE)</f>
        <v>2400</v>
      </c>
      <c r="H1030" t="s">
        <v>757</v>
      </c>
      <c r="I1030" t="s">
        <v>310</v>
      </c>
      <c r="J1030" t="s">
        <v>17</v>
      </c>
      <c r="K1030" t="str">
        <f>VLOOKUP(tblSalaries[[#This Row],[Where do you work]],tblCountries[[Actual]:[Mapping]],2,FALSE)</f>
        <v>Pakistan</v>
      </c>
      <c r="L1030" t="s">
        <v>18</v>
      </c>
      <c r="M1030">
        <v>15</v>
      </c>
    </row>
    <row r="1031" spans="2:13" ht="15" customHeight="1">
      <c r="B1031" t="s">
        <v>3034</v>
      </c>
      <c r="C1031" s="1">
        <v>41057.591365740744</v>
      </c>
      <c r="D1031" s="4" t="s">
        <v>1187</v>
      </c>
      <c r="E1031">
        <v>55000</v>
      </c>
      <c r="F1031" t="s">
        <v>6</v>
      </c>
      <c r="G1031">
        <f>tblSalaries[[#This Row],[clean Salary (in local currency)]]*VLOOKUP(tblSalaries[[#This Row],[Currency]],tblXrate[],2,FALSE)</f>
        <v>55000</v>
      </c>
      <c r="H1031" t="s">
        <v>467</v>
      </c>
      <c r="I1031" t="s">
        <v>3999</v>
      </c>
      <c r="J1031" t="s">
        <v>416</v>
      </c>
      <c r="K1031" t="str">
        <f>VLOOKUP(tblSalaries[[#This Row],[Where do you work]],tblCountries[[Actual]:[Mapping]],2,FALSE)</f>
        <v>Israel</v>
      </c>
      <c r="L1031" t="s">
        <v>9</v>
      </c>
      <c r="M1031">
        <v>6</v>
      </c>
    </row>
    <row r="1032" spans="2:13" ht="15" customHeight="1">
      <c r="B1032" t="s">
        <v>3035</v>
      </c>
      <c r="C1032" s="1">
        <v>41057.59207175926</v>
      </c>
      <c r="D1032" s="4" t="s">
        <v>948</v>
      </c>
      <c r="E1032">
        <v>12000</v>
      </c>
      <c r="F1032" t="s">
        <v>6</v>
      </c>
      <c r="G1032">
        <f>tblSalaries[[#This Row],[clean Salary (in local currency)]]*VLOOKUP(tblSalaries[[#This Row],[Currency]],tblXrate[],2,FALSE)</f>
        <v>12000</v>
      </c>
      <c r="H1032" t="s">
        <v>1188</v>
      </c>
      <c r="I1032" t="s">
        <v>488</v>
      </c>
      <c r="J1032" t="s">
        <v>1078</v>
      </c>
      <c r="K1032" t="str">
        <f>VLOOKUP(tblSalaries[[#This Row],[Where do you work]],tblCountries[[Actual]:[Mapping]],2,FALSE)</f>
        <v>Iran</v>
      </c>
      <c r="L1032" t="s">
        <v>9</v>
      </c>
      <c r="M1032">
        <v>3</v>
      </c>
    </row>
    <row r="1033" spans="2:13" ht="15" customHeight="1">
      <c r="B1033" t="s">
        <v>3036</v>
      </c>
      <c r="C1033" s="1">
        <v>41057.592245370368</v>
      </c>
      <c r="D1033" s="4">
        <v>43500</v>
      </c>
      <c r="E1033">
        <v>43500</v>
      </c>
      <c r="F1033" t="s">
        <v>22</v>
      </c>
      <c r="G1033">
        <f>tblSalaries[[#This Row],[clean Salary (in local currency)]]*VLOOKUP(tblSalaries[[#This Row],[Currency]],tblXrate[],2,FALSE)</f>
        <v>55262.375596134938</v>
      </c>
      <c r="H1033" t="s">
        <v>1189</v>
      </c>
      <c r="I1033" t="s">
        <v>52</v>
      </c>
      <c r="J1033" t="s">
        <v>1190</v>
      </c>
      <c r="K1033" t="str">
        <f>VLOOKUP(tblSalaries[[#This Row],[Where do you work]],tblCountries[[Actual]:[Mapping]],2,FALSE)</f>
        <v>Spain</v>
      </c>
      <c r="L1033" t="s">
        <v>18</v>
      </c>
      <c r="M1033">
        <v>10</v>
      </c>
    </row>
    <row r="1034" spans="2:13" ht="15" customHeight="1">
      <c r="B1034" t="s">
        <v>3037</v>
      </c>
      <c r="C1034" s="1">
        <v>41057.592268518521</v>
      </c>
      <c r="D1034" s="4" t="s">
        <v>1191</v>
      </c>
      <c r="E1034">
        <v>1200000</v>
      </c>
      <c r="F1034" t="s">
        <v>40</v>
      </c>
      <c r="G1034">
        <f>tblSalaries[[#This Row],[clean Salary (in local currency)]]*VLOOKUP(tblSalaries[[#This Row],[Currency]],tblXrate[],2,FALSE)</f>
        <v>21369.500024931083</v>
      </c>
      <c r="H1034" t="s">
        <v>939</v>
      </c>
      <c r="I1034" t="s">
        <v>52</v>
      </c>
      <c r="J1034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>
        <v>2</v>
      </c>
    </row>
    <row r="1035" spans="2:13" ht="15" customHeight="1">
      <c r="B1035" t="s">
        <v>3038</v>
      </c>
      <c r="C1035" s="1">
        <v>41057.596296296295</v>
      </c>
      <c r="D1035" s="4">
        <v>26000</v>
      </c>
      <c r="E1035">
        <v>26000</v>
      </c>
      <c r="F1035" t="s">
        <v>69</v>
      </c>
      <c r="G1035">
        <f>tblSalaries[[#This Row],[clean Salary (in local currency)]]*VLOOKUP(tblSalaries[[#This Row],[Currency]],tblXrate[],2,FALSE)</f>
        <v>40980.635073749385</v>
      </c>
      <c r="H1035" t="s">
        <v>356</v>
      </c>
      <c r="I1035" t="s">
        <v>356</v>
      </c>
      <c r="J1035" t="s">
        <v>71</v>
      </c>
      <c r="K1035" t="str">
        <f>VLOOKUP(tblSalaries[[#This Row],[Where do you work]],tblCountries[[Actual]:[Mapping]],2,FALSE)</f>
        <v>UK</v>
      </c>
      <c r="L1035" t="s">
        <v>13</v>
      </c>
      <c r="M1035">
        <v>8</v>
      </c>
    </row>
    <row r="1036" spans="2:13" ht="15" customHeight="1">
      <c r="B1036" t="s">
        <v>3039</v>
      </c>
      <c r="C1036" s="1">
        <v>41057.598229166666</v>
      </c>
      <c r="D1036" s="4">
        <v>50000</v>
      </c>
      <c r="E1036">
        <v>50000</v>
      </c>
      <c r="F1036" t="s">
        <v>82</v>
      </c>
      <c r="G1036">
        <f>tblSalaries[[#This Row],[clean Salary (in local currency)]]*VLOOKUP(tblSalaries[[#This Row],[Currency]],tblXrate[],2,FALSE)</f>
        <v>50995.482820131787</v>
      </c>
      <c r="H1036" t="s">
        <v>1192</v>
      </c>
      <c r="I1036" t="s">
        <v>20</v>
      </c>
      <c r="J1036" t="s">
        <v>84</v>
      </c>
      <c r="K1036" t="str">
        <f>VLOOKUP(tblSalaries[[#This Row],[Where do you work]],tblCountries[[Actual]:[Mapping]],2,FALSE)</f>
        <v>Australia</v>
      </c>
      <c r="L1036" t="s">
        <v>9</v>
      </c>
      <c r="M1036">
        <v>4</v>
      </c>
    </row>
    <row r="1037" spans="2:13" ht="15" customHeight="1">
      <c r="B1037" t="s">
        <v>3040</v>
      </c>
      <c r="C1037" s="1">
        <v>41057.598634259259</v>
      </c>
      <c r="D1037" s="4" t="s">
        <v>1193</v>
      </c>
      <c r="E1037">
        <v>16000</v>
      </c>
      <c r="F1037" t="s">
        <v>22</v>
      </c>
      <c r="G1037">
        <f>tblSalaries[[#This Row],[clean Salary (in local currency)]]*VLOOKUP(tblSalaries[[#This Row],[Currency]],tblXrate[],2,FALSE)</f>
        <v>20326.391023865726</v>
      </c>
      <c r="H1037" t="s">
        <v>1194</v>
      </c>
      <c r="I1037" t="s">
        <v>52</v>
      </c>
      <c r="J1037" t="s">
        <v>169</v>
      </c>
      <c r="K1037" t="str">
        <f>VLOOKUP(tblSalaries[[#This Row],[Where do you work]],tblCountries[[Actual]:[Mapping]],2,FALSE)</f>
        <v>Greece</v>
      </c>
      <c r="L1037" t="s">
        <v>13</v>
      </c>
      <c r="M1037">
        <v>16</v>
      </c>
    </row>
    <row r="1038" spans="2:13" ht="15" customHeight="1">
      <c r="B1038" t="s">
        <v>3041</v>
      </c>
      <c r="C1038" s="1">
        <v>41057.599965277775</v>
      </c>
      <c r="D1038" s="4">
        <v>1000</v>
      </c>
      <c r="E1038">
        <v>12000</v>
      </c>
      <c r="F1038" t="s">
        <v>6</v>
      </c>
      <c r="G1038">
        <f>tblSalaries[[#This Row],[clean Salary (in local currency)]]*VLOOKUP(tblSalaries[[#This Row],[Currency]],tblXrate[],2,FALSE)</f>
        <v>12000</v>
      </c>
      <c r="H1038" t="s">
        <v>83</v>
      </c>
      <c r="I1038" t="s">
        <v>356</v>
      </c>
      <c r="J1038" t="s">
        <v>8</v>
      </c>
      <c r="K1038" t="str">
        <f>VLOOKUP(tblSalaries[[#This Row],[Where do you work]],tblCountries[[Actual]:[Mapping]],2,FALSE)</f>
        <v>India</v>
      </c>
      <c r="L1038" t="s">
        <v>18</v>
      </c>
      <c r="M1038">
        <v>8</v>
      </c>
    </row>
    <row r="1039" spans="2:13" ht="15" customHeight="1">
      <c r="B1039" t="s">
        <v>3042</v>
      </c>
      <c r="C1039" s="1">
        <v>41057.604224537034</v>
      </c>
      <c r="D1039" s="4" t="s">
        <v>1195</v>
      </c>
      <c r="E1039">
        <v>240000</v>
      </c>
      <c r="F1039" t="s">
        <v>585</v>
      </c>
      <c r="G1039">
        <f>tblSalaries[[#This Row],[clean Salary (in local currency)]]*VLOOKUP(tblSalaries[[#This Row],[Currency]],tblXrate[],2,FALSE)</f>
        <v>29261.227167098674</v>
      </c>
      <c r="H1039" t="s">
        <v>1196</v>
      </c>
      <c r="I1039" t="s">
        <v>310</v>
      </c>
      <c r="J1039" t="s">
        <v>48</v>
      </c>
      <c r="K1039" t="str">
        <f>VLOOKUP(tblSalaries[[#This Row],[Where do you work]],tblCountries[[Actual]:[Mapping]],2,FALSE)</f>
        <v>South Africa</v>
      </c>
      <c r="L1039" t="s">
        <v>18</v>
      </c>
      <c r="M1039">
        <v>20</v>
      </c>
    </row>
    <row r="1040" spans="2:13" ht="15" customHeight="1">
      <c r="B1040" t="s">
        <v>3043</v>
      </c>
      <c r="C1040" s="1">
        <v>41057.605682870373</v>
      </c>
      <c r="D1040" s="4">
        <v>120000</v>
      </c>
      <c r="E1040">
        <v>120000</v>
      </c>
      <c r="F1040" t="s">
        <v>585</v>
      </c>
      <c r="G1040">
        <f>tblSalaries[[#This Row],[clean Salary (in local currency)]]*VLOOKUP(tblSalaries[[#This Row],[Currency]],tblXrate[],2,FALSE)</f>
        <v>14630.613583549337</v>
      </c>
      <c r="H1040" t="s">
        <v>344</v>
      </c>
      <c r="I1040" t="s">
        <v>4001</v>
      </c>
      <c r="J1040" t="s">
        <v>48</v>
      </c>
      <c r="K1040" t="str">
        <f>VLOOKUP(tblSalaries[[#This Row],[Where do you work]],tblCountries[[Actual]:[Mapping]],2,FALSE)</f>
        <v>South Africa</v>
      </c>
      <c r="L1040" t="s">
        <v>9</v>
      </c>
      <c r="M1040">
        <v>10</v>
      </c>
    </row>
    <row r="1041" spans="2:13" ht="15" customHeight="1">
      <c r="B1041" t="s">
        <v>3044</v>
      </c>
      <c r="C1041" s="1">
        <v>41057.60733796296</v>
      </c>
      <c r="D1041" s="4">
        <v>408000</v>
      </c>
      <c r="E1041">
        <v>408000</v>
      </c>
      <c r="F1041" t="s">
        <v>40</v>
      </c>
      <c r="G1041">
        <f>tblSalaries[[#This Row],[clean Salary (in local currency)]]*VLOOKUP(tblSalaries[[#This Row],[Currency]],tblXrate[],2,FALSE)</f>
        <v>7265.630008476568</v>
      </c>
      <c r="H1041" t="s">
        <v>1197</v>
      </c>
      <c r="I1041" t="s">
        <v>310</v>
      </c>
      <c r="J1041" t="s">
        <v>8</v>
      </c>
      <c r="K1041" t="str">
        <f>VLOOKUP(tblSalaries[[#This Row],[Where do you work]],tblCountries[[Actual]:[Mapping]],2,FALSE)</f>
        <v>India</v>
      </c>
      <c r="L1041" t="s">
        <v>13</v>
      </c>
      <c r="M1041">
        <v>5</v>
      </c>
    </row>
    <row r="1042" spans="2:13" ht="15" customHeight="1">
      <c r="B1042" t="s">
        <v>3045</v>
      </c>
      <c r="C1042" s="1">
        <v>41057.607372685183</v>
      </c>
      <c r="D1042" s="4" t="s">
        <v>470</v>
      </c>
      <c r="E1042">
        <v>28000</v>
      </c>
      <c r="F1042" t="s">
        <v>69</v>
      </c>
      <c r="G1042">
        <f>tblSalaries[[#This Row],[clean Salary (in local currency)]]*VLOOKUP(tblSalaries[[#This Row],[Currency]],tblXrate[],2,FALSE)</f>
        <v>44132.991617883956</v>
      </c>
      <c r="H1042" t="s">
        <v>833</v>
      </c>
      <c r="I1042" t="s">
        <v>20</v>
      </c>
      <c r="J1042" t="s">
        <v>71</v>
      </c>
      <c r="K1042" t="str">
        <f>VLOOKUP(tblSalaries[[#This Row],[Where do you work]],tblCountries[[Actual]:[Mapping]],2,FALSE)</f>
        <v>UK</v>
      </c>
      <c r="L1042" t="s">
        <v>18</v>
      </c>
      <c r="M1042">
        <v>16</v>
      </c>
    </row>
    <row r="1043" spans="2:13" ht="15" customHeight="1">
      <c r="B1043" t="s">
        <v>3046</v>
      </c>
      <c r="C1043" s="1">
        <v>41057.61173611111</v>
      </c>
      <c r="D1043" s="4" t="s">
        <v>1198</v>
      </c>
      <c r="E1043">
        <v>530000</v>
      </c>
      <c r="F1043" t="s">
        <v>40</v>
      </c>
      <c r="G1043">
        <f>tblSalaries[[#This Row],[clean Salary (in local currency)]]*VLOOKUP(tblSalaries[[#This Row],[Currency]],tblXrate[],2,FALSE)</f>
        <v>9438.1958443445619</v>
      </c>
      <c r="H1043" t="s">
        <v>1199</v>
      </c>
      <c r="I1043" t="s">
        <v>20</v>
      </c>
      <c r="J1043" t="s">
        <v>8</v>
      </c>
      <c r="K1043" t="str">
        <f>VLOOKUP(tblSalaries[[#This Row],[Where do you work]],tblCountries[[Actual]:[Mapping]],2,FALSE)</f>
        <v>India</v>
      </c>
      <c r="L1043" t="s">
        <v>18</v>
      </c>
      <c r="M1043">
        <v>7</v>
      </c>
    </row>
    <row r="1044" spans="2:13" ht="15" customHeight="1">
      <c r="B1044" t="s">
        <v>3047</v>
      </c>
      <c r="C1044" s="1">
        <v>41057.613657407404</v>
      </c>
      <c r="D1044" s="4" t="s">
        <v>1200</v>
      </c>
      <c r="E1044">
        <v>18000</v>
      </c>
      <c r="F1044" t="s">
        <v>6</v>
      </c>
      <c r="G1044">
        <f>tblSalaries[[#This Row],[clean Salary (in local currency)]]*VLOOKUP(tblSalaries[[#This Row],[Currency]],tblXrate[],2,FALSE)</f>
        <v>18000</v>
      </c>
      <c r="H1044" t="s">
        <v>20</v>
      </c>
      <c r="I1044" t="s">
        <v>20</v>
      </c>
      <c r="J1044" t="s">
        <v>75</v>
      </c>
      <c r="K1044" t="str">
        <f>VLOOKUP(tblSalaries[[#This Row],[Where do you work]],tblCountries[[Actual]:[Mapping]],2,FALSE)</f>
        <v>Poland</v>
      </c>
      <c r="L1044" t="s">
        <v>9</v>
      </c>
      <c r="M1044">
        <v>7</v>
      </c>
    </row>
    <row r="1045" spans="2:13" ht="15" customHeight="1">
      <c r="B1045" t="s">
        <v>3048</v>
      </c>
      <c r="C1045" s="1">
        <v>41057.614189814813</v>
      </c>
      <c r="D1045" s="4" t="s">
        <v>1201</v>
      </c>
      <c r="E1045">
        <v>200000</v>
      </c>
      <c r="F1045" t="s">
        <v>40</v>
      </c>
      <c r="G1045">
        <f>tblSalaries[[#This Row],[clean Salary (in local currency)]]*VLOOKUP(tblSalaries[[#This Row],[Currency]],tblXrate[],2,FALSE)</f>
        <v>3561.5833374885137</v>
      </c>
      <c r="H1045" t="s">
        <v>1202</v>
      </c>
      <c r="I1045" t="s">
        <v>52</v>
      </c>
      <c r="J1045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>
        <v>5</v>
      </c>
    </row>
    <row r="1046" spans="2:13" ht="15" customHeight="1">
      <c r="B1046" t="s">
        <v>3049</v>
      </c>
      <c r="C1046" s="1">
        <v>41057.614629629628</v>
      </c>
      <c r="D1046" s="4" t="s">
        <v>1203</v>
      </c>
      <c r="E1046">
        <v>200000</v>
      </c>
      <c r="F1046" t="s">
        <v>40</v>
      </c>
      <c r="G1046">
        <f>tblSalaries[[#This Row],[clean Salary (in local currency)]]*VLOOKUP(tblSalaries[[#This Row],[Currency]],tblXrate[],2,FALSE)</f>
        <v>3561.5833374885137</v>
      </c>
      <c r="H1046" t="s">
        <v>721</v>
      </c>
      <c r="I1046" t="s">
        <v>3999</v>
      </c>
      <c r="J1046" t="s">
        <v>8</v>
      </c>
      <c r="K1046" t="str">
        <f>VLOOKUP(tblSalaries[[#This Row],[Where do you work]],tblCountries[[Actual]:[Mapping]],2,FALSE)</f>
        <v>India</v>
      </c>
      <c r="L1046" t="s">
        <v>9</v>
      </c>
      <c r="M1046">
        <v>3</v>
      </c>
    </row>
    <row r="1047" spans="2:13" ht="15" customHeight="1">
      <c r="B1047" t="s">
        <v>3050</v>
      </c>
      <c r="C1047" s="1">
        <v>41057.615763888891</v>
      </c>
      <c r="D1047" s="4">
        <v>5100</v>
      </c>
      <c r="E1047">
        <v>5100</v>
      </c>
      <c r="F1047" t="s">
        <v>6</v>
      </c>
      <c r="G1047">
        <f>tblSalaries[[#This Row],[clean Salary (in local currency)]]*VLOOKUP(tblSalaries[[#This Row],[Currency]],tblXrate[],2,FALSE)</f>
        <v>5100</v>
      </c>
      <c r="H1047" t="s">
        <v>721</v>
      </c>
      <c r="I1047" t="s">
        <v>3999</v>
      </c>
      <c r="J1047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>
        <v>8</v>
      </c>
    </row>
    <row r="1048" spans="2:13" ht="15" customHeight="1">
      <c r="B1048" t="s">
        <v>3051</v>
      </c>
      <c r="C1048" s="1">
        <v>41057.618090277778</v>
      </c>
      <c r="D1048" s="4">
        <v>100000</v>
      </c>
      <c r="E1048">
        <v>1200000</v>
      </c>
      <c r="F1048" t="s">
        <v>40</v>
      </c>
      <c r="G1048">
        <f>tblSalaries[[#This Row],[clean Salary (in local currency)]]*VLOOKUP(tblSalaries[[#This Row],[Currency]],tblXrate[],2,FALSE)</f>
        <v>21369.500024931083</v>
      </c>
      <c r="H1048" t="s">
        <v>725</v>
      </c>
      <c r="I1048" t="s">
        <v>20</v>
      </c>
      <c r="J1048" t="s">
        <v>8</v>
      </c>
      <c r="K1048" t="str">
        <f>VLOOKUP(tblSalaries[[#This Row],[Where do you work]],tblCountries[[Actual]:[Mapping]],2,FALSE)</f>
        <v>India</v>
      </c>
      <c r="L1048" t="s">
        <v>9</v>
      </c>
      <c r="M1048">
        <v>7</v>
      </c>
    </row>
    <row r="1049" spans="2:13" ht="15" customHeight="1">
      <c r="B1049" t="s">
        <v>3052</v>
      </c>
      <c r="C1049" s="1">
        <v>41057.61996527778</v>
      </c>
      <c r="D1049" s="4" t="s">
        <v>1204</v>
      </c>
      <c r="E1049">
        <v>300000</v>
      </c>
      <c r="F1049" t="s">
        <v>40</v>
      </c>
      <c r="G1049">
        <f>tblSalaries[[#This Row],[clean Salary (in local currency)]]*VLOOKUP(tblSalaries[[#This Row],[Currency]],tblXrate[],2,FALSE)</f>
        <v>5342.3750062327708</v>
      </c>
      <c r="H1049" t="s">
        <v>1205</v>
      </c>
      <c r="I1049" t="s">
        <v>356</v>
      </c>
      <c r="J1049" t="s">
        <v>8</v>
      </c>
      <c r="K1049" t="str">
        <f>VLOOKUP(tblSalaries[[#This Row],[Where do you work]],tblCountries[[Actual]:[Mapping]],2,FALSE)</f>
        <v>India</v>
      </c>
      <c r="L1049" t="s">
        <v>18</v>
      </c>
      <c r="M1049">
        <v>1</v>
      </c>
    </row>
    <row r="1050" spans="2:13" ht="15" customHeight="1">
      <c r="B1050" t="s">
        <v>3053</v>
      </c>
      <c r="C1050" s="1">
        <v>41057.620162037034</v>
      </c>
      <c r="D1050" s="4">
        <v>50000</v>
      </c>
      <c r="E1050">
        <v>50000</v>
      </c>
      <c r="F1050" t="s">
        <v>6</v>
      </c>
      <c r="G1050">
        <f>tblSalaries[[#This Row],[clean Salary (in local currency)]]*VLOOKUP(tblSalaries[[#This Row],[Currency]],tblXrate[],2,FALSE)</f>
        <v>50000</v>
      </c>
      <c r="H1050" t="s">
        <v>593</v>
      </c>
      <c r="I1050" t="s">
        <v>4001</v>
      </c>
      <c r="J1050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>
        <v>26</v>
      </c>
    </row>
    <row r="1051" spans="2:13" ht="15" customHeight="1">
      <c r="B1051" t="s">
        <v>3054</v>
      </c>
      <c r="C1051" s="1">
        <v>41057.620648148149</v>
      </c>
      <c r="D1051" s="4" t="s">
        <v>1206</v>
      </c>
      <c r="E1051">
        <v>1600000</v>
      </c>
      <c r="F1051" t="s">
        <v>40</v>
      </c>
      <c r="G1051">
        <f>tblSalaries[[#This Row],[clean Salary (in local currency)]]*VLOOKUP(tblSalaries[[#This Row],[Currency]],tblXrate[],2,FALSE)</f>
        <v>28492.66669990811</v>
      </c>
      <c r="H1051" t="s">
        <v>1207</v>
      </c>
      <c r="I1051" t="s">
        <v>52</v>
      </c>
      <c r="J1051" t="s">
        <v>8</v>
      </c>
      <c r="K1051" t="str">
        <f>VLOOKUP(tblSalaries[[#This Row],[Where do you work]],tblCountries[[Actual]:[Mapping]],2,FALSE)</f>
        <v>India</v>
      </c>
      <c r="L1051" t="s">
        <v>13</v>
      </c>
      <c r="M1051">
        <v>9</v>
      </c>
    </row>
    <row r="1052" spans="2:13" ht="15" customHeight="1">
      <c r="B1052" t="s">
        <v>3055</v>
      </c>
      <c r="C1052" s="1">
        <v>41057.622534722221</v>
      </c>
      <c r="D1052" s="4">
        <v>15600</v>
      </c>
      <c r="E1052">
        <v>15600</v>
      </c>
      <c r="F1052" t="s">
        <v>69</v>
      </c>
      <c r="G1052">
        <f>tblSalaries[[#This Row],[clean Salary (in local currency)]]*VLOOKUP(tblSalaries[[#This Row],[Currency]],tblXrate[],2,FALSE)</f>
        <v>24588.381044249632</v>
      </c>
      <c r="H1052" t="s">
        <v>1208</v>
      </c>
      <c r="I1052" t="s">
        <v>20</v>
      </c>
      <c r="J1052" t="s">
        <v>71</v>
      </c>
      <c r="K1052" t="str">
        <f>VLOOKUP(tblSalaries[[#This Row],[Where do you work]],tblCountries[[Actual]:[Mapping]],2,FALSE)</f>
        <v>UK</v>
      </c>
      <c r="L1052" t="s">
        <v>13</v>
      </c>
      <c r="M1052">
        <v>0</v>
      </c>
    </row>
    <row r="1053" spans="2:13" ht="15" customHeight="1">
      <c r="B1053" t="s">
        <v>3056</v>
      </c>
      <c r="C1053" s="1">
        <v>41057.633773148147</v>
      </c>
      <c r="D1053" s="4">
        <v>7000</v>
      </c>
      <c r="E1053">
        <v>7000</v>
      </c>
      <c r="F1053" t="s">
        <v>6</v>
      </c>
      <c r="G1053">
        <f>tblSalaries[[#This Row],[clean Salary (in local currency)]]*VLOOKUP(tblSalaries[[#This Row],[Currency]],tblXrate[],2,FALSE)</f>
        <v>7000</v>
      </c>
      <c r="H1053" t="s">
        <v>721</v>
      </c>
      <c r="I1053" t="s">
        <v>3999</v>
      </c>
      <c r="J1053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>
        <v>5</v>
      </c>
    </row>
    <row r="1054" spans="2:13" ht="15" customHeight="1">
      <c r="B1054" t="s">
        <v>3057</v>
      </c>
      <c r="C1054" s="1">
        <v>41057.636342592596</v>
      </c>
      <c r="D1054" s="4" t="s">
        <v>1209</v>
      </c>
      <c r="E1054">
        <v>438000</v>
      </c>
      <c r="F1054" t="s">
        <v>40</v>
      </c>
      <c r="G1054">
        <f>tblSalaries[[#This Row],[clean Salary (in local currency)]]*VLOOKUP(tblSalaries[[#This Row],[Currency]],tblXrate[],2,FALSE)</f>
        <v>7799.8675090998449</v>
      </c>
      <c r="H1054" t="s">
        <v>1210</v>
      </c>
      <c r="I1054" t="s">
        <v>20</v>
      </c>
      <c r="J1054" t="s">
        <v>8</v>
      </c>
      <c r="K1054" t="str">
        <f>VLOOKUP(tblSalaries[[#This Row],[Where do you work]],tblCountries[[Actual]:[Mapping]],2,FALSE)</f>
        <v>India</v>
      </c>
      <c r="L1054" t="s">
        <v>25</v>
      </c>
      <c r="M1054">
        <v>10</v>
      </c>
    </row>
    <row r="1055" spans="2:13" ht="15" customHeight="1">
      <c r="B1055" t="s">
        <v>3058</v>
      </c>
      <c r="C1055" s="1">
        <v>41057.640173611115</v>
      </c>
      <c r="D1055" s="4" t="s">
        <v>1211</v>
      </c>
      <c r="E1055">
        <v>50000</v>
      </c>
      <c r="F1055" t="s">
        <v>69</v>
      </c>
      <c r="G1055">
        <f>tblSalaries[[#This Row],[clean Salary (in local currency)]]*VLOOKUP(tblSalaries[[#This Row],[Currency]],tblXrate[],2,FALSE)</f>
        <v>78808.913603364199</v>
      </c>
      <c r="H1055" t="s">
        <v>1212</v>
      </c>
      <c r="I1055" t="s">
        <v>52</v>
      </c>
      <c r="J1055" t="s">
        <v>71</v>
      </c>
      <c r="K1055" t="str">
        <f>VLOOKUP(tblSalaries[[#This Row],[Where do you work]],tblCountries[[Actual]:[Mapping]],2,FALSE)</f>
        <v>UK</v>
      </c>
      <c r="L1055" t="s">
        <v>18</v>
      </c>
      <c r="M1055">
        <v>12</v>
      </c>
    </row>
    <row r="1056" spans="2:13" ht="15" customHeight="1">
      <c r="B1056" t="s">
        <v>3059</v>
      </c>
      <c r="C1056" s="1">
        <v>41057.644432870373</v>
      </c>
      <c r="D1056" s="4">
        <v>560</v>
      </c>
      <c r="E1056">
        <v>6720</v>
      </c>
      <c r="F1056" t="s">
        <v>6</v>
      </c>
      <c r="G1056">
        <f>tblSalaries[[#This Row],[clean Salary (in local currency)]]*VLOOKUP(tblSalaries[[#This Row],[Currency]],tblXrate[],2,FALSE)</f>
        <v>6720</v>
      </c>
      <c r="H1056" t="s">
        <v>721</v>
      </c>
      <c r="I1056" t="s">
        <v>3999</v>
      </c>
      <c r="J1056" t="s">
        <v>8</v>
      </c>
      <c r="K1056" t="str">
        <f>VLOOKUP(tblSalaries[[#This Row],[Where do you work]],tblCountries[[Actual]:[Mapping]],2,FALSE)</f>
        <v>India</v>
      </c>
      <c r="L1056" t="s">
        <v>9</v>
      </c>
      <c r="M1056">
        <v>6</v>
      </c>
    </row>
    <row r="1057" spans="2:13" ht="15" customHeight="1">
      <c r="B1057" t="s">
        <v>3060</v>
      </c>
      <c r="C1057" s="1">
        <v>41057.645416666666</v>
      </c>
      <c r="D1057" s="4" t="s">
        <v>1213</v>
      </c>
      <c r="E1057">
        <v>250000</v>
      </c>
      <c r="F1057" t="s">
        <v>40</v>
      </c>
      <c r="G1057">
        <f>tblSalaries[[#This Row],[clean Salary (in local currency)]]*VLOOKUP(tblSalaries[[#This Row],[Currency]],tblXrate[],2,FALSE)</f>
        <v>4451.9791718606421</v>
      </c>
      <c r="H1057" t="s">
        <v>1214</v>
      </c>
      <c r="I1057" t="s">
        <v>3999</v>
      </c>
      <c r="J1057" t="s">
        <v>8</v>
      </c>
      <c r="K1057" t="str">
        <f>VLOOKUP(tblSalaries[[#This Row],[Where do you work]],tblCountries[[Actual]:[Mapping]],2,FALSE)</f>
        <v>India</v>
      </c>
      <c r="L1057" t="s">
        <v>13</v>
      </c>
      <c r="M1057">
        <v>3.5</v>
      </c>
    </row>
    <row r="1058" spans="2:13" ht="15" customHeight="1">
      <c r="B1058" t="s">
        <v>3061</v>
      </c>
      <c r="C1058" s="1">
        <v>41057.645752314813</v>
      </c>
      <c r="D1058" s="4" t="s">
        <v>137</v>
      </c>
      <c r="E1058">
        <v>30000</v>
      </c>
      <c r="F1058" t="s">
        <v>69</v>
      </c>
      <c r="G1058">
        <f>tblSalaries[[#This Row],[clean Salary (in local currency)]]*VLOOKUP(tblSalaries[[#This Row],[Currency]],tblXrate[],2,FALSE)</f>
        <v>47285.348162018527</v>
      </c>
      <c r="H1058" t="s">
        <v>153</v>
      </c>
      <c r="I1058" t="s">
        <v>20</v>
      </c>
      <c r="J1058" t="s">
        <v>71</v>
      </c>
      <c r="K1058" t="str">
        <f>VLOOKUP(tblSalaries[[#This Row],[Where do you work]],tblCountries[[Actual]:[Mapping]],2,FALSE)</f>
        <v>UK</v>
      </c>
      <c r="L1058" t="s">
        <v>13</v>
      </c>
      <c r="M1058">
        <v>15</v>
      </c>
    </row>
    <row r="1059" spans="2:13" ht="15" customHeight="1">
      <c r="B1059" t="s">
        <v>3062</v>
      </c>
      <c r="C1059" s="1">
        <v>41057.648182870369</v>
      </c>
      <c r="D1059" s="4">
        <v>600</v>
      </c>
      <c r="E1059">
        <v>7200</v>
      </c>
      <c r="F1059" t="s">
        <v>6</v>
      </c>
      <c r="G1059">
        <f>tblSalaries[[#This Row],[clean Salary (in local currency)]]*VLOOKUP(tblSalaries[[#This Row],[Currency]],tblXrate[],2,FALSE)</f>
        <v>7200</v>
      </c>
      <c r="H1059" t="s">
        <v>1215</v>
      </c>
      <c r="I1059" t="s">
        <v>20</v>
      </c>
      <c r="J1059" t="s">
        <v>8</v>
      </c>
      <c r="K1059" t="str">
        <f>VLOOKUP(tblSalaries[[#This Row],[Where do you work]],tblCountries[[Actual]:[Mapping]],2,FALSE)</f>
        <v>India</v>
      </c>
      <c r="L1059" t="s">
        <v>13</v>
      </c>
      <c r="M1059">
        <v>10</v>
      </c>
    </row>
    <row r="1060" spans="2:13" ht="15" customHeight="1">
      <c r="B1060" t="s">
        <v>3063</v>
      </c>
      <c r="C1060" s="1">
        <v>41057.648344907408</v>
      </c>
      <c r="D1060" s="4" t="s">
        <v>1216</v>
      </c>
      <c r="E1060">
        <v>2500000</v>
      </c>
      <c r="F1060" t="s">
        <v>40</v>
      </c>
      <c r="G1060">
        <f>tblSalaries[[#This Row],[clean Salary (in local currency)]]*VLOOKUP(tblSalaries[[#This Row],[Currency]],tblXrate[],2,FALSE)</f>
        <v>44519.791718606422</v>
      </c>
      <c r="H1060" t="s">
        <v>1217</v>
      </c>
      <c r="I1060" t="s">
        <v>4001</v>
      </c>
      <c r="J1060" t="s">
        <v>8</v>
      </c>
      <c r="K1060" t="str">
        <f>VLOOKUP(tblSalaries[[#This Row],[Where do you work]],tblCountries[[Actual]:[Mapping]],2,FALSE)</f>
        <v>India</v>
      </c>
      <c r="L1060" t="s">
        <v>9</v>
      </c>
      <c r="M1060">
        <v>9</v>
      </c>
    </row>
    <row r="1061" spans="2:13" ht="15" customHeight="1">
      <c r="B1061" t="s">
        <v>3064</v>
      </c>
      <c r="C1061" s="1">
        <v>41057.64875</v>
      </c>
      <c r="D1061" s="4">
        <v>140000</v>
      </c>
      <c r="E1061">
        <v>140000</v>
      </c>
      <c r="F1061" t="s">
        <v>40</v>
      </c>
      <c r="G1061">
        <f>tblSalaries[[#This Row],[clean Salary (in local currency)]]*VLOOKUP(tblSalaries[[#This Row],[Currency]],tblXrate[],2,FALSE)</f>
        <v>2493.1083362419595</v>
      </c>
      <c r="H1061" t="s">
        <v>310</v>
      </c>
      <c r="I1061" t="s">
        <v>310</v>
      </c>
      <c r="J1061" t="s">
        <v>8</v>
      </c>
      <c r="K1061" t="str">
        <f>VLOOKUP(tblSalaries[[#This Row],[Where do you work]],tblCountries[[Actual]:[Mapping]],2,FALSE)</f>
        <v>India</v>
      </c>
      <c r="L1061" t="s">
        <v>9</v>
      </c>
      <c r="M1061">
        <v>4</v>
      </c>
    </row>
    <row r="1062" spans="2:13" ht="15" customHeight="1">
      <c r="B1062" t="s">
        <v>3065</v>
      </c>
      <c r="C1062" s="1">
        <v>41057.649675925924</v>
      </c>
      <c r="D1062" s="4">
        <v>20000</v>
      </c>
      <c r="E1062">
        <v>20000</v>
      </c>
      <c r="F1062" t="s">
        <v>69</v>
      </c>
      <c r="G1062">
        <f>tblSalaries[[#This Row],[clean Salary (in local currency)]]*VLOOKUP(tblSalaries[[#This Row],[Currency]],tblXrate[],2,FALSE)</f>
        <v>31523.565441345683</v>
      </c>
      <c r="H1062" t="s">
        <v>1218</v>
      </c>
      <c r="I1062" t="s">
        <v>20</v>
      </c>
      <c r="J1062" t="s">
        <v>71</v>
      </c>
      <c r="K1062" t="str">
        <f>VLOOKUP(tblSalaries[[#This Row],[Where do you work]],tblCountries[[Actual]:[Mapping]],2,FALSE)</f>
        <v>UK</v>
      </c>
      <c r="L1062" t="s">
        <v>9</v>
      </c>
      <c r="M1062">
        <v>1</v>
      </c>
    </row>
    <row r="1063" spans="2:13" ht="15" customHeight="1">
      <c r="B1063" t="s">
        <v>3066</v>
      </c>
      <c r="C1063" s="1">
        <v>41057.650960648149</v>
      </c>
      <c r="D1063" s="4">
        <v>1200000</v>
      </c>
      <c r="E1063">
        <v>1200000</v>
      </c>
      <c r="F1063" t="s">
        <v>40</v>
      </c>
      <c r="G1063">
        <f>tblSalaries[[#This Row],[clean Salary (in local currency)]]*VLOOKUP(tblSalaries[[#This Row],[Currency]],tblXrate[],2,FALSE)</f>
        <v>21369.500024931083</v>
      </c>
      <c r="H1063" t="s">
        <v>1219</v>
      </c>
      <c r="I1063" t="s">
        <v>488</v>
      </c>
      <c r="J1063" t="s">
        <v>8</v>
      </c>
      <c r="K1063" t="str">
        <f>VLOOKUP(tblSalaries[[#This Row],[Where do you work]],tblCountries[[Actual]:[Mapping]],2,FALSE)</f>
        <v>India</v>
      </c>
      <c r="L1063" t="s">
        <v>9</v>
      </c>
      <c r="M1063">
        <v>8</v>
      </c>
    </row>
    <row r="1064" spans="2:13" ht="15" customHeight="1">
      <c r="B1064" t="s">
        <v>3067</v>
      </c>
      <c r="C1064" s="1">
        <v>41057.65421296296</v>
      </c>
      <c r="D1064" s="4">
        <v>80000</v>
      </c>
      <c r="E1064">
        <v>80000</v>
      </c>
      <c r="F1064" t="s">
        <v>69</v>
      </c>
      <c r="G1064">
        <f>tblSalaries[[#This Row],[clean Salary (in local currency)]]*VLOOKUP(tblSalaries[[#This Row],[Currency]],tblXrate[],2,FALSE)</f>
        <v>126094.26176538273</v>
      </c>
      <c r="H1064" t="s">
        <v>1220</v>
      </c>
      <c r="I1064" t="s">
        <v>356</v>
      </c>
      <c r="J1064" t="s">
        <v>71</v>
      </c>
      <c r="K1064" t="str">
        <f>VLOOKUP(tblSalaries[[#This Row],[Where do you work]],tblCountries[[Actual]:[Mapping]],2,FALSE)</f>
        <v>UK</v>
      </c>
      <c r="L1064" t="s">
        <v>9</v>
      </c>
      <c r="M1064">
        <v>10</v>
      </c>
    </row>
    <row r="1065" spans="2:13" ht="15" customHeight="1">
      <c r="B1065" t="s">
        <v>3068</v>
      </c>
      <c r="C1065" s="1">
        <v>41057.655694444446</v>
      </c>
      <c r="D1065" s="4" t="s">
        <v>1221</v>
      </c>
      <c r="E1065">
        <v>63000</v>
      </c>
      <c r="F1065" t="s">
        <v>69</v>
      </c>
      <c r="G1065">
        <f>tblSalaries[[#This Row],[clean Salary (in local currency)]]*VLOOKUP(tblSalaries[[#This Row],[Currency]],tblXrate[],2,FALSE)</f>
        <v>99299.231140238902</v>
      </c>
      <c r="H1065" t="s">
        <v>1222</v>
      </c>
      <c r="I1065" t="s">
        <v>67</v>
      </c>
      <c r="J1065" t="s">
        <v>71</v>
      </c>
      <c r="K1065" t="str">
        <f>VLOOKUP(tblSalaries[[#This Row],[Where do you work]],tblCountries[[Actual]:[Mapping]],2,FALSE)</f>
        <v>UK</v>
      </c>
      <c r="L1065" t="s">
        <v>18</v>
      </c>
      <c r="M1065">
        <v>1</v>
      </c>
    </row>
    <row r="1066" spans="2:13" ht="15" customHeight="1">
      <c r="B1066" t="s">
        <v>3069</v>
      </c>
      <c r="C1066" s="1">
        <v>41057.658171296294</v>
      </c>
      <c r="D1066" s="4" t="s">
        <v>943</v>
      </c>
      <c r="E1066">
        <v>55000</v>
      </c>
      <c r="F1066" t="s">
        <v>69</v>
      </c>
      <c r="G1066">
        <f>tblSalaries[[#This Row],[clean Salary (in local currency)]]*VLOOKUP(tblSalaries[[#This Row],[Currency]],tblXrate[],2,FALSE)</f>
        <v>86689.804963700633</v>
      </c>
      <c r="H1066" t="s">
        <v>212</v>
      </c>
      <c r="I1066" t="s">
        <v>4001</v>
      </c>
      <c r="J1066" t="s">
        <v>71</v>
      </c>
      <c r="K1066" t="str">
        <f>VLOOKUP(tblSalaries[[#This Row],[Where do you work]],tblCountries[[Actual]:[Mapping]],2,FALSE)</f>
        <v>UK</v>
      </c>
      <c r="L1066" t="s">
        <v>18</v>
      </c>
      <c r="M1066">
        <v>22</v>
      </c>
    </row>
    <row r="1067" spans="2:13" ht="15" customHeight="1">
      <c r="B1067" t="s">
        <v>3070</v>
      </c>
      <c r="C1067" s="1">
        <v>41057.658599537041</v>
      </c>
      <c r="D1067" s="4" t="s">
        <v>1223</v>
      </c>
      <c r="E1067">
        <v>50000</v>
      </c>
      <c r="F1067" t="s">
        <v>6</v>
      </c>
      <c r="G1067">
        <f>tblSalaries[[#This Row],[clean Salary (in local currency)]]*VLOOKUP(tblSalaries[[#This Row],[Currency]],tblXrate[],2,FALSE)</f>
        <v>50000</v>
      </c>
      <c r="H1067" t="s">
        <v>1224</v>
      </c>
      <c r="I1067" t="s">
        <v>52</v>
      </c>
      <c r="J1067" t="s">
        <v>8</v>
      </c>
      <c r="K1067" t="str">
        <f>VLOOKUP(tblSalaries[[#This Row],[Where do you work]],tblCountries[[Actual]:[Mapping]],2,FALSE)</f>
        <v>India</v>
      </c>
      <c r="L1067" t="s">
        <v>18</v>
      </c>
      <c r="M1067">
        <v>30</v>
      </c>
    </row>
    <row r="1068" spans="2:13" ht="15" customHeight="1">
      <c r="B1068" t="s">
        <v>3071</v>
      </c>
      <c r="C1068" s="1">
        <v>41057.659282407411</v>
      </c>
      <c r="D1068" s="4">
        <v>240000</v>
      </c>
      <c r="E1068">
        <v>240000</v>
      </c>
      <c r="F1068" t="s">
        <v>40</v>
      </c>
      <c r="G1068">
        <f>tblSalaries[[#This Row],[clean Salary (in local currency)]]*VLOOKUP(tblSalaries[[#This Row],[Currency]],tblXrate[],2,FALSE)</f>
        <v>4273.9000049862161</v>
      </c>
      <c r="H1068" t="s">
        <v>749</v>
      </c>
      <c r="I1068" t="s">
        <v>20</v>
      </c>
      <c r="J1068" t="s">
        <v>8</v>
      </c>
      <c r="K1068" t="str">
        <f>VLOOKUP(tblSalaries[[#This Row],[Where do you work]],tblCountries[[Actual]:[Mapping]],2,FALSE)</f>
        <v>India</v>
      </c>
      <c r="L1068" t="s">
        <v>18</v>
      </c>
      <c r="M1068">
        <v>3</v>
      </c>
    </row>
    <row r="1069" spans="2:13" ht="15" customHeight="1">
      <c r="B1069" t="s">
        <v>3072</v>
      </c>
      <c r="C1069" s="1">
        <v>41057.65965277778</v>
      </c>
      <c r="D1069" s="4" t="s">
        <v>834</v>
      </c>
      <c r="E1069">
        <v>250000</v>
      </c>
      <c r="F1069" t="s">
        <v>40</v>
      </c>
      <c r="G1069">
        <f>tblSalaries[[#This Row],[clean Salary (in local currency)]]*VLOOKUP(tblSalaries[[#This Row],[Currency]],tblXrate[],2,FALSE)</f>
        <v>4451.9791718606421</v>
      </c>
      <c r="H1069" t="s">
        <v>721</v>
      </c>
      <c r="I1069" t="s">
        <v>3999</v>
      </c>
      <c r="J1069" t="s">
        <v>8</v>
      </c>
      <c r="K1069" t="str">
        <f>VLOOKUP(tblSalaries[[#This Row],[Where do you work]],tblCountries[[Actual]:[Mapping]],2,FALSE)</f>
        <v>India</v>
      </c>
      <c r="L1069" t="s">
        <v>18</v>
      </c>
      <c r="M1069">
        <v>3</v>
      </c>
    </row>
    <row r="1070" spans="2:13" ht="15" customHeight="1">
      <c r="B1070" t="s">
        <v>3073</v>
      </c>
      <c r="C1070" s="1">
        <v>41057.660787037035</v>
      </c>
      <c r="D1070" s="4" t="s">
        <v>1225</v>
      </c>
      <c r="E1070">
        <v>600000</v>
      </c>
      <c r="F1070" t="s">
        <v>40</v>
      </c>
      <c r="G1070">
        <f>tblSalaries[[#This Row],[clean Salary (in local currency)]]*VLOOKUP(tblSalaries[[#This Row],[Currency]],tblXrate[],2,FALSE)</f>
        <v>10684.750012465542</v>
      </c>
      <c r="H1070" t="s">
        <v>1226</v>
      </c>
      <c r="I1070" t="s">
        <v>20</v>
      </c>
      <c r="J1070" t="s">
        <v>8</v>
      </c>
      <c r="K1070" t="str">
        <f>VLOOKUP(tblSalaries[[#This Row],[Where do you work]],tblCountries[[Actual]:[Mapping]],2,FALSE)</f>
        <v>India</v>
      </c>
      <c r="L1070" t="s">
        <v>9</v>
      </c>
      <c r="M1070">
        <v>10</v>
      </c>
    </row>
    <row r="1071" spans="2:13" ht="15" customHeight="1">
      <c r="B1071" t="s">
        <v>3074</v>
      </c>
      <c r="C1071" s="1">
        <v>41057.666504629633</v>
      </c>
      <c r="D1071" s="4">
        <v>40500</v>
      </c>
      <c r="E1071">
        <v>40500</v>
      </c>
      <c r="F1071" t="s">
        <v>69</v>
      </c>
      <c r="G1071">
        <f>tblSalaries[[#This Row],[clean Salary (in local currency)]]*VLOOKUP(tblSalaries[[#This Row],[Currency]],tblXrate[],2,FALSE)</f>
        <v>63835.220018725006</v>
      </c>
      <c r="H1071" t="s">
        <v>1227</v>
      </c>
      <c r="I1071" t="s">
        <v>52</v>
      </c>
      <c r="J1071" t="s">
        <v>71</v>
      </c>
      <c r="K1071" t="str">
        <f>VLOOKUP(tblSalaries[[#This Row],[Where do you work]],tblCountries[[Actual]:[Mapping]],2,FALSE)</f>
        <v>UK</v>
      </c>
      <c r="L1071" t="s">
        <v>18</v>
      </c>
      <c r="M1071">
        <v>25</v>
      </c>
    </row>
    <row r="1072" spans="2:13" ht="15" customHeight="1">
      <c r="B1072" t="s">
        <v>3075</v>
      </c>
      <c r="C1072" s="1">
        <v>41057.66741898148</v>
      </c>
      <c r="D1072" s="4" t="s">
        <v>1228</v>
      </c>
      <c r="E1072">
        <v>23000</v>
      </c>
      <c r="F1072" t="s">
        <v>69</v>
      </c>
      <c r="G1072">
        <f>tblSalaries[[#This Row],[clean Salary (in local currency)]]*VLOOKUP(tblSalaries[[#This Row],[Currency]],tblXrate[],2,FALSE)</f>
        <v>36252.100257547536</v>
      </c>
      <c r="H1072" t="s">
        <v>153</v>
      </c>
      <c r="I1072" t="s">
        <v>20</v>
      </c>
      <c r="J1072" t="s">
        <v>71</v>
      </c>
      <c r="K1072" t="str">
        <f>VLOOKUP(tblSalaries[[#This Row],[Where do you work]],tblCountries[[Actual]:[Mapping]],2,FALSE)</f>
        <v>UK</v>
      </c>
      <c r="L1072" t="s">
        <v>13</v>
      </c>
      <c r="M1072">
        <v>5</v>
      </c>
    </row>
    <row r="1073" spans="2:13" ht="15" customHeight="1">
      <c r="B1073" t="s">
        <v>3076</v>
      </c>
      <c r="C1073" s="1">
        <v>41057.668958333335</v>
      </c>
      <c r="D1073" s="4">
        <v>7960</v>
      </c>
      <c r="E1073">
        <v>7960</v>
      </c>
      <c r="F1073" t="s">
        <v>6</v>
      </c>
      <c r="G1073">
        <f>tblSalaries[[#This Row],[clean Salary (in local currency)]]*VLOOKUP(tblSalaries[[#This Row],[Currency]],tblXrate[],2,FALSE)</f>
        <v>7960</v>
      </c>
      <c r="H1073" t="s">
        <v>786</v>
      </c>
      <c r="I1073" t="s">
        <v>52</v>
      </c>
      <c r="J1073" t="s">
        <v>8</v>
      </c>
      <c r="K1073" t="str">
        <f>VLOOKUP(tblSalaries[[#This Row],[Where do you work]],tblCountries[[Actual]:[Mapping]],2,FALSE)</f>
        <v>India</v>
      </c>
      <c r="L1073" t="s">
        <v>9</v>
      </c>
      <c r="M1073">
        <v>7</v>
      </c>
    </row>
    <row r="1074" spans="2:13" ht="15" customHeight="1">
      <c r="B1074" t="s">
        <v>3077</v>
      </c>
      <c r="C1074" s="1">
        <v>41057.669270833336</v>
      </c>
      <c r="D1074" s="4" t="s">
        <v>1229</v>
      </c>
      <c r="E1074">
        <v>500000</v>
      </c>
      <c r="F1074" t="s">
        <v>40</v>
      </c>
      <c r="G1074">
        <f>tblSalaries[[#This Row],[clean Salary (in local currency)]]*VLOOKUP(tblSalaries[[#This Row],[Currency]],tblXrate[],2,FALSE)</f>
        <v>8903.9583437212841</v>
      </c>
      <c r="H1074" t="s">
        <v>749</v>
      </c>
      <c r="I1074" t="s">
        <v>20</v>
      </c>
      <c r="J1074" t="s">
        <v>8</v>
      </c>
      <c r="K1074" t="str">
        <f>VLOOKUP(tblSalaries[[#This Row],[Where do you work]],tblCountries[[Actual]:[Mapping]],2,FALSE)</f>
        <v>India</v>
      </c>
      <c r="L1074" t="s">
        <v>18</v>
      </c>
      <c r="M1074">
        <v>23</v>
      </c>
    </row>
    <row r="1075" spans="2:13" ht="15" customHeight="1">
      <c r="B1075" t="s">
        <v>3078</v>
      </c>
      <c r="C1075" s="1">
        <v>41057.670636574076</v>
      </c>
      <c r="D1075" s="4" t="s">
        <v>1230</v>
      </c>
      <c r="E1075">
        <v>40000</v>
      </c>
      <c r="F1075" t="s">
        <v>22</v>
      </c>
      <c r="G1075">
        <f>tblSalaries[[#This Row],[clean Salary (in local currency)]]*VLOOKUP(tblSalaries[[#This Row],[Currency]],tblXrate[],2,FALSE)</f>
        <v>50815.977559664309</v>
      </c>
      <c r="H1075" t="s">
        <v>1231</v>
      </c>
      <c r="I1075" t="s">
        <v>20</v>
      </c>
      <c r="J1075" t="s">
        <v>628</v>
      </c>
      <c r="K1075" t="str">
        <f>VLOOKUP(tblSalaries[[#This Row],[Where do you work]],tblCountries[[Actual]:[Mapping]],2,FALSE)</f>
        <v>Netherlands</v>
      </c>
      <c r="L1075" t="s">
        <v>9</v>
      </c>
      <c r="M1075">
        <v>3</v>
      </c>
    </row>
    <row r="1076" spans="2:13" ht="15" customHeight="1">
      <c r="B1076" t="s">
        <v>3079</v>
      </c>
      <c r="C1076" s="1">
        <v>41057.672118055554</v>
      </c>
      <c r="D1076" s="4" t="s">
        <v>137</v>
      </c>
      <c r="E1076">
        <v>30000</v>
      </c>
      <c r="F1076" t="s">
        <v>69</v>
      </c>
      <c r="G1076">
        <f>tblSalaries[[#This Row],[clean Salary (in local currency)]]*VLOOKUP(tblSalaries[[#This Row],[Currency]],tblXrate[],2,FALSE)</f>
        <v>47285.348162018527</v>
      </c>
      <c r="H1076" t="s">
        <v>392</v>
      </c>
      <c r="I1076" t="s">
        <v>20</v>
      </c>
      <c r="J1076" t="s">
        <v>71</v>
      </c>
      <c r="K1076" t="str">
        <f>VLOOKUP(tblSalaries[[#This Row],[Where do you work]],tblCountries[[Actual]:[Mapping]],2,FALSE)</f>
        <v>UK</v>
      </c>
      <c r="L1076" t="s">
        <v>9</v>
      </c>
      <c r="M1076">
        <v>4</v>
      </c>
    </row>
    <row r="1077" spans="2:13" ht="15" customHeight="1">
      <c r="B1077" t="s">
        <v>3080</v>
      </c>
      <c r="C1077" s="1">
        <v>41057.672118055554</v>
      </c>
      <c r="D1077" s="4">
        <v>48000</v>
      </c>
      <c r="E1077">
        <v>48000</v>
      </c>
      <c r="F1077" t="s">
        <v>69</v>
      </c>
      <c r="G1077">
        <f>tblSalaries[[#This Row],[clean Salary (in local currency)]]*VLOOKUP(tblSalaries[[#This Row],[Currency]],tblXrate[],2,FALSE)</f>
        <v>75656.557059229643</v>
      </c>
      <c r="H1077" t="s">
        <v>1232</v>
      </c>
      <c r="I1077" t="s">
        <v>52</v>
      </c>
      <c r="J1077" t="s">
        <v>71</v>
      </c>
      <c r="K1077" t="str">
        <f>VLOOKUP(tblSalaries[[#This Row],[Where do you work]],tblCountries[[Actual]:[Mapping]],2,FALSE)</f>
        <v>UK</v>
      </c>
      <c r="L1077" t="s">
        <v>18</v>
      </c>
      <c r="M1077">
        <v>10</v>
      </c>
    </row>
    <row r="1078" spans="2:13" ht="15" customHeight="1">
      <c r="B1078" t="s">
        <v>3081</v>
      </c>
      <c r="C1078" s="1">
        <v>41057.674212962964</v>
      </c>
      <c r="D1078" s="4" t="s">
        <v>701</v>
      </c>
      <c r="E1078">
        <v>240000</v>
      </c>
      <c r="F1078" t="s">
        <v>40</v>
      </c>
      <c r="G1078">
        <f>tblSalaries[[#This Row],[clean Salary (in local currency)]]*VLOOKUP(tblSalaries[[#This Row],[Currency]],tblXrate[],2,FALSE)</f>
        <v>4273.9000049862161</v>
      </c>
      <c r="H1078" t="s">
        <v>310</v>
      </c>
      <c r="I1078" t="s">
        <v>310</v>
      </c>
      <c r="J1078" t="s">
        <v>8</v>
      </c>
      <c r="K1078" t="str">
        <f>VLOOKUP(tblSalaries[[#This Row],[Where do you work]],tblCountries[[Actual]:[Mapping]],2,FALSE)</f>
        <v>India</v>
      </c>
      <c r="L1078" t="s">
        <v>13</v>
      </c>
      <c r="M1078">
        <v>20</v>
      </c>
    </row>
    <row r="1079" spans="2:13" ht="15" customHeight="1">
      <c r="B1079" t="s">
        <v>3082</v>
      </c>
      <c r="C1079" s="1">
        <v>41057.680104166669</v>
      </c>
      <c r="D1079" s="4">
        <v>37000</v>
      </c>
      <c r="E1079">
        <v>37000</v>
      </c>
      <c r="F1079" t="s">
        <v>22</v>
      </c>
      <c r="G1079">
        <f>tblSalaries[[#This Row],[clean Salary (in local currency)]]*VLOOKUP(tblSalaries[[#This Row],[Currency]],tblXrate[],2,FALSE)</f>
        <v>47004.779242689488</v>
      </c>
      <c r="H1079" t="s">
        <v>1233</v>
      </c>
      <c r="I1079" t="s">
        <v>20</v>
      </c>
      <c r="J1079" t="s">
        <v>608</v>
      </c>
      <c r="K1079" t="str">
        <f>VLOOKUP(tblSalaries[[#This Row],[Where do you work]],tblCountries[[Actual]:[Mapping]],2,FALSE)</f>
        <v>Spain</v>
      </c>
      <c r="L1079" t="s">
        <v>9</v>
      </c>
      <c r="M1079">
        <v>11</v>
      </c>
    </row>
    <row r="1080" spans="2:13" ht="15" customHeight="1">
      <c r="B1080" t="s">
        <v>3083</v>
      </c>
      <c r="C1080" s="1">
        <v>41057.680335648147</v>
      </c>
      <c r="D1080" s="4" t="s">
        <v>137</v>
      </c>
      <c r="E1080">
        <v>30000</v>
      </c>
      <c r="F1080" t="s">
        <v>69</v>
      </c>
      <c r="G1080">
        <f>tblSalaries[[#This Row],[clean Salary (in local currency)]]*VLOOKUP(tblSalaries[[#This Row],[Currency]],tblXrate[],2,FALSE)</f>
        <v>47285.348162018527</v>
      </c>
      <c r="H1080" t="s">
        <v>1234</v>
      </c>
      <c r="I1080" t="s">
        <v>20</v>
      </c>
      <c r="J1080" t="s">
        <v>71</v>
      </c>
      <c r="K1080" t="str">
        <f>VLOOKUP(tblSalaries[[#This Row],[Where do you work]],tblCountries[[Actual]:[Mapping]],2,FALSE)</f>
        <v>UK</v>
      </c>
      <c r="L1080" t="s">
        <v>13</v>
      </c>
      <c r="M1080">
        <v>10</v>
      </c>
    </row>
    <row r="1081" spans="2:13" ht="15" customHeight="1">
      <c r="B1081" t="s">
        <v>3084</v>
      </c>
      <c r="C1081" s="1">
        <v>41057.681157407409</v>
      </c>
      <c r="D1081" s="4">
        <v>58000</v>
      </c>
      <c r="E1081">
        <v>58000</v>
      </c>
      <c r="F1081" t="s">
        <v>69</v>
      </c>
      <c r="G1081">
        <f>tblSalaries[[#This Row],[clean Salary (in local currency)]]*VLOOKUP(tblSalaries[[#This Row],[Currency]],tblXrate[],2,FALSE)</f>
        <v>91418.339779902482</v>
      </c>
      <c r="H1081" t="s">
        <v>1235</v>
      </c>
      <c r="I1081" t="s">
        <v>20</v>
      </c>
      <c r="J1081" t="s">
        <v>71</v>
      </c>
      <c r="K1081" t="str">
        <f>VLOOKUP(tblSalaries[[#This Row],[Where do you work]],tblCountries[[Actual]:[Mapping]],2,FALSE)</f>
        <v>UK</v>
      </c>
      <c r="L1081" t="s">
        <v>13</v>
      </c>
      <c r="M1081">
        <v>8</v>
      </c>
    </row>
    <row r="1082" spans="2:13" ht="15" customHeight="1">
      <c r="B1082" t="s">
        <v>3085</v>
      </c>
      <c r="C1082" s="1">
        <v>41057.681562500002</v>
      </c>
      <c r="D1082" s="4">
        <v>79000</v>
      </c>
      <c r="E1082">
        <v>79000</v>
      </c>
      <c r="F1082" t="s">
        <v>69</v>
      </c>
      <c r="G1082">
        <f>tblSalaries[[#This Row],[clean Salary (in local currency)]]*VLOOKUP(tblSalaries[[#This Row],[Currency]],tblXrate[],2,FALSE)</f>
        <v>124518.08349331544</v>
      </c>
      <c r="H1082" t="s">
        <v>185</v>
      </c>
      <c r="I1082" t="s">
        <v>20</v>
      </c>
      <c r="J1082" t="s">
        <v>71</v>
      </c>
      <c r="K1082" t="str">
        <f>VLOOKUP(tblSalaries[[#This Row],[Where do you work]],tblCountries[[Actual]:[Mapping]],2,FALSE)</f>
        <v>UK</v>
      </c>
      <c r="L1082" t="s">
        <v>18</v>
      </c>
      <c r="M1082">
        <v>14</v>
      </c>
    </row>
    <row r="1083" spans="2:13" ht="15" customHeight="1">
      <c r="B1083" t="s">
        <v>3086</v>
      </c>
      <c r="C1083" s="1">
        <v>41057.684884259259</v>
      </c>
      <c r="D1083" s="4">
        <v>43912.03</v>
      </c>
      <c r="E1083">
        <v>43912</v>
      </c>
      <c r="F1083" t="s">
        <v>69</v>
      </c>
      <c r="G1083">
        <f>tblSalaries[[#This Row],[clean Salary (in local currency)]]*VLOOKUP(tblSalaries[[#This Row],[Currency]],tblXrate[],2,FALSE)</f>
        <v>69213.140283018583</v>
      </c>
      <c r="H1083" t="s">
        <v>427</v>
      </c>
      <c r="I1083" t="s">
        <v>20</v>
      </c>
      <c r="J1083" t="s">
        <v>71</v>
      </c>
      <c r="K1083" t="str">
        <f>VLOOKUP(tblSalaries[[#This Row],[Where do you work]],tblCountries[[Actual]:[Mapping]],2,FALSE)</f>
        <v>UK</v>
      </c>
      <c r="L1083" t="s">
        <v>13</v>
      </c>
      <c r="M1083">
        <v>3</v>
      </c>
    </row>
    <row r="1084" spans="2:13" ht="15" customHeight="1">
      <c r="B1084" t="s">
        <v>3087</v>
      </c>
      <c r="C1084" s="1">
        <v>41057.686400462961</v>
      </c>
      <c r="D1084" s="4">
        <v>3500</v>
      </c>
      <c r="E1084">
        <v>3500</v>
      </c>
      <c r="F1084" t="s">
        <v>6</v>
      </c>
      <c r="G1084">
        <f>tblSalaries[[#This Row],[clean Salary (in local currency)]]*VLOOKUP(tblSalaries[[#This Row],[Currency]],tblXrate[],2,FALSE)</f>
        <v>3500</v>
      </c>
      <c r="H1084" t="s">
        <v>1236</v>
      </c>
      <c r="I1084" t="s">
        <v>52</v>
      </c>
      <c r="J1084" t="s">
        <v>1237</v>
      </c>
      <c r="K1084" t="str">
        <f>VLOOKUP(tblSalaries[[#This Row],[Where do you work]],tblCountries[[Actual]:[Mapping]],2,FALSE)</f>
        <v>Pakistan</v>
      </c>
      <c r="L1084" t="s">
        <v>9</v>
      </c>
      <c r="M1084">
        <v>4</v>
      </c>
    </row>
    <row r="1085" spans="2:13" ht="15" customHeight="1">
      <c r="B1085" t="s">
        <v>3088</v>
      </c>
      <c r="C1085" s="1">
        <v>41057.690833333334</v>
      </c>
      <c r="D1085" s="4" t="s">
        <v>1238</v>
      </c>
      <c r="E1085">
        <v>40000</v>
      </c>
      <c r="F1085" t="s">
        <v>69</v>
      </c>
      <c r="G1085">
        <f>tblSalaries[[#This Row],[clean Salary (in local currency)]]*VLOOKUP(tblSalaries[[#This Row],[Currency]],tblXrate[],2,FALSE)</f>
        <v>63047.130882691366</v>
      </c>
      <c r="H1085" t="s">
        <v>283</v>
      </c>
      <c r="I1085" t="s">
        <v>52</v>
      </c>
      <c r="J1085" t="s">
        <v>71</v>
      </c>
      <c r="K1085" t="str">
        <f>VLOOKUP(tblSalaries[[#This Row],[Where do you work]],tblCountries[[Actual]:[Mapping]],2,FALSE)</f>
        <v>UK</v>
      </c>
      <c r="L1085" t="s">
        <v>25</v>
      </c>
      <c r="M1085">
        <v>20</v>
      </c>
    </row>
    <row r="1086" spans="2:13" ht="15" customHeight="1">
      <c r="B1086" t="s">
        <v>3089</v>
      </c>
      <c r="C1086" s="1">
        <v>41057.691192129627</v>
      </c>
      <c r="D1086" s="4">
        <v>57000</v>
      </c>
      <c r="E1086">
        <v>57000</v>
      </c>
      <c r="F1086" t="s">
        <v>22</v>
      </c>
      <c r="G1086">
        <f>tblSalaries[[#This Row],[clean Salary (in local currency)]]*VLOOKUP(tblSalaries[[#This Row],[Currency]],tblXrate[],2,FALSE)</f>
        <v>72412.768022521646</v>
      </c>
      <c r="H1086" t="s">
        <v>1239</v>
      </c>
      <c r="I1086" t="s">
        <v>52</v>
      </c>
      <c r="J1086" t="s">
        <v>583</v>
      </c>
      <c r="K1086" t="str">
        <f>VLOOKUP(tblSalaries[[#This Row],[Where do you work]],tblCountries[[Actual]:[Mapping]],2,FALSE)</f>
        <v>Norway</v>
      </c>
      <c r="L1086" t="s">
        <v>25</v>
      </c>
      <c r="M1086">
        <v>15</v>
      </c>
    </row>
    <row r="1087" spans="2:13" ht="15" customHeight="1">
      <c r="B1087" t="s">
        <v>3090</v>
      </c>
      <c r="C1087" s="1">
        <v>41057.695451388892</v>
      </c>
      <c r="D1087" s="4">
        <v>40000</v>
      </c>
      <c r="E1087">
        <v>40000</v>
      </c>
      <c r="F1087" t="s">
        <v>22</v>
      </c>
      <c r="G1087">
        <f>tblSalaries[[#This Row],[clean Salary (in local currency)]]*VLOOKUP(tblSalaries[[#This Row],[Currency]],tblXrate[],2,FALSE)</f>
        <v>50815.977559664309</v>
      </c>
      <c r="H1087" t="s">
        <v>191</v>
      </c>
      <c r="I1087" t="s">
        <v>310</v>
      </c>
      <c r="J1087" t="s">
        <v>30</v>
      </c>
      <c r="K1087" t="str">
        <f>VLOOKUP(tblSalaries[[#This Row],[Where do you work]],tblCountries[[Actual]:[Mapping]],2,FALSE)</f>
        <v>Portugal</v>
      </c>
      <c r="L1087" t="s">
        <v>18</v>
      </c>
      <c r="M1087">
        <v>10</v>
      </c>
    </row>
    <row r="1088" spans="2:13" ht="15" customHeight="1">
      <c r="B1088" t="s">
        <v>3091</v>
      </c>
      <c r="C1088" s="1">
        <v>41057.698240740741</v>
      </c>
      <c r="D1088" s="4">
        <v>100000</v>
      </c>
      <c r="E1088">
        <v>1200000</v>
      </c>
      <c r="F1088" t="s">
        <v>40</v>
      </c>
      <c r="G1088">
        <f>tblSalaries[[#This Row],[clean Salary (in local currency)]]*VLOOKUP(tblSalaries[[#This Row],[Currency]],tblXrate[],2,FALSE)</f>
        <v>21369.500024931083</v>
      </c>
      <c r="H1088" t="s">
        <v>1240</v>
      </c>
      <c r="I1088" t="s">
        <v>52</v>
      </c>
      <c r="J1088" t="s">
        <v>8</v>
      </c>
      <c r="K1088" t="str">
        <f>VLOOKUP(tblSalaries[[#This Row],[Where do you work]],tblCountries[[Actual]:[Mapping]],2,FALSE)</f>
        <v>India</v>
      </c>
      <c r="L1088" t="s">
        <v>18</v>
      </c>
      <c r="M1088">
        <v>5</v>
      </c>
    </row>
    <row r="1089" spans="2:13" ht="15" customHeight="1">
      <c r="B1089" t="s">
        <v>3092</v>
      </c>
      <c r="C1089" s="1">
        <v>41057.698287037034</v>
      </c>
      <c r="D1089" s="4" t="s">
        <v>68</v>
      </c>
      <c r="E1089">
        <v>35000</v>
      </c>
      <c r="F1089" t="s">
        <v>69</v>
      </c>
      <c r="G1089">
        <f>tblSalaries[[#This Row],[clean Salary (in local currency)]]*VLOOKUP(tblSalaries[[#This Row],[Currency]],tblXrate[],2,FALSE)</f>
        <v>55166.239522354947</v>
      </c>
      <c r="H1089" t="s">
        <v>1241</v>
      </c>
      <c r="I1089" t="s">
        <v>20</v>
      </c>
      <c r="J1089" t="s">
        <v>71</v>
      </c>
      <c r="K1089" t="str">
        <f>VLOOKUP(tblSalaries[[#This Row],[Where do you work]],tblCountries[[Actual]:[Mapping]],2,FALSE)</f>
        <v>UK</v>
      </c>
      <c r="L1089" t="s">
        <v>18</v>
      </c>
      <c r="M1089">
        <v>6</v>
      </c>
    </row>
    <row r="1090" spans="2:13" ht="15" customHeight="1">
      <c r="B1090" t="s">
        <v>3093</v>
      </c>
      <c r="C1090" s="1">
        <v>41057.703622685185</v>
      </c>
      <c r="D1090" s="4" t="s">
        <v>1242</v>
      </c>
      <c r="E1090">
        <v>180000</v>
      </c>
      <c r="F1090" t="s">
        <v>40</v>
      </c>
      <c r="G1090">
        <f>tblSalaries[[#This Row],[clean Salary (in local currency)]]*VLOOKUP(tblSalaries[[#This Row],[Currency]],tblXrate[],2,FALSE)</f>
        <v>3205.4250037396623</v>
      </c>
      <c r="H1090" t="s">
        <v>1243</v>
      </c>
      <c r="I1090" t="s">
        <v>20</v>
      </c>
      <c r="J1090" t="s">
        <v>8</v>
      </c>
      <c r="K1090" t="str">
        <f>VLOOKUP(tblSalaries[[#This Row],[Where do you work]],tblCountries[[Actual]:[Mapping]],2,FALSE)</f>
        <v>India</v>
      </c>
      <c r="L1090" t="s">
        <v>13</v>
      </c>
      <c r="M1090">
        <v>3</v>
      </c>
    </row>
    <row r="1091" spans="2:13" ht="15" customHeight="1">
      <c r="B1091" t="s">
        <v>3094</v>
      </c>
      <c r="C1091" s="1">
        <v>41057.706979166665</v>
      </c>
      <c r="D1091" s="4" t="s">
        <v>1244</v>
      </c>
      <c r="E1091">
        <v>600000</v>
      </c>
      <c r="F1091" t="s">
        <v>40</v>
      </c>
      <c r="G1091">
        <f>tblSalaries[[#This Row],[clean Salary (in local currency)]]*VLOOKUP(tblSalaries[[#This Row],[Currency]],tblXrate[],2,FALSE)</f>
        <v>10684.750012465542</v>
      </c>
      <c r="H1091" t="s">
        <v>1245</v>
      </c>
      <c r="I1091" t="s">
        <v>310</v>
      </c>
      <c r="J1091" t="s">
        <v>8</v>
      </c>
      <c r="K1091" t="str">
        <f>VLOOKUP(tblSalaries[[#This Row],[Where do you work]],tblCountries[[Actual]:[Mapping]],2,FALSE)</f>
        <v>India</v>
      </c>
      <c r="L1091" t="s">
        <v>18</v>
      </c>
      <c r="M1091">
        <v>8</v>
      </c>
    </row>
    <row r="1092" spans="2:13" ht="15" customHeight="1">
      <c r="B1092" t="s">
        <v>3095</v>
      </c>
      <c r="C1092" s="1">
        <v>41057.708194444444</v>
      </c>
      <c r="D1092" s="4" t="s">
        <v>1246</v>
      </c>
      <c r="E1092">
        <v>300000</v>
      </c>
      <c r="F1092" t="s">
        <v>40</v>
      </c>
      <c r="G1092">
        <f>tblSalaries[[#This Row],[clean Salary (in local currency)]]*VLOOKUP(tblSalaries[[#This Row],[Currency]],tblXrate[],2,FALSE)</f>
        <v>5342.3750062327708</v>
      </c>
      <c r="H1092" t="s">
        <v>20</v>
      </c>
      <c r="I1092" t="s">
        <v>20</v>
      </c>
      <c r="J1092" t="s">
        <v>8</v>
      </c>
      <c r="K1092" t="str">
        <f>VLOOKUP(tblSalaries[[#This Row],[Where do you work]],tblCountries[[Actual]:[Mapping]],2,FALSE)</f>
        <v>India</v>
      </c>
      <c r="L1092" t="s">
        <v>9</v>
      </c>
      <c r="M1092">
        <v>5</v>
      </c>
    </row>
    <row r="1093" spans="2:13" ht="15" customHeight="1">
      <c r="B1093" t="s">
        <v>3096</v>
      </c>
      <c r="C1093" s="1">
        <v>41057.710219907407</v>
      </c>
      <c r="D1093" s="4">
        <v>75000</v>
      </c>
      <c r="E1093">
        <v>75000</v>
      </c>
      <c r="F1093" t="s">
        <v>69</v>
      </c>
      <c r="G1093">
        <f>tblSalaries[[#This Row],[clean Salary (in local currency)]]*VLOOKUP(tblSalaries[[#This Row],[Currency]],tblXrate[],2,FALSE)</f>
        <v>118213.37040504631</v>
      </c>
      <c r="H1093" t="s">
        <v>539</v>
      </c>
      <c r="I1093" t="s">
        <v>52</v>
      </c>
      <c r="J1093" t="s">
        <v>71</v>
      </c>
      <c r="K1093" t="str">
        <f>VLOOKUP(tblSalaries[[#This Row],[Where do you work]],tblCountries[[Actual]:[Mapping]],2,FALSE)</f>
        <v>UK</v>
      </c>
      <c r="L1093" t="s">
        <v>18</v>
      </c>
      <c r="M1093">
        <v>10</v>
      </c>
    </row>
    <row r="1094" spans="2:13" ht="15" customHeight="1">
      <c r="B1094" t="s">
        <v>3097</v>
      </c>
      <c r="C1094" s="1">
        <v>41057.711157407408</v>
      </c>
      <c r="D1094" s="4" t="s">
        <v>1247</v>
      </c>
      <c r="E1094">
        <v>100000</v>
      </c>
      <c r="F1094" t="s">
        <v>585</v>
      </c>
      <c r="G1094">
        <f>tblSalaries[[#This Row],[clean Salary (in local currency)]]*VLOOKUP(tblSalaries[[#This Row],[Currency]],tblXrate[],2,FALSE)</f>
        <v>12192.177986291113</v>
      </c>
      <c r="H1094" t="s">
        <v>1248</v>
      </c>
      <c r="I1094" t="s">
        <v>52</v>
      </c>
      <c r="J1094" t="s">
        <v>48</v>
      </c>
      <c r="K1094" t="str">
        <f>VLOOKUP(tblSalaries[[#This Row],[Where do you work]],tblCountries[[Actual]:[Mapping]],2,FALSE)</f>
        <v>South Africa</v>
      </c>
      <c r="L1094" t="s">
        <v>13</v>
      </c>
      <c r="M1094">
        <v>15</v>
      </c>
    </row>
    <row r="1095" spans="2:13" ht="15" customHeight="1">
      <c r="B1095" t="s">
        <v>3098</v>
      </c>
      <c r="C1095" s="1">
        <v>41057.711886574078</v>
      </c>
      <c r="D1095" s="4" t="s">
        <v>1249</v>
      </c>
      <c r="E1095">
        <v>45000</v>
      </c>
      <c r="F1095" t="s">
        <v>69</v>
      </c>
      <c r="G1095">
        <f>tblSalaries[[#This Row],[clean Salary (in local currency)]]*VLOOKUP(tblSalaries[[#This Row],[Currency]],tblXrate[],2,FALSE)</f>
        <v>70928.022243027779</v>
      </c>
      <c r="H1095" t="s">
        <v>1250</v>
      </c>
      <c r="I1095" t="s">
        <v>4001</v>
      </c>
      <c r="J1095" t="s">
        <v>71</v>
      </c>
      <c r="K1095" t="str">
        <f>VLOOKUP(tblSalaries[[#This Row],[Where do you work]],tblCountries[[Actual]:[Mapping]],2,FALSE)</f>
        <v>UK</v>
      </c>
      <c r="L1095" t="s">
        <v>9</v>
      </c>
      <c r="M1095">
        <v>8</v>
      </c>
    </row>
    <row r="1096" spans="2:13" ht="15" customHeight="1">
      <c r="B1096" t="s">
        <v>3099</v>
      </c>
      <c r="C1096" s="1">
        <v>41057.715046296296</v>
      </c>
      <c r="D1096" s="4" t="s">
        <v>1251</v>
      </c>
      <c r="E1096">
        <v>25000</v>
      </c>
      <c r="F1096" t="s">
        <v>69</v>
      </c>
      <c r="G1096">
        <f>tblSalaries[[#This Row],[clean Salary (in local currency)]]*VLOOKUP(tblSalaries[[#This Row],[Currency]],tblXrate[],2,FALSE)</f>
        <v>39404.456801682099</v>
      </c>
      <c r="H1096" t="s">
        <v>1252</v>
      </c>
      <c r="I1096" t="s">
        <v>20</v>
      </c>
      <c r="J1096" t="s">
        <v>71</v>
      </c>
      <c r="K1096" t="str">
        <f>VLOOKUP(tblSalaries[[#This Row],[Where do you work]],tblCountries[[Actual]:[Mapping]],2,FALSE)</f>
        <v>UK</v>
      </c>
      <c r="L1096" t="s">
        <v>9</v>
      </c>
      <c r="M1096">
        <v>3</v>
      </c>
    </row>
    <row r="1097" spans="2:13" ht="15" customHeight="1">
      <c r="B1097" t="s">
        <v>3100</v>
      </c>
      <c r="C1097" s="1">
        <v>41057.717210648145</v>
      </c>
      <c r="D1097" s="4">
        <v>18987</v>
      </c>
      <c r="E1097">
        <v>18987</v>
      </c>
      <c r="F1097" t="s">
        <v>6</v>
      </c>
      <c r="G1097">
        <f>tblSalaries[[#This Row],[clean Salary (in local currency)]]*VLOOKUP(tblSalaries[[#This Row],[Currency]],tblXrate[],2,FALSE)</f>
        <v>18987</v>
      </c>
      <c r="H1097" t="s">
        <v>207</v>
      </c>
      <c r="I1097" t="s">
        <v>20</v>
      </c>
      <c r="J1097" t="s">
        <v>870</v>
      </c>
      <c r="K1097" t="str">
        <f>VLOOKUP(tblSalaries[[#This Row],[Where do you work]],tblCountries[[Actual]:[Mapping]],2,FALSE)</f>
        <v>Nigeria</v>
      </c>
      <c r="L1097" t="s">
        <v>13</v>
      </c>
      <c r="M1097">
        <v>7</v>
      </c>
    </row>
    <row r="1098" spans="2:13" ht="15" customHeight="1">
      <c r="B1098" t="s">
        <v>3101</v>
      </c>
      <c r="C1098" s="1">
        <v>41057.719085648147</v>
      </c>
      <c r="D1098" s="4" t="s">
        <v>571</v>
      </c>
      <c r="E1098">
        <v>28500</v>
      </c>
      <c r="F1098" t="s">
        <v>69</v>
      </c>
      <c r="G1098">
        <f>tblSalaries[[#This Row],[clean Salary (in local currency)]]*VLOOKUP(tblSalaries[[#This Row],[Currency]],tblXrate[],2,FALSE)</f>
        <v>44921.080753917595</v>
      </c>
      <c r="H1098" t="s">
        <v>1253</v>
      </c>
      <c r="I1098" t="s">
        <v>52</v>
      </c>
      <c r="J1098" t="s">
        <v>71</v>
      </c>
      <c r="K1098" t="str">
        <f>VLOOKUP(tblSalaries[[#This Row],[Where do you work]],tblCountries[[Actual]:[Mapping]],2,FALSE)</f>
        <v>UK</v>
      </c>
      <c r="L1098" t="s">
        <v>25</v>
      </c>
      <c r="M1098">
        <v>15</v>
      </c>
    </row>
    <row r="1099" spans="2:13" ht="15" customHeight="1">
      <c r="B1099" t="s">
        <v>3102</v>
      </c>
      <c r="C1099" s="1">
        <v>41057.720590277779</v>
      </c>
      <c r="D1099" s="4">
        <v>60000</v>
      </c>
      <c r="E1099">
        <v>60000</v>
      </c>
      <c r="F1099" t="s">
        <v>6</v>
      </c>
      <c r="G1099">
        <f>tblSalaries[[#This Row],[clean Salary (in local currency)]]*VLOOKUP(tblSalaries[[#This Row],[Currency]],tblXrate[],2,FALSE)</f>
        <v>60000</v>
      </c>
      <c r="H1099" t="s">
        <v>635</v>
      </c>
      <c r="I1099" t="s">
        <v>52</v>
      </c>
      <c r="J1099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>
        <v>14</v>
      </c>
    </row>
    <row r="1100" spans="2:13" ht="15" customHeight="1">
      <c r="B1100" t="s">
        <v>3103</v>
      </c>
      <c r="C1100" s="1">
        <v>41057.721377314818</v>
      </c>
      <c r="D1100" s="4" t="s">
        <v>1254</v>
      </c>
      <c r="E1100">
        <v>45200</v>
      </c>
      <c r="F1100" t="s">
        <v>69</v>
      </c>
      <c r="G1100">
        <f>tblSalaries[[#This Row],[clean Salary (in local currency)]]*VLOOKUP(tblSalaries[[#This Row],[Currency]],tblXrate[],2,FALSE)</f>
        <v>71243.257897441246</v>
      </c>
      <c r="H1100" t="s">
        <v>1255</v>
      </c>
      <c r="I1100" t="s">
        <v>52</v>
      </c>
      <c r="J1100" t="s">
        <v>71</v>
      </c>
      <c r="K1100" t="str">
        <f>VLOOKUP(tblSalaries[[#This Row],[Where do you work]],tblCountries[[Actual]:[Mapping]],2,FALSE)</f>
        <v>UK</v>
      </c>
      <c r="L1100" t="s">
        <v>18</v>
      </c>
      <c r="M1100">
        <v>5</v>
      </c>
    </row>
    <row r="1101" spans="2:13" ht="15" customHeight="1">
      <c r="B1101" t="s">
        <v>3104</v>
      </c>
      <c r="C1101" s="1">
        <v>41057.72383101852</v>
      </c>
      <c r="D1101" s="4" t="s">
        <v>1256</v>
      </c>
      <c r="E1101">
        <v>252000</v>
      </c>
      <c r="F1101" t="s">
        <v>40</v>
      </c>
      <c r="G1101">
        <f>tblSalaries[[#This Row],[clean Salary (in local currency)]]*VLOOKUP(tblSalaries[[#This Row],[Currency]],tblXrate[],2,FALSE)</f>
        <v>4487.5950052355274</v>
      </c>
      <c r="H1101" t="s">
        <v>1257</v>
      </c>
      <c r="I1101" t="s">
        <v>52</v>
      </c>
      <c r="J1101" t="s">
        <v>8</v>
      </c>
      <c r="K1101" t="str">
        <f>VLOOKUP(tblSalaries[[#This Row],[Where do you work]],tblCountries[[Actual]:[Mapping]],2,FALSE)</f>
        <v>India</v>
      </c>
      <c r="L1101" t="s">
        <v>25</v>
      </c>
      <c r="M1101">
        <v>16</v>
      </c>
    </row>
    <row r="1102" spans="2:13" ht="15" customHeight="1">
      <c r="B1102" t="s">
        <v>3105</v>
      </c>
      <c r="C1102" s="1">
        <v>41057.732129629629</v>
      </c>
      <c r="D1102" s="4">
        <v>242304</v>
      </c>
      <c r="E1102">
        <v>242304</v>
      </c>
      <c r="F1102" t="s">
        <v>40</v>
      </c>
      <c r="G1102">
        <f>tblSalaries[[#This Row],[clean Salary (in local currency)]]*VLOOKUP(tblSalaries[[#This Row],[Currency]],tblXrate[],2,FALSE)</f>
        <v>4314.929445034084</v>
      </c>
      <c r="H1102" t="s">
        <v>932</v>
      </c>
      <c r="I1102" t="s">
        <v>310</v>
      </c>
      <c r="J1102" t="s">
        <v>8</v>
      </c>
      <c r="K1102" t="str">
        <f>VLOOKUP(tblSalaries[[#This Row],[Where do you work]],tblCountries[[Actual]:[Mapping]],2,FALSE)</f>
        <v>India</v>
      </c>
      <c r="L1102" t="s">
        <v>9</v>
      </c>
      <c r="M1102">
        <v>7</v>
      </c>
    </row>
    <row r="1103" spans="2:13" ht="15" customHeight="1">
      <c r="B1103" t="s">
        <v>3106</v>
      </c>
      <c r="C1103" s="1">
        <v>41057.735254629632</v>
      </c>
      <c r="D1103" s="4">
        <v>210000</v>
      </c>
      <c r="E1103">
        <v>210000</v>
      </c>
      <c r="F1103" t="s">
        <v>40</v>
      </c>
      <c r="G1103">
        <f>tblSalaries[[#This Row],[clean Salary (in local currency)]]*VLOOKUP(tblSalaries[[#This Row],[Currency]],tblXrate[],2,FALSE)</f>
        <v>3739.6625043629392</v>
      </c>
      <c r="H1103" t="s">
        <v>1258</v>
      </c>
      <c r="I1103" t="s">
        <v>20</v>
      </c>
      <c r="J1103" t="s">
        <v>8</v>
      </c>
      <c r="K1103" t="str">
        <f>VLOOKUP(tblSalaries[[#This Row],[Where do you work]],tblCountries[[Actual]:[Mapping]],2,FALSE)</f>
        <v>India</v>
      </c>
      <c r="L1103" t="s">
        <v>13</v>
      </c>
      <c r="M1103">
        <v>1</v>
      </c>
    </row>
    <row r="1104" spans="2:13" ht="15" customHeight="1">
      <c r="B1104" t="s">
        <v>3107</v>
      </c>
      <c r="C1104" s="1">
        <v>41057.737627314818</v>
      </c>
      <c r="D1104" s="4">
        <v>5000</v>
      </c>
      <c r="E1104">
        <v>60000</v>
      </c>
      <c r="F1104" t="s">
        <v>22</v>
      </c>
      <c r="G1104">
        <f>tblSalaries[[#This Row],[clean Salary (in local currency)]]*VLOOKUP(tblSalaries[[#This Row],[Currency]],tblXrate[],2,FALSE)</f>
        <v>76223.966339496474</v>
      </c>
      <c r="H1104" t="s">
        <v>1259</v>
      </c>
      <c r="I1104" t="s">
        <v>52</v>
      </c>
      <c r="J1104" t="s">
        <v>515</v>
      </c>
      <c r="K1104" t="str">
        <f>VLOOKUP(tblSalaries[[#This Row],[Where do you work]],tblCountries[[Actual]:[Mapping]],2,FALSE)</f>
        <v>Finland</v>
      </c>
      <c r="L1104" t="s">
        <v>25</v>
      </c>
      <c r="M1104">
        <v>4</v>
      </c>
    </row>
    <row r="1105" spans="2:13" ht="15" customHeight="1">
      <c r="B1105" t="s">
        <v>3108</v>
      </c>
      <c r="C1105" s="1">
        <v>41057.737754629627</v>
      </c>
      <c r="D1105" s="4" t="s">
        <v>1260</v>
      </c>
      <c r="E1105">
        <v>120000</v>
      </c>
      <c r="F1105" t="s">
        <v>358</v>
      </c>
      <c r="G1105">
        <f>tblSalaries[[#This Row],[clean Salary (in local currency)]]*VLOOKUP(tblSalaries[[#This Row],[Currency]],tblXrate[],2,FALSE)</f>
        <v>32666.305522511171</v>
      </c>
      <c r="H1105" t="s">
        <v>642</v>
      </c>
      <c r="I1105" t="s">
        <v>52</v>
      </c>
      <c r="J1105" t="s">
        <v>179</v>
      </c>
      <c r="K1105" t="str">
        <f>VLOOKUP(tblSalaries[[#This Row],[Where do you work]],tblCountries[[Actual]:[Mapping]],2,FALSE)</f>
        <v>UAE</v>
      </c>
      <c r="L1105" t="s">
        <v>18</v>
      </c>
      <c r="M1105">
        <v>12</v>
      </c>
    </row>
    <row r="1106" spans="2:13" ht="15" customHeight="1">
      <c r="B1106" t="s">
        <v>3109</v>
      </c>
      <c r="C1106" s="1">
        <v>41057.73809027778</v>
      </c>
      <c r="D1106" s="4">
        <v>19000</v>
      </c>
      <c r="E1106">
        <v>19000</v>
      </c>
      <c r="F1106" t="s">
        <v>6</v>
      </c>
      <c r="G1106">
        <f>tblSalaries[[#This Row],[clean Salary (in local currency)]]*VLOOKUP(tblSalaries[[#This Row],[Currency]],tblXrate[],2,FALSE)</f>
        <v>19000</v>
      </c>
      <c r="H1106" t="s">
        <v>1261</v>
      </c>
      <c r="I1106" t="s">
        <v>3999</v>
      </c>
      <c r="J1106" t="s">
        <v>71</v>
      </c>
      <c r="K1106" t="str">
        <f>VLOOKUP(tblSalaries[[#This Row],[Where do you work]],tblCountries[[Actual]:[Mapping]],2,FALSE)</f>
        <v>UK</v>
      </c>
      <c r="L1106" t="s">
        <v>13</v>
      </c>
      <c r="M1106">
        <v>8</v>
      </c>
    </row>
    <row r="1107" spans="2:13" ht="15" customHeight="1">
      <c r="B1107" t="s">
        <v>3110</v>
      </c>
      <c r="C1107" s="1">
        <v>41057.738159722219</v>
      </c>
      <c r="D1107" s="4">
        <v>50000</v>
      </c>
      <c r="E1107">
        <v>50000</v>
      </c>
      <c r="F1107" t="s">
        <v>22</v>
      </c>
      <c r="G1107">
        <f>tblSalaries[[#This Row],[clean Salary (in local currency)]]*VLOOKUP(tblSalaries[[#This Row],[Currency]],tblXrate[],2,FALSE)</f>
        <v>63519.971949580387</v>
      </c>
      <c r="H1107" t="s">
        <v>1262</v>
      </c>
      <c r="I1107" t="s">
        <v>279</v>
      </c>
      <c r="J1107" t="s">
        <v>30</v>
      </c>
      <c r="K1107" t="str">
        <f>VLOOKUP(tblSalaries[[#This Row],[Where do you work]],tblCountries[[Actual]:[Mapping]],2,FALSE)</f>
        <v>Portugal</v>
      </c>
      <c r="L1107" t="s">
        <v>18</v>
      </c>
      <c r="M1107">
        <v>14</v>
      </c>
    </row>
    <row r="1108" spans="2:13" ht="15" customHeight="1">
      <c r="B1108" t="s">
        <v>3111</v>
      </c>
      <c r="C1108" s="1">
        <v>41057.745636574073</v>
      </c>
      <c r="D1108" s="4" t="s">
        <v>1263</v>
      </c>
      <c r="E1108">
        <v>900000</v>
      </c>
      <c r="F1108" t="s">
        <v>40</v>
      </c>
      <c r="G1108">
        <f>tblSalaries[[#This Row],[clean Salary (in local currency)]]*VLOOKUP(tblSalaries[[#This Row],[Currency]],tblXrate[],2,FALSE)</f>
        <v>16027.125018698311</v>
      </c>
      <c r="H1108" t="s">
        <v>1264</v>
      </c>
      <c r="I1108" t="s">
        <v>52</v>
      </c>
      <c r="J1108" t="s">
        <v>8</v>
      </c>
      <c r="K1108" t="str">
        <f>VLOOKUP(tblSalaries[[#This Row],[Where do you work]],tblCountries[[Actual]:[Mapping]],2,FALSE)</f>
        <v>India</v>
      </c>
      <c r="L1108" t="s">
        <v>9</v>
      </c>
      <c r="M1108">
        <v>22</v>
      </c>
    </row>
    <row r="1109" spans="2:13" ht="15" customHeight="1">
      <c r="B1109" t="s">
        <v>3112</v>
      </c>
      <c r="C1109" s="1">
        <v>41057.751898148148</v>
      </c>
      <c r="D1109" s="4" t="s">
        <v>694</v>
      </c>
      <c r="E1109">
        <v>400000</v>
      </c>
      <c r="F1109" t="s">
        <v>40</v>
      </c>
      <c r="G1109">
        <f>tblSalaries[[#This Row],[clean Salary (in local currency)]]*VLOOKUP(tblSalaries[[#This Row],[Currency]],tblXrate[],2,FALSE)</f>
        <v>7123.1666749770275</v>
      </c>
      <c r="H1109" t="s">
        <v>1265</v>
      </c>
      <c r="I1109" t="s">
        <v>3999</v>
      </c>
      <c r="J1109" t="s">
        <v>8</v>
      </c>
      <c r="K1109" t="str">
        <f>VLOOKUP(tblSalaries[[#This Row],[Where do you work]],tblCountries[[Actual]:[Mapping]],2,FALSE)</f>
        <v>India</v>
      </c>
      <c r="L1109" t="s">
        <v>9</v>
      </c>
      <c r="M1109">
        <v>9</v>
      </c>
    </row>
    <row r="1110" spans="2:13" ht="15" customHeight="1">
      <c r="B1110" t="s">
        <v>3113</v>
      </c>
      <c r="C1110" s="1">
        <v>41057.753622685188</v>
      </c>
      <c r="D1110" s="4">
        <v>150252</v>
      </c>
      <c r="E1110">
        <v>150252</v>
      </c>
      <c r="F1110" t="s">
        <v>40</v>
      </c>
      <c r="G1110">
        <f>tblSalaries[[#This Row],[clean Salary (in local currency)]]*VLOOKUP(tblSalaries[[#This Row],[Currency]],tblXrate[],2,FALSE)</f>
        <v>2675.675098121621</v>
      </c>
      <c r="H1110" t="s">
        <v>1266</v>
      </c>
      <c r="I1110" t="s">
        <v>52</v>
      </c>
      <c r="J1110" t="s">
        <v>8</v>
      </c>
      <c r="K1110" t="str">
        <f>VLOOKUP(tblSalaries[[#This Row],[Where do you work]],tblCountries[[Actual]:[Mapping]],2,FALSE)</f>
        <v>India</v>
      </c>
      <c r="L1110" t="s">
        <v>18</v>
      </c>
      <c r="M1110">
        <v>5</v>
      </c>
    </row>
    <row r="1111" spans="2:13" ht="15" customHeight="1">
      <c r="B1111" t="s">
        <v>3114</v>
      </c>
      <c r="C1111" s="1">
        <v>41057.753657407404</v>
      </c>
      <c r="D1111" s="4" t="s">
        <v>1267</v>
      </c>
      <c r="E1111">
        <v>15000</v>
      </c>
      <c r="F1111" t="s">
        <v>69</v>
      </c>
      <c r="G1111">
        <f>tblSalaries[[#This Row],[clean Salary (in local currency)]]*VLOOKUP(tblSalaries[[#This Row],[Currency]],tblXrate[],2,FALSE)</f>
        <v>23642.674081009263</v>
      </c>
      <c r="H1111" t="s">
        <v>1261</v>
      </c>
      <c r="I1111" t="s">
        <v>3999</v>
      </c>
      <c r="J1111" t="s">
        <v>71</v>
      </c>
      <c r="K1111" t="str">
        <f>VLOOKUP(tblSalaries[[#This Row],[Where do you work]],tblCountries[[Actual]:[Mapping]],2,FALSE)</f>
        <v>UK</v>
      </c>
      <c r="L1111" t="s">
        <v>13</v>
      </c>
      <c r="M1111">
        <v>2</v>
      </c>
    </row>
    <row r="1112" spans="2:13" ht="15" customHeight="1">
      <c r="B1112" t="s">
        <v>3115</v>
      </c>
      <c r="C1112" s="1">
        <v>41057.758055555554</v>
      </c>
      <c r="D1112" s="4" t="s">
        <v>1268</v>
      </c>
      <c r="E1112">
        <v>45000</v>
      </c>
      <c r="F1112" t="s">
        <v>22</v>
      </c>
      <c r="G1112">
        <f>tblSalaries[[#This Row],[clean Salary (in local currency)]]*VLOOKUP(tblSalaries[[#This Row],[Currency]],tblXrate[],2,FALSE)</f>
        <v>57167.974754622352</v>
      </c>
      <c r="H1112" t="s">
        <v>1269</v>
      </c>
      <c r="I1112" t="s">
        <v>52</v>
      </c>
      <c r="J1112" t="s">
        <v>608</v>
      </c>
      <c r="K1112" t="str">
        <f>VLOOKUP(tblSalaries[[#This Row],[Where do you work]],tblCountries[[Actual]:[Mapping]],2,FALSE)</f>
        <v>Spain</v>
      </c>
      <c r="L1112" t="s">
        <v>9</v>
      </c>
      <c r="M1112">
        <v>14</v>
      </c>
    </row>
    <row r="1113" spans="2:13" ht="15" customHeight="1">
      <c r="B1113" t="s">
        <v>3116</v>
      </c>
      <c r="C1113" s="1">
        <v>41057.771423611113</v>
      </c>
      <c r="D1113" s="4" t="s">
        <v>1270</v>
      </c>
      <c r="E1113">
        <v>2400000</v>
      </c>
      <c r="F1113" t="s">
        <v>40</v>
      </c>
      <c r="G1113">
        <f>tblSalaries[[#This Row],[clean Salary (in local currency)]]*VLOOKUP(tblSalaries[[#This Row],[Currency]],tblXrate[],2,FALSE)</f>
        <v>42739.000049862167</v>
      </c>
      <c r="H1113" t="s">
        <v>1271</v>
      </c>
      <c r="I1113" t="s">
        <v>52</v>
      </c>
      <c r="J1113" t="s">
        <v>8</v>
      </c>
      <c r="K1113" t="str">
        <f>VLOOKUP(tblSalaries[[#This Row],[Where do you work]],tblCountries[[Actual]:[Mapping]],2,FALSE)</f>
        <v>India</v>
      </c>
      <c r="L1113" t="s">
        <v>13</v>
      </c>
      <c r="M1113">
        <v>10</v>
      </c>
    </row>
    <row r="1114" spans="2:13" ht="15" customHeight="1">
      <c r="B1114" t="s">
        <v>3117</v>
      </c>
      <c r="C1114" s="1">
        <v>41057.77375</v>
      </c>
      <c r="D1114" s="4" t="s">
        <v>1272</v>
      </c>
      <c r="E1114">
        <v>216000</v>
      </c>
      <c r="F1114" t="s">
        <v>3951</v>
      </c>
      <c r="G1114">
        <f>tblSalaries[[#This Row],[clean Salary (in local currency)]]*VLOOKUP(tblSalaries[[#This Row],[Currency]],tblXrate[],2,FALSE)</f>
        <v>5120.2912876821438</v>
      </c>
      <c r="H1114" t="s">
        <v>523</v>
      </c>
      <c r="I1114" t="s">
        <v>52</v>
      </c>
      <c r="J1114" t="s">
        <v>347</v>
      </c>
      <c r="K1114" t="str">
        <f>VLOOKUP(tblSalaries[[#This Row],[Where do you work]],tblCountries[[Actual]:[Mapping]],2,FALSE)</f>
        <v>Philippines</v>
      </c>
      <c r="L1114" t="s">
        <v>9</v>
      </c>
      <c r="M1114">
        <v>2</v>
      </c>
    </row>
    <row r="1115" spans="2:13" ht="15" customHeight="1">
      <c r="B1115" t="s">
        <v>3118</v>
      </c>
      <c r="C1115" s="1">
        <v>41057.776458333334</v>
      </c>
      <c r="D1115" s="4">
        <v>100000</v>
      </c>
      <c r="E1115">
        <v>100000</v>
      </c>
      <c r="F1115" t="s">
        <v>22</v>
      </c>
      <c r="G1115">
        <f>tblSalaries[[#This Row],[clean Salary (in local currency)]]*VLOOKUP(tblSalaries[[#This Row],[Currency]],tblXrate[],2,FALSE)</f>
        <v>127039.94389916077</v>
      </c>
      <c r="H1115" t="s">
        <v>212</v>
      </c>
      <c r="I1115" t="s">
        <v>4001</v>
      </c>
      <c r="J1115" t="s">
        <v>608</v>
      </c>
      <c r="K1115" t="str">
        <f>VLOOKUP(tblSalaries[[#This Row],[Where do you work]],tblCountries[[Actual]:[Mapping]],2,FALSE)</f>
        <v>Spain</v>
      </c>
      <c r="L1115" t="s">
        <v>25</v>
      </c>
      <c r="M1115">
        <v>20</v>
      </c>
    </row>
    <row r="1116" spans="2:13" ht="15" customHeight="1">
      <c r="B1116" t="s">
        <v>3119</v>
      </c>
      <c r="C1116" s="1">
        <v>41057.777303240742</v>
      </c>
      <c r="D1116" s="4">
        <v>90000</v>
      </c>
      <c r="E1116">
        <v>90000</v>
      </c>
      <c r="F1116" t="s">
        <v>6</v>
      </c>
      <c r="G1116">
        <f>tblSalaries[[#This Row],[clean Salary (in local currency)]]*VLOOKUP(tblSalaries[[#This Row],[Currency]],tblXrate[],2,FALSE)</f>
        <v>90000</v>
      </c>
      <c r="H1116" t="s">
        <v>1273</v>
      </c>
      <c r="I1116" t="s">
        <v>52</v>
      </c>
      <c r="J1116" t="s">
        <v>15</v>
      </c>
      <c r="K1116" t="str">
        <f>VLOOKUP(tblSalaries[[#This Row],[Where do you work]],tblCountries[[Actual]:[Mapping]],2,FALSE)</f>
        <v>USA</v>
      </c>
      <c r="L1116" t="s">
        <v>9</v>
      </c>
      <c r="M1116">
        <v>5</v>
      </c>
    </row>
    <row r="1117" spans="2:13" ht="15" customHeight="1">
      <c r="B1117" t="s">
        <v>3120</v>
      </c>
      <c r="C1117" s="1">
        <v>41057.777870370373</v>
      </c>
      <c r="D1117" s="4">
        <v>400000</v>
      </c>
      <c r="E1117">
        <v>400000</v>
      </c>
      <c r="F1117" t="s">
        <v>40</v>
      </c>
      <c r="G1117">
        <f>tblSalaries[[#This Row],[clean Salary (in local currency)]]*VLOOKUP(tblSalaries[[#This Row],[Currency]],tblXrate[],2,FALSE)</f>
        <v>7123.1666749770275</v>
      </c>
      <c r="H1117" t="s">
        <v>1274</v>
      </c>
      <c r="I1117" t="s">
        <v>279</v>
      </c>
      <c r="J1117" t="s">
        <v>8</v>
      </c>
      <c r="K1117" t="str">
        <f>VLOOKUP(tblSalaries[[#This Row],[Where do you work]],tblCountries[[Actual]:[Mapping]],2,FALSE)</f>
        <v>India</v>
      </c>
      <c r="L1117" t="s">
        <v>25</v>
      </c>
      <c r="M1117">
        <v>2</v>
      </c>
    </row>
    <row r="1118" spans="2:13" ht="15" customHeight="1">
      <c r="B1118" t="s">
        <v>3121</v>
      </c>
      <c r="C1118" s="1">
        <v>41057.78125</v>
      </c>
      <c r="D1118" s="4">
        <v>10000</v>
      </c>
      <c r="E1118">
        <v>10000</v>
      </c>
      <c r="F1118" t="s">
        <v>6</v>
      </c>
      <c r="G1118">
        <f>tblSalaries[[#This Row],[clean Salary (in local currency)]]*VLOOKUP(tblSalaries[[#This Row],[Currency]],tblXrate[],2,FALSE)</f>
        <v>10000</v>
      </c>
      <c r="H1118" t="s">
        <v>647</v>
      </c>
      <c r="I1118" t="s">
        <v>20</v>
      </c>
      <c r="J1118" t="s">
        <v>8</v>
      </c>
      <c r="K1118" t="str">
        <f>VLOOKUP(tblSalaries[[#This Row],[Where do you work]],tblCountries[[Actual]:[Mapping]],2,FALSE)</f>
        <v>India</v>
      </c>
      <c r="L1118" t="s">
        <v>18</v>
      </c>
      <c r="M1118">
        <v>5</v>
      </c>
    </row>
    <row r="1119" spans="2:13" ht="15" customHeight="1">
      <c r="B1119" t="s">
        <v>3122</v>
      </c>
      <c r="C1119" s="1">
        <v>41057.785127314812</v>
      </c>
      <c r="D1119" s="4">
        <v>29000</v>
      </c>
      <c r="E1119">
        <v>29000</v>
      </c>
      <c r="F1119" t="s">
        <v>69</v>
      </c>
      <c r="G1119">
        <f>tblSalaries[[#This Row],[clean Salary (in local currency)]]*VLOOKUP(tblSalaries[[#This Row],[Currency]],tblXrate[],2,FALSE)</f>
        <v>45709.169889951241</v>
      </c>
      <c r="H1119" t="s">
        <v>14</v>
      </c>
      <c r="I1119" t="s">
        <v>20</v>
      </c>
      <c r="J1119" t="s">
        <v>71</v>
      </c>
      <c r="K1119" t="str">
        <f>VLOOKUP(tblSalaries[[#This Row],[Where do you work]],tblCountries[[Actual]:[Mapping]],2,FALSE)</f>
        <v>UK</v>
      </c>
      <c r="L1119" t="s">
        <v>9</v>
      </c>
      <c r="M1119">
        <v>14</v>
      </c>
    </row>
    <row r="1120" spans="2:13" ht="15" customHeight="1">
      <c r="B1120" t="s">
        <v>3123</v>
      </c>
      <c r="C1120" s="1">
        <v>41057.795393518521</v>
      </c>
      <c r="D1120" s="4" t="s">
        <v>1275</v>
      </c>
      <c r="E1120">
        <v>200000</v>
      </c>
      <c r="F1120" t="s">
        <v>40</v>
      </c>
      <c r="G1120">
        <f>tblSalaries[[#This Row],[clean Salary (in local currency)]]*VLOOKUP(tblSalaries[[#This Row],[Currency]],tblXrate[],2,FALSE)</f>
        <v>3561.5833374885137</v>
      </c>
      <c r="H1120" t="s">
        <v>1276</v>
      </c>
      <c r="I1120" t="s">
        <v>3999</v>
      </c>
      <c r="J1120" t="s">
        <v>8</v>
      </c>
      <c r="K1120" t="str">
        <f>VLOOKUP(tblSalaries[[#This Row],[Where do you work]],tblCountries[[Actual]:[Mapping]],2,FALSE)</f>
        <v>India</v>
      </c>
      <c r="L1120" t="s">
        <v>13</v>
      </c>
      <c r="M1120">
        <v>5</v>
      </c>
    </row>
    <row r="1121" spans="2:13" ht="15" customHeight="1">
      <c r="B1121" t="s">
        <v>3124</v>
      </c>
      <c r="C1121" s="1">
        <v>41057.798344907409</v>
      </c>
      <c r="D1121" s="4">
        <v>30000</v>
      </c>
      <c r="E1121">
        <v>30000</v>
      </c>
      <c r="F1121" t="s">
        <v>22</v>
      </c>
      <c r="G1121">
        <f>tblSalaries[[#This Row],[clean Salary (in local currency)]]*VLOOKUP(tblSalaries[[#This Row],[Currency]],tblXrate[],2,FALSE)</f>
        <v>38111.983169748237</v>
      </c>
      <c r="H1121" t="s">
        <v>1277</v>
      </c>
      <c r="I1121" t="s">
        <v>20</v>
      </c>
      <c r="J1121" t="s">
        <v>59</v>
      </c>
      <c r="K1121" t="str">
        <f>VLOOKUP(tblSalaries[[#This Row],[Where do you work]],tblCountries[[Actual]:[Mapping]],2,FALSE)</f>
        <v>Belgium</v>
      </c>
      <c r="L1121" t="s">
        <v>25</v>
      </c>
      <c r="M1121">
        <v>15</v>
      </c>
    </row>
    <row r="1122" spans="2:13" ht="15" customHeight="1">
      <c r="B1122" t="s">
        <v>3125</v>
      </c>
      <c r="C1122" s="1">
        <v>41057.805451388886</v>
      </c>
      <c r="D1122" s="4">
        <v>5000</v>
      </c>
      <c r="E1122">
        <v>60000</v>
      </c>
      <c r="F1122" t="s">
        <v>6</v>
      </c>
      <c r="G1122">
        <f>tblSalaries[[#This Row],[clean Salary (in local currency)]]*VLOOKUP(tblSalaries[[#This Row],[Currency]],tblXrate[],2,FALSE)</f>
        <v>60000</v>
      </c>
      <c r="H1122" t="s">
        <v>1278</v>
      </c>
      <c r="I1122" t="s">
        <v>20</v>
      </c>
      <c r="J1122" t="s">
        <v>15</v>
      </c>
      <c r="K1122" t="str">
        <f>VLOOKUP(tblSalaries[[#This Row],[Where do you work]],tblCountries[[Actual]:[Mapping]],2,FALSE)</f>
        <v>USA</v>
      </c>
      <c r="L1122" t="s">
        <v>18</v>
      </c>
      <c r="M1122">
        <v>4</v>
      </c>
    </row>
    <row r="1123" spans="2:13" ht="15" customHeight="1">
      <c r="B1123" t="s">
        <v>3126</v>
      </c>
      <c r="C1123" s="1">
        <v>41057.807974537034</v>
      </c>
      <c r="D1123" s="4">
        <v>40000</v>
      </c>
      <c r="E1123">
        <v>40000</v>
      </c>
      <c r="F1123" t="s">
        <v>6</v>
      </c>
      <c r="G1123">
        <f>tblSalaries[[#This Row],[clean Salary (in local currency)]]*VLOOKUP(tblSalaries[[#This Row],[Currency]],tblXrate[],2,FALSE)</f>
        <v>40000</v>
      </c>
      <c r="H1123" t="s">
        <v>279</v>
      </c>
      <c r="I1123" t="s">
        <v>279</v>
      </c>
      <c r="J1123" t="s">
        <v>8</v>
      </c>
      <c r="K1123" t="str">
        <f>VLOOKUP(tblSalaries[[#This Row],[Where do you work]],tblCountries[[Actual]:[Mapping]],2,FALSE)</f>
        <v>India</v>
      </c>
      <c r="L1123" t="s">
        <v>18</v>
      </c>
      <c r="M1123">
        <v>2</v>
      </c>
    </row>
    <row r="1124" spans="2:13" ht="15" customHeight="1">
      <c r="B1124" t="s">
        <v>3127</v>
      </c>
      <c r="C1124" s="1">
        <v>41057.809074074074</v>
      </c>
      <c r="D1124" s="4" t="s">
        <v>1279</v>
      </c>
      <c r="E1124">
        <v>853000</v>
      </c>
      <c r="F1124" t="s">
        <v>40</v>
      </c>
      <c r="G1124">
        <f>tblSalaries[[#This Row],[clean Salary (in local currency)]]*VLOOKUP(tblSalaries[[#This Row],[Currency]],tblXrate[],2,FALSE)</f>
        <v>15190.15293438851</v>
      </c>
      <c r="H1124" t="s">
        <v>1280</v>
      </c>
      <c r="I1124" t="s">
        <v>20</v>
      </c>
      <c r="J1124" t="s">
        <v>8</v>
      </c>
      <c r="K1124" t="str">
        <f>VLOOKUP(tblSalaries[[#This Row],[Where do you work]],tblCountries[[Actual]:[Mapping]],2,FALSE)</f>
        <v>India</v>
      </c>
      <c r="L1124" t="s">
        <v>18</v>
      </c>
      <c r="M1124">
        <v>6</v>
      </c>
    </row>
    <row r="1125" spans="2:13" ht="15" customHeight="1">
      <c r="B1125" t="s">
        <v>3128</v>
      </c>
      <c r="C1125" s="1">
        <v>41057.809432870374</v>
      </c>
      <c r="D1125" s="4">
        <v>90000</v>
      </c>
      <c r="E1125">
        <v>90000</v>
      </c>
      <c r="F1125" t="s">
        <v>22</v>
      </c>
      <c r="G1125">
        <f>tblSalaries[[#This Row],[clean Salary (in local currency)]]*VLOOKUP(tblSalaries[[#This Row],[Currency]],tblXrate[],2,FALSE)</f>
        <v>114335.9495092447</v>
      </c>
      <c r="H1125" t="s">
        <v>1281</v>
      </c>
      <c r="I1125" t="s">
        <v>52</v>
      </c>
      <c r="J1125" t="s">
        <v>1282</v>
      </c>
      <c r="K1125" t="str">
        <f>VLOOKUP(tblSalaries[[#This Row],[Where do you work]],tblCountries[[Actual]:[Mapping]],2,FALSE)</f>
        <v>CEE</v>
      </c>
      <c r="L1125" t="s">
        <v>18</v>
      </c>
      <c r="M1125">
        <v>20</v>
      </c>
    </row>
    <row r="1126" spans="2:13" ht="15" customHeight="1">
      <c r="B1126" t="s">
        <v>3129</v>
      </c>
      <c r="C1126" s="1">
        <v>41057.814062500001</v>
      </c>
      <c r="D1126" s="4" t="s">
        <v>1228</v>
      </c>
      <c r="E1126">
        <v>23000</v>
      </c>
      <c r="F1126" t="s">
        <v>69</v>
      </c>
      <c r="G1126">
        <f>tblSalaries[[#This Row],[clean Salary (in local currency)]]*VLOOKUP(tblSalaries[[#This Row],[Currency]],tblXrate[],2,FALSE)</f>
        <v>36252.100257547536</v>
      </c>
      <c r="H1126" t="s">
        <v>1283</v>
      </c>
      <c r="I1126" t="s">
        <v>52</v>
      </c>
      <c r="J1126" t="s">
        <v>71</v>
      </c>
      <c r="K1126" t="str">
        <f>VLOOKUP(tblSalaries[[#This Row],[Where do you work]],tblCountries[[Actual]:[Mapping]],2,FALSE)</f>
        <v>UK</v>
      </c>
      <c r="L1126" t="s">
        <v>9</v>
      </c>
      <c r="M1126">
        <v>10</v>
      </c>
    </row>
    <row r="1127" spans="2:13" ht="15" customHeight="1">
      <c r="B1127" t="s">
        <v>3130</v>
      </c>
      <c r="C1127" s="1">
        <v>41057.828634259262</v>
      </c>
      <c r="D1127" s="4" t="s">
        <v>137</v>
      </c>
      <c r="E1127">
        <v>30000</v>
      </c>
      <c r="F1127" t="s">
        <v>69</v>
      </c>
      <c r="G1127">
        <f>tblSalaries[[#This Row],[clean Salary (in local currency)]]*VLOOKUP(tblSalaries[[#This Row],[Currency]],tblXrate[],2,FALSE)</f>
        <v>47285.348162018527</v>
      </c>
      <c r="H1127" t="s">
        <v>1284</v>
      </c>
      <c r="I1127" t="s">
        <v>310</v>
      </c>
      <c r="J1127" t="s">
        <v>71</v>
      </c>
      <c r="K1127" t="str">
        <f>VLOOKUP(tblSalaries[[#This Row],[Where do you work]],tblCountries[[Actual]:[Mapping]],2,FALSE)</f>
        <v>UK</v>
      </c>
      <c r="L1127" t="s">
        <v>18</v>
      </c>
      <c r="M1127">
        <v>5</v>
      </c>
    </row>
    <row r="1128" spans="2:13" ht="15" customHeight="1">
      <c r="B1128" t="s">
        <v>3131</v>
      </c>
      <c r="C1128" s="1">
        <v>41057.837037037039</v>
      </c>
      <c r="D1128" s="4" t="s">
        <v>1285</v>
      </c>
      <c r="E1128">
        <v>70000</v>
      </c>
      <c r="F1128" t="s">
        <v>22</v>
      </c>
      <c r="G1128">
        <f>tblSalaries[[#This Row],[clean Salary (in local currency)]]*VLOOKUP(tblSalaries[[#This Row],[Currency]],tblXrate[],2,FALSE)</f>
        <v>88927.960729412545</v>
      </c>
      <c r="H1128" t="s">
        <v>1286</v>
      </c>
      <c r="I1128" t="s">
        <v>356</v>
      </c>
      <c r="J1128" t="s">
        <v>36</v>
      </c>
      <c r="K1128" t="str">
        <f>VLOOKUP(tblSalaries[[#This Row],[Where do you work]],tblCountries[[Actual]:[Mapping]],2,FALSE)</f>
        <v>Ireland</v>
      </c>
      <c r="L1128" t="s">
        <v>18</v>
      </c>
      <c r="M1128">
        <v>20</v>
      </c>
    </row>
    <row r="1129" spans="2:13" ht="15" customHeight="1">
      <c r="B1129" t="s">
        <v>3132</v>
      </c>
      <c r="C1129" s="1">
        <v>41057.847187500003</v>
      </c>
      <c r="D1129" s="4">
        <v>6000</v>
      </c>
      <c r="E1129">
        <v>6000</v>
      </c>
      <c r="F1129" t="s">
        <v>6</v>
      </c>
      <c r="G1129">
        <f>tblSalaries[[#This Row],[clean Salary (in local currency)]]*VLOOKUP(tblSalaries[[#This Row],[Currency]],tblXrate[],2,FALSE)</f>
        <v>6000</v>
      </c>
      <c r="H1129" t="s">
        <v>1287</v>
      </c>
      <c r="I1129" t="s">
        <v>310</v>
      </c>
      <c r="J1129" t="s">
        <v>1086</v>
      </c>
      <c r="K1129" t="str">
        <f>VLOOKUP(tblSalaries[[#This Row],[Where do you work]],tblCountries[[Actual]:[Mapping]],2,FALSE)</f>
        <v>Zambia</v>
      </c>
      <c r="L1129" t="s">
        <v>13</v>
      </c>
      <c r="M1129">
        <v>5</v>
      </c>
    </row>
    <row r="1130" spans="2:13" ht="15" customHeight="1">
      <c r="B1130" t="s">
        <v>3133</v>
      </c>
      <c r="C1130" s="1">
        <v>41057.84784722222</v>
      </c>
      <c r="D1130" s="4">
        <v>35000</v>
      </c>
      <c r="E1130">
        <v>35000</v>
      </c>
      <c r="F1130" t="s">
        <v>6</v>
      </c>
      <c r="G1130">
        <f>tblSalaries[[#This Row],[clean Salary (in local currency)]]*VLOOKUP(tblSalaries[[#This Row],[Currency]],tblXrate[],2,FALSE)</f>
        <v>35000</v>
      </c>
      <c r="H1130" t="s">
        <v>1288</v>
      </c>
      <c r="I1130" t="s">
        <v>20</v>
      </c>
      <c r="J1130" t="s">
        <v>15</v>
      </c>
      <c r="K1130" t="str">
        <f>VLOOKUP(tblSalaries[[#This Row],[Where do you work]],tblCountries[[Actual]:[Mapping]],2,FALSE)</f>
        <v>USA</v>
      </c>
      <c r="L1130" t="s">
        <v>13</v>
      </c>
      <c r="M1130">
        <v>20</v>
      </c>
    </row>
    <row r="1131" spans="2:13" ht="15" customHeight="1">
      <c r="B1131" t="s">
        <v>3134</v>
      </c>
      <c r="C1131" s="1">
        <v>41057.857986111114</v>
      </c>
      <c r="D1131" s="4" t="s">
        <v>68</v>
      </c>
      <c r="E1131">
        <v>35000</v>
      </c>
      <c r="F1131" t="s">
        <v>69</v>
      </c>
      <c r="G1131">
        <f>tblSalaries[[#This Row],[clean Salary (in local currency)]]*VLOOKUP(tblSalaries[[#This Row],[Currency]],tblXrate[],2,FALSE)</f>
        <v>55166.239522354947</v>
      </c>
      <c r="H1131" t="s">
        <v>1289</v>
      </c>
      <c r="I1131" t="s">
        <v>20</v>
      </c>
      <c r="J1131" t="s">
        <v>71</v>
      </c>
      <c r="K1131" t="str">
        <f>VLOOKUP(tblSalaries[[#This Row],[Where do you work]],tblCountries[[Actual]:[Mapping]],2,FALSE)</f>
        <v>UK</v>
      </c>
      <c r="L1131" t="s">
        <v>9</v>
      </c>
      <c r="M1131">
        <v>10</v>
      </c>
    </row>
    <row r="1132" spans="2:13" ht="15" customHeight="1">
      <c r="B1132" t="s">
        <v>3135</v>
      </c>
      <c r="C1132" s="1">
        <v>41057.863553240742</v>
      </c>
      <c r="D1132" s="4">
        <v>168000</v>
      </c>
      <c r="E1132">
        <v>168000</v>
      </c>
      <c r="F1132" t="s">
        <v>32</v>
      </c>
      <c r="G1132">
        <f>tblSalaries[[#This Row],[clean Salary (in local currency)]]*VLOOKUP(tblSalaries[[#This Row],[Currency]],tblXrate[],2,FALSE)</f>
        <v>1783.166904422254</v>
      </c>
      <c r="H1132" t="s">
        <v>1290</v>
      </c>
      <c r="I1132" t="s">
        <v>310</v>
      </c>
      <c r="J1132" t="s">
        <v>17</v>
      </c>
      <c r="K1132" t="str">
        <f>VLOOKUP(tblSalaries[[#This Row],[Where do you work]],tblCountries[[Actual]:[Mapping]],2,FALSE)</f>
        <v>Pakistan</v>
      </c>
      <c r="L1132" t="s">
        <v>9</v>
      </c>
      <c r="M1132">
        <v>10</v>
      </c>
    </row>
    <row r="1133" spans="2:13" ht="15" customHeight="1">
      <c r="B1133" t="s">
        <v>3136</v>
      </c>
      <c r="C1133" s="1">
        <v>41057.864988425928</v>
      </c>
      <c r="D1133" s="4">
        <v>13.5</v>
      </c>
      <c r="E1133">
        <v>13500</v>
      </c>
      <c r="F1133" t="s">
        <v>6</v>
      </c>
      <c r="G1133">
        <f>tblSalaries[[#This Row],[clean Salary (in local currency)]]*VLOOKUP(tblSalaries[[#This Row],[Currency]],tblXrate[],2,FALSE)</f>
        <v>13500</v>
      </c>
      <c r="H1133" t="s">
        <v>168</v>
      </c>
      <c r="I1133" t="s">
        <v>52</v>
      </c>
      <c r="J1133" t="s">
        <v>1291</v>
      </c>
      <c r="K1133" t="str">
        <f>VLOOKUP(tblSalaries[[#This Row],[Where do you work]],tblCountries[[Actual]:[Mapping]],2,FALSE)</f>
        <v>Montenegro</v>
      </c>
      <c r="L1133" t="s">
        <v>9</v>
      </c>
      <c r="M1133">
        <v>13</v>
      </c>
    </row>
    <row r="1134" spans="2:13" ht="15" customHeight="1">
      <c r="B1134" t="s">
        <v>3137</v>
      </c>
      <c r="C1134" s="1">
        <v>41057.86917824074</v>
      </c>
      <c r="D1134" s="4" t="s">
        <v>1292</v>
      </c>
      <c r="E1134">
        <v>37500</v>
      </c>
      <c r="F1134" t="s">
        <v>69</v>
      </c>
      <c r="G1134">
        <f>tblSalaries[[#This Row],[clean Salary (in local currency)]]*VLOOKUP(tblSalaries[[#This Row],[Currency]],tblXrate[],2,FALSE)</f>
        <v>59106.685202523156</v>
      </c>
      <c r="H1134" t="s">
        <v>1293</v>
      </c>
      <c r="I1134" t="s">
        <v>310</v>
      </c>
      <c r="J1134" t="s">
        <v>71</v>
      </c>
      <c r="K1134" t="str">
        <f>VLOOKUP(tblSalaries[[#This Row],[Where do you work]],tblCountries[[Actual]:[Mapping]],2,FALSE)</f>
        <v>UK</v>
      </c>
      <c r="L1134" t="s">
        <v>18</v>
      </c>
      <c r="M1134">
        <v>5</v>
      </c>
    </row>
    <row r="1135" spans="2:13" ht="15" customHeight="1">
      <c r="B1135" t="s">
        <v>3138</v>
      </c>
      <c r="C1135" s="1">
        <v>41057.871168981481</v>
      </c>
      <c r="D1135" s="4" t="s">
        <v>1294</v>
      </c>
      <c r="E1135">
        <v>708000</v>
      </c>
      <c r="F1135" t="s">
        <v>40</v>
      </c>
      <c r="G1135">
        <f>tblSalaries[[#This Row],[clean Salary (in local currency)]]*VLOOKUP(tblSalaries[[#This Row],[Currency]],tblXrate[],2,FALSE)</f>
        <v>12608.005014709339</v>
      </c>
      <c r="H1135" t="s">
        <v>1295</v>
      </c>
      <c r="I1135" t="s">
        <v>52</v>
      </c>
      <c r="J1135" t="s">
        <v>8</v>
      </c>
      <c r="K1135" t="str">
        <f>VLOOKUP(tblSalaries[[#This Row],[Where do you work]],tblCountries[[Actual]:[Mapping]],2,FALSE)</f>
        <v>India</v>
      </c>
      <c r="L1135" t="s">
        <v>9</v>
      </c>
      <c r="M1135">
        <v>5</v>
      </c>
    </row>
    <row r="1136" spans="2:13" ht="15" customHeight="1">
      <c r="B1136" t="s">
        <v>3139</v>
      </c>
      <c r="C1136" s="1">
        <v>41057.885011574072</v>
      </c>
      <c r="D1136" s="4" t="s">
        <v>1296</v>
      </c>
      <c r="E1136">
        <v>366252</v>
      </c>
      <c r="F1136" t="s">
        <v>585</v>
      </c>
      <c r="G1136">
        <f>tblSalaries[[#This Row],[clean Salary (in local currency)]]*VLOOKUP(tblSalaries[[#This Row],[Currency]],tblXrate[],2,FALSE)</f>
        <v>44654.095718350931</v>
      </c>
      <c r="H1136" t="s">
        <v>310</v>
      </c>
      <c r="I1136" t="s">
        <v>310</v>
      </c>
      <c r="J1136" t="s">
        <v>48</v>
      </c>
      <c r="K1136" t="str">
        <f>VLOOKUP(tblSalaries[[#This Row],[Where do you work]],tblCountries[[Actual]:[Mapping]],2,FALSE)</f>
        <v>South Africa</v>
      </c>
      <c r="L1136" t="s">
        <v>13</v>
      </c>
      <c r="M1136">
        <v>15</v>
      </c>
    </row>
    <row r="1137" spans="2:13" ht="15" customHeight="1">
      <c r="B1137" t="s">
        <v>3140</v>
      </c>
      <c r="C1137" s="1">
        <v>41057.88685185185</v>
      </c>
      <c r="D1137" s="4">
        <v>69000</v>
      </c>
      <c r="E1137">
        <v>69000</v>
      </c>
      <c r="F1137" t="s">
        <v>6</v>
      </c>
      <c r="G1137">
        <f>tblSalaries[[#This Row],[clean Salary (in local currency)]]*VLOOKUP(tblSalaries[[#This Row],[Currency]],tblXrate[],2,FALSE)</f>
        <v>69000</v>
      </c>
      <c r="H1137" t="s">
        <v>1297</v>
      </c>
      <c r="I1137" t="s">
        <v>20</v>
      </c>
      <c r="J1137" t="s">
        <v>15</v>
      </c>
      <c r="K1137" t="str">
        <f>VLOOKUP(tblSalaries[[#This Row],[Where do you work]],tblCountries[[Actual]:[Mapping]],2,FALSE)</f>
        <v>USA</v>
      </c>
      <c r="L1137" t="s">
        <v>18</v>
      </c>
      <c r="M1137">
        <v>20</v>
      </c>
    </row>
    <row r="1138" spans="2:13" ht="15" customHeight="1">
      <c r="B1138" t="s">
        <v>3141</v>
      </c>
      <c r="C1138" s="1">
        <v>41057.913483796299</v>
      </c>
      <c r="D1138" s="4">
        <v>500</v>
      </c>
      <c r="E1138">
        <v>6000</v>
      </c>
      <c r="F1138" t="s">
        <v>6</v>
      </c>
      <c r="G1138">
        <f>tblSalaries[[#This Row],[clean Salary (in local currency)]]*VLOOKUP(tblSalaries[[#This Row],[Currency]],tblXrate[],2,FALSE)</f>
        <v>6000</v>
      </c>
      <c r="H1138" t="s">
        <v>1298</v>
      </c>
      <c r="I1138" t="s">
        <v>52</v>
      </c>
      <c r="J1138" t="s">
        <v>8</v>
      </c>
      <c r="K1138" t="str">
        <f>VLOOKUP(tblSalaries[[#This Row],[Where do you work]],tblCountries[[Actual]:[Mapping]],2,FALSE)</f>
        <v>India</v>
      </c>
      <c r="L1138" t="s">
        <v>9</v>
      </c>
      <c r="M1138">
        <v>6</v>
      </c>
    </row>
    <row r="1139" spans="2:13" ht="15" customHeight="1">
      <c r="B1139" t="s">
        <v>3142</v>
      </c>
      <c r="C1139" s="1">
        <v>41057.922361111108</v>
      </c>
      <c r="D1139" s="4" t="s">
        <v>1299</v>
      </c>
      <c r="E1139">
        <v>500000</v>
      </c>
      <c r="F1139" t="s">
        <v>40</v>
      </c>
      <c r="G1139">
        <f>tblSalaries[[#This Row],[clean Salary (in local currency)]]*VLOOKUP(tblSalaries[[#This Row],[Currency]],tblXrate[],2,FALSE)</f>
        <v>8903.9583437212841</v>
      </c>
      <c r="H1139" t="s">
        <v>938</v>
      </c>
      <c r="I1139" t="s">
        <v>52</v>
      </c>
      <c r="J1139" t="s">
        <v>8</v>
      </c>
      <c r="K1139" t="str">
        <f>VLOOKUP(tblSalaries[[#This Row],[Where do you work]],tblCountries[[Actual]:[Mapping]],2,FALSE)</f>
        <v>India</v>
      </c>
      <c r="L1139" t="s">
        <v>25</v>
      </c>
      <c r="M1139">
        <v>25</v>
      </c>
    </row>
    <row r="1140" spans="2:13" ht="15" customHeight="1">
      <c r="B1140" t="s">
        <v>3143</v>
      </c>
      <c r="C1140" s="1">
        <v>41057.923750000002</v>
      </c>
      <c r="D1140" s="4">
        <v>30000</v>
      </c>
      <c r="E1140">
        <v>30000</v>
      </c>
      <c r="F1140" t="s">
        <v>6</v>
      </c>
      <c r="G1140">
        <f>tblSalaries[[#This Row],[clean Salary (in local currency)]]*VLOOKUP(tblSalaries[[#This Row],[Currency]],tblXrate[],2,FALSE)</f>
        <v>30000</v>
      </c>
      <c r="H1140" t="s">
        <v>1300</v>
      </c>
      <c r="I1140" t="s">
        <v>52</v>
      </c>
      <c r="J1140" t="s">
        <v>1301</v>
      </c>
      <c r="K1140" t="str">
        <f>VLOOKUP(tblSalaries[[#This Row],[Where do you work]],tblCountries[[Actual]:[Mapping]],2,FALSE)</f>
        <v>Mexico</v>
      </c>
      <c r="L1140" t="s">
        <v>13</v>
      </c>
      <c r="M1140">
        <v>17</v>
      </c>
    </row>
    <row r="1141" spans="2:13" ht="15" customHeight="1">
      <c r="B1141" t="s">
        <v>3144</v>
      </c>
      <c r="C1141" s="1">
        <v>41057.92597222222</v>
      </c>
      <c r="D1141" s="4">
        <v>8600</v>
      </c>
      <c r="E1141">
        <v>8600</v>
      </c>
      <c r="F1141" t="s">
        <v>6</v>
      </c>
      <c r="G1141">
        <f>tblSalaries[[#This Row],[clean Salary (in local currency)]]*VLOOKUP(tblSalaries[[#This Row],[Currency]],tblXrate[],2,FALSE)</f>
        <v>8600</v>
      </c>
      <c r="H1141" t="s">
        <v>1302</v>
      </c>
      <c r="I1141" t="s">
        <v>20</v>
      </c>
      <c r="J1141" t="s">
        <v>8</v>
      </c>
      <c r="K1141" t="str">
        <f>VLOOKUP(tblSalaries[[#This Row],[Where do you work]],tblCountries[[Actual]:[Mapping]],2,FALSE)</f>
        <v>India</v>
      </c>
      <c r="L1141" t="s">
        <v>9</v>
      </c>
      <c r="M1141">
        <v>2</v>
      </c>
    </row>
    <row r="1142" spans="2:13" ht="15" customHeight="1">
      <c r="B1142" t="s">
        <v>3145</v>
      </c>
      <c r="C1142" s="1">
        <v>41057.934074074074</v>
      </c>
      <c r="D1142" s="4" t="s">
        <v>1303</v>
      </c>
      <c r="E1142">
        <v>81600</v>
      </c>
      <c r="F1142" t="s">
        <v>6</v>
      </c>
      <c r="G1142">
        <f>tblSalaries[[#This Row],[clean Salary (in local currency)]]*VLOOKUP(tblSalaries[[#This Row],[Currency]],tblXrate[],2,FALSE)</f>
        <v>81600</v>
      </c>
      <c r="H1142" t="s">
        <v>1304</v>
      </c>
      <c r="I1142" t="s">
        <v>20</v>
      </c>
      <c r="J1142" t="s">
        <v>71</v>
      </c>
      <c r="K1142" t="str">
        <f>VLOOKUP(tblSalaries[[#This Row],[Where do you work]],tblCountries[[Actual]:[Mapping]],2,FALSE)</f>
        <v>UK</v>
      </c>
      <c r="L1142" t="s">
        <v>9</v>
      </c>
      <c r="M1142">
        <v>4</v>
      </c>
    </row>
    <row r="1143" spans="2:13" ht="15" customHeight="1">
      <c r="B1143" t="s">
        <v>3146</v>
      </c>
      <c r="C1143" s="1">
        <v>41057.939918981479</v>
      </c>
      <c r="D1143" s="4">
        <v>600000</v>
      </c>
      <c r="E1143">
        <v>600000</v>
      </c>
      <c r="F1143" t="s">
        <v>3986</v>
      </c>
      <c r="G1143">
        <f>tblSalaries[[#This Row],[clean Salary (in local currency)]]*VLOOKUP(tblSalaries[[#This Row],[Currency]],tblXrate[],2,FALSE)</f>
        <v>15404.364569961488</v>
      </c>
      <c r="H1143" t="s">
        <v>1305</v>
      </c>
      <c r="I1143" t="s">
        <v>20</v>
      </c>
      <c r="J1143" t="s">
        <v>1306</v>
      </c>
      <c r="K1143" t="str">
        <f>VLOOKUP(tblSalaries[[#This Row],[Where do you work]],tblCountries[[Actual]:[Mapping]],2,FALSE)</f>
        <v>Dominican Republic</v>
      </c>
      <c r="L1143" t="s">
        <v>13</v>
      </c>
      <c r="M1143">
        <v>3</v>
      </c>
    </row>
    <row r="1144" spans="2:13" ht="15" customHeight="1">
      <c r="B1144" t="s">
        <v>3147</v>
      </c>
      <c r="C1144" s="1">
        <v>41057.941620370373</v>
      </c>
      <c r="D1144" s="4" t="s">
        <v>1307</v>
      </c>
      <c r="E1144">
        <v>65000</v>
      </c>
      <c r="F1144" t="s">
        <v>86</v>
      </c>
      <c r="G1144">
        <f>tblSalaries[[#This Row],[clean Salary (in local currency)]]*VLOOKUP(tblSalaries[[#This Row],[Currency]],tblXrate[],2,FALSE)</f>
        <v>63918.498996971248</v>
      </c>
      <c r="H1144" t="s">
        <v>1308</v>
      </c>
      <c r="I1144" t="s">
        <v>20</v>
      </c>
      <c r="J1144" t="s">
        <v>88</v>
      </c>
      <c r="K1144" t="str">
        <f>VLOOKUP(tblSalaries[[#This Row],[Where do you work]],tblCountries[[Actual]:[Mapping]],2,FALSE)</f>
        <v>Canada</v>
      </c>
      <c r="L1144" t="s">
        <v>9</v>
      </c>
      <c r="M1144">
        <v>20</v>
      </c>
    </row>
    <row r="1145" spans="2:13" ht="15" customHeight="1">
      <c r="B1145" t="s">
        <v>3148</v>
      </c>
      <c r="C1145" s="1">
        <v>41057.941921296297</v>
      </c>
      <c r="D1145" s="4">
        <v>75000</v>
      </c>
      <c r="E1145">
        <v>75000</v>
      </c>
      <c r="F1145" t="s">
        <v>6</v>
      </c>
      <c r="G1145">
        <f>tblSalaries[[#This Row],[clean Salary (in local currency)]]*VLOOKUP(tblSalaries[[#This Row],[Currency]],tblXrate[],2,FALSE)</f>
        <v>75000</v>
      </c>
      <c r="H1145" t="s">
        <v>488</v>
      </c>
      <c r="I1145" t="s">
        <v>488</v>
      </c>
      <c r="J1145" t="s">
        <v>15</v>
      </c>
      <c r="K1145" t="str">
        <f>VLOOKUP(tblSalaries[[#This Row],[Where do you work]],tblCountries[[Actual]:[Mapping]],2,FALSE)</f>
        <v>USA</v>
      </c>
      <c r="L1145" t="s">
        <v>18</v>
      </c>
      <c r="M1145">
        <v>20</v>
      </c>
    </row>
    <row r="1146" spans="2:13" ht="15" customHeight="1">
      <c r="B1146" t="s">
        <v>3149</v>
      </c>
      <c r="C1146" s="1">
        <v>41057.942210648151</v>
      </c>
      <c r="D1146" s="4">
        <v>59000</v>
      </c>
      <c r="E1146">
        <v>59000</v>
      </c>
      <c r="F1146" t="s">
        <v>6</v>
      </c>
      <c r="G1146">
        <f>tblSalaries[[#This Row],[clean Salary (in local currency)]]*VLOOKUP(tblSalaries[[#This Row],[Currency]],tblXrate[],2,FALSE)</f>
        <v>59000</v>
      </c>
      <c r="H1146" t="s">
        <v>394</v>
      </c>
      <c r="I1146" t="s">
        <v>20</v>
      </c>
      <c r="J1146" t="s">
        <v>15</v>
      </c>
      <c r="K1146" t="str">
        <f>VLOOKUP(tblSalaries[[#This Row],[Where do you work]],tblCountries[[Actual]:[Mapping]],2,FALSE)</f>
        <v>USA</v>
      </c>
      <c r="L1146" t="s">
        <v>9</v>
      </c>
      <c r="M1146">
        <v>14</v>
      </c>
    </row>
    <row r="1147" spans="2:13" ht="15" customHeight="1">
      <c r="B1147" t="s">
        <v>3150</v>
      </c>
      <c r="C1147" s="1">
        <v>41057.943483796298</v>
      </c>
      <c r="D1147" s="4" t="s">
        <v>1309</v>
      </c>
      <c r="E1147">
        <v>50000</v>
      </c>
      <c r="F1147" t="s">
        <v>6</v>
      </c>
      <c r="G1147">
        <f>tblSalaries[[#This Row],[clean Salary (in local currency)]]*VLOOKUP(tblSalaries[[#This Row],[Currency]],tblXrate[],2,FALSE)</f>
        <v>50000</v>
      </c>
      <c r="H1147" t="s">
        <v>564</v>
      </c>
      <c r="I1147" t="s">
        <v>52</v>
      </c>
      <c r="J1147" t="s">
        <v>88</v>
      </c>
      <c r="K1147" t="str">
        <f>VLOOKUP(tblSalaries[[#This Row],[Where do you work]],tblCountries[[Actual]:[Mapping]],2,FALSE)</f>
        <v>Canada</v>
      </c>
      <c r="L1147" t="s">
        <v>25</v>
      </c>
      <c r="M1147">
        <v>5</v>
      </c>
    </row>
    <row r="1148" spans="2:13" ht="15" customHeight="1">
      <c r="B1148" t="s">
        <v>3151</v>
      </c>
      <c r="C1148" s="1">
        <v>41057.943854166668</v>
      </c>
      <c r="D1148" s="4" t="s">
        <v>1310</v>
      </c>
      <c r="E1148">
        <v>80000</v>
      </c>
      <c r="F1148" t="s">
        <v>69</v>
      </c>
      <c r="G1148">
        <f>tblSalaries[[#This Row],[clean Salary (in local currency)]]*VLOOKUP(tblSalaries[[#This Row],[Currency]],tblXrate[],2,FALSE)</f>
        <v>126094.26176538273</v>
      </c>
      <c r="H1148" t="s">
        <v>181</v>
      </c>
      <c r="I1148" t="s">
        <v>488</v>
      </c>
      <c r="J1148" t="s">
        <v>71</v>
      </c>
      <c r="K1148" t="str">
        <f>VLOOKUP(tblSalaries[[#This Row],[Where do you work]],tblCountries[[Actual]:[Mapping]],2,FALSE)</f>
        <v>UK</v>
      </c>
      <c r="L1148" t="s">
        <v>9</v>
      </c>
      <c r="M1148">
        <v>15</v>
      </c>
    </row>
    <row r="1149" spans="2:13" ht="15" customHeight="1">
      <c r="B1149" t="s">
        <v>3152</v>
      </c>
      <c r="C1149" s="1">
        <v>41057.945150462961</v>
      </c>
      <c r="D1149" s="4" t="s">
        <v>1311</v>
      </c>
      <c r="E1149">
        <v>54000</v>
      </c>
      <c r="F1149" t="s">
        <v>3900</v>
      </c>
      <c r="G1149">
        <f>tblSalaries[[#This Row],[clean Salary (in local currency)]]*VLOOKUP(tblSalaries[[#This Row],[Currency]],tblXrate[],2,FALSE)</f>
        <v>26691.183012544854</v>
      </c>
      <c r="H1149" t="s">
        <v>1312</v>
      </c>
      <c r="I1149" t="s">
        <v>52</v>
      </c>
      <c r="J1149" t="s">
        <v>143</v>
      </c>
      <c r="K1149" t="str">
        <f>VLOOKUP(tblSalaries[[#This Row],[Where do you work]],tblCountries[[Actual]:[Mapping]],2,FALSE)</f>
        <v>Brazil</v>
      </c>
      <c r="L1149" t="s">
        <v>25</v>
      </c>
      <c r="M1149">
        <v>7</v>
      </c>
    </row>
    <row r="1150" spans="2:13" ht="15" customHeight="1">
      <c r="B1150" t="s">
        <v>3153</v>
      </c>
      <c r="C1150" s="1">
        <v>41057.9453125</v>
      </c>
      <c r="D1150" s="4">
        <v>500000</v>
      </c>
      <c r="E1150">
        <v>500000</v>
      </c>
      <c r="F1150" t="s">
        <v>40</v>
      </c>
      <c r="G1150">
        <f>tblSalaries[[#This Row],[clean Salary (in local currency)]]*VLOOKUP(tblSalaries[[#This Row],[Currency]],tblXrate[],2,FALSE)</f>
        <v>8903.9583437212841</v>
      </c>
      <c r="H1150" t="s">
        <v>207</v>
      </c>
      <c r="I1150" t="s">
        <v>20</v>
      </c>
      <c r="J1150" t="s">
        <v>8</v>
      </c>
      <c r="K1150" t="str">
        <f>VLOOKUP(tblSalaries[[#This Row],[Where do you work]],tblCountries[[Actual]:[Mapping]],2,FALSE)</f>
        <v>India</v>
      </c>
      <c r="L1150" t="s">
        <v>9</v>
      </c>
      <c r="M1150">
        <v>0.8</v>
      </c>
    </row>
    <row r="1151" spans="2:13" ht="15" customHeight="1">
      <c r="B1151" t="s">
        <v>3154</v>
      </c>
      <c r="C1151" s="1">
        <v>41057.945439814815</v>
      </c>
      <c r="D1151" s="4" t="s">
        <v>1313</v>
      </c>
      <c r="E1151">
        <v>8725</v>
      </c>
      <c r="F1151" t="s">
        <v>6</v>
      </c>
      <c r="G1151">
        <f>tblSalaries[[#This Row],[clean Salary (in local currency)]]*VLOOKUP(tblSalaries[[#This Row],[Currency]],tblXrate[],2,FALSE)</f>
        <v>8725</v>
      </c>
      <c r="H1151" t="s">
        <v>594</v>
      </c>
      <c r="I1151" t="s">
        <v>52</v>
      </c>
      <c r="J1151" t="s">
        <v>17</v>
      </c>
      <c r="K1151" t="str">
        <f>VLOOKUP(tblSalaries[[#This Row],[Where do you work]],tblCountries[[Actual]:[Mapping]],2,FALSE)</f>
        <v>Pakistan</v>
      </c>
      <c r="L1151" t="s">
        <v>18</v>
      </c>
      <c r="M1151">
        <v>18</v>
      </c>
    </row>
    <row r="1152" spans="2:13" ht="15" customHeight="1">
      <c r="B1152" t="s">
        <v>3155</v>
      </c>
      <c r="C1152" s="1">
        <v>41057.947777777779</v>
      </c>
      <c r="D1152" s="4" t="s">
        <v>1314</v>
      </c>
      <c r="E1152">
        <v>32000</v>
      </c>
      <c r="F1152" t="s">
        <v>69</v>
      </c>
      <c r="G1152">
        <f>tblSalaries[[#This Row],[clean Salary (in local currency)]]*VLOOKUP(tblSalaries[[#This Row],[Currency]],tblXrate[],2,FALSE)</f>
        <v>50437.70470615309</v>
      </c>
      <c r="H1152" t="s">
        <v>1315</v>
      </c>
      <c r="I1152" t="s">
        <v>20</v>
      </c>
      <c r="J1152" t="s">
        <v>71</v>
      </c>
      <c r="K1152" t="str">
        <f>VLOOKUP(tblSalaries[[#This Row],[Where do you work]],tblCountries[[Actual]:[Mapping]],2,FALSE)</f>
        <v>UK</v>
      </c>
      <c r="L1152" t="s">
        <v>9</v>
      </c>
      <c r="M1152">
        <v>4</v>
      </c>
    </row>
    <row r="1153" spans="2:13" ht="15" customHeight="1">
      <c r="B1153" t="s">
        <v>3156</v>
      </c>
      <c r="C1153" s="1">
        <v>41057.948483796295</v>
      </c>
      <c r="D1153" s="4" t="s">
        <v>1316</v>
      </c>
      <c r="E1153">
        <v>43000</v>
      </c>
      <c r="F1153" t="s">
        <v>69</v>
      </c>
      <c r="G1153">
        <f>tblSalaries[[#This Row],[clean Salary (in local currency)]]*VLOOKUP(tblSalaries[[#This Row],[Currency]],tblXrate[],2,FALSE)</f>
        <v>67775.665698893223</v>
      </c>
      <c r="H1153" t="s">
        <v>1317</v>
      </c>
      <c r="I1153" t="s">
        <v>310</v>
      </c>
      <c r="J1153" t="s">
        <v>71</v>
      </c>
      <c r="K1153" t="str">
        <f>VLOOKUP(tblSalaries[[#This Row],[Where do you work]],tblCountries[[Actual]:[Mapping]],2,FALSE)</f>
        <v>UK</v>
      </c>
      <c r="L1153" t="s">
        <v>13</v>
      </c>
      <c r="M1153">
        <v>15</v>
      </c>
    </row>
    <row r="1154" spans="2:13" ht="15" customHeight="1">
      <c r="B1154" t="s">
        <v>3157</v>
      </c>
      <c r="C1154" s="1">
        <v>41057.94903935185</v>
      </c>
      <c r="D1154" s="4" t="s">
        <v>1318</v>
      </c>
      <c r="E1154">
        <v>53000</v>
      </c>
      <c r="F1154" t="s">
        <v>86</v>
      </c>
      <c r="G1154">
        <f>tblSalaries[[#This Row],[clean Salary (in local currency)]]*VLOOKUP(tblSalaries[[#This Row],[Currency]],tblXrate[],2,FALSE)</f>
        <v>52118.160720607324</v>
      </c>
      <c r="H1154" t="s">
        <v>153</v>
      </c>
      <c r="I1154" t="s">
        <v>20</v>
      </c>
      <c r="J1154" t="s">
        <v>88</v>
      </c>
      <c r="K1154" t="str">
        <f>VLOOKUP(tblSalaries[[#This Row],[Where do you work]],tblCountries[[Actual]:[Mapping]],2,FALSE)</f>
        <v>Canada</v>
      </c>
      <c r="L1154" t="s">
        <v>9</v>
      </c>
      <c r="M1154">
        <v>6</v>
      </c>
    </row>
    <row r="1155" spans="2:13" ht="15" customHeight="1">
      <c r="B1155" t="s">
        <v>3158</v>
      </c>
      <c r="C1155" s="1">
        <v>41057.950370370374</v>
      </c>
      <c r="D1155" s="4" t="s">
        <v>1319</v>
      </c>
      <c r="E1155">
        <v>200000</v>
      </c>
      <c r="F1155" t="s">
        <v>40</v>
      </c>
      <c r="G1155">
        <f>tblSalaries[[#This Row],[clean Salary (in local currency)]]*VLOOKUP(tblSalaries[[#This Row],[Currency]],tblXrate[],2,FALSE)</f>
        <v>3561.5833374885137</v>
      </c>
      <c r="H1155" t="s">
        <v>616</v>
      </c>
      <c r="I1155" t="s">
        <v>20</v>
      </c>
      <c r="J1155" t="s">
        <v>8</v>
      </c>
      <c r="K1155" t="str">
        <f>VLOOKUP(tblSalaries[[#This Row],[Where do you work]],tblCountries[[Actual]:[Mapping]],2,FALSE)</f>
        <v>India</v>
      </c>
      <c r="L1155" t="s">
        <v>25</v>
      </c>
      <c r="M1155">
        <v>6</v>
      </c>
    </row>
    <row r="1156" spans="2:13" ht="15" customHeight="1">
      <c r="B1156" t="s">
        <v>3159</v>
      </c>
      <c r="C1156" s="1">
        <v>41057.950868055559</v>
      </c>
      <c r="D1156" s="4" t="s">
        <v>1320</v>
      </c>
      <c r="E1156">
        <v>450000</v>
      </c>
      <c r="F1156" t="s">
        <v>40</v>
      </c>
      <c r="G1156">
        <f>tblSalaries[[#This Row],[clean Salary (in local currency)]]*VLOOKUP(tblSalaries[[#This Row],[Currency]],tblXrate[],2,FALSE)</f>
        <v>8013.5625093491553</v>
      </c>
      <c r="H1156" t="s">
        <v>629</v>
      </c>
      <c r="I1156" t="s">
        <v>52</v>
      </c>
      <c r="J1156" t="s">
        <v>8</v>
      </c>
      <c r="K1156" t="str">
        <f>VLOOKUP(tblSalaries[[#This Row],[Where do you work]],tblCountries[[Actual]:[Mapping]],2,FALSE)</f>
        <v>India</v>
      </c>
      <c r="L1156" t="s">
        <v>9</v>
      </c>
      <c r="M1156">
        <v>21</v>
      </c>
    </row>
    <row r="1157" spans="2:13" ht="15" customHeight="1">
      <c r="B1157" t="s">
        <v>3160</v>
      </c>
      <c r="C1157" s="1">
        <v>41057.951979166668</v>
      </c>
      <c r="D1157" s="4">
        <v>28000</v>
      </c>
      <c r="E1157">
        <v>28000</v>
      </c>
      <c r="F1157" t="s">
        <v>6</v>
      </c>
      <c r="G1157">
        <f>tblSalaries[[#This Row],[clean Salary (in local currency)]]*VLOOKUP(tblSalaries[[#This Row],[Currency]],tblXrate[],2,FALSE)</f>
        <v>28000</v>
      </c>
      <c r="H1157" t="s">
        <v>1321</v>
      </c>
      <c r="I1157" t="s">
        <v>52</v>
      </c>
      <c r="J1157" t="s">
        <v>75</v>
      </c>
      <c r="K1157" t="str">
        <f>VLOOKUP(tblSalaries[[#This Row],[Where do you work]],tblCountries[[Actual]:[Mapping]],2,FALSE)</f>
        <v>Poland</v>
      </c>
      <c r="L1157" t="s">
        <v>9</v>
      </c>
      <c r="M1157">
        <v>5</v>
      </c>
    </row>
    <row r="1158" spans="2:13" ht="15" customHeight="1">
      <c r="B1158" t="s">
        <v>3161</v>
      </c>
      <c r="C1158" s="1">
        <v>41057.95239583333</v>
      </c>
      <c r="D1158" s="4">
        <v>31763</v>
      </c>
      <c r="E1158">
        <v>31763</v>
      </c>
      <c r="F1158" t="s">
        <v>69</v>
      </c>
      <c r="G1158">
        <f>tblSalaries[[#This Row],[clean Salary (in local currency)]]*VLOOKUP(tblSalaries[[#This Row],[Currency]],tblXrate[],2,FALSE)</f>
        <v>50064.150455673145</v>
      </c>
      <c r="H1158" t="s">
        <v>1322</v>
      </c>
      <c r="I1158" t="s">
        <v>20</v>
      </c>
      <c r="J1158" t="s">
        <v>71</v>
      </c>
      <c r="K1158" t="str">
        <f>VLOOKUP(tblSalaries[[#This Row],[Where do you work]],tblCountries[[Actual]:[Mapping]],2,FALSE)</f>
        <v>UK</v>
      </c>
      <c r="L1158" t="s">
        <v>18</v>
      </c>
      <c r="M1158">
        <v>2</v>
      </c>
    </row>
    <row r="1159" spans="2:13" ht="15" customHeight="1">
      <c r="B1159" t="s">
        <v>3162</v>
      </c>
      <c r="C1159" s="1">
        <v>41057.952997685185</v>
      </c>
      <c r="D1159" s="4" t="s">
        <v>1323</v>
      </c>
      <c r="E1159">
        <v>32000</v>
      </c>
      <c r="F1159" t="s">
        <v>69</v>
      </c>
      <c r="G1159">
        <f>tblSalaries[[#This Row],[clean Salary (in local currency)]]*VLOOKUP(tblSalaries[[#This Row],[Currency]],tblXrate[],2,FALSE)</f>
        <v>50437.70470615309</v>
      </c>
      <c r="H1159" t="s">
        <v>1324</v>
      </c>
      <c r="I1159" t="s">
        <v>20</v>
      </c>
      <c r="J1159" t="s">
        <v>88</v>
      </c>
      <c r="K1159" t="str">
        <f>VLOOKUP(tblSalaries[[#This Row],[Where do you work]],tblCountries[[Actual]:[Mapping]],2,FALSE)</f>
        <v>Canada</v>
      </c>
      <c r="L1159" t="s">
        <v>9</v>
      </c>
      <c r="M1159">
        <v>9</v>
      </c>
    </row>
    <row r="1160" spans="2:13" ht="15" customHeight="1">
      <c r="B1160" t="s">
        <v>3163</v>
      </c>
      <c r="C1160" s="1">
        <v>41057.953506944446</v>
      </c>
      <c r="D1160" s="4">
        <v>27840</v>
      </c>
      <c r="E1160">
        <v>27840</v>
      </c>
      <c r="F1160" t="s">
        <v>6</v>
      </c>
      <c r="G1160">
        <f>tblSalaries[[#This Row],[clean Salary (in local currency)]]*VLOOKUP(tblSalaries[[#This Row],[Currency]],tblXrate[],2,FALSE)</f>
        <v>27840</v>
      </c>
      <c r="H1160" t="s">
        <v>1325</v>
      </c>
      <c r="I1160" t="s">
        <v>20</v>
      </c>
      <c r="J1160" t="s">
        <v>15</v>
      </c>
      <c r="K1160" t="str">
        <f>VLOOKUP(tblSalaries[[#This Row],[Where do you work]],tblCountries[[Actual]:[Mapping]],2,FALSE)</f>
        <v>USA</v>
      </c>
      <c r="L1160" t="s">
        <v>18</v>
      </c>
      <c r="M1160">
        <v>1</v>
      </c>
    </row>
    <row r="1161" spans="2:13" ht="15" customHeight="1">
      <c r="B1161" t="s">
        <v>3164</v>
      </c>
      <c r="C1161" s="1">
        <v>41057.954444444447</v>
      </c>
      <c r="D1161" s="4" t="s">
        <v>1326</v>
      </c>
      <c r="E1161">
        <v>350000</v>
      </c>
      <c r="F1161" t="s">
        <v>40</v>
      </c>
      <c r="G1161">
        <f>tblSalaries[[#This Row],[clean Salary (in local currency)]]*VLOOKUP(tblSalaries[[#This Row],[Currency]],tblXrate[],2,FALSE)</f>
        <v>6232.7708406048987</v>
      </c>
      <c r="H1161" t="s">
        <v>1327</v>
      </c>
      <c r="I1161" t="s">
        <v>310</v>
      </c>
      <c r="J1161" t="s">
        <v>8</v>
      </c>
      <c r="K1161" t="str">
        <f>VLOOKUP(tblSalaries[[#This Row],[Where do you work]],tblCountries[[Actual]:[Mapping]],2,FALSE)</f>
        <v>India</v>
      </c>
      <c r="L1161" t="s">
        <v>18</v>
      </c>
      <c r="M1161">
        <v>1.5</v>
      </c>
    </row>
    <row r="1162" spans="2:13" ht="15" customHeight="1">
      <c r="B1162" t="s">
        <v>3165</v>
      </c>
      <c r="C1162" s="1">
        <v>41057.955324074072</v>
      </c>
      <c r="D1162" s="4" t="s">
        <v>1328</v>
      </c>
      <c r="E1162">
        <v>50000</v>
      </c>
      <c r="F1162" t="s">
        <v>6</v>
      </c>
      <c r="G1162">
        <f>tblSalaries[[#This Row],[clean Salary (in local currency)]]*VLOOKUP(tblSalaries[[#This Row],[Currency]],tblXrate[],2,FALSE)</f>
        <v>50000</v>
      </c>
      <c r="H1162" t="s">
        <v>279</v>
      </c>
      <c r="I1162" t="s">
        <v>279</v>
      </c>
      <c r="J1162" t="s">
        <v>171</v>
      </c>
      <c r="K1162" t="str">
        <f>VLOOKUP(tblSalaries[[#This Row],[Where do you work]],tblCountries[[Actual]:[Mapping]],2,FALSE)</f>
        <v>Singapore</v>
      </c>
      <c r="L1162" t="s">
        <v>18</v>
      </c>
      <c r="M1162">
        <v>25</v>
      </c>
    </row>
    <row r="1163" spans="2:13" ht="15" customHeight="1">
      <c r="B1163" t="s">
        <v>3166</v>
      </c>
      <c r="C1163" s="1">
        <v>41057.957233796296</v>
      </c>
      <c r="D1163" s="4">
        <v>48000</v>
      </c>
      <c r="E1163">
        <v>48000</v>
      </c>
      <c r="F1163" t="s">
        <v>6</v>
      </c>
      <c r="G1163">
        <f>tblSalaries[[#This Row],[clean Salary (in local currency)]]*VLOOKUP(tblSalaries[[#This Row],[Currency]],tblXrate[],2,FALSE)</f>
        <v>48000</v>
      </c>
      <c r="H1163" t="s">
        <v>1329</v>
      </c>
      <c r="I1163" t="s">
        <v>488</v>
      </c>
      <c r="J1163" t="s">
        <v>1011</v>
      </c>
      <c r="K1163" t="str">
        <f>VLOOKUP(tblSalaries[[#This Row],[Where do you work]],tblCountries[[Actual]:[Mapping]],2,FALSE)</f>
        <v>Qatar</v>
      </c>
      <c r="L1163" t="s">
        <v>18</v>
      </c>
      <c r="M1163">
        <v>10</v>
      </c>
    </row>
    <row r="1164" spans="2:13" ht="15" customHeight="1">
      <c r="B1164" t="s">
        <v>3167</v>
      </c>
      <c r="C1164" s="1">
        <v>41057.957824074074</v>
      </c>
      <c r="D1164" s="4">
        <v>2000</v>
      </c>
      <c r="E1164">
        <v>24000</v>
      </c>
      <c r="F1164" t="s">
        <v>6</v>
      </c>
      <c r="G1164">
        <f>tblSalaries[[#This Row],[clean Salary (in local currency)]]*VLOOKUP(tblSalaries[[#This Row],[Currency]],tblXrate[],2,FALSE)</f>
        <v>24000</v>
      </c>
      <c r="H1164" t="s">
        <v>1330</v>
      </c>
      <c r="I1164" t="s">
        <v>52</v>
      </c>
      <c r="J1164" t="s">
        <v>1331</v>
      </c>
      <c r="K1164" t="str">
        <f>VLOOKUP(tblSalaries[[#This Row],[Where do you work]],tblCountries[[Actual]:[Mapping]],2,FALSE)</f>
        <v>Argentina</v>
      </c>
      <c r="L1164" t="s">
        <v>9</v>
      </c>
      <c r="M1164">
        <v>21</v>
      </c>
    </row>
    <row r="1165" spans="2:13" ht="15" customHeight="1">
      <c r="B1165" t="s">
        <v>3168</v>
      </c>
      <c r="C1165" s="1">
        <v>41057.959814814814</v>
      </c>
      <c r="D1165" s="4">
        <v>75000</v>
      </c>
      <c r="E1165">
        <v>75000</v>
      </c>
      <c r="F1165" t="s">
        <v>6</v>
      </c>
      <c r="G1165">
        <f>tblSalaries[[#This Row],[clean Salary (in local currency)]]*VLOOKUP(tblSalaries[[#This Row],[Currency]],tblXrate[],2,FALSE)</f>
        <v>75000</v>
      </c>
      <c r="H1165" t="s">
        <v>14</v>
      </c>
      <c r="I1165" t="s">
        <v>20</v>
      </c>
      <c r="J1165" t="s">
        <v>15</v>
      </c>
      <c r="K1165" t="str">
        <f>VLOOKUP(tblSalaries[[#This Row],[Where do you work]],tblCountries[[Actual]:[Mapping]],2,FALSE)</f>
        <v>USA</v>
      </c>
      <c r="L1165" t="s">
        <v>9</v>
      </c>
      <c r="M1165">
        <v>12</v>
      </c>
    </row>
    <row r="1166" spans="2:13" ht="15" customHeight="1">
      <c r="B1166" t="s">
        <v>3169</v>
      </c>
      <c r="C1166" s="1">
        <v>41057.961840277778</v>
      </c>
      <c r="D1166" s="4" t="s">
        <v>1332</v>
      </c>
      <c r="E1166">
        <v>216000</v>
      </c>
      <c r="F1166" t="s">
        <v>358</v>
      </c>
      <c r="G1166">
        <f>tblSalaries[[#This Row],[clean Salary (in local currency)]]*VLOOKUP(tblSalaries[[#This Row],[Currency]],tblXrate[],2,FALSE)</f>
        <v>58799.349940520107</v>
      </c>
      <c r="H1166" t="s">
        <v>466</v>
      </c>
      <c r="I1166" t="s">
        <v>20</v>
      </c>
      <c r="J1166" t="s">
        <v>359</v>
      </c>
      <c r="K1166" t="str">
        <f>VLOOKUP(tblSalaries[[#This Row],[Where do you work]],tblCountries[[Actual]:[Mapping]],2,FALSE)</f>
        <v>Dubai</v>
      </c>
      <c r="L1166" t="s">
        <v>9</v>
      </c>
      <c r="M1166">
        <v>2</v>
      </c>
    </row>
    <row r="1167" spans="2:13" ht="15" customHeight="1">
      <c r="B1167" t="s">
        <v>3170</v>
      </c>
      <c r="C1167" s="1">
        <v>41057.962754629632</v>
      </c>
      <c r="D1167" s="4" t="s">
        <v>1333</v>
      </c>
      <c r="E1167">
        <v>2000000</v>
      </c>
      <c r="F1167" t="s">
        <v>32</v>
      </c>
      <c r="G1167">
        <f>tblSalaries[[#This Row],[clean Salary (in local currency)]]*VLOOKUP(tblSalaries[[#This Row],[Currency]],tblXrate[],2,FALSE)</f>
        <v>21228.177433598263</v>
      </c>
      <c r="H1167" t="s">
        <v>1334</v>
      </c>
      <c r="I1167" t="s">
        <v>356</v>
      </c>
      <c r="J1167" t="s">
        <v>17</v>
      </c>
      <c r="K1167" t="str">
        <f>VLOOKUP(tblSalaries[[#This Row],[Where do you work]],tblCountries[[Actual]:[Mapping]],2,FALSE)</f>
        <v>Pakistan</v>
      </c>
      <c r="L1167" t="s">
        <v>13</v>
      </c>
      <c r="M1167">
        <v>8</v>
      </c>
    </row>
    <row r="1168" spans="2:13" ht="15" customHeight="1">
      <c r="B1168" t="s">
        <v>3171</v>
      </c>
      <c r="C1168" s="1">
        <v>41057.967638888891</v>
      </c>
      <c r="D1168" s="4">
        <v>60000</v>
      </c>
      <c r="E1168">
        <v>60000</v>
      </c>
      <c r="F1168" t="s">
        <v>6</v>
      </c>
      <c r="G1168">
        <f>tblSalaries[[#This Row],[clean Salary (in local currency)]]*VLOOKUP(tblSalaries[[#This Row],[Currency]],tblXrate[],2,FALSE)</f>
        <v>60000</v>
      </c>
      <c r="H1168" t="s">
        <v>1335</v>
      </c>
      <c r="I1168" t="s">
        <v>52</v>
      </c>
      <c r="J1168" t="s">
        <v>15</v>
      </c>
      <c r="K1168" t="str">
        <f>VLOOKUP(tblSalaries[[#This Row],[Where do you work]],tblCountries[[Actual]:[Mapping]],2,FALSE)</f>
        <v>USA</v>
      </c>
      <c r="L1168" t="s">
        <v>18</v>
      </c>
      <c r="M1168">
        <v>10</v>
      </c>
    </row>
    <row r="1169" spans="2:13" ht="15" customHeight="1">
      <c r="B1169" t="s">
        <v>3172</v>
      </c>
      <c r="C1169" s="1">
        <v>41057.967719907407</v>
      </c>
      <c r="D1169" s="4" t="s">
        <v>1336</v>
      </c>
      <c r="E1169">
        <v>60000</v>
      </c>
      <c r="F1169" t="s">
        <v>1337</v>
      </c>
      <c r="G1169">
        <f>tblSalaries[[#This Row],[clean Salary (in local currency)]]*VLOOKUP(tblSalaries[[#This Row],[Currency]],tblXrate[],2,FALSE)</f>
        <v>18018.883790212141</v>
      </c>
      <c r="H1169" t="s">
        <v>108</v>
      </c>
      <c r="I1169" t="s">
        <v>20</v>
      </c>
      <c r="J1169" t="s">
        <v>75</v>
      </c>
      <c r="K1169" t="str">
        <f>VLOOKUP(tblSalaries[[#This Row],[Where do you work]],tblCountries[[Actual]:[Mapping]],2,FALSE)</f>
        <v>Poland</v>
      </c>
      <c r="L1169" t="s">
        <v>13</v>
      </c>
      <c r="M1169">
        <v>10</v>
      </c>
    </row>
    <row r="1170" spans="2:13" ht="15" customHeight="1">
      <c r="B1170" t="s">
        <v>3173</v>
      </c>
      <c r="C1170" s="1">
        <v>41057.970277777778</v>
      </c>
      <c r="D1170" s="4" t="s">
        <v>1338</v>
      </c>
      <c r="E1170">
        <v>7200</v>
      </c>
      <c r="F1170" t="s">
        <v>6</v>
      </c>
      <c r="G1170">
        <f>tblSalaries[[#This Row],[clean Salary (in local currency)]]*VLOOKUP(tblSalaries[[#This Row],[Currency]],tblXrate[],2,FALSE)</f>
        <v>7200</v>
      </c>
      <c r="H1170" t="s">
        <v>1339</v>
      </c>
      <c r="I1170" t="s">
        <v>3999</v>
      </c>
      <c r="J1170" t="s">
        <v>8</v>
      </c>
      <c r="K1170" t="str">
        <f>VLOOKUP(tblSalaries[[#This Row],[Where do you work]],tblCountries[[Actual]:[Mapping]],2,FALSE)</f>
        <v>India</v>
      </c>
      <c r="L1170" t="s">
        <v>9</v>
      </c>
      <c r="M1170">
        <v>7</v>
      </c>
    </row>
    <row r="1171" spans="2:13" ht="15" customHeight="1">
      <c r="B1171" t="s">
        <v>3174</v>
      </c>
      <c r="C1171" s="1">
        <v>41057.970497685186</v>
      </c>
      <c r="D1171" s="4">
        <v>56000</v>
      </c>
      <c r="E1171">
        <v>56000</v>
      </c>
      <c r="F1171" t="s">
        <v>6</v>
      </c>
      <c r="G1171">
        <f>tblSalaries[[#This Row],[clean Salary (in local currency)]]*VLOOKUP(tblSalaries[[#This Row],[Currency]],tblXrate[],2,FALSE)</f>
        <v>56000</v>
      </c>
      <c r="H1171" t="s">
        <v>20</v>
      </c>
      <c r="I1171" t="s">
        <v>20</v>
      </c>
      <c r="J1171" t="s">
        <v>15</v>
      </c>
      <c r="K1171" t="str">
        <f>VLOOKUP(tblSalaries[[#This Row],[Where do you work]],tblCountries[[Actual]:[Mapping]],2,FALSE)</f>
        <v>USA</v>
      </c>
      <c r="L1171" t="s">
        <v>25</v>
      </c>
      <c r="M1171">
        <v>2</v>
      </c>
    </row>
    <row r="1172" spans="2:13" ht="15" customHeight="1">
      <c r="B1172" t="s">
        <v>3175</v>
      </c>
      <c r="C1172" s="1">
        <v>41057.971944444442</v>
      </c>
      <c r="D1172" s="4" t="s">
        <v>1340</v>
      </c>
      <c r="E1172">
        <v>540000</v>
      </c>
      <c r="F1172" t="s">
        <v>40</v>
      </c>
      <c r="G1172">
        <f>tblSalaries[[#This Row],[clean Salary (in local currency)]]*VLOOKUP(tblSalaries[[#This Row],[Currency]],tblXrate[],2,FALSE)</f>
        <v>9616.275011218986</v>
      </c>
      <c r="H1172" t="s">
        <v>1341</v>
      </c>
      <c r="I1172" t="s">
        <v>20</v>
      </c>
      <c r="J1172" t="s">
        <v>8</v>
      </c>
      <c r="K1172" t="str">
        <f>VLOOKUP(tblSalaries[[#This Row],[Where do you work]],tblCountries[[Actual]:[Mapping]],2,FALSE)</f>
        <v>India</v>
      </c>
      <c r="L1172" t="s">
        <v>9</v>
      </c>
      <c r="M1172">
        <v>7.9</v>
      </c>
    </row>
    <row r="1173" spans="2:13" ht="15" customHeight="1">
      <c r="B1173" t="s">
        <v>3176</v>
      </c>
      <c r="C1173" s="1">
        <v>41057.972939814812</v>
      </c>
      <c r="D1173" s="4" t="s">
        <v>1342</v>
      </c>
      <c r="E1173">
        <v>4300000</v>
      </c>
      <c r="F1173" t="s">
        <v>1343</v>
      </c>
      <c r="G1173">
        <f>tblSalaries[[#This Row],[clean Salary (in local currency)]]*VLOOKUP(tblSalaries[[#This Row],[Currency]],tblXrate[],2,FALSE)</f>
        <v>51497.005988023957</v>
      </c>
      <c r="H1173" t="s">
        <v>642</v>
      </c>
      <c r="I1173" t="s">
        <v>52</v>
      </c>
      <c r="J1173" t="s">
        <v>1344</v>
      </c>
      <c r="K1173" t="str">
        <f>VLOOKUP(tblSalaries[[#This Row],[Where do you work]],tblCountries[[Actual]:[Mapping]],2,FALSE)</f>
        <v>Kenya</v>
      </c>
      <c r="L1173" t="s">
        <v>9</v>
      </c>
      <c r="M1173">
        <v>9</v>
      </c>
    </row>
    <row r="1174" spans="2:13" ht="15" customHeight="1">
      <c r="B1174" t="s">
        <v>3177</v>
      </c>
      <c r="C1174" s="1">
        <v>41057.976064814815</v>
      </c>
      <c r="D1174" s="4" t="s">
        <v>1345</v>
      </c>
      <c r="E1174">
        <v>82000</v>
      </c>
      <c r="F1174" t="s">
        <v>22</v>
      </c>
      <c r="G1174">
        <f>tblSalaries[[#This Row],[clean Salary (in local currency)]]*VLOOKUP(tblSalaries[[#This Row],[Currency]],tblXrate[],2,FALSE)</f>
        <v>104172.75399731184</v>
      </c>
      <c r="H1174" t="s">
        <v>1346</v>
      </c>
      <c r="I1174" t="s">
        <v>52</v>
      </c>
      <c r="J1174" t="s">
        <v>628</v>
      </c>
      <c r="K1174" t="str">
        <f>VLOOKUP(tblSalaries[[#This Row],[Where do you work]],tblCountries[[Actual]:[Mapping]],2,FALSE)</f>
        <v>Netherlands</v>
      </c>
      <c r="L1174" t="s">
        <v>13</v>
      </c>
      <c r="M1174">
        <v>25</v>
      </c>
    </row>
    <row r="1175" spans="2:13" ht="15" customHeight="1">
      <c r="B1175" t="s">
        <v>3178</v>
      </c>
      <c r="C1175" s="1">
        <v>41057.981932870367</v>
      </c>
      <c r="D1175" s="4">
        <v>88000</v>
      </c>
      <c r="E1175">
        <v>88000</v>
      </c>
      <c r="F1175" t="s">
        <v>6</v>
      </c>
      <c r="G1175">
        <f>tblSalaries[[#This Row],[clean Salary (in local currency)]]*VLOOKUP(tblSalaries[[#This Row],[Currency]],tblXrate[],2,FALSE)</f>
        <v>88000</v>
      </c>
      <c r="H1175" t="s">
        <v>1347</v>
      </c>
      <c r="I1175" t="s">
        <v>52</v>
      </c>
      <c r="J1175" t="s">
        <v>15</v>
      </c>
      <c r="K1175" t="str">
        <f>VLOOKUP(tblSalaries[[#This Row],[Where do you work]],tblCountries[[Actual]:[Mapping]],2,FALSE)</f>
        <v>USA</v>
      </c>
      <c r="L1175" t="s">
        <v>9</v>
      </c>
      <c r="M1175">
        <v>2</v>
      </c>
    </row>
    <row r="1176" spans="2:13" ht="15" customHeight="1">
      <c r="B1176" t="s">
        <v>3179</v>
      </c>
      <c r="C1176" s="1">
        <v>41057.985324074078</v>
      </c>
      <c r="D1176" s="4">
        <v>80000</v>
      </c>
      <c r="E1176">
        <v>80000</v>
      </c>
      <c r="F1176" t="s">
        <v>6</v>
      </c>
      <c r="G1176">
        <f>tblSalaries[[#This Row],[clean Salary (in local currency)]]*VLOOKUP(tblSalaries[[#This Row],[Currency]],tblXrate[],2,FALSE)</f>
        <v>80000</v>
      </c>
      <c r="H1176" t="s">
        <v>1348</v>
      </c>
      <c r="I1176" t="s">
        <v>20</v>
      </c>
      <c r="J1176" t="s">
        <v>15</v>
      </c>
      <c r="K1176" t="str">
        <f>VLOOKUP(tblSalaries[[#This Row],[Where do you work]],tblCountries[[Actual]:[Mapping]],2,FALSE)</f>
        <v>USA</v>
      </c>
      <c r="L1176" t="s">
        <v>9</v>
      </c>
      <c r="M1176">
        <v>6</v>
      </c>
    </row>
    <row r="1177" spans="2:13" ht="15" customHeight="1">
      <c r="B1177" t="s">
        <v>3180</v>
      </c>
      <c r="C1177" s="1">
        <v>41057.991087962961</v>
      </c>
      <c r="D1177" s="4">
        <v>19000</v>
      </c>
      <c r="E1177">
        <v>19000</v>
      </c>
      <c r="F1177" t="s">
        <v>6</v>
      </c>
      <c r="G1177">
        <f>tblSalaries[[#This Row],[clean Salary (in local currency)]]*VLOOKUP(tblSalaries[[#This Row],[Currency]],tblXrate[],2,FALSE)</f>
        <v>19000</v>
      </c>
      <c r="H1177" t="s">
        <v>310</v>
      </c>
      <c r="I1177" t="s">
        <v>310</v>
      </c>
      <c r="J1177" t="s">
        <v>71</v>
      </c>
      <c r="K1177" t="str">
        <f>VLOOKUP(tblSalaries[[#This Row],[Where do you work]],tblCountries[[Actual]:[Mapping]],2,FALSE)</f>
        <v>UK</v>
      </c>
      <c r="L1177" t="s">
        <v>9</v>
      </c>
      <c r="M1177">
        <v>20</v>
      </c>
    </row>
    <row r="1178" spans="2:13" ht="15" customHeight="1">
      <c r="B1178" t="s">
        <v>3181</v>
      </c>
      <c r="C1178" s="1">
        <v>41057.99417824074</v>
      </c>
      <c r="D1178" s="4" t="s">
        <v>1349</v>
      </c>
      <c r="E1178">
        <v>15000</v>
      </c>
      <c r="F1178" t="s">
        <v>22</v>
      </c>
      <c r="G1178">
        <f>tblSalaries[[#This Row],[clean Salary (in local currency)]]*VLOOKUP(tblSalaries[[#This Row],[Currency]],tblXrate[],2,FALSE)</f>
        <v>19055.991584874118</v>
      </c>
      <c r="H1178" t="s">
        <v>1350</v>
      </c>
      <c r="I1178" t="s">
        <v>356</v>
      </c>
      <c r="J1178" t="s">
        <v>1351</v>
      </c>
      <c r="K1178" t="str">
        <f>VLOOKUP(tblSalaries[[#This Row],[Where do you work]],tblCountries[[Actual]:[Mapping]],2,FALSE)</f>
        <v>Italy</v>
      </c>
      <c r="L1178" t="s">
        <v>9</v>
      </c>
      <c r="M1178">
        <v>3</v>
      </c>
    </row>
    <row r="1179" spans="2:13" ht="15" customHeight="1">
      <c r="B1179" t="s">
        <v>3182</v>
      </c>
      <c r="C1179" s="1">
        <v>41057.994930555556</v>
      </c>
      <c r="D1179" s="4">
        <v>480000</v>
      </c>
      <c r="E1179">
        <v>480000</v>
      </c>
      <c r="F1179" t="s">
        <v>40</v>
      </c>
      <c r="G1179">
        <f>tblSalaries[[#This Row],[clean Salary (in local currency)]]*VLOOKUP(tblSalaries[[#This Row],[Currency]],tblXrate[],2,FALSE)</f>
        <v>8547.8000099724322</v>
      </c>
      <c r="H1179" t="s">
        <v>1352</v>
      </c>
      <c r="I1179" t="s">
        <v>356</v>
      </c>
      <c r="J1179" t="s">
        <v>8</v>
      </c>
      <c r="K1179" t="str">
        <f>VLOOKUP(tblSalaries[[#This Row],[Where do you work]],tblCountries[[Actual]:[Mapping]],2,FALSE)</f>
        <v>India</v>
      </c>
      <c r="L1179" t="s">
        <v>13</v>
      </c>
      <c r="M1179">
        <v>15</v>
      </c>
    </row>
    <row r="1180" spans="2:13" ht="15" customHeight="1">
      <c r="B1180" t="s">
        <v>3183</v>
      </c>
      <c r="C1180" s="1">
        <v>41057.995162037034</v>
      </c>
      <c r="D1180" s="4">
        <v>1100000</v>
      </c>
      <c r="E1180">
        <v>1100000</v>
      </c>
      <c r="F1180" t="s">
        <v>40</v>
      </c>
      <c r="G1180">
        <f>tblSalaries[[#This Row],[clean Salary (in local currency)]]*VLOOKUP(tblSalaries[[#This Row],[Currency]],tblXrate[],2,FALSE)</f>
        <v>19588.708356186824</v>
      </c>
      <c r="H1180" t="s">
        <v>1353</v>
      </c>
      <c r="I1180" t="s">
        <v>356</v>
      </c>
      <c r="J1180" t="s">
        <v>8</v>
      </c>
      <c r="K1180" t="str">
        <f>VLOOKUP(tblSalaries[[#This Row],[Where do you work]],tblCountries[[Actual]:[Mapping]],2,FALSE)</f>
        <v>India</v>
      </c>
      <c r="L1180" t="s">
        <v>13</v>
      </c>
      <c r="M1180">
        <v>13</v>
      </c>
    </row>
    <row r="1181" spans="2:13" ht="15" customHeight="1">
      <c r="B1181" t="s">
        <v>3184</v>
      </c>
      <c r="C1181" s="1">
        <v>41058.000243055554</v>
      </c>
      <c r="D1181" s="4">
        <v>61000</v>
      </c>
      <c r="E1181">
        <v>61000</v>
      </c>
      <c r="F1181" t="s">
        <v>6</v>
      </c>
      <c r="G1181">
        <f>tblSalaries[[#This Row],[clean Salary (in local currency)]]*VLOOKUP(tblSalaries[[#This Row],[Currency]],tblXrate[],2,FALSE)</f>
        <v>61000</v>
      </c>
      <c r="H1181" t="s">
        <v>14</v>
      </c>
      <c r="I1181" t="s">
        <v>20</v>
      </c>
      <c r="J1181" t="s">
        <v>15</v>
      </c>
      <c r="K1181" t="str">
        <f>VLOOKUP(tblSalaries[[#This Row],[Where do you work]],tblCountries[[Actual]:[Mapping]],2,FALSE)</f>
        <v>USA</v>
      </c>
      <c r="L1181" t="s">
        <v>9</v>
      </c>
      <c r="M1181">
        <v>1.5</v>
      </c>
    </row>
    <row r="1182" spans="2:13" ht="15" customHeight="1">
      <c r="B1182" t="s">
        <v>3185</v>
      </c>
      <c r="C1182" s="1">
        <v>41058.002581018518</v>
      </c>
      <c r="D1182" s="4">
        <v>34000</v>
      </c>
      <c r="E1182">
        <v>34000</v>
      </c>
      <c r="F1182" t="s">
        <v>69</v>
      </c>
      <c r="G1182">
        <f>tblSalaries[[#This Row],[clean Salary (in local currency)]]*VLOOKUP(tblSalaries[[#This Row],[Currency]],tblXrate[],2,FALSE)</f>
        <v>53590.061250287661</v>
      </c>
      <c r="H1182" t="s">
        <v>1354</v>
      </c>
      <c r="I1182" t="s">
        <v>310</v>
      </c>
      <c r="J1182" t="s">
        <v>71</v>
      </c>
      <c r="K1182" t="str">
        <f>VLOOKUP(tblSalaries[[#This Row],[Where do you work]],tblCountries[[Actual]:[Mapping]],2,FALSE)</f>
        <v>UK</v>
      </c>
      <c r="L1182" t="s">
        <v>13</v>
      </c>
      <c r="M1182">
        <v>10</v>
      </c>
    </row>
    <row r="1183" spans="2:13" ht="15" customHeight="1">
      <c r="B1183" t="s">
        <v>3186</v>
      </c>
      <c r="C1183" s="1">
        <v>41058.002638888887</v>
      </c>
      <c r="D1183" s="4">
        <v>34000</v>
      </c>
      <c r="E1183">
        <v>34000</v>
      </c>
      <c r="F1183" t="s">
        <v>69</v>
      </c>
      <c r="G1183">
        <f>tblSalaries[[#This Row],[clean Salary (in local currency)]]*VLOOKUP(tblSalaries[[#This Row],[Currency]],tblXrate[],2,FALSE)</f>
        <v>53590.061250287661</v>
      </c>
      <c r="H1183" t="s">
        <v>1354</v>
      </c>
      <c r="I1183" t="s">
        <v>310</v>
      </c>
      <c r="J1183" t="s">
        <v>71</v>
      </c>
      <c r="K1183" t="str">
        <f>VLOOKUP(tblSalaries[[#This Row],[Where do you work]],tblCountries[[Actual]:[Mapping]],2,FALSE)</f>
        <v>UK</v>
      </c>
      <c r="L1183" t="s">
        <v>13</v>
      </c>
      <c r="M1183">
        <v>10</v>
      </c>
    </row>
    <row r="1184" spans="2:13" ht="15" customHeight="1">
      <c r="B1184" t="s">
        <v>3187</v>
      </c>
      <c r="C1184" s="1">
        <v>41058.004861111112</v>
      </c>
      <c r="D1184" s="4">
        <v>250000</v>
      </c>
      <c r="E1184">
        <v>250000</v>
      </c>
      <c r="F1184" t="s">
        <v>40</v>
      </c>
      <c r="G1184">
        <f>tblSalaries[[#This Row],[clean Salary (in local currency)]]*VLOOKUP(tblSalaries[[#This Row],[Currency]],tblXrate[],2,FALSE)</f>
        <v>4451.9791718606421</v>
      </c>
      <c r="H1184" t="s">
        <v>1355</v>
      </c>
      <c r="I1184" t="s">
        <v>52</v>
      </c>
      <c r="J1184" t="s">
        <v>8</v>
      </c>
      <c r="K1184" t="str">
        <f>VLOOKUP(tblSalaries[[#This Row],[Where do you work]],tblCountries[[Actual]:[Mapping]],2,FALSE)</f>
        <v>India</v>
      </c>
      <c r="L1184" t="s">
        <v>9</v>
      </c>
      <c r="M1184">
        <v>1</v>
      </c>
    </row>
    <row r="1185" spans="2:13" ht="15" customHeight="1">
      <c r="B1185" t="s">
        <v>3188</v>
      </c>
      <c r="C1185" s="1">
        <v>41058.005277777775</v>
      </c>
      <c r="D1185" s="4">
        <v>20000</v>
      </c>
      <c r="E1185">
        <v>20000</v>
      </c>
      <c r="F1185" t="s">
        <v>22</v>
      </c>
      <c r="G1185">
        <f>tblSalaries[[#This Row],[clean Salary (in local currency)]]*VLOOKUP(tblSalaries[[#This Row],[Currency]],tblXrate[],2,FALSE)</f>
        <v>25407.988779832154</v>
      </c>
      <c r="H1185" t="s">
        <v>1356</v>
      </c>
      <c r="I1185" t="s">
        <v>52</v>
      </c>
      <c r="J1185" t="s">
        <v>1357</v>
      </c>
      <c r="K1185" t="str">
        <f>VLOOKUP(tblSalaries[[#This Row],[Where do you work]],tblCountries[[Actual]:[Mapping]],2,FALSE)</f>
        <v>Greece</v>
      </c>
      <c r="L1185" t="s">
        <v>25</v>
      </c>
      <c r="M1185">
        <v>12</v>
      </c>
    </row>
    <row r="1186" spans="2:13" ht="15" customHeight="1">
      <c r="B1186" t="s">
        <v>3189</v>
      </c>
      <c r="C1186" s="1">
        <v>41058.008599537039</v>
      </c>
      <c r="D1186" s="4">
        <v>23000</v>
      </c>
      <c r="E1186">
        <v>23000</v>
      </c>
      <c r="F1186" t="s">
        <v>6</v>
      </c>
      <c r="G1186">
        <f>tblSalaries[[#This Row],[clean Salary (in local currency)]]*VLOOKUP(tblSalaries[[#This Row],[Currency]],tblXrate[],2,FALSE)</f>
        <v>23000</v>
      </c>
      <c r="H1186" t="s">
        <v>1358</v>
      </c>
      <c r="I1186" t="s">
        <v>310</v>
      </c>
      <c r="J1186" t="s">
        <v>133</v>
      </c>
      <c r="K1186" t="str">
        <f>VLOOKUP(tblSalaries[[#This Row],[Where do you work]],tblCountries[[Actual]:[Mapping]],2,FALSE)</f>
        <v>Saudi Arabia</v>
      </c>
      <c r="L1186" t="s">
        <v>13</v>
      </c>
      <c r="M1186">
        <v>14</v>
      </c>
    </row>
    <row r="1187" spans="2:13" ht="15" customHeight="1">
      <c r="B1187" t="s">
        <v>3190</v>
      </c>
      <c r="C1187" s="1">
        <v>41058.011747685188</v>
      </c>
      <c r="D1187" s="4" t="s">
        <v>1263</v>
      </c>
      <c r="E1187">
        <v>900000</v>
      </c>
      <c r="F1187" t="s">
        <v>40</v>
      </c>
      <c r="G1187">
        <f>tblSalaries[[#This Row],[clean Salary (in local currency)]]*VLOOKUP(tblSalaries[[#This Row],[Currency]],tblXrate[],2,FALSE)</f>
        <v>16027.125018698311</v>
      </c>
      <c r="H1187" t="s">
        <v>1359</v>
      </c>
      <c r="I1187" t="s">
        <v>52</v>
      </c>
      <c r="J1187" t="s">
        <v>8</v>
      </c>
      <c r="K1187" t="str">
        <f>VLOOKUP(tblSalaries[[#This Row],[Where do you work]],tblCountries[[Actual]:[Mapping]],2,FALSE)</f>
        <v>India</v>
      </c>
      <c r="L1187" t="s">
        <v>25</v>
      </c>
      <c r="M1187">
        <v>13</v>
      </c>
    </row>
    <row r="1188" spans="2:13" ht="15" customHeight="1">
      <c r="B1188" t="s">
        <v>3191</v>
      </c>
      <c r="C1188" s="1">
        <v>41058.017812500002</v>
      </c>
      <c r="D1188" s="4">
        <v>60000</v>
      </c>
      <c r="E1188">
        <v>60000</v>
      </c>
      <c r="F1188" t="s">
        <v>6</v>
      </c>
      <c r="G1188">
        <f>tblSalaries[[#This Row],[clean Salary (in local currency)]]*VLOOKUP(tblSalaries[[#This Row],[Currency]],tblXrate[],2,FALSE)</f>
        <v>60000</v>
      </c>
      <c r="H1188" t="s">
        <v>1360</v>
      </c>
      <c r="I1188" t="s">
        <v>279</v>
      </c>
      <c r="J1188" t="s">
        <v>15</v>
      </c>
      <c r="K1188" t="str">
        <f>VLOOKUP(tblSalaries[[#This Row],[Where do you work]],tblCountries[[Actual]:[Mapping]],2,FALSE)</f>
        <v>USA</v>
      </c>
      <c r="L1188" t="s">
        <v>25</v>
      </c>
      <c r="M1188">
        <v>6</v>
      </c>
    </row>
    <row r="1189" spans="2:13" ht="15" customHeight="1">
      <c r="B1189" t="s">
        <v>3192</v>
      </c>
      <c r="C1189" s="1">
        <v>41058.017893518518</v>
      </c>
      <c r="D1189" s="4">
        <v>800</v>
      </c>
      <c r="E1189">
        <v>4800</v>
      </c>
      <c r="F1189" t="s">
        <v>6</v>
      </c>
      <c r="G1189">
        <f>tblSalaries[[#This Row],[clean Salary (in local currency)]]*VLOOKUP(tblSalaries[[#This Row],[Currency]],tblXrate[],2,FALSE)</f>
        <v>4800</v>
      </c>
      <c r="H1189" t="s">
        <v>14</v>
      </c>
      <c r="I1189" t="s">
        <v>20</v>
      </c>
      <c r="J1189" t="s">
        <v>8</v>
      </c>
      <c r="K1189" t="str">
        <f>VLOOKUP(tblSalaries[[#This Row],[Where do you work]],tblCountries[[Actual]:[Mapping]],2,FALSE)</f>
        <v>India</v>
      </c>
      <c r="L1189" t="s">
        <v>9</v>
      </c>
      <c r="M1189">
        <v>5</v>
      </c>
    </row>
    <row r="1190" spans="2:13" ht="15" customHeight="1">
      <c r="B1190" t="s">
        <v>3193</v>
      </c>
      <c r="C1190" s="1">
        <v>41058.01829861111</v>
      </c>
      <c r="D1190" s="4" t="s">
        <v>1361</v>
      </c>
      <c r="E1190">
        <v>625000</v>
      </c>
      <c r="F1190" t="s">
        <v>1362</v>
      </c>
      <c r="G1190">
        <f>tblSalaries[[#This Row],[clean Salary (in local currency)]]*VLOOKUP(tblSalaries[[#This Row],[Currency]],tblXrate[],2,FALSE)</f>
        <v>106815.148267971</v>
      </c>
      <c r="H1190" t="s">
        <v>1363</v>
      </c>
      <c r="I1190" t="s">
        <v>52</v>
      </c>
      <c r="J1190" t="s">
        <v>877</v>
      </c>
      <c r="K1190" t="str">
        <f>VLOOKUP(tblSalaries[[#This Row],[Where do you work]],tblCountries[[Actual]:[Mapping]],2,FALSE)</f>
        <v>Denmark</v>
      </c>
      <c r="L1190" t="s">
        <v>9</v>
      </c>
      <c r="M1190">
        <v>25</v>
      </c>
    </row>
    <row r="1191" spans="2:13" ht="15" customHeight="1">
      <c r="B1191" t="s">
        <v>3194</v>
      </c>
      <c r="C1191" s="1">
        <v>41058.019884259258</v>
      </c>
      <c r="D1191" s="4">
        <v>500000</v>
      </c>
      <c r="E1191">
        <v>500000</v>
      </c>
      <c r="F1191" t="s">
        <v>40</v>
      </c>
      <c r="G1191">
        <f>tblSalaries[[#This Row],[clean Salary (in local currency)]]*VLOOKUP(tblSalaries[[#This Row],[Currency]],tblXrate[],2,FALSE)</f>
        <v>8903.9583437212841</v>
      </c>
      <c r="H1191" t="s">
        <v>356</v>
      </c>
      <c r="I1191" t="s">
        <v>356</v>
      </c>
      <c r="J1191" t="s">
        <v>8</v>
      </c>
      <c r="K1191" t="str">
        <f>VLOOKUP(tblSalaries[[#This Row],[Where do you work]],tblCountries[[Actual]:[Mapping]],2,FALSE)</f>
        <v>India</v>
      </c>
      <c r="L1191" t="s">
        <v>18</v>
      </c>
      <c r="M1191">
        <v>3</v>
      </c>
    </row>
    <row r="1192" spans="2:13" ht="15" customHeight="1">
      <c r="B1192" t="s">
        <v>3195</v>
      </c>
      <c r="C1192" s="1">
        <v>41058.020509259259</v>
      </c>
      <c r="D1192" s="4">
        <v>60000</v>
      </c>
      <c r="E1192">
        <v>60000</v>
      </c>
      <c r="F1192" t="s">
        <v>6</v>
      </c>
      <c r="G1192">
        <f>tblSalaries[[#This Row],[clean Salary (in local currency)]]*VLOOKUP(tblSalaries[[#This Row],[Currency]],tblXrate[],2,FALSE)</f>
        <v>60000</v>
      </c>
      <c r="H1192" t="s">
        <v>1364</v>
      </c>
      <c r="I1192" t="s">
        <v>52</v>
      </c>
      <c r="J1192" t="s">
        <v>15</v>
      </c>
      <c r="K1192" t="str">
        <f>VLOOKUP(tblSalaries[[#This Row],[Where do you work]],tblCountries[[Actual]:[Mapping]],2,FALSE)</f>
        <v>USA</v>
      </c>
      <c r="L1192" t="s">
        <v>9</v>
      </c>
      <c r="M1192">
        <v>12</v>
      </c>
    </row>
    <row r="1193" spans="2:13" ht="15" customHeight="1">
      <c r="B1193" t="s">
        <v>3196</v>
      </c>
      <c r="C1193" s="1">
        <v>41058.021319444444</v>
      </c>
      <c r="D1193" s="4">
        <v>2600000</v>
      </c>
      <c r="E1193">
        <v>2600000</v>
      </c>
      <c r="F1193" t="s">
        <v>40</v>
      </c>
      <c r="G1193">
        <f>tblSalaries[[#This Row],[clean Salary (in local currency)]]*VLOOKUP(tblSalaries[[#This Row],[Currency]],tblXrate[],2,FALSE)</f>
        <v>46300.583387350678</v>
      </c>
      <c r="H1193" t="s">
        <v>1365</v>
      </c>
      <c r="I1193" t="s">
        <v>52</v>
      </c>
      <c r="J1193" t="s">
        <v>8</v>
      </c>
      <c r="K1193" t="str">
        <f>VLOOKUP(tblSalaries[[#This Row],[Where do you work]],tblCountries[[Actual]:[Mapping]],2,FALSE)</f>
        <v>India</v>
      </c>
      <c r="L1193" t="s">
        <v>9</v>
      </c>
      <c r="M1193">
        <v>4</v>
      </c>
    </row>
    <row r="1194" spans="2:13" ht="15" customHeight="1">
      <c r="B1194" t="s">
        <v>3197</v>
      </c>
      <c r="C1194" s="1">
        <v>41058.022627314815</v>
      </c>
      <c r="D1194" s="4" t="s">
        <v>1366</v>
      </c>
      <c r="E1194">
        <v>750000</v>
      </c>
      <c r="F1194" t="s">
        <v>40</v>
      </c>
      <c r="G1194">
        <f>tblSalaries[[#This Row],[clean Salary (in local currency)]]*VLOOKUP(tblSalaries[[#This Row],[Currency]],tblXrate[],2,FALSE)</f>
        <v>13355.937515581925</v>
      </c>
      <c r="H1194" t="s">
        <v>1022</v>
      </c>
      <c r="I1194" t="s">
        <v>52</v>
      </c>
      <c r="J1194" t="s">
        <v>8</v>
      </c>
      <c r="K1194" t="str">
        <f>VLOOKUP(tblSalaries[[#This Row],[Where do you work]],tblCountries[[Actual]:[Mapping]],2,FALSE)</f>
        <v>India</v>
      </c>
      <c r="L1194" t="s">
        <v>18</v>
      </c>
      <c r="M1194">
        <v>3</v>
      </c>
    </row>
    <row r="1195" spans="2:13" ht="15" customHeight="1">
      <c r="B1195" t="s">
        <v>3198</v>
      </c>
      <c r="C1195" s="1">
        <v>41058.025243055556</v>
      </c>
      <c r="D1195" s="4">
        <v>74000</v>
      </c>
      <c r="E1195">
        <v>74000</v>
      </c>
      <c r="F1195" t="s">
        <v>6</v>
      </c>
      <c r="G1195">
        <f>tblSalaries[[#This Row],[clean Salary (in local currency)]]*VLOOKUP(tblSalaries[[#This Row],[Currency]],tblXrate[],2,FALSE)</f>
        <v>74000</v>
      </c>
      <c r="H1195" t="s">
        <v>1367</v>
      </c>
      <c r="I1195" t="s">
        <v>67</v>
      </c>
      <c r="J1195" t="s">
        <v>15</v>
      </c>
      <c r="K1195" t="str">
        <f>VLOOKUP(tblSalaries[[#This Row],[Where do you work]],tblCountries[[Actual]:[Mapping]],2,FALSE)</f>
        <v>USA</v>
      </c>
      <c r="L1195" t="s">
        <v>9</v>
      </c>
      <c r="M1195">
        <v>10</v>
      </c>
    </row>
    <row r="1196" spans="2:13" ht="15" customHeight="1">
      <c r="B1196" t="s">
        <v>3199</v>
      </c>
      <c r="C1196" s="1">
        <v>41058.032835648148</v>
      </c>
      <c r="D1196" s="4">
        <v>95856</v>
      </c>
      <c r="E1196">
        <v>95856</v>
      </c>
      <c r="F1196" t="s">
        <v>6</v>
      </c>
      <c r="G1196">
        <f>tblSalaries[[#This Row],[clean Salary (in local currency)]]*VLOOKUP(tblSalaries[[#This Row],[Currency]],tblXrate[],2,FALSE)</f>
        <v>95856</v>
      </c>
      <c r="H1196" t="s">
        <v>20</v>
      </c>
      <c r="I1196" t="s">
        <v>20</v>
      </c>
      <c r="J1196" t="s">
        <v>15</v>
      </c>
      <c r="K1196" t="str">
        <f>VLOOKUP(tblSalaries[[#This Row],[Where do you work]],tblCountries[[Actual]:[Mapping]],2,FALSE)</f>
        <v>USA</v>
      </c>
      <c r="L1196" t="s">
        <v>18</v>
      </c>
      <c r="M1196">
        <v>13</v>
      </c>
    </row>
    <row r="1197" spans="2:13" ht="15" customHeight="1">
      <c r="B1197" t="s">
        <v>3200</v>
      </c>
      <c r="C1197" s="1">
        <v>41058.043969907405</v>
      </c>
      <c r="D1197" s="4" t="s">
        <v>1368</v>
      </c>
      <c r="E1197">
        <v>40000</v>
      </c>
      <c r="F1197" t="s">
        <v>6</v>
      </c>
      <c r="G1197">
        <f>tblSalaries[[#This Row],[clean Salary (in local currency)]]*VLOOKUP(tblSalaries[[#This Row],[Currency]],tblXrate[],2,FALSE)</f>
        <v>40000</v>
      </c>
      <c r="H1197" t="s">
        <v>1369</v>
      </c>
      <c r="I1197" t="s">
        <v>310</v>
      </c>
      <c r="J1197" t="s">
        <v>15</v>
      </c>
      <c r="K1197" t="str">
        <f>VLOOKUP(tblSalaries[[#This Row],[Where do you work]],tblCountries[[Actual]:[Mapping]],2,FALSE)</f>
        <v>USA</v>
      </c>
      <c r="L1197" t="s">
        <v>18</v>
      </c>
      <c r="M1197">
        <v>15</v>
      </c>
    </row>
    <row r="1198" spans="2:13" ht="15" customHeight="1">
      <c r="B1198" t="s">
        <v>3201</v>
      </c>
      <c r="C1198" s="1">
        <v>41058.046342592592</v>
      </c>
      <c r="D1198" s="4">
        <v>4400</v>
      </c>
      <c r="E1198">
        <v>4400</v>
      </c>
      <c r="F1198" t="s">
        <v>6</v>
      </c>
      <c r="G1198">
        <f>tblSalaries[[#This Row],[clean Salary (in local currency)]]*VLOOKUP(tblSalaries[[#This Row],[Currency]],tblXrate[],2,FALSE)</f>
        <v>4400</v>
      </c>
      <c r="H1198" t="s">
        <v>1370</v>
      </c>
      <c r="I1198" t="s">
        <v>52</v>
      </c>
      <c r="J1198" t="s">
        <v>1371</v>
      </c>
      <c r="K1198" t="str">
        <f>VLOOKUP(tblSalaries[[#This Row],[Where do you work]],tblCountries[[Actual]:[Mapping]],2,FALSE)</f>
        <v>Latin America</v>
      </c>
      <c r="L1198" t="s">
        <v>18</v>
      </c>
      <c r="M1198">
        <v>5</v>
      </c>
    </row>
    <row r="1199" spans="2:13" ht="15" customHeight="1">
      <c r="B1199" t="s">
        <v>3202</v>
      </c>
      <c r="C1199" s="1">
        <v>41058.050324074073</v>
      </c>
      <c r="D1199" s="4">
        <v>90000</v>
      </c>
      <c r="E1199">
        <v>90000</v>
      </c>
      <c r="F1199" t="s">
        <v>6</v>
      </c>
      <c r="G1199">
        <f>tblSalaries[[#This Row],[clean Salary (in local currency)]]*VLOOKUP(tblSalaries[[#This Row],[Currency]],tblXrate[],2,FALSE)</f>
        <v>90000</v>
      </c>
      <c r="H1199" t="s">
        <v>72</v>
      </c>
      <c r="I1199" t="s">
        <v>20</v>
      </c>
      <c r="J1199" t="s">
        <v>15</v>
      </c>
      <c r="K1199" t="str">
        <f>VLOOKUP(tblSalaries[[#This Row],[Where do you work]],tblCountries[[Actual]:[Mapping]],2,FALSE)</f>
        <v>USA</v>
      </c>
      <c r="L1199" t="s">
        <v>9</v>
      </c>
      <c r="M1199">
        <v>30</v>
      </c>
    </row>
    <row r="1200" spans="2:13" ht="15" customHeight="1">
      <c r="B1200" t="s">
        <v>3203</v>
      </c>
      <c r="C1200" s="1">
        <v>41058.055162037039</v>
      </c>
      <c r="D1200" s="4" t="s">
        <v>1372</v>
      </c>
      <c r="E1200">
        <v>450000</v>
      </c>
      <c r="F1200" t="s">
        <v>40</v>
      </c>
      <c r="G1200">
        <f>tblSalaries[[#This Row],[clean Salary (in local currency)]]*VLOOKUP(tblSalaries[[#This Row],[Currency]],tblXrate[],2,FALSE)</f>
        <v>8013.5625093491553</v>
      </c>
      <c r="H1200" t="s">
        <v>1373</v>
      </c>
      <c r="I1200" t="s">
        <v>52</v>
      </c>
      <c r="J1200" t="s">
        <v>8</v>
      </c>
      <c r="K1200" t="str">
        <f>VLOOKUP(tblSalaries[[#This Row],[Where do you work]],tblCountries[[Actual]:[Mapping]],2,FALSE)</f>
        <v>India</v>
      </c>
      <c r="L1200" t="s">
        <v>13</v>
      </c>
      <c r="M1200">
        <v>2</v>
      </c>
    </row>
    <row r="1201" spans="2:13" ht="15" customHeight="1">
      <c r="B1201" t="s">
        <v>3204</v>
      </c>
      <c r="C1201" s="1">
        <v>41058.057627314818</v>
      </c>
      <c r="D1201" s="4" t="s">
        <v>395</v>
      </c>
      <c r="E1201">
        <v>1000000</v>
      </c>
      <c r="F1201" t="s">
        <v>40</v>
      </c>
      <c r="G1201">
        <f>tblSalaries[[#This Row],[clean Salary (in local currency)]]*VLOOKUP(tblSalaries[[#This Row],[Currency]],tblXrate[],2,FALSE)</f>
        <v>17807.916687442568</v>
      </c>
      <c r="H1201" t="s">
        <v>1020</v>
      </c>
      <c r="I1201" t="s">
        <v>52</v>
      </c>
      <c r="J1201" t="s">
        <v>8</v>
      </c>
      <c r="K1201" t="str">
        <f>VLOOKUP(tblSalaries[[#This Row],[Where do you work]],tblCountries[[Actual]:[Mapping]],2,FALSE)</f>
        <v>India</v>
      </c>
      <c r="L1201" t="s">
        <v>9</v>
      </c>
      <c r="M1201">
        <v>8.5</v>
      </c>
    </row>
    <row r="1202" spans="2:13" ht="15" customHeight="1">
      <c r="B1202" t="s">
        <v>3205</v>
      </c>
      <c r="C1202" s="1">
        <v>41058.063645833332</v>
      </c>
      <c r="D1202" s="4" t="s">
        <v>1374</v>
      </c>
      <c r="E1202">
        <v>700000</v>
      </c>
      <c r="F1202" t="s">
        <v>40</v>
      </c>
      <c r="G1202">
        <f>tblSalaries[[#This Row],[clean Salary (in local currency)]]*VLOOKUP(tblSalaries[[#This Row],[Currency]],tblXrate[],2,FALSE)</f>
        <v>12465.541681209797</v>
      </c>
      <c r="H1202" t="s">
        <v>1375</v>
      </c>
      <c r="I1202" t="s">
        <v>3999</v>
      </c>
      <c r="J1202" t="s">
        <v>8</v>
      </c>
      <c r="K1202" t="str">
        <f>VLOOKUP(tblSalaries[[#This Row],[Where do you work]],tblCountries[[Actual]:[Mapping]],2,FALSE)</f>
        <v>India</v>
      </c>
      <c r="L1202" t="s">
        <v>9</v>
      </c>
      <c r="M1202">
        <v>6</v>
      </c>
    </row>
    <row r="1203" spans="2:13" ht="15" customHeight="1">
      <c r="B1203" t="s">
        <v>3206</v>
      </c>
      <c r="C1203" s="1">
        <v>41058.070138888892</v>
      </c>
      <c r="D1203" s="4">
        <v>80000</v>
      </c>
      <c r="E1203">
        <v>80000</v>
      </c>
      <c r="F1203" t="s">
        <v>6</v>
      </c>
      <c r="G1203">
        <f>tblSalaries[[#This Row],[clean Salary (in local currency)]]*VLOOKUP(tblSalaries[[#This Row],[Currency]],tblXrate[],2,FALSE)</f>
        <v>80000</v>
      </c>
      <c r="H1203" t="s">
        <v>1376</v>
      </c>
      <c r="I1203" t="s">
        <v>20</v>
      </c>
      <c r="J1203" t="s">
        <v>171</v>
      </c>
      <c r="K1203" t="str">
        <f>VLOOKUP(tblSalaries[[#This Row],[Where do you work]],tblCountries[[Actual]:[Mapping]],2,FALSE)</f>
        <v>Singapore</v>
      </c>
      <c r="L1203" t="s">
        <v>25</v>
      </c>
      <c r="M1203">
        <v>6</v>
      </c>
    </row>
    <row r="1204" spans="2:13" ht="15" customHeight="1">
      <c r="B1204" t="s">
        <v>3207</v>
      </c>
      <c r="C1204" s="1">
        <v>41058.072256944448</v>
      </c>
      <c r="D1204" s="4">
        <v>100000</v>
      </c>
      <c r="E1204">
        <v>100000</v>
      </c>
      <c r="F1204" t="s">
        <v>6</v>
      </c>
      <c r="G1204">
        <f>tblSalaries[[#This Row],[clean Salary (in local currency)]]*VLOOKUP(tblSalaries[[#This Row],[Currency]],tblXrate[],2,FALSE)</f>
        <v>100000</v>
      </c>
      <c r="H1204" t="s">
        <v>642</v>
      </c>
      <c r="I1204" t="s">
        <v>52</v>
      </c>
      <c r="J1204" t="s">
        <v>15</v>
      </c>
      <c r="K1204" t="str">
        <f>VLOOKUP(tblSalaries[[#This Row],[Where do you work]],tblCountries[[Actual]:[Mapping]],2,FALSE)</f>
        <v>USA</v>
      </c>
      <c r="L1204" t="s">
        <v>9</v>
      </c>
      <c r="M1204">
        <v>11</v>
      </c>
    </row>
    <row r="1205" spans="2:13" ht="15" customHeight="1">
      <c r="B1205" t="s">
        <v>3208</v>
      </c>
      <c r="C1205" s="1">
        <v>41058.073067129626</v>
      </c>
      <c r="D1205" s="4">
        <v>4100</v>
      </c>
      <c r="E1205">
        <v>49200</v>
      </c>
      <c r="F1205" t="s">
        <v>6</v>
      </c>
      <c r="G1205">
        <f>tblSalaries[[#This Row],[clean Salary (in local currency)]]*VLOOKUP(tblSalaries[[#This Row],[Currency]],tblXrate[],2,FALSE)</f>
        <v>49200</v>
      </c>
      <c r="H1205" t="s">
        <v>1358</v>
      </c>
      <c r="I1205" t="s">
        <v>310</v>
      </c>
      <c r="J1205" t="s">
        <v>1377</v>
      </c>
      <c r="K1205" t="str">
        <f>VLOOKUP(tblSalaries[[#This Row],[Where do you work]],tblCountries[[Actual]:[Mapping]],2,FALSE)</f>
        <v>Qatar</v>
      </c>
      <c r="L1205" t="s">
        <v>18</v>
      </c>
      <c r="M1205">
        <v>25</v>
      </c>
    </row>
    <row r="1206" spans="2:13" ht="15" customHeight="1">
      <c r="B1206" t="s">
        <v>3209</v>
      </c>
      <c r="C1206" s="1">
        <v>41058.074756944443</v>
      </c>
      <c r="D1206" s="4">
        <v>750</v>
      </c>
      <c r="E1206">
        <v>9000</v>
      </c>
      <c r="F1206" t="s">
        <v>6</v>
      </c>
      <c r="G1206">
        <f>tblSalaries[[#This Row],[clean Salary (in local currency)]]*VLOOKUP(tblSalaries[[#This Row],[Currency]],tblXrate[],2,FALSE)</f>
        <v>9000</v>
      </c>
      <c r="H1206" t="s">
        <v>1378</v>
      </c>
      <c r="I1206" t="s">
        <v>52</v>
      </c>
      <c r="J1206" t="s">
        <v>8</v>
      </c>
      <c r="K1206" t="str">
        <f>VLOOKUP(tblSalaries[[#This Row],[Where do you work]],tblCountries[[Actual]:[Mapping]],2,FALSE)</f>
        <v>India</v>
      </c>
      <c r="L1206" t="s">
        <v>9</v>
      </c>
      <c r="M1206">
        <v>1</v>
      </c>
    </row>
    <row r="1207" spans="2:13" ht="15" customHeight="1">
      <c r="B1207" t="s">
        <v>3210</v>
      </c>
      <c r="C1207" s="1">
        <v>41058.07640046296</v>
      </c>
      <c r="D1207" s="4">
        <v>300000</v>
      </c>
      <c r="E1207">
        <v>300000</v>
      </c>
      <c r="F1207" t="s">
        <v>40</v>
      </c>
      <c r="G1207">
        <f>tblSalaries[[#This Row],[clean Salary (in local currency)]]*VLOOKUP(tblSalaries[[#This Row],[Currency]],tblXrate[],2,FALSE)</f>
        <v>5342.3750062327708</v>
      </c>
      <c r="H1207" t="s">
        <v>1068</v>
      </c>
      <c r="I1207" t="s">
        <v>20</v>
      </c>
      <c r="J1207" t="s">
        <v>8</v>
      </c>
      <c r="K1207" t="str">
        <f>VLOOKUP(tblSalaries[[#This Row],[Where do you work]],tblCountries[[Actual]:[Mapping]],2,FALSE)</f>
        <v>India</v>
      </c>
      <c r="L1207" t="s">
        <v>9</v>
      </c>
      <c r="M1207">
        <v>6</v>
      </c>
    </row>
    <row r="1208" spans="2:13" ht="15" customHeight="1">
      <c r="B1208" t="s">
        <v>3211</v>
      </c>
      <c r="C1208" s="1">
        <v>41058.085173611114</v>
      </c>
      <c r="D1208" s="4" t="s">
        <v>1379</v>
      </c>
      <c r="E1208">
        <v>40000</v>
      </c>
      <c r="F1208" t="s">
        <v>6</v>
      </c>
      <c r="G1208">
        <f>tblSalaries[[#This Row],[clean Salary (in local currency)]]*VLOOKUP(tblSalaries[[#This Row],[Currency]],tblXrate[],2,FALSE)</f>
        <v>40000</v>
      </c>
      <c r="H1208" t="s">
        <v>1380</v>
      </c>
      <c r="I1208" t="s">
        <v>52</v>
      </c>
      <c r="J1208" t="s">
        <v>1381</v>
      </c>
      <c r="K1208" t="str">
        <f>VLOOKUP(tblSalaries[[#This Row],[Where do you work]],tblCountries[[Actual]:[Mapping]],2,FALSE)</f>
        <v>Pakistan</v>
      </c>
      <c r="L1208" t="s">
        <v>9</v>
      </c>
      <c r="M1208">
        <v>15</v>
      </c>
    </row>
    <row r="1209" spans="2:13" ht="15" customHeight="1">
      <c r="B1209" t="s">
        <v>3212</v>
      </c>
      <c r="C1209" s="1">
        <v>41058.092037037037</v>
      </c>
      <c r="D1209" s="4" t="s">
        <v>1382</v>
      </c>
      <c r="E1209">
        <v>26000</v>
      </c>
      <c r="F1209" t="s">
        <v>69</v>
      </c>
      <c r="G1209">
        <f>tblSalaries[[#This Row],[clean Salary (in local currency)]]*VLOOKUP(tblSalaries[[#This Row],[Currency]],tblXrate[],2,FALSE)</f>
        <v>40980.635073749385</v>
      </c>
      <c r="H1209" t="s">
        <v>207</v>
      </c>
      <c r="I1209" t="s">
        <v>20</v>
      </c>
      <c r="J1209" t="s">
        <v>71</v>
      </c>
      <c r="K1209" t="str">
        <f>VLOOKUP(tblSalaries[[#This Row],[Where do you work]],tblCountries[[Actual]:[Mapping]],2,FALSE)</f>
        <v>UK</v>
      </c>
      <c r="L1209" t="s">
        <v>9</v>
      </c>
      <c r="M1209">
        <v>2</v>
      </c>
    </row>
    <row r="1210" spans="2:13" ht="15" customHeight="1">
      <c r="B1210" t="s">
        <v>3213</v>
      </c>
      <c r="C1210" s="1">
        <v>41058.09684027778</v>
      </c>
      <c r="D1210" s="4" t="s">
        <v>400</v>
      </c>
      <c r="E1210">
        <v>29000</v>
      </c>
      <c r="F1210" t="s">
        <v>69</v>
      </c>
      <c r="G1210">
        <f>tblSalaries[[#This Row],[clean Salary (in local currency)]]*VLOOKUP(tblSalaries[[#This Row],[Currency]],tblXrate[],2,FALSE)</f>
        <v>45709.169889951241</v>
      </c>
      <c r="H1210" t="s">
        <v>1383</v>
      </c>
      <c r="I1210" t="s">
        <v>310</v>
      </c>
      <c r="J1210" t="s">
        <v>71</v>
      </c>
      <c r="K1210" t="str">
        <f>VLOOKUP(tblSalaries[[#This Row],[Where do you work]],tblCountries[[Actual]:[Mapping]],2,FALSE)</f>
        <v>UK</v>
      </c>
      <c r="L1210" t="s">
        <v>18</v>
      </c>
      <c r="M1210">
        <v>8</v>
      </c>
    </row>
    <row r="1211" spans="2:13" ht="15" customHeight="1">
      <c r="B1211" t="s">
        <v>3214</v>
      </c>
      <c r="C1211" s="1">
        <v>41058.098761574074</v>
      </c>
      <c r="D1211" s="4">
        <v>400000</v>
      </c>
      <c r="E1211">
        <v>400000</v>
      </c>
      <c r="F1211" t="s">
        <v>40</v>
      </c>
      <c r="G1211">
        <f>tblSalaries[[#This Row],[clean Salary (in local currency)]]*VLOOKUP(tblSalaries[[#This Row],[Currency]],tblXrate[],2,FALSE)</f>
        <v>7123.1666749770275</v>
      </c>
      <c r="H1211" t="s">
        <v>1384</v>
      </c>
      <c r="I1211" t="s">
        <v>52</v>
      </c>
      <c r="J1211" t="s">
        <v>8</v>
      </c>
      <c r="K1211" t="str">
        <f>VLOOKUP(tblSalaries[[#This Row],[Where do you work]],tblCountries[[Actual]:[Mapping]],2,FALSE)</f>
        <v>India</v>
      </c>
      <c r="L1211" t="s">
        <v>9</v>
      </c>
      <c r="M1211">
        <v>1</v>
      </c>
    </row>
    <row r="1212" spans="2:13" ht="15" customHeight="1">
      <c r="B1212" t="s">
        <v>3215</v>
      </c>
      <c r="C1212" s="1">
        <v>41058.101712962962</v>
      </c>
      <c r="D1212" s="4" t="s">
        <v>97</v>
      </c>
      <c r="E1212">
        <v>100000</v>
      </c>
      <c r="F1212" t="s">
        <v>6</v>
      </c>
      <c r="G1212">
        <f>tblSalaries[[#This Row],[clean Salary (in local currency)]]*VLOOKUP(tblSalaries[[#This Row],[Currency]],tblXrate[],2,FALSE)</f>
        <v>100000</v>
      </c>
      <c r="H1212" t="s">
        <v>488</v>
      </c>
      <c r="I1212" t="s">
        <v>488</v>
      </c>
      <c r="J1212" t="s">
        <v>583</v>
      </c>
      <c r="K1212" t="str">
        <f>VLOOKUP(tblSalaries[[#This Row],[Where do you work]],tblCountries[[Actual]:[Mapping]],2,FALSE)</f>
        <v>Norway</v>
      </c>
      <c r="L1212" t="s">
        <v>9</v>
      </c>
      <c r="M1212">
        <v>12</v>
      </c>
    </row>
    <row r="1213" spans="2:13" ht="15" customHeight="1">
      <c r="B1213" t="s">
        <v>3216</v>
      </c>
      <c r="C1213" s="1">
        <v>41058.113703703704</v>
      </c>
      <c r="D1213" s="4" t="s">
        <v>1385</v>
      </c>
      <c r="E1213">
        <v>62000</v>
      </c>
      <c r="F1213" t="s">
        <v>22</v>
      </c>
      <c r="G1213">
        <f>tblSalaries[[#This Row],[clean Salary (in local currency)]]*VLOOKUP(tblSalaries[[#This Row],[Currency]],tblXrate[],2,FALSE)</f>
        <v>78764.765217479682</v>
      </c>
      <c r="H1213" t="s">
        <v>1386</v>
      </c>
      <c r="I1213" t="s">
        <v>20</v>
      </c>
      <c r="J1213" t="s">
        <v>628</v>
      </c>
      <c r="K1213" t="str">
        <f>VLOOKUP(tblSalaries[[#This Row],[Where do you work]],tblCountries[[Actual]:[Mapping]],2,FALSE)</f>
        <v>Netherlands</v>
      </c>
      <c r="L1213" t="s">
        <v>9</v>
      </c>
      <c r="M1213">
        <v>15</v>
      </c>
    </row>
    <row r="1214" spans="2:13" ht="15" customHeight="1">
      <c r="B1214" t="s">
        <v>3217</v>
      </c>
      <c r="C1214" s="1">
        <v>41058.136134259257</v>
      </c>
      <c r="D1214" s="4">
        <v>150000</v>
      </c>
      <c r="E1214">
        <v>150000</v>
      </c>
      <c r="F1214" t="s">
        <v>82</v>
      </c>
      <c r="G1214">
        <f>tblSalaries[[#This Row],[clean Salary (in local currency)]]*VLOOKUP(tblSalaries[[#This Row],[Currency]],tblXrate[],2,FALSE)</f>
        <v>152986.44846039536</v>
      </c>
      <c r="H1214" t="s">
        <v>20</v>
      </c>
      <c r="I1214" t="s">
        <v>20</v>
      </c>
      <c r="J1214" t="s">
        <v>84</v>
      </c>
      <c r="K1214" t="str">
        <f>VLOOKUP(tblSalaries[[#This Row],[Where do you work]],tblCountries[[Actual]:[Mapping]],2,FALSE)</f>
        <v>Australia</v>
      </c>
      <c r="L1214" t="s">
        <v>18</v>
      </c>
      <c r="M1214">
        <v>10</v>
      </c>
    </row>
    <row r="1215" spans="2:13" ht="15" customHeight="1">
      <c r="B1215" t="s">
        <v>3218</v>
      </c>
      <c r="C1215" s="1">
        <v>41058.144872685189</v>
      </c>
      <c r="D1215" s="4" t="s">
        <v>1387</v>
      </c>
      <c r="E1215">
        <v>35000</v>
      </c>
      <c r="F1215" t="s">
        <v>22</v>
      </c>
      <c r="G1215">
        <f>tblSalaries[[#This Row],[clean Salary (in local currency)]]*VLOOKUP(tblSalaries[[#This Row],[Currency]],tblXrate[],2,FALSE)</f>
        <v>44463.980364706273</v>
      </c>
      <c r="H1215" t="s">
        <v>207</v>
      </c>
      <c r="I1215" t="s">
        <v>20</v>
      </c>
      <c r="J1215" t="s">
        <v>36</v>
      </c>
      <c r="K1215" t="str">
        <f>VLOOKUP(tblSalaries[[#This Row],[Where do you work]],tblCountries[[Actual]:[Mapping]],2,FALSE)</f>
        <v>Ireland</v>
      </c>
      <c r="L1215" t="s">
        <v>13</v>
      </c>
      <c r="M1215">
        <v>12</v>
      </c>
    </row>
    <row r="1216" spans="2:13" ht="15" customHeight="1">
      <c r="B1216" t="s">
        <v>3219</v>
      </c>
      <c r="C1216" s="1">
        <v>41058.160520833335</v>
      </c>
      <c r="D1216" s="4">
        <v>30</v>
      </c>
      <c r="E1216">
        <v>30000</v>
      </c>
      <c r="F1216" t="s">
        <v>22</v>
      </c>
      <c r="G1216">
        <f>tblSalaries[[#This Row],[clean Salary (in local currency)]]*VLOOKUP(tblSalaries[[#This Row],[Currency]],tblXrate[],2,FALSE)</f>
        <v>38111.983169748237</v>
      </c>
      <c r="H1216" t="s">
        <v>1388</v>
      </c>
      <c r="I1216" t="s">
        <v>356</v>
      </c>
      <c r="J1216" t="s">
        <v>1389</v>
      </c>
      <c r="K1216" t="str">
        <f>VLOOKUP(tblSalaries[[#This Row],[Where do you work]],tblCountries[[Actual]:[Mapping]],2,FALSE)</f>
        <v>Netherlands</v>
      </c>
      <c r="L1216" t="s">
        <v>25</v>
      </c>
      <c r="M1216">
        <v>8</v>
      </c>
    </row>
    <row r="1217" spans="2:13" ht="15" customHeight="1">
      <c r="B1217" t="s">
        <v>3220</v>
      </c>
      <c r="C1217" s="1">
        <v>41058.160740740743</v>
      </c>
      <c r="D1217" s="4">
        <v>75000</v>
      </c>
      <c r="E1217">
        <v>75000</v>
      </c>
      <c r="F1217" t="s">
        <v>69</v>
      </c>
      <c r="G1217">
        <f>tblSalaries[[#This Row],[clean Salary (in local currency)]]*VLOOKUP(tblSalaries[[#This Row],[Currency]],tblXrate[],2,FALSE)</f>
        <v>118213.37040504631</v>
      </c>
      <c r="H1217" t="s">
        <v>642</v>
      </c>
      <c r="I1217" t="s">
        <v>52</v>
      </c>
      <c r="J1217" t="s">
        <v>71</v>
      </c>
      <c r="K1217" t="str">
        <f>VLOOKUP(tblSalaries[[#This Row],[Where do you work]],tblCountries[[Actual]:[Mapping]],2,FALSE)</f>
        <v>UK</v>
      </c>
      <c r="L1217" t="s">
        <v>9</v>
      </c>
      <c r="M1217">
        <v>20</v>
      </c>
    </row>
    <row r="1218" spans="2:13" ht="15" customHeight="1">
      <c r="B1218" t="s">
        <v>3221</v>
      </c>
      <c r="C1218" s="1">
        <v>41058.16883101852</v>
      </c>
      <c r="D1218" s="4">
        <v>25000</v>
      </c>
      <c r="E1218">
        <v>25000</v>
      </c>
      <c r="F1218" t="s">
        <v>69</v>
      </c>
      <c r="G1218">
        <f>tblSalaries[[#This Row],[clean Salary (in local currency)]]*VLOOKUP(tblSalaries[[#This Row],[Currency]],tblXrate[],2,FALSE)</f>
        <v>39404.456801682099</v>
      </c>
      <c r="H1218" t="s">
        <v>1390</v>
      </c>
      <c r="I1218" t="s">
        <v>310</v>
      </c>
      <c r="J1218" t="s">
        <v>71</v>
      </c>
      <c r="K1218" t="str">
        <f>VLOOKUP(tblSalaries[[#This Row],[Where do you work]],tblCountries[[Actual]:[Mapping]],2,FALSE)</f>
        <v>UK</v>
      </c>
      <c r="L1218" t="s">
        <v>18</v>
      </c>
      <c r="M1218">
        <v>10</v>
      </c>
    </row>
    <row r="1219" spans="2:13" ht="15" customHeight="1">
      <c r="B1219" t="s">
        <v>3222</v>
      </c>
      <c r="C1219" s="1">
        <v>41058.172743055555</v>
      </c>
      <c r="D1219" s="4">
        <v>71000</v>
      </c>
      <c r="E1219">
        <v>71000</v>
      </c>
      <c r="F1219" t="s">
        <v>22</v>
      </c>
      <c r="G1219">
        <f>tblSalaries[[#This Row],[clean Salary (in local currency)]]*VLOOKUP(tblSalaries[[#This Row],[Currency]],tblXrate[],2,FALSE)</f>
        <v>90198.36016840415</v>
      </c>
      <c r="H1219" t="s">
        <v>356</v>
      </c>
      <c r="I1219" t="s">
        <v>356</v>
      </c>
      <c r="J1219" t="s">
        <v>24</v>
      </c>
      <c r="K1219" t="str">
        <f>VLOOKUP(tblSalaries[[#This Row],[Where do you work]],tblCountries[[Actual]:[Mapping]],2,FALSE)</f>
        <v>Germany</v>
      </c>
      <c r="L1219" t="s">
        <v>25</v>
      </c>
      <c r="M1219">
        <v>3</v>
      </c>
    </row>
    <row r="1220" spans="2:13" ht="15" customHeight="1">
      <c r="B1220" t="s">
        <v>3223</v>
      </c>
      <c r="C1220" s="1">
        <v>41058.174976851849</v>
      </c>
      <c r="D1220" s="4" t="s">
        <v>137</v>
      </c>
      <c r="E1220">
        <v>30000</v>
      </c>
      <c r="F1220" t="s">
        <v>69</v>
      </c>
      <c r="G1220">
        <f>tblSalaries[[#This Row],[clean Salary (in local currency)]]*VLOOKUP(tblSalaries[[#This Row],[Currency]],tblXrate[],2,FALSE)</f>
        <v>47285.348162018527</v>
      </c>
      <c r="H1220" t="s">
        <v>1391</v>
      </c>
      <c r="I1220" t="s">
        <v>67</v>
      </c>
      <c r="J1220" t="s">
        <v>71</v>
      </c>
      <c r="K1220" t="str">
        <f>VLOOKUP(tblSalaries[[#This Row],[Where do you work]],tblCountries[[Actual]:[Mapping]],2,FALSE)</f>
        <v>UK</v>
      </c>
      <c r="L1220" t="s">
        <v>9</v>
      </c>
      <c r="M1220">
        <v>14</v>
      </c>
    </row>
    <row r="1221" spans="2:13" ht="15" customHeight="1">
      <c r="B1221" t="s">
        <v>3224</v>
      </c>
      <c r="C1221" s="1">
        <v>41058.184050925927</v>
      </c>
      <c r="D1221" s="4">
        <v>56000</v>
      </c>
      <c r="E1221">
        <v>56000</v>
      </c>
      <c r="F1221" t="s">
        <v>6</v>
      </c>
      <c r="G1221">
        <f>tblSalaries[[#This Row],[clean Salary (in local currency)]]*VLOOKUP(tblSalaries[[#This Row],[Currency]],tblXrate[],2,FALSE)</f>
        <v>56000</v>
      </c>
      <c r="H1221" t="s">
        <v>310</v>
      </c>
      <c r="I1221" t="s">
        <v>310</v>
      </c>
      <c r="J1221" t="s">
        <v>15</v>
      </c>
      <c r="K1221" t="str">
        <f>VLOOKUP(tblSalaries[[#This Row],[Where do you work]],tblCountries[[Actual]:[Mapping]],2,FALSE)</f>
        <v>USA</v>
      </c>
      <c r="L1221" t="s">
        <v>9</v>
      </c>
      <c r="M1221">
        <v>1</v>
      </c>
    </row>
    <row r="1222" spans="2:13" ht="15" customHeight="1">
      <c r="B1222" t="s">
        <v>3225</v>
      </c>
      <c r="C1222" s="1">
        <v>41058.187615740739</v>
      </c>
      <c r="D1222" s="4" t="s">
        <v>1392</v>
      </c>
      <c r="E1222">
        <v>48000000</v>
      </c>
      <c r="F1222" t="s">
        <v>1393</v>
      </c>
      <c r="G1222">
        <f>tblSalaries[[#This Row],[clean Salary (in local currency)]]*VLOOKUP(tblSalaries[[#This Row],[Currency]],tblXrate[],2,FALSE)</f>
        <v>5082.6943786459069</v>
      </c>
      <c r="H1222" t="s">
        <v>1394</v>
      </c>
      <c r="I1222" t="s">
        <v>20</v>
      </c>
      <c r="J1222" t="s">
        <v>726</v>
      </c>
      <c r="K1222" t="str">
        <f>VLOOKUP(tblSalaries[[#This Row],[Where do you work]],tblCountries[[Actual]:[Mapping]],2,FALSE)</f>
        <v>Indonesia</v>
      </c>
      <c r="L1222" t="s">
        <v>25</v>
      </c>
      <c r="M1222">
        <v>2</v>
      </c>
    </row>
    <row r="1223" spans="2:13" ht="15" customHeight="1">
      <c r="B1223" t="s">
        <v>3226</v>
      </c>
      <c r="C1223" s="1">
        <v>41058.190011574072</v>
      </c>
      <c r="D1223" s="4" t="s">
        <v>1395</v>
      </c>
      <c r="E1223">
        <v>34000</v>
      </c>
      <c r="F1223" t="s">
        <v>69</v>
      </c>
      <c r="G1223">
        <f>tblSalaries[[#This Row],[clean Salary (in local currency)]]*VLOOKUP(tblSalaries[[#This Row],[Currency]],tblXrate[],2,FALSE)</f>
        <v>53590.061250287661</v>
      </c>
      <c r="H1223" t="s">
        <v>1396</v>
      </c>
      <c r="I1223" t="s">
        <v>310</v>
      </c>
      <c r="J1223" t="s">
        <v>71</v>
      </c>
      <c r="K1223" t="str">
        <f>VLOOKUP(tblSalaries[[#This Row],[Where do you work]],tblCountries[[Actual]:[Mapping]],2,FALSE)</f>
        <v>UK</v>
      </c>
      <c r="L1223" t="s">
        <v>13</v>
      </c>
      <c r="M1223">
        <v>10</v>
      </c>
    </row>
    <row r="1224" spans="2:13" ht="15" customHeight="1">
      <c r="B1224" t="s">
        <v>3227</v>
      </c>
      <c r="C1224" s="1">
        <v>41058.210717592592</v>
      </c>
      <c r="D1224" s="4" t="s">
        <v>1397</v>
      </c>
      <c r="E1224">
        <v>450000</v>
      </c>
      <c r="F1224" t="s">
        <v>1362</v>
      </c>
      <c r="G1224">
        <f>tblSalaries[[#This Row],[clean Salary (in local currency)]]*VLOOKUP(tblSalaries[[#This Row],[Currency]],tblXrate[],2,FALSE)</f>
        <v>76906.906752939132</v>
      </c>
      <c r="H1224" t="s">
        <v>708</v>
      </c>
      <c r="I1224" t="s">
        <v>4001</v>
      </c>
      <c r="J1224" t="s">
        <v>877</v>
      </c>
      <c r="K1224" t="str">
        <f>VLOOKUP(tblSalaries[[#This Row],[Where do you work]],tblCountries[[Actual]:[Mapping]],2,FALSE)</f>
        <v>Denmark</v>
      </c>
      <c r="L1224" t="s">
        <v>13</v>
      </c>
      <c r="M1224">
        <v>17</v>
      </c>
    </row>
    <row r="1225" spans="2:13" ht="15" customHeight="1">
      <c r="B1225" t="s">
        <v>3228</v>
      </c>
      <c r="C1225" s="1">
        <v>41058.214548611111</v>
      </c>
      <c r="D1225" s="4" t="s">
        <v>1398</v>
      </c>
      <c r="E1225">
        <v>85000</v>
      </c>
      <c r="F1225" t="s">
        <v>6</v>
      </c>
      <c r="G1225">
        <f>tblSalaries[[#This Row],[clean Salary (in local currency)]]*VLOOKUP(tblSalaries[[#This Row],[Currency]],tblXrate[],2,FALSE)</f>
        <v>85000</v>
      </c>
      <c r="H1225" t="s">
        <v>1399</v>
      </c>
      <c r="I1225" t="s">
        <v>20</v>
      </c>
      <c r="J1225" t="s">
        <v>15</v>
      </c>
      <c r="K1225" t="str">
        <f>VLOOKUP(tblSalaries[[#This Row],[Where do you work]],tblCountries[[Actual]:[Mapping]],2,FALSE)</f>
        <v>USA</v>
      </c>
      <c r="L1225" t="s">
        <v>9</v>
      </c>
      <c r="M1225">
        <v>5</v>
      </c>
    </row>
    <row r="1226" spans="2:13" ht="15" customHeight="1">
      <c r="B1226" t="s">
        <v>3229</v>
      </c>
      <c r="C1226" s="1">
        <v>41058.216006944444</v>
      </c>
      <c r="D1226" s="4" t="s">
        <v>1400</v>
      </c>
      <c r="E1226">
        <v>72000</v>
      </c>
      <c r="F1226" t="s">
        <v>6</v>
      </c>
      <c r="G1226">
        <f>tblSalaries[[#This Row],[clean Salary (in local currency)]]*VLOOKUP(tblSalaries[[#This Row],[Currency]],tblXrate[],2,FALSE)</f>
        <v>72000</v>
      </c>
      <c r="H1226" t="s">
        <v>1401</v>
      </c>
      <c r="I1226" t="s">
        <v>356</v>
      </c>
      <c r="J1226" t="s">
        <v>672</v>
      </c>
      <c r="K1226" t="str">
        <f>VLOOKUP(tblSalaries[[#This Row],[Where do you work]],tblCountries[[Actual]:[Mapping]],2,FALSE)</f>
        <v>New Zealand</v>
      </c>
      <c r="L1226" t="s">
        <v>18</v>
      </c>
      <c r="M1226">
        <v>10</v>
      </c>
    </row>
    <row r="1227" spans="2:13" ht="15" customHeight="1">
      <c r="B1227" t="s">
        <v>3230</v>
      </c>
      <c r="C1227" s="1">
        <v>41058.223368055558</v>
      </c>
      <c r="D1227" s="4">
        <v>55000</v>
      </c>
      <c r="E1227">
        <v>55000</v>
      </c>
      <c r="F1227" t="s">
        <v>6</v>
      </c>
      <c r="G1227">
        <f>tblSalaries[[#This Row],[clean Salary (in local currency)]]*VLOOKUP(tblSalaries[[#This Row],[Currency]],tblXrate[],2,FALSE)</f>
        <v>55000</v>
      </c>
      <c r="H1227" t="s">
        <v>1241</v>
      </c>
      <c r="I1227" t="s">
        <v>20</v>
      </c>
      <c r="J1227" t="s">
        <v>15</v>
      </c>
      <c r="K1227" t="str">
        <f>VLOOKUP(tblSalaries[[#This Row],[Where do you work]],tblCountries[[Actual]:[Mapping]],2,FALSE)</f>
        <v>USA</v>
      </c>
      <c r="L1227" t="s">
        <v>25</v>
      </c>
      <c r="M1227">
        <v>7</v>
      </c>
    </row>
    <row r="1228" spans="2:13" ht="15" customHeight="1">
      <c r="B1228" t="s">
        <v>3231</v>
      </c>
      <c r="C1228" s="1">
        <v>41058.241365740738</v>
      </c>
      <c r="D1228" s="4" t="s">
        <v>1402</v>
      </c>
      <c r="E1228">
        <v>43000</v>
      </c>
      <c r="F1228" t="s">
        <v>69</v>
      </c>
      <c r="G1228">
        <f>tblSalaries[[#This Row],[clean Salary (in local currency)]]*VLOOKUP(tblSalaries[[#This Row],[Currency]],tblXrate[],2,FALSE)</f>
        <v>67775.665698893223</v>
      </c>
      <c r="H1228" t="s">
        <v>181</v>
      </c>
      <c r="I1228" t="s">
        <v>488</v>
      </c>
      <c r="J1228" t="s">
        <v>71</v>
      </c>
      <c r="K1228" t="str">
        <f>VLOOKUP(tblSalaries[[#This Row],[Where do you work]],tblCountries[[Actual]:[Mapping]],2,FALSE)</f>
        <v>UK</v>
      </c>
      <c r="L1228" t="s">
        <v>9</v>
      </c>
      <c r="M1228">
        <v>25</v>
      </c>
    </row>
    <row r="1229" spans="2:13" ht="15" customHeight="1">
      <c r="B1229" t="s">
        <v>3232</v>
      </c>
      <c r="C1229" s="1">
        <v>41058.245625000003</v>
      </c>
      <c r="D1229" s="4" t="s">
        <v>1403</v>
      </c>
      <c r="E1229">
        <v>25750</v>
      </c>
      <c r="F1229" t="s">
        <v>69</v>
      </c>
      <c r="G1229">
        <f>tblSalaries[[#This Row],[clean Salary (in local currency)]]*VLOOKUP(tblSalaries[[#This Row],[Currency]],tblXrate[],2,FALSE)</f>
        <v>40586.590505732565</v>
      </c>
      <c r="H1229" t="s">
        <v>309</v>
      </c>
      <c r="I1229" t="s">
        <v>20</v>
      </c>
      <c r="J1229" t="s">
        <v>71</v>
      </c>
      <c r="K1229" t="str">
        <f>VLOOKUP(tblSalaries[[#This Row],[Where do you work]],tblCountries[[Actual]:[Mapping]],2,FALSE)</f>
        <v>UK</v>
      </c>
      <c r="L1229" t="s">
        <v>9</v>
      </c>
      <c r="M1229">
        <v>1</v>
      </c>
    </row>
    <row r="1230" spans="2:13" ht="15" customHeight="1">
      <c r="B1230" t="s">
        <v>3233</v>
      </c>
      <c r="C1230" s="1">
        <v>41058.255694444444</v>
      </c>
      <c r="D1230" s="4">
        <v>50846</v>
      </c>
      <c r="E1230">
        <v>50846</v>
      </c>
      <c r="F1230" t="s">
        <v>6</v>
      </c>
      <c r="G1230">
        <f>tblSalaries[[#This Row],[clean Salary (in local currency)]]*VLOOKUP(tblSalaries[[#This Row],[Currency]],tblXrate[],2,FALSE)</f>
        <v>50846</v>
      </c>
      <c r="H1230" t="s">
        <v>1404</v>
      </c>
      <c r="I1230" t="s">
        <v>20</v>
      </c>
      <c r="J1230" t="s">
        <v>15</v>
      </c>
      <c r="K1230" t="str">
        <f>VLOOKUP(tblSalaries[[#This Row],[Where do you work]],tblCountries[[Actual]:[Mapping]],2,FALSE)</f>
        <v>USA</v>
      </c>
      <c r="L1230" t="s">
        <v>9</v>
      </c>
      <c r="M1230">
        <v>25</v>
      </c>
    </row>
    <row r="1231" spans="2:13" ht="15" customHeight="1">
      <c r="B1231" t="s">
        <v>3234</v>
      </c>
      <c r="C1231" s="1">
        <v>41058.267083333332</v>
      </c>
      <c r="D1231" s="4">
        <v>63000</v>
      </c>
      <c r="E1231">
        <v>63000</v>
      </c>
      <c r="F1231" t="s">
        <v>6</v>
      </c>
      <c r="G1231">
        <f>tblSalaries[[#This Row],[clean Salary (in local currency)]]*VLOOKUP(tblSalaries[[#This Row],[Currency]],tblXrate[],2,FALSE)</f>
        <v>63000</v>
      </c>
      <c r="H1231" t="s">
        <v>257</v>
      </c>
      <c r="I1231" t="s">
        <v>310</v>
      </c>
      <c r="J1231" t="s">
        <v>15</v>
      </c>
      <c r="K1231" t="str">
        <f>VLOOKUP(tblSalaries[[#This Row],[Where do you work]],tblCountries[[Actual]:[Mapping]],2,FALSE)</f>
        <v>USA</v>
      </c>
      <c r="L1231" t="s">
        <v>13</v>
      </c>
      <c r="M1231">
        <v>16</v>
      </c>
    </row>
    <row r="1232" spans="2:13" ht="15" customHeight="1">
      <c r="B1232" t="s">
        <v>3235</v>
      </c>
      <c r="C1232" s="1">
        <v>41058.268113425926</v>
      </c>
      <c r="D1232" s="4">
        <v>80000</v>
      </c>
      <c r="E1232">
        <v>80000</v>
      </c>
      <c r="F1232" t="s">
        <v>82</v>
      </c>
      <c r="G1232">
        <f>tblSalaries[[#This Row],[clean Salary (in local currency)]]*VLOOKUP(tblSalaries[[#This Row],[Currency]],tblXrate[],2,FALSE)</f>
        <v>81592.772512210868</v>
      </c>
      <c r="H1232" t="s">
        <v>1405</v>
      </c>
      <c r="I1232" t="s">
        <v>310</v>
      </c>
      <c r="J1232" t="s">
        <v>84</v>
      </c>
      <c r="K1232" t="str">
        <f>VLOOKUP(tblSalaries[[#This Row],[Where do you work]],tblCountries[[Actual]:[Mapping]],2,FALSE)</f>
        <v>Australia</v>
      </c>
      <c r="L1232" t="s">
        <v>9</v>
      </c>
      <c r="M1232">
        <v>5</v>
      </c>
    </row>
    <row r="1233" spans="2:13" ht="15" customHeight="1">
      <c r="B1233" t="s">
        <v>3236</v>
      </c>
      <c r="C1233" s="1">
        <v>41058.30672453704</v>
      </c>
      <c r="D1233" s="4">
        <v>50700</v>
      </c>
      <c r="E1233">
        <v>50700</v>
      </c>
      <c r="F1233" t="s">
        <v>6</v>
      </c>
      <c r="G1233">
        <f>tblSalaries[[#This Row],[clean Salary (in local currency)]]*VLOOKUP(tblSalaries[[#This Row],[Currency]],tblXrate[],2,FALSE)</f>
        <v>50700</v>
      </c>
      <c r="H1233" t="s">
        <v>1406</v>
      </c>
      <c r="I1233" t="s">
        <v>20</v>
      </c>
      <c r="J1233" t="s">
        <v>143</v>
      </c>
      <c r="K1233" t="str">
        <f>VLOOKUP(tblSalaries[[#This Row],[Where do you work]],tblCountries[[Actual]:[Mapping]],2,FALSE)</f>
        <v>Brazil</v>
      </c>
      <c r="L1233" t="s">
        <v>25</v>
      </c>
      <c r="M1233">
        <v>15</v>
      </c>
    </row>
    <row r="1234" spans="2:13" ht="15" customHeight="1">
      <c r="B1234" t="s">
        <v>3237</v>
      </c>
      <c r="C1234" s="1">
        <v>41058.311585648145</v>
      </c>
      <c r="D1234" s="4">
        <v>20000</v>
      </c>
      <c r="E1234">
        <v>20000</v>
      </c>
      <c r="F1234" t="s">
        <v>69</v>
      </c>
      <c r="G1234">
        <f>tblSalaries[[#This Row],[clean Salary (in local currency)]]*VLOOKUP(tblSalaries[[#This Row],[Currency]],tblXrate[],2,FALSE)</f>
        <v>31523.565441345683</v>
      </c>
      <c r="H1234" t="s">
        <v>1407</v>
      </c>
      <c r="I1234" t="s">
        <v>20</v>
      </c>
      <c r="J1234" t="s">
        <v>71</v>
      </c>
      <c r="K1234" t="str">
        <f>VLOOKUP(tblSalaries[[#This Row],[Where do you work]],tblCountries[[Actual]:[Mapping]],2,FALSE)</f>
        <v>UK</v>
      </c>
      <c r="L1234" t="s">
        <v>9</v>
      </c>
      <c r="M1234">
        <v>1</v>
      </c>
    </row>
    <row r="1235" spans="2:13" ht="15" customHeight="1">
      <c r="B1235" t="s">
        <v>3238</v>
      </c>
      <c r="C1235" s="1">
        <v>41058.324259259258</v>
      </c>
      <c r="D1235" s="4">
        <v>70000</v>
      </c>
      <c r="E1235">
        <v>70000</v>
      </c>
      <c r="F1235" t="s">
        <v>6</v>
      </c>
      <c r="G1235">
        <f>tblSalaries[[#This Row],[clean Salary (in local currency)]]*VLOOKUP(tblSalaries[[#This Row],[Currency]],tblXrate[],2,FALSE)</f>
        <v>70000</v>
      </c>
      <c r="H1235" t="s">
        <v>1408</v>
      </c>
      <c r="I1235" t="s">
        <v>20</v>
      </c>
      <c r="J1235" t="s">
        <v>15</v>
      </c>
      <c r="K1235" t="str">
        <f>VLOOKUP(tblSalaries[[#This Row],[Where do you work]],tblCountries[[Actual]:[Mapping]],2,FALSE)</f>
        <v>USA</v>
      </c>
      <c r="L1235" t="s">
        <v>25</v>
      </c>
      <c r="M1235">
        <v>6</v>
      </c>
    </row>
    <row r="1236" spans="2:13" ht="15" customHeight="1">
      <c r="B1236" t="s">
        <v>3239</v>
      </c>
      <c r="C1236" s="1">
        <v>41058.328425925924</v>
      </c>
      <c r="D1236" s="4">
        <v>65000</v>
      </c>
      <c r="E1236">
        <v>65000</v>
      </c>
      <c r="F1236" t="s">
        <v>86</v>
      </c>
      <c r="G1236">
        <f>tblSalaries[[#This Row],[clean Salary (in local currency)]]*VLOOKUP(tblSalaries[[#This Row],[Currency]],tblXrate[],2,FALSE)</f>
        <v>63918.498996971248</v>
      </c>
      <c r="H1236" t="s">
        <v>1409</v>
      </c>
      <c r="I1236" t="s">
        <v>52</v>
      </c>
      <c r="J1236" t="s">
        <v>88</v>
      </c>
      <c r="K1236" t="str">
        <f>VLOOKUP(tblSalaries[[#This Row],[Where do you work]],tblCountries[[Actual]:[Mapping]],2,FALSE)</f>
        <v>Canada</v>
      </c>
      <c r="L1236" t="s">
        <v>18</v>
      </c>
      <c r="M1236">
        <v>15</v>
      </c>
    </row>
    <row r="1237" spans="2:13" ht="15" customHeight="1">
      <c r="B1237" t="s">
        <v>3240</v>
      </c>
      <c r="C1237" s="1">
        <v>41058.331296296295</v>
      </c>
      <c r="D1237" s="4">
        <v>800000</v>
      </c>
      <c r="E1237">
        <v>9600000</v>
      </c>
      <c r="F1237" t="s">
        <v>1410</v>
      </c>
      <c r="G1237">
        <f>tblSalaries[[#This Row],[clean Salary (in local currency)]]*VLOOKUP(tblSalaries[[#This Row],[Currency]],tblXrate[],2,FALSE)</f>
        <v>7261.724659606657</v>
      </c>
      <c r="H1237" t="s">
        <v>20</v>
      </c>
      <c r="I1237" t="s">
        <v>20</v>
      </c>
      <c r="J1237" t="s">
        <v>1411</v>
      </c>
      <c r="K1237" t="str">
        <f>VLOOKUP(tblSalaries[[#This Row],[Where do you work]],tblCountries[[Actual]:[Mapping]],2,FALSE)</f>
        <v>Mongolia</v>
      </c>
      <c r="L1237" t="s">
        <v>13</v>
      </c>
      <c r="M1237">
        <v>2</v>
      </c>
    </row>
    <row r="1238" spans="2:13" ht="15" customHeight="1">
      <c r="B1238" t="s">
        <v>3241</v>
      </c>
      <c r="C1238" s="1">
        <v>41058.342430555553</v>
      </c>
      <c r="D1238" s="4" t="s">
        <v>1412</v>
      </c>
      <c r="E1238">
        <v>36000</v>
      </c>
      <c r="F1238" t="s">
        <v>3939</v>
      </c>
      <c r="G1238">
        <f>tblSalaries[[#This Row],[clean Salary (in local currency)]]*VLOOKUP(tblSalaries[[#This Row],[Currency]],tblXrate[],2,FALSE)</f>
        <v>11404.820437438224</v>
      </c>
      <c r="H1238" t="s">
        <v>1413</v>
      </c>
      <c r="I1238" t="s">
        <v>279</v>
      </c>
      <c r="J1238" t="s">
        <v>1131</v>
      </c>
      <c r="K1238" t="str">
        <f>VLOOKUP(tblSalaries[[#This Row],[Where do you work]],tblCountries[[Actual]:[Mapping]],2,FALSE)</f>
        <v>Malaysia</v>
      </c>
      <c r="L1238" t="s">
        <v>9</v>
      </c>
      <c r="M1238">
        <v>2</v>
      </c>
    </row>
    <row r="1239" spans="2:13" ht="15" customHeight="1">
      <c r="B1239" t="s">
        <v>3242</v>
      </c>
      <c r="C1239" s="1">
        <v>41058.351284722223</v>
      </c>
      <c r="D1239" s="4" t="s">
        <v>1414</v>
      </c>
      <c r="E1239">
        <v>120000</v>
      </c>
      <c r="F1239" t="s">
        <v>6</v>
      </c>
      <c r="G1239">
        <f>tblSalaries[[#This Row],[clean Salary (in local currency)]]*VLOOKUP(tblSalaries[[#This Row],[Currency]],tblXrate[],2,FALSE)</f>
        <v>120000</v>
      </c>
      <c r="H1239" t="s">
        <v>1415</v>
      </c>
      <c r="I1239" t="s">
        <v>356</v>
      </c>
      <c r="J1239" t="s">
        <v>171</v>
      </c>
      <c r="K1239" t="str">
        <f>VLOOKUP(tblSalaries[[#This Row],[Where do you work]],tblCountries[[Actual]:[Mapping]],2,FALSE)</f>
        <v>Singapore</v>
      </c>
      <c r="L1239" t="s">
        <v>25</v>
      </c>
      <c r="M1239">
        <v>5</v>
      </c>
    </row>
    <row r="1240" spans="2:13" ht="15" customHeight="1">
      <c r="B1240" t="s">
        <v>3243</v>
      </c>
      <c r="C1240" s="1">
        <v>41058.361828703702</v>
      </c>
      <c r="D1240" s="4">
        <v>90000</v>
      </c>
      <c r="E1240">
        <v>90000</v>
      </c>
      <c r="F1240" t="s">
        <v>82</v>
      </c>
      <c r="G1240">
        <f>tblSalaries[[#This Row],[clean Salary (in local currency)]]*VLOOKUP(tblSalaries[[#This Row],[Currency]],tblXrate[],2,FALSE)</f>
        <v>91791.869076237213</v>
      </c>
      <c r="H1240" t="s">
        <v>207</v>
      </c>
      <c r="I1240" t="s">
        <v>20</v>
      </c>
      <c r="J1240" t="s">
        <v>84</v>
      </c>
      <c r="K1240" t="str">
        <f>VLOOKUP(tblSalaries[[#This Row],[Where do you work]],tblCountries[[Actual]:[Mapping]],2,FALSE)</f>
        <v>Australia</v>
      </c>
      <c r="L1240" t="s">
        <v>9</v>
      </c>
      <c r="M1240">
        <v>5</v>
      </c>
    </row>
    <row r="1241" spans="2:13" ht="15" customHeight="1">
      <c r="B1241" t="s">
        <v>3244</v>
      </c>
      <c r="C1241" s="1">
        <v>41058.361967592595</v>
      </c>
      <c r="D1241" s="4">
        <v>110000</v>
      </c>
      <c r="E1241">
        <v>110000</v>
      </c>
      <c r="F1241" t="s">
        <v>82</v>
      </c>
      <c r="G1241">
        <f>tblSalaries[[#This Row],[clean Salary (in local currency)]]*VLOOKUP(tblSalaries[[#This Row],[Currency]],tblXrate[],2,FALSE)</f>
        <v>112190.06220428993</v>
      </c>
      <c r="H1241" t="s">
        <v>20</v>
      </c>
      <c r="I1241" t="s">
        <v>20</v>
      </c>
      <c r="J1241" t="s">
        <v>84</v>
      </c>
      <c r="K1241" t="str">
        <f>VLOOKUP(tblSalaries[[#This Row],[Where do you work]],tblCountries[[Actual]:[Mapping]],2,FALSE)</f>
        <v>Australia</v>
      </c>
      <c r="L1241" t="s">
        <v>18</v>
      </c>
      <c r="M1241">
        <v>7</v>
      </c>
    </row>
    <row r="1242" spans="2:13" ht="15" customHeight="1">
      <c r="B1242" t="s">
        <v>3245</v>
      </c>
      <c r="C1242" s="1">
        <v>41058.366527777776</v>
      </c>
      <c r="D1242" s="4">
        <v>40000</v>
      </c>
      <c r="E1242">
        <v>40000</v>
      </c>
      <c r="F1242" t="s">
        <v>6</v>
      </c>
      <c r="G1242">
        <f>tblSalaries[[#This Row],[clean Salary (in local currency)]]*VLOOKUP(tblSalaries[[#This Row],[Currency]],tblXrate[],2,FALSE)</f>
        <v>40000</v>
      </c>
      <c r="H1242" t="s">
        <v>1416</v>
      </c>
      <c r="I1242" t="s">
        <v>52</v>
      </c>
      <c r="J1242" t="s">
        <v>15</v>
      </c>
      <c r="K1242" t="str">
        <f>VLOOKUP(tblSalaries[[#This Row],[Where do you work]],tblCountries[[Actual]:[Mapping]],2,FALSE)</f>
        <v>USA</v>
      </c>
      <c r="L1242" t="s">
        <v>18</v>
      </c>
      <c r="M1242">
        <v>18</v>
      </c>
    </row>
    <row r="1243" spans="2:13" ht="15" customHeight="1">
      <c r="B1243" t="s">
        <v>3246</v>
      </c>
      <c r="C1243" s="1">
        <v>41058.374780092592</v>
      </c>
      <c r="D1243" s="4">
        <v>107000</v>
      </c>
      <c r="E1243">
        <v>107000</v>
      </c>
      <c r="F1243" t="s">
        <v>6</v>
      </c>
      <c r="G1243">
        <f>tblSalaries[[#This Row],[clean Salary (in local currency)]]*VLOOKUP(tblSalaries[[#This Row],[Currency]],tblXrate[],2,FALSE)</f>
        <v>107000</v>
      </c>
      <c r="H1243" t="s">
        <v>1417</v>
      </c>
      <c r="I1243" t="s">
        <v>310</v>
      </c>
      <c r="J1243" t="s">
        <v>15</v>
      </c>
      <c r="K1243" t="str">
        <f>VLOOKUP(tblSalaries[[#This Row],[Where do you work]],tblCountries[[Actual]:[Mapping]],2,FALSE)</f>
        <v>USA</v>
      </c>
      <c r="L1243" t="s">
        <v>9</v>
      </c>
      <c r="M1243">
        <v>12</v>
      </c>
    </row>
    <row r="1244" spans="2:13" ht="15" customHeight="1">
      <c r="B1244" t="s">
        <v>3247</v>
      </c>
      <c r="C1244" s="1">
        <v>41058.385520833333</v>
      </c>
      <c r="D1244" s="4">
        <v>82000</v>
      </c>
      <c r="E1244">
        <v>82000</v>
      </c>
      <c r="F1244" t="s">
        <v>6</v>
      </c>
      <c r="G1244">
        <f>tblSalaries[[#This Row],[clean Salary (in local currency)]]*VLOOKUP(tblSalaries[[#This Row],[Currency]],tblXrate[],2,FALSE)</f>
        <v>82000</v>
      </c>
      <c r="H1244" t="s">
        <v>1418</v>
      </c>
      <c r="I1244" t="s">
        <v>52</v>
      </c>
      <c r="J1244" t="s">
        <v>15</v>
      </c>
      <c r="K1244" t="str">
        <f>VLOOKUP(tblSalaries[[#This Row],[Where do you work]],tblCountries[[Actual]:[Mapping]],2,FALSE)</f>
        <v>USA</v>
      </c>
      <c r="L1244" t="s">
        <v>9</v>
      </c>
      <c r="M1244">
        <v>10</v>
      </c>
    </row>
    <row r="1245" spans="2:13" ht="15" customHeight="1">
      <c r="B1245" t="s">
        <v>3248</v>
      </c>
      <c r="C1245" s="1">
        <v>41058.39271990741</v>
      </c>
      <c r="D1245" s="4">
        <v>100000</v>
      </c>
      <c r="E1245">
        <v>100000</v>
      </c>
      <c r="F1245" t="s">
        <v>82</v>
      </c>
      <c r="G1245">
        <f>tblSalaries[[#This Row],[clean Salary (in local currency)]]*VLOOKUP(tblSalaries[[#This Row],[Currency]],tblXrate[],2,FALSE)</f>
        <v>101990.96564026357</v>
      </c>
      <c r="H1245" t="s">
        <v>1419</v>
      </c>
      <c r="I1245" t="s">
        <v>356</v>
      </c>
      <c r="J1245" t="s">
        <v>84</v>
      </c>
      <c r="K1245" t="str">
        <f>VLOOKUP(tblSalaries[[#This Row],[Where do you work]],tblCountries[[Actual]:[Mapping]],2,FALSE)</f>
        <v>Australia</v>
      </c>
      <c r="L1245" t="s">
        <v>9</v>
      </c>
      <c r="M1245">
        <v>15</v>
      </c>
    </row>
    <row r="1246" spans="2:13" ht="15" customHeight="1">
      <c r="B1246" t="s">
        <v>3249</v>
      </c>
      <c r="C1246" s="1">
        <v>41058.40115740741</v>
      </c>
      <c r="D1246" s="4" t="s">
        <v>1420</v>
      </c>
      <c r="E1246">
        <v>43000</v>
      </c>
      <c r="F1246" t="s">
        <v>6</v>
      </c>
      <c r="G1246">
        <f>tblSalaries[[#This Row],[clean Salary (in local currency)]]*VLOOKUP(tblSalaries[[#This Row],[Currency]],tblXrate[],2,FALSE)</f>
        <v>43000</v>
      </c>
      <c r="H1246" t="s">
        <v>1421</v>
      </c>
      <c r="I1246" t="s">
        <v>52</v>
      </c>
      <c r="J1246" t="s">
        <v>84</v>
      </c>
      <c r="K1246" t="str">
        <f>VLOOKUP(tblSalaries[[#This Row],[Where do you work]],tblCountries[[Actual]:[Mapping]],2,FALSE)</f>
        <v>Australia</v>
      </c>
      <c r="L1246" t="s">
        <v>18</v>
      </c>
      <c r="M1246">
        <v>4</v>
      </c>
    </row>
    <row r="1247" spans="2:13" ht="15" customHeight="1">
      <c r="B1247" t="s">
        <v>3250</v>
      </c>
      <c r="C1247" s="1">
        <v>41058.401550925926</v>
      </c>
      <c r="D1247" s="4">
        <v>69000</v>
      </c>
      <c r="E1247">
        <v>69000</v>
      </c>
      <c r="F1247" t="s">
        <v>6</v>
      </c>
      <c r="G1247">
        <f>tblSalaries[[#This Row],[clean Salary (in local currency)]]*VLOOKUP(tblSalaries[[#This Row],[Currency]],tblXrate[],2,FALSE)</f>
        <v>69000</v>
      </c>
      <c r="H1247" t="s">
        <v>1422</v>
      </c>
      <c r="I1247" t="s">
        <v>488</v>
      </c>
      <c r="J1247" t="s">
        <v>15</v>
      </c>
      <c r="K1247" t="str">
        <f>VLOOKUP(tblSalaries[[#This Row],[Where do you work]],tblCountries[[Actual]:[Mapping]],2,FALSE)</f>
        <v>USA</v>
      </c>
      <c r="L1247" t="s">
        <v>9</v>
      </c>
      <c r="M1247">
        <v>20</v>
      </c>
    </row>
    <row r="1248" spans="2:13" ht="15" customHeight="1">
      <c r="B1248" t="s">
        <v>3251</v>
      </c>
      <c r="C1248" s="1">
        <v>41058.408182870371</v>
      </c>
      <c r="D1248" s="4">
        <v>30000</v>
      </c>
      <c r="E1248">
        <v>30000</v>
      </c>
      <c r="F1248" t="s">
        <v>6</v>
      </c>
      <c r="G1248">
        <f>tblSalaries[[#This Row],[clean Salary (in local currency)]]*VLOOKUP(tblSalaries[[#This Row],[Currency]],tblXrate[],2,FALSE)</f>
        <v>30000</v>
      </c>
      <c r="H1248" t="s">
        <v>1423</v>
      </c>
      <c r="I1248" t="s">
        <v>52</v>
      </c>
      <c r="J1248" t="s">
        <v>8</v>
      </c>
      <c r="K1248" t="str">
        <f>VLOOKUP(tblSalaries[[#This Row],[Where do you work]],tblCountries[[Actual]:[Mapping]],2,FALSE)</f>
        <v>India</v>
      </c>
      <c r="L1248" t="s">
        <v>18</v>
      </c>
      <c r="M1248">
        <v>3</v>
      </c>
    </row>
    <row r="1249" spans="2:13" ht="15" customHeight="1">
      <c r="B1249" t="s">
        <v>3252</v>
      </c>
      <c r="C1249" s="1">
        <v>41058.411134259259</v>
      </c>
      <c r="D1249" s="4" t="s">
        <v>1424</v>
      </c>
      <c r="E1249">
        <v>48000</v>
      </c>
      <c r="F1249" t="s">
        <v>82</v>
      </c>
      <c r="G1249">
        <f>tblSalaries[[#This Row],[clean Salary (in local currency)]]*VLOOKUP(tblSalaries[[#This Row],[Currency]],tblXrate[],2,FALSE)</f>
        <v>48955.663507326513</v>
      </c>
      <c r="H1249" t="s">
        <v>640</v>
      </c>
      <c r="I1249" t="s">
        <v>20</v>
      </c>
      <c r="J1249" t="s">
        <v>84</v>
      </c>
      <c r="K1249" t="str">
        <f>VLOOKUP(tblSalaries[[#This Row],[Where do you work]],tblCountries[[Actual]:[Mapping]],2,FALSE)</f>
        <v>Australia</v>
      </c>
      <c r="L1249" t="s">
        <v>25</v>
      </c>
      <c r="M1249">
        <v>2</v>
      </c>
    </row>
    <row r="1250" spans="2:13" ht="15" customHeight="1">
      <c r="B1250" t="s">
        <v>3253</v>
      </c>
      <c r="C1250" s="1">
        <v>41058.422465277778</v>
      </c>
      <c r="D1250" s="4">
        <v>70000</v>
      </c>
      <c r="E1250">
        <v>70000</v>
      </c>
      <c r="F1250" t="s">
        <v>6</v>
      </c>
      <c r="G1250">
        <f>tblSalaries[[#This Row],[clean Salary (in local currency)]]*VLOOKUP(tblSalaries[[#This Row],[Currency]],tblXrate[],2,FALSE)</f>
        <v>70000</v>
      </c>
      <c r="H1250" t="s">
        <v>201</v>
      </c>
      <c r="I1250" t="s">
        <v>52</v>
      </c>
      <c r="J1250" t="s">
        <v>15</v>
      </c>
      <c r="K1250" t="str">
        <f>VLOOKUP(tblSalaries[[#This Row],[Where do you work]],tblCountries[[Actual]:[Mapping]],2,FALSE)</f>
        <v>USA</v>
      </c>
      <c r="L1250" t="s">
        <v>9</v>
      </c>
      <c r="M1250">
        <v>8</v>
      </c>
    </row>
    <row r="1251" spans="2:13" ht="15" customHeight="1">
      <c r="B1251" t="s">
        <v>3254</v>
      </c>
      <c r="C1251" s="1">
        <v>41058.423344907409</v>
      </c>
      <c r="D1251" s="4">
        <v>45000</v>
      </c>
      <c r="E1251">
        <v>45000</v>
      </c>
      <c r="F1251" t="s">
        <v>6</v>
      </c>
      <c r="G1251">
        <f>tblSalaries[[#This Row],[clean Salary (in local currency)]]*VLOOKUP(tblSalaries[[#This Row],[Currency]],tblXrate[],2,FALSE)</f>
        <v>45000</v>
      </c>
      <c r="H1251" t="s">
        <v>1425</v>
      </c>
      <c r="I1251" t="s">
        <v>20</v>
      </c>
      <c r="J1251" t="s">
        <v>15</v>
      </c>
      <c r="K1251" t="str">
        <f>VLOOKUP(tblSalaries[[#This Row],[Where do you work]],tblCountries[[Actual]:[Mapping]],2,FALSE)</f>
        <v>USA</v>
      </c>
      <c r="L1251" t="s">
        <v>9</v>
      </c>
      <c r="M1251">
        <v>7</v>
      </c>
    </row>
    <row r="1252" spans="2:13" ht="15" customHeight="1">
      <c r="B1252" t="s">
        <v>3255</v>
      </c>
      <c r="C1252" s="1">
        <v>41058.424629629626</v>
      </c>
      <c r="D1252" s="4">
        <v>35000</v>
      </c>
      <c r="E1252">
        <v>35000</v>
      </c>
      <c r="F1252" t="s">
        <v>6</v>
      </c>
      <c r="G1252">
        <f>tblSalaries[[#This Row],[clean Salary (in local currency)]]*VLOOKUP(tblSalaries[[#This Row],[Currency]],tblXrate[],2,FALSE)</f>
        <v>35000</v>
      </c>
      <c r="H1252" t="s">
        <v>1426</v>
      </c>
      <c r="I1252" t="s">
        <v>4001</v>
      </c>
      <c r="J1252" t="s">
        <v>1131</v>
      </c>
      <c r="K1252" t="str">
        <f>VLOOKUP(tblSalaries[[#This Row],[Where do you work]],tblCountries[[Actual]:[Mapping]],2,FALSE)</f>
        <v>Malaysia</v>
      </c>
      <c r="L1252" t="s">
        <v>13</v>
      </c>
      <c r="M1252">
        <v>12</v>
      </c>
    </row>
    <row r="1253" spans="2:13" ht="15" customHeight="1">
      <c r="B1253" t="s">
        <v>3256</v>
      </c>
      <c r="C1253" s="1">
        <v>41058.447094907409</v>
      </c>
      <c r="D1253" s="4">
        <v>500000</v>
      </c>
      <c r="E1253">
        <v>500000</v>
      </c>
      <c r="F1253" t="s">
        <v>40</v>
      </c>
      <c r="G1253">
        <f>tblSalaries[[#This Row],[clean Salary (in local currency)]]*VLOOKUP(tblSalaries[[#This Row],[Currency]],tblXrate[],2,FALSE)</f>
        <v>8903.9583437212841</v>
      </c>
      <c r="H1253" t="s">
        <v>1427</v>
      </c>
      <c r="I1253" t="s">
        <v>52</v>
      </c>
      <c r="J1253" t="s">
        <v>8</v>
      </c>
      <c r="K1253" t="str">
        <f>VLOOKUP(tblSalaries[[#This Row],[Where do you work]],tblCountries[[Actual]:[Mapping]],2,FALSE)</f>
        <v>India</v>
      </c>
      <c r="L1253" t="s">
        <v>18</v>
      </c>
      <c r="M1253">
        <v>29</v>
      </c>
    </row>
    <row r="1254" spans="2:13" ht="15" customHeight="1">
      <c r="B1254" t="s">
        <v>3257</v>
      </c>
      <c r="C1254" s="1">
        <v>41058.448449074072</v>
      </c>
      <c r="D1254" s="4" t="s">
        <v>1428</v>
      </c>
      <c r="E1254">
        <v>89500</v>
      </c>
      <c r="F1254" t="s">
        <v>3939</v>
      </c>
      <c r="G1254">
        <f>tblSalaries[[#This Row],[clean Salary (in local currency)]]*VLOOKUP(tblSalaries[[#This Row],[Currency]],tblXrate[],2,FALSE)</f>
        <v>28353.650809742252</v>
      </c>
      <c r="H1254" t="s">
        <v>52</v>
      </c>
      <c r="I1254" t="s">
        <v>52</v>
      </c>
      <c r="J1254" t="s">
        <v>1131</v>
      </c>
      <c r="K1254" t="str">
        <f>VLOOKUP(tblSalaries[[#This Row],[Where do you work]],tblCountries[[Actual]:[Mapping]],2,FALSE)</f>
        <v>Malaysia</v>
      </c>
      <c r="L1254" t="s">
        <v>18</v>
      </c>
      <c r="M1254">
        <v>20</v>
      </c>
    </row>
    <row r="1255" spans="2:13" ht="15" customHeight="1">
      <c r="B1255" t="s">
        <v>3258</v>
      </c>
      <c r="C1255" s="1">
        <v>41058.450381944444</v>
      </c>
      <c r="D1255" s="4" t="s">
        <v>1429</v>
      </c>
      <c r="E1255">
        <v>11800</v>
      </c>
      <c r="F1255" t="s">
        <v>6</v>
      </c>
      <c r="G1255">
        <f>tblSalaries[[#This Row],[clean Salary (in local currency)]]*VLOOKUP(tblSalaries[[#This Row],[Currency]],tblXrate[],2,FALSE)</f>
        <v>11800</v>
      </c>
      <c r="H1255" t="s">
        <v>1430</v>
      </c>
      <c r="I1255" t="s">
        <v>20</v>
      </c>
      <c r="J1255" t="s">
        <v>8</v>
      </c>
      <c r="K1255" t="str">
        <f>VLOOKUP(tblSalaries[[#This Row],[Where do you work]],tblCountries[[Actual]:[Mapping]],2,FALSE)</f>
        <v>India</v>
      </c>
      <c r="L1255" t="s">
        <v>9</v>
      </c>
      <c r="M1255">
        <v>10</v>
      </c>
    </row>
    <row r="1256" spans="2:13" ht="15" customHeight="1">
      <c r="B1256" t="s">
        <v>3259</v>
      </c>
      <c r="C1256" s="1">
        <v>41058.452106481483</v>
      </c>
      <c r="D1256" s="4" t="s">
        <v>1431</v>
      </c>
      <c r="E1256">
        <v>360000</v>
      </c>
      <c r="F1256" t="s">
        <v>40</v>
      </c>
      <c r="G1256">
        <f>tblSalaries[[#This Row],[clean Salary (in local currency)]]*VLOOKUP(tblSalaries[[#This Row],[Currency]],tblXrate[],2,FALSE)</f>
        <v>6410.8500074793246</v>
      </c>
      <c r="H1256" t="s">
        <v>1432</v>
      </c>
      <c r="I1256" t="s">
        <v>52</v>
      </c>
      <c r="J1256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>
        <v>6</v>
      </c>
    </row>
    <row r="1257" spans="2:13" ht="15" customHeight="1">
      <c r="B1257" t="s">
        <v>3260</v>
      </c>
      <c r="C1257" s="1">
        <v>41058.45244212963</v>
      </c>
      <c r="D1257" s="4">
        <v>50000</v>
      </c>
      <c r="E1257">
        <v>50000</v>
      </c>
      <c r="F1257" t="s">
        <v>6</v>
      </c>
      <c r="G1257">
        <f>tblSalaries[[#This Row],[clean Salary (in local currency)]]*VLOOKUP(tblSalaries[[#This Row],[Currency]],tblXrate[],2,FALSE)</f>
        <v>50000</v>
      </c>
      <c r="H1257" t="s">
        <v>153</v>
      </c>
      <c r="I1257" t="s">
        <v>20</v>
      </c>
      <c r="J1257" t="s">
        <v>15</v>
      </c>
      <c r="K1257" t="str">
        <f>VLOOKUP(tblSalaries[[#This Row],[Where do you work]],tblCountries[[Actual]:[Mapping]],2,FALSE)</f>
        <v>USA</v>
      </c>
      <c r="L1257" t="s">
        <v>9</v>
      </c>
      <c r="M1257">
        <v>3</v>
      </c>
    </row>
    <row r="1258" spans="2:13" ht="15" customHeight="1">
      <c r="B1258" t="s">
        <v>3261</v>
      </c>
      <c r="C1258" s="1">
        <v>41058.458703703705</v>
      </c>
      <c r="D1258" s="4">
        <v>85000</v>
      </c>
      <c r="E1258">
        <v>85000</v>
      </c>
      <c r="F1258" t="s">
        <v>6</v>
      </c>
      <c r="G1258">
        <f>tblSalaries[[#This Row],[clean Salary (in local currency)]]*VLOOKUP(tblSalaries[[#This Row],[Currency]],tblXrate[],2,FALSE)</f>
        <v>85000</v>
      </c>
      <c r="H1258" t="s">
        <v>1433</v>
      </c>
      <c r="I1258" t="s">
        <v>52</v>
      </c>
      <c r="J1258" t="s">
        <v>1434</v>
      </c>
      <c r="K1258" t="str">
        <f>VLOOKUP(tblSalaries[[#This Row],[Where do you work]],tblCountries[[Actual]:[Mapping]],2,FALSE)</f>
        <v>Sri Lanka</v>
      </c>
      <c r="L1258" t="s">
        <v>13</v>
      </c>
      <c r="M1258">
        <v>10</v>
      </c>
    </row>
    <row r="1259" spans="2:13" ht="15" customHeight="1">
      <c r="B1259" t="s">
        <v>3262</v>
      </c>
      <c r="C1259" s="1">
        <v>41058.483252314814</v>
      </c>
      <c r="D1259" s="4" t="s">
        <v>1435</v>
      </c>
      <c r="E1259">
        <v>1000000</v>
      </c>
      <c r="F1259" t="s">
        <v>40</v>
      </c>
      <c r="G1259">
        <f>tblSalaries[[#This Row],[clean Salary (in local currency)]]*VLOOKUP(tblSalaries[[#This Row],[Currency]],tblXrate[],2,FALSE)</f>
        <v>17807.916687442568</v>
      </c>
      <c r="H1259" t="s">
        <v>52</v>
      </c>
      <c r="I1259" t="s">
        <v>52</v>
      </c>
      <c r="J1259" t="s">
        <v>8</v>
      </c>
      <c r="K1259" t="str">
        <f>VLOOKUP(tblSalaries[[#This Row],[Where do you work]],tblCountries[[Actual]:[Mapping]],2,FALSE)</f>
        <v>India</v>
      </c>
      <c r="L1259" t="s">
        <v>18</v>
      </c>
      <c r="M1259">
        <v>10</v>
      </c>
    </row>
    <row r="1260" spans="2:13" ht="15" customHeight="1">
      <c r="B1260" t="s">
        <v>3263</v>
      </c>
      <c r="C1260" s="1">
        <v>41058.49082175926</v>
      </c>
      <c r="D1260" s="4" t="s">
        <v>1436</v>
      </c>
      <c r="E1260">
        <v>900000</v>
      </c>
      <c r="F1260" t="s">
        <v>40</v>
      </c>
      <c r="G1260">
        <f>tblSalaries[[#This Row],[clean Salary (in local currency)]]*VLOOKUP(tblSalaries[[#This Row],[Currency]],tblXrate[],2,FALSE)</f>
        <v>16027.125018698311</v>
      </c>
      <c r="H1260" t="s">
        <v>1437</v>
      </c>
      <c r="I1260" t="s">
        <v>488</v>
      </c>
      <c r="J1260" t="s">
        <v>8</v>
      </c>
      <c r="K1260" t="str">
        <f>VLOOKUP(tblSalaries[[#This Row],[Where do you work]],tblCountries[[Actual]:[Mapping]],2,FALSE)</f>
        <v>India</v>
      </c>
      <c r="L1260" t="s">
        <v>13</v>
      </c>
      <c r="M1260">
        <v>8</v>
      </c>
    </row>
    <row r="1261" spans="2:13" ht="15" customHeight="1">
      <c r="B1261" t="s">
        <v>3264</v>
      </c>
      <c r="C1261" s="1">
        <v>41058.494155092594</v>
      </c>
      <c r="D1261" s="4">
        <v>192000</v>
      </c>
      <c r="E1261">
        <v>192000</v>
      </c>
      <c r="F1261" t="s">
        <v>6</v>
      </c>
      <c r="G1261">
        <f>tblSalaries[[#This Row],[clean Salary (in local currency)]]*VLOOKUP(tblSalaries[[#This Row],[Currency]],tblXrate[],2,FALSE)</f>
        <v>192000</v>
      </c>
      <c r="H1261" t="s">
        <v>1438</v>
      </c>
      <c r="I1261" t="s">
        <v>4001</v>
      </c>
      <c r="J1261" t="s">
        <v>15</v>
      </c>
      <c r="K1261" t="str">
        <f>VLOOKUP(tblSalaries[[#This Row],[Where do you work]],tblCountries[[Actual]:[Mapping]],2,FALSE)</f>
        <v>USA</v>
      </c>
      <c r="L1261" t="s">
        <v>13</v>
      </c>
      <c r="M1261">
        <v>27</v>
      </c>
    </row>
    <row r="1262" spans="2:13" ht="15" customHeight="1">
      <c r="B1262" t="s">
        <v>3265</v>
      </c>
      <c r="C1262" s="1">
        <v>41058.509745370371</v>
      </c>
      <c r="D1262" s="4">
        <v>54000</v>
      </c>
      <c r="E1262">
        <v>54000</v>
      </c>
      <c r="F1262" t="s">
        <v>6</v>
      </c>
      <c r="G1262">
        <f>tblSalaries[[#This Row],[clean Salary (in local currency)]]*VLOOKUP(tblSalaries[[#This Row],[Currency]],tblXrate[],2,FALSE)</f>
        <v>54000</v>
      </c>
      <c r="H1262" t="s">
        <v>1439</v>
      </c>
      <c r="I1262" t="s">
        <v>20</v>
      </c>
      <c r="J1262" t="s">
        <v>15</v>
      </c>
      <c r="K1262" t="str">
        <f>VLOOKUP(tblSalaries[[#This Row],[Where do you work]],tblCountries[[Actual]:[Mapping]],2,FALSE)</f>
        <v>USA</v>
      </c>
      <c r="L1262" t="s">
        <v>13</v>
      </c>
      <c r="M1262">
        <v>6</v>
      </c>
    </row>
    <row r="1263" spans="2:13" ht="15" customHeight="1">
      <c r="B1263" t="s">
        <v>3266</v>
      </c>
      <c r="C1263" s="1">
        <v>41058.511886574073</v>
      </c>
      <c r="D1263" s="4">
        <v>18000</v>
      </c>
      <c r="E1263">
        <v>18000</v>
      </c>
      <c r="F1263" t="s">
        <v>6</v>
      </c>
      <c r="G1263">
        <f>tblSalaries[[#This Row],[clean Salary (in local currency)]]*VLOOKUP(tblSalaries[[#This Row],[Currency]],tblXrate[],2,FALSE)</f>
        <v>18000</v>
      </c>
      <c r="H1263" t="s">
        <v>52</v>
      </c>
      <c r="I1263" t="s">
        <v>52</v>
      </c>
      <c r="J1263" t="s">
        <v>8</v>
      </c>
      <c r="K1263" t="str">
        <f>VLOOKUP(tblSalaries[[#This Row],[Where do you work]],tblCountries[[Actual]:[Mapping]],2,FALSE)</f>
        <v>India</v>
      </c>
      <c r="L1263" t="s">
        <v>9</v>
      </c>
      <c r="M1263">
        <v>12</v>
      </c>
    </row>
    <row r="1264" spans="2:13" ht="15" customHeight="1">
      <c r="B1264" t="s">
        <v>3267</v>
      </c>
      <c r="C1264" s="1">
        <v>41058.513645833336</v>
      </c>
      <c r="D1264" s="4" t="s">
        <v>1440</v>
      </c>
      <c r="E1264">
        <v>300000</v>
      </c>
      <c r="F1264" t="s">
        <v>40</v>
      </c>
      <c r="G1264">
        <f>tblSalaries[[#This Row],[clean Salary (in local currency)]]*VLOOKUP(tblSalaries[[#This Row],[Currency]],tblXrate[],2,FALSE)</f>
        <v>5342.3750062327708</v>
      </c>
      <c r="H1264" t="s">
        <v>1441</v>
      </c>
      <c r="I1264" t="s">
        <v>3999</v>
      </c>
      <c r="J1264" t="s">
        <v>8</v>
      </c>
      <c r="K1264" t="str">
        <f>VLOOKUP(tblSalaries[[#This Row],[Where do you work]],tblCountries[[Actual]:[Mapping]],2,FALSE)</f>
        <v>India</v>
      </c>
      <c r="L1264" t="s">
        <v>18</v>
      </c>
      <c r="M1264">
        <v>5</v>
      </c>
    </row>
    <row r="1265" spans="2:13" ht="15" customHeight="1">
      <c r="B1265" t="s">
        <v>3268</v>
      </c>
      <c r="C1265" s="1">
        <v>41058.51425925926</v>
      </c>
      <c r="D1265" s="4" t="s">
        <v>1442</v>
      </c>
      <c r="E1265">
        <v>400000</v>
      </c>
      <c r="F1265" t="s">
        <v>40</v>
      </c>
      <c r="G1265">
        <f>tblSalaries[[#This Row],[clean Salary (in local currency)]]*VLOOKUP(tblSalaries[[#This Row],[Currency]],tblXrate[],2,FALSE)</f>
        <v>7123.1666749770275</v>
      </c>
      <c r="H1265" t="s">
        <v>767</v>
      </c>
      <c r="I1265" t="s">
        <v>52</v>
      </c>
      <c r="J1265" t="s">
        <v>8</v>
      </c>
      <c r="K1265" t="str">
        <f>VLOOKUP(tblSalaries[[#This Row],[Where do you work]],tblCountries[[Actual]:[Mapping]],2,FALSE)</f>
        <v>India</v>
      </c>
      <c r="L1265" t="s">
        <v>13</v>
      </c>
      <c r="M1265">
        <v>3</v>
      </c>
    </row>
    <row r="1266" spans="2:13" ht="15" customHeight="1">
      <c r="B1266" t="s">
        <v>3269</v>
      </c>
      <c r="C1266" s="1">
        <v>41058.519918981481</v>
      </c>
      <c r="D1266" s="4">
        <v>15000</v>
      </c>
      <c r="E1266">
        <v>15000</v>
      </c>
      <c r="F1266" t="s">
        <v>6</v>
      </c>
      <c r="G1266">
        <f>tblSalaries[[#This Row],[clean Salary (in local currency)]]*VLOOKUP(tblSalaries[[#This Row],[Currency]],tblXrate[],2,FALSE)</f>
        <v>15000</v>
      </c>
      <c r="H1266" t="s">
        <v>1443</v>
      </c>
      <c r="I1266" t="s">
        <v>52</v>
      </c>
      <c r="J1266" t="s">
        <v>1444</v>
      </c>
      <c r="K1266" t="str">
        <f>VLOOKUP(tblSalaries[[#This Row],[Where do you work]],tblCountries[[Actual]:[Mapping]],2,FALSE)</f>
        <v>Myanmar</v>
      </c>
      <c r="L1266" t="s">
        <v>9</v>
      </c>
      <c r="M1266">
        <v>10</v>
      </c>
    </row>
    <row r="1267" spans="2:13" ht="15" customHeight="1">
      <c r="B1267" t="s">
        <v>3270</v>
      </c>
      <c r="C1267" s="1">
        <v>41058.520277777781</v>
      </c>
      <c r="D1267" s="4" t="s">
        <v>1445</v>
      </c>
      <c r="E1267">
        <v>14000</v>
      </c>
      <c r="F1267" t="s">
        <v>6</v>
      </c>
      <c r="G1267">
        <f>tblSalaries[[#This Row],[clean Salary (in local currency)]]*VLOOKUP(tblSalaries[[#This Row],[Currency]],tblXrate[],2,FALSE)</f>
        <v>14000</v>
      </c>
      <c r="H1267" t="s">
        <v>1446</v>
      </c>
      <c r="I1267" t="s">
        <v>20</v>
      </c>
      <c r="J1267" t="s">
        <v>8</v>
      </c>
      <c r="K1267" t="str">
        <f>VLOOKUP(tblSalaries[[#This Row],[Where do you work]],tblCountries[[Actual]:[Mapping]],2,FALSE)</f>
        <v>India</v>
      </c>
      <c r="L1267" t="s">
        <v>9</v>
      </c>
      <c r="M1267">
        <v>12</v>
      </c>
    </row>
    <row r="1268" spans="2:13" ht="15" customHeight="1">
      <c r="B1268" t="s">
        <v>3271</v>
      </c>
      <c r="C1268" s="1">
        <v>41058.546180555553</v>
      </c>
      <c r="D1268" s="4">
        <v>8000</v>
      </c>
      <c r="E1268">
        <v>8000</v>
      </c>
      <c r="F1268" t="s">
        <v>6</v>
      </c>
      <c r="G1268">
        <f>tblSalaries[[#This Row],[clean Salary (in local currency)]]*VLOOKUP(tblSalaries[[#This Row],[Currency]],tblXrate[],2,FALSE)</f>
        <v>8000</v>
      </c>
      <c r="H1268" t="s">
        <v>153</v>
      </c>
      <c r="I1268" t="s">
        <v>20</v>
      </c>
      <c r="J1268" t="s">
        <v>8</v>
      </c>
      <c r="K1268" t="str">
        <f>VLOOKUP(tblSalaries[[#This Row],[Where do you work]],tblCountries[[Actual]:[Mapping]],2,FALSE)</f>
        <v>India</v>
      </c>
      <c r="L1268" t="s">
        <v>13</v>
      </c>
      <c r="M1268">
        <v>4</v>
      </c>
    </row>
    <row r="1269" spans="2:13" ht="15" customHeight="1">
      <c r="B1269" t="s">
        <v>3272</v>
      </c>
      <c r="C1269" s="1">
        <v>41058.551342592589</v>
      </c>
      <c r="D1269" s="4">
        <v>12500</v>
      </c>
      <c r="E1269">
        <v>12500</v>
      </c>
      <c r="F1269" t="s">
        <v>6</v>
      </c>
      <c r="G1269">
        <f>tblSalaries[[#This Row],[clean Salary (in local currency)]]*VLOOKUP(tblSalaries[[#This Row],[Currency]],tblXrate[],2,FALSE)</f>
        <v>12500</v>
      </c>
      <c r="H1269" t="s">
        <v>67</v>
      </c>
      <c r="I1269" t="s">
        <v>67</v>
      </c>
      <c r="J1269" t="s">
        <v>347</v>
      </c>
      <c r="K1269" t="str">
        <f>VLOOKUP(tblSalaries[[#This Row],[Where do you work]],tblCountries[[Actual]:[Mapping]],2,FALSE)</f>
        <v>Philippines</v>
      </c>
      <c r="L1269" t="s">
        <v>18</v>
      </c>
      <c r="M1269">
        <v>7</v>
      </c>
    </row>
    <row r="1270" spans="2:13" ht="15" customHeight="1">
      <c r="B1270" t="s">
        <v>3273</v>
      </c>
      <c r="C1270" s="1">
        <v>41058.55228009259</v>
      </c>
      <c r="D1270" s="4">
        <v>140000</v>
      </c>
      <c r="E1270">
        <v>140000</v>
      </c>
      <c r="F1270" t="s">
        <v>6</v>
      </c>
      <c r="G1270">
        <f>tblSalaries[[#This Row],[clean Salary (in local currency)]]*VLOOKUP(tblSalaries[[#This Row],[Currency]],tblXrate[],2,FALSE)</f>
        <v>140000</v>
      </c>
      <c r="H1270" t="s">
        <v>89</v>
      </c>
      <c r="I1270" t="s">
        <v>310</v>
      </c>
      <c r="J1270" t="s">
        <v>15</v>
      </c>
      <c r="K1270" t="str">
        <f>VLOOKUP(tblSalaries[[#This Row],[Where do you work]],tblCountries[[Actual]:[Mapping]],2,FALSE)</f>
        <v>USA</v>
      </c>
      <c r="L1270" t="s">
        <v>9</v>
      </c>
      <c r="M1270">
        <v>12</v>
      </c>
    </row>
    <row r="1271" spans="2:13" ht="15" customHeight="1">
      <c r="B1271" t="s">
        <v>3274</v>
      </c>
      <c r="C1271" s="1">
        <v>41058.553298611114</v>
      </c>
      <c r="D1271" s="4">
        <v>1000</v>
      </c>
      <c r="E1271">
        <v>12000</v>
      </c>
      <c r="F1271" t="s">
        <v>6</v>
      </c>
      <c r="G1271">
        <f>tblSalaries[[#This Row],[clean Salary (in local currency)]]*VLOOKUP(tblSalaries[[#This Row],[Currency]],tblXrate[],2,FALSE)</f>
        <v>12000</v>
      </c>
      <c r="H1271" t="s">
        <v>1447</v>
      </c>
      <c r="I1271" t="s">
        <v>356</v>
      </c>
      <c r="J1271" t="s">
        <v>1448</v>
      </c>
      <c r="K1271" t="str">
        <f>VLOOKUP(tblSalaries[[#This Row],[Where do you work]],tblCountries[[Actual]:[Mapping]],2,FALSE)</f>
        <v>Pakistan</v>
      </c>
      <c r="L1271" t="s">
        <v>9</v>
      </c>
      <c r="M1271">
        <v>1</v>
      </c>
    </row>
    <row r="1272" spans="2:13" ht="15" customHeight="1">
      <c r="B1272" t="s">
        <v>3275</v>
      </c>
      <c r="C1272" s="1">
        <v>41058.553460648145</v>
      </c>
      <c r="D1272" s="4" t="s">
        <v>1449</v>
      </c>
      <c r="E1272">
        <v>30000</v>
      </c>
      <c r="F1272" t="s">
        <v>22</v>
      </c>
      <c r="G1272">
        <f>tblSalaries[[#This Row],[clean Salary (in local currency)]]*VLOOKUP(tblSalaries[[#This Row],[Currency]],tblXrate[],2,FALSE)</f>
        <v>38111.983169748237</v>
      </c>
      <c r="H1272" t="s">
        <v>1450</v>
      </c>
      <c r="I1272" t="s">
        <v>20</v>
      </c>
      <c r="J1272" t="s">
        <v>59</v>
      </c>
      <c r="K1272" t="str">
        <f>VLOOKUP(tblSalaries[[#This Row],[Where do you work]],tblCountries[[Actual]:[Mapping]],2,FALSE)</f>
        <v>Belgium</v>
      </c>
      <c r="L1272" t="s">
        <v>18</v>
      </c>
      <c r="M1272">
        <v>15</v>
      </c>
    </row>
    <row r="1273" spans="2:13" ht="15" customHeight="1">
      <c r="B1273" t="s">
        <v>3276</v>
      </c>
      <c r="C1273" s="1">
        <v>41058.558159722219</v>
      </c>
      <c r="D1273" s="4" t="s">
        <v>1451</v>
      </c>
      <c r="E1273">
        <v>600000</v>
      </c>
      <c r="F1273" t="s">
        <v>40</v>
      </c>
      <c r="G1273">
        <f>tblSalaries[[#This Row],[clean Salary (in local currency)]]*VLOOKUP(tblSalaries[[#This Row],[Currency]],tblXrate[],2,FALSE)</f>
        <v>10684.750012465542</v>
      </c>
      <c r="H1273" t="s">
        <v>1452</v>
      </c>
      <c r="I1273" t="s">
        <v>52</v>
      </c>
      <c r="J1273" t="s">
        <v>8</v>
      </c>
      <c r="K1273" t="str">
        <f>VLOOKUP(tblSalaries[[#This Row],[Where do you work]],tblCountries[[Actual]:[Mapping]],2,FALSE)</f>
        <v>India</v>
      </c>
      <c r="L1273" t="s">
        <v>18</v>
      </c>
      <c r="M1273">
        <v>2</v>
      </c>
    </row>
    <row r="1274" spans="2:13" ht="15" customHeight="1">
      <c r="B1274" t="s">
        <v>3277</v>
      </c>
      <c r="C1274" s="1">
        <v>41058.569548611114</v>
      </c>
      <c r="D1274" s="4" t="s">
        <v>1453</v>
      </c>
      <c r="E1274">
        <v>350000</v>
      </c>
      <c r="F1274" t="s">
        <v>40</v>
      </c>
      <c r="G1274">
        <f>tblSalaries[[#This Row],[clean Salary (in local currency)]]*VLOOKUP(tblSalaries[[#This Row],[Currency]],tblXrate[],2,FALSE)</f>
        <v>6232.7708406048987</v>
      </c>
      <c r="H1274" t="s">
        <v>1454</v>
      </c>
      <c r="I1274" t="s">
        <v>20</v>
      </c>
      <c r="J1274" t="s">
        <v>8</v>
      </c>
      <c r="K1274" t="str">
        <f>VLOOKUP(tblSalaries[[#This Row],[Where do you work]],tblCountries[[Actual]:[Mapping]],2,FALSE)</f>
        <v>India</v>
      </c>
      <c r="L1274" t="s">
        <v>9</v>
      </c>
      <c r="M1274">
        <v>1.5</v>
      </c>
    </row>
    <row r="1275" spans="2:13" ht="15" customHeight="1">
      <c r="B1275" t="s">
        <v>3278</v>
      </c>
      <c r="C1275" s="1">
        <v>41058.577928240738</v>
      </c>
      <c r="D1275" s="4">
        <v>45000</v>
      </c>
      <c r="E1275">
        <v>45000</v>
      </c>
      <c r="F1275" t="s">
        <v>6</v>
      </c>
      <c r="G1275">
        <f>tblSalaries[[#This Row],[clean Salary (in local currency)]]*VLOOKUP(tblSalaries[[#This Row],[Currency]],tblXrate[],2,FALSE)</f>
        <v>45000</v>
      </c>
      <c r="H1275" t="s">
        <v>1455</v>
      </c>
      <c r="I1275" t="s">
        <v>20</v>
      </c>
      <c r="J1275" t="s">
        <v>17</v>
      </c>
      <c r="K1275" t="str">
        <f>VLOOKUP(tblSalaries[[#This Row],[Where do you work]],tblCountries[[Actual]:[Mapping]],2,FALSE)</f>
        <v>Pakistan</v>
      </c>
      <c r="L1275" t="s">
        <v>13</v>
      </c>
      <c r="M1275">
        <v>8</v>
      </c>
    </row>
    <row r="1276" spans="2:13" ht="15" customHeight="1">
      <c r="B1276" t="s">
        <v>3279</v>
      </c>
      <c r="C1276" s="1">
        <v>41058.579155092593</v>
      </c>
      <c r="D1276" s="4">
        <v>80000</v>
      </c>
      <c r="E1276">
        <v>80000</v>
      </c>
      <c r="F1276" t="s">
        <v>6</v>
      </c>
      <c r="G1276">
        <f>tblSalaries[[#This Row],[clean Salary (in local currency)]]*VLOOKUP(tblSalaries[[#This Row],[Currency]],tblXrate[],2,FALSE)</f>
        <v>80000</v>
      </c>
      <c r="H1276" t="s">
        <v>52</v>
      </c>
      <c r="I1276" t="s">
        <v>52</v>
      </c>
      <c r="J1276" t="s">
        <v>15</v>
      </c>
      <c r="K1276" t="str">
        <f>VLOOKUP(tblSalaries[[#This Row],[Where do you work]],tblCountries[[Actual]:[Mapping]],2,FALSE)</f>
        <v>USA</v>
      </c>
      <c r="L1276" t="s">
        <v>25</v>
      </c>
      <c r="M1276">
        <v>6</v>
      </c>
    </row>
    <row r="1277" spans="2:13" ht="15" customHeight="1">
      <c r="B1277" t="s">
        <v>3280</v>
      </c>
      <c r="C1277" s="1">
        <v>41058.579606481479</v>
      </c>
      <c r="D1277" s="4" t="s">
        <v>1456</v>
      </c>
      <c r="E1277">
        <v>1500000</v>
      </c>
      <c r="F1277" t="s">
        <v>40</v>
      </c>
      <c r="G1277">
        <f>tblSalaries[[#This Row],[clean Salary (in local currency)]]*VLOOKUP(tblSalaries[[#This Row],[Currency]],tblXrate[],2,FALSE)</f>
        <v>26711.875031163851</v>
      </c>
      <c r="H1277" t="s">
        <v>20</v>
      </c>
      <c r="I1277" t="s">
        <v>20</v>
      </c>
      <c r="J1277" t="s">
        <v>8</v>
      </c>
      <c r="K1277" t="str">
        <f>VLOOKUP(tblSalaries[[#This Row],[Where do you work]],tblCountries[[Actual]:[Mapping]],2,FALSE)</f>
        <v>India</v>
      </c>
      <c r="L1277" t="s">
        <v>9</v>
      </c>
      <c r="M1277">
        <v>7</v>
      </c>
    </row>
    <row r="1278" spans="2:13" ht="15" customHeight="1">
      <c r="B1278" t="s">
        <v>3281</v>
      </c>
      <c r="C1278" s="1">
        <v>41058.582291666666</v>
      </c>
      <c r="D1278" s="4" t="s">
        <v>1457</v>
      </c>
      <c r="E1278">
        <v>100000</v>
      </c>
      <c r="F1278" t="s">
        <v>6</v>
      </c>
      <c r="G1278">
        <f>tblSalaries[[#This Row],[clean Salary (in local currency)]]*VLOOKUP(tblSalaries[[#This Row],[Currency]],tblXrate[],2,FALSE)</f>
        <v>100000</v>
      </c>
      <c r="H1278" t="s">
        <v>207</v>
      </c>
      <c r="I1278" t="s">
        <v>20</v>
      </c>
      <c r="J1278" t="s">
        <v>1458</v>
      </c>
      <c r="K1278" t="str">
        <f>VLOOKUP(tblSalaries[[#This Row],[Where do you work]],tblCountries[[Actual]:[Mapping]],2,FALSE)</f>
        <v>Uganda</v>
      </c>
      <c r="L1278" t="s">
        <v>9</v>
      </c>
      <c r="M1278">
        <v>17</v>
      </c>
    </row>
    <row r="1279" spans="2:13" ht="15" customHeight="1">
      <c r="B1279" t="s">
        <v>3282</v>
      </c>
      <c r="C1279" s="1">
        <v>41058.582800925928</v>
      </c>
      <c r="D1279" s="4">
        <v>68000</v>
      </c>
      <c r="E1279">
        <v>68000</v>
      </c>
      <c r="F1279" t="s">
        <v>82</v>
      </c>
      <c r="G1279">
        <f>tblSalaries[[#This Row],[clean Salary (in local currency)]]*VLOOKUP(tblSalaries[[#This Row],[Currency]],tblXrate[],2,FALSE)</f>
        <v>69353.856635379227</v>
      </c>
      <c r="H1279" t="s">
        <v>1459</v>
      </c>
      <c r="I1279" t="s">
        <v>52</v>
      </c>
      <c r="J1279" t="s">
        <v>84</v>
      </c>
      <c r="K1279" t="str">
        <f>VLOOKUP(tblSalaries[[#This Row],[Where do you work]],tblCountries[[Actual]:[Mapping]],2,FALSE)</f>
        <v>Australia</v>
      </c>
      <c r="L1279" t="s">
        <v>9</v>
      </c>
      <c r="M1279">
        <v>10</v>
      </c>
    </row>
    <row r="1280" spans="2:13" ht="15" customHeight="1">
      <c r="B1280" t="s">
        <v>3283</v>
      </c>
      <c r="C1280" s="1">
        <v>41058.590601851851</v>
      </c>
      <c r="D1280" s="4" t="s">
        <v>1460</v>
      </c>
      <c r="E1280">
        <v>49000</v>
      </c>
      <c r="F1280" t="s">
        <v>82</v>
      </c>
      <c r="G1280">
        <f>tblSalaries[[#This Row],[clean Salary (in local currency)]]*VLOOKUP(tblSalaries[[#This Row],[Currency]],tblXrate[],2,FALSE)</f>
        <v>49975.573163729154</v>
      </c>
      <c r="H1280" t="s">
        <v>1461</v>
      </c>
      <c r="I1280" t="s">
        <v>488</v>
      </c>
      <c r="J1280" t="s">
        <v>84</v>
      </c>
      <c r="K1280" t="str">
        <f>VLOOKUP(tblSalaries[[#This Row],[Where do you work]],tblCountries[[Actual]:[Mapping]],2,FALSE)</f>
        <v>Australia</v>
      </c>
      <c r="L1280" t="s">
        <v>9</v>
      </c>
      <c r="M1280">
        <v>30</v>
      </c>
    </row>
    <row r="1281" spans="2:13" ht="15" customHeight="1">
      <c r="B1281" t="s">
        <v>3284</v>
      </c>
      <c r="C1281" s="1">
        <v>41058.594513888886</v>
      </c>
      <c r="D1281" s="4" t="s">
        <v>1462</v>
      </c>
      <c r="E1281">
        <v>575000</v>
      </c>
      <c r="F1281" t="s">
        <v>40</v>
      </c>
      <c r="G1281">
        <f>tblSalaries[[#This Row],[clean Salary (in local currency)]]*VLOOKUP(tblSalaries[[#This Row],[Currency]],tblXrate[],2,FALSE)</f>
        <v>10239.552095279476</v>
      </c>
      <c r="H1281" t="s">
        <v>1463</v>
      </c>
      <c r="I1281" t="s">
        <v>52</v>
      </c>
      <c r="J1281" t="s">
        <v>8</v>
      </c>
      <c r="K1281" t="str">
        <f>VLOOKUP(tblSalaries[[#This Row],[Where do you work]],tblCountries[[Actual]:[Mapping]],2,FALSE)</f>
        <v>India</v>
      </c>
      <c r="L1281" t="s">
        <v>18</v>
      </c>
      <c r="M1281">
        <v>5</v>
      </c>
    </row>
    <row r="1282" spans="2:13" ht="15" customHeight="1">
      <c r="B1282" t="s">
        <v>3285</v>
      </c>
      <c r="C1282" s="1">
        <v>41058.607430555552</v>
      </c>
      <c r="D1282" s="4" t="s">
        <v>1464</v>
      </c>
      <c r="E1282">
        <v>500000</v>
      </c>
      <c r="F1282" t="s">
        <v>40</v>
      </c>
      <c r="G1282">
        <f>tblSalaries[[#This Row],[clean Salary (in local currency)]]*VLOOKUP(tblSalaries[[#This Row],[Currency]],tblXrate[],2,FALSE)</f>
        <v>8903.9583437212841</v>
      </c>
      <c r="H1282" t="s">
        <v>1465</v>
      </c>
      <c r="I1282" t="s">
        <v>279</v>
      </c>
      <c r="J1282" t="s">
        <v>8</v>
      </c>
      <c r="K1282" t="str">
        <f>VLOOKUP(tblSalaries[[#This Row],[Where do you work]],tblCountries[[Actual]:[Mapping]],2,FALSE)</f>
        <v>India</v>
      </c>
      <c r="L1282" t="s">
        <v>9</v>
      </c>
      <c r="M1282">
        <v>2</v>
      </c>
    </row>
    <row r="1283" spans="2:13" ht="15" customHeight="1">
      <c r="B1283" t="s">
        <v>3286</v>
      </c>
      <c r="C1283" s="1">
        <v>41058.621770833335</v>
      </c>
      <c r="D1283" s="4" t="s">
        <v>1466</v>
      </c>
      <c r="E1283">
        <v>36000</v>
      </c>
      <c r="F1283" t="s">
        <v>6</v>
      </c>
      <c r="G1283">
        <f>tblSalaries[[#This Row],[clean Salary (in local currency)]]*VLOOKUP(tblSalaries[[#This Row],[Currency]],tblXrate[],2,FALSE)</f>
        <v>36000</v>
      </c>
      <c r="H1283" t="s">
        <v>263</v>
      </c>
      <c r="I1283" t="s">
        <v>20</v>
      </c>
      <c r="J1283" t="s">
        <v>1176</v>
      </c>
      <c r="K1283" t="str">
        <f>VLOOKUP(tblSalaries[[#This Row],[Where do you work]],tblCountries[[Actual]:[Mapping]],2,FALSE)</f>
        <v>Kuwait</v>
      </c>
      <c r="L1283" t="s">
        <v>18</v>
      </c>
      <c r="M1283">
        <v>10</v>
      </c>
    </row>
    <row r="1284" spans="2:13" ht="15" customHeight="1">
      <c r="B1284" t="s">
        <v>3287</v>
      </c>
      <c r="C1284" s="1">
        <v>41058.621863425928</v>
      </c>
      <c r="D1284" s="4" t="s">
        <v>1467</v>
      </c>
      <c r="E1284">
        <v>210000</v>
      </c>
      <c r="F1284" t="s">
        <v>40</v>
      </c>
      <c r="G1284">
        <f>tblSalaries[[#This Row],[clean Salary (in local currency)]]*VLOOKUP(tblSalaries[[#This Row],[Currency]],tblXrate[],2,FALSE)</f>
        <v>3739.6625043629392</v>
      </c>
      <c r="H1284" t="s">
        <v>1468</v>
      </c>
      <c r="I1284" t="s">
        <v>3999</v>
      </c>
      <c r="J1284" t="s">
        <v>8</v>
      </c>
      <c r="K1284" t="str">
        <f>VLOOKUP(tblSalaries[[#This Row],[Where do you work]],tblCountries[[Actual]:[Mapping]],2,FALSE)</f>
        <v>India</v>
      </c>
      <c r="L1284" t="s">
        <v>25</v>
      </c>
      <c r="M1284">
        <v>4.5</v>
      </c>
    </row>
    <row r="1285" spans="2:13" ht="15" customHeight="1">
      <c r="B1285" t="s">
        <v>3288</v>
      </c>
      <c r="C1285" s="1">
        <v>41058.624432870369</v>
      </c>
      <c r="D1285" s="4" t="s">
        <v>1469</v>
      </c>
      <c r="E1285">
        <v>48500</v>
      </c>
      <c r="F1285" t="s">
        <v>22</v>
      </c>
      <c r="G1285">
        <f>tblSalaries[[#This Row],[clean Salary (in local currency)]]*VLOOKUP(tblSalaries[[#This Row],[Currency]],tblXrate[],2,FALSE)</f>
        <v>61614.372791092981</v>
      </c>
      <c r="H1285" t="s">
        <v>1470</v>
      </c>
      <c r="I1285" t="s">
        <v>20</v>
      </c>
      <c r="J1285" t="s">
        <v>628</v>
      </c>
      <c r="K1285" t="str">
        <f>VLOOKUP(tblSalaries[[#This Row],[Where do you work]],tblCountries[[Actual]:[Mapping]],2,FALSE)</f>
        <v>Netherlands</v>
      </c>
      <c r="L1285" t="s">
        <v>9</v>
      </c>
      <c r="M1285">
        <v>8</v>
      </c>
    </row>
    <row r="1286" spans="2:13" ht="15" customHeight="1">
      <c r="B1286" t="s">
        <v>3289</v>
      </c>
      <c r="C1286" s="1">
        <v>41058.62703703704</v>
      </c>
      <c r="D1286" s="4" t="s">
        <v>1471</v>
      </c>
      <c r="E1286">
        <v>200000</v>
      </c>
      <c r="F1286" t="s">
        <v>40</v>
      </c>
      <c r="G1286">
        <f>tblSalaries[[#This Row],[clean Salary (in local currency)]]*VLOOKUP(tblSalaries[[#This Row],[Currency]],tblXrate[],2,FALSE)</f>
        <v>3561.5833374885137</v>
      </c>
      <c r="H1286" t="s">
        <v>360</v>
      </c>
      <c r="I1286" t="s">
        <v>3999</v>
      </c>
      <c r="J1286" t="s">
        <v>8</v>
      </c>
      <c r="K1286" t="str">
        <f>VLOOKUP(tblSalaries[[#This Row],[Where do you work]],tblCountries[[Actual]:[Mapping]],2,FALSE)</f>
        <v>India</v>
      </c>
      <c r="L1286" t="s">
        <v>18</v>
      </c>
      <c r="M1286">
        <v>3</v>
      </c>
    </row>
    <row r="1287" spans="2:13" ht="15" customHeight="1">
      <c r="B1287" t="s">
        <v>3290</v>
      </c>
      <c r="C1287" s="1">
        <v>41058.627905092595</v>
      </c>
      <c r="D1287" s="4" t="s">
        <v>1472</v>
      </c>
      <c r="E1287">
        <v>360000</v>
      </c>
      <c r="F1287" t="s">
        <v>40</v>
      </c>
      <c r="G1287">
        <f>tblSalaries[[#This Row],[clean Salary (in local currency)]]*VLOOKUP(tblSalaries[[#This Row],[Currency]],tblXrate[],2,FALSE)</f>
        <v>6410.8500074793246</v>
      </c>
      <c r="H1287" t="s">
        <v>1473</v>
      </c>
      <c r="I1287" t="s">
        <v>20</v>
      </c>
      <c r="J1287" t="s">
        <v>8</v>
      </c>
      <c r="K1287" t="str">
        <f>VLOOKUP(tblSalaries[[#This Row],[Where do you work]],tblCountries[[Actual]:[Mapping]],2,FALSE)</f>
        <v>India</v>
      </c>
      <c r="L1287" t="s">
        <v>13</v>
      </c>
      <c r="M1287">
        <v>6</v>
      </c>
    </row>
    <row r="1288" spans="2:13" ht="15" customHeight="1">
      <c r="B1288" t="s">
        <v>3291</v>
      </c>
      <c r="C1288" s="1">
        <v>41058.630694444444</v>
      </c>
      <c r="D1288" s="4" t="s">
        <v>1474</v>
      </c>
      <c r="E1288">
        <v>28500</v>
      </c>
      <c r="F1288" t="s">
        <v>22</v>
      </c>
      <c r="G1288">
        <f>tblSalaries[[#This Row],[clean Salary (in local currency)]]*VLOOKUP(tblSalaries[[#This Row],[Currency]],tblXrate[],2,FALSE)</f>
        <v>36206.384011260823</v>
      </c>
      <c r="H1288" t="s">
        <v>1475</v>
      </c>
      <c r="I1288" t="s">
        <v>20</v>
      </c>
      <c r="J1288" t="s">
        <v>628</v>
      </c>
      <c r="K1288" t="str">
        <f>VLOOKUP(tblSalaries[[#This Row],[Where do you work]],tblCountries[[Actual]:[Mapping]],2,FALSE)</f>
        <v>Netherlands</v>
      </c>
      <c r="L1288" t="s">
        <v>25</v>
      </c>
      <c r="M1288">
        <v>5</v>
      </c>
    </row>
    <row r="1289" spans="2:13" ht="15" customHeight="1">
      <c r="B1289" t="s">
        <v>3292</v>
      </c>
      <c r="C1289" s="1">
        <v>41058.632222222222</v>
      </c>
      <c r="D1289" s="4">
        <v>13500</v>
      </c>
      <c r="E1289">
        <v>13500</v>
      </c>
      <c r="F1289" t="s">
        <v>6</v>
      </c>
      <c r="G1289">
        <f>tblSalaries[[#This Row],[clean Salary (in local currency)]]*VLOOKUP(tblSalaries[[#This Row],[Currency]],tblXrate[],2,FALSE)</f>
        <v>13500</v>
      </c>
      <c r="H1289" t="s">
        <v>804</v>
      </c>
      <c r="I1289" t="s">
        <v>52</v>
      </c>
      <c r="J1289" t="s">
        <v>8</v>
      </c>
      <c r="K1289" t="str">
        <f>VLOOKUP(tblSalaries[[#This Row],[Where do you work]],tblCountries[[Actual]:[Mapping]],2,FALSE)</f>
        <v>India</v>
      </c>
      <c r="L1289" t="s">
        <v>18</v>
      </c>
      <c r="M1289">
        <v>20</v>
      </c>
    </row>
    <row r="1290" spans="2:13" ht="15" customHeight="1">
      <c r="B1290" t="s">
        <v>3293</v>
      </c>
      <c r="C1290" s="1">
        <v>41058.638020833336</v>
      </c>
      <c r="D1290" s="4">
        <v>250</v>
      </c>
      <c r="E1290">
        <v>3000</v>
      </c>
      <c r="F1290" t="s">
        <v>6</v>
      </c>
      <c r="G1290">
        <f>tblSalaries[[#This Row],[clean Salary (in local currency)]]*VLOOKUP(tblSalaries[[#This Row],[Currency]],tblXrate[],2,FALSE)</f>
        <v>3000</v>
      </c>
      <c r="H1290" t="s">
        <v>1476</v>
      </c>
      <c r="I1290" t="s">
        <v>310</v>
      </c>
      <c r="J1290" t="s">
        <v>1477</v>
      </c>
      <c r="K1290" t="str">
        <f>VLOOKUP(tblSalaries[[#This Row],[Where do you work]],tblCountries[[Actual]:[Mapping]],2,FALSE)</f>
        <v>Sri Lanka</v>
      </c>
      <c r="L1290" t="s">
        <v>9</v>
      </c>
      <c r="M1290">
        <v>2</v>
      </c>
    </row>
    <row r="1291" spans="2:13" ht="15" customHeight="1">
      <c r="B1291" t="s">
        <v>3294</v>
      </c>
      <c r="C1291" s="1">
        <v>41058.642187500001</v>
      </c>
      <c r="D1291" s="4">
        <v>1200000</v>
      </c>
      <c r="E1291">
        <v>1200000</v>
      </c>
      <c r="F1291" t="s">
        <v>40</v>
      </c>
      <c r="G1291">
        <f>tblSalaries[[#This Row],[clean Salary (in local currency)]]*VLOOKUP(tblSalaries[[#This Row],[Currency]],tblXrate[],2,FALSE)</f>
        <v>21369.500024931083</v>
      </c>
      <c r="H1291" t="s">
        <v>1478</v>
      </c>
      <c r="I1291" t="s">
        <v>52</v>
      </c>
      <c r="J1291" t="s">
        <v>8</v>
      </c>
      <c r="K1291" t="str">
        <f>VLOOKUP(tblSalaries[[#This Row],[Where do you work]],tblCountries[[Actual]:[Mapping]],2,FALSE)</f>
        <v>India</v>
      </c>
      <c r="L1291" t="s">
        <v>9</v>
      </c>
      <c r="M1291">
        <v>9</v>
      </c>
    </row>
    <row r="1292" spans="2:13" ht="15" customHeight="1">
      <c r="B1292" t="s">
        <v>3295</v>
      </c>
      <c r="C1292" s="1">
        <v>41058.650289351855</v>
      </c>
      <c r="D1292" s="4" t="s">
        <v>1479</v>
      </c>
      <c r="E1292">
        <v>600000</v>
      </c>
      <c r="F1292" t="s">
        <v>40</v>
      </c>
      <c r="G1292">
        <f>tblSalaries[[#This Row],[clean Salary (in local currency)]]*VLOOKUP(tblSalaries[[#This Row],[Currency]],tblXrate[],2,FALSE)</f>
        <v>10684.750012465542</v>
      </c>
      <c r="H1292" t="s">
        <v>432</v>
      </c>
      <c r="I1292" t="s">
        <v>52</v>
      </c>
      <c r="J1292" t="s">
        <v>8</v>
      </c>
      <c r="K1292" t="str">
        <f>VLOOKUP(tblSalaries[[#This Row],[Where do you work]],tblCountries[[Actual]:[Mapping]],2,FALSE)</f>
        <v>India</v>
      </c>
      <c r="L1292" t="s">
        <v>18</v>
      </c>
      <c r="M1292">
        <v>28</v>
      </c>
    </row>
    <row r="1293" spans="2:13" ht="15" customHeight="1">
      <c r="B1293" t="s">
        <v>3296</v>
      </c>
      <c r="C1293" s="1">
        <v>41058.65048611111</v>
      </c>
      <c r="D1293" s="4">
        <v>139000</v>
      </c>
      <c r="E1293">
        <v>139000</v>
      </c>
      <c r="F1293" t="s">
        <v>22</v>
      </c>
      <c r="G1293">
        <f>tblSalaries[[#This Row],[clean Salary (in local currency)]]*VLOOKUP(tblSalaries[[#This Row],[Currency]],tblXrate[],2,FALSE)</f>
        <v>176585.52201983347</v>
      </c>
      <c r="H1293" t="s">
        <v>1480</v>
      </c>
      <c r="I1293" t="s">
        <v>52</v>
      </c>
      <c r="J1293" t="s">
        <v>24</v>
      </c>
      <c r="K1293" t="str">
        <f>VLOOKUP(tblSalaries[[#This Row],[Where do you work]],tblCountries[[Actual]:[Mapping]],2,FALSE)</f>
        <v>Germany</v>
      </c>
      <c r="L1293" t="s">
        <v>25</v>
      </c>
      <c r="M1293">
        <v>25</v>
      </c>
    </row>
    <row r="1294" spans="2:13" ht="15" customHeight="1">
      <c r="B1294" t="s">
        <v>3297</v>
      </c>
      <c r="C1294" s="1">
        <v>41058.65185185185</v>
      </c>
      <c r="D1294" s="4" t="s">
        <v>1481</v>
      </c>
      <c r="E1294">
        <v>43000</v>
      </c>
      <c r="F1294" t="s">
        <v>22</v>
      </c>
      <c r="G1294">
        <f>tblSalaries[[#This Row],[clean Salary (in local currency)]]*VLOOKUP(tblSalaries[[#This Row],[Currency]],tblXrate[],2,FALSE)</f>
        <v>54627.175876639136</v>
      </c>
      <c r="H1294" t="s">
        <v>1482</v>
      </c>
      <c r="I1294" t="s">
        <v>52</v>
      </c>
      <c r="J1294" t="s">
        <v>106</v>
      </c>
      <c r="K1294" t="str">
        <f>VLOOKUP(tblSalaries[[#This Row],[Where do you work]],tblCountries[[Actual]:[Mapping]],2,FALSE)</f>
        <v>France</v>
      </c>
      <c r="L1294" t="s">
        <v>13</v>
      </c>
      <c r="M1294">
        <v>7</v>
      </c>
    </row>
    <row r="1295" spans="2:13" ht="15" customHeight="1">
      <c r="B1295" t="s">
        <v>3298</v>
      </c>
      <c r="C1295" s="1">
        <v>41058.657141203701</v>
      </c>
      <c r="D1295" s="4" t="s">
        <v>1483</v>
      </c>
      <c r="E1295">
        <v>24000</v>
      </c>
      <c r="F1295" t="s">
        <v>22</v>
      </c>
      <c r="G1295">
        <f>tblSalaries[[#This Row],[clean Salary (in local currency)]]*VLOOKUP(tblSalaries[[#This Row],[Currency]],tblXrate[],2,FALSE)</f>
        <v>30489.586535798586</v>
      </c>
      <c r="H1295" t="s">
        <v>488</v>
      </c>
      <c r="I1295" t="s">
        <v>488</v>
      </c>
      <c r="J1295" t="s">
        <v>1351</v>
      </c>
      <c r="K1295" t="str">
        <f>VLOOKUP(tblSalaries[[#This Row],[Where do you work]],tblCountries[[Actual]:[Mapping]],2,FALSE)</f>
        <v>Italy</v>
      </c>
      <c r="L1295" t="s">
        <v>9</v>
      </c>
      <c r="M1295">
        <v>10</v>
      </c>
    </row>
    <row r="1296" spans="2:13" ht="15" customHeight="1">
      <c r="B1296" t="s">
        <v>3299</v>
      </c>
      <c r="C1296" s="1">
        <v>41058.659502314818</v>
      </c>
      <c r="D1296" s="4">
        <v>314000</v>
      </c>
      <c r="E1296">
        <v>314000</v>
      </c>
      <c r="F1296" t="s">
        <v>40</v>
      </c>
      <c r="G1296">
        <f>tblSalaries[[#This Row],[clean Salary (in local currency)]]*VLOOKUP(tblSalaries[[#This Row],[Currency]],tblXrate[],2,FALSE)</f>
        <v>5591.6858398569666</v>
      </c>
      <c r="H1296" t="s">
        <v>1484</v>
      </c>
      <c r="I1296" t="s">
        <v>52</v>
      </c>
      <c r="J1296" t="s">
        <v>8</v>
      </c>
      <c r="K1296" t="str">
        <f>VLOOKUP(tblSalaries[[#This Row],[Where do you work]],tblCountries[[Actual]:[Mapping]],2,FALSE)</f>
        <v>India</v>
      </c>
      <c r="L1296" t="s">
        <v>25</v>
      </c>
      <c r="M1296">
        <v>0.1</v>
      </c>
    </row>
    <row r="1297" spans="2:13" ht="15" customHeight="1">
      <c r="B1297" t="s">
        <v>3300</v>
      </c>
      <c r="C1297" s="1">
        <v>41058.66065972222</v>
      </c>
      <c r="D1297" s="4" t="s">
        <v>1485</v>
      </c>
      <c r="E1297">
        <v>82000</v>
      </c>
      <c r="F1297" t="s">
        <v>6</v>
      </c>
      <c r="G1297">
        <f>tblSalaries[[#This Row],[clean Salary (in local currency)]]*VLOOKUP(tblSalaries[[#This Row],[Currency]],tblXrate[],2,FALSE)</f>
        <v>82000</v>
      </c>
      <c r="H1297" t="s">
        <v>356</v>
      </c>
      <c r="I1297" t="s">
        <v>356</v>
      </c>
      <c r="J1297" t="s">
        <v>48</v>
      </c>
      <c r="K1297" t="str">
        <f>VLOOKUP(tblSalaries[[#This Row],[Where do you work]],tblCountries[[Actual]:[Mapping]],2,FALSE)</f>
        <v>South Africa</v>
      </c>
      <c r="L1297" t="s">
        <v>9</v>
      </c>
      <c r="M1297">
        <v>10</v>
      </c>
    </row>
    <row r="1298" spans="2:13" ht="15" customHeight="1">
      <c r="B1298" t="s">
        <v>3301</v>
      </c>
      <c r="C1298" s="1">
        <v>41058.66196759259</v>
      </c>
      <c r="D1298" s="4">
        <v>10000</v>
      </c>
      <c r="E1298">
        <v>10000</v>
      </c>
      <c r="F1298" t="s">
        <v>6</v>
      </c>
      <c r="G1298">
        <f>tblSalaries[[#This Row],[clean Salary (in local currency)]]*VLOOKUP(tblSalaries[[#This Row],[Currency]],tblXrate[],2,FALSE)</f>
        <v>10000</v>
      </c>
      <c r="H1298" t="s">
        <v>360</v>
      </c>
      <c r="I1298" t="s">
        <v>3999</v>
      </c>
      <c r="J1298" t="s">
        <v>8</v>
      </c>
      <c r="K1298" t="str">
        <f>VLOOKUP(tblSalaries[[#This Row],[Where do you work]],tblCountries[[Actual]:[Mapping]],2,FALSE)</f>
        <v>India</v>
      </c>
      <c r="L1298" t="s">
        <v>25</v>
      </c>
      <c r="M1298">
        <v>0.5</v>
      </c>
    </row>
    <row r="1299" spans="2:13" ht="15" customHeight="1">
      <c r="B1299" t="s">
        <v>3302</v>
      </c>
      <c r="C1299" s="1">
        <v>41058.672210648147</v>
      </c>
      <c r="D1299" s="4">
        <v>9000</v>
      </c>
      <c r="E1299">
        <v>9000</v>
      </c>
      <c r="F1299" t="s">
        <v>6</v>
      </c>
      <c r="G1299">
        <f>tblSalaries[[#This Row],[clean Salary (in local currency)]]*VLOOKUP(tblSalaries[[#This Row],[Currency]],tblXrate[],2,FALSE)</f>
        <v>9000</v>
      </c>
      <c r="H1299" t="s">
        <v>153</v>
      </c>
      <c r="I1299" t="s">
        <v>20</v>
      </c>
      <c r="J1299" t="s">
        <v>8</v>
      </c>
      <c r="K1299" t="str">
        <f>VLOOKUP(tblSalaries[[#This Row],[Where do you work]],tblCountries[[Actual]:[Mapping]],2,FALSE)</f>
        <v>India</v>
      </c>
      <c r="L1299" t="s">
        <v>13</v>
      </c>
      <c r="M1299">
        <v>0.6</v>
      </c>
    </row>
    <row r="1300" spans="2:13" ht="15" customHeight="1">
      <c r="B1300" t="s">
        <v>3303</v>
      </c>
      <c r="C1300" s="1">
        <v>41058.672685185185</v>
      </c>
      <c r="D1300" s="4">
        <v>9000</v>
      </c>
      <c r="E1300">
        <v>9000</v>
      </c>
      <c r="F1300" t="s">
        <v>6</v>
      </c>
      <c r="G1300">
        <f>tblSalaries[[#This Row],[clean Salary (in local currency)]]*VLOOKUP(tblSalaries[[#This Row],[Currency]],tblXrate[],2,FALSE)</f>
        <v>9000</v>
      </c>
      <c r="H1300" t="s">
        <v>153</v>
      </c>
      <c r="I1300" t="s">
        <v>20</v>
      </c>
      <c r="J1300" t="s">
        <v>8</v>
      </c>
      <c r="K1300" t="str">
        <f>VLOOKUP(tblSalaries[[#This Row],[Where do you work]],tblCountries[[Actual]:[Mapping]],2,FALSE)</f>
        <v>India</v>
      </c>
      <c r="L1300" t="s">
        <v>9</v>
      </c>
      <c r="M1300">
        <v>1</v>
      </c>
    </row>
    <row r="1301" spans="2:13" ht="15" customHeight="1">
      <c r="B1301" t="s">
        <v>3304</v>
      </c>
      <c r="C1301" s="1">
        <v>41058.679849537039</v>
      </c>
      <c r="D1301" s="4" t="s">
        <v>1486</v>
      </c>
      <c r="E1301">
        <v>660000</v>
      </c>
      <c r="F1301" t="s">
        <v>40</v>
      </c>
      <c r="G1301">
        <f>tblSalaries[[#This Row],[clean Salary (in local currency)]]*VLOOKUP(tblSalaries[[#This Row],[Currency]],tblXrate[],2,FALSE)</f>
        <v>11753.225013712095</v>
      </c>
      <c r="H1301" t="s">
        <v>1487</v>
      </c>
      <c r="I1301" t="s">
        <v>52</v>
      </c>
      <c r="J1301" t="s">
        <v>8</v>
      </c>
      <c r="K1301" t="str">
        <f>VLOOKUP(tblSalaries[[#This Row],[Where do you work]],tblCountries[[Actual]:[Mapping]],2,FALSE)</f>
        <v>India</v>
      </c>
      <c r="L1301" t="s">
        <v>13</v>
      </c>
      <c r="M1301">
        <v>7</v>
      </c>
    </row>
    <row r="1302" spans="2:13" ht="15" customHeight="1">
      <c r="B1302" t="s">
        <v>3305</v>
      </c>
      <c r="C1302" s="1">
        <v>41058.684895833336</v>
      </c>
      <c r="D1302" s="4" t="s">
        <v>1488</v>
      </c>
      <c r="E1302">
        <v>204000</v>
      </c>
      <c r="F1302" t="s">
        <v>40</v>
      </c>
      <c r="G1302">
        <f>tblSalaries[[#This Row],[clean Salary (in local currency)]]*VLOOKUP(tblSalaries[[#This Row],[Currency]],tblXrate[],2,FALSE)</f>
        <v>3632.815004238284</v>
      </c>
      <c r="H1302" t="s">
        <v>1489</v>
      </c>
      <c r="I1302" t="s">
        <v>3999</v>
      </c>
      <c r="J1302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>
        <v>2</v>
      </c>
    </row>
    <row r="1303" spans="2:13" ht="15" customHeight="1">
      <c r="B1303" t="s">
        <v>3306</v>
      </c>
      <c r="C1303" s="1">
        <v>41058.688263888886</v>
      </c>
      <c r="D1303" s="4">
        <v>75000</v>
      </c>
      <c r="E1303">
        <v>75000</v>
      </c>
      <c r="F1303" t="s">
        <v>22</v>
      </c>
      <c r="G1303">
        <f>tblSalaries[[#This Row],[clean Salary (in local currency)]]*VLOOKUP(tblSalaries[[#This Row],[Currency]],tblXrate[],2,FALSE)</f>
        <v>95279.957924370581</v>
      </c>
      <c r="H1303" t="s">
        <v>14</v>
      </c>
      <c r="I1303" t="s">
        <v>20</v>
      </c>
      <c r="J1303" t="s">
        <v>628</v>
      </c>
      <c r="K1303" t="str">
        <f>VLOOKUP(tblSalaries[[#This Row],[Where do you work]],tblCountries[[Actual]:[Mapping]],2,FALSE)</f>
        <v>Netherlands</v>
      </c>
      <c r="L1303" t="s">
        <v>13</v>
      </c>
      <c r="M1303">
        <v>16</v>
      </c>
    </row>
    <row r="1304" spans="2:13" ht="15" customHeight="1">
      <c r="B1304" t="s">
        <v>3307</v>
      </c>
      <c r="C1304" s="1">
        <v>41058.693877314814</v>
      </c>
      <c r="D1304" s="4" t="s">
        <v>1249</v>
      </c>
      <c r="E1304">
        <v>45000</v>
      </c>
      <c r="F1304" t="s">
        <v>69</v>
      </c>
      <c r="G1304">
        <f>tblSalaries[[#This Row],[clean Salary (in local currency)]]*VLOOKUP(tblSalaries[[#This Row],[Currency]],tblXrate[],2,FALSE)</f>
        <v>70928.022243027779</v>
      </c>
      <c r="H1304" t="s">
        <v>76</v>
      </c>
      <c r="I1304" t="s">
        <v>356</v>
      </c>
      <c r="J1304" t="s">
        <v>71</v>
      </c>
      <c r="K1304" t="str">
        <f>VLOOKUP(tblSalaries[[#This Row],[Where do you work]],tblCountries[[Actual]:[Mapping]],2,FALSE)</f>
        <v>UK</v>
      </c>
      <c r="L1304" t="s">
        <v>18</v>
      </c>
      <c r="M1304">
        <v>4</v>
      </c>
    </row>
    <row r="1305" spans="2:13" ht="15" customHeight="1">
      <c r="B1305" t="s">
        <v>3308</v>
      </c>
      <c r="C1305" s="1">
        <v>41058.6953587963</v>
      </c>
      <c r="D1305" s="4" t="s">
        <v>1490</v>
      </c>
      <c r="E1305">
        <v>41000</v>
      </c>
      <c r="F1305" t="s">
        <v>22</v>
      </c>
      <c r="G1305">
        <f>tblSalaries[[#This Row],[clean Salary (in local currency)]]*VLOOKUP(tblSalaries[[#This Row],[Currency]],tblXrate[],2,FALSE)</f>
        <v>52086.37699865592</v>
      </c>
      <c r="H1305" t="s">
        <v>522</v>
      </c>
      <c r="I1305" t="s">
        <v>279</v>
      </c>
      <c r="J1305" t="s">
        <v>608</v>
      </c>
      <c r="K1305" t="str">
        <f>VLOOKUP(tblSalaries[[#This Row],[Where do you work]],tblCountries[[Actual]:[Mapping]],2,FALSE)</f>
        <v>Spain</v>
      </c>
      <c r="L1305" t="s">
        <v>9</v>
      </c>
      <c r="M1305">
        <v>12</v>
      </c>
    </row>
    <row r="1306" spans="2:13" ht="15" customHeight="1">
      <c r="B1306" t="s">
        <v>3309</v>
      </c>
      <c r="C1306" s="1">
        <v>41058.701203703706</v>
      </c>
      <c r="D1306" s="4">
        <v>275000</v>
      </c>
      <c r="E1306">
        <v>275000</v>
      </c>
      <c r="F1306" t="s">
        <v>40</v>
      </c>
      <c r="G1306">
        <f>tblSalaries[[#This Row],[clean Salary (in local currency)]]*VLOOKUP(tblSalaries[[#This Row],[Currency]],tblXrate[],2,FALSE)</f>
        <v>4897.177089046706</v>
      </c>
      <c r="H1306" t="s">
        <v>1491</v>
      </c>
      <c r="I1306" t="s">
        <v>52</v>
      </c>
      <c r="J1306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>
        <v>4</v>
      </c>
    </row>
    <row r="1307" spans="2:13" ht="15" customHeight="1">
      <c r="B1307" t="s">
        <v>3310</v>
      </c>
      <c r="C1307" s="1">
        <v>41058.705358796295</v>
      </c>
      <c r="D1307" s="4">
        <v>80000</v>
      </c>
      <c r="E1307">
        <v>80000</v>
      </c>
      <c r="F1307" t="s">
        <v>670</v>
      </c>
      <c r="G1307">
        <f>tblSalaries[[#This Row],[clean Salary (in local currency)]]*VLOOKUP(tblSalaries[[#This Row],[Currency]],tblXrate[],2,FALSE)</f>
        <v>63807.047488395103</v>
      </c>
      <c r="H1307" t="s">
        <v>932</v>
      </c>
      <c r="I1307" t="s">
        <v>310</v>
      </c>
      <c r="J1307" t="s">
        <v>1492</v>
      </c>
      <c r="K1307" t="str">
        <f>VLOOKUP(tblSalaries[[#This Row],[Where do you work]],tblCountries[[Actual]:[Mapping]],2,FALSE)</f>
        <v>New Zealand</v>
      </c>
      <c r="L1307" t="s">
        <v>13</v>
      </c>
      <c r="M1307">
        <v>15</v>
      </c>
    </row>
    <row r="1308" spans="2:13" ht="15" customHeight="1">
      <c r="B1308" t="s">
        <v>3311</v>
      </c>
      <c r="C1308" s="1">
        <v>41058.712164351855</v>
      </c>
      <c r="D1308" s="4">
        <v>24000</v>
      </c>
      <c r="E1308">
        <v>24000</v>
      </c>
      <c r="F1308" t="s">
        <v>6</v>
      </c>
      <c r="G1308">
        <f>tblSalaries[[#This Row],[clean Salary (in local currency)]]*VLOOKUP(tblSalaries[[#This Row],[Currency]],tblXrate[],2,FALSE)</f>
        <v>24000</v>
      </c>
      <c r="H1308" t="s">
        <v>1493</v>
      </c>
      <c r="I1308" t="s">
        <v>52</v>
      </c>
      <c r="J1308" t="s">
        <v>1494</v>
      </c>
      <c r="K1308" t="str">
        <f>VLOOKUP(tblSalaries[[#This Row],[Where do you work]],tblCountries[[Actual]:[Mapping]],2,FALSE)</f>
        <v>Saudi Arabia</v>
      </c>
      <c r="L1308" t="s">
        <v>9</v>
      </c>
      <c r="M1308">
        <v>5</v>
      </c>
    </row>
    <row r="1309" spans="2:13" ht="15" customHeight="1">
      <c r="B1309" t="s">
        <v>3312</v>
      </c>
      <c r="C1309" s="1">
        <v>41058.714606481481</v>
      </c>
      <c r="D1309" s="4" t="s">
        <v>1495</v>
      </c>
      <c r="E1309">
        <v>60000</v>
      </c>
      <c r="F1309" t="s">
        <v>6</v>
      </c>
      <c r="G1309">
        <f>tblSalaries[[#This Row],[clean Salary (in local currency)]]*VLOOKUP(tblSalaries[[#This Row],[Currency]],tblXrate[],2,FALSE)</f>
        <v>60000</v>
      </c>
      <c r="H1309" t="s">
        <v>1496</v>
      </c>
      <c r="I1309" t="s">
        <v>52</v>
      </c>
      <c r="J1309" t="s">
        <v>1497</v>
      </c>
      <c r="K1309" t="str">
        <f>VLOOKUP(tblSalaries[[#This Row],[Where do you work]],tblCountries[[Actual]:[Mapping]],2,FALSE)</f>
        <v>CEE</v>
      </c>
      <c r="L1309" t="s">
        <v>13</v>
      </c>
      <c r="M1309">
        <v>20</v>
      </c>
    </row>
    <row r="1310" spans="2:13" ht="15" customHeight="1">
      <c r="B1310" t="s">
        <v>3313</v>
      </c>
      <c r="C1310" s="1">
        <v>41058.715185185189</v>
      </c>
      <c r="D1310" s="4">
        <v>300000</v>
      </c>
      <c r="E1310">
        <v>300000</v>
      </c>
      <c r="F1310" t="s">
        <v>40</v>
      </c>
      <c r="G1310">
        <f>tblSalaries[[#This Row],[clean Salary (in local currency)]]*VLOOKUP(tblSalaries[[#This Row],[Currency]],tblXrate[],2,FALSE)</f>
        <v>5342.3750062327708</v>
      </c>
      <c r="H1310" t="s">
        <v>1498</v>
      </c>
      <c r="I1310" t="s">
        <v>20</v>
      </c>
      <c r="J1310" t="s">
        <v>8</v>
      </c>
      <c r="K1310" t="str">
        <f>VLOOKUP(tblSalaries[[#This Row],[Where do you work]],tblCountries[[Actual]:[Mapping]],2,FALSE)</f>
        <v>India</v>
      </c>
      <c r="L1310" t="s">
        <v>13</v>
      </c>
      <c r="M1310">
        <v>3</v>
      </c>
    </row>
    <row r="1311" spans="2:13" ht="15" customHeight="1">
      <c r="B1311" t="s">
        <v>3314</v>
      </c>
      <c r="C1311" s="1">
        <v>41058.719675925924</v>
      </c>
      <c r="D1311" s="4">
        <v>500000</v>
      </c>
      <c r="E1311">
        <v>500000</v>
      </c>
      <c r="F1311" t="s">
        <v>40</v>
      </c>
      <c r="G1311">
        <f>tblSalaries[[#This Row],[clean Salary (in local currency)]]*VLOOKUP(tblSalaries[[#This Row],[Currency]],tblXrate[],2,FALSE)</f>
        <v>8903.9583437212841</v>
      </c>
      <c r="H1311" t="s">
        <v>1499</v>
      </c>
      <c r="I1311" t="s">
        <v>52</v>
      </c>
      <c r="J1311" t="s">
        <v>8</v>
      </c>
      <c r="K1311" t="str">
        <f>VLOOKUP(tblSalaries[[#This Row],[Where do you work]],tblCountries[[Actual]:[Mapping]],2,FALSE)</f>
        <v>India</v>
      </c>
      <c r="L1311" t="s">
        <v>18</v>
      </c>
      <c r="M1311">
        <v>5</v>
      </c>
    </row>
    <row r="1312" spans="2:13" ht="15" customHeight="1">
      <c r="B1312" t="s">
        <v>3315</v>
      </c>
      <c r="C1312" s="1">
        <v>41058.720289351855</v>
      </c>
      <c r="D1312" s="4" t="s">
        <v>1382</v>
      </c>
      <c r="E1312">
        <v>26000</v>
      </c>
      <c r="F1312" t="s">
        <v>69</v>
      </c>
      <c r="G1312">
        <f>tblSalaries[[#This Row],[clean Salary (in local currency)]]*VLOOKUP(tblSalaries[[#This Row],[Currency]],tblXrate[],2,FALSE)</f>
        <v>40980.635073749385</v>
      </c>
      <c r="H1312" t="s">
        <v>1500</v>
      </c>
      <c r="I1312" t="s">
        <v>20</v>
      </c>
      <c r="J1312" t="s">
        <v>71</v>
      </c>
      <c r="K1312" t="str">
        <f>VLOOKUP(tblSalaries[[#This Row],[Where do you work]],tblCountries[[Actual]:[Mapping]],2,FALSE)</f>
        <v>UK</v>
      </c>
      <c r="L1312" t="s">
        <v>9</v>
      </c>
      <c r="M1312">
        <v>2</v>
      </c>
    </row>
    <row r="1313" spans="2:13" ht="15" customHeight="1">
      <c r="B1313" t="s">
        <v>3316</v>
      </c>
      <c r="C1313" s="1">
        <v>41058.720671296294</v>
      </c>
      <c r="D1313" s="4" t="s">
        <v>1501</v>
      </c>
      <c r="E1313">
        <v>600000</v>
      </c>
      <c r="F1313" t="s">
        <v>40</v>
      </c>
      <c r="G1313">
        <f>tblSalaries[[#This Row],[clean Salary (in local currency)]]*VLOOKUP(tblSalaries[[#This Row],[Currency]],tblXrate[],2,FALSE)</f>
        <v>10684.750012465542</v>
      </c>
      <c r="H1313" t="s">
        <v>1022</v>
      </c>
      <c r="I1313" t="s">
        <v>52</v>
      </c>
      <c r="J1313" t="s">
        <v>8</v>
      </c>
      <c r="K1313" t="str">
        <f>VLOOKUP(tblSalaries[[#This Row],[Where do you work]],tblCountries[[Actual]:[Mapping]],2,FALSE)</f>
        <v>India</v>
      </c>
      <c r="L1313" t="s">
        <v>25</v>
      </c>
      <c r="M1313">
        <v>7</v>
      </c>
    </row>
    <row r="1314" spans="2:13" ht="15" customHeight="1">
      <c r="B1314" t="s">
        <v>3317</v>
      </c>
      <c r="C1314" s="1">
        <v>41058.729664351849</v>
      </c>
      <c r="D1314" s="4">
        <v>1200000</v>
      </c>
      <c r="E1314">
        <v>1200000</v>
      </c>
      <c r="F1314" t="s">
        <v>40</v>
      </c>
      <c r="G1314">
        <f>tblSalaries[[#This Row],[clean Salary (in local currency)]]*VLOOKUP(tblSalaries[[#This Row],[Currency]],tblXrate[],2,FALSE)</f>
        <v>21369.500024931083</v>
      </c>
      <c r="H1314" t="s">
        <v>356</v>
      </c>
      <c r="I1314" t="s">
        <v>356</v>
      </c>
      <c r="J1314" t="s">
        <v>8</v>
      </c>
      <c r="K1314" t="str">
        <f>VLOOKUP(tblSalaries[[#This Row],[Where do you work]],tblCountries[[Actual]:[Mapping]],2,FALSE)</f>
        <v>India</v>
      </c>
      <c r="L1314" t="s">
        <v>18</v>
      </c>
      <c r="M1314">
        <v>21</v>
      </c>
    </row>
    <row r="1315" spans="2:13" ht="15" customHeight="1">
      <c r="B1315" t="s">
        <v>3318</v>
      </c>
      <c r="C1315" s="1">
        <v>41058.733483796299</v>
      </c>
      <c r="D1315" s="4">
        <v>18000</v>
      </c>
      <c r="E1315">
        <v>18000</v>
      </c>
      <c r="F1315" t="s">
        <v>6</v>
      </c>
      <c r="G1315">
        <f>tblSalaries[[#This Row],[clean Salary (in local currency)]]*VLOOKUP(tblSalaries[[#This Row],[Currency]],tblXrate[],2,FALSE)</f>
        <v>18000</v>
      </c>
      <c r="H1315" t="s">
        <v>1502</v>
      </c>
      <c r="I1315" t="s">
        <v>52</v>
      </c>
      <c r="J1315" t="s">
        <v>1503</v>
      </c>
      <c r="K1315" t="str">
        <f>VLOOKUP(tblSalaries[[#This Row],[Where do you work]],tblCountries[[Actual]:[Mapping]],2,FALSE)</f>
        <v>Ghana</v>
      </c>
      <c r="L1315" t="s">
        <v>9</v>
      </c>
      <c r="M1315">
        <v>12</v>
      </c>
    </row>
    <row r="1316" spans="2:13" ht="15" customHeight="1">
      <c r="B1316" t="s">
        <v>3319</v>
      </c>
      <c r="C1316" s="1">
        <v>41058.73605324074</v>
      </c>
      <c r="D1316" s="4" t="s">
        <v>1504</v>
      </c>
      <c r="E1316">
        <v>41000</v>
      </c>
      <c r="F1316" t="s">
        <v>6</v>
      </c>
      <c r="G1316">
        <f>tblSalaries[[#This Row],[clean Salary (in local currency)]]*VLOOKUP(tblSalaries[[#This Row],[Currency]],tblXrate[],2,FALSE)</f>
        <v>41000</v>
      </c>
      <c r="H1316" t="s">
        <v>1505</v>
      </c>
      <c r="I1316" t="s">
        <v>52</v>
      </c>
      <c r="J1316" t="s">
        <v>416</v>
      </c>
      <c r="K1316" t="str">
        <f>VLOOKUP(tblSalaries[[#This Row],[Where do you work]],tblCountries[[Actual]:[Mapping]],2,FALSE)</f>
        <v>Israel</v>
      </c>
      <c r="L1316" t="s">
        <v>18</v>
      </c>
      <c r="M1316">
        <v>4</v>
      </c>
    </row>
    <row r="1317" spans="2:13" ht="15" customHeight="1">
      <c r="B1317" t="s">
        <v>3320</v>
      </c>
      <c r="C1317" s="1">
        <v>41058.740266203706</v>
      </c>
      <c r="D1317" s="4" t="s">
        <v>1506</v>
      </c>
      <c r="E1317">
        <v>1600000</v>
      </c>
      <c r="F1317" t="s">
        <v>40</v>
      </c>
      <c r="G1317">
        <f>tblSalaries[[#This Row],[clean Salary (in local currency)]]*VLOOKUP(tblSalaries[[#This Row],[Currency]],tblXrate[],2,FALSE)</f>
        <v>28492.66669990811</v>
      </c>
      <c r="H1317" t="s">
        <v>1507</v>
      </c>
      <c r="I1317" t="s">
        <v>20</v>
      </c>
      <c r="J1317" t="s">
        <v>8</v>
      </c>
      <c r="K1317" t="str">
        <f>VLOOKUP(tblSalaries[[#This Row],[Where do you work]],tblCountries[[Actual]:[Mapping]],2,FALSE)</f>
        <v>India</v>
      </c>
      <c r="L1317" t="s">
        <v>18</v>
      </c>
      <c r="M1317">
        <v>4</v>
      </c>
    </row>
    <row r="1318" spans="2:13" ht="15" customHeight="1">
      <c r="B1318" t="s">
        <v>3321</v>
      </c>
      <c r="C1318" s="1">
        <v>41058.741712962961</v>
      </c>
      <c r="D1318" s="4">
        <v>49500</v>
      </c>
      <c r="E1318">
        <v>49500</v>
      </c>
      <c r="F1318" t="s">
        <v>6</v>
      </c>
      <c r="G1318">
        <f>tblSalaries[[#This Row],[clean Salary (in local currency)]]*VLOOKUP(tblSalaries[[#This Row],[Currency]],tblXrate[],2,FALSE)</f>
        <v>49500</v>
      </c>
      <c r="H1318" t="s">
        <v>118</v>
      </c>
      <c r="I1318" t="s">
        <v>20</v>
      </c>
      <c r="J1318" t="s">
        <v>15</v>
      </c>
      <c r="K1318" t="str">
        <f>VLOOKUP(tblSalaries[[#This Row],[Where do you work]],tblCountries[[Actual]:[Mapping]],2,FALSE)</f>
        <v>USA</v>
      </c>
      <c r="L1318" t="s">
        <v>9</v>
      </c>
      <c r="M1318">
        <v>4.5</v>
      </c>
    </row>
    <row r="1319" spans="2:13" ht="15" customHeight="1">
      <c r="B1319" t="s">
        <v>3322</v>
      </c>
      <c r="C1319" s="1">
        <v>41058.750219907408</v>
      </c>
      <c r="D1319" s="4">
        <v>6600</v>
      </c>
      <c r="E1319">
        <v>6600</v>
      </c>
      <c r="F1319" t="s">
        <v>6</v>
      </c>
      <c r="G1319">
        <f>tblSalaries[[#This Row],[clean Salary (in local currency)]]*VLOOKUP(tblSalaries[[#This Row],[Currency]],tblXrate[],2,FALSE)</f>
        <v>6600</v>
      </c>
      <c r="H1319" t="s">
        <v>1508</v>
      </c>
      <c r="I1319" t="s">
        <v>3999</v>
      </c>
      <c r="J1319" t="s">
        <v>8</v>
      </c>
      <c r="K1319" t="str">
        <f>VLOOKUP(tblSalaries[[#This Row],[Where do you work]],tblCountries[[Actual]:[Mapping]],2,FALSE)</f>
        <v>India</v>
      </c>
      <c r="L1319" t="s">
        <v>18</v>
      </c>
      <c r="M1319">
        <v>6.4</v>
      </c>
    </row>
    <row r="1320" spans="2:13" ht="15" customHeight="1">
      <c r="B1320" t="s">
        <v>3323</v>
      </c>
      <c r="C1320" s="1">
        <v>41058.754050925927</v>
      </c>
      <c r="D1320" s="4" t="s">
        <v>1509</v>
      </c>
      <c r="E1320">
        <v>70000</v>
      </c>
      <c r="F1320" t="s">
        <v>69</v>
      </c>
      <c r="G1320">
        <f>tblSalaries[[#This Row],[clean Salary (in local currency)]]*VLOOKUP(tblSalaries[[#This Row],[Currency]],tblXrate[],2,FALSE)</f>
        <v>110332.47904470989</v>
      </c>
      <c r="H1320" t="s">
        <v>356</v>
      </c>
      <c r="I1320" t="s">
        <v>356</v>
      </c>
      <c r="J1320" t="s">
        <v>71</v>
      </c>
      <c r="K1320" t="str">
        <f>VLOOKUP(tblSalaries[[#This Row],[Where do you work]],tblCountries[[Actual]:[Mapping]],2,FALSE)</f>
        <v>UK</v>
      </c>
      <c r="L1320" t="s">
        <v>9</v>
      </c>
      <c r="M1320">
        <v>15</v>
      </c>
    </row>
    <row r="1321" spans="2:13" ht="15" customHeight="1">
      <c r="B1321" t="s">
        <v>3324</v>
      </c>
      <c r="C1321" s="1">
        <v>41058.760277777779</v>
      </c>
      <c r="D1321" s="4" t="s">
        <v>137</v>
      </c>
      <c r="E1321">
        <v>30000</v>
      </c>
      <c r="F1321" t="s">
        <v>69</v>
      </c>
      <c r="G1321">
        <f>tblSalaries[[#This Row],[clean Salary (in local currency)]]*VLOOKUP(tblSalaries[[#This Row],[Currency]],tblXrate[],2,FALSE)</f>
        <v>47285.348162018527</v>
      </c>
      <c r="H1321" t="s">
        <v>185</v>
      </c>
      <c r="I1321" t="s">
        <v>20</v>
      </c>
      <c r="J1321" t="s">
        <v>71</v>
      </c>
      <c r="K1321" t="str">
        <f>VLOOKUP(tblSalaries[[#This Row],[Where do you work]],tblCountries[[Actual]:[Mapping]],2,FALSE)</f>
        <v>UK</v>
      </c>
      <c r="L1321" t="s">
        <v>13</v>
      </c>
      <c r="M1321">
        <v>6</v>
      </c>
    </row>
    <row r="1322" spans="2:13" ht="15" customHeight="1">
      <c r="B1322" t="s">
        <v>3325</v>
      </c>
      <c r="C1322" s="1">
        <v>41058.760335648149</v>
      </c>
      <c r="D1322" s="4" t="s">
        <v>1510</v>
      </c>
      <c r="E1322">
        <v>5300</v>
      </c>
      <c r="F1322" t="s">
        <v>6</v>
      </c>
      <c r="G1322">
        <f>tblSalaries[[#This Row],[clean Salary (in local currency)]]*VLOOKUP(tblSalaries[[#This Row],[Currency]],tblXrate[],2,FALSE)</f>
        <v>5300</v>
      </c>
      <c r="H1322" t="s">
        <v>1511</v>
      </c>
      <c r="I1322" t="s">
        <v>52</v>
      </c>
      <c r="J1322" t="s">
        <v>17</v>
      </c>
      <c r="K1322" t="str">
        <f>VLOOKUP(tblSalaries[[#This Row],[Where do you work]],tblCountries[[Actual]:[Mapping]],2,FALSE)</f>
        <v>Pakistan</v>
      </c>
      <c r="L1322" t="s">
        <v>9</v>
      </c>
      <c r="M1322">
        <v>5</v>
      </c>
    </row>
    <row r="1323" spans="2:13" ht="15" customHeight="1">
      <c r="B1323" t="s">
        <v>3326</v>
      </c>
      <c r="C1323" s="1">
        <v>41058.764733796299</v>
      </c>
      <c r="D1323" s="4">
        <v>34500</v>
      </c>
      <c r="E1323">
        <v>34500</v>
      </c>
      <c r="F1323" t="s">
        <v>22</v>
      </c>
      <c r="G1323">
        <f>tblSalaries[[#This Row],[clean Salary (in local currency)]]*VLOOKUP(tblSalaries[[#This Row],[Currency]],tblXrate[],2,FALSE)</f>
        <v>43828.780645210471</v>
      </c>
      <c r="H1323" t="s">
        <v>20</v>
      </c>
      <c r="I1323" t="s">
        <v>20</v>
      </c>
      <c r="J1323" t="s">
        <v>628</v>
      </c>
      <c r="K1323" t="str">
        <f>VLOOKUP(tblSalaries[[#This Row],[Where do you work]],tblCountries[[Actual]:[Mapping]],2,FALSE)</f>
        <v>Netherlands</v>
      </c>
      <c r="L1323" t="s">
        <v>9</v>
      </c>
      <c r="M1323">
        <v>15</v>
      </c>
    </row>
    <row r="1324" spans="2:13" ht="15" customHeight="1">
      <c r="B1324" t="s">
        <v>3327</v>
      </c>
      <c r="C1324" s="1">
        <v>41058.773009259261</v>
      </c>
      <c r="D1324" s="4">
        <v>80000</v>
      </c>
      <c r="E1324">
        <v>80000</v>
      </c>
      <c r="F1324" t="s">
        <v>6</v>
      </c>
      <c r="G1324">
        <f>tblSalaries[[#This Row],[clean Salary (in local currency)]]*VLOOKUP(tblSalaries[[#This Row],[Currency]],tblXrate[],2,FALSE)</f>
        <v>80000</v>
      </c>
      <c r="H1324" t="s">
        <v>1252</v>
      </c>
      <c r="I1324" t="s">
        <v>20</v>
      </c>
      <c r="J1324" t="s">
        <v>15</v>
      </c>
      <c r="K1324" t="str">
        <f>VLOOKUP(tblSalaries[[#This Row],[Where do you work]],tblCountries[[Actual]:[Mapping]],2,FALSE)</f>
        <v>USA</v>
      </c>
      <c r="L1324" t="s">
        <v>25</v>
      </c>
      <c r="M1324">
        <v>14</v>
      </c>
    </row>
    <row r="1325" spans="2:13" ht="15" customHeight="1">
      <c r="B1325" t="s">
        <v>3328</v>
      </c>
      <c r="C1325" s="1">
        <v>41058.774421296293</v>
      </c>
      <c r="D1325" s="4" t="s">
        <v>1512</v>
      </c>
      <c r="E1325">
        <v>9067</v>
      </c>
      <c r="F1325" t="s">
        <v>22</v>
      </c>
      <c r="G1325">
        <f>tblSalaries[[#This Row],[clean Salary (in local currency)]]*VLOOKUP(tblSalaries[[#This Row],[Currency]],tblXrate[],2,FALSE)</f>
        <v>11518.711713336908</v>
      </c>
      <c r="H1325" t="s">
        <v>1513</v>
      </c>
      <c r="I1325" t="s">
        <v>20</v>
      </c>
      <c r="J1325" t="s">
        <v>38</v>
      </c>
      <c r="K1325" t="str">
        <f>VLOOKUP(tblSalaries[[#This Row],[Where do you work]],tblCountries[[Actual]:[Mapping]],2,FALSE)</f>
        <v>Hungary</v>
      </c>
      <c r="L1325" t="s">
        <v>18</v>
      </c>
      <c r="M1325">
        <v>3</v>
      </c>
    </row>
    <row r="1326" spans="2:13" ht="15" customHeight="1">
      <c r="B1326" t="s">
        <v>3329</v>
      </c>
      <c r="C1326" s="1">
        <v>41058.774664351855</v>
      </c>
      <c r="D1326" s="4" t="s">
        <v>1514</v>
      </c>
      <c r="E1326">
        <v>150000</v>
      </c>
      <c r="F1326" t="s">
        <v>82</v>
      </c>
      <c r="G1326">
        <f>tblSalaries[[#This Row],[clean Salary (in local currency)]]*VLOOKUP(tblSalaries[[#This Row],[Currency]],tblXrate[],2,FALSE)</f>
        <v>152986.44846039536</v>
      </c>
      <c r="H1326" t="s">
        <v>1515</v>
      </c>
      <c r="I1326" t="s">
        <v>20</v>
      </c>
      <c r="J1326" t="s">
        <v>84</v>
      </c>
      <c r="K1326" t="str">
        <f>VLOOKUP(tblSalaries[[#This Row],[Where do you work]],tblCountries[[Actual]:[Mapping]],2,FALSE)</f>
        <v>Australia</v>
      </c>
      <c r="L1326" t="s">
        <v>25</v>
      </c>
      <c r="M1326">
        <v>5.5</v>
      </c>
    </row>
    <row r="1327" spans="2:13" ht="15" customHeight="1">
      <c r="B1327" t="s">
        <v>3330</v>
      </c>
      <c r="C1327" s="1">
        <v>41058.776979166665</v>
      </c>
      <c r="D1327" s="4">
        <v>125000</v>
      </c>
      <c r="E1327">
        <v>125000</v>
      </c>
      <c r="F1327" t="s">
        <v>6</v>
      </c>
      <c r="G1327">
        <f>tblSalaries[[#This Row],[clean Salary (in local currency)]]*VLOOKUP(tblSalaries[[#This Row],[Currency]],tblXrate[],2,FALSE)</f>
        <v>125000</v>
      </c>
      <c r="H1327" t="s">
        <v>1516</v>
      </c>
      <c r="I1327" t="s">
        <v>52</v>
      </c>
      <c r="J1327" t="s">
        <v>15</v>
      </c>
      <c r="K1327" t="str">
        <f>VLOOKUP(tblSalaries[[#This Row],[Where do you work]],tblCountries[[Actual]:[Mapping]],2,FALSE)</f>
        <v>USA</v>
      </c>
      <c r="L1327" t="s">
        <v>9</v>
      </c>
      <c r="M1327">
        <v>2</v>
      </c>
    </row>
    <row r="1328" spans="2:13" ht="15" customHeight="1">
      <c r="B1328" t="s">
        <v>3331</v>
      </c>
      <c r="C1328" s="1">
        <v>41058.788402777776</v>
      </c>
      <c r="D1328" s="4">
        <v>100000</v>
      </c>
      <c r="E1328">
        <v>100000</v>
      </c>
      <c r="F1328" t="s">
        <v>82</v>
      </c>
      <c r="G1328">
        <f>tblSalaries[[#This Row],[clean Salary (in local currency)]]*VLOOKUP(tblSalaries[[#This Row],[Currency]],tblXrate[],2,FALSE)</f>
        <v>101990.96564026357</v>
      </c>
      <c r="H1328" t="s">
        <v>1517</v>
      </c>
      <c r="I1328" t="s">
        <v>356</v>
      </c>
      <c r="J1328" t="s">
        <v>84</v>
      </c>
      <c r="K1328" t="str">
        <f>VLOOKUP(tblSalaries[[#This Row],[Where do you work]],tblCountries[[Actual]:[Mapping]],2,FALSE)</f>
        <v>Australia</v>
      </c>
      <c r="L1328" t="s">
        <v>25</v>
      </c>
      <c r="M1328">
        <v>30</v>
      </c>
    </row>
    <row r="1329" spans="2:13" ht="15" customHeight="1">
      <c r="B1329" t="s">
        <v>3332</v>
      </c>
      <c r="C1329" s="1">
        <v>41058.788425925923</v>
      </c>
      <c r="D1329" s="4">
        <v>105000</v>
      </c>
      <c r="E1329">
        <v>105000</v>
      </c>
      <c r="F1329" t="s">
        <v>6</v>
      </c>
      <c r="G1329">
        <f>tblSalaries[[#This Row],[clean Salary (in local currency)]]*VLOOKUP(tblSalaries[[#This Row],[Currency]],tblXrate[],2,FALSE)</f>
        <v>105000</v>
      </c>
      <c r="H1329" t="s">
        <v>1518</v>
      </c>
      <c r="I1329" t="s">
        <v>4001</v>
      </c>
      <c r="J1329" t="s">
        <v>15</v>
      </c>
      <c r="K1329" t="str">
        <f>VLOOKUP(tblSalaries[[#This Row],[Where do you work]],tblCountries[[Actual]:[Mapping]],2,FALSE)</f>
        <v>USA</v>
      </c>
      <c r="L1329" t="s">
        <v>25</v>
      </c>
      <c r="M1329">
        <v>15</v>
      </c>
    </row>
    <row r="1330" spans="2:13" ht="15" customHeight="1">
      <c r="B1330" t="s">
        <v>3333</v>
      </c>
      <c r="C1330" s="1">
        <v>41058.79241898148</v>
      </c>
      <c r="D1330" s="4">
        <v>40000</v>
      </c>
      <c r="E1330">
        <v>40000</v>
      </c>
      <c r="F1330" t="s">
        <v>22</v>
      </c>
      <c r="G1330">
        <f>tblSalaries[[#This Row],[clean Salary (in local currency)]]*VLOOKUP(tblSalaries[[#This Row],[Currency]],tblXrate[],2,FALSE)</f>
        <v>50815.977559664309</v>
      </c>
      <c r="H1330" t="s">
        <v>1264</v>
      </c>
      <c r="I1330" t="s">
        <v>52</v>
      </c>
      <c r="J1330" t="s">
        <v>1519</v>
      </c>
      <c r="K1330" t="str">
        <f>VLOOKUP(tblSalaries[[#This Row],[Where do you work]],tblCountries[[Actual]:[Mapping]],2,FALSE)</f>
        <v>Austria</v>
      </c>
      <c r="L1330" t="s">
        <v>9</v>
      </c>
      <c r="M1330">
        <v>20</v>
      </c>
    </row>
    <row r="1331" spans="2:13" ht="15" customHeight="1">
      <c r="B1331" t="s">
        <v>3334</v>
      </c>
      <c r="C1331" s="1">
        <v>41058.792916666665</v>
      </c>
      <c r="D1331" s="4">
        <v>75000</v>
      </c>
      <c r="E1331">
        <v>75000</v>
      </c>
      <c r="F1331" t="s">
        <v>6</v>
      </c>
      <c r="G1331">
        <f>tblSalaries[[#This Row],[clean Salary (in local currency)]]*VLOOKUP(tblSalaries[[#This Row],[Currency]],tblXrate[],2,FALSE)</f>
        <v>75000</v>
      </c>
      <c r="H1331" t="s">
        <v>14</v>
      </c>
      <c r="I1331" t="s">
        <v>20</v>
      </c>
      <c r="J1331" t="s">
        <v>15</v>
      </c>
      <c r="K1331" t="str">
        <f>VLOOKUP(tblSalaries[[#This Row],[Where do you work]],tblCountries[[Actual]:[Mapping]],2,FALSE)</f>
        <v>USA</v>
      </c>
      <c r="L1331" t="s">
        <v>9</v>
      </c>
      <c r="M1331">
        <v>7</v>
      </c>
    </row>
    <row r="1332" spans="2:13" ht="15" customHeight="1">
      <c r="B1332" t="s">
        <v>3335</v>
      </c>
      <c r="C1332" s="1">
        <v>41058.795995370368</v>
      </c>
      <c r="D1332" s="4" t="s">
        <v>1520</v>
      </c>
      <c r="E1332">
        <v>250000</v>
      </c>
      <c r="F1332" t="s">
        <v>40</v>
      </c>
      <c r="G1332">
        <f>tblSalaries[[#This Row],[clean Salary (in local currency)]]*VLOOKUP(tblSalaries[[#This Row],[Currency]],tblXrate[],2,FALSE)</f>
        <v>4451.9791718606421</v>
      </c>
      <c r="H1332" t="s">
        <v>1521</v>
      </c>
      <c r="I1332" t="s">
        <v>20</v>
      </c>
      <c r="J1332" t="s">
        <v>8</v>
      </c>
      <c r="K1332" t="str">
        <f>VLOOKUP(tblSalaries[[#This Row],[Where do you work]],tblCountries[[Actual]:[Mapping]],2,FALSE)</f>
        <v>India</v>
      </c>
      <c r="L1332" t="s">
        <v>13</v>
      </c>
      <c r="M1332">
        <v>8</v>
      </c>
    </row>
    <row r="1333" spans="2:13" ht="15" customHeight="1">
      <c r="B1333" t="s">
        <v>3336</v>
      </c>
      <c r="C1333" s="1">
        <v>41058.797650462962</v>
      </c>
      <c r="D1333" s="4">
        <v>110000</v>
      </c>
      <c r="E1333">
        <v>110000</v>
      </c>
      <c r="F1333" t="s">
        <v>6</v>
      </c>
      <c r="G1333">
        <f>tblSalaries[[#This Row],[clean Salary (in local currency)]]*VLOOKUP(tblSalaries[[#This Row],[Currency]],tblXrate[],2,FALSE)</f>
        <v>110000</v>
      </c>
      <c r="H1333" t="s">
        <v>1522</v>
      </c>
      <c r="I1333" t="s">
        <v>20</v>
      </c>
      <c r="J1333" t="s">
        <v>15</v>
      </c>
      <c r="K1333" t="str">
        <f>VLOOKUP(tblSalaries[[#This Row],[Where do you work]],tblCountries[[Actual]:[Mapping]],2,FALSE)</f>
        <v>USA</v>
      </c>
      <c r="L1333" t="s">
        <v>25</v>
      </c>
      <c r="M1333">
        <v>10</v>
      </c>
    </row>
    <row r="1334" spans="2:13" ht="15" customHeight="1">
      <c r="B1334" t="s">
        <v>3337</v>
      </c>
      <c r="C1334" s="1">
        <v>41058.798668981479</v>
      </c>
      <c r="D1334" s="4" t="s">
        <v>1523</v>
      </c>
      <c r="E1334">
        <v>27000</v>
      </c>
      <c r="F1334" t="s">
        <v>69</v>
      </c>
      <c r="G1334">
        <f>tblSalaries[[#This Row],[clean Salary (in local currency)]]*VLOOKUP(tblSalaries[[#This Row],[Currency]],tblXrate[],2,FALSE)</f>
        <v>42556.81334581667</v>
      </c>
      <c r="H1334" t="s">
        <v>1524</v>
      </c>
      <c r="I1334" t="s">
        <v>279</v>
      </c>
      <c r="J1334" t="s">
        <v>71</v>
      </c>
      <c r="K1334" t="str">
        <f>VLOOKUP(tblSalaries[[#This Row],[Where do you work]],tblCountries[[Actual]:[Mapping]],2,FALSE)</f>
        <v>UK</v>
      </c>
      <c r="L1334" t="s">
        <v>9</v>
      </c>
      <c r="M1334">
        <v>1</v>
      </c>
    </row>
    <row r="1335" spans="2:13" ht="15" customHeight="1">
      <c r="B1335" t="s">
        <v>3338</v>
      </c>
      <c r="C1335" s="1">
        <v>41058.799664351849</v>
      </c>
      <c r="D1335" s="4" t="s">
        <v>1525</v>
      </c>
      <c r="E1335">
        <v>450000</v>
      </c>
      <c r="F1335" t="s">
        <v>40</v>
      </c>
      <c r="G1335">
        <f>tblSalaries[[#This Row],[clean Salary (in local currency)]]*VLOOKUP(tblSalaries[[#This Row],[Currency]],tblXrate[],2,FALSE)</f>
        <v>8013.5625093491553</v>
      </c>
      <c r="H1335" t="s">
        <v>1526</v>
      </c>
      <c r="I1335" t="s">
        <v>279</v>
      </c>
      <c r="J1335" t="s">
        <v>8</v>
      </c>
      <c r="K1335" t="str">
        <f>VLOOKUP(tblSalaries[[#This Row],[Where do you work]],tblCountries[[Actual]:[Mapping]],2,FALSE)</f>
        <v>India</v>
      </c>
      <c r="L1335" t="s">
        <v>25</v>
      </c>
      <c r="M1335">
        <v>7</v>
      </c>
    </row>
    <row r="1336" spans="2:13" ht="15" customHeight="1">
      <c r="B1336" t="s">
        <v>3339</v>
      </c>
      <c r="C1336" s="1">
        <v>41058.800219907411</v>
      </c>
      <c r="D1336" s="4">
        <v>125000</v>
      </c>
      <c r="E1336">
        <v>125000</v>
      </c>
      <c r="F1336" t="s">
        <v>6</v>
      </c>
      <c r="G1336">
        <f>tblSalaries[[#This Row],[clean Salary (in local currency)]]*VLOOKUP(tblSalaries[[#This Row],[Currency]],tblXrate[],2,FALSE)</f>
        <v>125000</v>
      </c>
      <c r="H1336" t="s">
        <v>642</v>
      </c>
      <c r="I1336" t="s">
        <v>52</v>
      </c>
      <c r="J1336" t="s">
        <v>15</v>
      </c>
      <c r="K1336" t="str">
        <f>VLOOKUP(tblSalaries[[#This Row],[Where do you work]],tblCountries[[Actual]:[Mapping]],2,FALSE)</f>
        <v>USA</v>
      </c>
      <c r="L1336" t="s">
        <v>9</v>
      </c>
      <c r="M1336">
        <v>25</v>
      </c>
    </row>
    <row r="1337" spans="2:13" ht="15" customHeight="1">
      <c r="B1337" t="s">
        <v>3340</v>
      </c>
      <c r="C1337" s="1">
        <v>41058.808009259257</v>
      </c>
      <c r="D1337" s="4">
        <v>60000</v>
      </c>
      <c r="E1337">
        <v>60000</v>
      </c>
      <c r="F1337" t="s">
        <v>6</v>
      </c>
      <c r="G1337">
        <f>tblSalaries[[#This Row],[clean Salary (in local currency)]]*VLOOKUP(tblSalaries[[#This Row],[Currency]],tblXrate[],2,FALSE)</f>
        <v>60000</v>
      </c>
      <c r="H1337" t="s">
        <v>1527</v>
      </c>
      <c r="I1337" t="s">
        <v>20</v>
      </c>
      <c r="J1337" t="s">
        <v>15</v>
      </c>
      <c r="K1337" t="str">
        <f>VLOOKUP(tblSalaries[[#This Row],[Where do you work]],tblCountries[[Actual]:[Mapping]],2,FALSE)</f>
        <v>USA</v>
      </c>
      <c r="L1337" t="s">
        <v>13</v>
      </c>
      <c r="M1337">
        <v>12</v>
      </c>
    </row>
    <row r="1338" spans="2:13" ht="15" customHeight="1">
      <c r="B1338" t="s">
        <v>3341</v>
      </c>
      <c r="C1338" s="1">
        <v>41058.813564814816</v>
      </c>
      <c r="D1338" s="4" t="s">
        <v>1528</v>
      </c>
      <c r="E1338">
        <v>2210000</v>
      </c>
      <c r="F1338" t="s">
        <v>40</v>
      </c>
      <c r="G1338">
        <f>tblSalaries[[#This Row],[clean Salary (in local currency)]]*VLOOKUP(tblSalaries[[#This Row],[Currency]],tblXrate[],2,FALSE)</f>
        <v>39355.495879248076</v>
      </c>
      <c r="H1338" t="s">
        <v>387</v>
      </c>
      <c r="I1338" t="s">
        <v>20</v>
      </c>
      <c r="J1338" t="s">
        <v>8</v>
      </c>
      <c r="K1338" t="str">
        <f>VLOOKUP(tblSalaries[[#This Row],[Where do you work]],tblCountries[[Actual]:[Mapping]],2,FALSE)</f>
        <v>India</v>
      </c>
      <c r="L1338" t="s">
        <v>25</v>
      </c>
      <c r="M1338">
        <v>5.6</v>
      </c>
    </row>
    <row r="1339" spans="2:13" ht="15" customHeight="1">
      <c r="B1339" t="s">
        <v>3342</v>
      </c>
      <c r="C1339" s="1">
        <v>41058.814664351848</v>
      </c>
      <c r="D1339" s="4">
        <v>45000</v>
      </c>
      <c r="E1339">
        <v>45000</v>
      </c>
      <c r="F1339" t="s">
        <v>22</v>
      </c>
      <c r="G1339">
        <f>tblSalaries[[#This Row],[clean Salary (in local currency)]]*VLOOKUP(tblSalaries[[#This Row],[Currency]],tblXrate[],2,FALSE)</f>
        <v>57167.974754622352</v>
      </c>
      <c r="H1339" t="s">
        <v>1529</v>
      </c>
      <c r="I1339" t="s">
        <v>488</v>
      </c>
      <c r="J1339" t="s">
        <v>24</v>
      </c>
      <c r="K1339" t="str">
        <f>VLOOKUP(tblSalaries[[#This Row],[Where do you work]],tblCountries[[Actual]:[Mapping]],2,FALSE)</f>
        <v>Germany</v>
      </c>
      <c r="L1339" t="s">
        <v>9</v>
      </c>
      <c r="M1339">
        <v>12</v>
      </c>
    </row>
    <row r="1340" spans="2:13" ht="15" customHeight="1">
      <c r="B1340" t="s">
        <v>3343</v>
      </c>
      <c r="C1340" s="1">
        <v>41058.819155092591</v>
      </c>
      <c r="D1340" s="4" t="s">
        <v>1530</v>
      </c>
      <c r="E1340">
        <v>4000000</v>
      </c>
      <c r="F1340" t="s">
        <v>1531</v>
      </c>
      <c r="G1340">
        <f>tblSalaries[[#This Row],[clean Salary (in local currency)]]*VLOOKUP(tblSalaries[[#This Row],[Currency]],tblXrate[],2,FALSE)</f>
        <v>50694.322109187968</v>
      </c>
      <c r="H1340" t="s">
        <v>1532</v>
      </c>
      <c r="I1340" t="s">
        <v>20</v>
      </c>
      <c r="J1340" t="s">
        <v>654</v>
      </c>
      <c r="K1340" t="str">
        <f>VLOOKUP(tblSalaries[[#This Row],[Where do you work]],tblCountries[[Actual]:[Mapping]],2,FALSE)</f>
        <v>Japan</v>
      </c>
      <c r="L1340" t="s">
        <v>9</v>
      </c>
      <c r="M1340">
        <v>8</v>
      </c>
    </row>
    <row r="1341" spans="2:13" ht="15" customHeight="1">
      <c r="B1341" t="s">
        <v>3344</v>
      </c>
      <c r="C1341" s="1">
        <v>41058.824513888889</v>
      </c>
      <c r="D1341" s="4">
        <v>57500</v>
      </c>
      <c r="E1341">
        <v>57500</v>
      </c>
      <c r="F1341" t="s">
        <v>6</v>
      </c>
      <c r="G1341">
        <f>tblSalaries[[#This Row],[clean Salary (in local currency)]]*VLOOKUP(tblSalaries[[#This Row],[Currency]],tblXrate[],2,FALSE)</f>
        <v>57500</v>
      </c>
      <c r="H1341" t="s">
        <v>1533</v>
      </c>
      <c r="I1341" t="s">
        <v>52</v>
      </c>
      <c r="J1341" t="s">
        <v>15</v>
      </c>
      <c r="K1341" t="str">
        <f>VLOOKUP(tblSalaries[[#This Row],[Where do you work]],tblCountries[[Actual]:[Mapping]],2,FALSE)</f>
        <v>USA</v>
      </c>
      <c r="L1341" t="s">
        <v>9</v>
      </c>
      <c r="M1341">
        <v>30</v>
      </c>
    </row>
    <row r="1342" spans="2:13" ht="15" customHeight="1">
      <c r="B1342" t="s">
        <v>3345</v>
      </c>
      <c r="C1342" s="1">
        <v>41058.826678240737</v>
      </c>
      <c r="D1342" s="4">
        <v>62000</v>
      </c>
      <c r="E1342">
        <v>62000</v>
      </c>
      <c r="F1342" t="s">
        <v>22</v>
      </c>
      <c r="G1342">
        <f>tblSalaries[[#This Row],[clean Salary (in local currency)]]*VLOOKUP(tblSalaries[[#This Row],[Currency]],tblXrate[],2,FALSE)</f>
        <v>78764.765217479682</v>
      </c>
      <c r="H1342" t="s">
        <v>488</v>
      </c>
      <c r="I1342" t="s">
        <v>488</v>
      </c>
      <c r="J1342" t="s">
        <v>628</v>
      </c>
      <c r="K1342" t="str">
        <f>VLOOKUP(tblSalaries[[#This Row],[Where do you work]],tblCountries[[Actual]:[Mapping]],2,FALSE)</f>
        <v>Netherlands</v>
      </c>
      <c r="L1342" t="s">
        <v>9</v>
      </c>
      <c r="M1342">
        <v>15</v>
      </c>
    </row>
    <row r="1343" spans="2:13" ht="15" customHeight="1">
      <c r="B1343" t="s">
        <v>3346</v>
      </c>
      <c r="C1343" s="1">
        <v>41058.828182870369</v>
      </c>
      <c r="D1343" s="4" t="s">
        <v>1534</v>
      </c>
      <c r="E1343">
        <v>80000</v>
      </c>
      <c r="F1343" t="s">
        <v>6</v>
      </c>
      <c r="G1343">
        <f>tblSalaries[[#This Row],[clean Salary (in local currency)]]*VLOOKUP(tblSalaries[[#This Row],[Currency]],tblXrate[],2,FALSE)</f>
        <v>80000</v>
      </c>
      <c r="H1343" t="s">
        <v>1535</v>
      </c>
      <c r="I1343" t="s">
        <v>52</v>
      </c>
      <c r="J1343" t="s">
        <v>15</v>
      </c>
      <c r="K1343" t="str">
        <f>VLOOKUP(tblSalaries[[#This Row],[Where do you work]],tblCountries[[Actual]:[Mapping]],2,FALSE)</f>
        <v>USA</v>
      </c>
      <c r="L1343" t="s">
        <v>9</v>
      </c>
      <c r="M1343">
        <v>10</v>
      </c>
    </row>
    <row r="1344" spans="2:13" ht="15" customHeight="1">
      <c r="B1344" t="s">
        <v>3347</v>
      </c>
      <c r="C1344" s="1">
        <v>41058.829606481479</v>
      </c>
      <c r="D1344" s="4" t="s">
        <v>1249</v>
      </c>
      <c r="E1344">
        <v>45000</v>
      </c>
      <c r="F1344" t="s">
        <v>69</v>
      </c>
      <c r="G1344">
        <f>tblSalaries[[#This Row],[clean Salary (in local currency)]]*VLOOKUP(tblSalaries[[#This Row],[Currency]],tblXrate[],2,FALSE)</f>
        <v>70928.022243027779</v>
      </c>
      <c r="H1344" t="s">
        <v>772</v>
      </c>
      <c r="I1344" t="s">
        <v>52</v>
      </c>
      <c r="J1344" t="s">
        <v>71</v>
      </c>
      <c r="K1344" t="str">
        <f>VLOOKUP(tblSalaries[[#This Row],[Where do you work]],tblCountries[[Actual]:[Mapping]],2,FALSE)</f>
        <v>UK</v>
      </c>
      <c r="L1344" t="s">
        <v>18</v>
      </c>
      <c r="M1344">
        <v>15</v>
      </c>
    </row>
    <row r="1345" spans="2:13" ht="15" customHeight="1">
      <c r="B1345" t="s">
        <v>3348</v>
      </c>
      <c r="C1345" s="1">
        <v>41058.835497685184</v>
      </c>
      <c r="D1345" s="4">
        <v>33000</v>
      </c>
      <c r="E1345">
        <v>33000</v>
      </c>
      <c r="F1345" t="s">
        <v>6</v>
      </c>
      <c r="G1345">
        <f>tblSalaries[[#This Row],[clean Salary (in local currency)]]*VLOOKUP(tblSalaries[[#This Row],[Currency]],tblXrate[],2,FALSE)</f>
        <v>33000</v>
      </c>
      <c r="H1345" t="s">
        <v>1536</v>
      </c>
      <c r="I1345" t="s">
        <v>488</v>
      </c>
      <c r="J1345" t="s">
        <v>15</v>
      </c>
      <c r="K1345" t="str">
        <f>VLOOKUP(tblSalaries[[#This Row],[Where do you work]],tblCountries[[Actual]:[Mapping]],2,FALSE)</f>
        <v>USA</v>
      </c>
      <c r="L1345" t="s">
        <v>9</v>
      </c>
      <c r="M1345">
        <v>3</v>
      </c>
    </row>
    <row r="1346" spans="2:13" ht="15" customHeight="1">
      <c r="B1346" t="s">
        <v>3349</v>
      </c>
      <c r="C1346" s="1">
        <v>41058.84746527778</v>
      </c>
      <c r="D1346" s="4" t="s">
        <v>1537</v>
      </c>
      <c r="E1346">
        <v>100000</v>
      </c>
      <c r="F1346" t="s">
        <v>6</v>
      </c>
      <c r="G1346">
        <f>tblSalaries[[#This Row],[clean Salary (in local currency)]]*VLOOKUP(tblSalaries[[#This Row],[Currency]],tblXrate[],2,FALSE)</f>
        <v>100000</v>
      </c>
      <c r="H1346" t="s">
        <v>424</v>
      </c>
      <c r="I1346" t="s">
        <v>20</v>
      </c>
      <c r="J1346" t="s">
        <v>15</v>
      </c>
      <c r="K1346" t="str">
        <f>VLOOKUP(tblSalaries[[#This Row],[Where do you work]],tblCountries[[Actual]:[Mapping]],2,FALSE)</f>
        <v>USA</v>
      </c>
      <c r="L1346" t="s">
        <v>9</v>
      </c>
      <c r="M1346">
        <v>1</v>
      </c>
    </row>
    <row r="1347" spans="2:13" ht="15" customHeight="1">
      <c r="B1347" t="s">
        <v>3350</v>
      </c>
      <c r="C1347" s="1">
        <v>41058.861250000002</v>
      </c>
      <c r="D1347" s="4" t="s">
        <v>1538</v>
      </c>
      <c r="E1347">
        <v>60000</v>
      </c>
      <c r="F1347" t="s">
        <v>6</v>
      </c>
      <c r="G1347">
        <f>tblSalaries[[#This Row],[clean Salary (in local currency)]]*VLOOKUP(tblSalaries[[#This Row],[Currency]],tblXrate[],2,FALSE)</f>
        <v>60000</v>
      </c>
      <c r="H1347" t="s">
        <v>204</v>
      </c>
      <c r="I1347" t="s">
        <v>52</v>
      </c>
      <c r="J1347" t="s">
        <v>15</v>
      </c>
      <c r="K1347" t="str">
        <f>VLOOKUP(tblSalaries[[#This Row],[Where do you work]],tblCountries[[Actual]:[Mapping]],2,FALSE)</f>
        <v>USA</v>
      </c>
      <c r="L1347" t="s">
        <v>18</v>
      </c>
      <c r="M1347">
        <v>20</v>
      </c>
    </row>
    <row r="1348" spans="2:13" ht="15" customHeight="1">
      <c r="B1348" t="s">
        <v>3351</v>
      </c>
      <c r="C1348" s="1">
        <v>41058.870636574073</v>
      </c>
      <c r="D1348" s="4">
        <v>95000</v>
      </c>
      <c r="E1348">
        <v>95000</v>
      </c>
      <c r="F1348" t="s">
        <v>6</v>
      </c>
      <c r="G1348">
        <f>tblSalaries[[#This Row],[clean Salary (in local currency)]]*VLOOKUP(tblSalaries[[#This Row],[Currency]],tblXrate[],2,FALSE)</f>
        <v>95000</v>
      </c>
      <c r="H1348" t="s">
        <v>653</v>
      </c>
      <c r="I1348" t="s">
        <v>20</v>
      </c>
      <c r="J1348" t="s">
        <v>15</v>
      </c>
      <c r="K1348" t="str">
        <f>VLOOKUP(tblSalaries[[#This Row],[Where do you work]],tblCountries[[Actual]:[Mapping]],2,FALSE)</f>
        <v>USA</v>
      </c>
      <c r="L1348" t="s">
        <v>18</v>
      </c>
      <c r="M1348">
        <v>7</v>
      </c>
    </row>
    <row r="1349" spans="2:13" ht="15" customHeight="1">
      <c r="B1349" t="s">
        <v>3352</v>
      </c>
      <c r="C1349" s="1">
        <v>41058.880173611113</v>
      </c>
      <c r="D1349" s="4">
        <v>24000</v>
      </c>
      <c r="E1349">
        <v>24000</v>
      </c>
      <c r="F1349" t="s">
        <v>6</v>
      </c>
      <c r="G1349">
        <f>tblSalaries[[#This Row],[clean Salary (in local currency)]]*VLOOKUP(tblSalaries[[#This Row],[Currency]],tblXrate[],2,FALSE)</f>
        <v>24000</v>
      </c>
      <c r="H1349" t="s">
        <v>1539</v>
      </c>
      <c r="I1349" t="s">
        <v>20</v>
      </c>
      <c r="J1349" t="s">
        <v>15</v>
      </c>
      <c r="K1349" t="str">
        <f>VLOOKUP(tblSalaries[[#This Row],[Where do you work]],tblCountries[[Actual]:[Mapping]],2,FALSE)</f>
        <v>USA</v>
      </c>
      <c r="L1349" t="s">
        <v>25</v>
      </c>
      <c r="M1349">
        <v>33</v>
      </c>
    </row>
    <row r="1350" spans="2:13" ht="15" customHeight="1">
      <c r="B1350" t="s">
        <v>3353</v>
      </c>
      <c r="C1350" s="1">
        <v>41058.887106481481</v>
      </c>
      <c r="D1350" s="4">
        <v>50000</v>
      </c>
      <c r="E1350">
        <v>50000</v>
      </c>
      <c r="F1350" t="s">
        <v>6</v>
      </c>
      <c r="G1350">
        <f>tblSalaries[[#This Row],[clean Salary (in local currency)]]*VLOOKUP(tblSalaries[[#This Row],[Currency]],tblXrate[],2,FALSE)</f>
        <v>50000</v>
      </c>
      <c r="H1350" t="s">
        <v>1540</v>
      </c>
      <c r="I1350" t="s">
        <v>279</v>
      </c>
      <c r="J1350" t="s">
        <v>15</v>
      </c>
      <c r="K1350" t="str">
        <f>VLOOKUP(tblSalaries[[#This Row],[Where do you work]],tblCountries[[Actual]:[Mapping]],2,FALSE)</f>
        <v>USA</v>
      </c>
      <c r="L1350" t="s">
        <v>9</v>
      </c>
      <c r="M1350">
        <v>0.5</v>
      </c>
    </row>
    <row r="1351" spans="2:13" ht="15" customHeight="1">
      <c r="B1351" t="s">
        <v>3354</v>
      </c>
      <c r="C1351" s="1">
        <v>41058.892395833333</v>
      </c>
      <c r="D1351" s="4">
        <v>103000</v>
      </c>
      <c r="E1351">
        <v>103000</v>
      </c>
      <c r="F1351" t="s">
        <v>6</v>
      </c>
      <c r="G1351">
        <f>tblSalaries[[#This Row],[clean Salary (in local currency)]]*VLOOKUP(tblSalaries[[#This Row],[Currency]],tblXrate[],2,FALSE)</f>
        <v>103000</v>
      </c>
      <c r="H1351" t="s">
        <v>488</v>
      </c>
      <c r="I1351" t="s">
        <v>488</v>
      </c>
      <c r="J1351" t="s">
        <v>15</v>
      </c>
      <c r="K1351" t="str">
        <f>VLOOKUP(tblSalaries[[#This Row],[Where do you work]],tblCountries[[Actual]:[Mapping]],2,FALSE)</f>
        <v>USA</v>
      </c>
      <c r="L1351" t="s">
        <v>9</v>
      </c>
      <c r="M1351">
        <v>22</v>
      </c>
    </row>
    <row r="1352" spans="2:13" ht="15" customHeight="1">
      <c r="B1352" t="s">
        <v>3355</v>
      </c>
      <c r="C1352" s="1">
        <v>41058.894016203703</v>
      </c>
      <c r="D1352" s="4">
        <v>36000</v>
      </c>
      <c r="E1352">
        <v>36000</v>
      </c>
      <c r="F1352" t="s">
        <v>6</v>
      </c>
      <c r="G1352">
        <f>tblSalaries[[#This Row],[clean Salary (in local currency)]]*VLOOKUP(tblSalaries[[#This Row],[Currency]],tblXrate[],2,FALSE)</f>
        <v>36000</v>
      </c>
      <c r="H1352" t="s">
        <v>1144</v>
      </c>
      <c r="I1352" t="s">
        <v>67</v>
      </c>
      <c r="J1352" t="s">
        <v>15</v>
      </c>
      <c r="K1352" t="str">
        <f>VLOOKUP(tblSalaries[[#This Row],[Where do you work]],tblCountries[[Actual]:[Mapping]],2,FALSE)</f>
        <v>USA</v>
      </c>
      <c r="L1352" t="s">
        <v>13</v>
      </c>
      <c r="M1352">
        <v>8</v>
      </c>
    </row>
    <row r="1353" spans="2:13" ht="15" customHeight="1">
      <c r="B1353" t="s">
        <v>3356</v>
      </c>
      <c r="C1353" s="1">
        <v>41058.894525462965</v>
      </c>
      <c r="D1353" s="4">
        <v>85000</v>
      </c>
      <c r="E1353">
        <v>85000</v>
      </c>
      <c r="F1353" t="s">
        <v>6</v>
      </c>
      <c r="G1353">
        <f>tblSalaries[[#This Row],[clean Salary (in local currency)]]*VLOOKUP(tblSalaries[[#This Row],[Currency]],tblXrate[],2,FALSE)</f>
        <v>85000</v>
      </c>
      <c r="H1353" t="s">
        <v>72</v>
      </c>
      <c r="I1353" t="s">
        <v>20</v>
      </c>
      <c r="J1353" t="s">
        <v>15</v>
      </c>
      <c r="K1353" t="str">
        <f>VLOOKUP(tblSalaries[[#This Row],[Where do you work]],tblCountries[[Actual]:[Mapping]],2,FALSE)</f>
        <v>USA</v>
      </c>
      <c r="L1353" t="s">
        <v>9</v>
      </c>
      <c r="M1353">
        <v>17</v>
      </c>
    </row>
    <row r="1354" spans="2:13" ht="15" customHeight="1">
      <c r="B1354" t="s">
        <v>3357</v>
      </c>
      <c r="C1354" s="1">
        <v>41058.895555555559</v>
      </c>
      <c r="D1354" s="4">
        <v>100000</v>
      </c>
      <c r="E1354">
        <v>100000</v>
      </c>
      <c r="F1354" t="s">
        <v>6</v>
      </c>
      <c r="G1354">
        <f>tblSalaries[[#This Row],[clean Salary (in local currency)]]*VLOOKUP(tblSalaries[[#This Row],[Currency]],tblXrate[],2,FALSE)</f>
        <v>100000</v>
      </c>
      <c r="H1354" t="s">
        <v>1541</v>
      </c>
      <c r="I1354" t="s">
        <v>4001</v>
      </c>
      <c r="J1354" t="s">
        <v>447</v>
      </c>
      <c r="K1354" t="str">
        <f>VLOOKUP(tblSalaries[[#This Row],[Where do you work]],tblCountries[[Actual]:[Mapping]],2,FALSE)</f>
        <v>Sweden</v>
      </c>
      <c r="L1354" t="s">
        <v>18</v>
      </c>
      <c r="M1354">
        <v>20</v>
      </c>
    </row>
    <row r="1355" spans="2:13" ht="15" customHeight="1">
      <c r="B1355" t="s">
        <v>3358</v>
      </c>
      <c r="C1355" s="1">
        <v>41058.898402777777</v>
      </c>
      <c r="D1355" s="4" t="s">
        <v>1542</v>
      </c>
      <c r="E1355">
        <v>83000</v>
      </c>
      <c r="F1355" t="s">
        <v>6</v>
      </c>
      <c r="G1355">
        <f>tblSalaries[[#This Row],[clean Salary (in local currency)]]*VLOOKUP(tblSalaries[[#This Row],[Currency]],tblXrate[],2,FALSE)</f>
        <v>83000</v>
      </c>
      <c r="H1355" t="s">
        <v>1543</v>
      </c>
      <c r="I1355" t="s">
        <v>20</v>
      </c>
      <c r="J1355" t="s">
        <v>88</v>
      </c>
      <c r="K1355" t="str">
        <f>VLOOKUP(tblSalaries[[#This Row],[Where do you work]],tblCountries[[Actual]:[Mapping]],2,FALSE)</f>
        <v>Canada</v>
      </c>
      <c r="L1355" t="s">
        <v>9</v>
      </c>
      <c r="M1355">
        <v>12</v>
      </c>
    </row>
    <row r="1356" spans="2:13" ht="15" customHeight="1">
      <c r="B1356" t="s">
        <v>3359</v>
      </c>
      <c r="C1356" s="1">
        <v>41058.901504629626</v>
      </c>
      <c r="D1356" s="4">
        <v>85000</v>
      </c>
      <c r="E1356">
        <v>85000</v>
      </c>
      <c r="F1356" t="s">
        <v>6</v>
      </c>
      <c r="G1356">
        <f>tblSalaries[[#This Row],[clean Salary (in local currency)]]*VLOOKUP(tblSalaries[[#This Row],[Currency]],tblXrate[],2,FALSE)</f>
        <v>85000</v>
      </c>
      <c r="H1356" t="s">
        <v>1544</v>
      </c>
      <c r="I1356" t="s">
        <v>279</v>
      </c>
      <c r="J1356" t="s">
        <v>15</v>
      </c>
      <c r="K1356" t="str">
        <f>VLOOKUP(tblSalaries[[#This Row],[Where do you work]],tblCountries[[Actual]:[Mapping]],2,FALSE)</f>
        <v>USA</v>
      </c>
      <c r="L1356" t="s">
        <v>18</v>
      </c>
      <c r="M1356">
        <v>25</v>
      </c>
    </row>
    <row r="1357" spans="2:13" ht="15" customHeight="1">
      <c r="B1357" t="s">
        <v>3360</v>
      </c>
      <c r="C1357" s="1">
        <v>41058.904675925929</v>
      </c>
      <c r="D1357" s="4">
        <v>120000</v>
      </c>
      <c r="E1357">
        <v>120000</v>
      </c>
      <c r="F1357" t="s">
        <v>6</v>
      </c>
      <c r="G1357">
        <f>tblSalaries[[#This Row],[clean Salary (in local currency)]]*VLOOKUP(tblSalaries[[#This Row],[Currency]],tblXrate[],2,FALSE)</f>
        <v>120000</v>
      </c>
      <c r="H1357" t="s">
        <v>642</v>
      </c>
      <c r="I1357" t="s">
        <v>52</v>
      </c>
      <c r="J1357" t="s">
        <v>15</v>
      </c>
      <c r="K1357" t="str">
        <f>VLOOKUP(tblSalaries[[#This Row],[Where do you work]],tblCountries[[Actual]:[Mapping]],2,FALSE)</f>
        <v>USA</v>
      </c>
      <c r="L1357" t="s">
        <v>18</v>
      </c>
      <c r="M1357">
        <v>5</v>
      </c>
    </row>
    <row r="1358" spans="2:13" ht="15" customHeight="1">
      <c r="B1358" t="s">
        <v>3361</v>
      </c>
      <c r="C1358" s="1">
        <v>41058.905555555553</v>
      </c>
      <c r="D1358" s="4">
        <v>69960</v>
      </c>
      <c r="E1358">
        <v>69960</v>
      </c>
      <c r="F1358" t="s">
        <v>6</v>
      </c>
      <c r="G1358">
        <f>tblSalaries[[#This Row],[clean Salary (in local currency)]]*VLOOKUP(tblSalaries[[#This Row],[Currency]],tblXrate[],2,FALSE)</f>
        <v>69960</v>
      </c>
      <c r="H1358" t="s">
        <v>1545</v>
      </c>
      <c r="I1358" t="s">
        <v>279</v>
      </c>
      <c r="J1358" t="s">
        <v>15</v>
      </c>
      <c r="K1358" t="str">
        <f>VLOOKUP(tblSalaries[[#This Row],[Where do you work]],tblCountries[[Actual]:[Mapping]],2,FALSE)</f>
        <v>USA</v>
      </c>
      <c r="L1358" t="s">
        <v>18</v>
      </c>
      <c r="M1358">
        <v>22</v>
      </c>
    </row>
    <row r="1359" spans="2:13" ht="15" customHeight="1">
      <c r="B1359" t="s">
        <v>3362</v>
      </c>
      <c r="C1359" s="1">
        <v>41058.907268518517</v>
      </c>
      <c r="D1359" s="4" t="s">
        <v>1546</v>
      </c>
      <c r="E1359">
        <v>97000</v>
      </c>
      <c r="F1359" t="s">
        <v>6</v>
      </c>
      <c r="G1359">
        <f>tblSalaries[[#This Row],[clean Salary (in local currency)]]*VLOOKUP(tblSalaries[[#This Row],[Currency]],tblXrate[],2,FALSE)</f>
        <v>97000</v>
      </c>
      <c r="H1359" t="s">
        <v>1547</v>
      </c>
      <c r="I1359" t="s">
        <v>52</v>
      </c>
      <c r="J1359" t="s">
        <v>15</v>
      </c>
      <c r="K1359" t="str">
        <f>VLOOKUP(tblSalaries[[#This Row],[Where do you work]],tblCountries[[Actual]:[Mapping]],2,FALSE)</f>
        <v>USA</v>
      </c>
      <c r="L1359" t="s">
        <v>9</v>
      </c>
      <c r="M1359">
        <v>14</v>
      </c>
    </row>
    <row r="1360" spans="2:13" ht="15" customHeight="1">
      <c r="B1360" t="s">
        <v>3363</v>
      </c>
      <c r="C1360" s="1">
        <v>41058.908483796295</v>
      </c>
      <c r="D1360" s="4" t="s">
        <v>1548</v>
      </c>
      <c r="E1360">
        <v>60000</v>
      </c>
      <c r="F1360" t="s">
        <v>69</v>
      </c>
      <c r="G1360">
        <f>tblSalaries[[#This Row],[clean Salary (in local currency)]]*VLOOKUP(tblSalaries[[#This Row],[Currency]],tblXrate[],2,FALSE)</f>
        <v>94570.696324037053</v>
      </c>
      <c r="H1360" t="s">
        <v>20</v>
      </c>
      <c r="I1360" t="s">
        <v>20</v>
      </c>
      <c r="J1360" t="s">
        <v>71</v>
      </c>
      <c r="K1360" t="str">
        <f>VLOOKUP(tblSalaries[[#This Row],[Where do you work]],tblCountries[[Actual]:[Mapping]],2,FALSE)</f>
        <v>UK</v>
      </c>
      <c r="L1360" t="s">
        <v>9</v>
      </c>
      <c r="M1360">
        <v>7</v>
      </c>
    </row>
    <row r="1361" spans="2:13" ht="15" customHeight="1">
      <c r="B1361" t="s">
        <v>3364</v>
      </c>
      <c r="C1361" s="1">
        <v>41058.910069444442</v>
      </c>
      <c r="D1361" s="4">
        <v>39000</v>
      </c>
      <c r="E1361">
        <v>39000</v>
      </c>
      <c r="F1361" t="s">
        <v>6</v>
      </c>
      <c r="G1361">
        <f>tblSalaries[[#This Row],[clean Salary (in local currency)]]*VLOOKUP(tblSalaries[[#This Row],[Currency]],tblXrate[],2,FALSE)</f>
        <v>39000</v>
      </c>
      <c r="H1361" t="s">
        <v>1549</v>
      </c>
      <c r="I1361" t="s">
        <v>52</v>
      </c>
      <c r="J1361" t="s">
        <v>48</v>
      </c>
      <c r="K1361" t="str">
        <f>VLOOKUP(tblSalaries[[#This Row],[Where do you work]],tblCountries[[Actual]:[Mapping]],2,FALSE)</f>
        <v>South Africa</v>
      </c>
      <c r="L1361" t="s">
        <v>13</v>
      </c>
      <c r="M1361">
        <v>6</v>
      </c>
    </row>
    <row r="1362" spans="2:13" ht="15" customHeight="1">
      <c r="B1362" t="s">
        <v>3365</v>
      </c>
      <c r="C1362" s="1">
        <v>41058.910243055558</v>
      </c>
      <c r="D1362" s="4" t="s">
        <v>1550</v>
      </c>
      <c r="E1362">
        <v>250000</v>
      </c>
      <c r="F1362" t="s">
        <v>40</v>
      </c>
      <c r="G1362">
        <f>tblSalaries[[#This Row],[clean Salary (in local currency)]]*VLOOKUP(tblSalaries[[#This Row],[Currency]],tblXrate[],2,FALSE)</f>
        <v>4451.9791718606421</v>
      </c>
      <c r="H1362" t="s">
        <v>52</v>
      </c>
      <c r="I1362" t="s">
        <v>52</v>
      </c>
      <c r="J1362" t="s">
        <v>8</v>
      </c>
      <c r="K1362" t="str">
        <f>VLOOKUP(tblSalaries[[#This Row],[Where do you work]],tblCountries[[Actual]:[Mapping]],2,FALSE)</f>
        <v>India</v>
      </c>
      <c r="L1362" t="s">
        <v>25</v>
      </c>
      <c r="M1362">
        <v>15</v>
      </c>
    </row>
    <row r="1363" spans="2:13" ht="15" customHeight="1">
      <c r="B1363" t="s">
        <v>3366</v>
      </c>
      <c r="C1363" s="1">
        <v>41058.912881944445</v>
      </c>
      <c r="D1363" s="4">
        <v>62000</v>
      </c>
      <c r="E1363">
        <v>62000</v>
      </c>
      <c r="F1363" t="s">
        <v>6</v>
      </c>
      <c r="G1363">
        <f>tblSalaries[[#This Row],[clean Salary (in local currency)]]*VLOOKUP(tblSalaries[[#This Row],[Currency]],tblXrate[],2,FALSE)</f>
        <v>62000</v>
      </c>
      <c r="H1363" t="s">
        <v>1551</v>
      </c>
      <c r="I1363" t="s">
        <v>67</v>
      </c>
      <c r="J1363" t="s">
        <v>15</v>
      </c>
      <c r="K1363" t="str">
        <f>VLOOKUP(tblSalaries[[#This Row],[Where do you work]],tblCountries[[Actual]:[Mapping]],2,FALSE)</f>
        <v>USA</v>
      </c>
      <c r="L1363" t="s">
        <v>13</v>
      </c>
      <c r="M1363">
        <v>25</v>
      </c>
    </row>
    <row r="1364" spans="2:13" ht="15" customHeight="1">
      <c r="B1364" t="s">
        <v>3367</v>
      </c>
      <c r="C1364" s="1">
        <v>41058.916377314818</v>
      </c>
      <c r="D1364" s="4">
        <v>44000</v>
      </c>
      <c r="E1364">
        <v>44000</v>
      </c>
      <c r="F1364" t="s">
        <v>6</v>
      </c>
      <c r="G1364">
        <f>tblSalaries[[#This Row],[clean Salary (in local currency)]]*VLOOKUP(tblSalaries[[#This Row],[Currency]],tblXrate[],2,FALSE)</f>
        <v>44000</v>
      </c>
      <c r="H1364" t="s">
        <v>1552</v>
      </c>
      <c r="I1364" t="s">
        <v>279</v>
      </c>
      <c r="J1364" t="s">
        <v>15</v>
      </c>
      <c r="K1364" t="str">
        <f>VLOOKUP(tblSalaries[[#This Row],[Where do you work]],tblCountries[[Actual]:[Mapping]],2,FALSE)</f>
        <v>USA</v>
      </c>
      <c r="L1364" t="s">
        <v>9</v>
      </c>
      <c r="M1364">
        <v>15</v>
      </c>
    </row>
    <row r="1365" spans="2:13" ht="15" customHeight="1">
      <c r="B1365" t="s">
        <v>3368</v>
      </c>
      <c r="C1365" s="1">
        <v>41058.918414351851</v>
      </c>
      <c r="D1365" s="4">
        <v>150000</v>
      </c>
      <c r="E1365">
        <v>150000</v>
      </c>
      <c r="F1365" t="s">
        <v>6</v>
      </c>
      <c r="G1365">
        <f>tblSalaries[[#This Row],[clean Salary (in local currency)]]*VLOOKUP(tblSalaries[[#This Row],[Currency]],tblXrate[],2,FALSE)</f>
        <v>150000</v>
      </c>
      <c r="H1365" t="s">
        <v>1553</v>
      </c>
      <c r="I1365" t="s">
        <v>52</v>
      </c>
      <c r="J1365" t="s">
        <v>15</v>
      </c>
      <c r="K1365" t="str">
        <f>VLOOKUP(tblSalaries[[#This Row],[Where do you work]],tblCountries[[Actual]:[Mapping]],2,FALSE)</f>
        <v>USA</v>
      </c>
      <c r="L1365" t="s">
        <v>18</v>
      </c>
      <c r="M1365">
        <v>30</v>
      </c>
    </row>
    <row r="1366" spans="2:13" ht="15" customHeight="1">
      <c r="B1366" t="s">
        <v>3369</v>
      </c>
      <c r="C1366" s="1">
        <v>41058.919548611113</v>
      </c>
      <c r="D1366" s="4">
        <v>180000</v>
      </c>
      <c r="E1366">
        <v>180000</v>
      </c>
      <c r="F1366" t="s">
        <v>22</v>
      </c>
      <c r="G1366">
        <f>tblSalaries[[#This Row],[clean Salary (in local currency)]]*VLOOKUP(tblSalaries[[#This Row],[Currency]],tblXrate[],2,FALSE)</f>
        <v>228671.89901848941</v>
      </c>
      <c r="H1366" t="s">
        <v>1554</v>
      </c>
      <c r="I1366" t="s">
        <v>488</v>
      </c>
      <c r="J1366" t="s">
        <v>983</v>
      </c>
      <c r="K1366" t="str">
        <f>VLOOKUP(tblSalaries[[#This Row],[Where do you work]],tblCountries[[Actual]:[Mapping]],2,FALSE)</f>
        <v>Europe</v>
      </c>
      <c r="L1366" t="s">
        <v>9</v>
      </c>
      <c r="M1366">
        <v>15</v>
      </c>
    </row>
    <row r="1367" spans="2:13" ht="15" customHeight="1">
      <c r="B1367" t="s">
        <v>3370</v>
      </c>
      <c r="C1367" s="1">
        <v>41058.925787037035</v>
      </c>
      <c r="D1367" s="4">
        <v>73500</v>
      </c>
      <c r="E1367">
        <v>73500</v>
      </c>
      <c r="F1367" t="s">
        <v>6</v>
      </c>
      <c r="G1367">
        <f>tblSalaries[[#This Row],[clean Salary (in local currency)]]*VLOOKUP(tblSalaries[[#This Row],[Currency]],tblXrate[],2,FALSE)</f>
        <v>73500</v>
      </c>
      <c r="H1367" t="s">
        <v>1555</v>
      </c>
      <c r="I1367" t="s">
        <v>20</v>
      </c>
      <c r="J1367" t="s">
        <v>15</v>
      </c>
      <c r="K1367" t="str">
        <f>VLOOKUP(tblSalaries[[#This Row],[Where do you work]],tblCountries[[Actual]:[Mapping]],2,FALSE)</f>
        <v>USA</v>
      </c>
      <c r="L1367" t="s">
        <v>13</v>
      </c>
      <c r="M1367">
        <v>6</v>
      </c>
    </row>
    <row r="1368" spans="2:13" ht="15" customHeight="1">
      <c r="B1368" t="s">
        <v>3371</v>
      </c>
      <c r="C1368" s="1">
        <v>41058.926608796297</v>
      </c>
      <c r="D1368" s="4">
        <v>77500</v>
      </c>
      <c r="E1368">
        <v>77500</v>
      </c>
      <c r="F1368" t="s">
        <v>6</v>
      </c>
      <c r="G1368">
        <f>tblSalaries[[#This Row],[clean Salary (in local currency)]]*VLOOKUP(tblSalaries[[#This Row],[Currency]],tblXrate[],2,FALSE)</f>
        <v>77500</v>
      </c>
      <c r="H1368" t="s">
        <v>266</v>
      </c>
      <c r="I1368" t="s">
        <v>20</v>
      </c>
      <c r="J1368" t="s">
        <v>15</v>
      </c>
      <c r="K1368" t="str">
        <f>VLOOKUP(tblSalaries[[#This Row],[Where do you work]],tblCountries[[Actual]:[Mapping]],2,FALSE)</f>
        <v>USA</v>
      </c>
      <c r="L1368" t="s">
        <v>9</v>
      </c>
      <c r="M1368">
        <v>7</v>
      </c>
    </row>
    <row r="1369" spans="2:13" ht="15" customHeight="1">
      <c r="B1369" t="s">
        <v>3372</v>
      </c>
      <c r="C1369" s="1">
        <v>41058.929722222223</v>
      </c>
      <c r="D1369" s="4">
        <v>60800</v>
      </c>
      <c r="E1369">
        <v>60800</v>
      </c>
      <c r="F1369" t="s">
        <v>6</v>
      </c>
      <c r="G1369">
        <f>tblSalaries[[#This Row],[clean Salary (in local currency)]]*VLOOKUP(tblSalaries[[#This Row],[Currency]],tblXrate[],2,FALSE)</f>
        <v>60800</v>
      </c>
      <c r="H1369" t="s">
        <v>1556</v>
      </c>
      <c r="I1369" t="s">
        <v>20</v>
      </c>
      <c r="J1369" t="s">
        <v>15</v>
      </c>
      <c r="K1369" t="str">
        <f>VLOOKUP(tblSalaries[[#This Row],[Where do you work]],tblCountries[[Actual]:[Mapping]],2,FALSE)</f>
        <v>USA</v>
      </c>
      <c r="L1369" t="s">
        <v>13</v>
      </c>
      <c r="M1369">
        <v>10</v>
      </c>
    </row>
    <row r="1370" spans="2:13" ht="15" customHeight="1">
      <c r="B1370" t="s">
        <v>3373</v>
      </c>
      <c r="C1370" s="1">
        <v>41058.933657407404</v>
      </c>
      <c r="D1370" s="4">
        <v>136000</v>
      </c>
      <c r="E1370">
        <v>136000</v>
      </c>
      <c r="F1370" t="s">
        <v>6</v>
      </c>
      <c r="G1370">
        <f>tblSalaries[[#This Row],[clean Salary (in local currency)]]*VLOOKUP(tblSalaries[[#This Row],[Currency]],tblXrate[],2,FALSE)</f>
        <v>136000</v>
      </c>
      <c r="H1370" t="s">
        <v>1557</v>
      </c>
      <c r="I1370" t="s">
        <v>52</v>
      </c>
      <c r="J1370" t="s">
        <v>15</v>
      </c>
      <c r="K1370" t="str">
        <f>VLOOKUP(tblSalaries[[#This Row],[Where do you work]],tblCountries[[Actual]:[Mapping]],2,FALSE)</f>
        <v>USA</v>
      </c>
      <c r="L1370" t="s">
        <v>9</v>
      </c>
      <c r="M1370">
        <v>10</v>
      </c>
    </row>
    <row r="1371" spans="2:13" ht="15" customHeight="1">
      <c r="B1371" t="s">
        <v>3374</v>
      </c>
      <c r="C1371" s="1">
        <v>41058.939074074071</v>
      </c>
      <c r="D1371" s="4">
        <v>20000</v>
      </c>
      <c r="E1371">
        <v>20000</v>
      </c>
      <c r="F1371" t="s">
        <v>6</v>
      </c>
      <c r="G1371">
        <f>tblSalaries[[#This Row],[clean Salary (in local currency)]]*VLOOKUP(tblSalaries[[#This Row],[Currency]],tblXrate[],2,FALSE)</f>
        <v>20000</v>
      </c>
      <c r="H1371" t="s">
        <v>1558</v>
      </c>
      <c r="I1371" t="s">
        <v>67</v>
      </c>
      <c r="J1371" t="s">
        <v>8</v>
      </c>
      <c r="K1371" t="str">
        <f>VLOOKUP(tblSalaries[[#This Row],[Where do you work]],tblCountries[[Actual]:[Mapping]],2,FALSE)</f>
        <v>India</v>
      </c>
      <c r="L1371" t="s">
        <v>9</v>
      </c>
      <c r="M1371">
        <v>6</v>
      </c>
    </row>
    <row r="1372" spans="2:13" ht="15" customHeight="1">
      <c r="B1372" t="s">
        <v>3375</v>
      </c>
      <c r="C1372" s="1">
        <v>41058.941168981481</v>
      </c>
      <c r="D1372" s="4">
        <v>95000</v>
      </c>
      <c r="E1372">
        <v>95000</v>
      </c>
      <c r="F1372" t="s">
        <v>6</v>
      </c>
      <c r="G1372">
        <f>tblSalaries[[#This Row],[clean Salary (in local currency)]]*VLOOKUP(tblSalaries[[#This Row],[Currency]],tblXrate[],2,FALSE)</f>
        <v>95000</v>
      </c>
      <c r="H1372" t="s">
        <v>1559</v>
      </c>
      <c r="I1372" t="s">
        <v>279</v>
      </c>
      <c r="J1372" t="s">
        <v>15</v>
      </c>
      <c r="K1372" t="str">
        <f>VLOOKUP(tblSalaries[[#This Row],[Where do you work]],tblCountries[[Actual]:[Mapping]],2,FALSE)</f>
        <v>USA</v>
      </c>
      <c r="L1372" t="s">
        <v>9</v>
      </c>
      <c r="M1372">
        <v>14</v>
      </c>
    </row>
    <row r="1373" spans="2:13" ht="15" customHeight="1">
      <c r="B1373" t="s">
        <v>3376</v>
      </c>
      <c r="C1373" s="1">
        <v>41058.949421296296</v>
      </c>
      <c r="D1373" s="4">
        <v>130000</v>
      </c>
      <c r="E1373">
        <v>130000</v>
      </c>
      <c r="F1373" t="s">
        <v>6</v>
      </c>
      <c r="G1373">
        <f>tblSalaries[[#This Row],[clean Salary (in local currency)]]*VLOOKUP(tblSalaries[[#This Row],[Currency]],tblXrate[],2,FALSE)</f>
        <v>130000</v>
      </c>
      <c r="H1373" t="s">
        <v>52</v>
      </c>
      <c r="I1373" t="s">
        <v>52</v>
      </c>
      <c r="J1373" t="s">
        <v>15</v>
      </c>
      <c r="K1373" t="str">
        <f>VLOOKUP(tblSalaries[[#This Row],[Where do you work]],tblCountries[[Actual]:[Mapping]],2,FALSE)</f>
        <v>USA</v>
      </c>
      <c r="L1373" t="s">
        <v>25</v>
      </c>
      <c r="M1373">
        <v>25</v>
      </c>
    </row>
    <row r="1374" spans="2:13" ht="15" customHeight="1">
      <c r="B1374" t="s">
        <v>3377</v>
      </c>
      <c r="C1374" s="1">
        <v>41058.951574074075</v>
      </c>
      <c r="D1374" s="4">
        <v>65000</v>
      </c>
      <c r="E1374">
        <v>65000</v>
      </c>
      <c r="F1374" t="s">
        <v>6</v>
      </c>
      <c r="G1374">
        <f>tblSalaries[[#This Row],[clean Salary (in local currency)]]*VLOOKUP(tblSalaries[[#This Row],[Currency]],tblXrate[],2,FALSE)</f>
        <v>65000</v>
      </c>
      <c r="H1374" t="s">
        <v>1560</v>
      </c>
      <c r="I1374" t="s">
        <v>20</v>
      </c>
      <c r="J1374" t="s">
        <v>15</v>
      </c>
      <c r="K1374" t="str">
        <f>VLOOKUP(tblSalaries[[#This Row],[Where do you work]],tblCountries[[Actual]:[Mapping]],2,FALSE)</f>
        <v>USA</v>
      </c>
      <c r="L1374" t="s">
        <v>18</v>
      </c>
      <c r="M1374">
        <v>10</v>
      </c>
    </row>
    <row r="1375" spans="2:13" ht="15" customHeight="1">
      <c r="B1375" t="s">
        <v>3378</v>
      </c>
      <c r="C1375" s="1">
        <v>41058.951620370368</v>
      </c>
      <c r="D1375" s="4">
        <v>80000</v>
      </c>
      <c r="E1375">
        <v>80000</v>
      </c>
      <c r="F1375" t="s">
        <v>6</v>
      </c>
      <c r="G1375">
        <f>tblSalaries[[#This Row],[clean Salary (in local currency)]]*VLOOKUP(tblSalaries[[#This Row],[Currency]],tblXrate[],2,FALSE)</f>
        <v>80000</v>
      </c>
      <c r="H1375" t="s">
        <v>1561</v>
      </c>
      <c r="I1375" t="s">
        <v>356</v>
      </c>
      <c r="J1375" t="s">
        <v>15</v>
      </c>
      <c r="K1375" t="str">
        <f>VLOOKUP(tblSalaries[[#This Row],[Where do you work]],tblCountries[[Actual]:[Mapping]],2,FALSE)</f>
        <v>USA</v>
      </c>
      <c r="L1375" t="s">
        <v>18</v>
      </c>
      <c r="M1375">
        <v>8</v>
      </c>
    </row>
    <row r="1376" spans="2:13" ht="15" customHeight="1">
      <c r="B1376" t="s">
        <v>3379</v>
      </c>
      <c r="C1376" s="1">
        <v>41058.955833333333</v>
      </c>
      <c r="D1376" s="4" t="s">
        <v>1562</v>
      </c>
      <c r="E1376">
        <v>37000</v>
      </c>
      <c r="F1376" t="s">
        <v>6</v>
      </c>
      <c r="G1376">
        <f>tblSalaries[[#This Row],[clean Salary (in local currency)]]*VLOOKUP(tblSalaries[[#This Row],[Currency]],tblXrate[],2,FALSE)</f>
        <v>37000</v>
      </c>
      <c r="H1376" t="s">
        <v>1563</v>
      </c>
      <c r="I1376" t="s">
        <v>3999</v>
      </c>
      <c r="J1376" t="s">
        <v>15</v>
      </c>
      <c r="K1376" t="str">
        <f>VLOOKUP(tblSalaries[[#This Row],[Where do you work]],tblCountries[[Actual]:[Mapping]],2,FALSE)</f>
        <v>USA</v>
      </c>
      <c r="L1376" t="s">
        <v>18</v>
      </c>
      <c r="M1376">
        <v>30</v>
      </c>
    </row>
    <row r="1377" spans="2:13" ht="15" customHeight="1">
      <c r="B1377" t="s">
        <v>3380</v>
      </c>
      <c r="C1377" s="1">
        <v>41058.962500000001</v>
      </c>
      <c r="D1377" s="4">
        <v>40000</v>
      </c>
      <c r="E1377">
        <v>40000</v>
      </c>
      <c r="F1377" t="s">
        <v>6</v>
      </c>
      <c r="G1377">
        <f>tblSalaries[[#This Row],[clean Salary (in local currency)]]*VLOOKUP(tblSalaries[[#This Row],[Currency]],tblXrate[],2,FALSE)</f>
        <v>40000</v>
      </c>
      <c r="H1377" t="s">
        <v>1564</v>
      </c>
      <c r="I1377" t="s">
        <v>52</v>
      </c>
      <c r="J1377" t="s">
        <v>15</v>
      </c>
      <c r="K1377" t="str">
        <f>VLOOKUP(tblSalaries[[#This Row],[Where do you work]],tblCountries[[Actual]:[Mapping]],2,FALSE)</f>
        <v>USA</v>
      </c>
      <c r="L1377" t="s">
        <v>25</v>
      </c>
      <c r="M1377">
        <v>8</v>
      </c>
    </row>
    <row r="1378" spans="2:13" ht="15" customHeight="1">
      <c r="B1378" t="s">
        <v>3381</v>
      </c>
      <c r="C1378" s="1">
        <v>41058.964409722219</v>
      </c>
      <c r="D1378" s="4">
        <v>49000</v>
      </c>
      <c r="E1378">
        <v>49000</v>
      </c>
      <c r="F1378" t="s">
        <v>6</v>
      </c>
      <c r="G1378">
        <f>tblSalaries[[#This Row],[clean Salary (in local currency)]]*VLOOKUP(tblSalaries[[#This Row],[Currency]],tblXrate[],2,FALSE)</f>
        <v>49000</v>
      </c>
      <c r="H1378" t="s">
        <v>200</v>
      </c>
      <c r="I1378" t="s">
        <v>20</v>
      </c>
      <c r="J1378" t="s">
        <v>15</v>
      </c>
      <c r="K1378" t="str">
        <f>VLOOKUP(tblSalaries[[#This Row],[Where do you work]],tblCountries[[Actual]:[Mapping]],2,FALSE)</f>
        <v>USA</v>
      </c>
      <c r="L1378" t="s">
        <v>9</v>
      </c>
      <c r="M1378">
        <v>10</v>
      </c>
    </row>
    <row r="1379" spans="2:13" ht="15" customHeight="1">
      <c r="B1379" t="s">
        <v>3382</v>
      </c>
      <c r="C1379" s="1">
        <v>41058.964918981481</v>
      </c>
      <c r="D1379" s="4">
        <v>65000</v>
      </c>
      <c r="E1379">
        <v>65000</v>
      </c>
      <c r="F1379" t="s">
        <v>6</v>
      </c>
      <c r="G1379">
        <f>tblSalaries[[#This Row],[clean Salary (in local currency)]]*VLOOKUP(tblSalaries[[#This Row],[Currency]],tblXrate[],2,FALSE)</f>
        <v>65000</v>
      </c>
      <c r="H1379" t="s">
        <v>153</v>
      </c>
      <c r="I1379" t="s">
        <v>20</v>
      </c>
      <c r="J1379" t="s">
        <v>15</v>
      </c>
      <c r="K1379" t="str">
        <f>VLOOKUP(tblSalaries[[#This Row],[Where do you work]],tblCountries[[Actual]:[Mapping]],2,FALSE)</f>
        <v>USA</v>
      </c>
      <c r="L1379" t="s">
        <v>13</v>
      </c>
      <c r="M1379">
        <v>14</v>
      </c>
    </row>
    <row r="1380" spans="2:13" ht="15" customHeight="1">
      <c r="B1380" t="s">
        <v>3383</v>
      </c>
      <c r="C1380" s="1">
        <v>41058.967731481483</v>
      </c>
      <c r="D1380" s="4">
        <v>55000</v>
      </c>
      <c r="E1380">
        <v>55000</v>
      </c>
      <c r="F1380" t="s">
        <v>6</v>
      </c>
      <c r="G1380">
        <f>tblSalaries[[#This Row],[clean Salary (in local currency)]]*VLOOKUP(tblSalaries[[#This Row],[Currency]],tblXrate[],2,FALSE)</f>
        <v>55000</v>
      </c>
      <c r="H1380" t="s">
        <v>1565</v>
      </c>
      <c r="I1380" t="s">
        <v>20</v>
      </c>
      <c r="J1380" t="s">
        <v>15</v>
      </c>
      <c r="K1380" t="str">
        <f>VLOOKUP(tblSalaries[[#This Row],[Where do you work]],tblCountries[[Actual]:[Mapping]],2,FALSE)</f>
        <v>USA</v>
      </c>
      <c r="L1380" t="s">
        <v>13</v>
      </c>
      <c r="M1380">
        <v>1</v>
      </c>
    </row>
    <row r="1381" spans="2:13" ht="15" customHeight="1">
      <c r="B1381" t="s">
        <v>3384</v>
      </c>
      <c r="C1381" s="1">
        <v>41058.972696759258</v>
      </c>
      <c r="D1381" s="4">
        <v>40000</v>
      </c>
      <c r="E1381">
        <v>40000</v>
      </c>
      <c r="F1381" t="s">
        <v>6</v>
      </c>
      <c r="G1381">
        <f>tblSalaries[[#This Row],[clean Salary (in local currency)]]*VLOOKUP(tblSalaries[[#This Row],[Currency]],tblXrate[],2,FALSE)</f>
        <v>40000</v>
      </c>
      <c r="H1381" t="s">
        <v>1566</v>
      </c>
      <c r="I1381" t="s">
        <v>52</v>
      </c>
      <c r="J1381" t="s">
        <v>15</v>
      </c>
      <c r="K1381" t="str">
        <f>VLOOKUP(tblSalaries[[#This Row],[Where do you work]],tblCountries[[Actual]:[Mapping]],2,FALSE)</f>
        <v>USA</v>
      </c>
      <c r="L1381" t="s">
        <v>9</v>
      </c>
      <c r="M1381">
        <v>1</v>
      </c>
    </row>
    <row r="1382" spans="2:13" ht="15" customHeight="1">
      <c r="B1382" t="s">
        <v>3385</v>
      </c>
      <c r="C1382" s="1">
        <v>41058.97320601852</v>
      </c>
      <c r="D1382" s="4">
        <v>60000</v>
      </c>
      <c r="E1382">
        <v>60000</v>
      </c>
      <c r="F1382" t="s">
        <v>6</v>
      </c>
      <c r="G1382">
        <f>tblSalaries[[#This Row],[clean Salary (in local currency)]]*VLOOKUP(tblSalaries[[#This Row],[Currency]],tblXrate[],2,FALSE)</f>
        <v>60000</v>
      </c>
      <c r="H1382" t="s">
        <v>42</v>
      </c>
      <c r="I1382" t="s">
        <v>20</v>
      </c>
      <c r="J1382" t="s">
        <v>15</v>
      </c>
      <c r="K1382" t="str">
        <f>VLOOKUP(tblSalaries[[#This Row],[Where do you work]],tblCountries[[Actual]:[Mapping]],2,FALSE)</f>
        <v>USA</v>
      </c>
      <c r="L1382" t="s">
        <v>9</v>
      </c>
      <c r="M1382">
        <v>15</v>
      </c>
    </row>
    <row r="1383" spans="2:13" ht="15" customHeight="1">
      <c r="B1383" t="s">
        <v>3386</v>
      </c>
      <c r="C1383" s="1">
        <v>41058.979895833334</v>
      </c>
      <c r="D1383" s="4" t="s">
        <v>1567</v>
      </c>
      <c r="E1383">
        <v>36000</v>
      </c>
      <c r="F1383" t="s">
        <v>22</v>
      </c>
      <c r="G1383">
        <f>tblSalaries[[#This Row],[clean Salary (in local currency)]]*VLOOKUP(tblSalaries[[#This Row],[Currency]],tblXrate[],2,FALSE)</f>
        <v>45734.379803697877</v>
      </c>
      <c r="H1383" t="s">
        <v>1568</v>
      </c>
      <c r="I1383" t="s">
        <v>20</v>
      </c>
      <c r="J1383" t="s">
        <v>36</v>
      </c>
      <c r="K1383" t="str">
        <f>VLOOKUP(tblSalaries[[#This Row],[Where do you work]],tblCountries[[Actual]:[Mapping]],2,FALSE)</f>
        <v>Ireland</v>
      </c>
      <c r="L1383" t="s">
        <v>18</v>
      </c>
      <c r="M1383">
        <v>4</v>
      </c>
    </row>
    <row r="1384" spans="2:13" ht="15" customHeight="1">
      <c r="B1384" t="s">
        <v>3387</v>
      </c>
      <c r="C1384" s="1">
        <v>41058.985567129632</v>
      </c>
      <c r="D1384" s="4">
        <v>150000</v>
      </c>
      <c r="E1384">
        <v>150000</v>
      </c>
      <c r="F1384" t="s">
        <v>6</v>
      </c>
      <c r="G1384">
        <f>tblSalaries[[#This Row],[clean Salary (in local currency)]]*VLOOKUP(tblSalaries[[#This Row],[Currency]],tblXrate[],2,FALSE)</f>
        <v>150000</v>
      </c>
      <c r="H1384" t="s">
        <v>72</v>
      </c>
      <c r="I1384" t="s">
        <v>20</v>
      </c>
      <c r="J1384" t="s">
        <v>15</v>
      </c>
      <c r="K1384" t="str">
        <f>VLOOKUP(tblSalaries[[#This Row],[Where do you work]],tblCountries[[Actual]:[Mapping]],2,FALSE)</f>
        <v>USA</v>
      </c>
      <c r="L1384" t="s">
        <v>18</v>
      </c>
      <c r="M1384">
        <v>30</v>
      </c>
    </row>
    <row r="1385" spans="2:13" ht="15" customHeight="1">
      <c r="B1385" t="s">
        <v>3388</v>
      </c>
      <c r="C1385" s="1">
        <v>41058.989189814813</v>
      </c>
      <c r="D1385" s="4">
        <v>88000</v>
      </c>
      <c r="E1385">
        <v>88000</v>
      </c>
      <c r="F1385" t="s">
        <v>6</v>
      </c>
      <c r="G1385">
        <f>tblSalaries[[#This Row],[clean Salary (in local currency)]]*VLOOKUP(tblSalaries[[#This Row],[Currency]],tblXrate[],2,FALSE)</f>
        <v>88000</v>
      </c>
      <c r="H1385" t="s">
        <v>1569</v>
      </c>
      <c r="I1385" t="s">
        <v>52</v>
      </c>
      <c r="J1385" t="s">
        <v>15</v>
      </c>
      <c r="K1385" t="str">
        <f>VLOOKUP(tblSalaries[[#This Row],[Where do you work]],tblCountries[[Actual]:[Mapping]],2,FALSE)</f>
        <v>USA</v>
      </c>
      <c r="L1385" t="s">
        <v>9</v>
      </c>
      <c r="M1385">
        <v>21</v>
      </c>
    </row>
    <row r="1386" spans="2:13" ht="15" customHeight="1">
      <c r="B1386" t="s">
        <v>3389</v>
      </c>
      <c r="C1386" s="1">
        <v>41059.001481481479</v>
      </c>
      <c r="D1386" s="4">
        <v>64500</v>
      </c>
      <c r="E1386">
        <v>64500</v>
      </c>
      <c r="F1386" t="s">
        <v>6</v>
      </c>
      <c r="G1386">
        <f>tblSalaries[[#This Row],[clean Salary (in local currency)]]*VLOOKUP(tblSalaries[[#This Row],[Currency]],tblXrate[],2,FALSE)</f>
        <v>64500</v>
      </c>
      <c r="H1386" t="s">
        <v>1570</v>
      </c>
      <c r="I1386" t="s">
        <v>20</v>
      </c>
      <c r="J1386" t="s">
        <v>15</v>
      </c>
      <c r="K1386" t="str">
        <f>VLOOKUP(tblSalaries[[#This Row],[Where do you work]],tblCountries[[Actual]:[Mapping]],2,FALSE)</f>
        <v>USA</v>
      </c>
      <c r="L1386" t="s">
        <v>9</v>
      </c>
      <c r="M1386">
        <v>13</v>
      </c>
    </row>
    <row r="1387" spans="2:13" ht="15" customHeight="1">
      <c r="B1387" t="s">
        <v>3390</v>
      </c>
      <c r="C1387" s="1">
        <v>41059.009108796294</v>
      </c>
      <c r="D1387" s="4" t="s">
        <v>1571</v>
      </c>
      <c r="E1387">
        <v>216000</v>
      </c>
      <c r="F1387" t="s">
        <v>3958</v>
      </c>
      <c r="G1387">
        <f>tblSalaries[[#This Row],[clean Salary (in local currency)]]*VLOOKUP(tblSalaries[[#This Row],[Currency]],tblXrate[],2,FALSE)</f>
        <v>57600</v>
      </c>
      <c r="H1387" t="s">
        <v>1572</v>
      </c>
      <c r="I1387" t="s">
        <v>279</v>
      </c>
      <c r="J1387" t="s">
        <v>133</v>
      </c>
      <c r="K1387" t="str">
        <f>VLOOKUP(tblSalaries[[#This Row],[Where do you work]],tblCountries[[Actual]:[Mapping]],2,FALSE)</f>
        <v>Saudi Arabia</v>
      </c>
      <c r="L1387" t="s">
        <v>9</v>
      </c>
      <c r="M1387">
        <v>20</v>
      </c>
    </row>
    <row r="1388" spans="2:13" ht="15" customHeight="1">
      <c r="B1388" t="s">
        <v>3391</v>
      </c>
      <c r="C1388" s="1">
        <v>41059.015601851854</v>
      </c>
      <c r="D1388" s="4">
        <v>50000</v>
      </c>
      <c r="E1388">
        <v>50000</v>
      </c>
      <c r="F1388" t="s">
        <v>6</v>
      </c>
      <c r="G1388">
        <f>tblSalaries[[#This Row],[clean Salary (in local currency)]]*VLOOKUP(tblSalaries[[#This Row],[Currency]],tblXrate[],2,FALSE)</f>
        <v>50000</v>
      </c>
      <c r="H1388" t="s">
        <v>1573</v>
      </c>
      <c r="I1388" t="s">
        <v>310</v>
      </c>
      <c r="J1388" t="s">
        <v>15</v>
      </c>
      <c r="K1388" t="str">
        <f>VLOOKUP(tblSalaries[[#This Row],[Where do you work]],tblCountries[[Actual]:[Mapping]],2,FALSE)</f>
        <v>USA</v>
      </c>
      <c r="L1388" t="s">
        <v>9</v>
      </c>
      <c r="M1388">
        <v>15</v>
      </c>
    </row>
    <row r="1389" spans="2:13" ht="15" customHeight="1">
      <c r="B1389" t="s">
        <v>3392</v>
      </c>
      <c r="C1389" s="1">
        <v>41059.017858796295</v>
      </c>
      <c r="D1389" s="4">
        <v>120000</v>
      </c>
      <c r="E1389">
        <v>120000</v>
      </c>
      <c r="F1389" t="s">
        <v>6</v>
      </c>
      <c r="G1389">
        <f>tblSalaries[[#This Row],[clean Salary (in local currency)]]*VLOOKUP(tblSalaries[[#This Row],[Currency]],tblXrate[],2,FALSE)</f>
        <v>120000</v>
      </c>
      <c r="H1389" t="s">
        <v>642</v>
      </c>
      <c r="I1389" t="s">
        <v>52</v>
      </c>
      <c r="J1389" t="s">
        <v>15</v>
      </c>
      <c r="K1389" t="str">
        <f>VLOOKUP(tblSalaries[[#This Row],[Where do you work]],tblCountries[[Actual]:[Mapping]],2,FALSE)</f>
        <v>USA</v>
      </c>
      <c r="L1389" t="s">
        <v>18</v>
      </c>
      <c r="M1389">
        <v>10</v>
      </c>
    </row>
    <row r="1390" spans="2:13" ht="15" customHeight="1">
      <c r="B1390" t="s">
        <v>3393</v>
      </c>
      <c r="C1390" s="1">
        <v>41059.024224537039</v>
      </c>
      <c r="D1390" s="4">
        <v>107000</v>
      </c>
      <c r="E1390">
        <v>107000</v>
      </c>
      <c r="F1390" t="s">
        <v>6</v>
      </c>
      <c r="G1390">
        <f>tblSalaries[[#This Row],[clean Salary (in local currency)]]*VLOOKUP(tblSalaries[[#This Row],[Currency]],tblXrate[],2,FALSE)</f>
        <v>107000</v>
      </c>
      <c r="H1390" t="s">
        <v>1574</v>
      </c>
      <c r="I1390" t="s">
        <v>52</v>
      </c>
      <c r="J1390" t="s">
        <v>15</v>
      </c>
      <c r="K1390" t="str">
        <f>VLOOKUP(tblSalaries[[#This Row],[Where do you work]],tblCountries[[Actual]:[Mapping]],2,FALSE)</f>
        <v>USA</v>
      </c>
      <c r="L1390" t="s">
        <v>13</v>
      </c>
      <c r="M1390">
        <v>29</v>
      </c>
    </row>
    <row r="1391" spans="2:13" ht="15" customHeight="1">
      <c r="B1391" t="s">
        <v>3394</v>
      </c>
      <c r="C1391" s="1">
        <v>41059.029745370368</v>
      </c>
      <c r="D1391" s="4">
        <v>40000</v>
      </c>
      <c r="E1391">
        <v>40000</v>
      </c>
      <c r="F1391" t="s">
        <v>6</v>
      </c>
      <c r="G1391">
        <f>tblSalaries[[#This Row],[clean Salary (in local currency)]]*VLOOKUP(tblSalaries[[#This Row],[Currency]],tblXrate[],2,FALSE)</f>
        <v>40000</v>
      </c>
      <c r="H1391" t="s">
        <v>621</v>
      </c>
      <c r="I1391" t="s">
        <v>20</v>
      </c>
      <c r="J1391" t="s">
        <v>15</v>
      </c>
      <c r="K1391" t="str">
        <f>VLOOKUP(tblSalaries[[#This Row],[Where do you work]],tblCountries[[Actual]:[Mapping]],2,FALSE)</f>
        <v>USA</v>
      </c>
      <c r="L1391" t="s">
        <v>18</v>
      </c>
      <c r="M1391">
        <v>6</v>
      </c>
    </row>
    <row r="1392" spans="2:13" ht="15" customHeight="1">
      <c r="B1392" t="s">
        <v>3395</v>
      </c>
      <c r="C1392" s="1">
        <v>41059.034756944442</v>
      </c>
      <c r="D1392" s="4">
        <v>81000</v>
      </c>
      <c r="E1392">
        <v>81000</v>
      </c>
      <c r="F1392" t="s">
        <v>6</v>
      </c>
      <c r="G1392">
        <f>tblSalaries[[#This Row],[clean Salary (in local currency)]]*VLOOKUP(tblSalaries[[#This Row],[Currency]],tblXrate[],2,FALSE)</f>
        <v>81000</v>
      </c>
      <c r="H1392" t="s">
        <v>1575</v>
      </c>
      <c r="I1392" t="s">
        <v>52</v>
      </c>
      <c r="J1392" t="s">
        <v>15</v>
      </c>
      <c r="K1392" t="str">
        <f>VLOOKUP(tblSalaries[[#This Row],[Where do you work]],tblCountries[[Actual]:[Mapping]],2,FALSE)</f>
        <v>USA</v>
      </c>
      <c r="L1392" t="s">
        <v>25</v>
      </c>
      <c r="M1392">
        <v>12</v>
      </c>
    </row>
    <row r="1393" spans="2:13" ht="15" customHeight="1">
      <c r="B1393" t="s">
        <v>3396</v>
      </c>
      <c r="C1393" s="1">
        <v>41059.045439814814</v>
      </c>
      <c r="D1393" s="4">
        <v>45000</v>
      </c>
      <c r="E1393">
        <v>45000</v>
      </c>
      <c r="F1393" t="s">
        <v>6</v>
      </c>
      <c r="G1393">
        <f>tblSalaries[[#This Row],[clean Salary (in local currency)]]*VLOOKUP(tblSalaries[[#This Row],[Currency]],tblXrate[],2,FALSE)</f>
        <v>45000</v>
      </c>
      <c r="H1393" t="s">
        <v>1576</v>
      </c>
      <c r="I1393" t="s">
        <v>67</v>
      </c>
      <c r="J1393" t="s">
        <v>15</v>
      </c>
      <c r="K1393" t="str">
        <f>VLOOKUP(tblSalaries[[#This Row],[Where do you work]],tblCountries[[Actual]:[Mapping]],2,FALSE)</f>
        <v>USA</v>
      </c>
      <c r="L1393" t="s">
        <v>9</v>
      </c>
      <c r="M1393">
        <v>20</v>
      </c>
    </row>
    <row r="1394" spans="2:13" ht="15" customHeight="1">
      <c r="B1394" t="s">
        <v>3397</v>
      </c>
      <c r="C1394" s="1">
        <v>41059.050046296295</v>
      </c>
      <c r="D1394" s="4">
        <v>49000</v>
      </c>
      <c r="E1394">
        <v>49000</v>
      </c>
      <c r="F1394" t="s">
        <v>6</v>
      </c>
      <c r="G1394">
        <f>tblSalaries[[#This Row],[clean Salary (in local currency)]]*VLOOKUP(tblSalaries[[#This Row],[Currency]],tblXrate[],2,FALSE)</f>
        <v>49000</v>
      </c>
      <c r="H1394" t="s">
        <v>1577</v>
      </c>
      <c r="I1394" t="s">
        <v>67</v>
      </c>
      <c r="J1394" t="s">
        <v>15</v>
      </c>
      <c r="K1394" t="str">
        <f>VLOOKUP(tblSalaries[[#This Row],[Where do you work]],tblCountries[[Actual]:[Mapping]],2,FALSE)</f>
        <v>USA</v>
      </c>
      <c r="L1394" t="s">
        <v>9</v>
      </c>
      <c r="M1394">
        <v>5</v>
      </c>
    </row>
    <row r="1395" spans="2:13" ht="15" customHeight="1">
      <c r="B1395" t="s">
        <v>3398</v>
      </c>
      <c r="C1395" s="1">
        <v>41059.050405092596</v>
      </c>
      <c r="D1395" s="4" t="s">
        <v>1578</v>
      </c>
      <c r="E1395">
        <v>750000</v>
      </c>
      <c r="F1395" t="s">
        <v>40</v>
      </c>
      <c r="G1395">
        <f>tblSalaries[[#This Row],[clean Salary (in local currency)]]*VLOOKUP(tblSalaries[[#This Row],[Currency]],tblXrate[],2,FALSE)</f>
        <v>13355.937515581925</v>
      </c>
      <c r="H1395" t="s">
        <v>1579</v>
      </c>
      <c r="I1395" t="s">
        <v>4001</v>
      </c>
      <c r="J1395" t="s">
        <v>8</v>
      </c>
      <c r="K1395" t="str">
        <f>VLOOKUP(tblSalaries[[#This Row],[Where do you work]],tblCountries[[Actual]:[Mapping]],2,FALSE)</f>
        <v>India</v>
      </c>
      <c r="L1395" t="s">
        <v>25</v>
      </c>
      <c r="M1395">
        <v>1</v>
      </c>
    </row>
    <row r="1396" spans="2:13" ht="15" customHeight="1">
      <c r="B1396" t="s">
        <v>3399</v>
      </c>
      <c r="C1396" s="1">
        <v>41059.052453703705</v>
      </c>
      <c r="D1396" s="4">
        <v>72000</v>
      </c>
      <c r="E1396">
        <v>72000</v>
      </c>
      <c r="F1396" t="s">
        <v>6</v>
      </c>
      <c r="G1396">
        <f>tblSalaries[[#This Row],[clean Salary (in local currency)]]*VLOOKUP(tblSalaries[[#This Row],[Currency]],tblXrate[],2,FALSE)</f>
        <v>72000</v>
      </c>
      <c r="H1396" t="s">
        <v>52</v>
      </c>
      <c r="I1396" t="s">
        <v>52</v>
      </c>
      <c r="J1396" t="s">
        <v>15</v>
      </c>
      <c r="K1396" t="str">
        <f>VLOOKUP(tblSalaries[[#This Row],[Where do you work]],tblCountries[[Actual]:[Mapping]],2,FALSE)</f>
        <v>USA</v>
      </c>
      <c r="L1396" t="s">
        <v>25</v>
      </c>
      <c r="M1396">
        <v>20</v>
      </c>
    </row>
    <row r="1397" spans="2:13" ht="15" customHeight="1">
      <c r="B1397" t="s">
        <v>3400</v>
      </c>
      <c r="C1397" s="1">
        <v>41059.059224537035</v>
      </c>
      <c r="D1397" s="4">
        <v>50000</v>
      </c>
      <c r="E1397">
        <v>50000</v>
      </c>
      <c r="F1397" t="s">
        <v>6</v>
      </c>
      <c r="G1397">
        <f>tblSalaries[[#This Row],[clean Salary (in local currency)]]*VLOOKUP(tblSalaries[[#This Row],[Currency]],tblXrate[],2,FALSE)</f>
        <v>50000</v>
      </c>
      <c r="H1397" t="s">
        <v>1580</v>
      </c>
      <c r="I1397" t="s">
        <v>20</v>
      </c>
      <c r="J1397" t="s">
        <v>15</v>
      </c>
      <c r="K1397" t="str">
        <f>VLOOKUP(tblSalaries[[#This Row],[Where do you work]],tblCountries[[Actual]:[Mapping]],2,FALSE)</f>
        <v>USA</v>
      </c>
      <c r="L1397" t="s">
        <v>9</v>
      </c>
      <c r="M1397">
        <v>7</v>
      </c>
    </row>
    <row r="1398" spans="2:13" ht="15" customHeight="1">
      <c r="B1398" t="s">
        <v>3401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>
        <f>tblSalaries[[#This Row],[clean Salary (in local currency)]]*VLOOKUP(tblSalaries[[#This Row],[Currency]],tblXrate[],2,FALSE)</f>
        <v>57678</v>
      </c>
      <c r="H1398" t="s">
        <v>14</v>
      </c>
      <c r="I1398" t="s">
        <v>20</v>
      </c>
      <c r="J1398" t="s">
        <v>15</v>
      </c>
      <c r="K1398" t="str">
        <f>VLOOKUP(tblSalaries[[#This Row],[Where do you work]],tblCountries[[Actual]:[Mapping]],2,FALSE)</f>
        <v>USA</v>
      </c>
      <c r="L1398" t="s">
        <v>9</v>
      </c>
      <c r="M1398">
        <v>2</v>
      </c>
    </row>
    <row r="1399" spans="2:13" ht="15" customHeight="1">
      <c r="B1399" t="s">
        <v>3402</v>
      </c>
      <c r="C1399" s="1">
        <v>41059.062395833331</v>
      </c>
      <c r="D1399" s="4">
        <v>80442</v>
      </c>
      <c r="E1399">
        <v>80442</v>
      </c>
      <c r="F1399" t="s">
        <v>6</v>
      </c>
      <c r="G1399">
        <f>tblSalaries[[#This Row],[clean Salary (in local currency)]]*VLOOKUP(tblSalaries[[#This Row],[Currency]],tblXrate[],2,FALSE)</f>
        <v>80442</v>
      </c>
      <c r="H1399" t="s">
        <v>1581</v>
      </c>
      <c r="I1399" t="s">
        <v>20</v>
      </c>
      <c r="J1399" t="s">
        <v>15</v>
      </c>
      <c r="K1399" t="str">
        <f>VLOOKUP(tblSalaries[[#This Row],[Where do you work]],tblCountries[[Actual]:[Mapping]],2,FALSE)</f>
        <v>USA</v>
      </c>
      <c r="L1399" t="s">
        <v>9</v>
      </c>
      <c r="M1399">
        <v>16</v>
      </c>
    </row>
    <row r="1400" spans="2:13" ht="15" customHeight="1">
      <c r="B1400" t="s">
        <v>3403</v>
      </c>
      <c r="C1400" s="1">
        <v>41059.075208333335</v>
      </c>
      <c r="D1400" s="4">
        <v>75000</v>
      </c>
      <c r="E1400">
        <v>75000</v>
      </c>
      <c r="F1400" t="s">
        <v>6</v>
      </c>
      <c r="G1400">
        <f>tblSalaries[[#This Row],[clean Salary (in local currency)]]*VLOOKUP(tblSalaries[[#This Row],[Currency]],tblXrate[],2,FALSE)</f>
        <v>75000</v>
      </c>
      <c r="H1400" t="s">
        <v>1582</v>
      </c>
      <c r="I1400" t="s">
        <v>52</v>
      </c>
      <c r="J1400" t="s">
        <v>15</v>
      </c>
      <c r="K1400" t="str">
        <f>VLOOKUP(tblSalaries[[#This Row],[Where do you work]],tblCountries[[Actual]:[Mapping]],2,FALSE)</f>
        <v>USA</v>
      </c>
      <c r="L1400" t="s">
        <v>25</v>
      </c>
      <c r="M1400">
        <v>9</v>
      </c>
    </row>
    <row r="1401" spans="2:13" ht="15" customHeight="1">
      <c r="B1401" t="s">
        <v>3404</v>
      </c>
      <c r="C1401" s="1">
        <v>41059.078159722223</v>
      </c>
      <c r="D1401" s="4">
        <v>61000</v>
      </c>
      <c r="E1401">
        <v>61000</v>
      </c>
      <c r="F1401" t="s">
        <v>6</v>
      </c>
      <c r="G1401">
        <f>tblSalaries[[#This Row],[clean Salary (in local currency)]]*VLOOKUP(tblSalaries[[#This Row],[Currency]],tblXrate[],2,FALSE)</f>
        <v>61000</v>
      </c>
      <c r="H1401" t="s">
        <v>1583</v>
      </c>
      <c r="I1401" t="s">
        <v>20</v>
      </c>
      <c r="J1401" t="s">
        <v>15</v>
      </c>
      <c r="K1401" t="str">
        <f>VLOOKUP(tblSalaries[[#This Row],[Where do you work]],tblCountries[[Actual]:[Mapping]],2,FALSE)</f>
        <v>USA</v>
      </c>
      <c r="L1401" t="s">
        <v>9</v>
      </c>
      <c r="M1401">
        <v>12</v>
      </c>
    </row>
    <row r="1402" spans="2:13" ht="15" customHeight="1">
      <c r="B1402" t="s">
        <v>3405</v>
      </c>
      <c r="C1402" s="1">
        <v>41059.081921296296</v>
      </c>
      <c r="D1402" s="4">
        <v>77000</v>
      </c>
      <c r="E1402">
        <v>77000</v>
      </c>
      <c r="F1402" t="s">
        <v>6</v>
      </c>
      <c r="G1402">
        <f>tblSalaries[[#This Row],[clean Salary (in local currency)]]*VLOOKUP(tblSalaries[[#This Row],[Currency]],tblXrate[],2,FALSE)</f>
        <v>77000</v>
      </c>
      <c r="H1402" t="s">
        <v>1584</v>
      </c>
      <c r="I1402" t="s">
        <v>279</v>
      </c>
      <c r="J1402" t="s">
        <v>15</v>
      </c>
      <c r="K1402" t="str">
        <f>VLOOKUP(tblSalaries[[#This Row],[Where do you work]],tblCountries[[Actual]:[Mapping]],2,FALSE)</f>
        <v>USA</v>
      </c>
      <c r="L1402" t="s">
        <v>9</v>
      </c>
      <c r="M1402">
        <v>10</v>
      </c>
    </row>
    <row r="1403" spans="2:13" ht="15" customHeight="1">
      <c r="B1403" t="s">
        <v>3406</v>
      </c>
      <c r="C1403" s="1">
        <v>41059.095856481479</v>
      </c>
      <c r="D1403" s="4" t="s">
        <v>1585</v>
      </c>
      <c r="E1403">
        <v>92000</v>
      </c>
      <c r="F1403" t="s">
        <v>6</v>
      </c>
      <c r="G1403">
        <f>tblSalaries[[#This Row],[clean Salary (in local currency)]]*VLOOKUP(tblSalaries[[#This Row],[Currency]],tblXrate[],2,FALSE)</f>
        <v>92000</v>
      </c>
      <c r="H1403" t="s">
        <v>488</v>
      </c>
      <c r="I1403" t="s">
        <v>488</v>
      </c>
      <c r="J1403" t="s">
        <v>15</v>
      </c>
      <c r="K1403" t="str">
        <f>VLOOKUP(tblSalaries[[#This Row],[Where do you work]],tblCountries[[Actual]:[Mapping]],2,FALSE)</f>
        <v>USA</v>
      </c>
      <c r="L1403" t="s">
        <v>18</v>
      </c>
      <c r="M1403">
        <v>9</v>
      </c>
    </row>
    <row r="1404" spans="2:13" ht="15" customHeight="1">
      <c r="B1404" t="s">
        <v>3407</v>
      </c>
      <c r="C1404" s="1">
        <v>41059.096180555556</v>
      </c>
      <c r="D1404" s="4">
        <v>72000</v>
      </c>
      <c r="E1404">
        <v>72000</v>
      </c>
      <c r="F1404" t="s">
        <v>6</v>
      </c>
      <c r="G1404">
        <f>tblSalaries[[#This Row],[clean Salary (in local currency)]]*VLOOKUP(tblSalaries[[#This Row],[Currency]],tblXrate[],2,FALSE)</f>
        <v>72000</v>
      </c>
      <c r="H1404" t="s">
        <v>1586</v>
      </c>
      <c r="I1404" t="s">
        <v>20</v>
      </c>
      <c r="J1404" t="s">
        <v>15</v>
      </c>
      <c r="K1404" t="str">
        <f>VLOOKUP(tblSalaries[[#This Row],[Where do you work]],tblCountries[[Actual]:[Mapping]],2,FALSE)</f>
        <v>USA</v>
      </c>
      <c r="L1404" t="s">
        <v>13</v>
      </c>
      <c r="M1404">
        <v>10</v>
      </c>
    </row>
    <row r="1405" spans="2:13" ht="15" customHeight="1">
      <c r="B1405" t="s">
        <v>3408</v>
      </c>
      <c r="C1405" s="1">
        <v>41059.099062499998</v>
      </c>
      <c r="D1405" s="4">
        <v>14000</v>
      </c>
      <c r="E1405">
        <v>14000</v>
      </c>
      <c r="F1405" t="s">
        <v>6</v>
      </c>
      <c r="G1405">
        <f>tblSalaries[[#This Row],[clean Salary (in local currency)]]*VLOOKUP(tblSalaries[[#This Row],[Currency]],tblXrate[],2,FALSE)</f>
        <v>14000</v>
      </c>
      <c r="H1405" t="s">
        <v>356</v>
      </c>
      <c r="I1405" t="s">
        <v>356</v>
      </c>
      <c r="J1405" t="s">
        <v>8</v>
      </c>
      <c r="K1405" t="str">
        <f>VLOOKUP(tblSalaries[[#This Row],[Where do you work]],tblCountries[[Actual]:[Mapping]],2,FALSE)</f>
        <v>India</v>
      </c>
      <c r="L1405" t="s">
        <v>9</v>
      </c>
      <c r="M1405">
        <v>3</v>
      </c>
    </row>
    <row r="1406" spans="2:13" ht="15" customHeight="1">
      <c r="B1406" t="s">
        <v>3409</v>
      </c>
      <c r="C1406" s="1">
        <v>41059.099293981482</v>
      </c>
      <c r="D1406" s="4">
        <v>111000</v>
      </c>
      <c r="E1406">
        <v>111000</v>
      </c>
      <c r="F1406" t="s">
        <v>6</v>
      </c>
      <c r="G1406">
        <f>tblSalaries[[#This Row],[clean Salary (in local currency)]]*VLOOKUP(tblSalaries[[#This Row],[Currency]],tblXrate[],2,FALSE)</f>
        <v>111000</v>
      </c>
      <c r="H1406" t="s">
        <v>1587</v>
      </c>
      <c r="I1406" t="s">
        <v>52</v>
      </c>
      <c r="J1406" t="s">
        <v>15</v>
      </c>
      <c r="K1406" t="str">
        <f>VLOOKUP(tblSalaries[[#This Row],[Where do you work]],tblCountries[[Actual]:[Mapping]],2,FALSE)</f>
        <v>USA</v>
      </c>
      <c r="L1406" t="s">
        <v>18</v>
      </c>
      <c r="M1406">
        <v>10</v>
      </c>
    </row>
    <row r="1407" spans="2:13" ht="15" customHeight="1">
      <c r="B1407" t="s">
        <v>3410</v>
      </c>
      <c r="C1407" s="1">
        <v>41059.105752314812</v>
      </c>
      <c r="D1407" s="4">
        <v>80000</v>
      </c>
      <c r="E1407">
        <v>80000</v>
      </c>
      <c r="F1407" t="s">
        <v>6</v>
      </c>
      <c r="G1407">
        <f>tblSalaries[[#This Row],[clean Salary (in local currency)]]*VLOOKUP(tblSalaries[[#This Row],[Currency]],tblXrate[],2,FALSE)</f>
        <v>80000</v>
      </c>
      <c r="H1407" t="s">
        <v>1588</v>
      </c>
      <c r="I1407" t="s">
        <v>20</v>
      </c>
      <c r="J1407" t="s">
        <v>15</v>
      </c>
      <c r="K1407" t="str">
        <f>VLOOKUP(tblSalaries[[#This Row],[Where do you work]],tblCountries[[Actual]:[Mapping]],2,FALSE)</f>
        <v>USA</v>
      </c>
      <c r="L1407" t="s">
        <v>9</v>
      </c>
      <c r="M1407">
        <v>20</v>
      </c>
    </row>
    <row r="1408" spans="2:13" ht="15" customHeight="1">
      <c r="B1408" t="s">
        <v>3411</v>
      </c>
      <c r="C1408" s="1">
        <v>41059.108101851853</v>
      </c>
      <c r="D1408" s="4" t="s">
        <v>1589</v>
      </c>
      <c r="E1408">
        <v>3250000</v>
      </c>
      <c r="F1408" t="s">
        <v>40</v>
      </c>
      <c r="G1408">
        <f>tblSalaries[[#This Row],[clean Salary (in local currency)]]*VLOOKUP(tblSalaries[[#This Row],[Currency]],tblXrate[],2,FALSE)</f>
        <v>57875.729234188344</v>
      </c>
      <c r="H1408" t="s">
        <v>1590</v>
      </c>
      <c r="I1408" t="s">
        <v>20</v>
      </c>
      <c r="J1408" t="s">
        <v>8</v>
      </c>
      <c r="K1408" t="str">
        <f>VLOOKUP(tblSalaries[[#This Row],[Where do you work]],tblCountries[[Actual]:[Mapping]],2,FALSE)</f>
        <v>India</v>
      </c>
      <c r="L1408" t="s">
        <v>9</v>
      </c>
      <c r="M1408">
        <v>5.5</v>
      </c>
    </row>
    <row r="1409" spans="2:13" ht="15" customHeight="1">
      <c r="B1409" t="s">
        <v>3412</v>
      </c>
      <c r="C1409" s="1">
        <v>41059.110995370371</v>
      </c>
      <c r="D1409" s="4">
        <v>25000</v>
      </c>
      <c r="E1409">
        <v>25000</v>
      </c>
      <c r="F1409" t="s">
        <v>6</v>
      </c>
      <c r="G1409">
        <f>tblSalaries[[#This Row],[clean Salary (in local currency)]]*VLOOKUP(tblSalaries[[#This Row],[Currency]],tblXrate[],2,FALSE)</f>
        <v>25000</v>
      </c>
      <c r="H1409" t="s">
        <v>310</v>
      </c>
      <c r="I1409" t="s">
        <v>310</v>
      </c>
      <c r="J1409" t="s">
        <v>8</v>
      </c>
      <c r="K1409" t="str">
        <f>VLOOKUP(tblSalaries[[#This Row],[Where do you work]],tblCountries[[Actual]:[Mapping]],2,FALSE)</f>
        <v>India</v>
      </c>
      <c r="L1409" t="s">
        <v>18</v>
      </c>
      <c r="M1409">
        <v>8</v>
      </c>
    </row>
    <row r="1410" spans="2:13" ht="15" customHeight="1">
      <c r="B1410" t="s">
        <v>3413</v>
      </c>
      <c r="C1410" s="1">
        <v>41059.139085648145</v>
      </c>
      <c r="D1410" s="4" t="s">
        <v>1591</v>
      </c>
      <c r="E1410">
        <v>24000</v>
      </c>
      <c r="F1410" t="s">
        <v>6</v>
      </c>
      <c r="G1410">
        <f>tblSalaries[[#This Row],[clean Salary (in local currency)]]*VLOOKUP(tblSalaries[[#This Row],[Currency]],tblXrate[],2,FALSE)</f>
        <v>24000</v>
      </c>
      <c r="H1410" t="s">
        <v>1592</v>
      </c>
      <c r="I1410" t="s">
        <v>488</v>
      </c>
      <c r="J1410" t="s">
        <v>15</v>
      </c>
      <c r="K1410" t="str">
        <f>VLOOKUP(tblSalaries[[#This Row],[Where do you work]],tblCountries[[Actual]:[Mapping]],2,FALSE)</f>
        <v>USA</v>
      </c>
      <c r="L1410" t="s">
        <v>25</v>
      </c>
      <c r="M1410">
        <v>2</v>
      </c>
    </row>
    <row r="1411" spans="2:13" ht="15" customHeight="1">
      <c r="B1411" t="s">
        <v>3414</v>
      </c>
      <c r="C1411" s="1">
        <v>41059.17627314815</v>
      </c>
      <c r="D1411" s="4">
        <v>61000</v>
      </c>
      <c r="E1411">
        <v>61000</v>
      </c>
      <c r="F1411" t="s">
        <v>6</v>
      </c>
      <c r="G1411">
        <f>tblSalaries[[#This Row],[clean Salary (in local currency)]]*VLOOKUP(tblSalaries[[#This Row],[Currency]],tblXrate[],2,FALSE)</f>
        <v>61000</v>
      </c>
      <c r="H1411" t="s">
        <v>1593</v>
      </c>
      <c r="I1411" t="s">
        <v>52</v>
      </c>
      <c r="J1411" t="s">
        <v>15</v>
      </c>
      <c r="K1411" t="str">
        <f>VLOOKUP(tblSalaries[[#This Row],[Where do you work]],tblCountries[[Actual]:[Mapping]],2,FALSE)</f>
        <v>USA</v>
      </c>
      <c r="L1411" t="s">
        <v>18</v>
      </c>
      <c r="M1411">
        <v>25</v>
      </c>
    </row>
    <row r="1412" spans="2:13" ht="15" customHeight="1">
      <c r="B1412" t="s">
        <v>3415</v>
      </c>
      <c r="C1412" s="1">
        <v>41059.33699074074</v>
      </c>
      <c r="D1412" s="4" t="s">
        <v>1594</v>
      </c>
      <c r="E1412">
        <v>55000</v>
      </c>
      <c r="F1412" t="s">
        <v>82</v>
      </c>
      <c r="G1412">
        <f>tblSalaries[[#This Row],[clean Salary (in local currency)]]*VLOOKUP(tblSalaries[[#This Row],[Currency]],tblXrate[],2,FALSE)</f>
        <v>56095.031102144967</v>
      </c>
      <c r="H1412" t="s">
        <v>1595</v>
      </c>
      <c r="I1412" t="s">
        <v>20</v>
      </c>
      <c r="J1412" t="s">
        <v>84</v>
      </c>
      <c r="K1412" t="str">
        <f>VLOOKUP(tblSalaries[[#This Row],[Where do you work]],tblCountries[[Actual]:[Mapping]],2,FALSE)</f>
        <v>Australia</v>
      </c>
      <c r="L1412" t="s">
        <v>18</v>
      </c>
      <c r="M1412">
        <v>11</v>
      </c>
    </row>
    <row r="1413" spans="2:13" ht="15" customHeight="1">
      <c r="B1413" t="s">
        <v>3416</v>
      </c>
      <c r="C1413" s="1">
        <v>41059.404178240744</v>
      </c>
      <c r="D1413" s="4">
        <v>70000</v>
      </c>
      <c r="E1413">
        <v>70000</v>
      </c>
      <c r="F1413" t="s">
        <v>82</v>
      </c>
      <c r="G1413">
        <f>tblSalaries[[#This Row],[clean Salary (in local currency)]]*VLOOKUP(tblSalaries[[#This Row],[Currency]],tblXrate[],2,FALSE)</f>
        <v>71393.675948184507</v>
      </c>
      <c r="H1413" t="s">
        <v>1287</v>
      </c>
      <c r="I1413" t="s">
        <v>310</v>
      </c>
      <c r="J1413" t="s">
        <v>84</v>
      </c>
      <c r="K1413" t="str">
        <f>VLOOKUP(tblSalaries[[#This Row],[Where do you work]],tblCountries[[Actual]:[Mapping]],2,FALSE)</f>
        <v>Australia</v>
      </c>
      <c r="L1413" t="s">
        <v>18</v>
      </c>
      <c r="M1413">
        <v>5</v>
      </c>
    </row>
    <row r="1414" spans="2:13" ht="15" customHeight="1">
      <c r="B1414" t="s">
        <v>3417</v>
      </c>
      <c r="C1414" s="1">
        <v>41059.424525462964</v>
      </c>
      <c r="D1414" s="4">
        <v>96230</v>
      </c>
      <c r="E1414">
        <v>96230</v>
      </c>
      <c r="F1414" t="s">
        <v>6</v>
      </c>
      <c r="G1414">
        <f>tblSalaries[[#This Row],[clean Salary (in local currency)]]*VLOOKUP(tblSalaries[[#This Row],[Currency]],tblXrate[],2,FALSE)</f>
        <v>96230</v>
      </c>
      <c r="H1414" t="s">
        <v>1596</v>
      </c>
      <c r="I1414" t="s">
        <v>52</v>
      </c>
      <c r="J1414" t="s">
        <v>15</v>
      </c>
      <c r="K1414" t="str">
        <f>VLOOKUP(tblSalaries[[#This Row],[Where do you work]],tblCountries[[Actual]:[Mapping]],2,FALSE)</f>
        <v>USA</v>
      </c>
      <c r="L1414" t="s">
        <v>9</v>
      </c>
      <c r="M1414">
        <v>18</v>
      </c>
    </row>
    <row r="1415" spans="2:13" ht="15" customHeight="1">
      <c r="B1415" t="s">
        <v>3418</v>
      </c>
      <c r="C1415" s="1">
        <v>41059.444722222222</v>
      </c>
      <c r="D1415" s="4">
        <v>75000</v>
      </c>
      <c r="E1415">
        <v>75000</v>
      </c>
      <c r="F1415" t="s">
        <v>6</v>
      </c>
      <c r="G1415">
        <f>tblSalaries[[#This Row],[clean Salary (in local currency)]]*VLOOKUP(tblSalaries[[#This Row],[Currency]],tblXrate[],2,FALSE)</f>
        <v>75000</v>
      </c>
      <c r="H1415" t="s">
        <v>207</v>
      </c>
      <c r="I1415" t="s">
        <v>20</v>
      </c>
      <c r="J1415" t="s">
        <v>15</v>
      </c>
      <c r="K1415" t="str">
        <f>VLOOKUP(tblSalaries[[#This Row],[Where do you work]],tblCountries[[Actual]:[Mapping]],2,FALSE)</f>
        <v>USA</v>
      </c>
      <c r="L1415" t="s">
        <v>18</v>
      </c>
      <c r="M1415">
        <v>1.5</v>
      </c>
    </row>
    <row r="1416" spans="2:13" ht="15" customHeight="1">
      <c r="B1416" t="s">
        <v>3419</v>
      </c>
      <c r="C1416" s="1">
        <v>41059.456689814811</v>
      </c>
      <c r="D1416" s="4">
        <v>8500</v>
      </c>
      <c r="E1416">
        <v>102000</v>
      </c>
      <c r="F1416" t="s">
        <v>6</v>
      </c>
      <c r="G1416">
        <f>tblSalaries[[#This Row],[clean Salary (in local currency)]]*VLOOKUP(tblSalaries[[#This Row],[Currency]],tblXrate[],2,FALSE)</f>
        <v>102000</v>
      </c>
      <c r="H1416" t="s">
        <v>108</v>
      </c>
      <c r="I1416" t="s">
        <v>20</v>
      </c>
      <c r="J1416" t="s">
        <v>15</v>
      </c>
      <c r="K1416" t="str">
        <f>VLOOKUP(tblSalaries[[#This Row],[Where do you work]],tblCountries[[Actual]:[Mapping]],2,FALSE)</f>
        <v>USA</v>
      </c>
      <c r="L1416" t="s">
        <v>9</v>
      </c>
      <c r="M1416">
        <v>5</v>
      </c>
    </row>
    <row r="1417" spans="2:13" ht="15" customHeight="1">
      <c r="B1417" t="s">
        <v>3420</v>
      </c>
      <c r="C1417" s="1">
        <v>41059.472604166665</v>
      </c>
      <c r="D1417" s="4" t="s">
        <v>1597</v>
      </c>
      <c r="E1417">
        <v>60000</v>
      </c>
      <c r="F1417" t="s">
        <v>3939</v>
      </c>
      <c r="G1417">
        <f>tblSalaries[[#This Row],[clean Salary (in local currency)]]*VLOOKUP(tblSalaries[[#This Row],[Currency]],tblXrate[],2,FALSE)</f>
        <v>19008.034062397041</v>
      </c>
      <c r="H1417" t="s">
        <v>1598</v>
      </c>
      <c r="I1417" t="s">
        <v>52</v>
      </c>
      <c r="J1417" t="s">
        <v>1131</v>
      </c>
      <c r="K1417" t="str">
        <f>VLOOKUP(tblSalaries[[#This Row],[Where do you work]],tblCountries[[Actual]:[Mapping]],2,FALSE)</f>
        <v>Malaysia</v>
      </c>
      <c r="L1417" t="s">
        <v>9</v>
      </c>
      <c r="M1417">
        <v>3</v>
      </c>
    </row>
    <row r="1418" spans="2:13" ht="15" customHeight="1">
      <c r="B1418" t="s">
        <v>3421</v>
      </c>
      <c r="C1418" s="1">
        <v>41059.485335648147</v>
      </c>
      <c r="D1418" s="4">
        <v>363</v>
      </c>
      <c r="E1418">
        <v>4356</v>
      </c>
      <c r="F1418" t="s">
        <v>6</v>
      </c>
      <c r="G1418">
        <f>tblSalaries[[#This Row],[clean Salary (in local currency)]]*VLOOKUP(tblSalaries[[#This Row],[Currency]],tblXrate[],2,FALSE)</f>
        <v>4356</v>
      </c>
      <c r="H1418" t="s">
        <v>207</v>
      </c>
      <c r="I1418" t="s">
        <v>20</v>
      </c>
      <c r="J141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>
        <v>5</v>
      </c>
    </row>
    <row r="1419" spans="2:13" ht="15" customHeight="1">
      <c r="B1419" t="s">
        <v>3422</v>
      </c>
      <c r="C1419" s="1">
        <v>41059.48877314815</v>
      </c>
      <c r="D1419" s="4">
        <v>300000</v>
      </c>
      <c r="E1419">
        <v>300000</v>
      </c>
      <c r="F1419" t="s">
        <v>40</v>
      </c>
      <c r="G1419">
        <f>tblSalaries[[#This Row],[clean Salary (in local currency)]]*VLOOKUP(tblSalaries[[#This Row],[Currency]],tblXrate[],2,FALSE)</f>
        <v>5342.3750062327708</v>
      </c>
      <c r="H1419" t="s">
        <v>932</v>
      </c>
      <c r="I1419" t="s">
        <v>310</v>
      </c>
      <c r="J1419" t="s">
        <v>8</v>
      </c>
      <c r="K1419" t="str">
        <f>VLOOKUP(tblSalaries[[#This Row],[Where do you work]],tblCountries[[Actual]:[Mapping]],2,FALSE)</f>
        <v>India</v>
      </c>
      <c r="L1419" t="s">
        <v>9</v>
      </c>
      <c r="M1419">
        <v>4</v>
      </c>
    </row>
    <row r="1420" spans="2:13" ht="15" customHeight="1">
      <c r="B1420" t="s">
        <v>3423</v>
      </c>
      <c r="C1420" s="1">
        <v>41059.508773148147</v>
      </c>
      <c r="D1420" s="4">
        <v>67000</v>
      </c>
      <c r="E1420">
        <v>67000</v>
      </c>
      <c r="F1420" t="s">
        <v>6</v>
      </c>
      <c r="G1420">
        <f>tblSalaries[[#This Row],[clean Salary (in local currency)]]*VLOOKUP(tblSalaries[[#This Row],[Currency]],tblXrate[],2,FALSE)</f>
        <v>67000</v>
      </c>
      <c r="H1420" t="s">
        <v>1599</v>
      </c>
      <c r="I1420" t="s">
        <v>52</v>
      </c>
      <c r="J1420" t="s">
        <v>15</v>
      </c>
      <c r="K1420" t="str">
        <f>VLOOKUP(tblSalaries[[#This Row],[Where do you work]],tblCountries[[Actual]:[Mapping]],2,FALSE)</f>
        <v>USA</v>
      </c>
      <c r="L1420" t="s">
        <v>18</v>
      </c>
      <c r="M1420">
        <v>20</v>
      </c>
    </row>
    <row r="1421" spans="2:13" ht="15" customHeight="1">
      <c r="B1421" t="s">
        <v>3424</v>
      </c>
      <c r="C1421" s="1">
        <v>41059.517627314817</v>
      </c>
      <c r="D1421" s="4">
        <v>480000</v>
      </c>
      <c r="E1421">
        <v>480000</v>
      </c>
      <c r="F1421" t="s">
        <v>40</v>
      </c>
      <c r="G1421">
        <f>tblSalaries[[#This Row],[clean Salary (in local currency)]]*VLOOKUP(tblSalaries[[#This Row],[Currency]],tblXrate[],2,FALSE)</f>
        <v>8547.8000099724322</v>
      </c>
      <c r="H1421" t="s">
        <v>1324</v>
      </c>
      <c r="I1421" t="s">
        <v>20</v>
      </c>
      <c r="J1421" t="s">
        <v>8</v>
      </c>
      <c r="K1421" t="str">
        <f>VLOOKUP(tblSalaries[[#This Row],[Where do you work]],tblCountries[[Actual]:[Mapping]],2,FALSE)</f>
        <v>India</v>
      </c>
      <c r="L1421" t="s">
        <v>9</v>
      </c>
      <c r="M1421">
        <v>7</v>
      </c>
    </row>
    <row r="1422" spans="2:13" ht="15" customHeight="1">
      <c r="B1422" t="s">
        <v>3425</v>
      </c>
      <c r="C1422" s="1">
        <v>41059.524398148147</v>
      </c>
      <c r="D1422" s="4" t="s">
        <v>1600</v>
      </c>
      <c r="E1422">
        <v>900000</v>
      </c>
      <c r="F1422" t="s">
        <v>40</v>
      </c>
      <c r="G1422">
        <f>tblSalaries[[#This Row],[clean Salary (in local currency)]]*VLOOKUP(tblSalaries[[#This Row],[Currency]],tblXrate[],2,FALSE)</f>
        <v>16027.125018698311</v>
      </c>
      <c r="H1422" t="s">
        <v>153</v>
      </c>
      <c r="I1422" t="s">
        <v>20</v>
      </c>
      <c r="J1422" t="s">
        <v>8</v>
      </c>
      <c r="K1422" t="str">
        <f>VLOOKUP(tblSalaries[[#This Row],[Where do you work]],tblCountries[[Actual]:[Mapping]],2,FALSE)</f>
        <v>India</v>
      </c>
      <c r="L1422" t="s">
        <v>9</v>
      </c>
      <c r="M1422">
        <v>4</v>
      </c>
    </row>
    <row r="1423" spans="2:13" ht="15" customHeight="1">
      <c r="B1423" t="s">
        <v>3426</v>
      </c>
      <c r="C1423" s="1">
        <v>41059.5393287037</v>
      </c>
      <c r="D1423" s="4" t="s">
        <v>1601</v>
      </c>
      <c r="E1423">
        <v>600000</v>
      </c>
      <c r="F1423" t="s">
        <v>40</v>
      </c>
      <c r="G1423">
        <f>tblSalaries[[#This Row],[clean Salary (in local currency)]]*VLOOKUP(tblSalaries[[#This Row],[Currency]],tblXrate[],2,FALSE)</f>
        <v>10684.750012465542</v>
      </c>
      <c r="H1423" t="s">
        <v>83</v>
      </c>
      <c r="I1423" t="s">
        <v>356</v>
      </c>
      <c r="J1423" t="s">
        <v>8</v>
      </c>
      <c r="K1423" t="str">
        <f>VLOOKUP(tblSalaries[[#This Row],[Where do you work]],tblCountries[[Actual]:[Mapping]],2,FALSE)</f>
        <v>India</v>
      </c>
      <c r="L1423" t="s">
        <v>18</v>
      </c>
      <c r="M1423">
        <v>36</v>
      </c>
    </row>
    <row r="1424" spans="2:13" ht="15" customHeight="1">
      <c r="B1424" t="s">
        <v>3427</v>
      </c>
      <c r="C1424" s="1">
        <v>41059.545972222222</v>
      </c>
      <c r="D1424" s="4">
        <v>30000</v>
      </c>
      <c r="E1424">
        <v>30000</v>
      </c>
      <c r="F1424" t="s">
        <v>6</v>
      </c>
      <c r="G1424">
        <f>tblSalaries[[#This Row],[clean Salary (in local currency)]]*VLOOKUP(tblSalaries[[#This Row],[Currency]],tblXrate[],2,FALSE)</f>
        <v>30000</v>
      </c>
      <c r="H1424" t="s">
        <v>1602</v>
      </c>
      <c r="I1424" t="s">
        <v>310</v>
      </c>
      <c r="J1424" t="s">
        <v>179</v>
      </c>
      <c r="K1424" t="str">
        <f>VLOOKUP(tblSalaries[[#This Row],[Where do you work]],tblCountries[[Actual]:[Mapping]],2,FALSE)</f>
        <v>UAE</v>
      </c>
      <c r="L1424" t="s">
        <v>9</v>
      </c>
      <c r="M1424">
        <v>8</v>
      </c>
    </row>
    <row r="1425" spans="2:13" ht="15" customHeight="1">
      <c r="B1425" t="s">
        <v>3428</v>
      </c>
      <c r="C1425" s="1">
        <v>41059.556319444448</v>
      </c>
      <c r="D1425" s="4">
        <v>500000</v>
      </c>
      <c r="E1425">
        <v>500000</v>
      </c>
      <c r="F1425" t="s">
        <v>40</v>
      </c>
      <c r="G1425">
        <f>tblSalaries[[#This Row],[clean Salary (in local currency)]]*VLOOKUP(tblSalaries[[#This Row],[Currency]],tblXrate[],2,FALSE)</f>
        <v>8903.9583437212841</v>
      </c>
      <c r="H1425" t="s">
        <v>1603</v>
      </c>
      <c r="I1425" t="s">
        <v>52</v>
      </c>
      <c r="J1425" t="s">
        <v>8</v>
      </c>
      <c r="K1425" t="str">
        <f>VLOOKUP(tblSalaries[[#This Row],[Where do you work]],tblCountries[[Actual]:[Mapping]],2,FALSE)</f>
        <v>India</v>
      </c>
      <c r="L1425" t="s">
        <v>18</v>
      </c>
      <c r="M1425">
        <v>0</v>
      </c>
    </row>
    <row r="1426" spans="2:13" ht="15" customHeight="1">
      <c r="B1426" t="s">
        <v>3429</v>
      </c>
      <c r="C1426" s="1">
        <v>41059.559166666666</v>
      </c>
      <c r="D1426" s="4">
        <v>20000</v>
      </c>
      <c r="E1426">
        <v>20000</v>
      </c>
      <c r="F1426" t="s">
        <v>6</v>
      </c>
      <c r="G1426">
        <f>tblSalaries[[#This Row],[clean Salary (in local currency)]]*VLOOKUP(tblSalaries[[#This Row],[Currency]],tblXrate[],2,FALSE)</f>
        <v>20000</v>
      </c>
      <c r="H1426" t="s">
        <v>635</v>
      </c>
      <c r="I1426" t="s">
        <v>52</v>
      </c>
      <c r="J1426" t="s">
        <v>8</v>
      </c>
      <c r="K1426" t="str">
        <f>VLOOKUP(tblSalaries[[#This Row],[Where do you work]],tblCountries[[Actual]:[Mapping]],2,FALSE)</f>
        <v>India</v>
      </c>
      <c r="L1426" t="s">
        <v>186</v>
      </c>
      <c r="M1426">
        <v>10</v>
      </c>
    </row>
    <row r="1427" spans="2:13" ht="15" customHeight="1">
      <c r="B1427" t="s">
        <v>3430</v>
      </c>
      <c r="C1427" s="1">
        <v>41059.563599537039</v>
      </c>
      <c r="D1427" s="4">
        <v>86000</v>
      </c>
      <c r="E1427">
        <v>86000</v>
      </c>
      <c r="F1427" t="s">
        <v>82</v>
      </c>
      <c r="G1427">
        <f>tblSalaries[[#This Row],[clean Salary (in local currency)]]*VLOOKUP(tblSalaries[[#This Row],[Currency]],tblXrate[],2,FALSE)</f>
        <v>87712.230450626681</v>
      </c>
      <c r="H1427" t="s">
        <v>214</v>
      </c>
      <c r="I1427" t="s">
        <v>20</v>
      </c>
      <c r="J1427" t="s">
        <v>84</v>
      </c>
      <c r="K1427" t="str">
        <f>VLOOKUP(tblSalaries[[#This Row],[Where do you work]],tblCountries[[Actual]:[Mapping]],2,FALSE)</f>
        <v>Australia</v>
      </c>
      <c r="L1427" t="s">
        <v>9</v>
      </c>
      <c r="M1427">
        <v>10</v>
      </c>
    </row>
    <row r="1428" spans="2:13" ht="15" customHeight="1">
      <c r="B1428" t="s">
        <v>3431</v>
      </c>
      <c r="C1428" s="1">
        <v>41059.567152777781</v>
      </c>
      <c r="D1428" s="4">
        <v>1000000</v>
      </c>
      <c r="E1428">
        <v>1000000</v>
      </c>
      <c r="F1428" t="s">
        <v>40</v>
      </c>
      <c r="G1428">
        <f>tblSalaries[[#This Row],[clean Salary (in local currency)]]*VLOOKUP(tblSalaries[[#This Row],[Currency]],tblXrate[],2,FALSE)</f>
        <v>17807.916687442568</v>
      </c>
      <c r="H1428" t="s">
        <v>1604</v>
      </c>
      <c r="I1428" t="s">
        <v>52</v>
      </c>
      <c r="J1428" t="s">
        <v>8</v>
      </c>
      <c r="K1428" t="str">
        <f>VLOOKUP(tblSalaries[[#This Row],[Where do you work]],tblCountries[[Actual]:[Mapping]],2,FALSE)</f>
        <v>India</v>
      </c>
      <c r="L1428" t="s">
        <v>13</v>
      </c>
      <c r="M1428">
        <v>6</v>
      </c>
    </row>
    <row r="1429" spans="2:13" ht="15" customHeight="1">
      <c r="B1429" t="s">
        <v>3432</v>
      </c>
      <c r="C1429" s="1">
        <v>41059.56722222222</v>
      </c>
      <c r="D1429" s="4">
        <v>41000</v>
      </c>
      <c r="E1429">
        <v>41000</v>
      </c>
      <c r="F1429" t="s">
        <v>6</v>
      </c>
      <c r="G1429">
        <f>tblSalaries[[#This Row],[clean Salary (in local currency)]]*VLOOKUP(tblSalaries[[#This Row],[Currency]],tblXrate[],2,FALSE)</f>
        <v>41000</v>
      </c>
      <c r="H1429" t="s">
        <v>135</v>
      </c>
      <c r="I1429" t="s">
        <v>20</v>
      </c>
      <c r="J1429" t="s">
        <v>654</v>
      </c>
      <c r="K1429" t="str">
        <f>VLOOKUP(tblSalaries[[#This Row],[Where do you work]],tblCountries[[Actual]:[Mapping]],2,FALSE)</f>
        <v>Japan</v>
      </c>
      <c r="L1429" t="s">
        <v>18</v>
      </c>
      <c r="M1429">
        <v>2</v>
      </c>
    </row>
    <row r="1430" spans="2:13" ht="15" customHeight="1">
      <c r="B1430" t="s">
        <v>3433</v>
      </c>
      <c r="C1430" s="1">
        <v>41059.570613425924</v>
      </c>
      <c r="D1430" s="4">
        <v>60000</v>
      </c>
      <c r="E1430">
        <v>60000</v>
      </c>
      <c r="F1430" t="s">
        <v>6</v>
      </c>
      <c r="G1430">
        <f>tblSalaries[[#This Row],[clean Salary (in local currency)]]*VLOOKUP(tblSalaries[[#This Row],[Currency]],tblXrate[],2,FALSE)</f>
        <v>60000</v>
      </c>
      <c r="H1430" t="s">
        <v>1605</v>
      </c>
      <c r="I1430" t="s">
        <v>52</v>
      </c>
      <c r="J1430" t="s">
        <v>15</v>
      </c>
      <c r="K1430" t="str">
        <f>VLOOKUP(tblSalaries[[#This Row],[Where do you work]],tblCountries[[Actual]:[Mapping]],2,FALSE)</f>
        <v>USA</v>
      </c>
      <c r="L1430" t="s">
        <v>18</v>
      </c>
      <c r="M1430">
        <v>4</v>
      </c>
    </row>
    <row r="1431" spans="2:13" ht="15" customHeight="1">
      <c r="B1431" t="s">
        <v>3434</v>
      </c>
      <c r="C1431" s="1">
        <v>41059.574895833335</v>
      </c>
      <c r="D1431" s="4" t="s">
        <v>1606</v>
      </c>
      <c r="E1431">
        <v>264000</v>
      </c>
      <c r="F1431" t="s">
        <v>585</v>
      </c>
      <c r="G1431">
        <f>tblSalaries[[#This Row],[clean Salary (in local currency)]]*VLOOKUP(tblSalaries[[#This Row],[Currency]],tblXrate[],2,FALSE)</f>
        <v>32187.34988380854</v>
      </c>
      <c r="H1431" t="s">
        <v>20</v>
      </c>
      <c r="I1431" t="s">
        <v>20</v>
      </c>
      <c r="J1431" t="s">
        <v>1607</v>
      </c>
      <c r="K1431" t="str">
        <f>VLOOKUP(tblSalaries[[#This Row],[Where do you work]],tblCountries[[Actual]:[Mapping]],2,FALSE)</f>
        <v>South Africa</v>
      </c>
      <c r="L1431" t="s">
        <v>13</v>
      </c>
      <c r="M1431">
        <v>2</v>
      </c>
    </row>
    <row r="1432" spans="2:13" ht="15" customHeight="1">
      <c r="B1432" t="s">
        <v>3435</v>
      </c>
      <c r="C1432" s="1">
        <v>41059.580868055556</v>
      </c>
      <c r="D1432" s="4">
        <v>50000</v>
      </c>
      <c r="E1432">
        <v>50000</v>
      </c>
      <c r="F1432" t="s">
        <v>670</v>
      </c>
      <c r="G1432">
        <f>tblSalaries[[#This Row],[clean Salary (in local currency)]]*VLOOKUP(tblSalaries[[#This Row],[Currency]],tblXrate[],2,FALSE)</f>
        <v>39879.404680246938</v>
      </c>
      <c r="H1432" t="s">
        <v>1608</v>
      </c>
      <c r="I1432" t="s">
        <v>279</v>
      </c>
      <c r="J1432" t="s">
        <v>1609</v>
      </c>
      <c r="K1432" t="str">
        <f>VLOOKUP(tblSalaries[[#This Row],[Where do you work]],tblCountries[[Actual]:[Mapping]],2,FALSE)</f>
        <v>New Zealand</v>
      </c>
      <c r="L1432" t="s">
        <v>9</v>
      </c>
      <c r="M1432">
        <v>5</v>
      </c>
    </row>
    <row r="1433" spans="2:13" ht="15" customHeight="1">
      <c r="B1433" t="s">
        <v>3436</v>
      </c>
      <c r="C1433" s="1">
        <v>41059.581111111111</v>
      </c>
      <c r="D1433" s="4" t="s">
        <v>1610</v>
      </c>
      <c r="E1433">
        <v>320000</v>
      </c>
      <c r="F1433" t="s">
        <v>40</v>
      </c>
      <c r="G1433">
        <f>tblSalaries[[#This Row],[clean Salary (in local currency)]]*VLOOKUP(tblSalaries[[#This Row],[Currency]],tblXrate[],2,FALSE)</f>
        <v>5698.5333399816218</v>
      </c>
      <c r="H1433" t="s">
        <v>20</v>
      </c>
      <c r="I1433" t="s">
        <v>20</v>
      </c>
      <c r="J1433" t="s">
        <v>8</v>
      </c>
      <c r="K1433" t="str">
        <f>VLOOKUP(tblSalaries[[#This Row],[Where do you work]],tblCountries[[Actual]:[Mapping]],2,FALSE)</f>
        <v>India</v>
      </c>
      <c r="L1433" t="s">
        <v>18</v>
      </c>
      <c r="M1433">
        <v>2</v>
      </c>
    </row>
    <row r="1434" spans="2:13" ht="15" customHeight="1">
      <c r="B1434" t="s">
        <v>3437</v>
      </c>
      <c r="C1434" s="1">
        <v>41059.589699074073</v>
      </c>
      <c r="D1434" s="4" t="s">
        <v>1611</v>
      </c>
      <c r="E1434">
        <v>400000</v>
      </c>
      <c r="F1434" t="s">
        <v>40</v>
      </c>
      <c r="G1434">
        <f>tblSalaries[[#This Row],[clean Salary (in local currency)]]*VLOOKUP(tblSalaries[[#This Row],[Currency]],tblXrate[],2,FALSE)</f>
        <v>7123.1666749770275</v>
      </c>
      <c r="H1434" t="s">
        <v>986</v>
      </c>
      <c r="I1434" t="s">
        <v>52</v>
      </c>
      <c r="J1434" t="s">
        <v>8</v>
      </c>
      <c r="K1434" t="str">
        <f>VLOOKUP(tblSalaries[[#This Row],[Where do you work]],tblCountries[[Actual]:[Mapping]],2,FALSE)</f>
        <v>India</v>
      </c>
      <c r="L1434" t="s">
        <v>9</v>
      </c>
      <c r="M1434">
        <v>6</v>
      </c>
    </row>
    <row r="1435" spans="2:13" ht="15" customHeight="1">
      <c r="B1435" t="s">
        <v>3438</v>
      </c>
      <c r="C1435" s="1">
        <v>41059.596608796295</v>
      </c>
      <c r="D1435" s="4" t="s">
        <v>1612</v>
      </c>
      <c r="E1435">
        <v>250000</v>
      </c>
      <c r="F1435" t="s">
        <v>40</v>
      </c>
      <c r="G1435">
        <f>tblSalaries[[#This Row],[clean Salary (in local currency)]]*VLOOKUP(tblSalaries[[#This Row],[Currency]],tblXrate[],2,FALSE)</f>
        <v>4451.9791718606421</v>
      </c>
      <c r="H1435" t="s">
        <v>1613</v>
      </c>
      <c r="I1435" t="s">
        <v>52</v>
      </c>
      <c r="J1435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>
        <v>15</v>
      </c>
    </row>
    <row r="1436" spans="2:13" ht="15" customHeight="1">
      <c r="B1436" t="s">
        <v>3439</v>
      </c>
      <c r="C1436" s="1">
        <v>41059.598576388889</v>
      </c>
      <c r="D1436" s="4">
        <v>360000</v>
      </c>
      <c r="E1436">
        <v>360000</v>
      </c>
      <c r="F1436" t="s">
        <v>40</v>
      </c>
      <c r="G1436">
        <f>tblSalaries[[#This Row],[clean Salary (in local currency)]]*VLOOKUP(tblSalaries[[#This Row],[Currency]],tblXrate[],2,FALSE)</f>
        <v>6410.8500074793246</v>
      </c>
      <c r="H1436" t="s">
        <v>256</v>
      </c>
      <c r="I1436" t="s">
        <v>20</v>
      </c>
      <c r="J1436" t="s">
        <v>8</v>
      </c>
      <c r="K1436" t="str">
        <f>VLOOKUP(tblSalaries[[#This Row],[Where do you work]],tblCountries[[Actual]:[Mapping]],2,FALSE)</f>
        <v>India</v>
      </c>
      <c r="L1436" t="s">
        <v>18</v>
      </c>
      <c r="M1436">
        <v>6</v>
      </c>
    </row>
    <row r="1437" spans="2:13" ht="15" customHeight="1">
      <c r="B1437" t="s">
        <v>3440</v>
      </c>
      <c r="C1437" s="1">
        <v>41059.603437500002</v>
      </c>
      <c r="D1437" s="4" t="s">
        <v>1614</v>
      </c>
      <c r="E1437">
        <v>1150000</v>
      </c>
      <c r="F1437" t="s">
        <v>40</v>
      </c>
      <c r="G1437">
        <f>tblSalaries[[#This Row],[clean Salary (in local currency)]]*VLOOKUP(tblSalaries[[#This Row],[Currency]],tblXrate[],2,FALSE)</f>
        <v>20479.104190558952</v>
      </c>
      <c r="H1437" t="s">
        <v>201</v>
      </c>
      <c r="I1437" t="s">
        <v>52</v>
      </c>
      <c r="J1437" t="s">
        <v>8</v>
      </c>
      <c r="K1437" t="str">
        <f>VLOOKUP(tblSalaries[[#This Row],[Where do you work]],tblCountries[[Actual]:[Mapping]],2,FALSE)</f>
        <v>India</v>
      </c>
      <c r="L1437" t="s">
        <v>13</v>
      </c>
      <c r="M1437">
        <v>12</v>
      </c>
    </row>
    <row r="1438" spans="2:13" ht="15" customHeight="1">
      <c r="B1438" t="s">
        <v>3441</v>
      </c>
      <c r="C1438" s="1">
        <v>41059.605243055557</v>
      </c>
      <c r="D1438" s="4">
        <v>620000</v>
      </c>
      <c r="E1438">
        <v>620000</v>
      </c>
      <c r="F1438" t="s">
        <v>40</v>
      </c>
      <c r="G1438">
        <f>tblSalaries[[#This Row],[clean Salary (in local currency)]]*VLOOKUP(tblSalaries[[#This Row],[Currency]],tblXrate[],2,FALSE)</f>
        <v>11040.908346214392</v>
      </c>
      <c r="H1438" t="s">
        <v>1615</v>
      </c>
      <c r="I1438" t="s">
        <v>20</v>
      </c>
      <c r="J1438" t="s">
        <v>8</v>
      </c>
      <c r="K1438" t="str">
        <f>VLOOKUP(tblSalaries[[#This Row],[Where do you work]],tblCountries[[Actual]:[Mapping]],2,FALSE)</f>
        <v>India</v>
      </c>
      <c r="L1438" t="s">
        <v>25</v>
      </c>
      <c r="M1438">
        <v>5</v>
      </c>
    </row>
    <row r="1439" spans="2:13" ht="15" customHeight="1">
      <c r="B1439" t="s">
        <v>3442</v>
      </c>
      <c r="C1439" s="1">
        <v>41059.665983796294</v>
      </c>
      <c r="D1439" s="4" t="s">
        <v>1616</v>
      </c>
      <c r="E1439">
        <v>1000000</v>
      </c>
      <c r="F1439" t="s">
        <v>40</v>
      </c>
      <c r="G1439">
        <f>tblSalaries[[#This Row],[clean Salary (in local currency)]]*VLOOKUP(tblSalaries[[#This Row],[Currency]],tblXrate[],2,FALSE)</f>
        <v>17807.916687442568</v>
      </c>
      <c r="H1439" t="s">
        <v>658</v>
      </c>
      <c r="I1439" t="s">
        <v>67</v>
      </c>
      <c r="J1439" t="s">
        <v>8</v>
      </c>
      <c r="K1439" t="str">
        <f>VLOOKUP(tblSalaries[[#This Row],[Where do you work]],tblCountries[[Actual]:[Mapping]],2,FALSE)</f>
        <v>India</v>
      </c>
      <c r="L1439" t="s">
        <v>18</v>
      </c>
      <c r="M1439">
        <v>7</v>
      </c>
    </row>
    <row r="1440" spans="2:13" ht="15" customHeight="1">
      <c r="B1440" t="s">
        <v>3443</v>
      </c>
      <c r="C1440" s="1">
        <v>41059.675393518519</v>
      </c>
      <c r="D1440" s="4" t="s">
        <v>733</v>
      </c>
      <c r="E1440">
        <v>200000</v>
      </c>
      <c r="F1440" t="s">
        <v>40</v>
      </c>
      <c r="G1440">
        <f>tblSalaries[[#This Row],[clean Salary (in local currency)]]*VLOOKUP(tblSalaries[[#This Row],[Currency]],tblXrate[],2,FALSE)</f>
        <v>3561.5833374885137</v>
      </c>
      <c r="H1440" t="s">
        <v>749</v>
      </c>
      <c r="I1440" t="s">
        <v>20</v>
      </c>
      <c r="J1440" t="s">
        <v>8</v>
      </c>
      <c r="K1440" t="str">
        <f>VLOOKUP(tblSalaries[[#This Row],[Where do you work]],tblCountries[[Actual]:[Mapping]],2,FALSE)</f>
        <v>India</v>
      </c>
      <c r="L1440" t="s">
        <v>9</v>
      </c>
      <c r="M1440">
        <v>11</v>
      </c>
    </row>
    <row r="1441" spans="2:13" ht="15" customHeight="1">
      <c r="B1441" t="s">
        <v>3444</v>
      </c>
      <c r="C1441" s="1">
        <v>41059.682164351849</v>
      </c>
      <c r="D1441" s="4" t="s">
        <v>1617</v>
      </c>
      <c r="E1441">
        <v>17000</v>
      </c>
      <c r="F1441" t="s">
        <v>69</v>
      </c>
      <c r="G1441">
        <f>tblSalaries[[#This Row],[clean Salary (in local currency)]]*VLOOKUP(tblSalaries[[#This Row],[Currency]],tblXrate[],2,FALSE)</f>
        <v>26795.030625143831</v>
      </c>
      <c r="H1441" t="s">
        <v>1618</v>
      </c>
      <c r="I1441" t="s">
        <v>20</v>
      </c>
      <c r="J1441" t="s">
        <v>71</v>
      </c>
      <c r="K1441" t="str">
        <f>VLOOKUP(tblSalaries[[#This Row],[Where do you work]],tblCountries[[Actual]:[Mapping]],2,FALSE)</f>
        <v>UK</v>
      </c>
      <c r="L1441" t="s">
        <v>18</v>
      </c>
      <c r="M1441">
        <v>5</v>
      </c>
    </row>
    <row r="1442" spans="2:13" ht="15" customHeight="1">
      <c r="B1442" t="s">
        <v>3445</v>
      </c>
      <c r="C1442" s="1">
        <v>41059.700370370374</v>
      </c>
      <c r="D1442" s="4">
        <v>1700</v>
      </c>
      <c r="E1442">
        <v>20400</v>
      </c>
      <c r="F1442" t="s">
        <v>6</v>
      </c>
      <c r="G1442">
        <f>tblSalaries[[#This Row],[clean Salary (in local currency)]]*VLOOKUP(tblSalaries[[#This Row],[Currency]],tblXrate[],2,FALSE)</f>
        <v>20400</v>
      </c>
      <c r="H1442" t="s">
        <v>1619</v>
      </c>
      <c r="I1442" t="s">
        <v>52</v>
      </c>
      <c r="J1442" t="s">
        <v>1620</v>
      </c>
      <c r="K1442" t="str">
        <f>VLOOKUP(tblSalaries[[#This Row],[Where do you work]],tblCountries[[Actual]:[Mapping]],2,FALSE)</f>
        <v>Myanmar</v>
      </c>
      <c r="L1442" t="s">
        <v>25</v>
      </c>
      <c r="M1442">
        <v>10</v>
      </c>
    </row>
    <row r="1443" spans="2:13" ht="15" customHeight="1">
      <c r="B1443" t="s">
        <v>3446</v>
      </c>
      <c r="C1443" s="1">
        <v>41059.700868055559</v>
      </c>
      <c r="D1443" s="4" t="s">
        <v>1251</v>
      </c>
      <c r="E1443">
        <v>25000</v>
      </c>
      <c r="F1443" t="s">
        <v>69</v>
      </c>
      <c r="G1443">
        <f>tblSalaries[[#This Row],[clean Salary (in local currency)]]*VLOOKUP(tblSalaries[[#This Row],[Currency]],tblXrate[],2,FALSE)</f>
        <v>39404.456801682099</v>
      </c>
      <c r="H1443" t="s">
        <v>1621</v>
      </c>
      <c r="I1443" t="s">
        <v>310</v>
      </c>
      <c r="J1443" t="s">
        <v>71</v>
      </c>
      <c r="K1443" t="str">
        <f>VLOOKUP(tblSalaries[[#This Row],[Where do you work]],tblCountries[[Actual]:[Mapping]],2,FALSE)</f>
        <v>UK</v>
      </c>
      <c r="L1443" t="s">
        <v>9</v>
      </c>
      <c r="M1443">
        <v>35</v>
      </c>
    </row>
    <row r="1444" spans="2:13" ht="15" customHeight="1">
      <c r="B1444" t="s">
        <v>3447</v>
      </c>
      <c r="C1444" s="1">
        <v>41059.705451388887</v>
      </c>
      <c r="D1444" s="4">
        <v>118000</v>
      </c>
      <c r="E1444">
        <v>118000</v>
      </c>
      <c r="F1444" t="s">
        <v>22</v>
      </c>
      <c r="G1444">
        <f>tblSalaries[[#This Row],[clean Salary (in local currency)]]*VLOOKUP(tblSalaries[[#This Row],[Currency]],tblXrate[],2,FALSE)</f>
        <v>149907.13380100971</v>
      </c>
      <c r="H1444" t="s">
        <v>1622</v>
      </c>
      <c r="I1444" t="s">
        <v>20</v>
      </c>
      <c r="J1444" t="s">
        <v>1623</v>
      </c>
      <c r="K1444" t="str">
        <f>VLOOKUP(tblSalaries[[#This Row],[Where do you work]],tblCountries[[Actual]:[Mapping]],2,FALSE)</f>
        <v>Europe</v>
      </c>
      <c r="L1444" t="s">
        <v>9</v>
      </c>
      <c r="M1444">
        <v>7</v>
      </c>
    </row>
    <row r="1445" spans="2:13" ht="15" customHeight="1">
      <c r="B1445" t="s">
        <v>3448</v>
      </c>
      <c r="C1445" s="1">
        <v>41059.709143518521</v>
      </c>
      <c r="D1445" s="4">
        <v>230000</v>
      </c>
      <c r="E1445">
        <v>230000</v>
      </c>
      <c r="F1445" t="s">
        <v>40</v>
      </c>
      <c r="G1445">
        <f>tblSalaries[[#This Row],[clean Salary (in local currency)]]*VLOOKUP(tblSalaries[[#This Row],[Currency]],tblXrate[],2,FALSE)</f>
        <v>4095.8208381117906</v>
      </c>
      <c r="H1445" t="s">
        <v>1624</v>
      </c>
      <c r="I1445" t="s">
        <v>20</v>
      </c>
      <c r="J1445" t="s">
        <v>8</v>
      </c>
      <c r="K1445" t="str">
        <f>VLOOKUP(tblSalaries[[#This Row],[Where do you work]],tblCountries[[Actual]:[Mapping]],2,FALSE)</f>
        <v>India</v>
      </c>
      <c r="L1445" t="s">
        <v>9</v>
      </c>
      <c r="M1445">
        <v>1.6</v>
      </c>
    </row>
    <row r="1446" spans="2:13" ht="15" customHeight="1">
      <c r="B1446" t="s">
        <v>3449</v>
      </c>
      <c r="C1446" s="1">
        <v>41059.711724537039</v>
      </c>
      <c r="D1446" s="4" t="s">
        <v>1625</v>
      </c>
      <c r="E1446">
        <v>125000</v>
      </c>
      <c r="F1446" t="s">
        <v>82</v>
      </c>
      <c r="G1446">
        <f>tblSalaries[[#This Row],[clean Salary (in local currency)]]*VLOOKUP(tblSalaries[[#This Row],[Currency]],tblXrate[],2,FALSE)</f>
        <v>127488.70705032947</v>
      </c>
      <c r="H1446" t="s">
        <v>1626</v>
      </c>
      <c r="I1446" t="s">
        <v>310</v>
      </c>
      <c r="J1446" t="s">
        <v>84</v>
      </c>
      <c r="K1446" t="str">
        <f>VLOOKUP(tblSalaries[[#This Row],[Where do you work]],tblCountries[[Actual]:[Mapping]],2,FALSE)</f>
        <v>Australia</v>
      </c>
      <c r="L1446" t="s">
        <v>9</v>
      </c>
      <c r="M1446">
        <v>7</v>
      </c>
    </row>
    <row r="1447" spans="2:13" ht="15" customHeight="1">
      <c r="B1447" t="s">
        <v>3450</v>
      </c>
      <c r="C1447" s="1">
        <v>41059.713738425926</v>
      </c>
      <c r="D1447" s="4" t="s">
        <v>1627</v>
      </c>
      <c r="E1447">
        <v>37000</v>
      </c>
      <c r="F1447" t="s">
        <v>69</v>
      </c>
      <c r="G1447">
        <f>tblSalaries[[#This Row],[clean Salary (in local currency)]]*VLOOKUP(tblSalaries[[#This Row],[Currency]],tblXrate[],2,FALSE)</f>
        <v>58318.59606648951</v>
      </c>
      <c r="H1447" t="s">
        <v>1628</v>
      </c>
      <c r="I1447" t="s">
        <v>52</v>
      </c>
      <c r="J1447" t="s">
        <v>71</v>
      </c>
      <c r="K1447" t="str">
        <f>VLOOKUP(tblSalaries[[#This Row],[Where do you work]],tblCountries[[Actual]:[Mapping]],2,FALSE)</f>
        <v>UK</v>
      </c>
      <c r="L1447" t="s">
        <v>13</v>
      </c>
      <c r="M1447">
        <v>20</v>
      </c>
    </row>
    <row r="1448" spans="2:13" ht="15" customHeight="1">
      <c r="B1448" t="s">
        <v>3451</v>
      </c>
      <c r="C1448" s="1">
        <v>41059.718368055554</v>
      </c>
      <c r="D1448" s="4" t="s">
        <v>1629</v>
      </c>
      <c r="E1448">
        <v>78000</v>
      </c>
      <c r="F1448" t="s">
        <v>585</v>
      </c>
      <c r="G1448">
        <f>tblSalaries[[#This Row],[clean Salary (in local currency)]]*VLOOKUP(tblSalaries[[#This Row],[Currency]],tblXrate[],2,FALSE)</f>
        <v>9509.8988293070688</v>
      </c>
      <c r="H1448" t="s">
        <v>1630</v>
      </c>
      <c r="I1448" t="s">
        <v>488</v>
      </c>
      <c r="J1448" t="s">
        <v>48</v>
      </c>
      <c r="K1448" t="str">
        <f>VLOOKUP(tblSalaries[[#This Row],[Where do you work]],tblCountries[[Actual]:[Mapping]],2,FALSE)</f>
        <v>South Africa</v>
      </c>
      <c r="L1448" t="s">
        <v>9</v>
      </c>
      <c r="M1448">
        <v>2</v>
      </c>
    </row>
    <row r="1449" spans="2:13" ht="15" customHeight="1">
      <c r="B1449" t="s">
        <v>3452</v>
      </c>
      <c r="C1449" s="1">
        <v>41059.721273148149</v>
      </c>
      <c r="D1449" s="4" t="s">
        <v>1631</v>
      </c>
      <c r="E1449">
        <v>720000</v>
      </c>
      <c r="F1449" t="s">
        <v>40</v>
      </c>
      <c r="G1449">
        <f>tblSalaries[[#This Row],[clean Salary (in local currency)]]*VLOOKUP(tblSalaries[[#This Row],[Currency]],tblXrate[],2,FALSE)</f>
        <v>12821.700014958649</v>
      </c>
      <c r="H1449" t="s">
        <v>1632</v>
      </c>
      <c r="I1449" t="s">
        <v>20</v>
      </c>
      <c r="J1449" t="s">
        <v>8</v>
      </c>
      <c r="K1449" t="str">
        <f>VLOOKUP(tblSalaries[[#This Row],[Where do you work]],tblCountries[[Actual]:[Mapping]],2,FALSE)</f>
        <v>India</v>
      </c>
      <c r="L1449" t="s">
        <v>9</v>
      </c>
      <c r="M1449">
        <v>3</v>
      </c>
    </row>
    <row r="1450" spans="2:13" ht="15" customHeight="1">
      <c r="B1450" t="s">
        <v>3453</v>
      </c>
      <c r="C1450" s="1">
        <v>41059.760740740741</v>
      </c>
      <c r="D1450" s="4">
        <v>4000</v>
      </c>
      <c r="E1450">
        <v>4000</v>
      </c>
      <c r="F1450" t="s">
        <v>6</v>
      </c>
      <c r="G1450">
        <f>tblSalaries[[#This Row],[clean Salary (in local currency)]]*VLOOKUP(tblSalaries[[#This Row],[Currency]],tblXrate[],2,FALSE)</f>
        <v>4000</v>
      </c>
      <c r="H1450" t="s">
        <v>1633</v>
      </c>
      <c r="I1450" t="s">
        <v>20</v>
      </c>
      <c r="J1450" t="s">
        <v>8</v>
      </c>
      <c r="K1450" t="str">
        <f>VLOOKUP(tblSalaries[[#This Row],[Where do you work]],tblCountries[[Actual]:[Mapping]],2,FALSE)</f>
        <v>India</v>
      </c>
      <c r="L1450" t="s">
        <v>13</v>
      </c>
      <c r="M1450">
        <v>6</v>
      </c>
    </row>
    <row r="1451" spans="2:13" ht="15" customHeight="1">
      <c r="B1451" t="s">
        <v>3454</v>
      </c>
      <c r="C1451" s="1">
        <v>41059.76116898148</v>
      </c>
      <c r="D1451" s="4">
        <v>42000</v>
      </c>
      <c r="E1451">
        <v>42000</v>
      </c>
      <c r="F1451" t="s">
        <v>6</v>
      </c>
      <c r="G1451">
        <f>tblSalaries[[#This Row],[clean Salary (in local currency)]]*VLOOKUP(tblSalaries[[#This Row],[Currency]],tblXrate[],2,FALSE)</f>
        <v>42000</v>
      </c>
      <c r="H1451" t="s">
        <v>1634</v>
      </c>
      <c r="I1451" t="s">
        <v>20</v>
      </c>
      <c r="J1451" t="s">
        <v>15</v>
      </c>
      <c r="K1451" t="str">
        <f>VLOOKUP(tblSalaries[[#This Row],[Where do you work]],tblCountries[[Actual]:[Mapping]],2,FALSE)</f>
        <v>USA</v>
      </c>
      <c r="L1451" t="s">
        <v>13</v>
      </c>
      <c r="M1451">
        <v>2</v>
      </c>
    </row>
    <row r="1452" spans="2:13" ht="15" customHeight="1">
      <c r="B1452" t="s">
        <v>3455</v>
      </c>
      <c r="C1452" s="1">
        <v>41059.782835648148</v>
      </c>
      <c r="D1452" s="4" t="s">
        <v>1635</v>
      </c>
      <c r="E1452">
        <v>3200</v>
      </c>
      <c r="F1452" t="s">
        <v>6</v>
      </c>
      <c r="G1452">
        <f>tblSalaries[[#This Row],[clean Salary (in local currency)]]*VLOOKUP(tblSalaries[[#This Row],[Currency]],tblXrate[],2,FALSE)</f>
        <v>3200</v>
      </c>
      <c r="H1452" t="s">
        <v>1636</v>
      </c>
      <c r="I1452" t="s">
        <v>52</v>
      </c>
      <c r="J1452" t="s">
        <v>8</v>
      </c>
      <c r="K1452" t="str">
        <f>VLOOKUP(tblSalaries[[#This Row],[Where do you work]],tblCountries[[Actual]:[Mapping]],2,FALSE)</f>
        <v>India</v>
      </c>
      <c r="L1452" t="s">
        <v>13</v>
      </c>
      <c r="M1452">
        <v>19</v>
      </c>
    </row>
    <row r="1453" spans="2:13" ht="15" customHeight="1">
      <c r="B1453" t="s">
        <v>3456</v>
      </c>
      <c r="C1453" s="1">
        <v>41059.786076388889</v>
      </c>
      <c r="D1453" s="4">
        <v>60000</v>
      </c>
      <c r="E1453">
        <v>60000</v>
      </c>
      <c r="F1453" t="s">
        <v>6</v>
      </c>
      <c r="G1453">
        <f>tblSalaries[[#This Row],[clean Salary (in local currency)]]*VLOOKUP(tblSalaries[[#This Row],[Currency]],tblXrate[],2,FALSE)</f>
        <v>60000</v>
      </c>
      <c r="H1453" t="s">
        <v>1637</v>
      </c>
      <c r="I1453" t="s">
        <v>20</v>
      </c>
      <c r="J1453" t="s">
        <v>1638</v>
      </c>
      <c r="K1453" t="str">
        <f>VLOOKUP(tblSalaries[[#This Row],[Where do you work]],tblCountries[[Actual]:[Mapping]],2,FALSE)</f>
        <v>Turkey</v>
      </c>
      <c r="L1453" t="s">
        <v>18</v>
      </c>
      <c r="M1453">
        <v>10</v>
      </c>
    </row>
    <row r="1454" spans="2:13" ht="15" customHeight="1">
      <c r="B1454" t="s">
        <v>3457</v>
      </c>
      <c r="C1454" s="1">
        <v>41059.792592592596</v>
      </c>
      <c r="D1454" s="4">
        <v>85000</v>
      </c>
      <c r="E1454">
        <v>85000</v>
      </c>
      <c r="F1454" t="s">
        <v>6</v>
      </c>
      <c r="G1454">
        <f>tblSalaries[[#This Row],[clean Salary (in local currency)]]*VLOOKUP(tblSalaries[[#This Row],[Currency]],tblXrate[],2,FALSE)</f>
        <v>85000</v>
      </c>
      <c r="H1454" t="s">
        <v>1639</v>
      </c>
      <c r="I1454" t="s">
        <v>20</v>
      </c>
      <c r="J1454" t="s">
        <v>15</v>
      </c>
      <c r="K1454" t="str">
        <f>VLOOKUP(tblSalaries[[#This Row],[Where do you work]],tblCountries[[Actual]:[Mapping]],2,FALSE)</f>
        <v>USA</v>
      </c>
      <c r="L1454" t="s">
        <v>9</v>
      </c>
      <c r="M1454">
        <v>9</v>
      </c>
    </row>
    <row r="1455" spans="2:13" ht="15" customHeight="1">
      <c r="B1455" t="s">
        <v>3458</v>
      </c>
      <c r="C1455" s="1">
        <v>41059.794953703706</v>
      </c>
      <c r="D1455" s="4">
        <v>109000</v>
      </c>
      <c r="E1455">
        <v>109000</v>
      </c>
      <c r="F1455" t="s">
        <v>6</v>
      </c>
      <c r="G1455">
        <f>tblSalaries[[#This Row],[clean Salary (in local currency)]]*VLOOKUP(tblSalaries[[#This Row],[Currency]],tblXrate[],2,FALSE)</f>
        <v>109000</v>
      </c>
      <c r="H1455" t="s">
        <v>1640</v>
      </c>
      <c r="I1455" t="s">
        <v>52</v>
      </c>
      <c r="J1455" t="s">
        <v>15</v>
      </c>
      <c r="K1455" t="str">
        <f>VLOOKUP(tblSalaries[[#This Row],[Where do you work]],tblCountries[[Actual]:[Mapping]],2,FALSE)</f>
        <v>USA</v>
      </c>
      <c r="L1455" t="s">
        <v>9</v>
      </c>
      <c r="M1455">
        <v>15</v>
      </c>
    </row>
    <row r="1456" spans="2:13" ht="15" customHeight="1">
      <c r="B1456" t="s">
        <v>3459</v>
      </c>
      <c r="C1456" s="1">
        <v>41059.81082175926</v>
      </c>
      <c r="D1456" s="4" t="s">
        <v>1641</v>
      </c>
      <c r="E1456">
        <v>60000</v>
      </c>
      <c r="F1456" t="s">
        <v>22</v>
      </c>
      <c r="G1456">
        <f>tblSalaries[[#This Row],[clean Salary (in local currency)]]*VLOOKUP(tblSalaries[[#This Row],[Currency]],tblXrate[],2,FALSE)</f>
        <v>76223.966339496474</v>
      </c>
      <c r="H1456" t="s">
        <v>108</v>
      </c>
      <c r="I1456" t="s">
        <v>20</v>
      </c>
      <c r="J1456" t="s">
        <v>1351</v>
      </c>
      <c r="K1456" t="str">
        <f>VLOOKUP(tblSalaries[[#This Row],[Where do you work]],tblCountries[[Actual]:[Mapping]],2,FALSE)</f>
        <v>Italy</v>
      </c>
      <c r="L1456" t="s">
        <v>13</v>
      </c>
      <c r="M1456">
        <v>14</v>
      </c>
    </row>
    <row r="1457" spans="2:13" ht="15" customHeight="1">
      <c r="B1457" t="s">
        <v>3460</v>
      </c>
      <c r="C1457" s="1">
        <v>41059.821412037039</v>
      </c>
      <c r="D1457" s="4">
        <v>77000</v>
      </c>
      <c r="E1457">
        <v>77000</v>
      </c>
      <c r="F1457" t="s">
        <v>6</v>
      </c>
      <c r="G1457">
        <f>tblSalaries[[#This Row],[clean Salary (in local currency)]]*VLOOKUP(tblSalaries[[#This Row],[Currency]],tblXrate[],2,FALSE)</f>
        <v>77000</v>
      </c>
      <c r="H1457" t="s">
        <v>1642</v>
      </c>
      <c r="I1457" t="s">
        <v>279</v>
      </c>
      <c r="J1457" t="s">
        <v>15</v>
      </c>
      <c r="K1457" t="str">
        <f>VLOOKUP(tblSalaries[[#This Row],[Where do you work]],tblCountries[[Actual]:[Mapping]],2,FALSE)</f>
        <v>USA</v>
      </c>
      <c r="L1457" t="s">
        <v>18</v>
      </c>
      <c r="M1457">
        <v>13</v>
      </c>
    </row>
    <row r="1458" spans="2:13" ht="15" customHeight="1">
      <c r="B1458" t="s">
        <v>3461</v>
      </c>
      <c r="C1458" s="1">
        <v>41059.822025462963</v>
      </c>
      <c r="D1458" s="4">
        <v>25000</v>
      </c>
      <c r="E1458">
        <v>25000</v>
      </c>
      <c r="F1458" t="s">
        <v>6</v>
      </c>
      <c r="G1458">
        <f>tblSalaries[[#This Row],[clean Salary (in local currency)]]*VLOOKUP(tblSalaries[[#This Row],[Currency]],tblXrate[],2,FALSE)</f>
        <v>25000</v>
      </c>
      <c r="H1458" t="s">
        <v>214</v>
      </c>
      <c r="I1458" t="s">
        <v>20</v>
      </c>
      <c r="J1458" t="s">
        <v>8</v>
      </c>
      <c r="K1458" t="str">
        <f>VLOOKUP(tblSalaries[[#This Row],[Where do you work]],tblCountries[[Actual]:[Mapping]],2,FALSE)</f>
        <v>India</v>
      </c>
      <c r="L1458" t="s">
        <v>13</v>
      </c>
      <c r="M1458">
        <v>4</v>
      </c>
    </row>
    <row r="1459" spans="2:13" ht="15" customHeight="1">
      <c r="B1459" t="s">
        <v>3462</v>
      </c>
      <c r="C1459" s="1">
        <v>41059.847118055557</v>
      </c>
      <c r="D1459" s="4">
        <v>64000</v>
      </c>
      <c r="E1459">
        <v>64000</v>
      </c>
      <c r="F1459" t="s">
        <v>6</v>
      </c>
      <c r="G1459">
        <f>tblSalaries[[#This Row],[clean Salary (in local currency)]]*VLOOKUP(tblSalaries[[#This Row],[Currency]],tblXrate[],2,FALSE)</f>
        <v>64000</v>
      </c>
      <c r="H1459" t="s">
        <v>564</v>
      </c>
      <c r="I1459" t="s">
        <v>52</v>
      </c>
      <c r="J1459" t="s">
        <v>15</v>
      </c>
      <c r="K1459" t="str">
        <f>VLOOKUP(tblSalaries[[#This Row],[Where do you work]],tblCountries[[Actual]:[Mapping]],2,FALSE)</f>
        <v>USA</v>
      </c>
      <c r="L1459" t="s">
        <v>18</v>
      </c>
      <c r="M1459">
        <v>12</v>
      </c>
    </row>
    <row r="1460" spans="2:13" ht="15" customHeight="1">
      <c r="B1460" t="s">
        <v>3463</v>
      </c>
      <c r="C1460" s="1">
        <v>41059.851504629631</v>
      </c>
      <c r="D1460" s="4">
        <v>146633</v>
      </c>
      <c r="E1460">
        <v>146633</v>
      </c>
      <c r="F1460" t="s">
        <v>69</v>
      </c>
      <c r="G1460">
        <f>tblSalaries[[#This Row],[clean Salary (in local currency)]]*VLOOKUP(tblSalaries[[#This Row],[Currency]],tblXrate[],2,FALSE)</f>
        <v>231119.74856804207</v>
      </c>
      <c r="H1460" t="s">
        <v>1643</v>
      </c>
      <c r="I1460" t="s">
        <v>279</v>
      </c>
      <c r="J1460" t="s">
        <v>71</v>
      </c>
      <c r="K1460" t="str">
        <f>VLOOKUP(tblSalaries[[#This Row],[Where do you work]],tblCountries[[Actual]:[Mapping]],2,FALSE)</f>
        <v>UK</v>
      </c>
      <c r="L1460" t="s">
        <v>18</v>
      </c>
      <c r="M1460">
        <v>10</v>
      </c>
    </row>
    <row r="1461" spans="2:13" ht="15" customHeight="1">
      <c r="B1461" t="s">
        <v>3464</v>
      </c>
      <c r="C1461" s="1">
        <v>41059.861631944441</v>
      </c>
      <c r="D1461" s="4">
        <v>76000</v>
      </c>
      <c r="E1461">
        <v>76000</v>
      </c>
      <c r="F1461" t="s">
        <v>6</v>
      </c>
      <c r="G1461">
        <f>tblSalaries[[#This Row],[clean Salary (in local currency)]]*VLOOKUP(tblSalaries[[#This Row],[Currency]],tblXrate[],2,FALSE)</f>
        <v>76000</v>
      </c>
      <c r="H1461" t="s">
        <v>688</v>
      </c>
      <c r="I1461" t="s">
        <v>20</v>
      </c>
      <c r="J1461" t="s">
        <v>15</v>
      </c>
      <c r="K1461" t="str">
        <f>VLOOKUP(tblSalaries[[#This Row],[Where do you work]],tblCountries[[Actual]:[Mapping]],2,FALSE)</f>
        <v>USA</v>
      </c>
      <c r="L1461" t="s">
        <v>13</v>
      </c>
      <c r="M1461">
        <v>10</v>
      </c>
    </row>
    <row r="1462" spans="2:13" ht="15" customHeight="1">
      <c r="B1462" t="s">
        <v>3465</v>
      </c>
      <c r="C1462" s="1">
        <v>41059.862812500003</v>
      </c>
      <c r="D1462" s="4">
        <v>10000</v>
      </c>
      <c r="E1462">
        <v>10000</v>
      </c>
      <c r="F1462" t="s">
        <v>69</v>
      </c>
      <c r="G1462">
        <f>tblSalaries[[#This Row],[clean Salary (in local currency)]]*VLOOKUP(tblSalaries[[#This Row],[Currency]],tblXrate[],2,FALSE)</f>
        <v>15761.782720672842</v>
      </c>
      <c r="H1462" t="s">
        <v>20</v>
      </c>
      <c r="I1462" t="s">
        <v>20</v>
      </c>
      <c r="J1462" t="s">
        <v>71</v>
      </c>
      <c r="K1462" t="str">
        <f>VLOOKUP(tblSalaries[[#This Row],[Where do you work]],tblCountries[[Actual]:[Mapping]],2,FALSE)</f>
        <v>UK</v>
      </c>
      <c r="L1462" t="s">
        <v>18</v>
      </c>
      <c r="M1462">
        <v>8</v>
      </c>
    </row>
    <row r="1463" spans="2:13" ht="15" customHeight="1">
      <c r="B1463" t="s">
        <v>3466</v>
      </c>
      <c r="C1463" s="1">
        <v>41059.863043981481</v>
      </c>
      <c r="D1463" s="4" t="s">
        <v>1644</v>
      </c>
      <c r="E1463">
        <v>165000</v>
      </c>
      <c r="F1463" t="s">
        <v>82</v>
      </c>
      <c r="G1463">
        <f>tblSalaries[[#This Row],[clean Salary (in local currency)]]*VLOOKUP(tblSalaries[[#This Row],[Currency]],tblXrate[],2,FALSE)</f>
        <v>168285.09330643489</v>
      </c>
      <c r="H1463" t="s">
        <v>279</v>
      </c>
      <c r="I1463" t="s">
        <v>279</v>
      </c>
      <c r="J1463" t="s">
        <v>84</v>
      </c>
      <c r="K1463" t="str">
        <f>VLOOKUP(tblSalaries[[#This Row],[Where do you work]],tblCountries[[Actual]:[Mapping]],2,FALSE)</f>
        <v>Australia</v>
      </c>
      <c r="L1463" t="s">
        <v>18</v>
      </c>
      <c r="M1463">
        <v>17</v>
      </c>
    </row>
    <row r="1464" spans="2:13" ht="15" customHeight="1">
      <c r="B1464" t="s">
        <v>3467</v>
      </c>
      <c r="C1464" s="1">
        <v>41059.866608796299</v>
      </c>
      <c r="D1464" s="4" t="s">
        <v>1645</v>
      </c>
      <c r="E1464">
        <v>50000</v>
      </c>
      <c r="F1464" t="s">
        <v>6</v>
      </c>
      <c r="G1464">
        <f>tblSalaries[[#This Row],[clean Salary (in local currency)]]*VLOOKUP(tblSalaries[[#This Row],[Currency]],tblXrate[],2,FALSE)</f>
        <v>50000</v>
      </c>
      <c r="H1464" t="s">
        <v>282</v>
      </c>
      <c r="I1464" t="s">
        <v>20</v>
      </c>
      <c r="J1464" t="s">
        <v>1176</v>
      </c>
      <c r="K1464" t="str">
        <f>VLOOKUP(tblSalaries[[#This Row],[Where do you work]],tblCountries[[Actual]:[Mapping]],2,FALSE)</f>
        <v>Kuwait</v>
      </c>
      <c r="L1464" t="s">
        <v>9</v>
      </c>
      <c r="M1464">
        <v>13</v>
      </c>
    </row>
    <row r="1465" spans="2:13" ht="15" customHeight="1">
      <c r="B1465" t="s">
        <v>3468</v>
      </c>
      <c r="C1465" s="1">
        <v>41059.87027777778</v>
      </c>
      <c r="D1465" s="4" t="s">
        <v>1646</v>
      </c>
      <c r="E1465">
        <v>7200</v>
      </c>
      <c r="F1465" t="s">
        <v>6</v>
      </c>
      <c r="G1465">
        <f>tblSalaries[[#This Row],[clean Salary (in local currency)]]*VLOOKUP(tblSalaries[[#This Row],[Currency]],tblXrate[],2,FALSE)</f>
        <v>7200</v>
      </c>
      <c r="H1465" t="s">
        <v>1647</v>
      </c>
      <c r="I1465" t="s">
        <v>488</v>
      </c>
      <c r="J1465" t="s">
        <v>184</v>
      </c>
      <c r="K1465" t="str">
        <f>VLOOKUP(tblSalaries[[#This Row],[Where do you work]],tblCountries[[Actual]:[Mapping]],2,FALSE)</f>
        <v>Colombia</v>
      </c>
      <c r="L1465" t="s">
        <v>9</v>
      </c>
      <c r="M1465">
        <v>8</v>
      </c>
    </row>
    <row r="1466" spans="2:13" ht="15" customHeight="1">
      <c r="B1466" t="s">
        <v>3469</v>
      </c>
      <c r="C1466" s="1">
        <v>41059.880486111113</v>
      </c>
      <c r="D1466" s="4">
        <v>42000</v>
      </c>
      <c r="E1466">
        <v>42000</v>
      </c>
      <c r="F1466" t="s">
        <v>22</v>
      </c>
      <c r="G1466">
        <f>tblSalaries[[#This Row],[clean Salary (in local currency)]]*VLOOKUP(tblSalaries[[#This Row],[Currency]],tblXrate[],2,FALSE)</f>
        <v>53356.776437647524</v>
      </c>
      <c r="H1466" t="s">
        <v>1648</v>
      </c>
      <c r="I1466" t="s">
        <v>356</v>
      </c>
      <c r="J1466" t="s">
        <v>24</v>
      </c>
      <c r="K1466" t="str">
        <f>VLOOKUP(tblSalaries[[#This Row],[Where do you work]],tblCountries[[Actual]:[Mapping]],2,FALSE)</f>
        <v>Germany</v>
      </c>
      <c r="L1466" t="s">
        <v>13</v>
      </c>
      <c r="M1466">
        <v>7</v>
      </c>
    </row>
    <row r="1467" spans="2:13" ht="15" customHeight="1">
      <c r="B1467" t="s">
        <v>3470</v>
      </c>
      <c r="C1467" s="1">
        <v>41059.888553240744</v>
      </c>
      <c r="D1467" s="4">
        <v>45000</v>
      </c>
      <c r="E1467">
        <v>45000</v>
      </c>
      <c r="F1467" t="s">
        <v>6</v>
      </c>
      <c r="G1467">
        <f>tblSalaries[[#This Row],[clean Salary (in local currency)]]*VLOOKUP(tblSalaries[[#This Row],[Currency]],tblXrate[],2,FALSE)</f>
        <v>45000</v>
      </c>
      <c r="H1467" t="s">
        <v>1144</v>
      </c>
      <c r="I1467" t="s">
        <v>67</v>
      </c>
      <c r="J1467" t="s">
        <v>15</v>
      </c>
      <c r="K1467" t="str">
        <f>VLOOKUP(tblSalaries[[#This Row],[Where do you work]],tblCountries[[Actual]:[Mapping]],2,FALSE)</f>
        <v>USA</v>
      </c>
      <c r="L1467" t="s">
        <v>18</v>
      </c>
      <c r="M1467">
        <v>10</v>
      </c>
    </row>
    <row r="1468" spans="2:13" ht="15" customHeight="1">
      <c r="B1468" t="s">
        <v>3471</v>
      </c>
      <c r="C1468" s="1">
        <v>41059.893101851849</v>
      </c>
      <c r="D1468" s="4">
        <v>5000</v>
      </c>
      <c r="E1468">
        <v>5000</v>
      </c>
      <c r="F1468" t="s">
        <v>6</v>
      </c>
      <c r="G1468">
        <f>tblSalaries[[#This Row],[clean Salary (in local currency)]]*VLOOKUP(tblSalaries[[#This Row],[Currency]],tblXrate[],2,FALSE)</f>
        <v>5000</v>
      </c>
      <c r="H1468" t="s">
        <v>1649</v>
      </c>
      <c r="I1468" t="s">
        <v>52</v>
      </c>
      <c r="J1468" t="s">
        <v>8</v>
      </c>
      <c r="K1468" t="str">
        <f>VLOOKUP(tblSalaries[[#This Row],[Where do you work]],tblCountries[[Actual]:[Mapping]],2,FALSE)</f>
        <v>India</v>
      </c>
      <c r="L1468" t="s">
        <v>13</v>
      </c>
      <c r="M1468">
        <v>4</v>
      </c>
    </row>
    <row r="1469" spans="2:13" ht="15" customHeight="1">
      <c r="B1469" t="s">
        <v>3472</v>
      </c>
      <c r="C1469" s="1">
        <v>41059.906319444446</v>
      </c>
      <c r="D1469" s="4">
        <v>74000</v>
      </c>
      <c r="E1469">
        <v>74000</v>
      </c>
      <c r="F1469" t="s">
        <v>82</v>
      </c>
      <c r="G1469">
        <f>tblSalaries[[#This Row],[clean Salary (in local currency)]]*VLOOKUP(tblSalaries[[#This Row],[Currency]],tblXrate[],2,FALSE)</f>
        <v>75473.31457379504</v>
      </c>
      <c r="H1469" t="s">
        <v>1650</v>
      </c>
      <c r="I1469" t="s">
        <v>20</v>
      </c>
      <c r="J1469" t="s">
        <v>84</v>
      </c>
      <c r="K1469" t="str">
        <f>VLOOKUP(tblSalaries[[#This Row],[Where do you work]],tblCountries[[Actual]:[Mapping]],2,FALSE)</f>
        <v>Australia</v>
      </c>
      <c r="L1469" t="s">
        <v>13</v>
      </c>
      <c r="M1469">
        <v>20</v>
      </c>
    </row>
    <row r="1470" spans="2:13" ht="15" customHeight="1">
      <c r="B1470" t="s">
        <v>3473</v>
      </c>
      <c r="C1470" s="1">
        <v>41059.92454861111</v>
      </c>
      <c r="D1470" s="4" t="s">
        <v>816</v>
      </c>
      <c r="E1470">
        <v>15000</v>
      </c>
      <c r="F1470" t="s">
        <v>6</v>
      </c>
      <c r="G1470">
        <f>tblSalaries[[#This Row],[clean Salary (in local currency)]]*VLOOKUP(tblSalaries[[#This Row],[Currency]],tblXrate[],2,FALSE)</f>
        <v>15000</v>
      </c>
      <c r="H1470" t="s">
        <v>52</v>
      </c>
      <c r="I1470" t="s">
        <v>52</v>
      </c>
      <c r="J1470" t="s">
        <v>73</v>
      </c>
      <c r="K1470" t="str">
        <f>VLOOKUP(tblSalaries[[#This Row],[Where do you work]],tblCountries[[Actual]:[Mapping]],2,FALSE)</f>
        <v>Romania</v>
      </c>
      <c r="L1470" t="s">
        <v>18</v>
      </c>
      <c r="M1470">
        <v>5</v>
      </c>
    </row>
    <row r="1471" spans="2:13" ht="15" customHeight="1">
      <c r="B1471" t="s">
        <v>3474</v>
      </c>
      <c r="C1471" s="1">
        <v>41059.938576388886</v>
      </c>
      <c r="D1471" s="4" t="s">
        <v>1651</v>
      </c>
      <c r="E1471">
        <v>33500</v>
      </c>
      <c r="F1471" t="s">
        <v>22</v>
      </c>
      <c r="G1471">
        <f>tblSalaries[[#This Row],[clean Salary (in local currency)]]*VLOOKUP(tblSalaries[[#This Row],[Currency]],tblXrate[],2,FALSE)</f>
        <v>42558.381206218859</v>
      </c>
      <c r="H1471" t="s">
        <v>1652</v>
      </c>
      <c r="I1471" t="s">
        <v>488</v>
      </c>
      <c r="J1471" t="s">
        <v>24</v>
      </c>
      <c r="K1471" t="str">
        <f>VLOOKUP(tblSalaries[[#This Row],[Where do you work]],tblCountries[[Actual]:[Mapping]],2,FALSE)</f>
        <v>Germany</v>
      </c>
      <c r="L1471" t="s">
        <v>13</v>
      </c>
      <c r="M1471">
        <v>8</v>
      </c>
    </row>
    <row r="1472" spans="2:13" ht="15" customHeight="1">
      <c r="B1472" t="s">
        <v>3475</v>
      </c>
      <c r="C1472" s="1">
        <v>41059.938599537039</v>
      </c>
      <c r="D1472" s="4" t="s">
        <v>1653</v>
      </c>
      <c r="E1472">
        <v>61000</v>
      </c>
      <c r="F1472" t="s">
        <v>6</v>
      </c>
      <c r="G1472">
        <f>tblSalaries[[#This Row],[clean Salary (in local currency)]]*VLOOKUP(tblSalaries[[#This Row],[Currency]],tblXrate[],2,FALSE)</f>
        <v>61000</v>
      </c>
      <c r="H1472" t="s">
        <v>14</v>
      </c>
      <c r="I1472" t="s">
        <v>20</v>
      </c>
      <c r="J1472" t="s">
        <v>15</v>
      </c>
      <c r="K1472" t="str">
        <f>VLOOKUP(tblSalaries[[#This Row],[Where do you work]],tblCountries[[Actual]:[Mapping]],2,FALSE)</f>
        <v>USA</v>
      </c>
      <c r="L1472" t="s">
        <v>9</v>
      </c>
      <c r="M1472">
        <v>5</v>
      </c>
    </row>
    <row r="1473" spans="2:13" ht="15" customHeight="1">
      <c r="B1473" t="s">
        <v>3476</v>
      </c>
      <c r="C1473" s="1">
        <v>41059.939131944448</v>
      </c>
      <c r="D1473" s="4">
        <v>66000</v>
      </c>
      <c r="E1473">
        <v>66000</v>
      </c>
      <c r="F1473" t="s">
        <v>6</v>
      </c>
      <c r="G1473">
        <f>tblSalaries[[#This Row],[clean Salary (in local currency)]]*VLOOKUP(tblSalaries[[#This Row],[Currency]],tblXrate[],2,FALSE)</f>
        <v>66000</v>
      </c>
      <c r="H1473" t="s">
        <v>1654</v>
      </c>
      <c r="I1473" t="s">
        <v>20</v>
      </c>
      <c r="J1473" t="s">
        <v>15</v>
      </c>
      <c r="K1473" t="str">
        <f>VLOOKUP(tblSalaries[[#This Row],[Where do you work]],tblCountries[[Actual]:[Mapping]],2,FALSE)</f>
        <v>USA</v>
      </c>
      <c r="L1473" t="s">
        <v>9</v>
      </c>
      <c r="M1473">
        <v>2</v>
      </c>
    </row>
    <row r="1474" spans="2:13" ht="15" customHeight="1">
      <c r="B1474" t="s">
        <v>3477</v>
      </c>
      <c r="C1474" s="1">
        <v>41059.958148148151</v>
      </c>
      <c r="D1474" s="4" t="s">
        <v>1655</v>
      </c>
      <c r="E1474">
        <v>278000</v>
      </c>
      <c r="F1474" t="s">
        <v>40</v>
      </c>
      <c r="G1474">
        <f>tblSalaries[[#This Row],[clean Salary (in local currency)]]*VLOOKUP(tblSalaries[[#This Row],[Currency]],tblXrate[],2,FALSE)</f>
        <v>4950.6008391090336</v>
      </c>
      <c r="H1474" t="s">
        <v>721</v>
      </c>
      <c r="I1474" t="s">
        <v>3999</v>
      </c>
      <c r="J1474" t="s">
        <v>8</v>
      </c>
      <c r="K1474" t="str">
        <f>VLOOKUP(tblSalaries[[#This Row],[Where do you work]],tblCountries[[Actual]:[Mapping]],2,FALSE)</f>
        <v>India</v>
      </c>
      <c r="L1474" t="s">
        <v>13</v>
      </c>
      <c r="M1474">
        <v>8</v>
      </c>
    </row>
    <row r="1475" spans="2:13" ht="15" customHeight="1">
      <c r="B1475" t="s">
        <v>3478</v>
      </c>
      <c r="C1475" s="1">
        <v>41059.959583333337</v>
      </c>
      <c r="D1475" s="4">
        <v>55000</v>
      </c>
      <c r="E1475">
        <v>55000</v>
      </c>
      <c r="F1475" t="s">
        <v>6</v>
      </c>
      <c r="G1475">
        <f>tblSalaries[[#This Row],[clean Salary (in local currency)]]*VLOOKUP(tblSalaries[[#This Row],[Currency]],tblXrate[],2,FALSE)</f>
        <v>55000</v>
      </c>
      <c r="H1475" t="s">
        <v>1656</v>
      </c>
      <c r="I1475" t="s">
        <v>52</v>
      </c>
      <c r="J1475" t="s">
        <v>15</v>
      </c>
      <c r="K1475" t="str">
        <f>VLOOKUP(tblSalaries[[#This Row],[Where do you work]],tblCountries[[Actual]:[Mapping]],2,FALSE)</f>
        <v>USA</v>
      </c>
      <c r="L1475" t="s">
        <v>18</v>
      </c>
      <c r="M1475">
        <v>14</v>
      </c>
    </row>
    <row r="1476" spans="2:13" ht="15" customHeight="1">
      <c r="B1476" t="s">
        <v>3479</v>
      </c>
      <c r="C1476" s="1">
        <v>41059.976388888892</v>
      </c>
      <c r="D1476" s="4">
        <v>32000</v>
      </c>
      <c r="E1476">
        <v>32000</v>
      </c>
      <c r="F1476" t="s">
        <v>6</v>
      </c>
      <c r="G1476">
        <f>tblSalaries[[#This Row],[clean Salary (in local currency)]]*VLOOKUP(tblSalaries[[#This Row],[Currency]],tblXrate[],2,FALSE)</f>
        <v>32000</v>
      </c>
      <c r="H1476" t="s">
        <v>1657</v>
      </c>
      <c r="I1476" t="s">
        <v>3999</v>
      </c>
      <c r="J1476" t="s">
        <v>15</v>
      </c>
      <c r="K1476" t="str">
        <f>VLOOKUP(tblSalaries[[#This Row],[Where do you work]],tblCountries[[Actual]:[Mapping]],2,FALSE)</f>
        <v>USA</v>
      </c>
      <c r="L1476" t="s">
        <v>9</v>
      </c>
      <c r="M1476">
        <v>10</v>
      </c>
    </row>
    <row r="1477" spans="2:13" ht="15" customHeight="1">
      <c r="B1477" t="s">
        <v>3480</v>
      </c>
      <c r="C1477" s="1">
        <v>41059.979143518518</v>
      </c>
      <c r="D1477" s="4">
        <v>18000</v>
      </c>
      <c r="E1477">
        <v>18000</v>
      </c>
      <c r="F1477" t="s">
        <v>6</v>
      </c>
      <c r="G1477">
        <f>tblSalaries[[#This Row],[clean Salary (in local currency)]]*VLOOKUP(tblSalaries[[#This Row],[Currency]],tblXrate[],2,FALSE)</f>
        <v>18000</v>
      </c>
      <c r="H1477" t="s">
        <v>1658</v>
      </c>
      <c r="I1477" t="s">
        <v>20</v>
      </c>
      <c r="J1477" t="s">
        <v>8</v>
      </c>
      <c r="K1477" t="str">
        <f>VLOOKUP(tblSalaries[[#This Row],[Where do you work]],tblCountries[[Actual]:[Mapping]],2,FALSE)</f>
        <v>India</v>
      </c>
      <c r="L1477" t="s">
        <v>13</v>
      </c>
      <c r="M1477">
        <v>6</v>
      </c>
    </row>
    <row r="1478" spans="2:13" ht="15" customHeight="1">
      <c r="B1478" t="s">
        <v>3481</v>
      </c>
      <c r="C1478" s="1">
        <v>41059.999560185184</v>
      </c>
      <c r="D1478" s="4" t="s">
        <v>1659</v>
      </c>
      <c r="E1478">
        <v>650000</v>
      </c>
      <c r="F1478" t="s">
        <v>40</v>
      </c>
      <c r="G1478">
        <f>tblSalaries[[#This Row],[clean Salary (in local currency)]]*VLOOKUP(tblSalaries[[#This Row],[Currency]],tblXrate[],2,FALSE)</f>
        <v>11575.14584683767</v>
      </c>
      <c r="H1478" t="s">
        <v>1660</v>
      </c>
      <c r="I1478" t="s">
        <v>20</v>
      </c>
      <c r="J1478" t="s">
        <v>8</v>
      </c>
      <c r="K1478" t="str">
        <f>VLOOKUP(tblSalaries[[#This Row],[Where do you work]],tblCountries[[Actual]:[Mapping]],2,FALSE)</f>
        <v>India</v>
      </c>
      <c r="L1478" t="s">
        <v>9</v>
      </c>
      <c r="M1478">
        <v>21</v>
      </c>
    </row>
    <row r="1479" spans="2:13" ht="15" customHeight="1">
      <c r="B1479" t="s">
        <v>3482</v>
      </c>
      <c r="C1479" s="1">
        <v>41060.025347222225</v>
      </c>
      <c r="D1479" s="4">
        <v>50000</v>
      </c>
      <c r="E1479">
        <v>50000</v>
      </c>
      <c r="F1479" t="s">
        <v>22</v>
      </c>
      <c r="G1479">
        <f>tblSalaries[[#This Row],[clean Salary (in local currency)]]*VLOOKUP(tblSalaries[[#This Row],[Currency]],tblXrate[],2,FALSE)</f>
        <v>63519.971949580387</v>
      </c>
      <c r="H1479" t="s">
        <v>932</v>
      </c>
      <c r="I1479" t="s">
        <v>310</v>
      </c>
      <c r="J1479" t="s">
        <v>895</v>
      </c>
      <c r="K1479" t="str">
        <f>VLOOKUP(tblSalaries[[#This Row],[Where do you work]],tblCountries[[Actual]:[Mapping]],2,FALSE)</f>
        <v>Italy</v>
      </c>
      <c r="L1479" t="s">
        <v>13</v>
      </c>
      <c r="M1479">
        <v>15</v>
      </c>
    </row>
    <row r="1480" spans="2:13" ht="15" customHeight="1">
      <c r="B1480" t="s">
        <v>3483</v>
      </c>
      <c r="C1480" s="1">
        <v>41060.032581018517</v>
      </c>
      <c r="D1480" s="4" t="s">
        <v>1661</v>
      </c>
      <c r="E1480">
        <v>4000000</v>
      </c>
      <c r="F1480" t="s">
        <v>40</v>
      </c>
      <c r="G1480">
        <f>tblSalaries[[#This Row],[clean Salary (in local currency)]]*VLOOKUP(tblSalaries[[#This Row],[Currency]],tblXrate[],2,FALSE)</f>
        <v>71231.666749770273</v>
      </c>
      <c r="H1480" t="s">
        <v>1662</v>
      </c>
      <c r="I1480" t="s">
        <v>67</v>
      </c>
      <c r="J1480" t="s">
        <v>8</v>
      </c>
      <c r="K1480" t="str">
        <f>VLOOKUP(tblSalaries[[#This Row],[Where do you work]],tblCountries[[Actual]:[Mapping]],2,FALSE)</f>
        <v>India</v>
      </c>
      <c r="L1480" t="s">
        <v>13</v>
      </c>
      <c r="M1480">
        <v>5</v>
      </c>
    </row>
    <row r="1481" spans="2:13" ht="15" customHeight="1">
      <c r="B1481" t="s">
        <v>3484</v>
      </c>
      <c r="C1481" s="1">
        <v>41060.047986111109</v>
      </c>
      <c r="D1481" s="4" t="s">
        <v>1663</v>
      </c>
      <c r="E1481">
        <v>10000</v>
      </c>
      <c r="F1481" t="s">
        <v>6</v>
      </c>
      <c r="G1481">
        <f>tblSalaries[[#This Row],[clean Salary (in local currency)]]*VLOOKUP(tblSalaries[[#This Row],[Currency]],tblXrate[],2,FALSE)</f>
        <v>10000</v>
      </c>
      <c r="H1481" t="s">
        <v>1664</v>
      </c>
      <c r="I1481" t="s">
        <v>20</v>
      </c>
      <c r="J1481" t="s">
        <v>143</v>
      </c>
      <c r="K1481" t="str">
        <f>VLOOKUP(tblSalaries[[#This Row],[Where do you work]],tblCountries[[Actual]:[Mapping]],2,FALSE)</f>
        <v>Brazil</v>
      </c>
      <c r="L1481" t="s">
        <v>9</v>
      </c>
      <c r="M1481">
        <v>1</v>
      </c>
    </row>
    <row r="1482" spans="2:13" ht="15" customHeight="1">
      <c r="B1482" t="s">
        <v>3485</v>
      </c>
      <c r="C1482" s="1">
        <v>41060.053657407407</v>
      </c>
      <c r="D1482" s="4">
        <v>74300</v>
      </c>
      <c r="E1482">
        <v>74300</v>
      </c>
      <c r="F1482" t="s">
        <v>6</v>
      </c>
      <c r="G1482">
        <f>tblSalaries[[#This Row],[clean Salary (in local currency)]]*VLOOKUP(tblSalaries[[#This Row],[Currency]],tblXrate[],2,FALSE)</f>
        <v>74300</v>
      </c>
      <c r="H1482" t="s">
        <v>1665</v>
      </c>
      <c r="I1482" t="s">
        <v>20</v>
      </c>
      <c r="J1482" t="s">
        <v>15</v>
      </c>
      <c r="K1482" t="str">
        <f>VLOOKUP(tblSalaries[[#This Row],[Where do you work]],tblCountries[[Actual]:[Mapping]],2,FALSE)</f>
        <v>USA</v>
      </c>
      <c r="L1482" t="s">
        <v>9</v>
      </c>
      <c r="M1482">
        <v>3</v>
      </c>
    </row>
    <row r="1483" spans="2:13" ht="15" customHeight="1">
      <c r="B1483" t="s">
        <v>3486</v>
      </c>
      <c r="C1483" s="1">
        <v>41060.054027777776</v>
      </c>
      <c r="D1483" s="4">
        <v>1500000</v>
      </c>
      <c r="E1483">
        <v>1500000</v>
      </c>
      <c r="F1483" t="s">
        <v>40</v>
      </c>
      <c r="G1483">
        <f>tblSalaries[[#This Row],[clean Salary (in local currency)]]*VLOOKUP(tblSalaries[[#This Row],[Currency]],tblXrate[],2,FALSE)</f>
        <v>26711.875031163851</v>
      </c>
      <c r="H1483" t="s">
        <v>1666</v>
      </c>
      <c r="I1483" t="s">
        <v>356</v>
      </c>
      <c r="J1483" t="s">
        <v>8</v>
      </c>
      <c r="K1483" t="str">
        <f>VLOOKUP(tblSalaries[[#This Row],[Where do you work]],tblCountries[[Actual]:[Mapping]],2,FALSE)</f>
        <v>India</v>
      </c>
      <c r="L1483" t="s">
        <v>9</v>
      </c>
      <c r="M1483">
        <v>10</v>
      </c>
    </row>
    <row r="1484" spans="2:13" ht="15" customHeight="1">
      <c r="B1484" t="s">
        <v>3487</v>
      </c>
      <c r="C1484" s="1">
        <v>41060.073472222219</v>
      </c>
      <c r="D1484" s="4" t="s">
        <v>1667</v>
      </c>
      <c r="E1484">
        <v>536000</v>
      </c>
      <c r="F1484" t="s">
        <v>40</v>
      </c>
      <c r="G1484">
        <f>tblSalaries[[#This Row],[clean Salary (in local currency)]]*VLOOKUP(tblSalaries[[#This Row],[Currency]],tblXrate[],2,FALSE)</f>
        <v>9545.0433444692171</v>
      </c>
      <c r="H1484" t="s">
        <v>91</v>
      </c>
      <c r="I1484" t="s">
        <v>52</v>
      </c>
      <c r="J1484" t="s">
        <v>8</v>
      </c>
      <c r="K1484" t="str">
        <f>VLOOKUP(tblSalaries[[#This Row],[Where do you work]],tblCountries[[Actual]:[Mapping]],2,FALSE)</f>
        <v>India</v>
      </c>
      <c r="L1484" t="s">
        <v>9</v>
      </c>
      <c r="M1484">
        <v>4</v>
      </c>
    </row>
    <row r="1485" spans="2:13" ht="15" customHeight="1">
      <c r="B1485" t="s">
        <v>3488</v>
      </c>
      <c r="C1485" s="1">
        <v>41060.076689814814</v>
      </c>
      <c r="D1485" s="4">
        <v>95000</v>
      </c>
      <c r="E1485">
        <v>95000</v>
      </c>
      <c r="F1485" t="s">
        <v>6</v>
      </c>
      <c r="G1485">
        <f>tblSalaries[[#This Row],[clean Salary (in local currency)]]*VLOOKUP(tblSalaries[[#This Row],[Currency]],tblXrate[],2,FALSE)</f>
        <v>95000</v>
      </c>
      <c r="H1485" t="s">
        <v>266</v>
      </c>
      <c r="I1485" t="s">
        <v>20</v>
      </c>
      <c r="J1485" t="s">
        <v>15</v>
      </c>
      <c r="K1485" t="str">
        <f>VLOOKUP(tblSalaries[[#This Row],[Where do you work]],tblCountries[[Actual]:[Mapping]],2,FALSE)</f>
        <v>USA</v>
      </c>
      <c r="L1485" t="s">
        <v>9</v>
      </c>
      <c r="M1485">
        <v>15</v>
      </c>
    </row>
    <row r="1486" spans="2:13" ht="15" customHeight="1">
      <c r="B1486" t="s">
        <v>3489</v>
      </c>
      <c r="C1486" s="1">
        <v>41060.100428240738</v>
      </c>
      <c r="D1486" s="4">
        <v>64300</v>
      </c>
      <c r="E1486">
        <v>64300</v>
      </c>
      <c r="F1486" t="s">
        <v>6</v>
      </c>
      <c r="G1486">
        <f>tblSalaries[[#This Row],[clean Salary (in local currency)]]*VLOOKUP(tblSalaries[[#This Row],[Currency]],tblXrate[],2,FALSE)</f>
        <v>64300</v>
      </c>
      <c r="H1486" t="s">
        <v>1668</v>
      </c>
      <c r="I1486" t="s">
        <v>310</v>
      </c>
      <c r="J1486" t="s">
        <v>15</v>
      </c>
      <c r="K1486" t="str">
        <f>VLOOKUP(tblSalaries[[#This Row],[Where do you work]],tblCountries[[Actual]:[Mapping]],2,FALSE)</f>
        <v>USA</v>
      </c>
      <c r="L1486" t="s">
        <v>9</v>
      </c>
      <c r="M1486">
        <v>15</v>
      </c>
    </row>
    <row r="1487" spans="2:13" ht="15" customHeight="1">
      <c r="B1487" t="s">
        <v>3490</v>
      </c>
      <c r="C1487" s="1">
        <v>41060.109131944446</v>
      </c>
      <c r="D1487" s="4">
        <v>250000</v>
      </c>
      <c r="E1487">
        <v>250000</v>
      </c>
      <c r="F1487" t="s">
        <v>6</v>
      </c>
      <c r="G1487">
        <f>tblSalaries[[#This Row],[clean Salary (in local currency)]]*VLOOKUP(tblSalaries[[#This Row],[Currency]],tblXrate[],2,FALSE)</f>
        <v>250000</v>
      </c>
      <c r="H1487" t="s">
        <v>83</v>
      </c>
      <c r="I1487" t="s">
        <v>356</v>
      </c>
      <c r="J1487" t="s">
        <v>15</v>
      </c>
      <c r="K1487" t="str">
        <f>VLOOKUP(tblSalaries[[#This Row],[Where do you work]],tblCountries[[Actual]:[Mapping]],2,FALSE)</f>
        <v>USA</v>
      </c>
      <c r="L1487" t="s">
        <v>13</v>
      </c>
      <c r="M1487">
        <v>20</v>
      </c>
    </row>
    <row r="1488" spans="2:13" ht="15" customHeight="1">
      <c r="B1488" t="s">
        <v>3491</v>
      </c>
      <c r="C1488" s="1">
        <v>41060.129965277774</v>
      </c>
      <c r="D1488" s="4">
        <v>89000</v>
      </c>
      <c r="E1488">
        <v>89000</v>
      </c>
      <c r="F1488" t="s">
        <v>6</v>
      </c>
      <c r="G1488">
        <f>tblSalaries[[#This Row],[clean Salary (in local currency)]]*VLOOKUP(tblSalaries[[#This Row],[Currency]],tblXrate[],2,FALSE)</f>
        <v>89000</v>
      </c>
      <c r="H1488" t="s">
        <v>642</v>
      </c>
      <c r="I1488" t="s">
        <v>52</v>
      </c>
      <c r="J148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>
        <v>10</v>
      </c>
    </row>
    <row r="1489" spans="2:13" ht="15" customHeight="1">
      <c r="B1489" t="s">
        <v>3492</v>
      </c>
      <c r="C1489" s="1">
        <v>41060.175219907411</v>
      </c>
      <c r="D1489" s="4">
        <v>75000</v>
      </c>
      <c r="E1489">
        <v>75000</v>
      </c>
      <c r="F1489" t="s">
        <v>6</v>
      </c>
      <c r="G1489">
        <f>tblSalaries[[#This Row],[clean Salary (in local currency)]]*VLOOKUP(tblSalaries[[#This Row],[Currency]],tblXrate[],2,FALSE)</f>
        <v>75000</v>
      </c>
      <c r="H1489" t="s">
        <v>14</v>
      </c>
      <c r="I1489" t="s">
        <v>20</v>
      </c>
      <c r="J1489" t="s">
        <v>15</v>
      </c>
      <c r="K1489" t="str">
        <f>VLOOKUP(tblSalaries[[#This Row],[Where do you work]],tblCountries[[Actual]:[Mapping]],2,FALSE)</f>
        <v>USA</v>
      </c>
      <c r="L1489" t="s">
        <v>13</v>
      </c>
      <c r="M1489">
        <v>1.5</v>
      </c>
    </row>
    <row r="1490" spans="2:13" ht="15" customHeight="1">
      <c r="B1490" t="s">
        <v>3493</v>
      </c>
      <c r="C1490" s="1">
        <v>41060.210405092592</v>
      </c>
      <c r="D1490" s="4">
        <v>45000</v>
      </c>
      <c r="E1490">
        <v>45000</v>
      </c>
      <c r="F1490" t="s">
        <v>6</v>
      </c>
      <c r="G1490">
        <f>tblSalaries[[#This Row],[clean Salary (in local currency)]]*VLOOKUP(tblSalaries[[#This Row],[Currency]],tblXrate[],2,FALSE)</f>
        <v>45000</v>
      </c>
      <c r="H1490" t="s">
        <v>1669</v>
      </c>
      <c r="I1490" t="s">
        <v>20</v>
      </c>
      <c r="J1490" t="s">
        <v>15</v>
      </c>
      <c r="K1490" t="str">
        <f>VLOOKUP(tblSalaries[[#This Row],[Where do you work]],tblCountries[[Actual]:[Mapping]],2,FALSE)</f>
        <v>USA</v>
      </c>
      <c r="L1490" t="s">
        <v>13</v>
      </c>
      <c r="M1490">
        <v>5</v>
      </c>
    </row>
    <row r="1491" spans="2:13" ht="15" customHeight="1">
      <c r="B1491" t="s">
        <v>3494</v>
      </c>
      <c r="C1491" s="1">
        <v>41060.224976851852</v>
      </c>
      <c r="D1491" s="4">
        <v>127500</v>
      </c>
      <c r="E1491">
        <v>127500</v>
      </c>
      <c r="F1491" t="s">
        <v>6</v>
      </c>
      <c r="G1491">
        <f>tblSalaries[[#This Row],[clean Salary (in local currency)]]*VLOOKUP(tblSalaries[[#This Row],[Currency]],tblXrate[],2,FALSE)</f>
        <v>127500</v>
      </c>
      <c r="H1491" t="s">
        <v>1670</v>
      </c>
      <c r="I1491" t="s">
        <v>4001</v>
      </c>
      <c r="J1491" t="s">
        <v>15</v>
      </c>
      <c r="K1491" t="str">
        <f>VLOOKUP(tblSalaries[[#This Row],[Where do you work]],tblCountries[[Actual]:[Mapping]],2,FALSE)</f>
        <v>USA</v>
      </c>
      <c r="L1491" t="s">
        <v>13</v>
      </c>
      <c r="M1491">
        <v>22</v>
      </c>
    </row>
    <row r="1492" spans="2:13" ht="15" customHeight="1">
      <c r="B1492" t="s">
        <v>3495</v>
      </c>
      <c r="C1492" s="1">
        <v>41060.230486111112</v>
      </c>
      <c r="D1492" s="4">
        <v>170000</v>
      </c>
      <c r="E1492">
        <v>170000</v>
      </c>
      <c r="F1492" t="s">
        <v>6</v>
      </c>
      <c r="G1492">
        <f>tblSalaries[[#This Row],[clean Salary (in local currency)]]*VLOOKUP(tblSalaries[[#This Row],[Currency]],tblXrate[],2,FALSE)</f>
        <v>170000</v>
      </c>
      <c r="H1492" t="s">
        <v>29</v>
      </c>
      <c r="I1492" t="s">
        <v>4001</v>
      </c>
      <c r="J1492" t="s">
        <v>15</v>
      </c>
      <c r="K1492" t="str">
        <f>VLOOKUP(tblSalaries[[#This Row],[Where do you work]],tblCountries[[Actual]:[Mapping]],2,FALSE)</f>
        <v>USA</v>
      </c>
      <c r="L1492" t="s">
        <v>18</v>
      </c>
      <c r="M1492">
        <v>18</v>
      </c>
    </row>
    <row r="1493" spans="2:13" ht="15" customHeight="1">
      <c r="B1493" t="s">
        <v>3496</v>
      </c>
      <c r="C1493" s="1">
        <v>41060.234363425923</v>
      </c>
      <c r="D1493" s="4">
        <v>800</v>
      </c>
      <c r="E1493">
        <v>9600</v>
      </c>
      <c r="F1493" t="s">
        <v>6</v>
      </c>
      <c r="G1493">
        <f>tblSalaries[[#This Row],[clean Salary (in local currency)]]*VLOOKUP(tblSalaries[[#This Row],[Currency]],tblXrate[],2,FALSE)</f>
        <v>9600</v>
      </c>
      <c r="H1493" t="s">
        <v>855</v>
      </c>
      <c r="I1493" t="s">
        <v>20</v>
      </c>
      <c r="J1493" t="s">
        <v>1671</v>
      </c>
      <c r="K1493" t="str">
        <f>VLOOKUP(tblSalaries[[#This Row],[Where do you work]],tblCountries[[Actual]:[Mapping]],2,FALSE)</f>
        <v>Bolivia</v>
      </c>
      <c r="L1493" t="s">
        <v>13</v>
      </c>
      <c r="M1493">
        <v>2</v>
      </c>
    </row>
    <row r="1494" spans="2:13" ht="15" customHeight="1">
      <c r="B1494" t="s">
        <v>3497</v>
      </c>
      <c r="C1494" s="1">
        <v>41060.259513888886</v>
      </c>
      <c r="D1494" s="4">
        <v>62000</v>
      </c>
      <c r="E1494">
        <v>62000</v>
      </c>
      <c r="F1494" t="s">
        <v>6</v>
      </c>
      <c r="G1494">
        <f>tblSalaries[[#This Row],[clean Salary (in local currency)]]*VLOOKUP(tblSalaries[[#This Row],[Currency]],tblXrate[],2,FALSE)</f>
        <v>62000</v>
      </c>
      <c r="H1494" t="s">
        <v>1672</v>
      </c>
      <c r="I1494" t="s">
        <v>20</v>
      </c>
      <c r="J1494" t="s">
        <v>15</v>
      </c>
      <c r="K1494" t="str">
        <f>VLOOKUP(tblSalaries[[#This Row],[Where do you work]],tblCountries[[Actual]:[Mapping]],2,FALSE)</f>
        <v>USA</v>
      </c>
      <c r="L1494" t="s">
        <v>13</v>
      </c>
      <c r="M1494">
        <v>27</v>
      </c>
    </row>
    <row r="1495" spans="2:13" ht="15" customHeight="1">
      <c r="B1495" t="s">
        <v>3498</v>
      </c>
      <c r="C1495" s="1">
        <v>41060.266076388885</v>
      </c>
      <c r="D1495" s="4">
        <v>22000</v>
      </c>
      <c r="E1495">
        <v>22000</v>
      </c>
      <c r="F1495" t="s">
        <v>6</v>
      </c>
      <c r="G1495">
        <f>tblSalaries[[#This Row],[clean Salary (in local currency)]]*VLOOKUP(tblSalaries[[#This Row],[Currency]],tblXrate[],2,FALSE)</f>
        <v>22000</v>
      </c>
      <c r="H1495" t="s">
        <v>1673</v>
      </c>
      <c r="I1495" t="s">
        <v>52</v>
      </c>
      <c r="J1495" t="s">
        <v>15</v>
      </c>
      <c r="K1495" t="str">
        <f>VLOOKUP(tblSalaries[[#This Row],[Where do you work]],tblCountries[[Actual]:[Mapping]],2,FALSE)</f>
        <v>USA</v>
      </c>
      <c r="L1495" t="s">
        <v>9</v>
      </c>
      <c r="M1495">
        <v>3</v>
      </c>
    </row>
    <row r="1496" spans="2:13" ht="15" customHeight="1">
      <c r="B1496" t="s">
        <v>3499</v>
      </c>
      <c r="C1496" s="1">
        <v>41060.266608796293</v>
      </c>
      <c r="D1496" s="4">
        <v>45000</v>
      </c>
      <c r="E1496">
        <v>45000</v>
      </c>
      <c r="F1496" t="s">
        <v>6</v>
      </c>
      <c r="G1496">
        <f>tblSalaries[[#This Row],[clean Salary (in local currency)]]*VLOOKUP(tblSalaries[[#This Row],[Currency]],tblXrate[],2,FALSE)</f>
        <v>45000</v>
      </c>
      <c r="H1496" t="s">
        <v>207</v>
      </c>
      <c r="I1496" t="s">
        <v>20</v>
      </c>
      <c r="J1496" t="s">
        <v>15</v>
      </c>
      <c r="K1496" t="str">
        <f>VLOOKUP(tblSalaries[[#This Row],[Where do you work]],tblCountries[[Actual]:[Mapping]],2,FALSE)</f>
        <v>USA</v>
      </c>
      <c r="L1496" t="s">
        <v>9</v>
      </c>
      <c r="M1496">
        <v>8</v>
      </c>
    </row>
    <row r="1497" spans="2:13" ht="15" customHeight="1">
      <c r="B1497" t="s">
        <v>3500</v>
      </c>
      <c r="C1497" s="1">
        <v>41060.303888888891</v>
      </c>
      <c r="D1497" s="4">
        <v>145000</v>
      </c>
      <c r="E1497">
        <v>145000</v>
      </c>
      <c r="F1497" t="s">
        <v>6</v>
      </c>
      <c r="G1497">
        <f>tblSalaries[[#This Row],[clean Salary (in local currency)]]*VLOOKUP(tblSalaries[[#This Row],[Currency]],tblXrate[],2,FALSE)</f>
        <v>145000</v>
      </c>
      <c r="H1497" t="s">
        <v>616</v>
      </c>
      <c r="I1497" t="s">
        <v>20</v>
      </c>
      <c r="J1497" t="s">
        <v>15</v>
      </c>
      <c r="K1497" t="str">
        <f>VLOOKUP(tblSalaries[[#This Row],[Where do you work]],tblCountries[[Actual]:[Mapping]],2,FALSE)</f>
        <v>USA</v>
      </c>
      <c r="L1497" t="s">
        <v>9</v>
      </c>
      <c r="M1497">
        <v>6</v>
      </c>
    </row>
    <row r="1498" spans="2:13" ht="15" customHeight="1">
      <c r="B1498" t="s">
        <v>3501</v>
      </c>
      <c r="C1498" s="1">
        <v>41060.347256944442</v>
      </c>
      <c r="D1498" s="4">
        <v>89000</v>
      </c>
      <c r="E1498">
        <v>89000</v>
      </c>
      <c r="F1498" t="s">
        <v>6</v>
      </c>
      <c r="G1498">
        <f>tblSalaries[[#This Row],[clean Salary (in local currency)]]*VLOOKUP(tblSalaries[[#This Row],[Currency]],tblXrate[],2,FALSE)</f>
        <v>89000</v>
      </c>
      <c r="H1498" t="s">
        <v>1288</v>
      </c>
      <c r="I1498" t="s">
        <v>20</v>
      </c>
      <c r="J1498" t="s">
        <v>15</v>
      </c>
      <c r="K1498" t="str">
        <f>VLOOKUP(tblSalaries[[#This Row],[Where do you work]],tblCountries[[Actual]:[Mapping]],2,FALSE)</f>
        <v>USA</v>
      </c>
      <c r="L1498" t="s">
        <v>13</v>
      </c>
      <c r="M1498">
        <v>14</v>
      </c>
    </row>
    <row r="1499" spans="2:13" ht="15" customHeight="1">
      <c r="B1499" t="s">
        <v>3502</v>
      </c>
      <c r="C1499" s="1">
        <v>41060.394502314812</v>
      </c>
      <c r="D1499" s="4">
        <v>38000</v>
      </c>
      <c r="E1499">
        <v>38000</v>
      </c>
      <c r="F1499" t="s">
        <v>6</v>
      </c>
      <c r="G1499">
        <f>tblSalaries[[#This Row],[clean Salary (in local currency)]]*VLOOKUP(tblSalaries[[#This Row],[Currency]],tblXrate[],2,FALSE)</f>
        <v>38000</v>
      </c>
      <c r="H1499" t="s">
        <v>310</v>
      </c>
      <c r="I1499" t="s">
        <v>310</v>
      </c>
      <c r="J1499" t="s">
        <v>15</v>
      </c>
      <c r="K1499" t="str">
        <f>VLOOKUP(tblSalaries[[#This Row],[Where do you work]],tblCountries[[Actual]:[Mapping]],2,FALSE)</f>
        <v>USA</v>
      </c>
      <c r="L1499" t="s">
        <v>9</v>
      </c>
      <c r="M1499">
        <v>11</v>
      </c>
    </row>
    <row r="1500" spans="2:13" ht="15" customHeight="1">
      <c r="B1500" t="s">
        <v>3503</v>
      </c>
      <c r="C1500" s="1">
        <v>41060.406354166669</v>
      </c>
      <c r="D1500" s="4">
        <v>50000</v>
      </c>
      <c r="E1500">
        <v>50000</v>
      </c>
      <c r="F1500" t="s">
        <v>86</v>
      </c>
      <c r="G1500">
        <f>tblSalaries[[#This Row],[clean Salary (in local currency)]]*VLOOKUP(tblSalaries[[#This Row],[Currency]],tblXrate[],2,FALSE)</f>
        <v>49168.076151516347</v>
      </c>
      <c r="H1500" t="s">
        <v>207</v>
      </c>
      <c r="I1500" t="s">
        <v>20</v>
      </c>
      <c r="J1500" t="s">
        <v>88</v>
      </c>
      <c r="K1500" t="str">
        <f>VLOOKUP(tblSalaries[[#This Row],[Where do you work]],tblCountries[[Actual]:[Mapping]],2,FALSE)</f>
        <v>Canada</v>
      </c>
      <c r="L1500" t="s">
        <v>9</v>
      </c>
      <c r="M1500">
        <v>3</v>
      </c>
    </row>
    <row r="1501" spans="2:13" ht="15" customHeight="1">
      <c r="B1501" t="s">
        <v>3504</v>
      </c>
      <c r="C1501" s="1">
        <v>41060.437291666669</v>
      </c>
      <c r="D1501" s="4">
        <v>500000</v>
      </c>
      <c r="E1501">
        <v>500000</v>
      </c>
      <c r="F1501" t="s">
        <v>40</v>
      </c>
      <c r="G1501">
        <f>tblSalaries[[#This Row],[clean Salary (in local currency)]]*VLOOKUP(tblSalaries[[#This Row],[Currency]],tblXrate[],2,FALSE)</f>
        <v>8903.9583437212841</v>
      </c>
      <c r="H1501" t="s">
        <v>1252</v>
      </c>
      <c r="I1501" t="s">
        <v>20</v>
      </c>
      <c r="J1501" t="s">
        <v>8</v>
      </c>
      <c r="K1501" t="str">
        <f>VLOOKUP(tblSalaries[[#This Row],[Where do you work]],tblCountries[[Actual]:[Mapping]],2,FALSE)</f>
        <v>India</v>
      </c>
      <c r="L1501" t="s">
        <v>9</v>
      </c>
      <c r="M1501">
        <v>8</v>
      </c>
    </row>
    <row r="1502" spans="2:13" ht="15" customHeight="1">
      <c r="B1502" t="s">
        <v>3505</v>
      </c>
      <c r="C1502" s="1">
        <v>41060.439664351848</v>
      </c>
      <c r="D1502" s="4" t="s">
        <v>1674</v>
      </c>
      <c r="E1502">
        <v>10000</v>
      </c>
      <c r="F1502" t="s">
        <v>6</v>
      </c>
      <c r="G1502">
        <f>tblSalaries[[#This Row],[clean Salary (in local currency)]]*VLOOKUP(tblSalaries[[#This Row],[Currency]],tblXrate[],2,FALSE)</f>
        <v>10000</v>
      </c>
      <c r="H1502" t="s">
        <v>1675</v>
      </c>
      <c r="I1502" t="s">
        <v>52</v>
      </c>
      <c r="J1502" t="s">
        <v>1676</v>
      </c>
      <c r="K1502" t="str">
        <f>VLOOKUP(tblSalaries[[#This Row],[Where do you work]],tblCountries[[Actual]:[Mapping]],2,FALSE)</f>
        <v>Vietnam</v>
      </c>
      <c r="L1502" t="s">
        <v>18</v>
      </c>
      <c r="M1502">
        <v>8</v>
      </c>
    </row>
    <row r="1503" spans="2:13" ht="15" customHeight="1">
      <c r="B1503" t="s">
        <v>3506</v>
      </c>
      <c r="C1503" s="1">
        <v>41060.442800925928</v>
      </c>
      <c r="D1503" s="4">
        <v>105000</v>
      </c>
      <c r="E1503">
        <v>105000</v>
      </c>
      <c r="F1503" t="s">
        <v>6</v>
      </c>
      <c r="G1503">
        <f>tblSalaries[[#This Row],[clean Salary (in local currency)]]*VLOOKUP(tblSalaries[[#This Row],[Currency]],tblXrate[],2,FALSE)</f>
        <v>105000</v>
      </c>
      <c r="H1503" t="s">
        <v>1677</v>
      </c>
      <c r="I1503" t="s">
        <v>52</v>
      </c>
      <c r="J1503" t="s">
        <v>15</v>
      </c>
      <c r="K1503" t="str">
        <f>VLOOKUP(tblSalaries[[#This Row],[Where do you work]],tblCountries[[Actual]:[Mapping]],2,FALSE)</f>
        <v>USA</v>
      </c>
      <c r="L1503" t="s">
        <v>25</v>
      </c>
      <c r="M1503">
        <v>30</v>
      </c>
    </row>
    <row r="1504" spans="2:13" ht="15" customHeight="1">
      <c r="B1504" t="s">
        <v>3507</v>
      </c>
      <c r="C1504" s="1">
        <v>41060.454722222225</v>
      </c>
      <c r="D1504" s="4">
        <v>1000</v>
      </c>
      <c r="E1504">
        <v>12000</v>
      </c>
      <c r="F1504" t="s">
        <v>6</v>
      </c>
      <c r="G1504">
        <f>tblSalaries[[#This Row],[clean Salary (in local currency)]]*VLOOKUP(tblSalaries[[#This Row],[Currency]],tblXrate[],2,FALSE)</f>
        <v>12000</v>
      </c>
      <c r="H1504" t="s">
        <v>1678</v>
      </c>
      <c r="I1504" t="s">
        <v>20</v>
      </c>
      <c r="J1504" t="s">
        <v>1679</v>
      </c>
      <c r="K1504" t="str">
        <f>VLOOKUP(tblSalaries[[#This Row],[Where do you work]],tblCountries[[Actual]:[Mapping]],2,FALSE)</f>
        <v>Malaysia</v>
      </c>
      <c r="L1504" t="s">
        <v>18</v>
      </c>
      <c r="M1504">
        <v>0</v>
      </c>
    </row>
    <row r="1505" spans="2:13" ht="15" customHeight="1">
      <c r="B1505" t="s">
        <v>3508</v>
      </c>
      <c r="C1505" s="1">
        <v>41060.464328703703</v>
      </c>
      <c r="D1505" s="4" t="s">
        <v>1680</v>
      </c>
      <c r="E1505">
        <v>200000</v>
      </c>
      <c r="F1505" t="s">
        <v>40</v>
      </c>
      <c r="G1505">
        <f>tblSalaries[[#This Row],[clean Salary (in local currency)]]*VLOOKUP(tblSalaries[[#This Row],[Currency]],tblXrate[],2,FALSE)</f>
        <v>3561.5833374885137</v>
      </c>
      <c r="H1505" t="s">
        <v>1681</v>
      </c>
      <c r="I1505" t="s">
        <v>310</v>
      </c>
      <c r="J1505" t="s">
        <v>8</v>
      </c>
      <c r="K1505" t="str">
        <f>VLOOKUP(tblSalaries[[#This Row],[Where do you work]],tblCountries[[Actual]:[Mapping]],2,FALSE)</f>
        <v>India</v>
      </c>
      <c r="L1505" t="s">
        <v>13</v>
      </c>
      <c r="M1505">
        <v>3</v>
      </c>
    </row>
    <row r="1506" spans="2:13" ht="15" customHeight="1">
      <c r="B1506" t="s">
        <v>3509</v>
      </c>
      <c r="C1506" s="1">
        <v>41060.559594907405</v>
      </c>
      <c r="D1506" s="4" t="s">
        <v>1682</v>
      </c>
      <c r="E1506">
        <v>85000</v>
      </c>
      <c r="F1506" t="s">
        <v>82</v>
      </c>
      <c r="G1506">
        <f>tblSalaries[[#This Row],[clean Salary (in local currency)]]*VLOOKUP(tblSalaries[[#This Row],[Currency]],tblXrate[],2,FALSE)</f>
        <v>86692.320794224041</v>
      </c>
      <c r="H1506" t="s">
        <v>1683</v>
      </c>
      <c r="I1506" t="s">
        <v>20</v>
      </c>
      <c r="J1506" t="s">
        <v>84</v>
      </c>
      <c r="K1506" t="str">
        <f>VLOOKUP(tblSalaries[[#This Row],[Where do you work]],tblCountries[[Actual]:[Mapping]],2,FALSE)</f>
        <v>Australia</v>
      </c>
      <c r="L1506" t="s">
        <v>25</v>
      </c>
      <c r="M1506">
        <v>5</v>
      </c>
    </row>
    <row r="1507" spans="2:13" ht="15" customHeight="1">
      <c r="B1507" t="s">
        <v>3510</v>
      </c>
      <c r="C1507" s="1">
        <v>41060.666851851849</v>
      </c>
      <c r="D1507" s="4">
        <v>8000</v>
      </c>
      <c r="E1507">
        <v>8000</v>
      </c>
      <c r="F1507" t="s">
        <v>6</v>
      </c>
      <c r="G1507">
        <f>tblSalaries[[#This Row],[clean Salary (in local currency)]]*VLOOKUP(tblSalaries[[#This Row],[Currency]],tblXrate[],2,FALSE)</f>
        <v>8000</v>
      </c>
      <c r="H1507" t="s">
        <v>458</v>
      </c>
      <c r="I1507" t="s">
        <v>4001</v>
      </c>
      <c r="J1507" t="s">
        <v>8</v>
      </c>
      <c r="K1507" t="str">
        <f>VLOOKUP(tblSalaries[[#This Row],[Where do you work]],tblCountries[[Actual]:[Mapping]],2,FALSE)</f>
        <v>India</v>
      </c>
      <c r="L1507" t="s">
        <v>9</v>
      </c>
      <c r="M1507">
        <v>18</v>
      </c>
    </row>
    <row r="1508" spans="2:13" ht="15" customHeight="1">
      <c r="B1508" t="s">
        <v>3511</v>
      </c>
      <c r="C1508" s="1">
        <v>41060.673935185187</v>
      </c>
      <c r="D1508" s="4" t="s">
        <v>1684</v>
      </c>
      <c r="E1508">
        <v>380000</v>
      </c>
      <c r="F1508" t="s">
        <v>40</v>
      </c>
      <c r="G1508">
        <f>tblSalaries[[#This Row],[clean Salary (in local currency)]]*VLOOKUP(tblSalaries[[#This Row],[Currency]],tblXrate[],2,FALSE)</f>
        <v>6767.0083412281756</v>
      </c>
      <c r="H1508" t="s">
        <v>1685</v>
      </c>
      <c r="I1508" t="s">
        <v>20</v>
      </c>
      <c r="J1508" t="s">
        <v>8</v>
      </c>
      <c r="K1508" t="str">
        <f>VLOOKUP(tblSalaries[[#This Row],[Where do you work]],tblCountries[[Actual]:[Mapping]],2,FALSE)</f>
        <v>India</v>
      </c>
      <c r="L1508" t="s">
        <v>18</v>
      </c>
      <c r="M1508">
        <v>6</v>
      </c>
    </row>
    <row r="1509" spans="2:13" ht="15" customHeight="1">
      <c r="B1509" t="s">
        <v>3512</v>
      </c>
      <c r="C1509" s="1">
        <v>41060.677905092591</v>
      </c>
      <c r="D1509" s="4" t="s">
        <v>1686</v>
      </c>
      <c r="E1509">
        <v>30500</v>
      </c>
      <c r="F1509" t="s">
        <v>69</v>
      </c>
      <c r="G1509">
        <f>tblSalaries[[#This Row],[clean Salary (in local currency)]]*VLOOKUP(tblSalaries[[#This Row],[Currency]],tblXrate[],2,FALSE)</f>
        <v>48073.437298052166</v>
      </c>
      <c r="H1509" t="s">
        <v>1687</v>
      </c>
      <c r="I1509" t="s">
        <v>356</v>
      </c>
      <c r="J1509" t="s">
        <v>71</v>
      </c>
      <c r="K1509" t="str">
        <f>VLOOKUP(tblSalaries[[#This Row],[Where do you work]],tblCountries[[Actual]:[Mapping]],2,FALSE)</f>
        <v>UK</v>
      </c>
      <c r="L1509" t="s">
        <v>9</v>
      </c>
      <c r="M1509">
        <v>14</v>
      </c>
    </row>
    <row r="1510" spans="2:13" ht="15" customHeight="1">
      <c r="B1510" t="s">
        <v>3513</v>
      </c>
      <c r="C1510" s="1">
        <v>41060.684293981481</v>
      </c>
      <c r="D1510" s="4" t="s">
        <v>1688</v>
      </c>
      <c r="E1510">
        <v>60000</v>
      </c>
      <c r="F1510" t="s">
        <v>22</v>
      </c>
      <c r="G1510">
        <f>tblSalaries[[#This Row],[clean Salary (in local currency)]]*VLOOKUP(tblSalaries[[#This Row],[Currency]],tblXrate[],2,FALSE)</f>
        <v>76223.966339496474</v>
      </c>
      <c r="H1510" t="s">
        <v>1689</v>
      </c>
      <c r="I1510" t="s">
        <v>52</v>
      </c>
      <c r="J1510" t="s">
        <v>1690</v>
      </c>
      <c r="K1510" t="str">
        <f>VLOOKUP(tblSalaries[[#This Row],[Where do you work]],tblCountries[[Actual]:[Mapping]],2,FALSE)</f>
        <v>Netherlands</v>
      </c>
      <c r="L1510" t="s">
        <v>18</v>
      </c>
      <c r="M1510">
        <v>15</v>
      </c>
    </row>
    <row r="1511" spans="2:13" ht="15" customHeight="1">
      <c r="B1511" t="s">
        <v>3514</v>
      </c>
      <c r="C1511" s="1">
        <v>41060.684305555558</v>
      </c>
      <c r="D1511" s="4">
        <v>320000</v>
      </c>
      <c r="E1511">
        <v>320000</v>
      </c>
      <c r="F1511" t="s">
        <v>3958</v>
      </c>
      <c r="G1511">
        <f>tblSalaries[[#This Row],[clean Salary (in local currency)]]*VLOOKUP(tblSalaries[[#This Row],[Currency]],tblXrate[],2,FALSE)</f>
        <v>85333.333333333328</v>
      </c>
      <c r="H1511" t="s">
        <v>1691</v>
      </c>
      <c r="I1511" t="s">
        <v>52</v>
      </c>
      <c r="J1511" t="s">
        <v>133</v>
      </c>
      <c r="K1511" t="str">
        <f>VLOOKUP(tblSalaries[[#This Row],[Where do you work]],tblCountries[[Actual]:[Mapping]],2,FALSE)</f>
        <v>Saudi Arabia</v>
      </c>
      <c r="L1511" t="s">
        <v>18</v>
      </c>
      <c r="M1511">
        <v>15</v>
      </c>
    </row>
    <row r="1512" spans="2:13" ht="15" customHeight="1">
      <c r="B1512" t="s">
        <v>3515</v>
      </c>
      <c r="C1512" s="1">
        <v>41060.687604166669</v>
      </c>
      <c r="D1512" s="4">
        <v>48360</v>
      </c>
      <c r="E1512">
        <v>48360</v>
      </c>
      <c r="F1512" t="s">
        <v>69</v>
      </c>
      <c r="G1512">
        <f>tblSalaries[[#This Row],[clean Salary (in local currency)]]*VLOOKUP(tblSalaries[[#This Row],[Currency]],tblXrate[],2,FALSE)</f>
        <v>76223.981237173866</v>
      </c>
      <c r="H1512" t="s">
        <v>1692</v>
      </c>
      <c r="I1512" t="s">
        <v>52</v>
      </c>
      <c r="J1512" t="s">
        <v>71</v>
      </c>
      <c r="K1512" t="str">
        <f>VLOOKUP(tblSalaries[[#This Row],[Where do you work]],tblCountries[[Actual]:[Mapping]],2,FALSE)</f>
        <v>UK</v>
      </c>
      <c r="L1512" t="s">
        <v>13</v>
      </c>
      <c r="M1512">
        <v>8</v>
      </c>
    </row>
    <row r="1513" spans="2:13" ht="15" customHeight="1">
      <c r="B1513" t="s">
        <v>3516</v>
      </c>
      <c r="C1513" s="1">
        <v>41060.714571759258</v>
      </c>
      <c r="D1513" s="4">
        <v>30000</v>
      </c>
      <c r="E1513">
        <v>30000</v>
      </c>
      <c r="F1513" t="s">
        <v>6</v>
      </c>
      <c r="G1513">
        <f>tblSalaries[[#This Row],[clean Salary (in local currency)]]*VLOOKUP(tblSalaries[[#This Row],[Currency]],tblXrate[],2,FALSE)</f>
        <v>30000</v>
      </c>
      <c r="H1513" t="s">
        <v>1693</v>
      </c>
      <c r="I1513" t="s">
        <v>52</v>
      </c>
      <c r="J1513" t="s">
        <v>17</v>
      </c>
      <c r="K1513" t="str">
        <f>VLOOKUP(tblSalaries[[#This Row],[Where do you work]],tblCountries[[Actual]:[Mapping]],2,FALSE)</f>
        <v>Pakistan</v>
      </c>
      <c r="L1513" t="s">
        <v>9</v>
      </c>
      <c r="M1513">
        <v>5</v>
      </c>
    </row>
    <row r="1514" spans="2:13" ht="15" customHeight="1">
      <c r="B1514" t="s">
        <v>3517</v>
      </c>
      <c r="C1514" s="1">
        <v>41060.723437499997</v>
      </c>
      <c r="D1514" s="4">
        <v>34000</v>
      </c>
      <c r="E1514">
        <v>34000</v>
      </c>
      <c r="F1514" t="s">
        <v>6</v>
      </c>
      <c r="G1514">
        <f>tblSalaries[[#This Row],[clean Salary (in local currency)]]*VLOOKUP(tblSalaries[[#This Row],[Currency]],tblXrate[],2,FALSE)</f>
        <v>34000</v>
      </c>
      <c r="H1514" t="s">
        <v>1694</v>
      </c>
      <c r="I1514" t="s">
        <v>20</v>
      </c>
      <c r="J1514" t="s">
        <v>8</v>
      </c>
      <c r="K1514" t="str">
        <f>VLOOKUP(tblSalaries[[#This Row],[Where do you work]],tblCountries[[Actual]:[Mapping]],2,FALSE)</f>
        <v>India</v>
      </c>
      <c r="L1514" t="s">
        <v>13</v>
      </c>
      <c r="M1514">
        <v>4</v>
      </c>
    </row>
    <row r="1515" spans="2:13" ht="15" customHeight="1">
      <c r="B1515" t="s">
        <v>3518</v>
      </c>
      <c r="C1515" s="1">
        <v>41060.73233796296</v>
      </c>
      <c r="D1515" s="4" t="s">
        <v>1695</v>
      </c>
      <c r="E1515">
        <v>180000</v>
      </c>
      <c r="F1515" t="s">
        <v>40</v>
      </c>
      <c r="G1515">
        <f>tblSalaries[[#This Row],[clean Salary (in local currency)]]*VLOOKUP(tblSalaries[[#This Row],[Currency]],tblXrate[],2,FALSE)</f>
        <v>3205.4250037396623</v>
      </c>
      <c r="H1515" t="s">
        <v>1696</v>
      </c>
      <c r="I1515" t="s">
        <v>52</v>
      </c>
      <c r="J1515" t="s">
        <v>8</v>
      </c>
      <c r="K1515" t="str">
        <f>VLOOKUP(tblSalaries[[#This Row],[Where do you work]],tblCountries[[Actual]:[Mapping]],2,FALSE)</f>
        <v>India</v>
      </c>
      <c r="L1515" t="s">
        <v>9</v>
      </c>
      <c r="M1515">
        <v>5</v>
      </c>
    </row>
    <row r="1516" spans="2:13" ht="15" customHeight="1">
      <c r="B1516" t="s">
        <v>3519</v>
      </c>
      <c r="C1516" s="1">
        <v>41060.733020833337</v>
      </c>
      <c r="D1516" s="4" t="s">
        <v>1697</v>
      </c>
      <c r="E1516">
        <v>45000</v>
      </c>
      <c r="F1516" t="s">
        <v>6</v>
      </c>
      <c r="G1516">
        <f>tblSalaries[[#This Row],[clean Salary (in local currency)]]*VLOOKUP(tblSalaries[[#This Row],[Currency]],tblXrate[],2,FALSE)</f>
        <v>45000</v>
      </c>
      <c r="H1516" t="s">
        <v>1698</v>
      </c>
      <c r="I1516" t="s">
        <v>52</v>
      </c>
      <c r="J1516" t="s">
        <v>24</v>
      </c>
      <c r="K1516" t="str">
        <f>VLOOKUP(tblSalaries[[#This Row],[Where do you work]],tblCountries[[Actual]:[Mapping]],2,FALSE)</f>
        <v>Germany</v>
      </c>
      <c r="L1516" t="s">
        <v>18</v>
      </c>
      <c r="M1516">
        <v>5</v>
      </c>
    </row>
    <row r="1517" spans="2:13" ht="15" customHeight="1">
      <c r="B1517" t="s">
        <v>3520</v>
      </c>
      <c r="C1517" s="1">
        <v>41060.774652777778</v>
      </c>
      <c r="D1517" s="4">
        <v>24864</v>
      </c>
      <c r="E1517">
        <v>24864</v>
      </c>
      <c r="F1517" t="s">
        <v>6</v>
      </c>
      <c r="G1517">
        <f>tblSalaries[[#This Row],[clean Salary (in local currency)]]*VLOOKUP(tblSalaries[[#This Row],[Currency]],tblXrate[],2,FALSE)</f>
        <v>24864</v>
      </c>
      <c r="H1517" t="s">
        <v>1699</v>
      </c>
      <c r="I1517" t="s">
        <v>52</v>
      </c>
      <c r="J1517" t="s">
        <v>1700</v>
      </c>
      <c r="K1517" t="str">
        <f>VLOOKUP(tblSalaries[[#This Row],[Where do you work]],tblCountries[[Actual]:[Mapping]],2,FALSE)</f>
        <v>Libya</v>
      </c>
      <c r="L1517" t="s">
        <v>13</v>
      </c>
      <c r="M1517">
        <v>8</v>
      </c>
    </row>
    <row r="1518" spans="2:13" ht="15" customHeight="1">
      <c r="B1518" t="s">
        <v>3521</v>
      </c>
      <c r="C1518" s="1">
        <v>41060.827418981484</v>
      </c>
      <c r="D1518" s="4" t="s">
        <v>137</v>
      </c>
      <c r="E1518">
        <v>30000</v>
      </c>
      <c r="F1518" t="s">
        <v>69</v>
      </c>
      <c r="G1518">
        <f>tblSalaries[[#This Row],[clean Salary (in local currency)]]*VLOOKUP(tblSalaries[[#This Row],[Currency]],tblXrate[],2,FALSE)</f>
        <v>47285.348162018527</v>
      </c>
      <c r="H1518" t="s">
        <v>653</v>
      </c>
      <c r="I1518" t="s">
        <v>20</v>
      </c>
      <c r="J1518" t="s">
        <v>71</v>
      </c>
      <c r="K1518" t="str">
        <f>VLOOKUP(tblSalaries[[#This Row],[Where do you work]],tblCountries[[Actual]:[Mapping]],2,FALSE)</f>
        <v>UK</v>
      </c>
      <c r="L1518" t="s">
        <v>9</v>
      </c>
      <c r="M1518">
        <v>7</v>
      </c>
    </row>
    <row r="1519" spans="2:13" ht="15" customHeight="1">
      <c r="B1519" t="s">
        <v>3522</v>
      </c>
      <c r="C1519" s="1">
        <v>41060.842673611114</v>
      </c>
      <c r="D1519" s="4">
        <v>1000000</v>
      </c>
      <c r="E1519">
        <v>1000000</v>
      </c>
      <c r="F1519" t="s">
        <v>40</v>
      </c>
      <c r="G1519">
        <f>tblSalaries[[#This Row],[clean Salary (in local currency)]]*VLOOKUP(tblSalaries[[#This Row],[Currency]],tblXrate[],2,FALSE)</f>
        <v>17807.916687442568</v>
      </c>
      <c r="H1519" t="s">
        <v>466</v>
      </c>
      <c r="I1519" t="s">
        <v>20</v>
      </c>
      <c r="J1519" t="s">
        <v>8</v>
      </c>
      <c r="K1519" t="str">
        <f>VLOOKUP(tblSalaries[[#This Row],[Where do you work]],tblCountries[[Actual]:[Mapping]],2,FALSE)</f>
        <v>India</v>
      </c>
      <c r="L1519" t="s">
        <v>13</v>
      </c>
      <c r="M1519">
        <v>10</v>
      </c>
    </row>
    <row r="1520" spans="2:13" ht="15" customHeight="1">
      <c r="B1520" t="s">
        <v>3523</v>
      </c>
      <c r="C1520" s="1">
        <v>41060.843287037038</v>
      </c>
      <c r="D1520" s="4" t="s">
        <v>68</v>
      </c>
      <c r="E1520">
        <v>35000</v>
      </c>
      <c r="F1520" t="s">
        <v>69</v>
      </c>
      <c r="G1520">
        <f>tblSalaries[[#This Row],[clean Salary (in local currency)]]*VLOOKUP(tblSalaries[[#This Row],[Currency]],tblXrate[],2,FALSE)</f>
        <v>55166.239522354947</v>
      </c>
      <c r="H1520" t="s">
        <v>200</v>
      </c>
      <c r="I1520" t="s">
        <v>20</v>
      </c>
      <c r="J1520" t="s">
        <v>71</v>
      </c>
      <c r="K1520" t="str">
        <f>VLOOKUP(tblSalaries[[#This Row],[Where do you work]],tblCountries[[Actual]:[Mapping]],2,FALSE)</f>
        <v>UK</v>
      </c>
      <c r="L1520" t="s">
        <v>9</v>
      </c>
      <c r="M1520">
        <v>3</v>
      </c>
    </row>
    <row r="1521" spans="2:13" ht="15" customHeight="1">
      <c r="B1521" t="s">
        <v>3524</v>
      </c>
      <c r="C1521" s="1">
        <v>41060.878495370373</v>
      </c>
      <c r="D1521" s="4" t="s">
        <v>1701</v>
      </c>
      <c r="E1521">
        <v>55000</v>
      </c>
      <c r="F1521" t="s">
        <v>22</v>
      </c>
      <c r="G1521">
        <f>tblSalaries[[#This Row],[clean Salary (in local currency)]]*VLOOKUP(tblSalaries[[#This Row],[Currency]],tblXrate[],2,FALSE)</f>
        <v>69871.969144538423</v>
      </c>
      <c r="H1521" t="s">
        <v>1702</v>
      </c>
      <c r="I1521" t="s">
        <v>52</v>
      </c>
      <c r="J1521" t="s">
        <v>96</v>
      </c>
      <c r="K1521" t="str">
        <f>VLOOKUP(tblSalaries[[#This Row],[Where do you work]],tblCountries[[Actual]:[Mapping]],2,FALSE)</f>
        <v>Netherlands</v>
      </c>
      <c r="L1521" t="s">
        <v>25</v>
      </c>
      <c r="M1521">
        <v>5</v>
      </c>
    </row>
    <row r="1522" spans="2:13" ht="15" customHeight="1">
      <c r="B1522" t="s">
        <v>3525</v>
      </c>
      <c r="C1522" s="1">
        <v>41060.879687499997</v>
      </c>
      <c r="D1522" s="4">
        <v>70970</v>
      </c>
      <c r="E1522">
        <v>70970</v>
      </c>
      <c r="F1522" t="s">
        <v>6</v>
      </c>
      <c r="G1522">
        <f>tblSalaries[[#This Row],[clean Salary (in local currency)]]*VLOOKUP(tblSalaries[[#This Row],[Currency]],tblXrate[],2,FALSE)</f>
        <v>70970</v>
      </c>
      <c r="H1522" t="s">
        <v>1703</v>
      </c>
      <c r="I1522" t="s">
        <v>20</v>
      </c>
      <c r="J1522" t="s">
        <v>15</v>
      </c>
      <c r="K1522" t="str">
        <f>VLOOKUP(tblSalaries[[#This Row],[Where do you work]],tblCountries[[Actual]:[Mapping]],2,FALSE)</f>
        <v>USA</v>
      </c>
      <c r="L1522" t="s">
        <v>9</v>
      </c>
      <c r="M1522">
        <v>17</v>
      </c>
    </row>
    <row r="1523" spans="2:13" ht="15" customHeight="1">
      <c r="B1523" t="s">
        <v>3526</v>
      </c>
      <c r="C1523" s="1">
        <v>41060.906284722223</v>
      </c>
      <c r="D1523" s="4" t="s">
        <v>1704</v>
      </c>
      <c r="E1523">
        <v>60000</v>
      </c>
      <c r="F1523" t="s">
        <v>22</v>
      </c>
      <c r="G1523">
        <f>tblSalaries[[#This Row],[clean Salary (in local currency)]]*VLOOKUP(tblSalaries[[#This Row],[Currency]],tblXrate[],2,FALSE)</f>
        <v>76223.966339496474</v>
      </c>
      <c r="H1523" t="s">
        <v>1705</v>
      </c>
      <c r="I1523" t="s">
        <v>279</v>
      </c>
      <c r="J1523" t="s">
        <v>628</v>
      </c>
      <c r="K1523" t="str">
        <f>VLOOKUP(tblSalaries[[#This Row],[Where do you work]],tblCountries[[Actual]:[Mapping]],2,FALSE)</f>
        <v>Netherlands</v>
      </c>
      <c r="L1523" t="s">
        <v>9</v>
      </c>
      <c r="M1523">
        <v>7</v>
      </c>
    </row>
    <row r="1524" spans="2:13" ht="15" customHeight="1">
      <c r="B1524" t="s">
        <v>3527</v>
      </c>
      <c r="C1524" s="1">
        <v>41060.908067129632</v>
      </c>
      <c r="D1524" s="4">
        <v>110000</v>
      </c>
      <c r="E1524">
        <v>110000</v>
      </c>
      <c r="F1524" t="s">
        <v>6</v>
      </c>
      <c r="G1524">
        <f>tblSalaries[[#This Row],[clean Salary (in local currency)]]*VLOOKUP(tblSalaries[[#This Row],[Currency]],tblXrate[],2,FALSE)</f>
        <v>110000</v>
      </c>
      <c r="H1524" t="s">
        <v>269</v>
      </c>
      <c r="I1524" t="s">
        <v>488</v>
      </c>
      <c r="J1524" t="s">
        <v>583</v>
      </c>
      <c r="K1524" t="str">
        <f>VLOOKUP(tblSalaries[[#This Row],[Where do you work]],tblCountries[[Actual]:[Mapping]],2,FALSE)</f>
        <v>Norway</v>
      </c>
      <c r="L1524" t="s">
        <v>13</v>
      </c>
      <c r="M1524">
        <v>5</v>
      </c>
    </row>
    <row r="1525" spans="2:13" ht="15" customHeight="1">
      <c r="B1525" t="s">
        <v>3528</v>
      </c>
      <c r="C1525" s="1">
        <v>41060.908738425926</v>
      </c>
      <c r="D1525" s="4">
        <v>1200</v>
      </c>
      <c r="E1525">
        <v>14400</v>
      </c>
      <c r="F1525" t="s">
        <v>6</v>
      </c>
      <c r="G1525">
        <f>tblSalaries[[#This Row],[clean Salary (in local currency)]]*VLOOKUP(tblSalaries[[#This Row],[Currency]],tblXrate[],2,FALSE)</f>
        <v>14400</v>
      </c>
      <c r="H1525" t="s">
        <v>1706</v>
      </c>
      <c r="I1525" t="s">
        <v>20</v>
      </c>
      <c r="J1525" t="s">
        <v>1707</v>
      </c>
      <c r="K1525" t="str">
        <f>VLOOKUP(tblSalaries[[#This Row],[Where do you work]],tblCountries[[Actual]:[Mapping]],2,FALSE)</f>
        <v>Bulgaria</v>
      </c>
      <c r="L1525" t="s">
        <v>13</v>
      </c>
      <c r="M1525">
        <v>15</v>
      </c>
    </row>
    <row r="1526" spans="2:13" ht="15" customHeight="1">
      <c r="B1526" t="s">
        <v>3529</v>
      </c>
      <c r="C1526" s="1">
        <v>41060.920173611114</v>
      </c>
      <c r="D1526" s="4">
        <v>125000</v>
      </c>
      <c r="E1526">
        <v>125000</v>
      </c>
      <c r="F1526" t="s">
        <v>6</v>
      </c>
      <c r="G1526">
        <f>tblSalaries[[#This Row],[clean Salary (in local currency)]]*VLOOKUP(tblSalaries[[#This Row],[Currency]],tblXrate[],2,FALSE)</f>
        <v>125000</v>
      </c>
      <c r="H1526" t="s">
        <v>356</v>
      </c>
      <c r="I1526" t="s">
        <v>356</v>
      </c>
      <c r="J1526" t="s">
        <v>15</v>
      </c>
      <c r="K1526" t="str">
        <f>VLOOKUP(tblSalaries[[#This Row],[Where do you work]],tblCountries[[Actual]:[Mapping]],2,FALSE)</f>
        <v>USA</v>
      </c>
      <c r="L1526" t="s">
        <v>13</v>
      </c>
      <c r="M1526">
        <v>8</v>
      </c>
    </row>
    <row r="1527" spans="2:13" ht="15" customHeight="1">
      <c r="B1527" t="s">
        <v>3530</v>
      </c>
      <c r="C1527" s="1">
        <v>41060.921516203707</v>
      </c>
      <c r="D1527" s="4">
        <v>74000</v>
      </c>
      <c r="E1527">
        <v>74000</v>
      </c>
      <c r="F1527" t="s">
        <v>86</v>
      </c>
      <c r="G1527">
        <f>tblSalaries[[#This Row],[clean Salary (in local currency)]]*VLOOKUP(tblSalaries[[#This Row],[Currency]],tblXrate[],2,FALSE)</f>
        <v>72768.752704244194</v>
      </c>
      <c r="H1527" t="s">
        <v>386</v>
      </c>
      <c r="I1527" t="s">
        <v>20</v>
      </c>
      <c r="J1527" t="s">
        <v>88</v>
      </c>
      <c r="K1527" t="str">
        <f>VLOOKUP(tblSalaries[[#This Row],[Where do you work]],tblCountries[[Actual]:[Mapping]],2,FALSE)</f>
        <v>Canada</v>
      </c>
      <c r="L1527" t="s">
        <v>9</v>
      </c>
      <c r="M1527">
        <v>10</v>
      </c>
    </row>
    <row r="1528" spans="2:13" ht="15" customHeight="1">
      <c r="B1528" t="s">
        <v>3531</v>
      </c>
      <c r="C1528" s="1">
        <v>41060.95579861111</v>
      </c>
      <c r="D1528" s="4" t="s">
        <v>1708</v>
      </c>
      <c r="E1528">
        <v>59000</v>
      </c>
      <c r="F1528" t="s">
        <v>6</v>
      </c>
      <c r="G1528">
        <f>tblSalaries[[#This Row],[clean Salary (in local currency)]]*VLOOKUP(tblSalaries[[#This Row],[Currency]],tblXrate[],2,FALSE)</f>
        <v>59000</v>
      </c>
      <c r="H1528" t="s">
        <v>1709</v>
      </c>
      <c r="I1528" t="s">
        <v>52</v>
      </c>
      <c r="J1528" t="s">
        <v>15</v>
      </c>
      <c r="K1528" t="str">
        <f>VLOOKUP(tblSalaries[[#This Row],[Where do you work]],tblCountries[[Actual]:[Mapping]],2,FALSE)</f>
        <v>USA</v>
      </c>
      <c r="L1528" t="s">
        <v>9</v>
      </c>
      <c r="M1528">
        <v>15</v>
      </c>
    </row>
    <row r="1529" spans="2:13" ht="15" customHeight="1">
      <c r="B1529" t="s">
        <v>3532</v>
      </c>
      <c r="C1529" s="1">
        <v>41060.96402777778</v>
      </c>
      <c r="D1529" s="4">
        <v>71500</v>
      </c>
      <c r="E1529">
        <v>71500</v>
      </c>
      <c r="F1529" t="s">
        <v>6</v>
      </c>
      <c r="G1529">
        <f>tblSalaries[[#This Row],[clean Salary (in local currency)]]*VLOOKUP(tblSalaries[[#This Row],[Currency]],tblXrate[],2,FALSE)</f>
        <v>71500</v>
      </c>
      <c r="H1529" t="s">
        <v>1710</v>
      </c>
      <c r="I1529" t="s">
        <v>20</v>
      </c>
      <c r="J1529" t="s">
        <v>15</v>
      </c>
      <c r="K1529" t="str">
        <f>VLOOKUP(tblSalaries[[#This Row],[Where do you work]],tblCountries[[Actual]:[Mapping]],2,FALSE)</f>
        <v>USA</v>
      </c>
      <c r="L1529" t="s">
        <v>9</v>
      </c>
      <c r="M1529">
        <v>5</v>
      </c>
    </row>
    <row r="1530" spans="2:13" ht="15" customHeight="1">
      <c r="B1530" t="s">
        <v>3533</v>
      </c>
      <c r="C1530" s="1">
        <v>41060.964675925927</v>
      </c>
      <c r="D1530" s="4" t="s">
        <v>1251</v>
      </c>
      <c r="E1530">
        <v>25000</v>
      </c>
      <c r="F1530" t="s">
        <v>69</v>
      </c>
      <c r="G1530">
        <f>tblSalaries[[#This Row],[clean Salary (in local currency)]]*VLOOKUP(tblSalaries[[#This Row],[Currency]],tblXrate[],2,FALSE)</f>
        <v>39404.456801682099</v>
      </c>
      <c r="H1530" t="s">
        <v>1711</v>
      </c>
      <c r="I1530" t="s">
        <v>3999</v>
      </c>
      <c r="J1530" t="s">
        <v>71</v>
      </c>
      <c r="K1530" t="str">
        <f>VLOOKUP(tblSalaries[[#This Row],[Where do you work]],tblCountries[[Actual]:[Mapping]],2,FALSE)</f>
        <v>UK</v>
      </c>
      <c r="L1530" t="s">
        <v>9</v>
      </c>
      <c r="M1530">
        <v>2</v>
      </c>
    </row>
    <row r="1531" spans="2:13" ht="15" customHeight="1">
      <c r="B1531" t="s">
        <v>3534</v>
      </c>
      <c r="C1531" s="1">
        <v>41060.965787037036</v>
      </c>
      <c r="D1531" s="4" t="s">
        <v>1712</v>
      </c>
      <c r="E1531">
        <v>70000</v>
      </c>
      <c r="F1531" t="s">
        <v>22</v>
      </c>
      <c r="G1531">
        <f>tblSalaries[[#This Row],[clean Salary (in local currency)]]*VLOOKUP(tblSalaries[[#This Row],[Currency]],tblXrate[],2,FALSE)</f>
        <v>88927.960729412545</v>
      </c>
      <c r="H1531" t="s">
        <v>1713</v>
      </c>
      <c r="I1531" t="s">
        <v>67</v>
      </c>
      <c r="J1531" t="s">
        <v>24</v>
      </c>
      <c r="K1531" t="str">
        <f>VLOOKUP(tblSalaries[[#This Row],[Where do you work]],tblCountries[[Actual]:[Mapping]],2,FALSE)</f>
        <v>Germany</v>
      </c>
      <c r="L1531" t="s">
        <v>25</v>
      </c>
      <c r="M1531">
        <v>5</v>
      </c>
    </row>
    <row r="1532" spans="2:13" ht="15" customHeight="1">
      <c r="B1532" t="s">
        <v>3535</v>
      </c>
      <c r="C1532" s="1">
        <v>41060.992083333331</v>
      </c>
      <c r="D1532" s="4" t="s">
        <v>1714</v>
      </c>
      <c r="E1532">
        <v>90000</v>
      </c>
      <c r="F1532" t="s">
        <v>6</v>
      </c>
      <c r="G1532">
        <f>tblSalaries[[#This Row],[clean Salary (in local currency)]]*VLOOKUP(tblSalaries[[#This Row],[Currency]],tblXrate[],2,FALSE)</f>
        <v>90000</v>
      </c>
      <c r="H1532" t="s">
        <v>1715</v>
      </c>
      <c r="I1532" t="s">
        <v>52</v>
      </c>
      <c r="J1532" t="s">
        <v>15</v>
      </c>
      <c r="K1532" t="str">
        <f>VLOOKUP(tblSalaries[[#This Row],[Where do you work]],tblCountries[[Actual]:[Mapping]],2,FALSE)</f>
        <v>USA</v>
      </c>
      <c r="L1532" t="s">
        <v>9</v>
      </c>
      <c r="M1532">
        <v>25</v>
      </c>
    </row>
    <row r="1533" spans="2:13" ht="15" customHeight="1">
      <c r="B1533" t="s">
        <v>3536</v>
      </c>
      <c r="C1533" s="1">
        <v>41061.001782407409</v>
      </c>
      <c r="D1533" s="4" t="s">
        <v>1186</v>
      </c>
      <c r="E1533">
        <v>700000</v>
      </c>
      <c r="F1533" t="s">
        <v>40</v>
      </c>
      <c r="G1533">
        <f>tblSalaries[[#This Row],[clean Salary (in local currency)]]*VLOOKUP(tblSalaries[[#This Row],[Currency]],tblXrate[],2,FALSE)</f>
        <v>12465.541681209797</v>
      </c>
      <c r="H1533" t="s">
        <v>1716</v>
      </c>
      <c r="I1533" t="s">
        <v>52</v>
      </c>
      <c r="J1533" t="s">
        <v>8</v>
      </c>
      <c r="K1533" t="str">
        <f>VLOOKUP(tblSalaries[[#This Row],[Where do you work]],tblCountries[[Actual]:[Mapping]],2,FALSE)</f>
        <v>India</v>
      </c>
      <c r="L1533" t="s">
        <v>13</v>
      </c>
      <c r="M1533">
        <v>30</v>
      </c>
    </row>
    <row r="1534" spans="2:13" ht="15" customHeight="1">
      <c r="B1534" t="s">
        <v>3537</v>
      </c>
      <c r="C1534" s="1">
        <v>41061.01290509259</v>
      </c>
      <c r="D1534" s="4" t="s">
        <v>1717</v>
      </c>
      <c r="E1534">
        <v>40000</v>
      </c>
      <c r="F1534" t="s">
        <v>6</v>
      </c>
      <c r="G1534">
        <f>tblSalaries[[#This Row],[clean Salary (in local currency)]]*VLOOKUP(tblSalaries[[#This Row],[Currency]],tblXrate[],2,FALSE)</f>
        <v>40000</v>
      </c>
      <c r="H1534" t="s">
        <v>1718</v>
      </c>
      <c r="I1534" t="s">
        <v>20</v>
      </c>
      <c r="J1534" t="s">
        <v>15</v>
      </c>
      <c r="K1534" t="str">
        <f>VLOOKUP(tblSalaries[[#This Row],[Where do you work]],tblCountries[[Actual]:[Mapping]],2,FALSE)</f>
        <v>USA</v>
      </c>
      <c r="L1534" t="s">
        <v>9</v>
      </c>
      <c r="M1534">
        <v>8</v>
      </c>
    </row>
    <row r="1535" spans="2:13" ht="15" customHeight="1">
      <c r="B1535" t="s">
        <v>3538</v>
      </c>
      <c r="C1535" s="1">
        <v>41061.016597222224</v>
      </c>
      <c r="D1535" s="4">
        <v>30000</v>
      </c>
      <c r="E1535">
        <v>30000</v>
      </c>
      <c r="F1535" t="s">
        <v>6</v>
      </c>
      <c r="G1535">
        <f>tblSalaries[[#This Row],[clean Salary (in local currency)]]*VLOOKUP(tblSalaries[[#This Row],[Currency]],tblXrate[],2,FALSE)</f>
        <v>30000</v>
      </c>
      <c r="H1535" t="s">
        <v>1719</v>
      </c>
      <c r="I1535" t="s">
        <v>20</v>
      </c>
      <c r="J1535" t="s">
        <v>8</v>
      </c>
      <c r="K1535" t="str">
        <f>VLOOKUP(tblSalaries[[#This Row],[Where do you work]],tblCountries[[Actual]:[Mapping]],2,FALSE)</f>
        <v>India</v>
      </c>
      <c r="L1535" t="s">
        <v>13</v>
      </c>
      <c r="M1535">
        <v>4</v>
      </c>
    </row>
    <row r="1536" spans="2:13" ht="15" customHeight="1">
      <c r="B1536" t="s">
        <v>3539</v>
      </c>
      <c r="C1536" s="1">
        <v>41061.061828703707</v>
      </c>
      <c r="D1536" s="4">
        <v>46325</v>
      </c>
      <c r="E1536">
        <v>46325</v>
      </c>
      <c r="F1536" t="s">
        <v>6</v>
      </c>
      <c r="G1536">
        <f>tblSalaries[[#This Row],[clean Salary (in local currency)]]*VLOOKUP(tblSalaries[[#This Row],[Currency]],tblXrate[],2,FALSE)</f>
        <v>46325</v>
      </c>
      <c r="H1536" t="s">
        <v>1720</v>
      </c>
      <c r="I1536" t="s">
        <v>488</v>
      </c>
      <c r="J1536" t="s">
        <v>15</v>
      </c>
      <c r="K1536" t="str">
        <f>VLOOKUP(tblSalaries[[#This Row],[Where do you work]],tblCountries[[Actual]:[Mapping]],2,FALSE)</f>
        <v>USA</v>
      </c>
      <c r="L1536" t="s">
        <v>9</v>
      </c>
      <c r="M1536">
        <v>1</v>
      </c>
    </row>
    <row r="1537" spans="2:13" ht="15" customHeight="1">
      <c r="B1537" t="s">
        <v>3540</v>
      </c>
      <c r="C1537" s="1">
        <v>41061.074803240743</v>
      </c>
      <c r="D1537" s="4">
        <v>15000</v>
      </c>
      <c r="E1537">
        <v>15000</v>
      </c>
      <c r="F1537" t="s">
        <v>6</v>
      </c>
      <c r="G1537">
        <f>tblSalaries[[#This Row],[clean Salary (in local currency)]]*VLOOKUP(tblSalaries[[#This Row],[Currency]],tblXrate[],2,FALSE)</f>
        <v>15000</v>
      </c>
      <c r="H1537" t="s">
        <v>955</v>
      </c>
      <c r="I1537" t="s">
        <v>20</v>
      </c>
      <c r="J1537" t="s">
        <v>15</v>
      </c>
      <c r="K1537" t="str">
        <f>VLOOKUP(tblSalaries[[#This Row],[Where do you work]],tblCountries[[Actual]:[Mapping]],2,FALSE)</f>
        <v>USA</v>
      </c>
      <c r="L1537" t="s">
        <v>13</v>
      </c>
      <c r="M1537">
        <v>8</v>
      </c>
    </row>
    <row r="1538" spans="2:13" ht="15" customHeight="1">
      <c r="B1538" t="s">
        <v>3541</v>
      </c>
      <c r="C1538" s="1">
        <v>41061.106273148151</v>
      </c>
      <c r="D1538" s="4">
        <v>31200</v>
      </c>
      <c r="E1538">
        <v>31200</v>
      </c>
      <c r="F1538" t="s">
        <v>6</v>
      </c>
      <c r="G1538">
        <f>tblSalaries[[#This Row],[clean Salary (in local currency)]]*VLOOKUP(tblSalaries[[#This Row],[Currency]],tblXrate[],2,FALSE)</f>
        <v>31200</v>
      </c>
      <c r="H1538" t="s">
        <v>153</v>
      </c>
      <c r="I1538" t="s">
        <v>20</v>
      </c>
      <c r="J1538" t="s">
        <v>15</v>
      </c>
      <c r="K1538" t="str">
        <f>VLOOKUP(tblSalaries[[#This Row],[Where do you work]],tblCountries[[Actual]:[Mapping]],2,FALSE)</f>
        <v>USA</v>
      </c>
      <c r="L1538" t="s">
        <v>9</v>
      </c>
      <c r="M1538">
        <v>15</v>
      </c>
    </row>
    <row r="1539" spans="2:13" ht="15" customHeight="1">
      <c r="B1539" t="s">
        <v>3542</v>
      </c>
      <c r="C1539" s="1">
        <v>41061.115520833337</v>
      </c>
      <c r="D1539" s="4" t="s">
        <v>457</v>
      </c>
      <c r="E1539">
        <v>500000</v>
      </c>
      <c r="F1539" t="s">
        <v>40</v>
      </c>
      <c r="G1539">
        <f>tblSalaries[[#This Row],[clean Salary (in local currency)]]*VLOOKUP(tblSalaries[[#This Row],[Currency]],tblXrate[],2,FALSE)</f>
        <v>8903.9583437212841</v>
      </c>
      <c r="H1539" t="s">
        <v>243</v>
      </c>
      <c r="I1539" t="s">
        <v>20</v>
      </c>
      <c r="J1539" t="s">
        <v>8</v>
      </c>
      <c r="K1539" t="str">
        <f>VLOOKUP(tblSalaries[[#This Row],[Where do you work]],tblCountries[[Actual]:[Mapping]],2,FALSE)</f>
        <v>India</v>
      </c>
      <c r="L1539" t="s">
        <v>9</v>
      </c>
      <c r="M1539">
        <v>9</v>
      </c>
    </row>
    <row r="1540" spans="2:13" ht="15" customHeight="1">
      <c r="B1540" t="s">
        <v>3543</v>
      </c>
      <c r="C1540" s="1">
        <v>41061.125740740739</v>
      </c>
      <c r="D1540" s="4">
        <v>1320</v>
      </c>
      <c r="E1540">
        <v>15840</v>
      </c>
      <c r="F1540" t="s">
        <v>6</v>
      </c>
      <c r="G1540">
        <f>tblSalaries[[#This Row],[clean Salary (in local currency)]]*VLOOKUP(tblSalaries[[#This Row],[Currency]],tblXrate[],2,FALSE)</f>
        <v>15840</v>
      </c>
      <c r="H1540" t="s">
        <v>1721</v>
      </c>
      <c r="I1540" t="s">
        <v>20</v>
      </c>
      <c r="J1540" t="s">
        <v>1722</v>
      </c>
      <c r="K1540" t="str">
        <f>VLOOKUP(tblSalaries[[#This Row],[Where do you work]],tblCountries[[Actual]:[Mapping]],2,FALSE)</f>
        <v>Peru</v>
      </c>
      <c r="L1540" t="s">
        <v>13</v>
      </c>
      <c r="M1540">
        <v>8</v>
      </c>
    </row>
    <row r="1541" spans="2:13" ht="15" customHeight="1">
      <c r="B1541" t="s">
        <v>3544</v>
      </c>
      <c r="C1541" s="1">
        <v>41061.130219907405</v>
      </c>
      <c r="D1541" s="4" t="s">
        <v>1723</v>
      </c>
      <c r="E1541">
        <v>850000</v>
      </c>
      <c r="F1541" t="s">
        <v>40</v>
      </c>
      <c r="G1541">
        <f>tblSalaries[[#This Row],[clean Salary (in local currency)]]*VLOOKUP(tblSalaries[[#This Row],[Currency]],tblXrate[],2,FALSE)</f>
        <v>15136.729184326183</v>
      </c>
      <c r="H1541" t="s">
        <v>1724</v>
      </c>
      <c r="I1541" t="s">
        <v>20</v>
      </c>
      <c r="J1541" t="s">
        <v>8</v>
      </c>
      <c r="K1541" t="str">
        <f>VLOOKUP(tblSalaries[[#This Row],[Where do you work]],tblCountries[[Actual]:[Mapping]],2,FALSE)</f>
        <v>India</v>
      </c>
      <c r="L1541" t="s">
        <v>9</v>
      </c>
      <c r="M1541">
        <v>5</v>
      </c>
    </row>
    <row r="1542" spans="2:13" ht="15" customHeight="1">
      <c r="B1542" t="s">
        <v>3545</v>
      </c>
      <c r="C1542" s="1">
        <v>41061.174212962964</v>
      </c>
      <c r="D1542" s="4">
        <v>41000</v>
      </c>
      <c r="E1542">
        <v>41000</v>
      </c>
      <c r="F1542" t="s">
        <v>6</v>
      </c>
      <c r="G1542">
        <f>tblSalaries[[#This Row],[clean Salary (in local currency)]]*VLOOKUP(tblSalaries[[#This Row],[Currency]],tblXrate[],2,FALSE)</f>
        <v>41000</v>
      </c>
      <c r="H1542" t="s">
        <v>1180</v>
      </c>
      <c r="I1542" t="s">
        <v>356</v>
      </c>
      <c r="J1542" t="s">
        <v>15</v>
      </c>
      <c r="K1542" t="str">
        <f>VLOOKUP(tblSalaries[[#This Row],[Where do you work]],tblCountries[[Actual]:[Mapping]],2,FALSE)</f>
        <v>USA</v>
      </c>
      <c r="L1542" t="s">
        <v>9</v>
      </c>
      <c r="M1542">
        <v>10</v>
      </c>
    </row>
    <row r="1543" spans="2:13" ht="15" customHeight="1">
      <c r="B1543" t="s">
        <v>3546</v>
      </c>
      <c r="C1543" s="1">
        <v>41061.197557870371</v>
      </c>
      <c r="D1543" s="4">
        <v>11000</v>
      </c>
      <c r="E1543">
        <v>11000</v>
      </c>
      <c r="F1543" t="s">
        <v>6</v>
      </c>
      <c r="G1543">
        <f>tblSalaries[[#This Row],[clean Salary (in local currency)]]*VLOOKUP(tblSalaries[[#This Row],[Currency]],tblXrate[],2,FALSE)</f>
        <v>11000</v>
      </c>
      <c r="H1543" t="s">
        <v>754</v>
      </c>
      <c r="I1543" t="s">
        <v>52</v>
      </c>
      <c r="J1543" t="s">
        <v>1031</v>
      </c>
      <c r="K1543" t="str">
        <f>VLOOKUP(tblSalaries[[#This Row],[Where do you work]],tblCountries[[Actual]:[Mapping]],2,FALSE)</f>
        <v>Mexico</v>
      </c>
      <c r="L1543" t="s">
        <v>9</v>
      </c>
      <c r="M1543">
        <v>2</v>
      </c>
    </row>
    <row r="1544" spans="2:13" ht="15" customHeight="1">
      <c r="B1544" t="s">
        <v>3547</v>
      </c>
      <c r="C1544" s="1">
        <v>41061.230914351851</v>
      </c>
      <c r="D1544" s="4" t="s">
        <v>1725</v>
      </c>
      <c r="E1544">
        <v>35000</v>
      </c>
      <c r="F1544" t="s">
        <v>69</v>
      </c>
      <c r="G1544">
        <f>tblSalaries[[#This Row],[clean Salary (in local currency)]]*VLOOKUP(tblSalaries[[#This Row],[Currency]],tblXrate[],2,FALSE)</f>
        <v>55166.239522354947</v>
      </c>
      <c r="H1544" t="s">
        <v>1726</v>
      </c>
      <c r="I1544" t="s">
        <v>4001</v>
      </c>
      <c r="J1544" t="s">
        <v>71</v>
      </c>
      <c r="K1544" t="str">
        <f>VLOOKUP(tblSalaries[[#This Row],[Where do you work]],tblCountries[[Actual]:[Mapping]],2,FALSE)</f>
        <v>UK</v>
      </c>
      <c r="L1544" t="s">
        <v>18</v>
      </c>
      <c r="M1544">
        <v>30</v>
      </c>
    </row>
    <row r="1545" spans="2:13" ht="15" customHeight="1">
      <c r="B1545" t="s">
        <v>3548</v>
      </c>
      <c r="C1545" s="1">
        <v>41061.234398148146</v>
      </c>
      <c r="D1545" s="4">
        <v>240000</v>
      </c>
      <c r="E1545">
        <v>240000</v>
      </c>
      <c r="F1545" t="s">
        <v>3951</v>
      </c>
      <c r="G1545">
        <f>tblSalaries[[#This Row],[clean Salary (in local currency)]]*VLOOKUP(tblSalaries[[#This Row],[Currency]],tblXrate[],2,FALSE)</f>
        <v>5689.2125418690484</v>
      </c>
      <c r="H1545" t="s">
        <v>1727</v>
      </c>
      <c r="I1545" t="s">
        <v>52</v>
      </c>
      <c r="J1545" t="s">
        <v>347</v>
      </c>
      <c r="K1545" t="str">
        <f>VLOOKUP(tblSalaries[[#This Row],[Where do you work]],tblCountries[[Actual]:[Mapping]],2,FALSE)</f>
        <v>Philippines</v>
      </c>
      <c r="L1545" t="s">
        <v>9</v>
      </c>
      <c r="M1545">
        <v>15</v>
      </c>
    </row>
    <row r="1546" spans="2:13" ht="15" customHeight="1">
      <c r="B1546" t="s">
        <v>3549</v>
      </c>
      <c r="C1546" s="1">
        <v>41061.244571759256</v>
      </c>
      <c r="D1546" s="4">
        <v>17728.57</v>
      </c>
      <c r="E1546">
        <v>17728</v>
      </c>
      <c r="F1546" t="s">
        <v>6</v>
      </c>
      <c r="G1546">
        <f>tblSalaries[[#This Row],[clean Salary (in local currency)]]*VLOOKUP(tblSalaries[[#This Row],[Currency]],tblXrate[],2,FALSE)</f>
        <v>17728</v>
      </c>
      <c r="H1546" t="s">
        <v>466</v>
      </c>
      <c r="I1546" t="s">
        <v>20</v>
      </c>
      <c r="J1546" t="s">
        <v>166</v>
      </c>
      <c r="K1546" t="str">
        <f>VLOOKUP(tblSalaries[[#This Row],[Where do you work]],tblCountries[[Actual]:[Mapping]],2,FALSE)</f>
        <v>Mexico</v>
      </c>
      <c r="L1546" t="s">
        <v>9</v>
      </c>
      <c r="M1546">
        <v>3</v>
      </c>
    </row>
    <row r="1547" spans="2:13" ht="15" customHeight="1">
      <c r="B1547" t="s">
        <v>3550</v>
      </c>
      <c r="C1547" s="1">
        <v>41061.247453703705</v>
      </c>
      <c r="D1547" s="4" t="s">
        <v>1728</v>
      </c>
      <c r="E1547">
        <v>120000</v>
      </c>
      <c r="F1547" t="s">
        <v>1729</v>
      </c>
      <c r="G1547">
        <f>tblSalaries[[#This Row],[clean Salary (in local currency)]]*VLOOKUP(tblSalaries[[#This Row],[Currency]],tblXrate[],2,FALSE)</f>
        <v>13745.704467353951</v>
      </c>
      <c r="H1547" t="s">
        <v>1730</v>
      </c>
      <c r="I1547" t="s">
        <v>488</v>
      </c>
      <c r="J1547" t="s">
        <v>1731</v>
      </c>
      <c r="K1547" t="str">
        <f>VLOOKUP(tblSalaries[[#This Row],[Where do you work]],tblCountries[[Actual]:[Mapping]],2,FALSE)</f>
        <v>Morocco</v>
      </c>
      <c r="L1547" t="s">
        <v>13</v>
      </c>
      <c r="M1547">
        <v>8</v>
      </c>
    </row>
    <row r="1548" spans="2:13" ht="15" customHeight="1">
      <c r="B1548" t="s">
        <v>3551</v>
      </c>
      <c r="C1548" s="1">
        <v>41061.262025462966</v>
      </c>
      <c r="D1548" s="4">
        <v>50000</v>
      </c>
      <c r="E1548">
        <v>50000</v>
      </c>
      <c r="F1548" t="s">
        <v>6</v>
      </c>
      <c r="G1548">
        <f>tblSalaries[[#This Row],[clean Salary (in local currency)]]*VLOOKUP(tblSalaries[[#This Row],[Currency]],tblXrate[],2,FALSE)</f>
        <v>50000</v>
      </c>
      <c r="H1548" t="s">
        <v>1369</v>
      </c>
      <c r="I1548" t="s">
        <v>310</v>
      </c>
      <c r="J1548" t="s">
        <v>15</v>
      </c>
      <c r="K1548" t="str">
        <f>VLOOKUP(tblSalaries[[#This Row],[Where do you work]],tblCountries[[Actual]:[Mapping]],2,FALSE)</f>
        <v>USA</v>
      </c>
      <c r="L1548" t="s">
        <v>9</v>
      </c>
      <c r="M1548">
        <v>15</v>
      </c>
    </row>
    <row r="1549" spans="2:13" ht="15" customHeight="1">
      <c r="B1549" t="s">
        <v>3552</v>
      </c>
      <c r="C1549" s="1">
        <v>41061.272094907406</v>
      </c>
      <c r="D1549" s="4">
        <v>80000</v>
      </c>
      <c r="E1549">
        <v>80000</v>
      </c>
      <c r="F1549" t="s">
        <v>86</v>
      </c>
      <c r="G1549">
        <f>tblSalaries[[#This Row],[clean Salary (in local currency)]]*VLOOKUP(tblSalaries[[#This Row],[Currency]],tblXrate[],2,FALSE)</f>
        <v>78668.921842426149</v>
      </c>
      <c r="H1549" t="s">
        <v>1732</v>
      </c>
      <c r="I1549" t="s">
        <v>20</v>
      </c>
      <c r="J1549" t="s">
        <v>88</v>
      </c>
      <c r="K1549" t="str">
        <f>VLOOKUP(tblSalaries[[#This Row],[Where do you work]],tblCountries[[Actual]:[Mapping]],2,FALSE)</f>
        <v>Canada</v>
      </c>
      <c r="L1549" t="s">
        <v>9</v>
      </c>
      <c r="M1549">
        <v>7</v>
      </c>
    </row>
    <row r="1550" spans="2:13" ht="15" customHeight="1">
      <c r="B1550" t="s">
        <v>3553</v>
      </c>
      <c r="C1550" s="1">
        <v>41061.287407407406</v>
      </c>
      <c r="D1550" s="4">
        <v>85000</v>
      </c>
      <c r="E1550">
        <v>85000</v>
      </c>
      <c r="F1550" t="s">
        <v>6</v>
      </c>
      <c r="G1550">
        <f>tblSalaries[[#This Row],[clean Salary (in local currency)]]*VLOOKUP(tblSalaries[[#This Row],[Currency]],tblXrate[],2,FALSE)</f>
        <v>85000</v>
      </c>
      <c r="H1550" t="s">
        <v>1733</v>
      </c>
      <c r="I1550" t="s">
        <v>3999</v>
      </c>
      <c r="J1550" t="s">
        <v>15</v>
      </c>
      <c r="K1550" t="str">
        <f>VLOOKUP(tblSalaries[[#This Row],[Where do you work]],tblCountries[[Actual]:[Mapping]],2,FALSE)</f>
        <v>USA</v>
      </c>
      <c r="L1550" t="s">
        <v>9</v>
      </c>
      <c r="M1550">
        <v>10</v>
      </c>
    </row>
    <row r="1551" spans="2:13" ht="15" customHeight="1">
      <c r="B1551" t="s">
        <v>3554</v>
      </c>
      <c r="C1551" s="1">
        <v>41061.30736111111</v>
      </c>
      <c r="D1551" s="4">
        <v>100000</v>
      </c>
      <c r="E1551">
        <v>100000</v>
      </c>
      <c r="F1551" t="s">
        <v>82</v>
      </c>
      <c r="G1551">
        <f>tblSalaries[[#This Row],[clean Salary (in local currency)]]*VLOOKUP(tblSalaries[[#This Row],[Currency]],tblXrate[],2,FALSE)</f>
        <v>101990.96564026357</v>
      </c>
      <c r="H1551" t="s">
        <v>772</v>
      </c>
      <c r="I1551" t="s">
        <v>52</v>
      </c>
      <c r="J1551" t="s">
        <v>84</v>
      </c>
      <c r="K1551" t="str">
        <f>VLOOKUP(tblSalaries[[#This Row],[Where do you work]],tblCountries[[Actual]:[Mapping]],2,FALSE)</f>
        <v>Australia</v>
      </c>
      <c r="L1551" t="s">
        <v>9</v>
      </c>
      <c r="M1551">
        <v>20</v>
      </c>
    </row>
    <row r="1552" spans="2:13" ht="15" customHeight="1">
      <c r="B1552" t="s">
        <v>3555</v>
      </c>
      <c r="C1552" s="1">
        <v>41061.337893518517</v>
      </c>
      <c r="D1552" s="4" t="s">
        <v>1734</v>
      </c>
      <c r="E1552">
        <v>5650000</v>
      </c>
      <c r="F1552" t="s">
        <v>40</v>
      </c>
      <c r="G1552">
        <f>tblSalaries[[#This Row],[clean Salary (in local currency)]]*VLOOKUP(tblSalaries[[#This Row],[Currency]],tblXrate[],2,FALSE)</f>
        <v>100614.72928405051</v>
      </c>
      <c r="H1552" t="s">
        <v>360</v>
      </c>
      <c r="I1552" t="s">
        <v>3999</v>
      </c>
      <c r="J1552" t="s">
        <v>8</v>
      </c>
      <c r="K1552" t="str">
        <f>VLOOKUP(tblSalaries[[#This Row],[Where do you work]],tblCountries[[Actual]:[Mapping]],2,FALSE)</f>
        <v>India</v>
      </c>
      <c r="L1552" t="s">
        <v>18</v>
      </c>
      <c r="M1552">
        <v>6</v>
      </c>
    </row>
    <row r="1553" spans="2:13" ht="15" customHeight="1">
      <c r="B1553" t="s">
        <v>3556</v>
      </c>
      <c r="C1553" s="1">
        <v>41061.369803240741</v>
      </c>
      <c r="D1553" s="4">
        <v>85000</v>
      </c>
      <c r="E1553">
        <v>85000</v>
      </c>
      <c r="F1553" t="s">
        <v>82</v>
      </c>
      <c r="G1553">
        <f>tblSalaries[[#This Row],[clean Salary (in local currency)]]*VLOOKUP(tblSalaries[[#This Row],[Currency]],tblXrate[],2,FALSE)</f>
        <v>86692.320794224041</v>
      </c>
      <c r="H1553" t="s">
        <v>1735</v>
      </c>
      <c r="I1553" t="s">
        <v>20</v>
      </c>
      <c r="J1553" t="s">
        <v>84</v>
      </c>
      <c r="K1553" t="str">
        <f>VLOOKUP(tblSalaries[[#This Row],[Where do you work]],tblCountries[[Actual]:[Mapping]],2,FALSE)</f>
        <v>Australia</v>
      </c>
      <c r="L1553" t="s">
        <v>9</v>
      </c>
      <c r="M1553">
        <v>30</v>
      </c>
    </row>
    <row r="1554" spans="2:13" ht="15" customHeight="1">
      <c r="B1554" t="s">
        <v>3557</v>
      </c>
      <c r="C1554" s="1">
        <v>41061.45517361111</v>
      </c>
      <c r="D1554" s="4" t="s">
        <v>1736</v>
      </c>
      <c r="E1554">
        <v>120000</v>
      </c>
      <c r="F1554" t="s">
        <v>82</v>
      </c>
      <c r="G1554">
        <f>tblSalaries[[#This Row],[clean Salary (in local currency)]]*VLOOKUP(tblSalaries[[#This Row],[Currency]],tblXrate[],2,FALSE)</f>
        <v>122389.15876831629</v>
      </c>
      <c r="H1554" t="s">
        <v>855</v>
      </c>
      <c r="I1554" t="s">
        <v>20</v>
      </c>
      <c r="J1554" t="s">
        <v>84</v>
      </c>
      <c r="K1554" t="str">
        <f>VLOOKUP(tblSalaries[[#This Row],[Where do you work]],tblCountries[[Actual]:[Mapping]],2,FALSE)</f>
        <v>Australia</v>
      </c>
      <c r="L1554" t="s">
        <v>18</v>
      </c>
      <c r="M1554">
        <v>5</v>
      </c>
    </row>
    <row r="1555" spans="2:13" ht="15" customHeight="1">
      <c r="B1555" t="s">
        <v>3558</v>
      </c>
      <c r="C1555" s="1">
        <v>41061.456932870373</v>
      </c>
      <c r="D1555" s="4" t="s">
        <v>419</v>
      </c>
      <c r="E1555">
        <v>360000</v>
      </c>
      <c r="F1555" t="s">
        <v>40</v>
      </c>
      <c r="G1555">
        <f>tblSalaries[[#This Row],[clean Salary (in local currency)]]*VLOOKUP(tblSalaries[[#This Row],[Currency]],tblXrate[],2,FALSE)</f>
        <v>6410.8500074793246</v>
      </c>
      <c r="H1555" t="s">
        <v>1737</v>
      </c>
      <c r="I1555" t="s">
        <v>52</v>
      </c>
      <c r="J1555" t="s">
        <v>8</v>
      </c>
      <c r="K1555" t="str">
        <f>VLOOKUP(tblSalaries[[#This Row],[Where do you work]],tblCountries[[Actual]:[Mapping]],2,FALSE)</f>
        <v>India</v>
      </c>
      <c r="L1555" t="s">
        <v>18</v>
      </c>
      <c r="M1555">
        <v>8</v>
      </c>
    </row>
    <row r="1556" spans="2:13" ht="15" customHeight="1">
      <c r="B1556" t="s">
        <v>3559</v>
      </c>
      <c r="C1556" s="1">
        <v>41061.543958333335</v>
      </c>
      <c r="D1556" s="4">
        <v>44000</v>
      </c>
      <c r="E1556">
        <v>44000</v>
      </c>
      <c r="F1556" t="s">
        <v>6</v>
      </c>
      <c r="G1556">
        <f>tblSalaries[[#This Row],[clean Salary (in local currency)]]*VLOOKUP(tblSalaries[[#This Row],[Currency]],tblXrate[],2,FALSE)</f>
        <v>44000</v>
      </c>
      <c r="H1556" t="s">
        <v>1738</v>
      </c>
      <c r="I1556" t="s">
        <v>20</v>
      </c>
      <c r="J1556" t="s">
        <v>15</v>
      </c>
      <c r="K1556" t="str">
        <f>VLOOKUP(tblSalaries[[#This Row],[Where do you work]],tblCountries[[Actual]:[Mapping]],2,FALSE)</f>
        <v>USA</v>
      </c>
      <c r="L1556" t="s">
        <v>9</v>
      </c>
      <c r="M1556">
        <v>3.5</v>
      </c>
    </row>
    <row r="1557" spans="2:13" ht="15" customHeight="1">
      <c r="B1557" t="s">
        <v>3560</v>
      </c>
      <c r="C1557" s="1">
        <v>41061.606030092589</v>
      </c>
      <c r="D1557" s="4">
        <v>250000</v>
      </c>
      <c r="E1557">
        <v>250000</v>
      </c>
      <c r="F1557" t="s">
        <v>40</v>
      </c>
      <c r="G1557">
        <f>tblSalaries[[#This Row],[clean Salary (in local currency)]]*VLOOKUP(tblSalaries[[#This Row],[Currency]],tblXrate[],2,FALSE)</f>
        <v>4451.9791718606421</v>
      </c>
      <c r="H1557" t="s">
        <v>1739</v>
      </c>
      <c r="I1557" t="s">
        <v>279</v>
      </c>
      <c r="J1557" t="s">
        <v>8</v>
      </c>
      <c r="K1557" t="str">
        <f>VLOOKUP(tblSalaries[[#This Row],[Where do you work]],tblCountries[[Actual]:[Mapping]],2,FALSE)</f>
        <v>India</v>
      </c>
      <c r="L1557" t="s">
        <v>9</v>
      </c>
      <c r="M1557">
        <v>2.5</v>
      </c>
    </row>
    <row r="1558" spans="2:13" ht="15" customHeight="1">
      <c r="B1558" t="s">
        <v>3561</v>
      </c>
      <c r="C1558" s="1">
        <v>41061.618530092594</v>
      </c>
      <c r="D1558" s="4">
        <v>4500</v>
      </c>
      <c r="E1558">
        <v>4500</v>
      </c>
      <c r="F1558" t="s">
        <v>6</v>
      </c>
      <c r="G1558">
        <f>tblSalaries[[#This Row],[clean Salary (in local currency)]]*VLOOKUP(tblSalaries[[#This Row],[Currency]],tblXrate[],2,FALSE)</f>
        <v>4500</v>
      </c>
      <c r="H1558" t="s">
        <v>1740</v>
      </c>
      <c r="I1558" t="s">
        <v>20</v>
      </c>
      <c r="J1558" t="s">
        <v>17</v>
      </c>
      <c r="K1558" t="str">
        <f>VLOOKUP(tblSalaries[[#This Row],[Where do you work]],tblCountries[[Actual]:[Mapping]],2,FALSE)</f>
        <v>Pakistan</v>
      </c>
      <c r="L1558" t="s">
        <v>9</v>
      </c>
      <c r="M1558">
        <v>6</v>
      </c>
    </row>
    <row r="1559" spans="2:13" ht="15" customHeight="1">
      <c r="B1559" t="s">
        <v>3562</v>
      </c>
      <c r="C1559" s="1">
        <v>41061.631562499999</v>
      </c>
      <c r="D1559" s="4">
        <v>1700000</v>
      </c>
      <c r="E1559">
        <v>1700000</v>
      </c>
      <c r="F1559" t="s">
        <v>40</v>
      </c>
      <c r="G1559">
        <f>tblSalaries[[#This Row],[clean Salary (in local currency)]]*VLOOKUP(tblSalaries[[#This Row],[Currency]],tblXrate[],2,FALSE)</f>
        <v>30273.458368652366</v>
      </c>
      <c r="H1559" t="s">
        <v>1741</v>
      </c>
      <c r="I1559" t="s">
        <v>4001</v>
      </c>
      <c r="J1559" t="s">
        <v>8</v>
      </c>
      <c r="K1559" t="str">
        <f>VLOOKUP(tblSalaries[[#This Row],[Where do you work]],tblCountries[[Actual]:[Mapping]],2,FALSE)</f>
        <v>India</v>
      </c>
      <c r="L1559" t="s">
        <v>9</v>
      </c>
      <c r="M1559">
        <v>6</v>
      </c>
    </row>
    <row r="1560" spans="2:13" ht="15" customHeight="1">
      <c r="B1560" t="s">
        <v>3563</v>
      </c>
      <c r="C1560" s="1">
        <v>41061.652314814812</v>
      </c>
      <c r="D1560" s="4" t="s">
        <v>1742</v>
      </c>
      <c r="E1560">
        <v>52000</v>
      </c>
      <c r="F1560" t="s">
        <v>6</v>
      </c>
      <c r="G1560">
        <f>tblSalaries[[#This Row],[clean Salary (in local currency)]]*VLOOKUP(tblSalaries[[#This Row],[Currency]],tblXrate[],2,FALSE)</f>
        <v>52000</v>
      </c>
      <c r="H1560" t="s">
        <v>523</v>
      </c>
      <c r="I1560" t="s">
        <v>20</v>
      </c>
      <c r="J1560" t="s">
        <v>15</v>
      </c>
      <c r="K1560" t="str">
        <f>VLOOKUP(tblSalaries[[#This Row],[Where do you work]],tblCountries[[Actual]:[Mapping]],2,FALSE)</f>
        <v>USA</v>
      </c>
      <c r="L1560" t="s">
        <v>13</v>
      </c>
      <c r="M1560">
        <v>5</v>
      </c>
    </row>
    <row r="1561" spans="2:13" ht="15" customHeight="1">
      <c r="B1561" t="s">
        <v>3564</v>
      </c>
      <c r="C1561" s="1">
        <v>41061.755636574075</v>
      </c>
      <c r="D1561" s="4" t="s">
        <v>1743</v>
      </c>
      <c r="E1561">
        <v>75000</v>
      </c>
      <c r="F1561" t="s">
        <v>6</v>
      </c>
      <c r="G1561">
        <f>tblSalaries[[#This Row],[clean Salary (in local currency)]]*VLOOKUP(tblSalaries[[#This Row],[Currency]],tblXrate[],2,FALSE)</f>
        <v>75000</v>
      </c>
      <c r="H1561" t="s">
        <v>356</v>
      </c>
      <c r="I1561" t="s">
        <v>356</v>
      </c>
      <c r="J1561" t="s">
        <v>24</v>
      </c>
      <c r="K1561" t="str">
        <f>VLOOKUP(tblSalaries[[#This Row],[Where do you work]],tblCountries[[Actual]:[Mapping]],2,FALSE)</f>
        <v>Germany</v>
      </c>
      <c r="L1561" t="s">
        <v>18</v>
      </c>
      <c r="M1561">
        <v>9</v>
      </c>
    </row>
    <row r="1562" spans="2:13" ht="15" customHeight="1">
      <c r="B1562" t="s">
        <v>3565</v>
      </c>
      <c r="C1562" s="1">
        <v>41061.762858796297</v>
      </c>
      <c r="D1562" s="4" t="s">
        <v>1744</v>
      </c>
      <c r="E1562">
        <v>1000000</v>
      </c>
      <c r="F1562" t="s">
        <v>40</v>
      </c>
      <c r="G1562">
        <f>tblSalaries[[#This Row],[clean Salary (in local currency)]]*VLOOKUP(tblSalaries[[#This Row],[Currency]],tblXrate[],2,FALSE)</f>
        <v>17807.916687442568</v>
      </c>
      <c r="H1562" t="s">
        <v>72</v>
      </c>
      <c r="I1562" t="s">
        <v>20</v>
      </c>
      <c r="J1562" t="s">
        <v>8</v>
      </c>
      <c r="K1562" t="str">
        <f>VLOOKUP(tblSalaries[[#This Row],[Where do you work]],tblCountries[[Actual]:[Mapping]],2,FALSE)</f>
        <v>India</v>
      </c>
      <c r="L1562" t="s">
        <v>13</v>
      </c>
      <c r="M1562">
        <v>4</v>
      </c>
    </row>
    <row r="1563" spans="2:13" ht="15" customHeight="1">
      <c r="B1563" t="s">
        <v>3566</v>
      </c>
      <c r="C1563" s="1">
        <v>41061.790763888886</v>
      </c>
      <c r="D1563" s="4">
        <v>177600</v>
      </c>
      <c r="E1563">
        <v>177600</v>
      </c>
      <c r="F1563" t="s">
        <v>6</v>
      </c>
      <c r="G1563">
        <f>tblSalaries[[#This Row],[clean Salary (in local currency)]]*VLOOKUP(tblSalaries[[#This Row],[Currency]],tblXrate[],2,FALSE)</f>
        <v>177600</v>
      </c>
      <c r="H1563" t="s">
        <v>310</v>
      </c>
      <c r="I1563" t="s">
        <v>310</v>
      </c>
      <c r="J1563" t="s">
        <v>1745</v>
      </c>
      <c r="K1563" t="str">
        <f>VLOOKUP(tblSalaries[[#This Row],[Where do you work]],tblCountries[[Actual]:[Mapping]],2,FALSE)</f>
        <v>Lesotho</v>
      </c>
      <c r="L1563" t="s">
        <v>9</v>
      </c>
      <c r="M1563">
        <v>6</v>
      </c>
    </row>
    <row r="1564" spans="2:13" ht="15" customHeight="1">
      <c r="B1564" t="s">
        <v>3567</v>
      </c>
      <c r="C1564" s="1">
        <v>41061.82136574074</v>
      </c>
      <c r="D1564" s="4">
        <v>650000</v>
      </c>
      <c r="E1564">
        <v>650000</v>
      </c>
      <c r="F1564" t="s">
        <v>40</v>
      </c>
      <c r="G1564">
        <f>tblSalaries[[#This Row],[clean Salary (in local currency)]]*VLOOKUP(tblSalaries[[#This Row],[Currency]],tblXrate[],2,FALSE)</f>
        <v>11575.14584683767</v>
      </c>
      <c r="H1564" t="s">
        <v>616</v>
      </c>
      <c r="I1564" t="s">
        <v>20</v>
      </c>
      <c r="J1564" t="s">
        <v>8</v>
      </c>
      <c r="K1564" t="str">
        <f>VLOOKUP(tblSalaries[[#This Row],[Where do you work]],tblCountries[[Actual]:[Mapping]],2,FALSE)</f>
        <v>India</v>
      </c>
      <c r="L1564" t="s">
        <v>9</v>
      </c>
      <c r="M1564">
        <v>5</v>
      </c>
    </row>
    <row r="1565" spans="2:13" ht="15" customHeight="1">
      <c r="B1565" t="s">
        <v>3568</v>
      </c>
      <c r="C1565" s="1">
        <v>41061.823993055557</v>
      </c>
      <c r="D1565" s="4" t="s">
        <v>1746</v>
      </c>
      <c r="E1565">
        <v>21000</v>
      </c>
      <c r="F1565" t="s">
        <v>22</v>
      </c>
      <c r="G1565">
        <f>tblSalaries[[#This Row],[clean Salary (in local currency)]]*VLOOKUP(tblSalaries[[#This Row],[Currency]],tblXrate[],2,FALSE)</f>
        <v>26678.388218823762</v>
      </c>
      <c r="H1565" t="s">
        <v>1747</v>
      </c>
      <c r="I1565" t="s">
        <v>52</v>
      </c>
      <c r="J1565" t="s">
        <v>30</v>
      </c>
      <c r="K1565" t="str">
        <f>VLOOKUP(tblSalaries[[#This Row],[Where do you work]],tblCountries[[Actual]:[Mapping]],2,FALSE)</f>
        <v>Portugal</v>
      </c>
      <c r="L1565" t="s">
        <v>9</v>
      </c>
      <c r="M1565">
        <v>10</v>
      </c>
    </row>
    <row r="1566" spans="2:13" ht="15" customHeight="1">
      <c r="B1566" t="s">
        <v>3569</v>
      </c>
      <c r="C1566" s="1">
        <v>41061.831770833334</v>
      </c>
      <c r="D1566" s="4" t="s">
        <v>1310</v>
      </c>
      <c r="E1566">
        <v>80000</v>
      </c>
      <c r="F1566" t="s">
        <v>69</v>
      </c>
      <c r="G1566">
        <f>tblSalaries[[#This Row],[clean Salary (in local currency)]]*VLOOKUP(tblSalaries[[#This Row],[Currency]],tblXrate[],2,FALSE)</f>
        <v>126094.26176538273</v>
      </c>
      <c r="H1566" t="s">
        <v>1748</v>
      </c>
      <c r="I1566" t="s">
        <v>356</v>
      </c>
      <c r="J1566" t="s">
        <v>71</v>
      </c>
      <c r="K1566" t="str">
        <f>VLOOKUP(tblSalaries[[#This Row],[Where do you work]],tblCountries[[Actual]:[Mapping]],2,FALSE)</f>
        <v>UK</v>
      </c>
      <c r="L1566" t="s">
        <v>9</v>
      </c>
      <c r="M1566">
        <v>12</v>
      </c>
    </row>
    <row r="1567" spans="2:13" ht="15" customHeight="1">
      <c r="B1567" t="s">
        <v>3570</v>
      </c>
      <c r="C1567" s="1">
        <v>41061.841921296298</v>
      </c>
      <c r="D1567" s="4" t="s">
        <v>1749</v>
      </c>
      <c r="E1567">
        <v>6000</v>
      </c>
      <c r="F1567" t="s">
        <v>6</v>
      </c>
      <c r="G1567">
        <f>tblSalaries[[#This Row],[clean Salary (in local currency)]]*VLOOKUP(tblSalaries[[#This Row],[Currency]],tblXrate[],2,FALSE)</f>
        <v>6000</v>
      </c>
      <c r="H1567" t="s">
        <v>207</v>
      </c>
      <c r="I1567" t="s">
        <v>20</v>
      </c>
      <c r="J1567" t="s">
        <v>8</v>
      </c>
      <c r="K1567" t="str">
        <f>VLOOKUP(tblSalaries[[#This Row],[Where do you work]],tblCountries[[Actual]:[Mapping]],2,FALSE)</f>
        <v>India</v>
      </c>
      <c r="L1567" t="s">
        <v>9</v>
      </c>
      <c r="M1567">
        <v>2</v>
      </c>
    </row>
    <row r="1568" spans="2:13" ht="15" customHeight="1">
      <c r="B1568" t="s">
        <v>3571</v>
      </c>
      <c r="C1568" s="1">
        <v>41061.852349537039</v>
      </c>
      <c r="D1568" s="4">
        <v>10000</v>
      </c>
      <c r="E1568">
        <v>10000</v>
      </c>
      <c r="F1568" t="s">
        <v>6</v>
      </c>
      <c r="G1568">
        <f>tblSalaries[[#This Row],[clean Salary (in local currency)]]*VLOOKUP(tblSalaries[[#This Row],[Currency]],tblXrate[],2,FALSE)</f>
        <v>10000</v>
      </c>
      <c r="H1568" t="s">
        <v>360</v>
      </c>
      <c r="I1568" t="s">
        <v>3999</v>
      </c>
      <c r="J1568" t="s">
        <v>8</v>
      </c>
      <c r="K1568" t="str">
        <f>VLOOKUP(tblSalaries[[#This Row],[Where do you work]],tblCountries[[Actual]:[Mapping]],2,FALSE)</f>
        <v>India</v>
      </c>
      <c r="L1568" t="s">
        <v>13</v>
      </c>
      <c r="M1568">
        <v>6</v>
      </c>
    </row>
    <row r="1569" spans="2:13" ht="15" customHeight="1">
      <c r="B1569" t="s">
        <v>3572</v>
      </c>
      <c r="C1569" s="1">
        <v>41061.8596412037</v>
      </c>
      <c r="D1569" s="4">
        <v>50000</v>
      </c>
      <c r="E1569">
        <v>50000</v>
      </c>
      <c r="F1569" t="s">
        <v>6</v>
      </c>
      <c r="G1569">
        <f>tblSalaries[[#This Row],[clean Salary (in local currency)]]*VLOOKUP(tblSalaries[[#This Row],[Currency]],tblXrate[],2,FALSE)</f>
        <v>50000</v>
      </c>
      <c r="H1569" t="s">
        <v>481</v>
      </c>
      <c r="I1569" t="s">
        <v>20</v>
      </c>
      <c r="J1569" t="s">
        <v>15</v>
      </c>
      <c r="K1569" t="str">
        <f>VLOOKUP(tblSalaries[[#This Row],[Where do you work]],tblCountries[[Actual]:[Mapping]],2,FALSE)</f>
        <v>USA</v>
      </c>
      <c r="L1569" t="s">
        <v>13</v>
      </c>
      <c r="M1569">
        <v>2</v>
      </c>
    </row>
    <row r="1570" spans="2:13" ht="15" customHeight="1">
      <c r="B1570" t="s">
        <v>3573</v>
      </c>
      <c r="C1570" s="1">
        <v>41061.860381944447</v>
      </c>
      <c r="D1570" s="4">
        <v>10000</v>
      </c>
      <c r="E1570">
        <v>10000</v>
      </c>
      <c r="F1570" t="s">
        <v>6</v>
      </c>
      <c r="G1570">
        <f>tblSalaries[[#This Row],[clean Salary (in local currency)]]*VLOOKUP(tblSalaries[[#This Row],[Currency]],tblXrate[],2,FALSE)</f>
        <v>10000</v>
      </c>
      <c r="H1570" t="s">
        <v>1750</v>
      </c>
      <c r="I1570" t="s">
        <v>52</v>
      </c>
      <c r="J1570" t="s">
        <v>8</v>
      </c>
      <c r="K1570" t="str">
        <f>VLOOKUP(tblSalaries[[#This Row],[Where do you work]],tblCountries[[Actual]:[Mapping]],2,FALSE)</f>
        <v>India</v>
      </c>
      <c r="L1570" t="s">
        <v>13</v>
      </c>
      <c r="M1570">
        <v>12</v>
      </c>
    </row>
    <row r="1571" spans="2:13" ht="15" customHeight="1">
      <c r="B1571" t="s">
        <v>3574</v>
      </c>
      <c r="C1571" s="1">
        <v>41061.87023148148</v>
      </c>
      <c r="D1571" s="4">
        <v>50000</v>
      </c>
      <c r="E1571">
        <v>50000</v>
      </c>
      <c r="F1571" t="s">
        <v>6</v>
      </c>
      <c r="G1571">
        <f>tblSalaries[[#This Row],[clean Salary (in local currency)]]*VLOOKUP(tblSalaries[[#This Row],[Currency]],tblXrate[],2,FALSE)</f>
        <v>50000</v>
      </c>
      <c r="H1571" t="s">
        <v>1751</v>
      </c>
      <c r="I1571" t="s">
        <v>20</v>
      </c>
      <c r="J1571" t="s">
        <v>15</v>
      </c>
      <c r="K1571" t="str">
        <f>VLOOKUP(tblSalaries[[#This Row],[Where do you work]],tblCountries[[Actual]:[Mapping]],2,FALSE)</f>
        <v>USA</v>
      </c>
      <c r="L1571" t="s">
        <v>13</v>
      </c>
      <c r="M1571">
        <v>12</v>
      </c>
    </row>
    <row r="1572" spans="2:13" ht="15" customHeight="1">
      <c r="B1572" t="s">
        <v>3575</v>
      </c>
      <c r="C1572" s="1">
        <v>41061.930856481478</v>
      </c>
      <c r="D1572" s="4" t="s">
        <v>1752</v>
      </c>
      <c r="E1572">
        <v>20000</v>
      </c>
      <c r="F1572" t="s">
        <v>6</v>
      </c>
      <c r="G1572">
        <f>tblSalaries[[#This Row],[clean Salary (in local currency)]]*VLOOKUP(tblSalaries[[#This Row],[Currency]],tblXrate[],2,FALSE)</f>
        <v>20000</v>
      </c>
      <c r="H1572" t="s">
        <v>52</v>
      </c>
      <c r="I1572" t="s">
        <v>52</v>
      </c>
      <c r="J1572" t="s">
        <v>8</v>
      </c>
      <c r="K1572" t="str">
        <f>VLOOKUP(tblSalaries[[#This Row],[Where do you work]],tblCountries[[Actual]:[Mapping]],2,FALSE)</f>
        <v>India</v>
      </c>
      <c r="L1572" t="s">
        <v>9</v>
      </c>
      <c r="M1572">
        <v>1</v>
      </c>
    </row>
    <row r="1573" spans="2:13" ht="15" customHeight="1">
      <c r="B1573" t="s">
        <v>3576</v>
      </c>
      <c r="C1573" s="1">
        <v>41061.97896990741</v>
      </c>
      <c r="D1573" s="4" t="s">
        <v>655</v>
      </c>
      <c r="E1573">
        <v>20000</v>
      </c>
      <c r="F1573" t="s">
        <v>69</v>
      </c>
      <c r="G1573">
        <f>tblSalaries[[#This Row],[clean Salary (in local currency)]]*VLOOKUP(tblSalaries[[#This Row],[Currency]],tblXrate[],2,FALSE)</f>
        <v>31523.565441345683</v>
      </c>
      <c r="H1573" t="s">
        <v>386</v>
      </c>
      <c r="I1573" t="s">
        <v>20</v>
      </c>
      <c r="J1573" t="s">
        <v>71</v>
      </c>
      <c r="K1573" t="str">
        <f>VLOOKUP(tblSalaries[[#This Row],[Where do you work]],tblCountries[[Actual]:[Mapping]],2,FALSE)</f>
        <v>UK</v>
      </c>
      <c r="L1573" t="s">
        <v>13</v>
      </c>
      <c r="M1573">
        <v>3</v>
      </c>
    </row>
    <row r="1574" spans="2:13" ht="15" customHeight="1">
      <c r="B1574" t="s">
        <v>3577</v>
      </c>
      <c r="C1574" s="1">
        <v>41062.061851851853</v>
      </c>
      <c r="D1574" s="4" t="s">
        <v>1753</v>
      </c>
      <c r="E1574">
        <v>50000</v>
      </c>
      <c r="F1574" t="s">
        <v>22</v>
      </c>
      <c r="G1574">
        <f>tblSalaries[[#This Row],[clean Salary (in local currency)]]*VLOOKUP(tblSalaries[[#This Row],[Currency]],tblXrate[],2,FALSE)</f>
        <v>63519.971949580387</v>
      </c>
      <c r="H1574" t="s">
        <v>488</v>
      </c>
      <c r="I1574" t="s">
        <v>488</v>
      </c>
      <c r="J1574" t="s">
        <v>628</v>
      </c>
      <c r="K1574" t="str">
        <f>VLOOKUP(tblSalaries[[#This Row],[Where do you work]],tblCountries[[Actual]:[Mapping]],2,FALSE)</f>
        <v>Netherlands</v>
      </c>
      <c r="L1574" t="s">
        <v>9</v>
      </c>
      <c r="M1574">
        <v>10</v>
      </c>
    </row>
    <row r="1575" spans="2:13" ht="15" customHeight="1">
      <c r="B1575" t="s">
        <v>3578</v>
      </c>
      <c r="C1575" s="1">
        <v>41062.071805555555</v>
      </c>
      <c r="D1575" s="4">
        <v>2300</v>
      </c>
      <c r="E1575">
        <v>27600</v>
      </c>
      <c r="F1575" t="s">
        <v>22</v>
      </c>
      <c r="G1575">
        <f>tblSalaries[[#This Row],[clean Salary (in local currency)]]*VLOOKUP(tblSalaries[[#This Row],[Currency]],tblXrate[],2,FALSE)</f>
        <v>35063.024516168378</v>
      </c>
      <c r="H1575" t="s">
        <v>270</v>
      </c>
      <c r="I1575" t="s">
        <v>488</v>
      </c>
      <c r="J1575" t="s">
        <v>38</v>
      </c>
      <c r="K1575" t="str">
        <f>VLOOKUP(tblSalaries[[#This Row],[Where do you work]],tblCountries[[Actual]:[Mapping]],2,FALSE)</f>
        <v>Hungary</v>
      </c>
      <c r="L1575" t="s">
        <v>13</v>
      </c>
      <c r="M1575">
        <v>15</v>
      </c>
    </row>
    <row r="1576" spans="2:13" ht="15" customHeight="1">
      <c r="B1576" t="s">
        <v>3579</v>
      </c>
      <c r="C1576" s="1">
        <v>41062.100451388891</v>
      </c>
      <c r="D1576" s="4">
        <v>55000</v>
      </c>
      <c r="E1576">
        <v>55000</v>
      </c>
      <c r="F1576" t="s">
        <v>6</v>
      </c>
      <c r="G1576">
        <f>tblSalaries[[#This Row],[clean Salary (in local currency)]]*VLOOKUP(tblSalaries[[#This Row],[Currency]],tblXrate[],2,FALSE)</f>
        <v>55000</v>
      </c>
      <c r="H1576" t="s">
        <v>207</v>
      </c>
      <c r="I1576" t="s">
        <v>20</v>
      </c>
      <c r="J1576" t="s">
        <v>15</v>
      </c>
      <c r="K1576" t="str">
        <f>VLOOKUP(tblSalaries[[#This Row],[Where do you work]],tblCountries[[Actual]:[Mapping]],2,FALSE)</f>
        <v>USA</v>
      </c>
      <c r="L1576" t="s">
        <v>9</v>
      </c>
      <c r="M1576">
        <v>2</v>
      </c>
    </row>
    <row r="1577" spans="2:13" ht="15" customHeight="1">
      <c r="B1577" t="s">
        <v>3580</v>
      </c>
      <c r="C1577" s="1">
        <v>41062.103125000001</v>
      </c>
      <c r="D1577" s="4">
        <v>38000</v>
      </c>
      <c r="E1577">
        <v>38000</v>
      </c>
      <c r="F1577" t="s">
        <v>6</v>
      </c>
      <c r="G1577">
        <f>tblSalaries[[#This Row],[clean Salary (in local currency)]]*VLOOKUP(tblSalaries[[#This Row],[Currency]],tblXrate[],2,FALSE)</f>
        <v>38000</v>
      </c>
      <c r="H1577" t="s">
        <v>207</v>
      </c>
      <c r="I1577" t="s">
        <v>20</v>
      </c>
      <c r="J1577" t="s">
        <v>15</v>
      </c>
      <c r="K1577" t="str">
        <f>VLOOKUP(tblSalaries[[#This Row],[Where do you work]],tblCountries[[Actual]:[Mapping]],2,FALSE)</f>
        <v>USA</v>
      </c>
      <c r="L1577" t="s">
        <v>13</v>
      </c>
      <c r="M1577">
        <v>1</v>
      </c>
    </row>
    <row r="1578" spans="2:13" ht="15" customHeight="1">
      <c r="B1578" t="s">
        <v>3581</v>
      </c>
      <c r="C1578" s="1">
        <v>41062.13113425926</v>
      </c>
      <c r="D1578" s="4">
        <v>1800000</v>
      </c>
      <c r="E1578">
        <v>1800000</v>
      </c>
      <c r="F1578" t="s">
        <v>40</v>
      </c>
      <c r="G1578">
        <f>tblSalaries[[#This Row],[clean Salary (in local currency)]]*VLOOKUP(tblSalaries[[#This Row],[Currency]],tblXrate[],2,FALSE)</f>
        <v>32054.250037396621</v>
      </c>
      <c r="H1578" t="s">
        <v>256</v>
      </c>
      <c r="I1578" t="s">
        <v>20</v>
      </c>
      <c r="J1578" t="s">
        <v>8</v>
      </c>
      <c r="K1578" t="str">
        <f>VLOOKUP(tblSalaries[[#This Row],[Where do you work]],tblCountries[[Actual]:[Mapping]],2,FALSE)</f>
        <v>India</v>
      </c>
      <c r="L1578" t="s">
        <v>13</v>
      </c>
      <c r="M1578">
        <v>1</v>
      </c>
    </row>
    <row r="1579" spans="2:13" ht="15" customHeight="1">
      <c r="B1579" t="s">
        <v>3582</v>
      </c>
      <c r="C1579" s="1">
        <v>41062.134687500002</v>
      </c>
      <c r="D1579" s="4">
        <v>35500</v>
      </c>
      <c r="E1579">
        <v>35500</v>
      </c>
      <c r="F1579" t="s">
        <v>6</v>
      </c>
      <c r="G1579">
        <f>tblSalaries[[#This Row],[clean Salary (in local currency)]]*VLOOKUP(tblSalaries[[#This Row],[Currency]],tblXrate[],2,FALSE)</f>
        <v>35500</v>
      </c>
      <c r="H1579" t="s">
        <v>1754</v>
      </c>
      <c r="I1579" t="s">
        <v>20</v>
      </c>
      <c r="J1579" t="s">
        <v>15</v>
      </c>
      <c r="K1579" t="str">
        <f>VLOOKUP(tblSalaries[[#This Row],[Where do you work]],tblCountries[[Actual]:[Mapping]],2,FALSE)</f>
        <v>USA</v>
      </c>
      <c r="L1579" t="s">
        <v>9</v>
      </c>
      <c r="M1579">
        <v>20</v>
      </c>
    </row>
    <row r="1580" spans="2:13" ht="15" customHeight="1">
      <c r="B1580" t="s">
        <v>3583</v>
      </c>
      <c r="C1580" s="1">
        <v>41062.141076388885</v>
      </c>
      <c r="D1580" s="4">
        <v>62000</v>
      </c>
      <c r="E1580">
        <v>62000</v>
      </c>
      <c r="F1580" t="s">
        <v>6</v>
      </c>
      <c r="G1580">
        <f>tblSalaries[[#This Row],[clean Salary (in local currency)]]*VLOOKUP(tblSalaries[[#This Row],[Currency]],tblXrate[],2,FALSE)</f>
        <v>62000</v>
      </c>
      <c r="H1580" t="s">
        <v>14</v>
      </c>
      <c r="I1580" t="s">
        <v>20</v>
      </c>
      <c r="J1580" t="s">
        <v>15</v>
      </c>
      <c r="K1580" t="str">
        <f>VLOOKUP(tblSalaries[[#This Row],[Where do you work]],tblCountries[[Actual]:[Mapping]],2,FALSE)</f>
        <v>USA</v>
      </c>
      <c r="L1580" t="s">
        <v>18</v>
      </c>
      <c r="M1580">
        <v>5</v>
      </c>
    </row>
    <row r="1581" spans="2:13" ht="15" customHeight="1">
      <c r="B1581" t="s">
        <v>3584</v>
      </c>
      <c r="C1581" s="1">
        <v>41062.145358796297</v>
      </c>
      <c r="D1581" s="4" t="s">
        <v>1755</v>
      </c>
      <c r="E1581">
        <v>21500</v>
      </c>
      <c r="F1581" t="s">
        <v>69</v>
      </c>
      <c r="G1581">
        <f>tblSalaries[[#This Row],[clean Salary (in local currency)]]*VLOOKUP(tblSalaries[[#This Row],[Currency]],tblXrate[],2,FALSE)</f>
        <v>33887.832849446611</v>
      </c>
      <c r="H1581" t="s">
        <v>153</v>
      </c>
      <c r="I1581" t="s">
        <v>20</v>
      </c>
      <c r="J1581" t="s">
        <v>71</v>
      </c>
      <c r="K1581" t="str">
        <f>VLOOKUP(tblSalaries[[#This Row],[Where do you work]],tblCountries[[Actual]:[Mapping]],2,FALSE)</f>
        <v>UK</v>
      </c>
      <c r="L1581" t="s">
        <v>13</v>
      </c>
      <c r="M1581">
        <v>1</v>
      </c>
    </row>
    <row r="1582" spans="2:13" ht="15" customHeight="1">
      <c r="B1582" t="s">
        <v>3585</v>
      </c>
      <c r="C1582" s="1">
        <v>41062.201180555552</v>
      </c>
      <c r="D1582" s="4">
        <v>60000</v>
      </c>
      <c r="E1582">
        <v>60000</v>
      </c>
      <c r="F1582" t="s">
        <v>6</v>
      </c>
      <c r="G1582">
        <f>tblSalaries[[#This Row],[clean Salary (in local currency)]]*VLOOKUP(tblSalaries[[#This Row],[Currency]],tblXrate[],2,FALSE)</f>
        <v>60000</v>
      </c>
      <c r="H1582" t="s">
        <v>153</v>
      </c>
      <c r="I1582" t="s">
        <v>20</v>
      </c>
      <c r="J1582" t="s">
        <v>15</v>
      </c>
      <c r="K1582" t="str">
        <f>VLOOKUP(tblSalaries[[#This Row],[Where do you work]],tblCountries[[Actual]:[Mapping]],2,FALSE)</f>
        <v>USA</v>
      </c>
      <c r="L1582" t="s">
        <v>18</v>
      </c>
      <c r="M1582">
        <v>1</v>
      </c>
    </row>
    <row r="1583" spans="2:13" ht="15" customHeight="1">
      <c r="B1583" t="s">
        <v>3586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>
        <f>tblSalaries[[#This Row],[clean Salary (in local currency)]]*VLOOKUP(tblSalaries[[#This Row],[Currency]],tblXrate[],2,FALSE)</f>
        <v>32884</v>
      </c>
      <c r="H1583" t="s">
        <v>263</v>
      </c>
      <c r="I1583" t="s">
        <v>20</v>
      </c>
      <c r="J1583" t="s">
        <v>15</v>
      </c>
      <c r="K1583" t="str">
        <f>VLOOKUP(tblSalaries[[#This Row],[Where do you work]],tblCountries[[Actual]:[Mapping]],2,FALSE)</f>
        <v>USA</v>
      </c>
      <c r="L1583" t="s">
        <v>13</v>
      </c>
      <c r="M1583">
        <v>10</v>
      </c>
    </row>
    <row r="1584" spans="2:13" ht="15" customHeight="1">
      <c r="B1584" t="s">
        <v>3587</v>
      </c>
      <c r="C1584" s="1">
        <v>41062.271770833337</v>
      </c>
      <c r="D1584" s="4" t="s">
        <v>1756</v>
      </c>
      <c r="E1584">
        <v>42000</v>
      </c>
      <c r="F1584" t="s">
        <v>6</v>
      </c>
      <c r="G1584">
        <f>tblSalaries[[#This Row],[clean Salary (in local currency)]]*VLOOKUP(tblSalaries[[#This Row],[Currency]],tblXrate[],2,FALSE)</f>
        <v>42000</v>
      </c>
      <c r="H1584" t="s">
        <v>1757</v>
      </c>
      <c r="I1584" t="s">
        <v>20</v>
      </c>
      <c r="J1584" t="s">
        <v>15</v>
      </c>
      <c r="K1584" t="str">
        <f>VLOOKUP(tblSalaries[[#This Row],[Where do you work]],tblCountries[[Actual]:[Mapping]],2,FALSE)</f>
        <v>USA</v>
      </c>
      <c r="L1584" t="s">
        <v>9</v>
      </c>
      <c r="M1584">
        <v>2</v>
      </c>
    </row>
    <row r="1585" spans="2:13" ht="15" customHeight="1">
      <c r="B1585" t="s">
        <v>3588</v>
      </c>
      <c r="C1585" s="1">
        <v>41062.280150462961</v>
      </c>
      <c r="D1585" s="4">
        <v>68000</v>
      </c>
      <c r="E1585">
        <v>68000</v>
      </c>
      <c r="F1585" t="s">
        <v>6</v>
      </c>
      <c r="G1585">
        <f>tblSalaries[[#This Row],[clean Salary (in local currency)]]*VLOOKUP(tblSalaries[[#This Row],[Currency]],tblXrate[],2,FALSE)</f>
        <v>68000</v>
      </c>
      <c r="H1585" t="s">
        <v>411</v>
      </c>
      <c r="I1585" t="s">
        <v>20</v>
      </c>
      <c r="J1585" t="s">
        <v>15</v>
      </c>
      <c r="K1585" t="str">
        <f>VLOOKUP(tblSalaries[[#This Row],[Where do you work]],tblCountries[[Actual]:[Mapping]],2,FALSE)</f>
        <v>USA</v>
      </c>
      <c r="L1585" t="s">
        <v>9</v>
      </c>
      <c r="M1585">
        <v>12</v>
      </c>
    </row>
    <row r="1586" spans="2:13" ht="15" customHeight="1">
      <c r="B1586" t="s">
        <v>3589</v>
      </c>
      <c r="C1586" s="1">
        <v>41062.320856481485</v>
      </c>
      <c r="D1586" s="4">
        <v>85000</v>
      </c>
      <c r="E1586">
        <v>85000</v>
      </c>
      <c r="F1586" t="s">
        <v>6</v>
      </c>
      <c r="G1586">
        <f>tblSalaries[[#This Row],[clean Salary (in local currency)]]*VLOOKUP(tblSalaries[[#This Row],[Currency]],tblXrate[],2,FALSE)</f>
        <v>85000</v>
      </c>
      <c r="H1586" t="s">
        <v>89</v>
      </c>
      <c r="I1586" t="s">
        <v>310</v>
      </c>
      <c r="J1586" t="s">
        <v>15</v>
      </c>
      <c r="K1586" t="str">
        <f>VLOOKUP(tblSalaries[[#This Row],[Where do you work]],tblCountries[[Actual]:[Mapping]],2,FALSE)</f>
        <v>USA</v>
      </c>
      <c r="L1586" t="s">
        <v>18</v>
      </c>
      <c r="M1586">
        <v>8</v>
      </c>
    </row>
    <row r="1587" spans="2:13" ht="15" customHeight="1">
      <c r="B1587" t="s">
        <v>3590</v>
      </c>
      <c r="C1587" s="1">
        <v>41062.466180555559</v>
      </c>
      <c r="D1587" s="4" t="s">
        <v>1758</v>
      </c>
      <c r="E1587">
        <v>13000</v>
      </c>
      <c r="F1587" t="s">
        <v>6</v>
      </c>
      <c r="G1587">
        <f>tblSalaries[[#This Row],[clean Salary (in local currency)]]*VLOOKUP(tblSalaries[[#This Row],[Currency]],tblXrate[],2,FALSE)</f>
        <v>13000</v>
      </c>
      <c r="H1587" t="s">
        <v>1759</v>
      </c>
      <c r="I1587" t="s">
        <v>20</v>
      </c>
      <c r="J1587" t="s">
        <v>143</v>
      </c>
      <c r="K1587" t="str">
        <f>VLOOKUP(tblSalaries[[#This Row],[Where do you work]],tblCountries[[Actual]:[Mapping]],2,FALSE)</f>
        <v>Brazil</v>
      </c>
      <c r="L1587" t="s">
        <v>13</v>
      </c>
      <c r="M1587">
        <v>4</v>
      </c>
    </row>
    <row r="1588" spans="2:13" ht="15" customHeight="1">
      <c r="B1588" t="s">
        <v>3591</v>
      </c>
      <c r="C1588" s="1">
        <v>41062.582476851851</v>
      </c>
      <c r="D1588" s="4">
        <v>15000</v>
      </c>
      <c r="E1588">
        <v>15000</v>
      </c>
      <c r="F1588" t="s">
        <v>6</v>
      </c>
      <c r="G1588">
        <f>tblSalaries[[#This Row],[clean Salary (in local currency)]]*VLOOKUP(tblSalaries[[#This Row],[Currency]],tblXrate[],2,FALSE)</f>
        <v>15000</v>
      </c>
      <c r="H1588" t="s">
        <v>1760</v>
      </c>
      <c r="I1588" t="s">
        <v>20</v>
      </c>
      <c r="J1588" t="s">
        <v>8</v>
      </c>
      <c r="K1588" t="str">
        <f>VLOOKUP(tblSalaries[[#This Row],[Where do you work]],tblCountries[[Actual]:[Mapping]],2,FALSE)</f>
        <v>India</v>
      </c>
      <c r="L1588" t="s">
        <v>9</v>
      </c>
      <c r="M1588">
        <v>5</v>
      </c>
    </row>
    <row r="1589" spans="2:13" ht="15" customHeight="1">
      <c r="B1589" t="s">
        <v>3592</v>
      </c>
      <c r="C1589" s="1">
        <v>41062.732175925928</v>
      </c>
      <c r="D1589" s="4" t="s">
        <v>1761</v>
      </c>
      <c r="E1589">
        <v>50000</v>
      </c>
      <c r="F1589" t="s">
        <v>6</v>
      </c>
      <c r="G1589">
        <f>tblSalaries[[#This Row],[clean Salary (in local currency)]]*VLOOKUP(tblSalaries[[#This Row],[Currency]],tblXrate[],2,FALSE)</f>
        <v>50000</v>
      </c>
      <c r="H1589" t="s">
        <v>1762</v>
      </c>
      <c r="I1589" t="s">
        <v>4001</v>
      </c>
      <c r="J1589" t="s">
        <v>8</v>
      </c>
      <c r="K1589" t="str">
        <f>VLOOKUP(tblSalaries[[#This Row],[Where do you work]],tblCountries[[Actual]:[Mapping]],2,FALSE)</f>
        <v>India</v>
      </c>
      <c r="L1589" t="s">
        <v>25</v>
      </c>
      <c r="M1589">
        <v>8</v>
      </c>
    </row>
    <row r="1590" spans="2:13" ht="15" customHeight="1">
      <c r="B1590" t="s">
        <v>3593</v>
      </c>
      <c r="C1590" s="1">
        <v>41062.783009259256</v>
      </c>
      <c r="D1590" s="4">
        <v>7000</v>
      </c>
      <c r="E1590">
        <v>7000</v>
      </c>
      <c r="F1590" t="s">
        <v>6</v>
      </c>
      <c r="G1590">
        <f>tblSalaries[[#This Row],[clean Salary (in local currency)]]*VLOOKUP(tblSalaries[[#This Row],[Currency]],tblXrate[],2,FALSE)</f>
        <v>7000</v>
      </c>
      <c r="H1590" t="s">
        <v>1763</v>
      </c>
      <c r="I1590" t="s">
        <v>3999</v>
      </c>
      <c r="J1590" t="s">
        <v>8</v>
      </c>
      <c r="K1590" t="str">
        <f>VLOOKUP(tblSalaries[[#This Row],[Where do you work]],tblCountries[[Actual]:[Mapping]],2,FALSE)</f>
        <v>India</v>
      </c>
      <c r="L1590" t="s">
        <v>9</v>
      </c>
      <c r="M1590">
        <v>1</v>
      </c>
    </row>
    <row r="1591" spans="2:13" ht="15" customHeight="1">
      <c r="B1591" t="s">
        <v>3594</v>
      </c>
      <c r="C1591" s="1">
        <v>41062.801793981482</v>
      </c>
      <c r="D1591" s="4">
        <v>140000</v>
      </c>
      <c r="E1591">
        <v>140000</v>
      </c>
      <c r="F1591" t="s">
        <v>6</v>
      </c>
      <c r="G1591">
        <f>tblSalaries[[#This Row],[clean Salary (in local currency)]]*VLOOKUP(tblSalaries[[#This Row],[Currency]],tblXrate[],2,FALSE)</f>
        <v>140000</v>
      </c>
      <c r="H1591" t="s">
        <v>1080</v>
      </c>
      <c r="I1591" t="s">
        <v>52</v>
      </c>
      <c r="J1591" t="s">
        <v>15</v>
      </c>
      <c r="K1591" t="str">
        <f>VLOOKUP(tblSalaries[[#This Row],[Where do you work]],tblCountries[[Actual]:[Mapping]],2,FALSE)</f>
        <v>USA</v>
      </c>
      <c r="L1591" t="s">
        <v>9</v>
      </c>
      <c r="M1591">
        <v>12</v>
      </c>
    </row>
    <row r="1592" spans="2:13" ht="15" customHeight="1">
      <c r="B1592" t="s">
        <v>3595</v>
      </c>
      <c r="C1592" s="1">
        <v>41062.868518518517</v>
      </c>
      <c r="D1592" s="4">
        <v>400000</v>
      </c>
      <c r="E1592">
        <v>400000</v>
      </c>
      <c r="F1592" t="s">
        <v>40</v>
      </c>
      <c r="G1592">
        <f>tblSalaries[[#This Row],[clean Salary (in local currency)]]*VLOOKUP(tblSalaries[[#This Row],[Currency]],tblXrate[],2,FALSE)</f>
        <v>7123.1666749770275</v>
      </c>
      <c r="H1592" t="s">
        <v>1764</v>
      </c>
      <c r="I1592" t="s">
        <v>20</v>
      </c>
      <c r="J1592" t="s">
        <v>8</v>
      </c>
      <c r="K1592" t="str">
        <f>VLOOKUP(tblSalaries[[#This Row],[Where do you work]],tblCountries[[Actual]:[Mapping]],2,FALSE)</f>
        <v>India</v>
      </c>
      <c r="L1592" t="s">
        <v>25</v>
      </c>
      <c r="M1592">
        <v>2.5</v>
      </c>
    </row>
    <row r="1593" spans="2:13" ht="15" customHeight="1">
      <c r="B1593" t="s">
        <v>3596</v>
      </c>
      <c r="C1593" s="1">
        <v>41062.870127314818</v>
      </c>
      <c r="D1593" s="4" t="s">
        <v>1765</v>
      </c>
      <c r="E1593">
        <v>37000</v>
      </c>
      <c r="F1593" t="s">
        <v>69</v>
      </c>
      <c r="G1593">
        <f>tblSalaries[[#This Row],[clean Salary (in local currency)]]*VLOOKUP(tblSalaries[[#This Row],[Currency]],tblXrate[],2,FALSE)</f>
        <v>58318.59606648951</v>
      </c>
      <c r="H1593" t="s">
        <v>1766</v>
      </c>
      <c r="I1593" t="s">
        <v>20</v>
      </c>
      <c r="J1593" t="s">
        <v>71</v>
      </c>
      <c r="K1593" t="str">
        <f>VLOOKUP(tblSalaries[[#This Row],[Where do you work]],tblCountries[[Actual]:[Mapping]],2,FALSE)</f>
        <v>UK</v>
      </c>
      <c r="L1593" t="s">
        <v>9</v>
      </c>
      <c r="M1593">
        <v>9</v>
      </c>
    </row>
    <row r="1594" spans="2:13" ht="15" customHeight="1">
      <c r="B1594" t="s">
        <v>3597</v>
      </c>
      <c r="C1594" s="1">
        <v>41062.904652777775</v>
      </c>
      <c r="D1594" s="4" t="s">
        <v>1767</v>
      </c>
      <c r="E1594">
        <v>680000</v>
      </c>
      <c r="F1594" t="s">
        <v>40</v>
      </c>
      <c r="G1594">
        <f>tblSalaries[[#This Row],[clean Salary (in local currency)]]*VLOOKUP(tblSalaries[[#This Row],[Currency]],tblXrate[],2,FALSE)</f>
        <v>12109.383347460946</v>
      </c>
      <c r="H1594" t="s">
        <v>938</v>
      </c>
      <c r="I1594" t="s">
        <v>52</v>
      </c>
      <c r="J1594" t="s">
        <v>8</v>
      </c>
      <c r="K1594" t="str">
        <f>VLOOKUP(tblSalaries[[#This Row],[Where do you work]],tblCountries[[Actual]:[Mapping]],2,FALSE)</f>
        <v>India</v>
      </c>
      <c r="L1594" t="s">
        <v>25</v>
      </c>
      <c r="M1594">
        <v>2</v>
      </c>
    </row>
    <row r="1595" spans="2:13" ht="15" customHeight="1">
      <c r="B1595" t="s">
        <v>3598</v>
      </c>
      <c r="C1595" s="1">
        <v>41062.939953703702</v>
      </c>
      <c r="D1595" s="4">
        <v>55000</v>
      </c>
      <c r="E1595">
        <v>55000</v>
      </c>
      <c r="F1595" t="s">
        <v>6</v>
      </c>
      <c r="G1595">
        <f>tblSalaries[[#This Row],[clean Salary (in local currency)]]*VLOOKUP(tblSalaries[[#This Row],[Currency]],tblXrate[],2,FALSE)</f>
        <v>55000</v>
      </c>
      <c r="H1595" t="s">
        <v>411</v>
      </c>
      <c r="I1595" t="s">
        <v>20</v>
      </c>
      <c r="J1595" t="s">
        <v>15</v>
      </c>
      <c r="K1595" t="str">
        <f>VLOOKUP(tblSalaries[[#This Row],[Where do you work]],tblCountries[[Actual]:[Mapping]],2,FALSE)</f>
        <v>USA</v>
      </c>
      <c r="L1595" t="s">
        <v>9</v>
      </c>
      <c r="M1595">
        <v>1</v>
      </c>
    </row>
    <row r="1596" spans="2:13" ht="15" customHeight="1">
      <c r="B1596" t="s">
        <v>3599</v>
      </c>
      <c r="C1596" s="1">
        <v>41062.943703703706</v>
      </c>
      <c r="D1596" s="4">
        <v>60000</v>
      </c>
      <c r="E1596">
        <v>60000</v>
      </c>
      <c r="F1596" t="s">
        <v>6</v>
      </c>
      <c r="G1596">
        <f>tblSalaries[[#This Row],[clean Salary (in local currency)]]*VLOOKUP(tblSalaries[[#This Row],[Currency]],tblXrate[],2,FALSE)</f>
        <v>60000</v>
      </c>
      <c r="H1596" t="s">
        <v>1768</v>
      </c>
      <c r="I1596" t="s">
        <v>52</v>
      </c>
      <c r="J1596" t="s">
        <v>726</v>
      </c>
      <c r="K1596" t="str">
        <f>VLOOKUP(tblSalaries[[#This Row],[Where do you work]],tblCountries[[Actual]:[Mapping]],2,FALSE)</f>
        <v>Indonesia</v>
      </c>
      <c r="L1596" t="s">
        <v>18</v>
      </c>
      <c r="M1596">
        <v>16</v>
      </c>
    </row>
    <row r="1597" spans="2:13" ht="15" customHeight="1">
      <c r="B1597" t="s">
        <v>3600</v>
      </c>
      <c r="C1597" s="1">
        <v>41063.065243055556</v>
      </c>
      <c r="D1597" s="4">
        <v>320000</v>
      </c>
      <c r="E1597">
        <v>320000</v>
      </c>
      <c r="F1597" t="s">
        <v>40</v>
      </c>
      <c r="G1597">
        <f>tblSalaries[[#This Row],[clean Salary (in local currency)]]*VLOOKUP(tblSalaries[[#This Row],[Currency]],tblXrate[],2,FALSE)</f>
        <v>5698.5333399816218</v>
      </c>
      <c r="H1597" t="s">
        <v>809</v>
      </c>
      <c r="I1597" t="s">
        <v>52</v>
      </c>
      <c r="J1597" t="s">
        <v>8</v>
      </c>
      <c r="K1597" t="str">
        <f>VLOOKUP(tblSalaries[[#This Row],[Where do you work]],tblCountries[[Actual]:[Mapping]],2,FALSE)</f>
        <v>India</v>
      </c>
      <c r="L1597" t="s">
        <v>9</v>
      </c>
      <c r="M1597">
        <v>5</v>
      </c>
    </row>
    <row r="1598" spans="2:13" ht="15" customHeight="1">
      <c r="B1598" t="s">
        <v>3601</v>
      </c>
      <c r="C1598" s="1">
        <v>41063.067164351851</v>
      </c>
      <c r="D1598" s="4" t="s">
        <v>1769</v>
      </c>
      <c r="E1598">
        <v>288000</v>
      </c>
      <c r="F1598" t="s">
        <v>3941</v>
      </c>
      <c r="G1598">
        <f>tblSalaries[[#This Row],[clean Salary (in local currency)]]*VLOOKUP(tblSalaries[[#This Row],[Currency]],tblXrate[],2,FALSE)</f>
        <v>9376.2513877177607</v>
      </c>
      <c r="H1598" t="s">
        <v>1770</v>
      </c>
      <c r="I1598" t="s">
        <v>279</v>
      </c>
      <c r="J1598" t="s">
        <v>1771</v>
      </c>
      <c r="K1598" t="str">
        <f>VLOOKUP(tblSalaries[[#This Row],[Where do you work]],tblCountries[[Actual]:[Mapping]],2,FALSE)</f>
        <v>Mauritius</v>
      </c>
      <c r="L1598" t="s">
        <v>9</v>
      </c>
      <c r="M1598">
        <v>7</v>
      </c>
    </row>
    <row r="1599" spans="2:13" ht="15" customHeight="1">
      <c r="B1599" t="s">
        <v>3602</v>
      </c>
      <c r="C1599" s="1">
        <v>41063.088009259256</v>
      </c>
      <c r="D1599" s="4" t="s">
        <v>330</v>
      </c>
      <c r="E1599">
        <v>60000</v>
      </c>
      <c r="F1599" t="s">
        <v>69</v>
      </c>
      <c r="G1599">
        <f>tblSalaries[[#This Row],[clean Salary (in local currency)]]*VLOOKUP(tblSalaries[[#This Row],[Currency]],tblXrate[],2,FALSE)</f>
        <v>94570.696324037053</v>
      </c>
      <c r="H1599" t="s">
        <v>153</v>
      </c>
      <c r="I1599" t="s">
        <v>20</v>
      </c>
      <c r="J1599" t="s">
        <v>71</v>
      </c>
      <c r="K1599" t="str">
        <f>VLOOKUP(tblSalaries[[#This Row],[Where do you work]],tblCountries[[Actual]:[Mapping]],2,FALSE)</f>
        <v>UK</v>
      </c>
      <c r="L1599" t="s">
        <v>9</v>
      </c>
      <c r="M1599">
        <v>5</v>
      </c>
    </row>
    <row r="1600" spans="2:13" ht="15" customHeight="1">
      <c r="B1600" t="s">
        <v>3603</v>
      </c>
      <c r="C1600" s="1">
        <v>41063.121203703704</v>
      </c>
      <c r="D1600" s="4">
        <v>36000</v>
      </c>
      <c r="E1600">
        <v>36000</v>
      </c>
      <c r="F1600" t="s">
        <v>6</v>
      </c>
      <c r="G1600">
        <f>tblSalaries[[#This Row],[clean Salary (in local currency)]]*VLOOKUP(tblSalaries[[#This Row],[Currency]],tblXrate[],2,FALSE)</f>
        <v>36000</v>
      </c>
      <c r="H1600" t="s">
        <v>1772</v>
      </c>
      <c r="I1600" t="s">
        <v>356</v>
      </c>
      <c r="J1600" t="s">
        <v>1773</v>
      </c>
      <c r="K1600" t="str">
        <f>VLOOKUP(tblSalaries[[#This Row],[Where do you work]],tblCountries[[Actual]:[Mapping]],2,FALSE)</f>
        <v>Azerbaijan</v>
      </c>
      <c r="L1600" t="s">
        <v>9</v>
      </c>
      <c r="M1600">
        <v>5</v>
      </c>
    </row>
    <row r="1601" spans="2:13" ht="15" customHeight="1">
      <c r="B1601" t="s">
        <v>3604</v>
      </c>
      <c r="C1601" s="1">
        <v>41063.17690972222</v>
      </c>
      <c r="D1601" s="4" t="s">
        <v>1774</v>
      </c>
      <c r="E1601">
        <v>3700000</v>
      </c>
      <c r="F1601" t="s">
        <v>40</v>
      </c>
      <c r="G1601">
        <f>tblSalaries[[#This Row],[clean Salary (in local currency)]]*VLOOKUP(tblSalaries[[#This Row],[Currency]],tblXrate[],2,FALSE)</f>
        <v>65889.291743537498</v>
      </c>
      <c r="H1601" t="s">
        <v>1775</v>
      </c>
      <c r="I1601" t="s">
        <v>52</v>
      </c>
      <c r="J1601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>
        <v>4</v>
      </c>
    </row>
    <row r="1602" spans="2:13" ht="15" customHeight="1">
      <c r="B1602" t="s">
        <v>3605</v>
      </c>
      <c r="C1602" s="1">
        <v>41063.196458333332</v>
      </c>
      <c r="D1602" s="4">
        <v>106000</v>
      </c>
      <c r="E1602">
        <v>106000</v>
      </c>
      <c r="F1602" t="s">
        <v>6</v>
      </c>
      <c r="G1602">
        <f>tblSalaries[[#This Row],[clean Salary (in local currency)]]*VLOOKUP(tblSalaries[[#This Row],[Currency]],tblXrate[],2,FALSE)</f>
        <v>106000</v>
      </c>
      <c r="H1602" t="s">
        <v>1776</v>
      </c>
      <c r="I1602" t="s">
        <v>20</v>
      </c>
      <c r="J1602" t="s">
        <v>877</v>
      </c>
      <c r="K1602" t="str">
        <f>VLOOKUP(tblSalaries[[#This Row],[Where do you work]],tblCountries[[Actual]:[Mapping]],2,FALSE)</f>
        <v>Denmark</v>
      </c>
      <c r="L1602" t="s">
        <v>25</v>
      </c>
      <c r="M1602">
        <v>7</v>
      </c>
    </row>
    <row r="1603" spans="2:13" ht="15" customHeight="1">
      <c r="B1603" t="s">
        <v>3606</v>
      </c>
      <c r="C1603" s="1">
        <v>41063.30332175926</v>
      </c>
      <c r="D1603" s="4" t="s">
        <v>1777</v>
      </c>
      <c r="E1603">
        <v>485000</v>
      </c>
      <c r="F1603" t="s">
        <v>1362</v>
      </c>
      <c r="G1603">
        <f>tblSalaries[[#This Row],[clean Salary (in local currency)]]*VLOOKUP(tblSalaries[[#This Row],[Currency]],tblXrate[],2,FALSE)</f>
        <v>82888.5550559455</v>
      </c>
      <c r="H1603" t="s">
        <v>488</v>
      </c>
      <c r="I1603" t="s">
        <v>488</v>
      </c>
      <c r="J1603" t="s">
        <v>877</v>
      </c>
      <c r="K1603" t="str">
        <f>VLOOKUP(tblSalaries[[#This Row],[Where do you work]],tblCountries[[Actual]:[Mapping]],2,FALSE)</f>
        <v>Denmark</v>
      </c>
      <c r="L1603" t="s">
        <v>9</v>
      </c>
      <c r="M1603">
        <v>18</v>
      </c>
    </row>
    <row r="1604" spans="2:13" ht="15" customHeight="1">
      <c r="B1604" t="s">
        <v>3607</v>
      </c>
      <c r="C1604" s="1">
        <v>41063.404629629629</v>
      </c>
      <c r="D1604" s="4">
        <v>75000</v>
      </c>
      <c r="E1604">
        <v>75000</v>
      </c>
      <c r="F1604" t="s">
        <v>670</v>
      </c>
      <c r="G1604">
        <f>tblSalaries[[#This Row],[clean Salary (in local currency)]]*VLOOKUP(tblSalaries[[#This Row],[Currency]],tblXrate[],2,FALSE)</f>
        <v>59819.107020370408</v>
      </c>
      <c r="H1604" t="s">
        <v>1778</v>
      </c>
      <c r="I1604" t="s">
        <v>20</v>
      </c>
      <c r="J1604" t="s">
        <v>1779</v>
      </c>
      <c r="K1604" t="str">
        <f>VLOOKUP(tblSalaries[[#This Row],[Where do you work]],tblCountries[[Actual]:[Mapping]],2,FALSE)</f>
        <v>New Zealand</v>
      </c>
      <c r="L1604" t="s">
        <v>18</v>
      </c>
      <c r="M1604">
        <v>10</v>
      </c>
    </row>
    <row r="1605" spans="2:13" ht="15" customHeight="1">
      <c r="B1605" t="s">
        <v>3608</v>
      </c>
      <c r="C1605" s="1">
        <v>41063.424108796295</v>
      </c>
      <c r="D1605" s="4">
        <v>6545</v>
      </c>
      <c r="E1605">
        <v>6545</v>
      </c>
      <c r="F1605" t="s">
        <v>6</v>
      </c>
      <c r="G1605">
        <f>tblSalaries[[#This Row],[clean Salary (in local currency)]]*VLOOKUP(tblSalaries[[#This Row],[Currency]],tblXrate[],2,FALSE)</f>
        <v>6545</v>
      </c>
      <c r="H1605" t="s">
        <v>700</v>
      </c>
      <c r="I1605" t="s">
        <v>52</v>
      </c>
      <c r="J1605" t="s">
        <v>8</v>
      </c>
      <c r="K1605" t="str">
        <f>VLOOKUP(tblSalaries[[#This Row],[Where do you work]],tblCountries[[Actual]:[Mapping]],2,FALSE)</f>
        <v>India</v>
      </c>
      <c r="L1605" t="s">
        <v>13</v>
      </c>
      <c r="M1605">
        <v>9</v>
      </c>
    </row>
    <row r="1606" spans="2:13" ht="15" customHeight="1">
      <c r="B1606" t="s">
        <v>3609</v>
      </c>
      <c r="C1606" s="1">
        <v>41063.506562499999</v>
      </c>
      <c r="D1606" s="4" t="s">
        <v>1780</v>
      </c>
      <c r="E1606">
        <v>1000000</v>
      </c>
      <c r="F1606" t="s">
        <v>40</v>
      </c>
      <c r="G1606">
        <f>tblSalaries[[#This Row],[clean Salary (in local currency)]]*VLOOKUP(tblSalaries[[#This Row],[Currency]],tblXrate[],2,FALSE)</f>
        <v>17807.916687442568</v>
      </c>
      <c r="H1606" t="s">
        <v>1781</v>
      </c>
      <c r="I1606" t="s">
        <v>52</v>
      </c>
      <c r="J1606" t="s">
        <v>8</v>
      </c>
      <c r="K1606" t="str">
        <f>VLOOKUP(tblSalaries[[#This Row],[Where do you work]],tblCountries[[Actual]:[Mapping]],2,FALSE)</f>
        <v>India</v>
      </c>
      <c r="L1606" t="s">
        <v>18</v>
      </c>
      <c r="M1606">
        <v>13</v>
      </c>
    </row>
    <row r="1607" spans="2:13" ht="15" customHeight="1">
      <c r="B1607" t="s">
        <v>3610</v>
      </c>
      <c r="C1607" s="1">
        <v>41063.511284722219</v>
      </c>
      <c r="D1607" s="4">
        <v>54000</v>
      </c>
      <c r="E1607">
        <v>54000</v>
      </c>
      <c r="F1607" t="s">
        <v>6</v>
      </c>
      <c r="G1607">
        <f>tblSalaries[[#This Row],[clean Salary (in local currency)]]*VLOOKUP(tblSalaries[[#This Row],[Currency]],tblXrate[],2,FALSE)</f>
        <v>54000</v>
      </c>
      <c r="H1607" t="s">
        <v>1782</v>
      </c>
      <c r="I1607" t="s">
        <v>4001</v>
      </c>
      <c r="J1607" t="s">
        <v>15</v>
      </c>
      <c r="K1607" t="str">
        <f>VLOOKUP(tblSalaries[[#This Row],[Where do you work]],tblCountries[[Actual]:[Mapping]],2,FALSE)</f>
        <v>USA</v>
      </c>
      <c r="L1607" t="s">
        <v>9</v>
      </c>
      <c r="M1607">
        <v>10</v>
      </c>
    </row>
    <row r="1608" spans="2:13" ht="15" customHeight="1">
      <c r="B1608" t="s">
        <v>3611</v>
      </c>
      <c r="C1608" s="1">
        <v>41063.518831018519</v>
      </c>
      <c r="D1608" s="4">
        <v>100000</v>
      </c>
      <c r="E1608">
        <v>100000</v>
      </c>
      <c r="F1608" t="s">
        <v>6</v>
      </c>
      <c r="G1608">
        <f>tblSalaries[[#This Row],[clean Salary (in local currency)]]*VLOOKUP(tblSalaries[[#This Row],[Currency]],tblXrate[],2,FALSE)</f>
        <v>100000</v>
      </c>
      <c r="H1608" t="s">
        <v>356</v>
      </c>
      <c r="I1608" t="s">
        <v>356</v>
      </c>
      <c r="J1608" t="s">
        <v>15</v>
      </c>
      <c r="K1608" t="str">
        <f>VLOOKUP(tblSalaries[[#This Row],[Where do you work]],tblCountries[[Actual]:[Mapping]],2,FALSE)</f>
        <v>USA</v>
      </c>
      <c r="L1608" t="s">
        <v>18</v>
      </c>
      <c r="M1608">
        <v>4</v>
      </c>
    </row>
    <row r="1609" spans="2:13" ht="15" customHeight="1">
      <c r="B1609" t="s">
        <v>3612</v>
      </c>
      <c r="C1609" s="1">
        <v>41063.563043981485</v>
      </c>
      <c r="D1609" s="4">
        <v>50000</v>
      </c>
      <c r="E1609">
        <v>50000</v>
      </c>
      <c r="F1609" t="s">
        <v>86</v>
      </c>
      <c r="G1609">
        <f>tblSalaries[[#This Row],[clean Salary (in local currency)]]*VLOOKUP(tblSalaries[[#This Row],[Currency]],tblXrate[],2,FALSE)</f>
        <v>49168.076151516347</v>
      </c>
      <c r="H1609" t="s">
        <v>955</v>
      </c>
      <c r="I1609" t="s">
        <v>20</v>
      </c>
      <c r="J1609" t="s">
        <v>88</v>
      </c>
      <c r="K1609" t="str">
        <f>VLOOKUP(tblSalaries[[#This Row],[Where do you work]],tblCountries[[Actual]:[Mapping]],2,FALSE)</f>
        <v>Canada</v>
      </c>
      <c r="L1609" t="s">
        <v>9</v>
      </c>
      <c r="M1609">
        <v>5</v>
      </c>
    </row>
    <row r="1610" spans="2:13" ht="15" customHeight="1">
      <c r="B1610" t="s">
        <v>3613</v>
      </c>
      <c r="C1610" s="1">
        <v>41063.602418981478</v>
      </c>
      <c r="D1610" s="4">
        <v>4019</v>
      </c>
      <c r="E1610">
        <v>4019</v>
      </c>
      <c r="F1610" t="s">
        <v>6</v>
      </c>
      <c r="G1610">
        <f>tblSalaries[[#This Row],[clean Salary (in local currency)]]*VLOOKUP(tblSalaries[[#This Row],[Currency]],tblXrate[],2,FALSE)</f>
        <v>4019</v>
      </c>
      <c r="H1610" t="s">
        <v>1783</v>
      </c>
      <c r="I1610" t="s">
        <v>67</v>
      </c>
      <c r="J1610" t="s">
        <v>347</v>
      </c>
      <c r="K1610" t="str">
        <f>VLOOKUP(tblSalaries[[#This Row],[Where do you work]],tblCountries[[Actual]:[Mapping]],2,FALSE)</f>
        <v>Philippines</v>
      </c>
      <c r="L1610" t="s">
        <v>18</v>
      </c>
      <c r="M1610">
        <v>3</v>
      </c>
    </row>
    <row r="1611" spans="2:13" ht="15" customHeight="1">
      <c r="B1611" t="s">
        <v>3614</v>
      </c>
      <c r="C1611" s="1">
        <v>41063.607592592591</v>
      </c>
      <c r="D1611" s="4">
        <v>15000</v>
      </c>
      <c r="E1611">
        <v>15000</v>
      </c>
      <c r="F1611" t="s">
        <v>6</v>
      </c>
      <c r="G1611">
        <f>tblSalaries[[#This Row],[clean Salary (in local currency)]]*VLOOKUP(tblSalaries[[#This Row],[Currency]],tblXrate[],2,FALSE)</f>
        <v>15000</v>
      </c>
      <c r="H1611" t="s">
        <v>1784</v>
      </c>
      <c r="I1611" t="s">
        <v>20</v>
      </c>
      <c r="J1611" t="s">
        <v>17</v>
      </c>
      <c r="K1611" t="str">
        <f>VLOOKUP(tblSalaries[[#This Row],[Where do you work]],tblCountries[[Actual]:[Mapping]],2,FALSE)</f>
        <v>Pakistan</v>
      </c>
      <c r="L1611" t="s">
        <v>9</v>
      </c>
      <c r="M1611">
        <v>5</v>
      </c>
    </row>
    <row r="1612" spans="2:13" ht="15" customHeight="1">
      <c r="B1612" t="s">
        <v>3615</v>
      </c>
      <c r="C1612" s="1">
        <v>41063.619687500002</v>
      </c>
      <c r="D1612" s="4" t="s">
        <v>395</v>
      </c>
      <c r="E1612">
        <v>1000000</v>
      </c>
      <c r="F1612" t="s">
        <v>40</v>
      </c>
      <c r="G1612">
        <f>tblSalaries[[#This Row],[clean Salary (in local currency)]]*VLOOKUP(tblSalaries[[#This Row],[Currency]],tblXrate[],2,FALSE)</f>
        <v>17807.916687442568</v>
      </c>
      <c r="H1612" t="s">
        <v>1785</v>
      </c>
      <c r="I1612" t="s">
        <v>20</v>
      </c>
      <c r="J1612" t="s">
        <v>8</v>
      </c>
      <c r="K1612" t="str">
        <f>VLOOKUP(tblSalaries[[#This Row],[Where do you work]],tblCountries[[Actual]:[Mapping]],2,FALSE)</f>
        <v>India</v>
      </c>
      <c r="L1612" t="s">
        <v>13</v>
      </c>
      <c r="M1612">
        <v>4</v>
      </c>
    </row>
    <row r="1613" spans="2:13" ht="15" customHeight="1">
      <c r="B1613" t="s">
        <v>3616</v>
      </c>
      <c r="C1613" s="1">
        <v>41063.700624999998</v>
      </c>
      <c r="D1613" s="4">
        <v>12000</v>
      </c>
      <c r="E1613">
        <v>12000</v>
      </c>
      <c r="F1613" t="s">
        <v>6</v>
      </c>
      <c r="G1613">
        <f>tblSalaries[[#This Row],[clean Salary (in local currency)]]*VLOOKUP(tblSalaries[[#This Row],[Currency]],tblXrate[],2,FALSE)</f>
        <v>12000</v>
      </c>
      <c r="H1613" t="s">
        <v>1786</v>
      </c>
      <c r="I1613" t="s">
        <v>3999</v>
      </c>
      <c r="J1613" t="s">
        <v>8</v>
      </c>
      <c r="K1613" t="str">
        <f>VLOOKUP(tblSalaries[[#This Row],[Where do you work]],tblCountries[[Actual]:[Mapping]],2,FALSE)</f>
        <v>India</v>
      </c>
      <c r="L1613" t="s">
        <v>13</v>
      </c>
      <c r="M1613">
        <v>3</v>
      </c>
    </row>
    <row r="1614" spans="2:13" ht="15" customHeight="1">
      <c r="B1614" t="s">
        <v>3617</v>
      </c>
      <c r="C1614" s="1">
        <v>41063.735578703701</v>
      </c>
      <c r="D1614" s="4" t="s">
        <v>1787</v>
      </c>
      <c r="E1614">
        <v>125000</v>
      </c>
      <c r="F1614" t="s">
        <v>40</v>
      </c>
      <c r="G1614">
        <f>tblSalaries[[#This Row],[clean Salary (in local currency)]]*VLOOKUP(tblSalaries[[#This Row],[Currency]],tblXrate[],2,FALSE)</f>
        <v>2225.989585930321</v>
      </c>
      <c r="H1614" t="s">
        <v>1788</v>
      </c>
      <c r="I1614" t="s">
        <v>20</v>
      </c>
      <c r="J1614" t="s">
        <v>8</v>
      </c>
      <c r="K1614" t="str">
        <f>VLOOKUP(tblSalaries[[#This Row],[Where do you work]],tblCountries[[Actual]:[Mapping]],2,FALSE)</f>
        <v>India</v>
      </c>
      <c r="L1614" t="s">
        <v>18</v>
      </c>
      <c r="M1614">
        <v>4</v>
      </c>
    </row>
    <row r="1615" spans="2:13" ht="15" customHeight="1">
      <c r="B1615" t="s">
        <v>3618</v>
      </c>
      <c r="C1615" s="1">
        <v>41063.819652777776</v>
      </c>
      <c r="D1615" s="4">
        <v>86000</v>
      </c>
      <c r="E1615">
        <v>86000</v>
      </c>
      <c r="F1615" t="s">
        <v>6</v>
      </c>
      <c r="G1615">
        <f>tblSalaries[[#This Row],[clean Salary (in local currency)]]*VLOOKUP(tblSalaries[[#This Row],[Currency]],tblXrate[],2,FALSE)</f>
        <v>86000</v>
      </c>
      <c r="H1615" t="s">
        <v>20</v>
      </c>
      <c r="I1615" t="s">
        <v>20</v>
      </c>
      <c r="J1615" t="s">
        <v>347</v>
      </c>
      <c r="K1615" t="str">
        <f>VLOOKUP(tblSalaries[[#This Row],[Where do you work]],tblCountries[[Actual]:[Mapping]],2,FALSE)</f>
        <v>Philippines</v>
      </c>
      <c r="L1615" t="s">
        <v>13</v>
      </c>
      <c r="M1615">
        <v>3</v>
      </c>
    </row>
    <row r="1616" spans="2:13" ht="15" customHeight="1">
      <c r="B1616" t="s">
        <v>3619</v>
      </c>
      <c r="C1616" s="1">
        <v>41064.072951388887</v>
      </c>
      <c r="D1616" s="4">
        <v>340000</v>
      </c>
      <c r="E1616">
        <v>340000</v>
      </c>
      <c r="F1616" t="s">
        <v>40</v>
      </c>
      <c r="G1616">
        <f>tblSalaries[[#This Row],[clean Salary (in local currency)]]*VLOOKUP(tblSalaries[[#This Row],[Currency]],tblXrate[],2,FALSE)</f>
        <v>6054.6916737304728</v>
      </c>
      <c r="H1616" t="s">
        <v>1022</v>
      </c>
      <c r="I1616" t="s">
        <v>52</v>
      </c>
      <c r="J1616" t="s">
        <v>8</v>
      </c>
      <c r="K1616" t="str">
        <f>VLOOKUP(tblSalaries[[#This Row],[Where do you work]],tblCountries[[Actual]:[Mapping]],2,FALSE)</f>
        <v>India</v>
      </c>
      <c r="L1616" t="s">
        <v>9</v>
      </c>
      <c r="M1616">
        <v>5</v>
      </c>
    </row>
    <row r="1617" spans="2:13" ht="15" customHeight="1">
      <c r="B1617" t="s">
        <v>3620</v>
      </c>
      <c r="C1617" s="1">
        <v>41064.086030092592</v>
      </c>
      <c r="D1617" s="4" t="s">
        <v>1789</v>
      </c>
      <c r="E1617">
        <v>3360</v>
      </c>
      <c r="F1617" t="s">
        <v>6</v>
      </c>
      <c r="G1617">
        <f>tblSalaries[[#This Row],[clean Salary (in local currency)]]*VLOOKUP(tblSalaries[[#This Row],[Currency]],tblXrate[],2,FALSE)</f>
        <v>3360</v>
      </c>
      <c r="H1617" t="s">
        <v>1790</v>
      </c>
      <c r="I1617" t="s">
        <v>20</v>
      </c>
      <c r="J1617" t="s">
        <v>8</v>
      </c>
      <c r="K1617" t="str">
        <f>VLOOKUP(tblSalaries[[#This Row],[Where do you work]],tblCountries[[Actual]:[Mapping]],2,FALSE)</f>
        <v>India</v>
      </c>
      <c r="L1617" t="s">
        <v>25</v>
      </c>
      <c r="M1617">
        <v>3</v>
      </c>
    </row>
    <row r="1618" spans="2:13" ht="15" customHeight="1">
      <c r="B1618" t="s">
        <v>3621</v>
      </c>
      <c r="C1618" s="1">
        <v>41064.10429398148</v>
      </c>
      <c r="D1618" s="4">
        <v>10000</v>
      </c>
      <c r="E1618">
        <v>10000</v>
      </c>
      <c r="F1618" t="s">
        <v>6</v>
      </c>
      <c r="G1618">
        <f>tblSalaries[[#This Row],[clean Salary (in local currency)]]*VLOOKUP(tblSalaries[[#This Row],[Currency]],tblXrate[],2,FALSE)</f>
        <v>10000</v>
      </c>
      <c r="H1618" t="s">
        <v>452</v>
      </c>
      <c r="I1618" t="s">
        <v>4001</v>
      </c>
      <c r="J161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>
        <v>1</v>
      </c>
    </row>
    <row r="1619" spans="2:13" ht="15" customHeight="1">
      <c r="B1619" t="s">
        <v>3622</v>
      </c>
      <c r="C1619" s="1">
        <v>41064.188807870371</v>
      </c>
      <c r="D1619" s="4">
        <v>70000</v>
      </c>
      <c r="E1619">
        <v>70000</v>
      </c>
      <c r="F1619" t="s">
        <v>6</v>
      </c>
      <c r="G1619">
        <f>tblSalaries[[#This Row],[clean Salary (in local currency)]]*VLOOKUP(tblSalaries[[#This Row],[Currency]],tblXrate[],2,FALSE)</f>
        <v>70000</v>
      </c>
      <c r="H1619" t="s">
        <v>1791</v>
      </c>
      <c r="I1619" t="s">
        <v>20</v>
      </c>
      <c r="J1619" t="s">
        <v>15</v>
      </c>
      <c r="K1619" t="str">
        <f>VLOOKUP(tblSalaries[[#This Row],[Where do you work]],tblCountries[[Actual]:[Mapping]],2,FALSE)</f>
        <v>USA</v>
      </c>
      <c r="L1619" t="s">
        <v>9</v>
      </c>
      <c r="M1619">
        <v>9</v>
      </c>
    </row>
    <row r="1620" spans="2:13" ht="15" customHeight="1">
      <c r="B1620" t="s">
        <v>3623</v>
      </c>
      <c r="C1620" s="1">
        <v>41064.409537037034</v>
      </c>
      <c r="D1620" s="4">
        <v>155000</v>
      </c>
      <c r="E1620">
        <v>155000</v>
      </c>
      <c r="F1620" t="s">
        <v>6</v>
      </c>
      <c r="G1620">
        <f>tblSalaries[[#This Row],[clean Salary (in local currency)]]*VLOOKUP(tblSalaries[[#This Row],[Currency]],tblXrate[],2,FALSE)</f>
        <v>155000</v>
      </c>
      <c r="H1620" t="s">
        <v>1792</v>
      </c>
      <c r="I1620" t="s">
        <v>52</v>
      </c>
      <c r="J1620" t="s">
        <v>15</v>
      </c>
      <c r="K1620" t="str">
        <f>VLOOKUP(tblSalaries[[#This Row],[Where do you work]],tblCountries[[Actual]:[Mapping]],2,FALSE)</f>
        <v>USA</v>
      </c>
      <c r="L1620" t="s">
        <v>25</v>
      </c>
      <c r="M1620">
        <v>14</v>
      </c>
    </row>
    <row r="1621" spans="2:13" ht="15" customHeight="1">
      <c r="B1621" t="s">
        <v>3624</v>
      </c>
      <c r="C1621" s="1">
        <v>41064.432951388888</v>
      </c>
      <c r="D1621" s="4">
        <v>225000</v>
      </c>
      <c r="E1621">
        <v>225000</v>
      </c>
      <c r="F1621" t="s">
        <v>6</v>
      </c>
      <c r="G1621">
        <f>tblSalaries[[#This Row],[clean Salary (in local currency)]]*VLOOKUP(tblSalaries[[#This Row],[Currency]],tblXrate[],2,FALSE)</f>
        <v>225000</v>
      </c>
      <c r="H1621" t="s">
        <v>1793</v>
      </c>
      <c r="I1621" t="s">
        <v>4001</v>
      </c>
      <c r="J1621" t="s">
        <v>15</v>
      </c>
      <c r="K1621" t="str">
        <f>VLOOKUP(tblSalaries[[#This Row],[Where do you work]],tblCountries[[Actual]:[Mapping]],2,FALSE)</f>
        <v>USA</v>
      </c>
      <c r="L1621" t="s">
        <v>9</v>
      </c>
      <c r="M1621">
        <v>15</v>
      </c>
    </row>
    <row r="1622" spans="2:13" ht="15" customHeight="1">
      <c r="B1622" t="s">
        <v>3625</v>
      </c>
      <c r="C1622" s="1">
        <v>41064.515335648146</v>
      </c>
      <c r="D1622" s="4">
        <v>10000</v>
      </c>
      <c r="E1622">
        <v>10000</v>
      </c>
      <c r="F1622" t="s">
        <v>6</v>
      </c>
      <c r="G1622">
        <f>tblSalaries[[#This Row],[clean Salary (in local currency)]]*VLOOKUP(tblSalaries[[#This Row],[Currency]],tblXrate[],2,FALSE)</f>
        <v>10000</v>
      </c>
      <c r="H1622" t="s">
        <v>721</v>
      </c>
      <c r="I1622" t="s">
        <v>3999</v>
      </c>
      <c r="J1622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>
        <v>2</v>
      </c>
    </row>
    <row r="1623" spans="2:13" ht="15" customHeight="1">
      <c r="B1623" t="s">
        <v>3626</v>
      </c>
      <c r="C1623" s="1">
        <v>41064.540347222224</v>
      </c>
      <c r="D1623" s="4">
        <v>300000</v>
      </c>
      <c r="E1623">
        <v>300000</v>
      </c>
      <c r="F1623" t="s">
        <v>40</v>
      </c>
      <c r="G1623">
        <f>tblSalaries[[#This Row],[clean Salary (in local currency)]]*VLOOKUP(tblSalaries[[#This Row],[Currency]],tblXrate[],2,FALSE)</f>
        <v>5342.3750062327708</v>
      </c>
      <c r="H1623" t="s">
        <v>1794</v>
      </c>
      <c r="I1623" t="s">
        <v>20</v>
      </c>
      <c r="J1623" t="s">
        <v>8</v>
      </c>
      <c r="K1623" t="str">
        <f>VLOOKUP(tblSalaries[[#This Row],[Where do you work]],tblCountries[[Actual]:[Mapping]],2,FALSE)</f>
        <v>India</v>
      </c>
      <c r="L1623" t="s">
        <v>9</v>
      </c>
      <c r="M1623">
        <v>8</v>
      </c>
    </row>
    <row r="1624" spans="2:13" ht="15" customHeight="1">
      <c r="B1624" t="s">
        <v>3627</v>
      </c>
      <c r="C1624" s="1">
        <v>41064.563090277778</v>
      </c>
      <c r="D1624" s="4">
        <v>84000</v>
      </c>
      <c r="E1624">
        <v>84000</v>
      </c>
      <c r="F1624" t="s">
        <v>82</v>
      </c>
      <c r="G1624">
        <f>tblSalaries[[#This Row],[clean Salary (in local currency)]]*VLOOKUP(tblSalaries[[#This Row],[Currency]],tblXrate[],2,FALSE)</f>
        <v>85672.4111378214</v>
      </c>
      <c r="H1624" t="s">
        <v>83</v>
      </c>
      <c r="I1624" t="s">
        <v>356</v>
      </c>
      <c r="J1624" t="s">
        <v>84</v>
      </c>
      <c r="K1624" t="str">
        <f>VLOOKUP(tblSalaries[[#This Row],[Where do you work]],tblCountries[[Actual]:[Mapping]],2,FALSE)</f>
        <v>Australia</v>
      </c>
      <c r="L1624" t="s">
        <v>9</v>
      </c>
      <c r="M1624">
        <v>6</v>
      </c>
    </row>
    <row r="1625" spans="2:13" ht="15" customHeight="1">
      <c r="B1625" t="s">
        <v>3628</v>
      </c>
      <c r="C1625" s="1">
        <v>41064.601215277777</v>
      </c>
      <c r="D1625" s="4" t="s">
        <v>1795</v>
      </c>
      <c r="E1625">
        <v>240000</v>
      </c>
      <c r="F1625" t="s">
        <v>40</v>
      </c>
      <c r="G1625">
        <f>tblSalaries[[#This Row],[clean Salary (in local currency)]]*VLOOKUP(tblSalaries[[#This Row],[Currency]],tblXrate[],2,FALSE)</f>
        <v>4273.9000049862161</v>
      </c>
      <c r="H1625" t="s">
        <v>1796</v>
      </c>
      <c r="I1625" t="s">
        <v>488</v>
      </c>
      <c r="J1625" t="s">
        <v>8</v>
      </c>
      <c r="K1625" t="str">
        <f>VLOOKUP(tblSalaries[[#This Row],[Where do you work]],tblCountries[[Actual]:[Mapping]],2,FALSE)</f>
        <v>India</v>
      </c>
      <c r="L1625" t="s">
        <v>18</v>
      </c>
      <c r="M1625">
        <v>15</v>
      </c>
    </row>
    <row r="1626" spans="2:13" ht="15" customHeight="1">
      <c r="B1626" t="s">
        <v>3629</v>
      </c>
      <c r="C1626" s="1">
        <v>41064.688298611109</v>
      </c>
      <c r="D1626" s="4" t="s">
        <v>1797</v>
      </c>
      <c r="E1626">
        <v>500000</v>
      </c>
      <c r="F1626" t="s">
        <v>40</v>
      </c>
      <c r="G1626">
        <f>tblSalaries[[#This Row],[clean Salary (in local currency)]]*VLOOKUP(tblSalaries[[#This Row],[Currency]],tblXrate[],2,FALSE)</f>
        <v>8903.9583437212841</v>
      </c>
      <c r="H1626" t="s">
        <v>786</v>
      </c>
      <c r="I1626" t="s">
        <v>52</v>
      </c>
      <c r="J1626" t="s">
        <v>8</v>
      </c>
      <c r="K1626" t="str">
        <f>VLOOKUP(tblSalaries[[#This Row],[Where do you work]],tblCountries[[Actual]:[Mapping]],2,FALSE)</f>
        <v>India</v>
      </c>
      <c r="L1626" t="s">
        <v>13</v>
      </c>
      <c r="M1626">
        <v>20</v>
      </c>
    </row>
    <row r="1627" spans="2:13" ht="15" customHeight="1">
      <c r="B1627" t="s">
        <v>3630</v>
      </c>
      <c r="C1627" s="1">
        <v>41064.752326388887</v>
      </c>
      <c r="D1627" s="4">
        <v>42000</v>
      </c>
      <c r="E1627">
        <v>42000</v>
      </c>
      <c r="F1627" t="s">
        <v>69</v>
      </c>
      <c r="G1627">
        <f>tblSalaries[[#This Row],[clean Salary (in local currency)]]*VLOOKUP(tblSalaries[[#This Row],[Currency]],tblXrate[],2,FALSE)</f>
        <v>66199.48742682593</v>
      </c>
      <c r="H1627" t="s">
        <v>772</v>
      </c>
      <c r="I1627" t="s">
        <v>52</v>
      </c>
      <c r="J1627" t="s">
        <v>71</v>
      </c>
      <c r="K1627" t="str">
        <f>VLOOKUP(tblSalaries[[#This Row],[Where do you work]],tblCountries[[Actual]:[Mapping]],2,FALSE)</f>
        <v>UK</v>
      </c>
      <c r="L1627" t="s">
        <v>9</v>
      </c>
      <c r="M1627">
        <v>23</v>
      </c>
    </row>
    <row r="1628" spans="2:13" ht="15" customHeight="1">
      <c r="B1628" t="s">
        <v>3631</v>
      </c>
      <c r="C1628" s="1">
        <v>41064.788819444446</v>
      </c>
      <c r="D1628" s="4" t="s">
        <v>1798</v>
      </c>
      <c r="E1628">
        <v>320000</v>
      </c>
      <c r="F1628" t="s">
        <v>40</v>
      </c>
      <c r="G1628">
        <f>tblSalaries[[#This Row],[clean Salary (in local currency)]]*VLOOKUP(tblSalaries[[#This Row],[Currency]],tblXrate[],2,FALSE)</f>
        <v>5698.5333399816218</v>
      </c>
      <c r="H1628" t="s">
        <v>649</v>
      </c>
      <c r="I1628" t="s">
        <v>20</v>
      </c>
      <c r="J1628" t="s">
        <v>8</v>
      </c>
      <c r="K1628" t="str">
        <f>VLOOKUP(tblSalaries[[#This Row],[Where do you work]],tblCountries[[Actual]:[Mapping]],2,FALSE)</f>
        <v>India</v>
      </c>
      <c r="L1628" t="s">
        <v>9</v>
      </c>
      <c r="M1628">
        <v>2.5</v>
      </c>
    </row>
    <row r="1629" spans="2:13" ht="15" customHeight="1">
      <c r="B1629" t="s">
        <v>3632</v>
      </c>
      <c r="C1629" s="1">
        <v>41064.799513888887</v>
      </c>
      <c r="D1629" s="4" t="s">
        <v>1799</v>
      </c>
      <c r="E1629">
        <v>22000</v>
      </c>
      <c r="F1629" t="s">
        <v>69</v>
      </c>
      <c r="G1629">
        <f>tblSalaries[[#This Row],[clean Salary (in local currency)]]*VLOOKUP(tblSalaries[[#This Row],[Currency]],tblXrate[],2,FALSE)</f>
        <v>34675.92198548025</v>
      </c>
      <c r="H1629" t="s">
        <v>1800</v>
      </c>
      <c r="I1629" t="s">
        <v>52</v>
      </c>
      <c r="J1629" t="s">
        <v>71</v>
      </c>
      <c r="K1629" t="str">
        <f>VLOOKUP(tblSalaries[[#This Row],[Where do you work]],tblCountries[[Actual]:[Mapping]],2,FALSE)</f>
        <v>UK</v>
      </c>
      <c r="L1629" t="s">
        <v>9</v>
      </c>
      <c r="M1629">
        <v>17</v>
      </c>
    </row>
    <row r="1630" spans="2:13" ht="15" customHeight="1">
      <c r="B1630" t="s">
        <v>3633</v>
      </c>
      <c r="C1630" s="1">
        <v>41064.82371527778</v>
      </c>
      <c r="D1630" s="4" t="s">
        <v>1801</v>
      </c>
      <c r="E1630">
        <v>31200</v>
      </c>
      <c r="F1630" t="s">
        <v>6</v>
      </c>
      <c r="G1630">
        <f>tblSalaries[[#This Row],[clean Salary (in local currency)]]*VLOOKUP(tblSalaries[[#This Row],[Currency]],tblXrate[],2,FALSE)</f>
        <v>31200</v>
      </c>
      <c r="H1630" t="s">
        <v>467</v>
      </c>
      <c r="I1630" t="s">
        <v>3999</v>
      </c>
      <c r="J1630" t="s">
        <v>1802</v>
      </c>
      <c r="K1630" t="str">
        <f>VLOOKUP(tblSalaries[[#This Row],[Where do you work]],tblCountries[[Actual]:[Mapping]],2,FALSE)</f>
        <v>Israel</v>
      </c>
      <c r="L1630" t="s">
        <v>13</v>
      </c>
      <c r="M1630">
        <v>11</v>
      </c>
    </row>
    <row r="1631" spans="2:13" ht="15" customHeight="1">
      <c r="B1631" t="s">
        <v>3634</v>
      </c>
      <c r="C1631" s="1">
        <v>41064.905034722222</v>
      </c>
      <c r="D1631" s="4">
        <v>56000</v>
      </c>
      <c r="E1631">
        <v>56000</v>
      </c>
      <c r="F1631" t="s">
        <v>86</v>
      </c>
      <c r="G1631">
        <f>tblSalaries[[#This Row],[clean Salary (in local currency)]]*VLOOKUP(tblSalaries[[#This Row],[Currency]],tblXrate[],2,FALSE)</f>
        <v>55068.245289698301</v>
      </c>
      <c r="H1631" t="s">
        <v>83</v>
      </c>
      <c r="I1631" t="s">
        <v>356</v>
      </c>
      <c r="J1631" t="s">
        <v>88</v>
      </c>
      <c r="K1631" t="str">
        <f>VLOOKUP(tblSalaries[[#This Row],[Where do you work]],tblCountries[[Actual]:[Mapping]],2,FALSE)</f>
        <v>Canada</v>
      </c>
      <c r="L1631" t="s">
        <v>13</v>
      </c>
      <c r="M1631">
        <v>1</v>
      </c>
    </row>
    <row r="1632" spans="2:13" ht="15" customHeight="1">
      <c r="B1632" t="s">
        <v>3635</v>
      </c>
      <c r="C1632" s="1">
        <v>41064.927777777775</v>
      </c>
      <c r="D1632" s="4">
        <v>13000</v>
      </c>
      <c r="E1632">
        <v>13000</v>
      </c>
      <c r="F1632" t="s">
        <v>6</v>
      </c>
      <c r="G1632">
        <f>tblSalaries[[#This Row],[clean Salary (in local currency)]]*VLOOKUP(tblSalaries[[#This Row],[Currency]],tblXrate[],2,FALSE)</f>
        <v>13000</v>
      </c>
      <c r="H1632" t="s">
        <v>1803</v>
      </c>
      <c r="I1632" t="s">
        <v>20</v>
      </c>
      <c r="J1632" t="s">
        <v>1804</v>
      </c>
      <c r="K1632" t="str">
        <f>VLOOKUP(tblSalaries[[#This Row],[Where do you work]],tblCountries[[Actual]:[Mapping]],2,FALSE)</f>
        <v>Slovakia</v>
      </c>
      <c r="L1632" t="s">
        <v>13</v>
      </c>
      <c r="M1632">
        <v>6</v>
      </c>
    </row>
    <row r="1633" spans="2:13" ht="15" customHeight="1">
      <c r="B1633" t="s">
        <v>3636</v>
      </c>
      <c r="C1633" s="1">
        <v>41064.958449074074</v>
      </c>
      <c r="D1633" s="4">
        <v>92000</v>
      </c>
      <c r="E1633">
        <v>92000</v>
      </c>
      <c r="F1633" t="s">
        <v>6</v>
      </c>
      <c r="G1633">
        <f>tblSalaries[[#This Row],[clean Salary (in local currency)]]*VLOOKUP(tblSalaries[[#This Row],[Currency]],tblXrate[],2,FALSE)</f>
        <v>92000</v>
      </c>
      <c r="H1633" t="s">
        <v>1805</v>
      </c>
      <c r="I1633" t="s">
        <v>3999</v>
      </c>
      <c r="J1633" t="s">
        <v>15</v>
      </c>
      <c r="K1633" t="str">
        <f>VLOOKUP(tblSalaries[[#This Row],[Where do you work]],tblCountries[[Actual]:[Mapping]],2,FALSE)</f>
        <v>USA</v>
      </c>
      <c r="L1633" t="s">
        <v>18</v>
      </c>
      <c r="M1633">
        <v>12</v>
      </c>
    </row>
    <row r="1634" spans="2:13" ht="15" customHeight="1">
      <c r="B1634" t="s">
        <v>3637</v>
      </c>
      <c r="C1634" s="1">
        <v>41064.971307870372</v>
      </c>
      <c r="D1634" s="4">
        <v>85000</v>
      </c>
      <c r="E1634">
        <v>85000</v>
      </c>
      <c r="F1634" t="s">
        <v>6</v>
      </c>
      <c r="G1634">
        <f>tblSalaries[[#This Row],[clean Salary (in local currency)]]*VLOOKUP(tblSalaries[[#This Row],[Currency]],tblXrate[],2,FALSE)</f>
        <v>85000</v>
      </c>
      <c r="H1634" t="s">
        <v>1806</v>
      </c>
      <c r="I1634" t="s">
        <v>52</v>
      </c>
      <c r="J1634" t="s">
        <v>15</v>
      </c>
      <c r="K1634" t="str">
        <f>VLOOKUP(tblSalaries[[#This Row],[Where do you work]],tblCountries[[Actual]:[Mapping]],2,FALSE)</f>
        <v>USA</v>
      </c>
      <c r="L1634" t="s">
        <v>13</v>
      </c>
      <c r="M1634">
        <v>10</v>
      </c>
    </row>
    <row r="1635" spans="2:13" ht="15" customHeight="1">
      <c r="B1635" t="s">
        <v>3638</v>
      </c>
      <c r="C1635" s="1">
        <v>41064.985208333332</v>
      </c>
      <c r="D1635" s="4" t="s">
        <v>1807</v>
      </c>
      <c r="E1635">
        <v>11000</v>
      </c>
      <c r="F1635" t="s">
        <v>6</v>
      </c>
      <c r="G1635">
        <f>tblSalaries[[#This Row],[clean Salary (in local currency)]]*VLOOKUP(tblSalaries[[#This Row],[Currency]],tblXrate[],2,FALSE)</f>
        <v>11000</v>
      </c>
      <c r="H1635" t="s">
        <v>1808</v>
      </c>
      <c r="I1635" t="s">
        <v>20</v>
      </c>
      <c r="J1635" t="s">
        <v>1809</v>
      </c>
      <c r="K1635" t="str">
        <f>VLOOKUP(tblSalaries[[#This Row],[Where do you work]],tblCountries[[Actual]:[Mapping]],2,FALSE)</f>
        <v>Tunisia</v>
      </c>
      <c r="L1635" t="s">
        <v>9</v>
      </c>
      <c r="M1635">
        <v>8</v>
      </c>
    </row>
    <row r="1636" spans="2:13" ht="15" customHeight="1">
      <c r="B1636" t="s">
        <v>3639</v>
      </c>
      <c r="C1636" s="1">
        <v>41064.985266203701</v>
      </c>
      <c r="D1636" s="4" t="s">
        <v>1810</v>
      </c>
      <c r="E1636">
        <v>30000</v>
      </c>
      <c r="F1636" t="s">
        <v>22</v>
      </c>
      <c r="G1636">
        <f>tblSalaries[[#This Row],[clean Salary (in local currency)]]*VLOOKUP(tblSalaries[[#This Row],[Currency]],tblXrate[],2,FALSE)</f>
        <v>38111.983169748237</v>
      </c>
      <c r="H1636" t="s">
        <v>1811</v>
      </c>
      <c r="I1636" t="s">
        <v>20</v>
      </c>
      <c r="J1636" t="s">
        <v>608</v>
      </c>
      <c r="K1636" t="str">
        <f>VLOOKUP(tblSalaries[[#This Row],[Where do you work]],tblCountries[[Actual]:[Mapping]],2,FALSE)</f>
        <v>Spain</v>
      </c>
      <c r="L1636" t="s">
        <v>25</v>
      </c>
      <c r="M1636">
        <v>12</v>
      </c>
    </row>
    <row r="1637" spans="2:13" ht="15" customHeight="1">
      <c r="B1637" t="s">
        <v>3640</v>
      </c>
      <c r="C1637" s="1">
        <v>41064.987349537034</v>
      </c>
      <c r="D1637" s="4">
        <v>49000</v>
      </c>
      <c r="E1637">
        <v>49000</v>
      </c>
      <c r="F1637" t="s">
        <v>6</v>
      </c>
      <c r="G1637">
        <f>tblSalaries[[#This Row],[clean Salary (in local currency)]]*VLOOKUP(tblSalaries[[#This Row],[Currency]],tblXrate[],2,FALSE)</f>
        <v>49000</v>
      </c>
      <c r="H1637" t="s">
        <v>1812</v>
      </c>
      <c r="I1637" t="s">
        <v>20</v>
      </c>
      <c r="J1637" t="s">
        <v>15</v>
      </c>
      <c r="K1637" t="str">
        <f>VLOOKUP(tblSalaries[[#This Row],[Where do you work]],tblCountries[[Actual]:[Mapping]],2,FALSE)</f>
        <v>USA</v>
      </c>
      <c r="L1637" t="s">
        <v>18</v>
      </c>
      <c r="M1637">
        <v>3</v>
      </c>
    </row>
    <row r="1638" spans="2:13" ht="15" customHeight="1">
      <c r="B1638" t="s">
        <v>3641</v>
      </c>
      <c r="C1638" s="1">
        <v>41065.015439814815</v>
      </c>
      <c r="D1638" s="4">
        <v>59000</v>
      </c>
      <c r="E1638">
        <v>59000</v>
      </c>
      <c r="F1638" t="s">
        <v>6</v>
      </c>
      <c r="G1638">
        <f>tblSalaries[[#This Row],[clean Salary (in local currency)]]*VLOOKUP(tblSalaries[[#This Row],[Currency]],tblXrate[],2,FALSE)</f>
        <v>59000</v>
      </c>
      <c r="H1638" t="s">
        <v>1813</v>
      </c>
      <c r="I1638" t="s">
        <v>52</v>
      </c>
      <c r="J1638" t="s">
        <v>15</v>
      </c>
      <c r="K1638" t="str">
        <f>VLOOKUP(tblSalaries[[#This Row],[Where do you work]],tblCountries[[Actual]:[Mapping]],2,FALSE)</f>
        <v>USA</v>
      </c>
      <c r="L1638" t="s">
        <v>25</v>
      </c>
      <c r="M1638">
        <v>3</v>
      </c>
    </row>
    <row r="1639" spans="2:13" ht="15" customHeight="1">
      <c r="B1639" t="s">
        <v>3642</v>
      </c>
      <c r="C1639" s="1">
        <v>41065.085972222223</v>
      </c>
      <c r="D1639" s="4">
        <v>55000</v>
      </c>
      <c r="E1639">
        <v>55000</v>
      </c>
      <c r="F1639" t="s">
        <v>6</v>
      </c>
      <c r="G1639">
        <f>tblSalaries[[#This Row],[clean Salary (in local currency)]]*VLOOKUP(tblSalaries[[#This Row],[Currency]],tblXrate[],2,FALSE)</f>
        <v>55000</v>
      </c>
      <c r="H1639" t="s">
        <v>1814</v>
      </c>
      <c r="I1639" t="s">
        <v>20</v>
      </c>
      <c r="J1639" t="s">
        <v>15</v>
      </c>
      <c r="K1639" t="str">
        <f>VLOOKUP(tblSalaries[[#This Row],[Where do you work]],tblCountries[[Actual]:[Mapping]],2,FALSE)</f>
        <v>USA</v>
      </c>
      <c r="L1639" t="s">
        <v>9</v>
      </c>
      <c r="M1639">
        <v>15</v>
      </c>
    </row>
    <row r="1640" spans="2:13" ht="15" customHeight="1">
      <c r="B1640" t="s">
        <v>3643</v>
      </c>
      <c r="C1640" s="1">
        <v>41065.097928240742</v>
      </c>
      <c r="D1640" s="4">
        <v>75000</v>
      </c>
      <c r="E1640">
        <v>75000</v>
      </c>
      <c r="F1640" t="s">
        <v>6</v>
      </c>
      <c r="G1640">
        <f>tblSalaries[[#This Row],[clean Salary (in local currency)]]*VLOOKUP(tblSalaries[[#This Row],[Currency]],tblXrate[],2,FALSE)</f>
        <v>75000</v>
      </c>
      <c r="H1640" t="s">
        <v>310</v>
      </c>
      <c r="I1640" t="s">
        <v>310</v>
      </c>
      <c r="J1640" t="s">
        <v>15</v>
      </c>
      <c r="K1640" t="str">
        <f>VLOOKUP(tblSalaries[[#This Row],[Where do you work]],tblCountries[[Actual]:[Mapping]],2,FALSE)</f>
        <v>USA</v>
      </c>
      <c r="L1640" t="s">
        <v>9</v>
      </c>
      <c r="M1640">
        <v>10</v>
      </c>
    </row>
    <row r="1641" spans="2:13" ht="15" customHeight="1">
      <c r="B1641" t="s">
        <v>3644</v>
      </c>
      <c r="C1641" s="1">
        <v>41065.159745370373</v>
      </c>
      <c r="D1641" s="4">
        <v>3300</v>
      </c>
      <c r="E1641">
        <v>39600</v>
      </c>
      <c r="F1641" t="s">
        <v>22</v>
      </c>
      <c r="G1641">
        <f>tblSalaries[[#This Row],[clean Salary (in local currency)]]*VLOOKUP(tblSalaries[[#This Row],[Currency]],tblXrate[],2,FALSE)</f>
        <v>50307.817784067665</v>
      </c>
      <c r="H1641" t="s">
        <v>1815</v>
      </c>
      <c r="I1641" t="s">
        <v>52</v>
      </c>
      <c r="J1641" t="s">
        <v>983</v>
      </c>
      <c r="K1641" t="str">
        <f>VLOOKUP(tblSalaries[[#This Row],[Where do you work]],tblCountries[[Actual]:[Mapping]],2,FALSE)</f>
        <v>Europe</v>
      </c>
      <c r="L1641" t="s">
        <v>25</v>
      </c>
      <c r="M1641">
        <v>5</v>
      </c>
    </row>
    <row r="1642" spans="2:13" ht="15" customHeight="1">
      <c r="B1642" t="s">
        <v>3645</v>
      </c>
      <c r="C1642" s="1">
        <v>41065.163611111115</v>
      </c>
      <c r="D1642" s="4" t="s">
        <v>1816</v>
      </c>
      <c r="E1642">
        <v>30500</v>
      </c>
      <c r="F1642" t="s">
        <v>6</v>
      </c>
      <c r="G1642">
        <f>tblSalaries[[#This Row],[clean Salary (in local currency)]]*VLOOKUP(tblSalaries[[#This Row],[Currency]],tblXrate[],2,FALSE)</f>
        <v>30500</v>
      </c>
      <c r="H1642" t="s">
        <v>14</v>
      </c>
      <c r="I1642" t="s">
        <v>20</v>
      </c>
      <c r="J1642" t="s">
        <v>143</v>
      </c>
      <c r="K1642" t="str">
        <f>VLOOKUP(tblSalaries[[#This Row],[Where do you work]],tblCountries[[Actual]:[Mapping]],2,FALSE)</f>
        <v>Brazil</v>
      </c>
      <c r="L1642" t="s">
        <v>13</v>
      </c>
      <c r="M1642">
        <v>8</v>
      </c>
    </row>
    <row r="1643" spans="2:13" ht="15" customHeight="1">
      <c r="B1643" t="s">
        <v>3646</v>
      </c>
      <c r="C1643" s="1">
        <v>41065.170937499999</v>
      </c>
      <c r="D1643" s="4">
        <v>80000</v>
      </c>
      <c r="E1643">
        <v>80000</v>
      </c>
      <c r="F1643" t="s">
        <v>6</v>
      </c>
      <c r="G1643">
        <f>tblSalaries[[#This Row],[clean Salary (in local currency)]]*VLOOKUP(tblSalaries[[#This Row],[Currency]],tblXrate[],2,FALSE)</f>
        <v>80000</v>
      </c>
      <c r="H1643" t="s">
        <v>1817</v>
      </c>
      <c r="I1643" t="s">
        <v>67</v>
      </c>
      <c r="J1643" t="s">
        <v>15</v>
      </c>
      <c r="K1643" t="str">
        <f>VLOOKUP(tblSalaries[[#This Row],[Where do you work]],tblCountries[[Actual]:[Mapping]],2,FALSE)</f>
        <v>USA</v>
      </c>
      <c r="L1643" t="s">
        <v>18</v>
      </c>
      <c r="M1643">
        <v>2</v>
      </c>
    </row>
    <row r="1644" spans="2:13" ht="15" customHeight="1">
      <c r="B1644" t="s">
        <v>3647</v>
      </c>
      <c r="C1644" s="1">
        <v>41065.210462962961</v>
      </c>
      <c r="D1644" s="4">
        <v>1000</v>
      </c>
      <c r="E1644">
        <v>12000</v>
      </c>
      <c r="F1644" t="s">
        <v>6</v>
      </c>
      <c r="G1644">
        <f>tblSalaries[[#This Row],[clean Salary (in local currency)]]*VLOOKUP(tblSalaries[[#This Row],[Currency]],tblXrate[],2,FALSE)</f>
        <v>12000</v>
      </c>
      <c r="H1644" t="s">
        <v>1818</v>
      </c>
      <c r="I1644" t="s">
        <v>20</v>
      </c>
      <c r="J1644" t="s">
        <v>15</v>
      </c>
      <c r="K1644" t="str">
        <f>VLOOKUP(tblSalaries[[#This Row],[Where do you work]],tblCountries[[Actual]:[Mapping]],2,FALSE)</f>
        <v>USA</v>
      </c>
      <c r="L1644" t="s">
        <v>18</v>
      </c>
      <c r="M1644">
        <v>1</v>
      </c>
    </row>
    <row r="1645" spans="2:13" ht="15" customHeight="1">
      <c r="B1645" t="s">
        <v>3648</v>
      </c>
      <c r="C1645" s="1">
        <v>41065.210648148146</v>
      </c>
      <c r="D1645" s="4">
        <v>48500</v>
      </c>
      <c r="E1645">
        <v>48500</v>
      </c>
      <c r="F1645" t="s">
        <v>6</v>
      </c>
      <c r="G1645">
        <f>tblSalaries[[#This Row],[clean Salary (in local currency)]]*VLOOKUP(tblSalaries[[#This Row],[Currency]],tblXrate[],2,FALSE)</f>
        <v>48500</v>
      </c>
      <c r="H1645" t="s">
        <v>1819</v>
      </c>
      <c r="I1645" t="s">
        <v>20</v>
      </c>
      <c r="J1645" t="s">
        <v>15</v>
      </c>
      <c r="K1645" t="str">
        <f>VLOOKUP(tblSalaries[[#This Row],[Where do you work]],tblCountries[[Actual]:[Mapping]],2,FALSE)</f>
        <v>USA</v>
      </c>
      <c r="L1645" t="s">
        <v>9</v>
      </c>
      <c r="M1645">
        <v>6</v>
      </c>
    </row>
    <row r="1646" spans="2:13" ht="15" customHeight="1">
      <c r="B1646" t="s">
        <v>3649</v>
      </c>
      <c r="C1646" s="1">
        <v>41065.285833333335</v>
      </c>
      <c r="D1646" s="4" t="s">
        <v>1238</v>
      </c>
      <c r="E1646">
        <v>40000</v>
      </c>
      <c r="F1646" t="s">
        <v>69</v>
      </c>
      <c r="G1646">
        <f>tblSalaries[[#This Row],[clean Salary (in local currency)]]*VLOOKUP(tblSalaries[[#This Row],[Currency]],tblXrate[],2,FALSE)</f>
        <v>63047.130882691366</v>
      </c>
      <c r="H1646" t="s">
        <v>1820</v>
      </c>
      <c r="I1646" t="s">
        <v>67</v>
      </c>
      <c r="J1646" t="s">
        <v>71</v>
      </c>
      <c r="K1646" t="str">
        <f>VLOOKUP(tblSalaries[[#This Row],[Where do you work]],tblCountries[[Actual]:[Mapping]],2,FALSE)</f>
        <v>UK</v>
      </c>
      <c r="L1646" t="s">
        <v>18</v>
      </c>
      <c r="M1646">
        <v>25</v>
      </c>
    </row>
    <row r="1647" spans="2:13" ht="15" customHeight="1">
      <c r="B1647" t="s">
        <v>3650</v>
      </c>
      <c r="C1647" s="1">
        <v>41065.295277777775</v>
      </c>
      <c r="D1647" s="4" t="s">
        <v>1821</v>
      </c>
      <c r="E1647">
        <v>192000</v>
      </c>
      <c r="F1647" t="s">
        <v>40</v>
      </c>
      <c r="G1647">
        <f>tblSalaries[[#This Row],[clean Salary (in local currency)]]*VLOOKUP(tblSalaries[[#This Row],[Currency]],tblXrate[],2,FALSE)</f>
        <v>3419.1200039889732</v>
      </c>
      <c r="H1647" t="s">
        <v>839</v>
      </c>
      <c r="I1647" t="s">
        <v>20</v>
      </c>
      <c r="J1647" t="s">
        <v>8</v>
      </c>
      <c r="K1647" t="str">
        <f>VLOOKUP(tblSalaries[[#This Row],[Where do you work]],tblCountries[[Actual]:[Mapping]],2,FALSE)</f>
        <v>India</v>
      </c>
      <c r="L1647" t="s">
        <v>9</v>
      </c>
      <c r="M1647">
        <v>5</v>
      </c>
    </row>
    <row r="1648" spans="2:13" ht="15" customHeight="1">
      <c r="B1648" t="s">
        <v>3651</v>
      </c>
      <c r="C1648" s="1">
        <v>41065.446921296294</v>
      </c>
      <c r="D1648" s="4">
        <v>110000</v>
      </c>
      <c r="E1648">
        <v>110000</v>
      </c>
      <c r="F1648" t="s">
        <v>670</v>
      </c>
      <c r="G1648">
        <f>tblSalaries[[#This Row],[clean Salary (in local currency)]]*VLOOKUP(tblSalaries[[#This Row],[Currency]],tblXrate[],2,FALSE)</f>
        <v>87734.690296543267</v>
      </c>
      <c r="H1648" t="s">
        <v>1822</v>
      </c>
      <c r="I1648" t="s">
        <v>52</v>
      </c>
      <c r="J1648" t="s">
        <v>672</v>
      </c>
      <c r="K1648" t="str">
        <f>VLOOKUP(tblSalaries[[#This Row],[Where do you work]],tblCountries[[Actual]:[Mapping]],2,FALSE)</f>
        <v>New Zealand</v>
      </c>
      <c r="L1648" t="s">
        <v>9</v>
      </c>
      <c r="M1648">
        <v>6</v>
      </c>
    </row>
    <row r="1649" spans="2:13" ht="15" customHeight="1">
      <c r="B1649" t="s">
        <v>3652</v>
      </c>
      <c r="C1649" s="1">
        <v>41065.529606481483</v>
      </c>
      <c r="D1649" s="4" t="s">
        <v>1823</v>
      </c>
      <c r="E1649">
        <v>71000</v>
      </c>
      <c r="F1649" t="s">
        <v>670</v>
      </c>
      <c r="G1649">
        <f>tblSalaries[[#This Row],[clean Salary (in local currency)]]*VLOOKUP(tblSalaries[[#This Row],[Currency]],tblXrate[],2,FALSE)</f>
        <v>56628.754645950656</v>
      </c>
      <c r="H1649" t="s">
        <v>207</v>
      </c>
      <c r="I1649" t="s">
        <v>20</v>
      </c>
      <c r="J1649" t="s">
        <v>1097</v>
      </c>
      <c r="K1649" t="str">
        <f>VLOOKUP(tblSalaries[[#This Row],[Where do you work]],tblCountries[[Actual]:[Mapping]],2,FALSE)</f>
        <v>New Zealand</v>
      </c>
      <c r="L1649" t="s">
        <v>13</v>
      </c>
      <c r="M1649">
        <v>6</v>
      </c>
    </row>
    <row r="1650" spans="2:13" ht="15" customHeight="1">
      <c r="B1650" t="s">
        <v>3653</v>
      </c>
      <c r="C1650" s="1">
        <v>41065.749756944446</v>
      </c>
      <c r="D1650" s="4" t="s">
        <v>1372</v>
      </c>
      <c r="E1650">
        <v>450000</v>
      </c>
      <c r="F1650" t="s">
        <v>40</v>
      </c>
      <c r="G1650">
        <f>tblSalaries[[#This Row],[clean Salary (in local currency)]]*VLOOKUP(tblSalaries[[#This Row],[Currency]],tblXrate[],2,FALSE)</f>
        <v>8013.5625093491553</v>
      </c>
      <c r="H1650" t="s">
        <v>1824</v>
      </c>
      <c r="I1650" t="s">
        <v>3999</v>
      </c>
      <c r="J1650" t="s">
        <v>8</v>
      </c>
      <c r="K1650" t="str">
        <f>VLOOKUP(tblSalaries[[#This Row],[Where do you work]],tblCountries[[Actual]:[Mapping]],2,FALSE)</f>
        <v>India</v>
      </c>
      <c r="L1650" t="s">
        <v>13</v>
      </c>
      <c r="M1650">
        <v>4</v>
      </c>
    </row>
    <row r="1651" spans="2:13" ht="15" customHeight="1">
      <c r="B1651" t="s">
        <v>3654</v>
      </c>
      <c r="C1651" s="1">
        <v>41065.772210648145</v>
      </c>
      <c r="D1651" s="4" t="s">
        <v>1825</v>
      </c>
      <c r="E1651">
        <v>200000</v>
      </c>
      <c r="F1651" t="s">
        <v>40</v>
      </c>
      <c r="G1651">
        <f>tblSalaries[[#This Row],[clean Salary (in local currency)]]*VLOOKUP(tblSalaries[[#This Row],[Currency]],tblXrate[],2,FALSE)</f>
        <v>3561.5833374885137</v>
      </c>
      <c r="H1651" t="s">
        <v>749</v>
      </c>
      <c r="I1651" t="s">
        <v>20</v>
      </c>
      <c r="J1651" t="s">
        <v>8</v>
      </c>
      <c r="K1651" t="str">
        <f>VLOOKUP(tblSalaries[[#This Row],[Where do you work]],tblCountries[[Actual]:[Mapping]],2,FALSE)</f>
        <v>India</v>
      </c>
      <c r="L1651" t="s">
        <v>25</v>
      </c>
      <c r="M1651">
        <v>16</v>
      </c>
    </row>
    <row r="1652" spans="2:13" ht="15" customHeight="1">
      <c r="B1652" t="s">
        <v>3655</v>
      </c>
      <c r="C1652" s="1">
        <v>41065.801435185182</v>
      </c>
      <c r="D1652" s="4">
        <v>62000</v>
      </c>
      <c r="E1652">
        <v>62000</v>
      </c>
      <c r="F1652" t="s">
        <v>6</v>
      </c>
      <c r="G1652">
        <f>tblSalaries[[#This Row],[clean Salary (in local currency)]]*VLOOKUP(tblSalaries[[#This Row],[Currency]],tblXrate[],2,FALSE)</f>
        <v>62000</v>
      </c>
      <c r="H1652" t="s">
        <v>19</v>
      </c>
      <c r="I1652" t="s">
        <v>279</v>
      </c>
      <c r="J1652" t="s">
        <v>15</v>
      </c>
      <c r="K1652" t="str">
        <f>VLOOKUP(tblSalaries[[#This Row],[Where do you work]],tblCountries[[Actual]:[Mapping]],2,FALSE)</f>
        <v>USA</v>
      </c>
      <c r="L1652" t="s">
        <v>18</v>
      </c>
      <c r="M1652">
        <v>12</v>
      </c>
    </row>
    <row r="1653" spans="2:13" ht="15" customHeight="1">
      <c r="B1653" t="s">
        <v>3656</v>
      </c>
      <c r="C1653" s="1">
        <v>41065.802812499998</v>
      </c>
      <c r="D1653" s="4">
        <v>21000</v>
      </c>
      <c r="E1653">
        <v>21000</v>
      </c>
      <c r="F1653" t="s">
        <v>22</v>
      </c>
      <c r="G1653">
        <f>tblSalaries[[#This Row],[clean Salary (in local currency)]]*VLOOKUP(tblSalaries[[#This Row],[Currency]],tblXrate[],2,FALSE)</f>
        <v>26678.388218823762</v>
      </c>
      <c r="H1653" t="s">
        <v>1269</v>
      </c>
      <c r="I1653" t="s">
        <v>20</v>
      </c>
      <c r="J1653" t="s">
        <v>30</v>
      </c>
      <c r="K1653" t="str">
        <f>VLOOKUP(tblSalaries[[#This Row],[Where do you work]],tblCountries[[Actual]:[Mapping]],2,FALSE)</f>
        <v>Portugal</v>
      </c>
      <c r="L1653" t="s">
        <v>9</v>
      </c>
      <c r="M1653">
        <v>5</v>
      </c>
    </row>
    <row r="1654" spans="2:13" ht="15" customHeight="1">
      <c r="B1654" t="s">
        <v>3657</v>
      </c>
      <c r="C1654" s="1">
        <v>41065.817511574074</v>
      </c>
      <c r="D1654" s="4" t="s">
        <v>1249</v>
      </c>
      <c r="E1654">
        <v>45000</v>
      </c>
      <c r="F1654" t="s">
        <v>69</v>
      </c>
      <c r="G1654">
        <f>tblSalaries[[#This Row],[clean Salary (in local currency)]]*VLOOKUP(tblSalaries[[#This Row],[Currency]],tblXrate[],2,FALSE)</f>
        <v>70928.022243027779</v>
      </c>
      <c r="H1654" t="s">
        <v>153</v>
      </c>
      <c r="I1654" t="s">
        <v>20</v>
      </c>
      <c r="J1654" t="s">
        <v>71</v>
      </c>
      <c r="K1654" t="str">
        <f>VLOOKUP(tblSalaries[[#This Row],[Where do you work]],tblCountries[[Actual]:[Mapping]],2,FALSE)</f>
        <v>UK</v>
      </c>
      <c r="L1654" t="s">
        <v>13</v>
      </c>
      <c r="M1654">
        <v>5</v>
      </c>
    </row>
    <row r="1655" spans="2:13" ht="15" customHeight="1">
      <c r="B1655" t="s">
        <v>3658</v>
      </c>
      <c r="C1655" s="1">
        <v>41065.833043981482</v>
      </c>
      <c r="D1655" s="4">
        <v>33000</v>
      </c>
      <c r="E1655">
        <v>33000</v>
      </c>
      <c r="F1655" t="s">
        <v>22</v>
      </c>
      <c r="G1655">
        <f>tblSalaries[[#This Row],[clean Salary (in local currency)]]*VLOOKUP(tblSalaries[[#This Row],[Currency]],tblXrate[],2,FALSE)</f>
        <v>41923.181486723057</v>
      </c>
      <c r="H1655" t="s">
        <v>1513</v>
      </c>
      <c r="I1655" t="s">
        <v>20</v>
      </c>
      <c r="J1655" t="s">
        <v>1826</v>
      </c>
      <c r="K1655" t="str">
        <f>VLOOKUP(tblSalaries[[#This Row],[Where do you work]],tblCountries[[Actual]:[Mapping]],2,FALSE)</f>
        <v>France</v>
      </c>
      <c r="L1655" t="s">
        <v>9</v>
      </c>
      <c r="M1655">
        <v>6</v>
      </c>
    </row>
    <row r="1656" spans="2:13" ht="15" customHeight="1">
      <c r="B1656" t="s">
        <v>3659</v>
      </c>
      <c r="C1656" s="1">
        <v>41065.863437499997</v>
      </c>
      <c r="D1656" s="4">
        <v>90000</v>
      </c>
      <c r="E1656">
        <v>90000</v>
      </c>
      <c r="F1656" t="s">
        <v>6</v>
      </c>
      <c r="G1656">
        <f>tblSalaries[[#This Row],[clean Salary (in local currency)]]*VLOOKUP(tblSalaries[[#This Row],[Currency]],tblXrate[],2,FALSE)</f>
        <v>90000</v>
      </c>
      <c r="H1656" t="s">
        <v>1827</v>
      </c>
      <c r="I1656" t="s">
        <v>20</v>
      </c>
      <c r="J1656" t="s">
        <v>15</v>
      </c>
      <c r="K1656" t="str">
        <f>VLOOKUP(tblSalaries[[#This Row],[Where do you work]],tblCountries[[Actual]:[Mapping]],2,FALSE)</f>
        <v>USA</v>
      </c>
      <c r="L1656" t="s">
        <v>18</v>
      </c>
      <c r="M1656">
        <v>8</v>
      </c>
    </row>
    <row r="1657" spans="2:13" ht="15" customHeight="1">
      <c r="B1657" t="s">
        <v>3660</v>
      </c>
      <c r="C1657" s="1">
        <v>41065.880046296297</v>
      </c>
      <c r="D1657" s="4" t="s">
        <v>1828</v>
      </c>
      <c r="E1657">
        <v>400000</v>
      </c>
      <c r="F1657" t="s">
        <v>1829</v>
      </c>
      <c r="G1657">
        <f>tblSalaries[[#This Row],[clean Salary (in local currency)]]*VLOOKUP(tblSalaries[[#This Row],[Currency]],tblXrate[],2,FALSE)</f>
        <v>67700.452577525488</v>
      </c>
      <c r="H1657" t="s">
        <v>1830</v>
      </c>
      <c r="I1657" t="s">
        <v>20</v>
      </c>
      <c r="J1657" t="s">
        <v>583</v>
      </c>
      <c r="K1657" t="str">
        <f>VLOOKUP(tblSalaries[[#This Row],[Where do you work]],tblCountries[[Actual]:[Mapping]],2,FALSE)</f>
        <v>Norway</v>
      </c>
      <c r="L1657" t="s">
        <v>13</v>
      </c>
      <c r="M1657">
        <v>5</v>
      </c>
    </row>
    <row r="1658" spans="2:13" ht="15" customHeight="1">
      <c r="B1658" t="s">
        <v>3661</v>
      </c>
      <c r="C1658" s="1">
        <v>41065.898460648146</v>
      </c>
      <c r="D1658" s="4">
        <v>85000</v>
      </c>
      <c r="E1658">
        <v>85000</v>
      </c>
      <c r="F1658" t="s">
        <v>6</v>
      </c>
      <c r="G1658">
        <f>tblSalaries[[#This Row],[clean Salary (in local currency)]]*VLOOKUP(tblSalaries[[#This Row],[Currency]],tblXrate[],2,FALSE)</f>
        <v>85000</v>
      </c>
      <c r="H1658" t="s">
        <v>14</v>
      </c>
      <c r="I1658" t="s">
        <v>20</v>
      </c>
      <c r="J1658" t="s">
        <v>15</v>
      </c>
      <c r="K1658" t="str">
        <f>VLOOKUP(tblSalaries[[#This Row],[Where do you work]],tblCountries[[Actual]:[Mapping]],2,FALSE)</f>
        <v>USA</v>
      </c>
      <c r="L1658" t="s">
        <v>9</v>
      </c>
      <c r="M1658">
        <v>12</v>
      </c>
    </row>
    <row r="1659" spans="2:13" ht="15" customHeight="1">
      <c r="B1659" t="s">
        <v>3662</v>
      </c>
      <c r="C1659" s="1">
        <v>41065.909143518518</v>
      </c>
      <c r="D1659" s="4">
        <v>50000</v>
      </c>
      <c r="E1659">
        <v>50000</v>
      </c>
      <c r="F1659" t="s">
        <v>69</v>
      </c>
      <c r="G1659">
        <f>tblSalaries[[#This Row],[clean Salary (in local currency)]]*VLOOKUP(tblSalaries[[#This Row],[Currency]],tblXrate[],2,FALSE)</f>
        <v>78808.913603364199</v>
      </c>
      <c r="H1659" t="s">
        <v>1024</v>
      </c>
      <c r="I1659" t="s">
        <v>4001</v>
      </c>
      <c r="J1659" t="s">
        <v>71</v>
      </c>
      <c r="K1659" t="str">
        <f>VLOOKUP(tblSalaries[[#This Row],[Where do you work]],tblCountries[[Actual]:[Mapping]],2,FALSE)</f>
        <v>UK</v>
      </c>
      <c r="L1659" t="s">
        <v>9</v>
      </c>
      <c r="M1659">
        <v>10</v>
      </c>
    </row>
    <row r="1660" spans="2:13" ht="15" customHeight="1">
      <c r="B1660" t="s">
        <v>3663</v>
      </c>
      <c r="C1660" s="1">
        <v>41065.916435185187</v>
      </c>
      <c r="D1660" s="4">
        <v>65000</v>
      </c>
      <c r="E1660">
        <v>65000</v>
      </c>
      <c r="F1660" t="s">
        <v>6</v>
      </c>
      <c r="G1660">
        <f>tblSalaries[[#This Row],[clean Salary (in local currency)]]*VLOOKUP(tblSalaries[[#This Row],[Currency]],tblXrate[],2,FALSE)</f>
        <v>65000</v>
      </c>
      <c r="H1660" t="s">
        <v>207</v>
      </c>
      <c r="I1660" t="s">
        <v>20</v>
      </c>
      <c r="J1660" t="s">
        <v>15</v>
      </c>
      <c r="K1660" t="str">
        <f>VLOOKUP(tblSalaries[[#This Row],[Where do you work]],tblCountries[[Actual]:[Mapping]],2,FALSE)</f>
        <v>USA</v>
      </c>
      <c r="L1660" t="s">
        <v>9</v>
      </c>
      <c r="M1660">
        <v>8</v>
      </c>
    </row>
    <row r="1661" spans="2:13" ht="15" customHeight="1">
      <c r="B1661" t="s">
        <v>3664</v>
      </c>
      <c r="C1661" s="1">
        <v>41065.920254629629</v>
      </c>
      <c r="D1661" s="4">
        <v>75000</v>
      </c>
      <c r="E1661">
        <v>75000</v>
      </c>
      <c r="F1661" t="s">
        <v>6</v>
      </c>
      <c r="G1661">
        <f>tblSalaries[[#This Row],[clean Salary (in local currency)]]*VLOOKUP(tblSalaries[[#This Row],[Currency]],tblXrate[],2,FALSE)</f>
        <v>75000</v>
      </c>
      <c r="H1661" t="s">
        <v>1831</v>
      </c>
      <c r="I1661" t="s">
        <v>4001</v>
      </c>
      <c r="J1661" t="s">
        <v>15</v>
      </c>
      <c r="K1661" t="str">
        <f>VLOOKUP(tblSalaries[[#This Row],[Where do you work]],tblCountries[[Actual]:[Mapping]],2,FALSE)</f>
        <v>USA</v>
      </c>
      <c r="L1661" t="s">
        <v>18</v>
      </c>
      <c r="M1661">
        <v>3</v>
      </c>
    </row>
    <row r="1662" spans="2:13" ht="15" customHeight="1">
      <c r="B1662" t="s">
        <v>3665</v>
      </c>
      <c r="C1662" s="1">
        <v>41065.947534722225</v>
      </c>
      <c r="D1662" s="4">
        <v>92000</v>
      </c>
      <c r="E1662">
        <v>92000</v>
      </c>
      <c r="F1662" t="s">
        <v>6</v>
      </c>
      <c r="G1662">
        <f>tblSalaries[[#This Row],[clean Salary (in local currency)]]*VLOOKUP(tblSalaries[[#This Row],[Currency]],tblXrate[],2,FALSE)</f>
        <v>92000</v>
      </c>
      <c r="H1662" t="s">
        <v>1832</v>
      </c>
      <c r="I1662" t="s">
        <v>20</v>
      </c>
      <c r="J1662" t="s">
        <v>15</v>
      </c>
      <c r="K1662" t="str">
        <f>VLOOKUP(tblSalaries[[#This Row],[Where do you work]],tblCountries[[Actual]:[Mapping]],2,FALSE)</f>
        <v>USA</v>
      </c>
      <c r="L1662" t="s">
        <v>9</v>
      </c>
      <c r="M1662">
        <v>9</v>
      </c>
    </row>
    <row r="1663" spans="2:13" ht="15" customHeight="1">
      <c r="B1663" t="s">
        <v>3666</v>
      </c>
      <c r="C1663" s="1">
        <v>41065.951620370368</v>
      </c>
      <c r="D1663" s="4">
        <v>40000</v>
      </c>
      <c r="E1663">
        <v>40000</v>
      </c>
      <c r="F1663" t="s">
        <v>22</v>
      </c>
      <c r="G1663">
        <f>tblSalaries[[#This Row],[clean Salary (in local currency)]]*VLOOKUP(tblSalaries[[#This Row],[Currency]],tblXrate[],2,FALSE)</f>
        <v>50815.977559664309</v>
      </c>
      <c r="H1663" t="s">
        <v>14</v>
      </c>
      <c r="I1663" t="s">
        <v>20</v>
      </c>
      <c r="J1663" t="s">
        <v>24</v>
      </c>
      <c r="K1663" t="str">
        <f>VLOOKUP(tblSalaries[[#This Row],[Where do you work]],tblCountries[[Actual]:[Mapping]],2,FALSE)</f>
        <v>Germany</v>
      </c>
      <c r="L1663" t="s">
        <v>18</v>
      </c>
      <c r="M1663">
        <v>3</v>
      </c>
    </row>
    <row r="1664" spans="2:13" ht="15" customHeight="1">
      <c r="B1664" t="s">
        <v>3667</v>
      </c>
      <c r="C1664" s="1">
        <v>41065.965092592596</v>
      </c>
      <c r="D1664" s="4" t="s">
        <v>1833</v>
      </c>
      <c r="E1664">
        <v>35500</v>
      </c>
      <c r="F1664" t="s">
        <v>69</v>
      </c>
      <c r="G1664">
        <f>tblSalaries[[#This Row],[clean Salary (in local currency)]]*VLOOKUP(tblSalaries[[#This Row],[Currency]],tblXrate[],2,FALSE)</f>
        <v>55954.328658388586</v>
      </c>
      <c r="H1664" t="s">
        <v>1287</v>
      </c>
      <c r="I1664" t="s">
        <v>310</v>
      </c>
      <c r="J1664" t="s">
        <v>71</v>
      </c>
      <c r="K1664" t="str">
        <f>VLOOKUP(tblSalaries[[#This Row],[Where do you work]],tblCountries[[Actual]:[Mapping]],2,FALSE)</f>
        <v>UK</v>
      </c>
      <c r="L1664" t="s">
        <v>9</v>
      </c>
      <c r="M1664">
        <v>8</v>
      </c>
    </row>
    <row r="1665" spans="2:13" ht="15" customHeight="1">
      <c r="B1665" t="s">
        <v>3668</v>
      </c>
      <c r="C1665" s="1">
        <v>41066.034201388888</v>
      </c>
      <c r="D1665" s="4">
        <v>45000</v>
      </c>
      <c r="E1665">
        <v>45000</v>
      </c>
      <c r="F1665" t="s">
        <v>6</v>
      </c>
      <c r="G1665">
        <f>tblSalaries[[#This Row],[clean Salary (in local currency)]]*VLOOKUP(tblSalaries[[#This Row],[Currency]],tblXrate[],2,FALSE)</f>
        <v>45000</v>
      </c>
      <c r="H1665" t="s">
        <v>1834</v>
      </c>
      <c r="I1665" t="s">
        <v>20</v>
      </c>
      <c r="J1665" t="s">
        <v>15</v>
      </c>
      <c r="K1665" t="str">
        <f>VLOOKUP(tblSalaries[[#This Row],[Where do you work]],tblCountries[[Actual]:[Mapping]],2,FALSE)</f>
        <v>USA</v>
      </c>
      <c r="L1665" t="s">
        <v>18</v>
      </c>
      <c r="M1665">
        <v>4</v>
      </c>
    </row>
    <row r="1666" spans="2:13" ht="15" customHeight="1">
      <c r="B1666" t="s">
        <v>3669</v>
      </c>
      <c r="C1666" s="1">
        <v>41066.044849537036</v>
      </c>
      <c r="D1666" s="4" t="s">
        <v>1835</v>
      </c>
      <c r="E1666">
        <v>400000</v>
      </c>
      <c r="F1666" t="s">
        <v>40</v>
      </c>
      <c r="G1666">
        <f>tblSalaries[[#This Row],[clean Salary (in local currency)]]*VLOOKUP(tblSalaries[[#This Row],[Currency]],tblXrate[],2,FALSE)</f>
        <v>7123.1666749770275</v>
      </c>
      <c r="H1666" t="s">
        <v>20</v>
      </c>
      <c r="I1666" t="s">
        <v>20</v>
      </c>
      <c r="J1666" t="s">
        <v>8</v>
      </c>
      <c r="K1666" t="str">
        <f>VLOOKUP(tblSalaries[[#This Row],[Where do you work]],tblCountries[[Actual]:[Mapping]],2,FALSE)</f>
        <v>India</v>
      </c>
      <c r="L1666" t="s">
        <v>9</v>
      </c>
      <c r="M1666">
        <v>4</v>
      </c>
    </row>
    <row r="1667" spans="2:13" ht="15" customHeight="1">
      <c r="B1667" t="s">
        <v>3670</v>
      </c>
      <c r="C1667" s="1">
        <v>41066.060370370367</v>
      </c>
      <c r="D1667" s="4" t="s">
        <v>1836</v>
      </c>
      <c r="E1667">
        <v>38920</v>
      </c>
      <c r="F1667" t="s">
        <v>22</v>
      </c>
      <c r="G1667">
        <f>tblSalaries[[#This Row],[clean Salary (in local currency)]]*VLOOKUP(tblSalaries[[#This Row],[Currency]],tblXrate[],2,FALSE)</f>
        <v>49443.946165553374</v>
      </c>
      <c r="H1667" t="s">
        <v>1837</v>
      </c>
      <c r="I1667" t="s">
        <v>20</v>
      </c>
      <c r="J1667" t="s">
        <v>59</v>
      </c>
      <c r="K1667" t="str">
        <f>VLOOKUP(tblSalaries[[#This Row],[Where do you work]],tblCountries[[Actual]:[Mapping]],2,FALSE)</f>
        <v>Belgium</v>
      </c>
      <c r="L1667" t="s">
        <v>9</v>
      </c>
      <c r="M1667">
        <v>1.5</v>
      </c>
    </row>
    <row r="1668" spans="2:13" ht="15" customHeight="1">
      <c r="B1668" t="s">
        <v>3671</v>
      </c>
      <c r="C1668" s="1">
        <v>41066.070601851854</v>
      </c>
      <c r="D1668" s="4" t="s">
        <v>1838</v>
      </c>
      <c r="E1668">
        <v>45000</v>
      </c>
      <c r="F1668" t="s">
        <v>6</v>
      </c>
      <c r="G1668">
        <f>tblSalaries[[#This Row],[clean Salary (in local currency)]]*VLOOKUP(tblSalaries[[#This Row],[Currency]],tblXrate[],2,FALSE)</f>
        <v>45000</v>
      </c>
      <c r="H1668" t="s">
        <v>29</v>
      </c>
      <c r="I1668" t="s">
        <v>4001</v>
      </c>
      <c r="J1668" t="s">
        <v>166</v>
      </c>
      <c r="K1668" t="str">
        <f>VLOOKUP(tblSalaries[[#This Row],[Where do you work]],tblCountries[[Actual]:[Mapping]],2,FALSE)</f>
        <v>Mexico</v>
      </c>
      <c r="L1668" t="s">
        <v>9</v>
      </c>
      <c r="M1668">
        <v>5</v>
      </c>
    </row>
    <row r="1669" spans="2:13" ht="15" customHeight="1">
      <c r="B1669" t="s">
        <v>3672</v>
      </c>
      <c r="C1669" s="1">
        <v>41066.091643518521</v>
      </c>
      <c r="D1669" s="4" t="s">
        <v>1839</v>
      </c>
      <c r="E1669">
        <v>60000</v>
      </c>
      <c r="F1669" t="s">
        <v>6</v>
      </c>
      <c r="G1669">
        <f>tblSalaries[[#This Row],[clean Salary (in local currency)]]*VLOOKUP(tblSalaries[[#This Row],[Currency]],tblXrate[],2,FALSE)</f>
        <v>60000</v>
      </c>
      <c r="H1669" t="s">
        <v>20</v>
      </c>
      <c r="I1669" t="s">
        <v>20</v>
      </c>
      <c r="J1669" t="s">
        <v>15</v>
      </c>
      <c r="K1669" t="str">
        <f>VLOOKUP(tblSalaries[[#This Row],[Where do you work]],tblCountries[[Actual]:[Mapping]],2,FALSE)</f>
        <v>USA</v>
      </c>
      <c r="L1669" t="s">
        <v>13</v>
      </c>
      <c r="M1669">
        <v>1</v>
      </c>
    </row>
    <row r="1670" spans="2:13" ht="15" customHeight="1">
      <c r="B1670" t="s">
        <v>3673</v>
      </c>
      <c r="C1670" s="1">
        <v>41066.095300925925</v>
      </c>
      <c r="D1670" s="4">
        <v>65000</v>
      </c>
      <c r="E1670">
        <v>65000</v>
      </c>
      <c r="F1670" t="s">
        <v>6</v>
      </c>
      <c r="G1670">
        <f>tblSalaries[[#This Row],[clean Salary (in local currency)]]*VLOOKUP(tblSalaries[[#This Row],[Currency]],tblXrate[],2,FALSE)</f>
        <v>65000</v>
      </c>
      <c r="H1670" t="s">
        <v>1840</v>
      </c>
      <c r="I1670" t="s">
        <v>20</v>
      </c>
      <c r="J1670" t="s">
        <v>15</v>
      </c>
      <c r="K1670" t="str">
        <f>VLOOKUP(tblSalaries[[#This Row],[Where do you work]],tblCountries[[Actual]:[Mapping]],2,FALSE)</f>
        <v>USA</v>
      </c>
      <c r="L1670" t="s">
        <v>13</v>
      </c>
      <c r="M1670">
        <v>4</v>
      </c>
    </row>
    <row r="1671" spans="2:13" ht="15" customHeight="1">
      <c r="B1671" t="s">
        <v>3674</v>
      </c>
      <c r="C1671" s="1">
        <v>41066.135370370372</v>
      </c>
      <c r="D1671" s="4">
        <v>73000</v>
      </c>
      <c r="E1671">
        <v>73000</v>
      </c>
      <c r="F1671" t="s">
        <v>6</v>
      </c>
      <c r="G1671">
        <f>tblSalaries[[#This Row],[clean Salary (in local currency)]]*VLOOKUP(tblSalaries[[#This Row],[Currency]],tblXrate[],2,FALSE)</f>
        <v>73000</v>
      </c>
      <c r="H1671" t="s">
        <v>1841</v>
      </c>
      <c r="I1671" t="s">
        <v>52</v>
      </c>
      <c r="J1671" t="s">
        <v>15</v>
      </c>
      <c r="K1671" t="str">
        <f>VLOOKUP(tblSalaries[[#This Row],[Where do you work]],tblCountries[[Actual]:[Mapping]],2,FALSE)</f>
        <v>USA</v>
      </c>
      <c r="L1671" t="s">
        <v>18</v>
      </c>
      <c r="M1671">
        <v>6</v>
      </c>
    </row>
    <row r="1672" spans="2:13" ht="15" customHeight="1">
      <c r="B1672" t="s">
        <v>3675</v>
      </c>
      <c r="C1672" s="1">
        <v>41066.167268518519</v>
      </c>
      <c r="D1672" s="4">
        <v>54000</v>
      </c>
      <c r="E1672">
        <v>54000</v>
      </c>
      <c r="F1672" t="s">
        <v>6</v>
      </c>
      <c r="G1672">
        <f>tblSalaries[[#This Row],[clean Salary (in local currency)]]*VLOOKUP(tblSalaries[[#This Row],[Currency]],tblXrate[],2,FALSE)</f>
        <v>54000</v>
      </c>
      <c r="H1672" t="s">
        <v>309</v>
      </c>
      <c r="I1672" t="s">
        <v>20</v>
      </c>
      <c r="J1672" t="s">
        <v>15</v>
      </c>
      <c r="K1672" t="str">
        <f>VLOOKUP(tblSalaries[[#This Row],[Where do you work]],tblCountries[[Actual]:[Mapping]],2,FALSE)</f>
        <v>USA</v>
      </c>
      <c r="L1672" t="s">
        <v>13</v>
      </c>
      <c r="M1672">
        <v>6</v>
      </c>
    </row>
    <row r="1673" spans="2:13" ht="15" customHeight="1">
      <c r="B1673" t="s">
        <v>3676</v>
      </c>
      <c r="C1673" s="1">
        <v>41066.245127314818</v>
      </c>
      <c r="D1673" s="4">
        <v>81000</v>
      </c>
      <c r="E1673">
        <v>81000</v>
      </c>
      <c r="F1673" t="s">
        <v>6</v>
      </c>
      <c r="G1673">
        <f>tblSalaries[[#This Row],[clean Salary (in local currency)]]*VLOOKUP(tblSalaries[[#This Row],[Currency]],tblXrate[],2,FALSE)</f>
        <v>81000</v>
      </c>
      <c r="H1673" t="s">
        <v>1842</v>
      </c>
      <c r="I1673" t="s">
        <v>20</v>
      </c>
      <c r="J1673" t="s">
        <v>15</v>
      </c>
      <c r="K1673" t="str">
        <f>VLOOKUP(tblSalaries[[#This Row],[Where do you work]],tblCountries[[Actual]:[Mapping]],2,FALSE)</f>
        <v>USA</v>
      </c>
      <c r="L1673" t="s">
        <v>9</v>
      </c>
      <c r="M1673">
        <v>6</v>
      </c>
    </row>
    <row r="1674" spans="2:13" ht="15" customHeight="1">
      <c r="B1674" t="s">
        <v>3677</v>
      </c>
      <c r="C1674" s="1">
        <v>41066.311666666668</v>
      </c>
      <c r="D1674" s="4">
        <v>10000</v>
      </c>
      <c r="E1674">
        <v>10000</v>
      </c>
      <c r="F1674" t="s">
        <v>6</v>
      </c>
      <c r="G1674">
        <f>tblSalaries[[#This Row],[clean Salary (in local currency)]]*VLOOKUP(tblSalaries[[#This Row],[Currency]],tblXrate[],2,FALSE)</f>
        <v>10000</v>
      </c>
      <c r="H1674" t="s">
        <v>1843</v>
      </c>
      <c r="I1674" t="s">
        <v>20</v>
      </c>
      <c r="J1674" t="s">
        <v>15</v>
      </c>
      <c r="K1674" t="str">
        <f>VLOOKUP(tblSalaries[[#This Row],[Where do you work]],tblCountries[[Actual]:[Mapping]],2,FALSE)</f>
        <v>USA</v>
      </c>
      <c r="L1674" t="s">
        <v>9</v>
      </c>
      <c r="M1674">
        <v>2</v>
      </c>
    </row>
    <row r="1675" spans="2:13" ht="15" customHeight="1">
      <c r="B1675" t="s">
        <v>3678</v>
      </c>
      <c r="C1675" s="1">
        <v>41066.351342592592</v>
      </c>
      <c r="D1675" s="4">
        <v>42000</v>
      </c>
      <c r="E1675">
        <v>42000</v>
      </c>
      <c r="F1675" t="s">
        <v>6</v>
      </c>
      <c r="G1675">
        <f>tblSalaries[[#This Row],[clean Salary (in local currency)]]*VLOOKUP(tblSalaries[[#This Row],[Currency]],tblXrate[],2,FALSE)</f>
        <v>42000</v>
      </c>
      <c r="H1675" t="s">
        <v>1369</v>
      </c>
      <c r="I1675" t="s">
        <v>310</v>
      </c>
      <c r="J1675" t="s">
        <v>15</v>
      </c>
      <c r="K1675" t="str">
        <f>VLOOKUP(tblSalaries[[#This Row],[Where do you work]],tblCountries[[Actual]:[Mapping]],2,FALSE)</f>
        <v>USA</v>
      </c>
      <c r="L1675" t="s">
        <v>9</v>
      </c>
      <c r="M1675">
        <v>1</v>
      </c>
    </row>
    <row r="1676" spans="2:13" ht="15" customHeight="1">
      <c r="B1676" t="s">
        <v>3679</v>
      </c>
      <c r="C1676" s="1">
        <v>41066.39707175926</v>
      </c>
      <c r="D1676" s="4">
        <v>80000</v>
      </c>
      <c r="E1676">
        <v>80000</v>
      </c>
      <c r="F1676" t="s">
        <v>82</v>
      </c>
      <c r="G1676">
        <f>tblSalaries[[#This Row],[clean Salary (in local currency)]]*VLOOKUP(tblSalaries[[#This Row],[Currency]],tblXrate[],2,FALSE)</f>
        <v>81592.772512210868</v>
      </c>
      <c r="H1676" t="s">
        <v>1844</v>
      </c>
      <c r="I1676" t="s">
        <v>67</v>
      </c>
      <c r="J1676" t="s">
        <v>84</v>
      </c>
      <c r="K1676" t="str">
        <f>VLOOKUP(tblSalaries[[#This Row],[Where do you work]],tblCountries[[Actual]:[Mapping]],2,FALSE)</f>
        <v>Australia</v>
      </c>
      <c r="L1676" t="s">
        <v>9</v>
      </c>
      <c r="M1676">
        <v>5</v>
      </c>
    </row>
    <row r="1677" spans="2:13" ht="15" customHeight="1">
      <c r="B1677" t="s">
        <v>3680</v>
      </c>
      <c r="C1677" s="1">
        <v>41066.473009259258</v>
      </c>
      <c r="D1677" s="4">
        <v>36000</v>
      </c>
      <c r="E1677">
        <v>36000</v>
      </c>
      <c r="F1677" t="s">
        <v>86</v>
      </c>
      <c r="G1677">
        <f>tblSalaries[[#This Row],[clean Salary (in local currency)]]*VLOOKUP(tblSalaries[[#This Row],[Currency]],tblXrate[],2,FALSE)</f>
        <v>35401.014829091764</v>
      </c>
      <c r="H1677" t="s">
        <v>1845</v>
      </c>
      <c r="I1677" t="s">
        <v>20</v>
      </c>
      <c r="J1677" t="s">
        <v>88</v>
      </c>
      <c r="K1677" t="str">
        <f>VLOOKUP(tblSalaries[[#This Row],[Where do you work]],tblCountries[[Actual]:[Mapping]],2,FALSE)</f>
        <v>Canada</v>
      </c>
      <c r="L1677" t="s">
        <v>13</v>
      </c>
      <c r="M1677">
        <v>2</v>
      </c>
    </row>
    <row r="1678" spans="2:13" ht="15" customHeight="1">
      <c r="B1678" t="s">
        <v>3681</v>
      </c>
      <c r="C1678" s="1">
        <v>41066.66920138889</v>
      </c>
      <c r="D1678" s="4">
        <v>500000</v>
      </c>
      <c r="E1678">
        <v>500000</v>
      </c>
      <c r="F1678" t="s">
        <v>40</v>
      </c>
      <c r="G1678">
        <f>tblSalaries[[#This Row],[clean Salary (in local currency)]]*VLOOKUP(tblSalaries[[#This Row],[Currency]],tblXrate[],2,FALSE)</f>
        <v>8903.9583437212841</v>
      </c>
      <c r="H1678" t="s">
        <v>243</v>
      </c>
      <c r="I1678" t="s">
        <v>20</v>
      </c>
      <c r="J1678" t="s">
        <v>8</v>
      </c>
      <c r="K1678" t="str">
        <f>VLOOKUP(tblSalaries[[#This Row],[Where do you work]],tblCountries[[Actual]:[Mapping]],2,FALSE)</f>
        <v>India</v>
      </c>
      <c r="L1678" t="s">
        <v>9</v>
      </c>
      <c r="M1678">
        <v>4</v>
      </c>
    </row>
    <row r="1679" spans="2:13" ht="15" customHeight="1">
      <c r="B1679" t="s">
        <v>3682</v>
      </c>
      <c r="C1679" s="1">
        <v>41066.737280092595</v>
      </c>
      <c r="D1679" s="4">
        <v>600000</v>
      </c>
      <c r="E1679">
        <v>600000</v>
      </c>
      <c r="F1679" t="s">
        <v>40</v>
      </c>
      <c r="G1679">
        <f>tblSalaries[[#This Row],[clean Salary (in local currency)]]*VLOOKUP(tblSalaries[[#This Row],[Currency]],tblXrate[],2,FALSE)</f>
        <v>10684.750012465542</v>
      </c>
      <c r="H1679" t="s">
        <v>1112</v>
      </c>
      <c r="I1679" t="s">
        <v>20</v>
      </c>
      <c r="J1679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>
        <v>5</v>
      </c>
    </row>
    <row r="1680" spans="2:13" ht="15" customHeight="1">
      <c r="B1680" t="s">
        <v>3683</v>
      </c>
      <c r="C1680" s="1">
        <v>41066.786145833335</v>
      </c>
      <c r="D1680" s="4">
        <v>700</v>
      </c>
      <c r="E1680">
        <v>8400</v>
      </c>
      <c r="F1680" t="s">
        <v>6</v>
      </c>
      <c r="G1680">
        <f>tblSalaries[[#This Row],[clean Salary (in local currency)]]*VLOOKUP(tblSalaries[[#This Row],[Currency]],tblXrate[],2,FALSE)</f>
        <v>8400</v>
      </c>
      <c r="H1680" t="s">
        <v>1846</v>
      </c>
      <c r="I1680" t="s">
        <v>20</v>
      </c>
      <c r="J1680" t="s">
        <v>997</v>
      </c>
      <c r="K1680" t="str">
        <f>VLOOKUP(tblSalaries[[#This Row],[Where do you work]],tblCountries[[Actual]:[Mapping]],2,FALSE)</f>
        <v>Indonesia</v>
      </c>
      <c r="L1680" t="s">
        <v>9</v>
      </c>
      <c r="M1680">
        <v>14</v>
      </c>
    </row>
    <row r="1681" spans="2:13" ht="15" customHeight="1">
      <c r="B1681" t="s">
        <v>3684</v>
      </c>
      <c r="C1681" s="1">
        <v>41066.818819444445</v>
      </c>
      <c r="D1681" s="4">
        <v>550000</v>
      </c>
      <c r="E1681">
        <v>550000</v>
      </c>
      <c r="F1681" t="s">
        <v>40</v>
      </c>
      <c r="G1681">
        <f>tblSalaries[[#This Row],[clean Salary (in local currency)]]*VLOOKUP(tblSalaries[[#This Row],[Currency]],tblXrate[],2,FALSE)</f>
        <v>9794.354178093412</v>
      </c>
      <c r="H1681" t="s">
        <v>1847</v>
      </c>
      <c r="I1681" t="s">
        <v>52</v>
      </c>
      <c r="J1681" t="s">
        <v>8</v>
      </c>
      <c r="K1681" t="str">
        <f>VLOOKUP(tblSalaries[[#This Row],[Where do you work]],tblCountries[[Actual]:[Mapping]],2,FALSE)</f>
        <v>India</v>
      </c>
      <c r="L1681" t="s">
        <v>9</v>
      </c>
      <c r="M1681">
        <v>13</v>
      </c>
    </row>
    <row r="1682" spans="2:13" ht="15" customHeight="1">
      <c r="B1682" t="s">
        <v>3685</v>
      </c>
      <c r="C1682" s="1">
        <v>41066.829733796294</v>
      </c>
      <c r="D1682" s="4">
        <v>1200</v>
      </c>
      <c r="E1682">
        <v>14400</v>
      </c>
      <c r="F1682" t="s">
        <v>6</v>
      </c>
      <c r="G1682">
        <f>tblSalaries[[#This Row],[clean Salary (in local currency)]]*VLOOKUP(tblSalaries[[#This Row],[Currency]],tblXrate[],2,FALSE)</f>
        <v>14400</v>
      </c>
      <c r="H1682" t="s">
        <v>279</v>
      </c>
      <c r="I1682" t="s">
        <v>279</v>
      </c>
      <c r="J1682" t="s">
        <v>8</v>
      </c>
      <c r="K1682" t="str">
        <f>VLOOKUP(tblSalaries[[#This Row],[Where do you work]],tblCountries[[Actual]:[Mapping]],2,FALSE)</f>
        <v>India</v>
      </c>
      <c r="L1682" t="s">
        <v>25</v>
      </c>
      <c r="M1682">
        <v>8</v>
      </c>
    </row>
    <row r="1683" spans="2:13" ht="15" customHeight="1">
      <c r="B1683" t="s">
        <v>3686</v>
      </c>
      <c r="C1683" s="1">
        <v>41066.838692129626</v>
      </c>
      <c r="D1683" s="4" t="s">
        <v>1848</v>
      </c>
      <c r="E1683">
        <v>150000</v>
      </c>
      <c r="F1683" t="s">
        <v>40</v>
      </c>
      <c r="G1683">
        <f>tblSalaries[[#This Row],[clean Salary (in local currency)]]*VLOOKUP(tblSalaries[[#This Row],[Currency]],tblXrate[],2,FALSE)</f>
        <v>2671.1875031163854</v>
      </c>
      <c r="H1683" t="s">
        <v>721</v>
      </c>
      <c r="I1683" t="s">
        <v>3999</v>
      </c>
      <c r="J1683" t="s">
        <v>8</v>
      </c>
      <c r="K1683" t="str">
        <f>VLOOKUP(tblSalaries[[#This Row],[Where do you work]],tblCountries[[Actual]:[Mapping]],2,FALSE)</f>
        <v>India</v>
      </c>
      <c r="L1683" t="s">
        <v>13</v>
      </c>
      <c r="M1683">
        <v>3</v>
      </c>
    </row>
    <row r="1684" spans="2:13" ht="15" customHeight="1">
      <c r="B1684" t="s">
        <v>3687</v>
      </c>
      <c r="C1684" s="1">
        <v>41066.862210648149</v>
      </c>
      <c r="D1684" s="4">
        <v>22000</v>
      </c>
      <c r="E1684">
        <v>22000</v>
      </c>
      <c r="F1684" t="s">
        <v>6</v>
      </c>
      <c r="G1684">
        <f>tblSalaries[[#This Row],[clean Salary (in local currency)]]*VLOOKUP(tblSalaries[[#This Row],[Currency]],tblXrate[],2,FALSE)</f>
        <v>22000</v>
      </c>
      <c r="H1684" t="s">
        <v>1849</v>
      </c>
      <c r="I1684" t="s">
        <v>52</v>
      </c>
      <c r="J1684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>
        <v>6</v>
      </c>
    </row>
    <row r="1685" spans="2:13" ht="15" customHeight="1">
      <c r="B1685" t="s">
        <v>3688</v>
      </c>
      <c r="C1685" s="1">
        <v>41066.888090277775</v>
      </c>
      <c r="D1685" s="4">
        <v>100000</v>
      </c>
      <c r="E1685">
        <v>100000</v>
      </c>
      <c r="F1685" t="s">
        <v>6</v>
      </c>
      <c r="G1685">
        <f>tblSalaries[[#This Row],[clean Salary (in local currency)]]*VLOOKUP(tblSalaries[[#This Row],[Currency]],tblXrate[],2,FALSE)</f>
        <v>100000</v>
      </c>
      <c r="H1685" t="s">
        <v>1850</v>
      </c>
      <c r="I1685" t="s">
        <v>20</v>
      </c>
      <c r="J1685" t="s">
        <v>65</v>
      </c>
      <c r="K1685" t="str">
        <f>VLOOKUP(tblSalaries[[#This Row],[Where do you work]],tblCountries[[Actual]:[Mapping]],2,FALSE)</f>
        <v>Russia</v>
      </c>
      <c r="L1685" t="s">
        <v>13</v>
      </c>
      <c r="M1685">
        <v>6</v>
      </c>
    </row>
    <row r="1686" spans="2:13" ht="15" customHeight="1">
      <c r="B1686" t="s">
        <v>3689</v>
      </c>
      <c r="C1686" s="1">
        <v>41066.889328703706</v>
      </c>
      <c r="D1686" s="4">
        <v>40000</v>
      </c>
      <c r="E1686">
        <v>40000</v>
      </c>
      <c r="F1686" t="s">
        <v>69</v>
      </c>
      <c r="G1686">
        <f>tblSalaries[[#This Row],[clean Salary (in local currency)]]*VLOOKUP(tblSalaries[[#This Row],[Currency]],tblXrate[],2,FALSE)</f>
        <v>63047.130882691366</v>
      </c>
      <c r="H1686" t="s">
        <v>204</v>
      </c>
      <c r="I1686" t="s">
        <v>52</v>
      </c>
      <c r="J1686" t="s">
        <v>71</v>
      </c>
      <c r="K1686" t="str">
        <f>VLOOKUP(tblSalaries[[#This Row],[Where do you work]],tblCountries[[Actual]:[Mapping]],2,FALSE)</f>
        <v>UK</v>
      </c>
      <c r="L1686" t="s">
        <v>9</v>
      </c>
      <c r="M1686">
        <v>15</v>
      </c>
    </row>
    <row r="1687" spans="2:13" ht="15" customHeight="1">
      <c r="B1687" t="s">
        <v>3690</v>
      </c>
      <c r="C1687" s="1">
        <v>41066.926701388889</v>
      </c>
      <c r="D1687" s="4" t="s">
        <v>1851</v>
      </c>
      <c r="E1687">
        <v>36000</v>
      </c>
      <c r="F1687" t="s">
        <v>69</v>
      </c>
      <c r="G1687">
        <f>tblSalaries[[#This Row],[clean Salary (in local currency)]]*VLOOKUP(tblSalaries[[#This Row],[Currency]],tblXrate[],2,FALSE)</f>
        <v>56742.417794422225</v>
      </c>
      <c r="H1687" t="s">
        <v>1852</v>
      </c>
      <c r="I1687" t="s">
        <v>52</v>
      </c>
      <c r="J1687" t="s">
        <v>71</v>
      </c>
      <c r="K1687" t="str">
        <f>VLOOKUP(tblSalaries[[#This Row],[Where do you work]],tblCountries[[Actual]:[Mapping]],2,FALSE)</f>
        <v>UK</v>
      </c>
      <c r="L1687" t="s">
        <v>25</v>
      </c>
      <c r="M1687">
        <v>25</v>
      </c>
    </row>
    <row r="1688" spans="2:13" ht="15" customHeight="1">
      <c r="B1688" t="s">
        <v>3691</v>
      </c>
      <c r="C1688" s="1">
        <v>41066.946018518516</v>
      </c>
      <c r="D1688" s="4">
        <v>25000</v>
      </c>
      <c r="E1688">
        <v>25000</v>
      </c>
      <c r="F1688" t="s">
        <v>6</v>
      </c>
      <c r="G1688">
        <f>tblSalaries[[#This Row],[clean Salary (in local currency)]]*VLOOKUP(tblSalaries[[#This Row],[Currency]],tblXrate[],2,FALSE)</f>
        <v>25000</v>
      </c>
      <c r="H1688" t="s">
        <v>1853</v>
      </c>
      <c r="I1688" t="s">
        <v>20</v>
      </c>
      <c r="J1688" t="s">
        <v>8</v>
      </c>
      <c r="K1688" t="str">
        <f>VLOOKUP(tblSalaries[[#This Row],[Where do you work]],tblCountries[[Actual]:[Mapping]],2,FALSE)</f>
        <v>India</v>
      </c>
      <c r="L1688" t="s">
        <v>13</v>
      </c>
      <c r="M1688">
        <v>8</v>
      </c>
    </row>
    <row r="1689" spans="2:13" ht="15" customHeight="1">
      <c r="B1689" t="s">
        <v>3692</v>
      </c>
      <c r="C1689" s="1">
        <v>41067.022499999999</v>
      </c>
      <c r="D1689" s="4" t="s">
        <v>1854</v>
      </c>
      <c r="E1689">
        <v>500000</v>
      </c>
      <c r="F1689" t="s">
        <v>40</v>
      </c>
      <c r="G1689">
        <f>tblSalaries[[#This Row],[clean Salary (in local currency)]]*VLOOKUP(tblSalaries[[#This Row],[Currency]],tblXrate[],2,FALSE)</f>
        <v>8903.9583437212841</v>
      </c>
      <c r="H1689" t="s">
        <v>207</v>
      </c>
      <c r="I1689" t="s">
        <v>20</v>
      </c>
      <c r="J1689" t="s">
        <v>8</v>
      </c>
      <c r="K1689" t="str">
        <f>VLOOKUP(tblSalaries[[#This Row],[Where do you work]],tblCountries[[Actual]:[Mapping]],2,FALSE)</f>
        <v>India</v>
      </c>
      <c r="L1689" t="s">
        <v>9</v>
      </c>
      <c r="M1689">
        <v>2</v>
      </c>
    </row>
    <row r="1690" spans="2:13" ht="15" customHeight="1">
      <c r="B1690" t="s">
        <v>3693</v>
      </c>
      <c r="C1690" s="1">
        <v>41067.265474537038</v>
      </c>
      <c r="D1690" s="4" t="s">
        <v>1855</v>
      </c>
      <c r="E1690">
        <v>27000</v>
      </c>
      <c r="F1690" t="s">
        <v>69</v>
      </c>
      <c r="G1690">
        <f>tblSalaries[[#This Row],[clean Salary (in local currency)]]*VLOOKUP(tblSalaries[[#This Row],[Currency]],tblXrate[],2,FALSE)</f>
        <v>42556.81334581667</v>
      </c>
      <c r="H1690" t="s">
        <v>1856</v>
      </c>
      <c r="I1690" t="s">
        <v>20</v>
      </c>
      <c r="J1690" t="s">
        <v>71</v>
      </c>
      <c r="K1690" t="str">
        <f>VLOOKUP(tblSalaries[[#This Row],[Where do you work]],tblCountries[[Actual]:[Mapping]],2,FALSE)</f>
        <v>UK</v>
      </c>
      <c r="L1690" t="s">
        <v>9</v>
      </c>
      <c r="M1690">
        <v>2</v>
      </c>
    </row>
    <row r="1691" spans="2:13" ht="15" customHeight="1">
      <c r="B1691" t="s">
        <v>3694</v>
      </c>
      <c r="C1691" s="1">
        <v>41067.358923611115</v>
      </c>
      <c r="D1691" s="4">
        <v>134000</v>
      </c>
      <c r="E1691">
        <v>134000</v>
      </c>
      <c r="F1691" t="s">
        <v>86</v>
      </c>
      <c r="G1691">
        <f>tblSalaries[[#This Row],[clean Salary (in local currency)]]*VLOOKUP(tblSalaries[[#This Row],[Currency]],tblXrate[],2,FALSE)</f>
        <v>131770.4440860638</v>
      </c>
      <c r="H1691" t="s">
        <v>1857</v>
      </c>
      <c r="I1691" t="s">
        <v>310</v>
      </c>
      <c r="J1691" t="s">
        <v>88</v>
      </c>
      <c r="K1691" t="str">
        <f>VLOOKUP(tblSalaries[[#This Row],[Where do you work]],tblCountries[[Actual]:[Mapping]],2,FALSE)</f>
        <v>Canada</v>
      </c>
      <c r="L1691" t="s">
        <v>13</v>
      </c>
      <c r="M1691">
        <v>20</v>
      </c>
    </row>
    <row r="1692" spans="2:13" ht="15" customHeight="1">
      <c r="B1692" t="s">
        <v>3695</v>
      </c>
      <c r="C1692" s="1">
        <v>41067.392881944441</v>
      </c>
      <c r="D1692" s="4">
        <v>70000</v>
      </c>
      <c r="E1692">
        <v>70000</v>
      </c>
      <c r="F1692" t="s">
        <v>86</v>
      </c>
      <c r="G1692">
        <f>tblSalaries[[#This Row],[clean Salary (in local currency)]]*VLOOKUP(tblSalaries[[#This Row],[Currency]],tblXrate[],2,FALSE)</f>
        <v>68835.306612122877</v>
      </c>
      <c r="H1692" t="s">
        <v>14</v>
      </c>
      <c r="I1692" t="s">
        <v>20</v>
      </c>
      <c r="J1692" t="s">
        <v>88</v>
      </c>
      <c r="K1692" t="str">
        <f>VLOOKUP(tblSalaries[[#This Row],[Where do you work]],tblCountries[[Actual]:[Mapping]],2,FALSE)</f>
        <v>Canada</v>
      </c>
      <c r="L1692" t="s">
        <v>13</v>
      </c>
      <c r="M1692">
        <v>2</v>
      </c>
    </row>
    <row r="1693" spans="2:13" ht="15" customHeight="1">
      <c r="B1693" t="s">
        <v>3696</v>
      </c>
      <c r="C1693" s="1">
        <v>41067.587939814817</v>
      </c>
      <c r="D1693" s="4" t="s">
        <v>1858</v>
      </c>
      <c r="E1693">
        <v>6000</v>
      </c>
      <c r="F1693" t="s">
        <v>6</v>
      </c>
      <c r="G1693">
        <f>tblSalaries[[#This Row],[clean Salary (in local currency)]]*VLOOKUP(tblSalaries[[#This Row],[Currency]],tblXrate[],2,FALSE)</f>
        <v>6000</v>
      </c>
      <c r="H1693" t="s">
        <v>1859</v>
      </c>
      <c r="I1693" t="s">
        <v>3999</v>
      </c>
      <c r="J1693" t="s">
        <v>1860</v>
      </c>
      <c r="K1693" t="str">
        <f>VLOOKUP(tblSalaries[[#This Row],[Where do you work]],tblCountries[[Actual]:[Mapping]],2,FALSE)</f>
        <v>Armenia</v>
      </c>
      <c r="L1693" t="s">
        <v>13</v>
      </c>
      <c r="M1693">
        <v>5</v>
      </c>
    </row>
    <row r="1694" spans="2:13" ht="15" customHeight="1">
      <c r="B1694" t="s">
        <v>3697</v>
      </c>
      <c r="C1694" s="1">
        <v>41067.638807870368</v>
      </c>
      <c r="D1694" s="4">
        <v>50000</v>
      </c>
      <c r="E1694">
        <v>50000</v>
      </c>
      <c r="F1694" t="s">
        <v>69</v>
      </c>
      <c r="G1694">
        <f>tblSalaries[[#This Row],[clean Salary (in local currency)]]*VLOOKUP(tblSalaries[[#This Row],[Currency]],tblXrate[],2,FALSE)</f>
        <v>78808.913603364199</v>
      </c>
      <c r="H1694" t="s">
        <v>200</v>
      </c>
      <c r="I1694" t="s">
        <v>20</v>
      </c>
      <c r="J1694" t="s">
        <v>71</v>
      </c>
      <c r="K1694" t="str">
        <f>VLOOKUP(tblSalaries[[#This Row],[Where do you work]],tblCountries[[Actual]:[Mapping]],2,FALSE)</f>
        <v>UK</v>
      </c>
      <c r="L1694" t="s">
        <v>18</v>
      </c>
      <c r="M1694">
        <v>2</v>
      </c>
    </row>
    <row r="1695" spans="2:13" ht="15" customHeight="1">
      <c r="B1695" t="s">
        <v>3698</v>
      </c>
      <c r="C1695" s="1">
        <v>41067.697928240741</v>
      </c>
      <c r="D1695" s="4">
        <v>421000</v>
      </c>
      <c r="E1695">
        <v>421000</v>
      </c>
      <c r="F1695" t="s">
        <v>40</v>
      </c>
      <c r="G1695">
        <f>tblSalaries[[#This Row],[clean Salary (in local currency)]]*VLOOKUP(tblSalaries[[#This Row],[Currency]],tblXrate[],2,FALSE)</f>
        <v>7497.1329254133216</v>
      </c>
      <c r="H1695" t="s">
        <v>1861</v>
      </c>
      <c r="I1695" t="s">
        <v>20</v>
      </c>
      <c r="J1695" t="s">
        <v>8</v>
      </c>
      <c r="K1695" t="str">
        <f>VLOOKUP(tblSalaries[[#This Row],[Where do you work]],tblCountries[[Actual]:[Mapping]],2,FALSE)</f>
        <v>India</v>
      </c>
      <c r="L1695" t="s">
        <v>9</v>
      </c>
      <c r="M1695">
        <v>4</v>
      </c>
    </row>
    <row r="1696" spans="2:13" ht="15" customHeight="1">
      <c r="B1696" t="s">
        <v>3699</v>
      </c>
      <c r="C1696" s="1">
        <v>41067.704097222224</v>
      </c>
      <c r="D1696" s="4">
        <v>10000</v>
      </c>
      <c r="E1696">
        <v>10000</v>
      </c>
      <c r="F1696" t="s">
        <v>6</v>
      </c>
      <c r="G1696">
        <f>tblSalaries[[#This Row],[clean Salary (in local currency)]]*VLOOKUP(tblSalaries[[#This Row],[Currency]],tblXrate[],2,FALSE)</f>
        <v>10000</v>
      </c>
      <c r="H1696" t="s">
        <v>1862</v>
      </c>
      <c r="I1696" t="s">
        <v>52</v>
      </c>
      <c r="J1696" t="s">
        <v>8</v>
      </c>
      <c r="K1696" t="str">
        <f>VLOOKUP(tblSalaries[[#This Row],[Where do you work]],tblCountries[[Actual]:[Mapping]],2,FALSE)</f>
        <v>India</v>
      </c>
      <c r="L1696" t="s">
        <v>9</v>
      </c>
      <c r="M1696">
        <v>11</v>
      </c>
    </row>
    <row r="1697" spans="2:13" ht="15" customHeight="1">
      <c r="B1697" t="s">
        <v>3700</v>
      </c>
      <c r="C1697" s="1">
        <v>41067.714791666665</v>
      </c>
      <c r="D1697" s="4">
        <v>360000</v>
      </c>
      <c r="E1697">
        <v>360000</v>
      </c>
      <c r="F1697" t="s">
        <v>40</v>
      </c>
      <c r="G1697">
        <f>tblSalaries[[#This Row],[clean Salary (in local currency)]]*VLOOKUP(tblSalaries[[#This Row],[Currency]],tblXrate[],2,FALSE)</f>
        <v>6410.8500074793246</v>
      </c>
      <c r="H1697" t="s">
        <v>1863</v>
      </c>
      <c r="I1697" t="s">
        <v>356</v>
      </c>
      <c r="J1697" t="s">
        <v>8</v>
      </c>
      <c r="K1697" t="str">
        <f>VLOOKUP(tblSalaries[[#This Row],[Where do you work]],tblCountries[[Actual]:[Mapping]],2,FALSE)</f>
        <v>India</v>
      </c>
      <c r="L1697" t="s">
        <v>25</v>
      </c>
      <c r="M1697">
        <v>2</v>
      </c>
    </row>
    <row r="1698" spans="2:13" ht="15" customHeight="1">
      <c r="B1698" t="s">
        <v>3701</v>
      </c>
      <c r="C1698" s="1">
        <v>41067.717847222222</v>
      </c>
      <c r="D1698" s="4">
        <v>40000</v>
      </c>
      <c r="E1698">
        <v>40000</v>
      </c>
      <c r="F1698" t="s">
        <v>69</v>
      </c>
      <c r="G1698">
        <f>tblSalaries[[#This Row],[clean Salary (in local currency)]]*VLOOKUP(tblSalaries[[#This Row],[Currency]],tblXrate[],2,FALSE)</f>
        <v>63047.130882691366</v>
      </c>
      <c r="H1698" t="s">
        <v>20</v>
      </c>
      <c r="I1698" t="s">
        <v>20</v>
      </c>
      <c r="J1698" t="s">
        <v>71</v>
      </c>
      <c r="K1698" t="str">
        <f>VLOOKUP(tblSalaries[[#This Row],[Where do you work]],tblCountries[[Actual]:[Mapping]],2,FALSE)</f>
        <v>UK</v>
      </c>
      <c r="L1698" t="s">
        <v>9</v>
      </c>
      <c r="M1698">
        <v>5</v>
      </c>
    </row>
    <row r="1699" spans="2:13" ht="15" customHeight="1">
      <c r="B1699" t="s">
        <v>3702</v>
      </c>
      <c r="C1699" s="1">
        <v>41067.840752314813</v>
      </c>
      <c r="D1699" s="4">
        <v>60000</v>
      </c>
      <c r="E1699">
        <v>60000</v>
      </c>
      <c r="F1699" t="s">
        <v>82</v>
      </c>
      <c r="G1699">
        <f>tblSalaries[[#This Row],[clean Salary (in local currency)]]*VLOOKUP(tblSalaries[[#This Row],[Currency]],tblXrate[],2,FALSE)</f>
        <v>61194.579384158147</v>
      </c>
      <c r="H1699" t="s">
        <v>42</v>
      </c>
      <c r="I1699" t="s">
        <v>20</v>
      </c>
      <c r="J1699" t="s">
        <v>84</v>
      </c>
      <c r="K1699" t="str">
        <f>VLOOKUP(tblSalaries[[#This Row],[Where do you work]],tblCountries[[Actual]:[Mapping]],2,FALSE)</f>
        <v>Australia</v>
      </c>
      <c r="L1699" t="s">
        <v>18</v>
      </c>
      <c r="M1699">
        <v>3</v>
      </c>
    </row>
    <row r="1700" spans="2:13" ht="15" customHeight="1">
      <c r="B1700" t="s">
        <v>3703</v>
      </c>
      <c r="C1700" s="1">
        <v>41067.866712962961</v>
      </c>
      <c r="D1700" s="4" t="s">
        <v>1864</v>
      </c>
      <c r="E1700">
        <v>73000</v>
      </c>
      <c r="F1700" t="s">
        <v>69</v>
      </c>
      <c r="G1700">
        <f>tblSalaries[[#This Row],[clean Salary (in local currency)]]*VLOOKUP(tblSalaries[[#This Row],[Currency]],tblXrate[],2,FALSE)</f>
        <v>115061.01386091174</v>
      </c>
      <c r="H1700" t="s">
        <v>181</v>
      </c>
      <c r="I1700" t="s">
        <v>488</v>
      </c>
      <c r="J1700" t="s">
        <v>71</v>
      </c>
      <c r="K1700" t="str">
        <f>VLOOKUP(tblSalaries[[#This Row],[Where do you work]],tblCountries[[Actual]:[Mapping]],2,FALSE)</f>
        <v>UK</v>
      </c>
      <c r="L1700" t="s">
        <v>9</v>
      </c>
      <c r="M1700">
        <v>8</v>
      </c>
    </row>
    <row r="1701" spans="2:13" ht="15" customHeight="1">
      <c r="B1701" t="s">
        <v>3704</v>
      </c>
      <c r="C1701" s="1">
        <v>41067.981516203705</v>
      </c>
      <c r="D1701" s="4">
        <v>45000</v>
      </c>
      <c r="E1701">
        <v>45000</v>
      </c>
      <c r="F1701" t="s">
        <v>6</v>
      </c>
      <c r="G1701">
        <f>tblSalaries[[#This Row],[clean Salary (in local currency)]]*VLOOKUP(tblSalaries[[#This Row],[Currency]],tblXrate[],2,FALSE)</f>
        <v>45000</v>
      </c>
      <c r="H1701" t="s">
        <v>1865</v>
      </c>
      <c r="I1701" t="s">
        <v>20</v>
      </c>
      <c r="J1701" t="s">
        <v>15</v>
      </c>
      <c r="K1701" t="str">
        <f>VLOOKUP(tblSalaries[[#This Row],[Where do you work]],tblCountries[[Actual]:[Mapping]],2,FALSE)</f>
        <v>USA</v>
      </c>
      <c r="L1701" t="s">
        <v>13</v>
      </c>
      <c r="M1701">
        <v>2</v>
      </c>
    </row>
    <row r="1702" spans="2:13" ht="15" customHeight="1">
      <c r="B1702" t="s">
        <v>3705</v>
      </c>
      <c r="C1702" s="1">
        <v>41067.992002314815</v>
      </c>
      <c r="D1702" s="4">
        <v>36000</v>
      </c>
      <c r="E1702">
        <v>36000</v>
      </c>
      <c r="F1702" t="s">
        <v>6</v>
      </c>
      <c r="G1702">
        <f>tblSalaries[[#This Row],[clean Salary (in local currency)]]*VLOOKUP(tblSalaries[[#This Row],[Currency]],tblXrate[],2,FALSE)</f>
        <v>36000</v>
      </c>
      <c r="H1702" t="s">
        <v>569</v>
      </c>
      <c r="I1702" t="s">
        <v>20</v>
      </c>
      <c r="J1702" t="s">
        <v>15</v>
      </c>
      <c r="K1702" t="str">
        <f>VLOOKUP(tblSalaries[[#This Row],[Where do you work]],tblCountries[[Actual]:[Mapping]],2,FALSE)</f>
        <v>USA</v>
      </c>
      <c r="L1702" t="s">
        <v>9</v>
      </c>
      <c r="M1702">
        <v>4</v>
      </c>
    </row>
    <row r="1703" spans="2:13" ht="15" customHeight="1">
      <c r="B1703" t="s">
        <v>3706</v>
      </c>
      <c r="C1703" s="1">
        <v>41068.001261574071</v>
      </c>
      <c r="D1703" s="4">
        <v>68000</v>
      </c>
      <c r="E1703">
        <v>68000</v>
      </c>
      <c r="F1703" t="s">
        <v>6</v>
      </c>
      <c r="G1703">
        <f>tblSalaries[[#This Row],[clean Salary (in local currency)]]*VLOOKUP(tblSalaries[[#This Row],[Currency]],tblXrate[],2,FALSE)</f>
        <v>68000</v>
      </c>
      <c r="H1703" t="s">
        <v>1866</v>
      </c>
      <c r="I1703" t="s">
        <v>20</v>
      </c>
      <c r="J1703" t="s">
        <v>15</v>
      </c>
      <c r="K1703" t="str">
        <f>VLOOKUP(tblSalaries[[#This Row],[Where do you work]],tblCountries[[Actual]:[Mapping]],2,FALSE)</f>
        <v>USA</v>
      </c>
      <c r="L1703" t="s">
        <v>9</v>
      </c>
      <c r="M1703">
        <v>2.5</v>
      </c>
    </row>
    <row r="1704" spans="2:13" ht="15" customHeight="1">
      <c r="B1704" t="s">
        <v>3707</v>
      </c>
      <c r="C1704" s="1">
        <v>41068.014849537038</v>
      </c>
      <c r="D1704" s="4">
        <v>75000</v>
      </c>
      <c r="E1704">
        <v>75000</v>
      </c>
      <c r="F1704" t="s">
        <v>6</v>
      </c>
      <c r="G1704">
        <f>tblSalaries[[#This Row],[clean Salary (in local currency)]]*VLOOKUP(tblSalaries[[#This Row],[Currency]],tblXrate[],2,FALSE)</f>
        <v>75000</v>
      </c>
      <c r="H1704" t="s">
        <v>424</v>
      </c>
      <c r="I1704" t="s">
        <v>20</v>
      </c>
      <c r="J1704" t="s">
        <v>15</v>
      </c>
      <c r="K1704" t="str">
        <f>VLOOKUP(tblSalaries[[#This Row],[Where do you work]],tblCountries[[Actual]:[Mapping]],2,FALSE)</f>
        <v>USA</v>
      </c>
      <c r="L1704" t="s">
        <v>13</v>
      </c>
      <c r="M1704">
        <v>5</v>
      </c>
    </row>
    <row r="1705" spans="2:13" ht="15" customHeight="1">
      <c r="B1705" t="s">
        <v>3708</v>
      </c>
      <c r="C1705" s="1">
        <v>41068.102233796293</v>
      </c>
      <c r="D1705" s="4">
        <v>88000</v>
      </c>
      <c r="E1705">
        <v>88000</v>
      </c>
      <c r="F1705" t="s">
        <v>6</v>
      </c>
      <c r="G1705">
        <f>tblSalaries[[#This Row],[clean Salary (in local currency)]]*VLOOKUP(tblSalaries[[#This Row],[Currency]],tblXrate[],2,FALSE)</f>
        <v>88000</v>
      </c>
      <c r="H1705" t="s">
        <v>1867</v>
      </c>
      <c r="I1705" t="s">
        <v>20</v>
      </c>
      <c r="J1705" t="s">
        <v>15</v>
      </c>
      <c r="K1705" t="str">
        <f>VLOOKUP(tblSalaries[[#This Row],[Where do you work]],tblCountries[[Actual]:[Mapping]],2,FALSE)</f>
        <v>USA</v>
      </c>
      <c r="L1705" t="s">
        <v>13</v>
      </c>
      <c r="M1705">
        <v>10</v>
      </c>
    </row>
    <row r="1706" spans="2:13" ht="15" customHeight="1">
      <c r="B1706" t="s">
        <v>3709</v>
      </c>
      <c r="C1706" s="1">
        <v>41068.103298611109</v>
      </c>
      <c r="D1706" s="4" t="s">
        <v>1868</v>
      </c>
      <c r="E1706">
        <v>258000</v>
      </c>
      <c r="F1706" t="s">
        <v>40</v>
      </c>
      <c r="G1706">
        <f>tblSalaries[[#This Row],[clean Salary (in local currency)]]*VLOOKUP(tblSalaries[[#This Row],[Currency]],tblXrate[],2,FALSE)</f>
        <v>4594.4425053601826</v>
      </c>
      <c r="H1706" t="s">
        <v>1869</v>
      </c>
      <c r="I1706" t="s">
        <v>20</v>
      </c>
      <c r="J1706" t="s">
        <v>8</v>
      </c>
      <c r="K1706" t="str">
        <f>VLOOKUP(tblSalaries[[#This Row],[Where do you work]],tblCountries[[Actual]:[Mapping]],2,FALSE)</f>
        <v>India</v>
      </c>
      <c r="L1706" t="s">
        <v>9</v>
      </c>
      <c r="M1706">
        <v>4</v>
      </c>
    </row>
    <row r="1707" spans="2:13" ht="15" customHeight="1">
      <c r="B1707" t="s">
        <v>3710</v>
      </c>
      <c r="C1707" s="1">
        <v>41068.141203703701</v>
      </c>
      <c r="D1707" s="4">
        <v>69000</v>
      </c>
      <c r="E1707">
        <v>69000</v>
      </c>
      <c r="F1707" t="s">
        <v>6</v>
      </c>
      <c r="G1707">
        <f>tblSalaries[[#This Row],[clean Salary (in local currency)]]*VLOOKUP(tblSalaries[[#This Row],[Currency]],tblXrate[],2,FALSE)</f>
        <v>69000</v>
      </c>
      <c r="H1707" t="s">
        <v>1870</v>
      </c>
      <c r="I1707" t="s">
        <v>20</v>
      </c>
      <c r="J1707" t="s">
        <v>15</v>
      </c>
      <c r="K1707" t="str">
        <f>VLOOKUP(tblSalaries[[#This Row],[Where do you work]],tblCountries[[Actual]:[Mapping]],2,FALSE)</f>
        <v>USA</v>
      </c>
      <c r="L1707" t="s">
        <v>13</v>
      </c>
      <c r="M1707">
        <v>15</v>
      </c>
    </row>
    <row r="1708" spans="2:13" ht="15" customHeight="1">
      <c r="B1708" t="s">
        <v>3711</v>
      </c>
      <c r="C1708" s="1">
        <v>41068.149201388886</v>
      </c>
      <c r="D1708" s="4">
        <v>30000</v>
      </c>
      <c r="E1708">
        <v>30000</v>
      </c>
      <c r="F1708" t="s">
        <v>6</v>
      </c>
      <c r="G1708">
        <f>tblSalaries[[#This Row],[clean Salary (in local currency)]]*VLOOKUP(tblSalaries[[#This Row],[Currency]],tblXrate[],2,FALSE)</f>
        <v>30000</v>
      </c>
      <c r="H1708" t="s">
        <v>1257</v>
      </c>
      <c r="I1708" t="s">
        <v>52</v>
      </c>
      <c r="J1708" t="s">
        <v>15</v>
      </c>
      <c r="K1708" t="str">
        <f>VLOOKUP(tblSalaries[[#This Row],[Where do you work]],tblCountries[[Actual]:[Mapping]],2,FALSE)</f>
        <v>USA</v>
      </c>
      <c r="L1708" t="s">
        <v>9</v>
      </c>
      <c r="M1708">
        <v>1</v>
      </c>
    </row>
    <row r="1709" spans="2:13" ht="15" customHeight="1">
      <c r="B1709" t="s">
        <v>3712</v>
      </c>
      <c r="C1709" s="1">
        <v>41068.202604166669</v>
      </c>
      <c r="D1709" s="4">
        <v>80000</v>
      </c>
      <c r="E1709">
        <v>80000</v>
      </c>
      <c r="F1709" t="s">
        <v>6</v>
      </c>
      <c r="G1709">
        <f>tblSalaries[[#This Row],[clean Salary (in local currency)]]*VLOOKUP(tblSalaries[[#This Row],[Currency]],tblXrate[],2,FALSE)</f>
        <v>80000</v>
      </c>
      <c r="H1709" t="s">
        <v>1871</v>
      </c>
      <c r="I1709" t="s">
        <v>52</v>
      </c>
      <c r="J1709" t="s">
        <v>15</v>
      </c>
      <c r="K1709" t="str">
        <f>VLOOKUP(tblSalaries[[#This Row],[Where do you work]],tblCountries[[Actual]:[Mapping]],2,FALSE)</f>
        <v>USA</v>
      </c>
      <c r="L1709" t="s">
        <v>9</v>
      </c>
      <c r="M1709">
        <v>7</v>
      </c>
    </row>
    <row r="1710" spans="2:13" ht="15" customHeight="1">
      <c r="B1710" t="s">
        <v>3713</v>
      </c>
      <c r="C1710" s="1">
        <v>41068.279537037037</v>
      </c>
      <c r="D1710" s="4">
        <v>75000</v>
      </c>
      <c r="E1710">
        <v>75000</v>
      </c>
      <c r="F1710" t="s">
        <v>6</v>
      </c>
      <c r="G1710">
        <f>tblSalaries[[#This Row],[clean Salary (in local currency)]]*VLOOKUP(tblSalaries[[#This Row],[Currency]],tblXrate[],2,FALSE)</f>
        <v>75000</v>
      </c>
      <c r="H1710" t="s">
        <v>969</v>
      </c>
      <c r="I1710" t="s">
        <v>310</v>
      </c>
      <c r="J1710" t="s">
        <v>15</v>
      </c>
      <c r="K1710" t="str">
        <f>VLOOKUP(tblSalaries[[#This Row],[Where do you work]],tblCountries[[Actual]:[Mapping]],2,FALSE)</f>
        <v>USA</v>
      </c>
      <c r="L1710" t="s">
        <v>13</v>
      </c>
      <c r="M1710">
        <v>1</v>
      </c>
    </row>
    <row r="1711" spans="2:13" ht="15" customHeight="1">
      <c r="B1711" t="s">
        <v>3714</v>
      </c>
      <c r="C1711" s="1">
        <v>41068.344375000001</v>
      </c>
      <c r="D1711" s="4">
        <v>31200</v>
      </c>
      <c r="E1711">
        <v>31200</v>
      </c>
      <c r="F1711" t="s">
        <v>6</v>
      </c>
      <c r="G1711">
        <f>tblSalaries[[#This Row],[clean Salary (in local currency)]]*VLOOKUP(tblSalaries[[#This Row],[Currency]],tblXrate[],2,FALSE)</f>
        <v>31200</v>
      </c>
      <c r="H1711" t="s">
        <v>1090</v>
      </c>
      <c r="I1711" t="s">
        <v>20</v>
      </c>
      <c r="J1711" t="s">
        <v>143</v>
      </c>
      <c r="K1711" t="str">
        <f>VLOOKUP(tblSalaries[[#This Row],[Where do you work]],tblCountries[[Actual]:[Mapping]],2,FALSE)</f>
        <v>Brazil</v>
      </c>
      <c r="L1711" t="s">
        <v>9</v>
      </c>
      <c r="M1711">
        <v>4</v>
      </c>
    </row>
    <row r="1712" spans="2:13" ht="15" customHeight="1">
      <c r="B1712" t="s">
        <v>3715</v>
      </c>
      <c r="C1712" s="1">
        <v>41068.407627314817</v>
      </c>
      <c r="D1712" s="4">
        <v>85000</v>
      </c>
      <c r="E1712">
        <v>85000</v>
      </c>
      <c r="F1712" t="s">
        <v>6</v>
      </c>
      <c r="G1712">
        <f>tblSalaries[[#This Row],[clean Salary (in local currency)]]*VLOOKUP(tblSalaries[[#This Row],[Currency]],tblXrate[],2,FALSE)</f>
        <v>85000</v>
      </c>
      <c r="H1712" t="s">
        <v>191</v>
      </c>
      <c r="I1712" t="s">
        <v>310</v>
      </c>
      <c r="J1712" t="s">
        <v>15</v>
      </c>
      <c r="K1712" t="str">
        <f>VLOOKUP(tblSalaries[[#This Row],[Where do you work]],tblCountries[[Actual]:[Mapping]],2,FALSE)</f>
        <v>USA</v>
      </c>
      <c r="L1712" t="s">
        <v>9</v>
      </c>
      <c r="M1712">
        <v>20</v>
      </c>
    </row>
    <row r="1713" spans="2:13" ht="15" customHeight="1">
      <c r="B1713" t="s">
        <v>3716</v>
      </c>
      <c r="C1713" s="1">
        <v>41068.568576388891</v>
      </c>
      <c r="D1713" s="4" t="s">
        <v>1872</v>
      </c>
      <c r="E1713">
        <v>950000</v>
      </c>
      <c r="F1713" t="s">
        <v>40</v>
      </c>
      <c r="G1713">
        <f>tblSalaries[[#This Row],[clean Salary (in local currency)]]*VLOOKUP(tblSalaries[[#This Row],[Currency]],tblXrate[],2,FALSE)</f>
        <v>16917.52085307044</v>
      </c>
      <c r="H1713" t="s">
        <v>1873</v>
      </c>
      <c r="I1713" t="s">
        <v>52</v>
      </c>
      <c r="J1713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>
        <v>9</v>
      </c>
    </row>
    <row r="1714" spans="2:13" ht="15" customHeight="1">
      <c r="B1714" t="s">
        <v>3717</v>
      </c>
      <c r="C1714" s="1">
        <v>41068.580370370371</v>
      </c>
      <c r="D1714" s="4" t="s">
        <v>1874</v>
      </c>
      <c r="E1714">
        <v>180000</v>
      </c>
      <c r="F1714" t="s">
        <v>40</v>
      </c>
      <c r="G1714">
        <f>tblSalaries[[#This Row],[clean Salary (in local currency)]]*VLOOKUP(tblSalaries[[#This Row],[Currency]],tblXrate[],2,FALSE)</f>
        <v>3205.4250037396623</v>
      </c>
      <c r="H1714" t="s">
        <v>544</v>
      </c>
      <c r="I1714" t="s">
        <v>3999</v>
      </c>
      <c r="J1714" t="s">
        <v>8</v>
      </c>
      <c r="K1714" t="str">
        <f>VLOOKUP(tblSalaries[[#This Row],[Where do you work]],tblCountries[[Actual]:[Mapping]],2,FALSE)</f>
        <v>India</v>
      </c>
      <c r="L1714" t="s">
        <v>9</v>
      </c>
      <c r="M1714">
        <v>2</v>
      </c>
    </row>
    <row r="1715" spans="2:13" ht="15" customHeight="1">
      <c r="B1715" t="s">
        <v>3718</v>
      </c>
      <c r="C1715" s="1">
        <v>41068.613252314812</v>
      </c>
      <c r="D1715" s="4">
        <v>60000</v>
      </c>
      <c r="E1715">
        <v>60000</v>
      </c>
      <c r="F1715" t="s">
        <v>6</v>
      </c>
      <c r="G1715">
        <f>tblSalaries[[#This Row],[clean Salary (in local currency)]]*VLOOKUP(tblSalaries[[#This Row],[Currency]],tblXrate[],2,FALSE)</f>
        <v>60000</v>
      </c>
      <c r="H1715" t="s">
        <v>1875</v>
      </c>
      <c r="I1715" t="s">
        <v>52</v>
      </c>
      <c r="J1715" t="s">
        <v>15</v>
      </c>
      <c r="K1715" t="str">
        <f>VLOOKUP(tblSalaries[[#This Row],[Where do you work]],tblCountries[[Actual]:[Mapping]],2,FALSE)</f>
        <v>USA</v>
      </c>
      <c r="L1715" t="s">
        <v>13</v>
      </c>
      <c r="M1715">
        <v>2</v>
      </c>
    </row>
    <row r="1716" spans="2:13" ht="15" customHeight="1">
      <c r="B1716" t="s">
        <v>3719</v>
      </c>
      <c r="C1716" s="1">
        <v>41068.613657407404</v>
      </c>
      <c r="D1716" s="4">
        <v>60000</v>
      </c>
      <c r="E1716">
        <v>60000</v>
      </c>
      <c r="F1716" t="s">
        <v>6</v>
      </c>
      <c r="G1716">
        <f>tblSalaries[[#This Row],[clean Salary (in local currency)]]*VLOOKUP(tblSalaries[[#This Row],[Currency]],tblXrate[],2,FALSE)</f>
        <v>60000</v>
      </c>
      <c r="H1716" t="s">
        <v>1875</v>
      </c>
      <c r="I1716" t="s">
        <v>52</v>
      </c>
      <c r="J1716" t="s">
        <v>15</v>
      </c>
      <c r="K1716" t="str">
        <f>VLOOKUP(tblSalaries[[#This Row],[Where do you work]],tblCountries[[Actual]:[Mapping]],2,FALSE)</f>
        <v>USA</v>
      </c>
      <c r="L1716" t="s">
        <v>13</v>
      </c>
      <c r="M1716">
        <v>2</v>
      </c>
    </row>
    <row r="1717" spans="2:13" ht="15" customHeight="1">
      <c r="B1717" t="s">
        <v>3720</v>
      </c>
      <c r="C1717" s="1">
        <v>41068.655046296299</v>
      </c>
      <c r="D1717" s="4" t="s">
        <v>1876</v>
      </c>
      <c r="E1717">
        <v>800000</v>
      </c>
      <c r="F1717" t="s">
        <v>40</v>
      </c>
      <c r="G1717">
        <f>tblSalaries[[#This Row],[clean Salary (in local currency)]]*VLOOKUP(tblSalaries[[#This Row],[Currency]],tblXrate[],2,FALSE)</f>
        <v>14246.333349954055</v>
      </c>
      <c r="H1717" t="s">
        <v>755</v>
      </c>
      <c r="I1717" t="s">
        <v>52</v>
      </c>
      <c r="J1717" t="s">
        <v>8</v>
      </c>
      <c r="K1717" t="str">
        <f>VLOOKUP(tblSalaries[[#This Row],[Where do you work]],tblCountries[[Actual]:[Mapping]],2,FALSE)</f>
        <v>India</v>
      </c>
      <c r="L1717" t="s">
        <v>18</v>
      </c>
      <c r="M1717">
        <v>0</v>
      </c>
    </row>
    <row r="1718" spans="2:13" ht="15" customHeight="1">
      <c r="B1718" t="s">
        <v>3721</v>
      </c>
      <c r="C1718" s="1">
        <v>41068.656412037039</v>
      </c>
      <c r="D1718" s="4">
        <v>800000</v>
      </c>
      <c r="E1718">
        <v>800000</v>
      </c>
      <c r="F1718" t="s">
        <v>40</v>
      </c>
      <c r="G1718">
        <f>tblSalaries[[#This Row],[clean Salary (in local currency)]]*VLOOKUP(tblSalaries[[#This Row],[Currency]],tblXrate[],2,FALSE)</f>
        <v>14246.333349954055</v>
      </c>
      <c r="H1718" t="s">
        <v>755</v>
      </c>
      <c r="I1718" t="s">
        <v>52</v>
      </c>
      <c r="J1718" t="s">
        <v>8</v>
      </c>
      <c r="K1718" t="str">
        <f>VLOOKUP(tblSalaries[[#This Row],[Where do you work]],tblCountries[[Actual]:[Mapping]],2,FALSE)</f>
        <v>India</v>
      </c>
      <c r="L1718" t="s">
        <v>18</v>
      </c>
      <c r="M1718">
        <v>0</v>
      </c>
    </row>
    <row r="1719" spans="2:13" ht="15" customHeight="1">
      <c r="B1719" t="s">
        <v>3722</v>
      </c>
      <c r="C1719" s="1">
        <v>41068.783472222225</v>
      </c>
      <c r="D1719" s="4">
        <v>28995</v>
      </c>
      <c r="E1719">
        <v>28995</v>
      </c>
      <c r="F1719" t="s">
        <v>6</v>
      </c>
      <c r="G1719">
        <f>tblSalaries[[#This Row],[clean Salary (in local currency)]]*VLOOKUP(tblSalaries[[#This Row],[Currency]],tblXrate[],2,FALSE)</f>
        <v>28995</v>
      </c>
      <c r="H1719" t="s">
        <v>739</v>
      </c>
      <c r="I1719" t="s">
        <v>52</v>
      </c>
      <c r="J1719" t="s">
        <v>8</v>
      </c>
      <c r="K1719" t="str">
        <f>VLOOKUP(tblSalaries[[#This Row],[Where do you work]],tblCountries[[Actual]:[Mapping]],2,FALSE)</f>
        <v>India</v>
      </c>
      <c r="L1719" t="s">
        <v>9</v>
      </c>
      <c r="M1719">
        <v>6</v>
      </c>
    </row>
    <row r="1720" spans="2:13" ht="15" customHeight="1">
      <c r="B1720" t="s">
        <v>3723</v>
      </c>
      <c r="C1720" s="1">
        <v>41068.786180555559</v>
      </c>
      <c r="D1720" s="4">
        <v>1230000</v>
      </c>
      <c r="E1720">
        <v>1230000</v>
      </c>
      <c r="F1720" t="s">
        <v>40</v>
      </c>
      <c r="G1720">
        <f>tblSalaries[[#This Row],[clean Salary (in local currency)]]*VLOOKUP(tblSalaries[[#This Row],[Currency]],tblXrate[],2,FALSE)</f>
        <v>21903.737525554359</v>
      </c>
      <c r="H1720" t="s">
        <v>1877</v>
      </c>
      <c r="I1720" t="s">
        <v>20</v>
      </c>
      <c r="J1720" t="s">
        <v>8</v>
      </c>
      <c r="K1720" t="str">
        <f>VLOOKUP(tblSalaries[[#This Row],[Where do you work]],tblCountries[[Actual]:[Mapping]],2,FALSE)</f>
        <v>India</v>
      </c>
      <c r="L1720" t="s">
        <v>13</v>
      </c>
      <c r="M1720">
        <v>3</v>
      </c>
    </row>
    <row r="1721" spans="2:13" ht="15" customHeight="1">
      <c r="B1721" t="s">
        <v>3724</v>
      </c>
      <c r="C1721" s="1">
        <v>41068.786620370367</v>
      </c>
      <c r="D1721" s="4">
        <v>1130000</v>
      </c>
      <c r="E1721">
        <v>1130000</v>
      </c>
      <c r="F1721" t="s">
        <v>40</v>
      </c>
      <c r="G1721">
        <f>tblSalaries[[#This Row],[clean Salary (in local currency)]]*VLOOKUP(tblSalaries[[#This Row],[Currency]],tblXrate[],2,FALSE)</f>
        <v>20122.945856810104</v>
      </c>
      <c r="H1721" t="s">
        <v>1877</v>
      </c>
      <c r="I1721" t="s">
        <v>20</v>
      </c>
      <c r="J1721" t="s">
        <v>8</v>
      </c>
      <c r="K1721" t="str">
        <f>VLOOKUP(tblSalaries[[#This Row],[Where do you work]],tblCountries[[Actual]:[Mapping]],2,FALSE)</f>
        <v>India</v>
      </c>
      <c r="L1721" t="s">
        <v>13</v>
      </c>
      <c r="M1721">
        <v>3</v>
      </c>
    </row>
    <row r="1722" spans="2:13" ht="15" customHeight="1">
      <c r="B1722" t="s">
        <v>3725</v>
      </c>
      <c r="C1722" s="1">
        <v>41068.866643518515</v>
      </c>
      <c r="D1722" s="4">
        <v>45000</v>
      </c>
      <c r="E1722">
        <v>45000</v>
      </c>
      <c r="F1722" t="s">
        <v>69</v>
      </c>
      <c r="G1722">
        <f>tblSalaries[[#This Row],[clean Salary (in local currency)]]*VLOOKUP(tblSalaries[[#This Row],[Currency]],tblXrate[],2,FALSE)</f>
        <v>70928.022243027779</v>
      </c>
      <c r="H1722" t="s">
        <v>1878</v>
      </c>
      <c r="I1722" t="s">
        <v>20</v>
      </c>
      <c r="J1722" t="s">
        <v>71</v>
      </c>
      <c r="K1722" t="str">
        <f>VLOOKUP(tblSalaries[[#This Row],[Where do you work]],tblCountries[[Actual]:[Mapping]],2,FALSE)</f>
        <v>UK</v>
      </c>
      <c r="L1722" t="s">
        <v>13</v>
      </c>
      <c r="M1722">
        <v>20</v>
      </c>
    </row>
    <row r="1723" spans="2:13" ht="15" customHeight="1">
      <c r="B1723" t="s">
        <v>3726</v>
      </c>
      <c r="C1723" s="1">
        <v>41068.875289351854</v>
      </c>
      <c r="D1723" s="4">
        <v>67000</v>
      </c>
      <c r="E1723">
        <v>67000</v>
      </c>
      <c r="F1723" t="s">
        <v>6</v>
      </c>
      <c r="G1723">
        <f>tblSalaries[[#This Row],[clean Salary (in local currency)]]*VLOOKUP(tblSalaries[[#This Row],[Currency]],tblXrate[],2,FALSE)</f>
        <v>67000</v>
      </c>
      <c r="H1723" t="s">
        <v>52</v>
      </c>
      <c r="I1723" t="s">
        <v>52</v>
      </c>
      <c r="J1723" t="s">
        <v>15</v>
      </c>
      <c r="K1723" t="str">
        <f>VLOOKUP(tblSalaries[[#This Row],[Where do you work]],tblCountries[[Actual]:[Mapping]],2,FALSE)</f>
        <v>USA</v>
      </c>
      <c r="L1723" t="s">
        <v>9</v>
      </c>
      <c r="M1723">
        <v>16</v>
      </c>
    </row>
    <row r="1724" spans="2:13" ht="15" customHeight="1">
      <c r="B1724" t="s">
        <v>3727</v>
      </c>
      <c r="C1724" s="1">
        <v>41068.876944444448</v>
      </c>
      <c r="D1724" s="4">
        <v>30000</v>
      </c>
      <c r="E1724">
        <v>30000</v>
      </c>
      <c r="F1724" t="s">
        <v>6</v>
      </c>
      <c r="G1724">
        <f>tblSalaries[[#This Row],[clean Salary (in local currency)]]*VLOOKUP(tblSalaries[[#This Row],[Currency]],tblXrate[],2,FALSE)</f>
        <v>30000</v>
      </c>
      <c r="H1724" t="s">
        <v>1879</v>
      </c>
      <c r="I1724" t="s">
        <v>20</v>
      </c>
      <c r="J1724" t="s">
        <v>15</v>
      </c>
      <c r="K1724" t="str">
        <f>VLOOKUP(tblSalaries[[#This Row],[Where do you work]],tblCountries[[Actual]:[Mapping]],2,FALSE)</f>
        <v>USA</v>
      </c>
      <c r="L1724" t="s">
        <v>18</v>
      </c>
      <c r="M1724">
        <v>4</v>
      </c>
    </row>
    <row r="1725" spans="2:13" ht="15" customHeight="1">
      <c r="B1725" t="s">
        <v>3728</v>
      </c>
      <c r="C1725" s="1">
        <v>41068.95045138889</v>
      </c>
      <c r="D1725" s="4" t="s">
        <v>1880</v>
      </c>
      <c r="E1725">
        <v>140000</v>
      </c>
      <c r="F1725" t="s">
        <v>1881</v>
      </c>
      <c r="G1725">
        <f>tblSalaries[[#This Row],[clean Salary (in local currency)]]*VLOOKUP(tblSalaries[[#This Row],[Currency]],tblXrate[],2,FALSE)</f>
        <v>148102.22862117883</v>
      </c>
      <c r="H1725" t="s">
        <v>1882</v>
      </c>
      <c r="I1725" t="s">
        <v>52</v>
      </c>
      <c r="J1725" t="s">
        <v>46</v>
      </c>
      <c r="K1725" t="str">
        <f>VLOOKUP(tblSalaries[[#This Row],[Where do you work]],tblCountries[[Actual]:[Mapping]],2,FALSE)</f>
        <v>Switzerland</v>
      </c>
      <c r="L1725" t="s">
        <v>18</v>
      </c>
      <c r="M1725">
        <v>6</v>
      </c>
    </row>
    <row r="1726" spans="2:13" ht="15" customHeight="1">
      <c r="B1726" t="s">
        <v>3729</v>
      </c>
      <c r="C1726" s="1">
        <v>41068.972638888888</v>
      </c>
      <c r="D1726" s="4">
        <v>71500</v>
      </c>
      <c r="E1726">
        <v>71500</v>
      </c>
      <c r="F1726" t="s">
        <v>6</v>
      </c>
      <c r="G1726">
        <f>tblSalaries[[#This Row],[clean Salary (in local currency)]]*VLOOKUP(tblSalaries[[#This Row],[Currency]],tblXrate[],2,FALSE)</f>
        <v>71500</v>
      </c>
      <c r="H1726" t="s">
        <v>1883</v>
      </c>
      <c r="I1726" t="s">
        <v>52</v>
      </c>
      <c r="J1726" t="s">
        <v>15</v>
      </c>
      <c r="K1726" t="str">
        <f>VLOOKUP(tblSalaries[[#This Row],[Where do you work]],tblCountries[[Actual]:[Mapping]],2,FALSE)</f>
        <v>USA</v>
      </c>
      <c r="L1726" t="s">
        <v>13</v>
      </c>
      <c r="M1726">
        <v>11</v>
      </c>
    </row>
    <row r="1727" spans="2:13" ht="15" customHeight="1">
      <c r="B1727" t="s">
        <v>3730</v>
      </c>
      <c r="C1727" s="1">
        <v>41068.990405092591</v>
      </c>
      <c r="D1727" s="4">
        <v>67000</v>
      </c>
      <c r="E1727">
        <v>67000</v>
      </c>
      <c r="F1727" t="s">
        <v>6</v>
      </c>
      <c r="G1727">
        <f>tblSalaries[[#This Row],[clean Salary (in local currency)]]*VLOOKUP(tblSalaries[[#This Row],[Currency]],tblXrate[],2,FALSE)</f>
        <v>67000</v>
      </c>
      <c r="H1727" t="s">
        <v>52</v>
      </c>
      <c r="I1727" t="s">
        <v>52</v>
      </c>
      <c r="J1727" t="s">
        <v>15</v>
      </c>
      <c r="K1727" t="str">
        <f>VLOOKUP(tblSalaries[[#This Row],[Where do you work]],tblCountries[[Actual]:[Mapping]],2,FALSE)</f>
        <v>USA</v>
      </c>
      <c r="L1727" t="s">
        <v>186</v>
      </c>
      <c r="M1727">
        <v>6</v>
      </c>
    </row>
    <row r="1728" spans="2:13" ht="15" customHeight="1">
      <c r="B1728" t="s">
        <v>3731</v>
      </c>
      <c r="C1728" s="1">
        <v>41069.034108796295</v>
      </c>
      <c r="D1728" s="4">
        <v>40000</v>
      </c>
      <c r="E1728">
        <v>40000</v>
      </c>
      <c r="F1728" t="s">
        <v>6</v>
      </c>
      <c r="G1728">
        <f>tblSalaries[[#This Row],[clean Salary (in local currency)]]*VLOOKUP(tblSalaries[[#This Row],[Currency]],tblXrate[],2,FALSE)</f>
        <v>40000</v>
      </c>
      <c r="H1728" t="s">
        <v>202</v>
      </c>
      <c r="I1728" t="s">
        <v>20</v>
      </c>
      <c r="J1728" t="s">
        <v>15</v>
      </c>
      <c r="K1728" t="str">
        <f>VLOOKUP(tblSalaries[[#This Row],[Where do you work]],tblCountries[[Actual]:[Mapping]],2,FALSE)</f>
        <v>USA</v>
      </c>
      <c r="L1728" t="s">
        <v>9</v>
      </c>
      <c r="M1728">
        <v>5</v>
      </c>
    </row>
    <row r="1729" spans="2:13" ht="15" customHeight="1">
      <c r="B1729" t="s">
        <v>3732</v>
      </c>
      <c r="C1729" s="1">
        <v>41069.05259259259</v>
      </c>
      <c r="D1729" s="4">
        <v>65000</v>
      </c>
      <c r="E1729">
        <v>65000</v>
      </c>
      <c r="F1729" t="s">
        <v>6</v>
      </c>
      <c r="G1729">
        <f>tblSalaries[[#This Row],[clean Salary (in local currency)]]*VLOOKUP(tblSalaries[[#This Row],[Currency]],tblXrate[],2,FALSE)</f>
        <v>65000</v>
      </c>
      <c r="H1729" t="s">
        <v>1884</v>
      </c>
      <c r="I1729" t="s">
        <v>52</v>
      </c>
      <c r="J1729" t="s">
        <v>15</v>
      </c>
      <c r="K1729" t="str">
        <f>VLOOKUP(tblSalaries[[#This Row],[Where do you work]],tblCountries[[Actual]:[Mapping]],2,FALSE)</f>
        <v>USA</v>
      </c>
      <c r="L1729" t="s">
        <v>9</v>
      </c>
      <c r="M1729">
        <v>2</v>
      </c>
    </row>
    <row r="1730" spans="2:13" ht="15" customHeight="1">
      <c r="B1730" t="s">
        <v>3733</v>
      </c>
      <c r="C1730" s="1">
        <v>41069.074652777781</v>
      </c>
      <c r="D1730" s="4">
        <v>72000</v>
      </c>
      <c r="E1730">
        <v>72000</v>
      </c>
      <c r="F1730" t="s">
        <v>6</v>
      </c>
      <c r="G1730">
        <f>tblSalaries[[#This Row],[clean Salary (in local currency)]]*VLOOKUP(tblSalaries[[#This Row],[Currency]],tblXrate[],2,FALSE)</f>
        <v>72000</v>
      </c>
      <c r="H1730" t="s">
        <v>356</v>
      </c>
      <c r="I1730" t="s">
        <v>356</v>
      </c>
      <c r="J1730" t="s">
        <v>15</v>
      </c>
      <c r="K1730" t="str">
        <f>VLOOKUP(tblSalaries[[#This Row],[Where do you work]],tblCountries[[Actual]:[Mapping]],2,FALSE)</f>
        <v>USA</v>
      </c>
      <c r="L1730" t="s">
        <v>18</v>
      </c>
      <c r="M1730">
        <v>13</v>
      </c>
    </row>
    <row r="1731" spans="2:13" ht="15" customHeight="1">
      <c r="B1731" t="s">
        <v>3734</v>
      </c>
      <c r="C1731" s="1">
        <v>41069.139062499999</v>
      </c>
      <c r="D1731" s="4">
        <v>52500</v>
      </c>
      <c r="E1731">
        <v>52500</v>
      </c>
      <c r="F1731" t="s">
        <v>6</v>
      </c>
      <c r="G1731">
        <f>tblSalaries[[#This Row],[clean Salary (in local currency)]]*VLOOKUP(tblSalaries[[#This Row],[Currency]],tblXrate[],2,FALSE)</f>
        <v>52500</v>
      </c>
      <c r="H1731" t="s">
        <v>1885</v>
      </c>
      <c r="I1731" t="s">
        <v>52</v>
      </c>
      <c r="J1731" t="s">
        <v>15</v>
      </c>
      <c r="K1731" t="str">
        <f>VLOOKUP(tblSalaries[[#This Row],[Where do you work]],tblCountries[[Actual]:[Mapping]],2,FALSE)</f>
        <v>USA</v>
      </c>
      <c r="L1731" t="s">
        <v>13</v>
      </c>
      <c r="M1731">
        <v>3</v>
      </c>
    </row>
    <row r="1732" spans="2:13" ht="15" customHeight="1">
      <c r="B1732" t="s">
        <v>3735</v>
      </c>
      <c r="C1732" s="1">
        <v>41069.500914351855</v>
      </c>
      <c r="D1732" s="4">
        <v>444</v>
      </c>
      <c r="E1732">
        <v>5320</v>
      </c>
      <c r="F1732" t="s">
        <v>6</v>
      </c>
      <c r="G1732">
        <f>tblSalaries[[#This Row],[clean Salary (in local currency)]]*VLOOKUP(tblSalaries[[#This Row],[Currency]],tblXrate[],2,FALSE)</f>
        <v>5320</v>
      </c>
      <c r="H1732" t="s">
        <v>1886</v>
      </c>
      <c r="I1732" t="s">
        <v>52</v>
      </c>
      <c r="J1732" t="s">
        <v>8</v>
      </c>
      <c r="K1732" t="str">
        <f>VLOOKUP(tblSalaries[[#This Row],[Where do you work]],tblCountries[[Actual]:[Mapping]],2,FALSE)</f>
        <v>India</v>
      </c>
      <c r="L1732" t="s">
        <v>18</v>
      </c>
      <c r="M1732">
        <v>5</v>
      </c>
    </row>
    <row r="1733" spans="2:13" ht="15" customHeight="1">
      <c r="B1733" t="s">
        <v>3736</v>
      </c>
      <c r="C1733" s="1">
        <v>41069.859756944446</v>
      </c>
      <c r="D1733" s="4">
        <v>1500</v>
      </c>
      <c r="E1733">
        <v>18000</v>
      </c>
      <c r="F1733" t="s">
        <v>6</v>
      </c>
      <c r="G1733">
        <f>tblSalaries[[#This Row],[clean Salary (in local currency)]]*VLOOKUP(tblSalaries[[#This Row],[Currency]],tblXrate[],2,FALSE)</f>
        <v>18000</v>
      </c>
      <c r="H1733" t="s">
        <v>932</v>
      </c>
      <c r="I1733" t="s">
        <v>310</v>
      </c>
      <c r="J1733" t="s">
        <v>820</v>
      </c>
      <c r="K1733" t="str">
        <f>VLOOKUP(tblSalaries[[#This Row],[Where do you work]],tblCountries[[Actual]:[Mapping]],2,FALSE)</f>
        <v>UAE</v>
      </c>
      <c r="L1733" t="s">
        <v>13</v>
      </c>
      <c r="M1733">
        <v>3</v>
      </c>
    </row>
    <row r="1734" spans="2:13" ht="15" customHeight="1">
      <c r="B1734" t="s">
        <v>3737</v>
      </c>
      <c r="C1734" s="1">
        <v>41070.03502314815</v>
      </c>
      <c r="D1734" s="4" t="s">
        <v>1887</v>
      </c>
      <c r="E1734">
        <v>140000</v>
      </c>
      <c r="F1734" t="s">
        <v>40</v>
      </c>
      <c r="G1734">
        <f>tblSalaries[[#This Row],[clean Salary (in local currency)]]*VLOOKUP(tblSalaries[[#This Row],[Currency]],tblXrate[],2,FALSE)</f>
        <v>2493.1083362419595</v>
      </c>
      <c r="H1734" t="s">
        <v>1888</v>
      </c>
      <c r="I1734" t="s">
        <v>4000</v>
      </c>
      <c r="J1734" t="s">
        <v>8</v>
      </c>
      <c r="K1734" t="str">
        <f>VLOOKUP(tblSalaries[[#This Row],[Where do you work]],tblCountries[[Actual]:[Mapping]],2,FALSE)</f>
        <v>India</v>
      </c>
      <c r="L1734" t="s">
        <v>9</v>
      </c>
      <c r="M1734">
        <v>5</v>
      </c>
    </row>
    <row r="1735" spans="2:13" ht="15" customHeight="1">
      <c r="B1735" t="s">
        <v>3738</v>
      </c>
      <c r="C1735" s="1">
        <v>41070.075509259259</v>
      </c>
      <c r="D1735" s="4">
        <v>1400</v>
      </c>
      <c r="E1735">
        <v>16800</v>
      </c>
      <c r="F1735" t="s">
        <v>22</v>
      </c>
      <c r="G1735">
        <f>tblSalaries[[#This Row],[clean Salary (in local currency)]]*VLOOKUP(tblSalaries[[#This Row],[Currency]],tblXrate[],2,FALSE)</f>
        <v>21342.710575059013</v>
      </c>
      <c r="H1735" t="s">
        <v>1889</v>
      </c>
      <c r="I1735" t="s">
        <v>310</v>
      </c>
      <c r="J1735" t="s">
        <v>979</v>
      </c>
      <c r="K1735" t="str">
        <f>VLOOKUP(tblSalaries[[#This Row],[Where do you work]],tblCountries[[Actual]:[Mapping]],2,FALSE)</f>
        <v>Portugal</v>
      </c>
      <c r="L1735" t="s">
        <v>9</v>
      </c>
      <c r="M1735">
        <v>15</v>
      </c>
    </row>
    <row r="1736" spans="2:13" ht="15" customHeight="1">
      <c r="B1736" t="s">
        <v>3739</v>
      </c>
      <c r="C1736" s="1">
        <v>41070.097280092596</v>
      </c>
      <c r="D1736" s="4">
        <v>85000</v>
      </c>
      <c r="E1736">
        <v>85000</v>
      </c>
      <c r="F1736" t="s">
        <v>6</v>
      </c>
      <c r="G1736">
        <f>tblSalaries[[#This Row],[clean Salary (in local currency)]]*VLOOKUP(tblSalaries[[#This Row],[Currency]],tblXrate[],2,FALSE)</f>
        <v>85000</v>
      </c>
      <c r="H1736" t="s">
        <v>1890</v>
      </c>
      <c r="I1736" t="s">
        <v>52</v>
      </c>
      <c r="J1736" t="s">
        <v>15</v>
      </c>
      <c r="K1736" t="str">
        <f>VLOOKUP(tblSalaries[[#This Row],[Where do you work]],tblCountries[[Actual]:[Mapping]],2,FALSE)</f>
        <v>USA</v>
      </c>
      <c r="L1736" t="s">
        <v>18</v>
      </c>
      <c r="M1736">
        <v>15</v>
      </c>
    </row>
    <row r="1737" spans="2:13" ht="15" customHeight="1">
      <c r="B1737" t="s">
        <v>3740</v>
      </c>
      <c r="C1737" s="1">
        <v>41070.104131944441</v>
      </c>
      <c r="D1737" s="4">
        <v>80000</v>
      </c>
      <c r="E1737">
        <v>80000</v>
      </c>
      <c r="F1737" t="s">
        <v>6</v>
      </c>
      <c r="G1737">
        <f>tblSalaries[[#This Row],[clean Salary (in local currency)]]*VLOOKUP(tblSalaries[[#This Row],[Currency]],tblXrate[],2,FALSE)</f>
        <v>80000</v>
      </c>
      <c r="H1737" t="s">
        <v>279</v>
      </c>
      <c r="I1737" t="s">
        <v>279</v>
      </c>
      <c r="J1737" t="s">
        <v>143</v>
      </c>
      <c r="K1737" t="str">
        <f>VLOOKUP(tblSalaries[[#This Row],[Where do you work]],tblCountries[[Actual]:[Mapping]],2,FALSE)</f>
        <v>Brazil</v>
      </c>
      <c r="L1737" t="s">
        <v>25</v>
      </c>
      <c r="M1737">
        <v>9</v>
      </c>
    </row>
    <row r="1738" spans="2:13" ht="15" customHeight="1">
      <c r="B1738" t="s">
        <v>3741</v>
      </c>
      <c r="C1738" s="1">
        <v>41070.177835648145</v>
      </c>
      <c r="D1738" s="4">
        <v>500000</v>
      </c>
      <c r="E1738">
        <v>500000</v>
      </c>
      <c r="F1738" t="s">
        <v>40</v>
      </c>
      <c r="G1738">
        <f>tblSalaries[[#This Row],[clean Salary (in local currency)]]*VLOOKUP(tblSalaries[[#This Row],[Currency]],tblXrate[],2,FALSE)</f>
        <v>8903.9583437212841</v>
      </c>
      <c r="H1738" t="s">
        <v>1891</v>
      </c>
      <c r="I1738" t="s">
        <v>20</v>
      </c>
      <c r="J1738" t="s">
        <v>8</v>
      </c>
      <c r="K1738" t="str">
        <f>VLOOKUP(tblSalaries[[#This Row],[Where do you work]],tblCountries[[Actual]:[Mapping]],2,FALSE)</f>
        <v>India</v>
      </c>
      <c r="L1738" t="s">
        <v>13</v>
      </c>
      <c r="M1738">
        <v>0</v>
      </c>
    </row>
    <row r="1739" spans="2:13" ht="15" customHeight="1">
      <c r="B1739" t="s">
        <v>3742</v>
      </c>
      <c r="C1739" s="1">
        <v>41070.522083333337</v>
      </c>
      <c r="D1739" s="4">
        <v>125000</v>
      </c>
      <c r="E1739">
        <v>125000</v>
      </c>
      <c r="F1739" t="s">
        <v>6</v>
      </c>
      <c r="G1739">
        <f>tblSalaries[[#This Row],[clean Salary (in local currency)]]*VLOOKUP(tblSalaries[[#This Row],[Currency]],tblXrate[],2,FALSE)</f>
        <v>125000</v>
      </c>
      <c r="H1739" t="s">
        <v>204</v>
      </c>
      <c r="I1739" t="s">
        <v>52</v>
      </c>
      <c r="J1739" t="s">
        <v>15</v>
      </c>
      <c r="K1739" t="str">
        <f>VLOOKUP(tblSalaries[[#This Row],[Where do you work]],tblCountries[[Actual]:[Mapping]],2,FALSE)</f>
        <v>USA</v>
      </c>
      <c r="L1739" t="s">
        <v>13</v>
      </c>
      <c r="M1739">
        <v>10</v>
      </c>
    </row>
    <row r="1740" spans="2:13" ht="15" customHeight="1">
      <c r="B1740" t="s">
        <v>3743</v>
      </c>
      <c r="C1740" s="1">
        <v>41070.624062499999</v>
      </c>
      <c r="D1740" s="4">
        <v>1300000</v>
      </c>
      <c r="E1740">
        <v>1300000</v>
      </c>
      <c r="F1740" t="s">
        <v>40</v>
      </c>
      <c r="G1740">
        <f>tblSalaries[[#This Row],[clean Salary (in local currency)]]*VLOOKUP(tblSalaries[[#This Row],[Currency]],tblXrate[],2,FALSE)</f>
        <v>23150.291693675339</v>
      </c>
      <c r="H1740" t="s">
        <v>52</v>
      </c>
      <c r="I1740" t="s">
        <v>52</v>
      </c>
      <c r="J1740" t="s">
        <v>8</v>
      </c>
      <c r="K1740" t="str">
        <f>VLOOKUP(tblSalaries[[#This Row],[Where do you work]],tblCountries[[Actual]:[Mapping]],2,FALSE)</f>
        <v>India</v>
      </c>
      <c r="L1740" t="s">
        <v>13</v>
      </c>
      <c r="M1740">
        <v>9</v>
      </c>
    </row>
    <row r="1741" spans="2:13" ht="15" customHeight="1">
      <c r="B1741" t="s">
        <v>3744</v>
      </c>
      <c r="C1741" s="1">
        <v>41070.63890046296</v>
      </c>
      <c r="D1741" s="4">
        <v>1000</v>
      </c>
      <c r="E1741">
        <v>12000</v>
      </c>
      <c r="F1741" t="s">
        <v>6</v>
      </c>
      <c r="G1741">
        <f>tblSalaries[[#This Row],[clean Salary (in local currency)]]*VLOOKUP(tblSalaries[[#This Row],[Currency]],tblXrate[],2,FALSE)</f>
        <v>12000</v>
      </c>
      <c r="H1741" t="s">
        <v>1892</v>
      </c>
      <c r="I1741" t="s">
        <v>279</v>
      </c>
      <c r="J1741" t="s">
        <v>8</v>
      </c>
      <c r="K1741" t="str">
        <f>VLOOKUP(tblSalaries[[#This Row],[Where do you work]],tblCountries[[Actual]:[Mapping]],2,FALSE)</f>
        <v>India</v>
      </c>
      <c r="L1741" t="s">
        <v>18</v>
      </c>
      <c r="M1741">
        <v>7</v>
      </c>
    </row>
    <row r="1742" spans="2:13" ht="15" customHeight="1">
      <c r="B1742" t="s">
        <v>3745</v>
      </c>
      <c r="C1742" s="1">
        <v>41070.666168981479</v>
      </c>
      <c r="D1742" s="4">
        <v>30000</v>
      </c>
      <c r="E1742">
        <v>30000</v>
      </c>
      <c r="F1742" t="s">
        <v>6</v>
      </c>
      <c r="G1742">
        <f>tblSalaries[[#This Row],[clean Salary (in local currency)]]*VLOOKUP(tblSalaries[[#This Row],[Currency]],tblXrate[],2,FALSE)</f>
        <v>30000</v>
      </c>
      <c r="H1742" t="s">
        <v>1893</v>
      </c>
      <c r="I1742" t="s">
        <v>20</v>
      </c>
      <c r="J1742" t="s">
        <v>1131</v>
      </c>
      <c r="K1742" t="str">
        <f>VLOOKUP(tblSalaries[[#This Row],[Where do you work]],tblCountries[[Actual]:[Mapping]],2,FALSE)</f>
        <v>Malaysia</v>
      </c>
      <c r="L1742" t="s">
        <v>25</v>
      </c>
      <c r="M1742">
        <v>12</v>
      </c>
    </row>
    <row r="1743" spans="2:13" ht="15" customHeight="1">
      <c r="B1743" t="s">
        <v>3746</v>
      </c>
      <c r="C1743" s="1">
        <v>41070.723009259258</v>
      </c>
      <c r="D1743" s="4">
        <v>72000</v>
      </c>
      <c r="E1743">
        <v>72000</v>
      </c>
      <c r="F1743" t="s">
        <v>22</v>
      </c>
      <c r="G1743">
        <f>tblSalaries[[#This Row],[clean Salary (in local currency)]]*VLOOKUP(tblSalaries[[#This Row],[Currency]],tblXrate[],2,FALSE)</f>
        <v>91468.759607395754</v>
      </c>
      <c r="H1743" t="s">
        <v>1894</v>
      </c>
      <c r="I1743" t="s">
        <v>52</v>
      </c>
      <c r="J1743" t="s">
        <v>1895</v>
      </c>
      <c r="K1743" t="str">
        <f>VLOOKUP(tblSalaries[[#This Row],[Where do you work]],tblCountries[[Actual]:[Mapping]],2,FALSE)</f>
        <v>Croatia</v>
      </c>
      <c r="L1743" t="s">
        <v>25</v>
      </c>
      <c r="M1743">
        <v>3</v>
      </c>
    </row>
    <row r="1744" spans="2:13" ht="15" customHeight="1">
      <c r="B1744" t="s">
        <v>3747</v>
      </c>
      <c r="C1744" s="1">
        <v>41070.854432870372</v>
      </c>
      <c r="D1744" s="4" t="s">
        <v>1896</v>
      </c>
      <c r="E1744">
        <v>22300</v>
      </c>
      <c r="F1744" t="s">
        <v>69</v>
      </c>
      <c r="G1744">
        <f>tblSalaries[[#This Row],[clean Salary (in local currency)]]*VLOOKUP(tblSalaries[[#This Row],[Currency]],tblXrate[],2,FALSE)</f>
        <v>35148.775467100437</v>
      </c>
      <c r="H1744" t="s">
        <v>1897</v>
      </c>
      <c r="I1744" t="s">
        <v>20</v>
      </c>
      <c r="J1744" t="s">
        <v>71</v>
      </c>
      <c r="K1744" t="str">
        <f>VLOOKUP(tblSalaries[[#This Row],[Where do you work]],tblCountries[[Actual]:[Mapping]],2,FALSE)</f>
        <v>UK</v>
      </c>
      <c r="L1744" t="s">
        <v>13</v>
      </c>
      <c r="M1744">
        <v>4</v>
      </c>
    </row>
    <row r="1745" spans="2:13" ht="15" customHeight="1">
      <c r="B1745" t="s">
        <v>3748</v>
      </c>
      <c r="C1745" s="1">
        <v>41070.911458333336</v>
      </c>
      <c r="D1745" s="4" t="s">
        <v>1898</v>
      </c>
      <c r="E1745">
        <v>31185</v>
      </c>
      <c r="F1745" t="s">
        <v>69</v>
      </c>
      <c r="G1745">
        <f>tblSalaries[[#This Row],[clean Salary (in local currency)]]*VLOOKUP(tblSalaries[[#This Row],[Currency]],tblXrate[],2,FALSE)</f>
        <v>49153.119414418252</v>
      </c>
      <c r="H1745" t="s">
        <v>1899</v>
      </c>
      <c r="I1745" t="s">
        <v>52</v>
      </c>
      <c r="J1745" t="s">
        <v>71</v>
      </c>
      <c r="K1745" t="str">
        <f>VLOOKUP(tblSalaries[[#This Row],[Where do you work]],tblCountries[[Actual]:[Mapping]],2,FALSE)</f>
        <v>UK</v>
      </c>
      <c r="L1745" t="s">
        <v>9</v>
      </c>
      <c r="M1745">
        <v>7</v>
      </c>
    </row>
    <row r="1746" spans="2:13" ht="15" customHeight="1">
      <c r="B1746" t="s">
        <v>3749</v>
      </c>
      <c r="C1746" s="1">
        <v>41071.133090277777</v>
      </c>
      <c r="D1746" s="4">
        <v>150000</v>
      </c>
      <c r="E1746">
        <v>150000</v>
      </c>
      <c r="F1746" t="s">
        <v>40</v>
      </c>
      <c r="G1746">
        <f>tblSalaries[[#This Row],[clean Salary (in local currency)]]*VLOOKUP(tblSalaries[[#This Row],[Currency]],tblXrate[],2,FALSE)</f>
        <v>2671.1875031163854</v>
      </c>
      <c r="H1746" t="s">
        <v>485</v>
      </c>
      <c r="I1746" t="s">
        <v>279</v>
      </c>
      <c r="J1746" t="s">
        <v>8</v>
      </c>
      <c r="K1746" t="str">
        <f>VLOOKUP(tblSalaries[[#This Row],[Where do you work]],tblCountries[[Actual]:[Mapping]],2,FALSE)</f>
        <v>India</v>
      </c>
      <c r="L1746" t="s">
        <v>18</v>
      </c>
      <c r="M1746">
        <v>1</v>
      </c>
    </row>
    <row r="1747" spans="2:13" ht="15" customHeight="1">
      <c r="B1747" t="s">
        <v>3750</v>
      </c>
      <c r="C1747" s="1">
        <v>41071.249409722222</v>
      </c>
      <c r="D1747" s="4">
        <v>27000</v>
      </c>
      <c r="E1747">
        <v>27000</v>
      </c>
      <c r="F1747" t="s">
        <v>69</v>
      </c>
      <c r="G1747">
        <f>tblSalaries[[#This Row],[clean Salary (in local currency)]]*VLOOKUP(tblSalaries[[#This Row],[Currency]],tblXrate[],2,FALSE)</f>
        <v>42556.81334581667</v>
      </c>
      <c r="H1747" t="s">
        <v>1900</v>
      </c>
      <c r="I1747" t="s">
        <v>52</v>
      </c>
      <c r="J1747" t="s">
        <v>71</v>
      </c>
      <c r="K1747" t="str">
        <f>VLOOKUP(tblSalaries[[#This Row],[Where do you work]],tblCountries[[Actual]:[Mapping]],2,FALSE)</f>
        <v>UK</v>
      </c>
      <c r="L1747" t="s">
        <v>9</v>
      </c>
      <c r="M1747">
        <v>3</v>
      </c>
    </row>
    <row r="1748" spans="2:13" ht="15" customHeight="1">
      <c r="B1748" t="s">
        <v>3751</v>
      </c>
      <c r="C1748" s="1">
        <v>41071.249942129631</v>
      </c>
      <c r="D1748" s="4">
        <v>27000</v>
      </c>
      <c r="E1748">
        <v>27000</v>
      </c>
      <c r="F1748" t="s">
        <v>69</v>
      </c>
      <c r="G1748">
        <f>tblSalaries[[#This Row],[clean Salary (in local currency)]]*VLOOKUP(tblSalaries[[#This Row],[Currency]],tblXrate[],2,FALSE)</f>
        <v>42556.81334581667</v>
      </c>
      <c r="H1748" t="s">
        <v>1900</v>
      </c>
      <c r="I1748" t="s">
        <v>52</v>
      </c>
      <c r="J1748" t="s">
        <v>71</v>
      </c>
      <c r="K1748" t="str">
        <f>VLOOKUP(tblSalaries[[#This Row],[Where do you work]],tblCountries[[Actual]:[Mapping]],2,FALSE)</f>
        <v>UK</v>
      </c>
      <c r="L1748" t="s">
        <v>9</v>
      </c>
      <c r="M1748">
        <v>3</v>
      </c>
    </row>
    <row r="1749" spans="2:13" ht="15" customHeight="1">
      <c r="B1749" t="s">
        <v>3752</v>
      </c>
      <c r="C1749" s="1">
        <v>41071.419942129629</v>
      </c>
      <c r="D1749" s="4">
        <v>74461</v>
      </c>
      <c r="E1749">
        <v>74461</v>
      </c>
      <c r="F1749" t="s">
        <v>6</v>
      </c>
      <c r="G1749">
        <f>tblSalaries[[#This Row],[clean Salary (in local currency)]]*VLOOKUP(tblSalaries[[#This Row],[Currency]],tblXrate[],2,FALSE)</f>
        <v>74461</v>
      </c>
      <c r="H1749" t="s">
        <v>1901</v>
      </c>
      <c r="I1749" t="s">
        <v>4000</v>
      </c>
      <c r="J1749" t="s">
        <v>15</v>
      </c>
      <c r="K1749" t="str">
        <f>VLOOKUP(tblSalaries[[#This Row],[Where do you work]],tblCountries[[Actual]:[Mapping]],2,FALSE)</f>
        <v>USA</v>
      </c>
      <c r="L1749" t="s">
        <v>25</v>
      </c>
      <c r="M1749">
        <v>9</v>
      </c>
    </row>
    <row r="1750" spans="2:13" ht="15" customHeight="1">
      <c r="B1750" t="s">
        <v>3753</v>
      </c>
      <c r="C1750" s="1">
        <v>41071.705324074072</v>
      </c>
      <c r="D1750" s="4" t="s">
        <v>1902</v>
      </c>
      <c r="E1750">
        <v>26500</v>
      </c>
      <c r="F1750" t="s">
        <v>69</v>
      </c>
      <c r="G1750">
        <f>tblSalaries[[#This Row],[clean Salary (in local currency)]]*VLOOKUP(tblSalaries[[#This Row],[Currency]],tblXrate[],2,FALSE)</f>
        <v>41768.724209783031</v>
      </c>
      <c r="H1750" t="s">
        <v>1903</v>
      </c>
      <c r="I1750" t="s">
        <v>52</v>
      </c>
      <c r="J1750" t="s">
        <v>71</v>
      </c>
      <c r="K1750" t="str">
        <f>VLOOKUP(tblSalaries[[#This Row],[Where do you work]],tblCountries[[Actual]:[Mapping]],2,FALSE)</f>
        <v>UK</v>
      </c>
      <c r="L1750" t="s">
        <v>9</v>
      </c>
      <c r="M1750">
        <v>16</v>
      </c>
    </row>
    <row r="1751" spans="2:13" ht="15" customHeight="1">
      <c r="B1751" t="s">
        <v>3754</v>
      </c>
      <c r="C1751" s="1">
        <v>41071.709699074076</v>
      </c>
      <c r="D1751" s="4" t="s">
        <v>766</v>
      </c>
      <c r="E1751">
        <v>480000</v>
      </c>
      <c r="F1751" t="s">
        <v>40</v>
      </c>
      <c r="G1751">
        <f>tblSalaries[[#This Row],[clean Salary (in local currency)]]*VLOOKUP(tblSalaries[[#This Row],[Currency]],tblXrate[],2,FALSE)</f>
        <v>8547.8000099724322</v>
      </c>
      <c r="H1751" t="s">
        <v>1904</v>
      </c>
      <c r="I1751" t="s">
        <v>20</v>
      </c>
      <c r="J1751" t="s">
        <v>8</v>
      </c>
      <c r="K1751" t="str">
        <f>VLOOKUP(tblSalaries[[#This Row],[Where do you work]],tblCountries[[Actual]:[Mapping]],2,FALSE)</f>
        <v>India</v>
      </c>
      <c r="L1751" t="s">
        <v>9</v>
      </c>
      <c r="M1751">
        <v>1</v>
      </c>
    </row>
    <row r="1752" spans="2:13" ht="15" customHeight="1">
      <c r="B1752" t="s">
        <v>3755</v>
      </c>
      <c r="C1752" s="1">
        <v>41071.746087962965</v>
      </c>
      <c r="D1752" s="4">
        <v>200</v>
      </c>
      <c r="E1752">
        <v>2400</v>
      </c>
      <c r="F1752" t="s">
        <v>6</v>
      </c>
      <c r="G1752">
        <f>tblSalaries[[#This Row],[clean Salary (in local currency)]]*VLOOKUP(tblSalaries[[#This Row],[Currency]],tblXrate[],2,FALSE)</f>
        <v>2400</v>
      </c>
      <c r="H1752" t="s">
        <v>1905</v>
      </c>
      <c r="I1752" t="s">
        <v>20</v>
      </c>
      <c r="J1752" t="s">
        <v>8</v>
      </c>
      <c r="K1752" t="str">
        <f>VLOOKUP(tblSalaries[[#This Row],[Where do you work]],tblCountries[[Actual]:[Mapping]],2,FALSE)</f>
        <v>India</v>
      </c>
      <c r="L1752" t="s">
        <v>18</v>
      </c>
      <c r="M1752">
        <v>3</v>
      </c>
    </row>
    <row r="1753" spans="2:13" ht="15" customHeight="1">
      <c r="B1753" t="s">
        <v>3756</v>
      </c>
      <c r="C1753" s="1">
        <v>41071.819988425923</v>
      </c>
      <c r="D1753" s="4" t="s">
        <v>797</v>
      </c>
      <c r="E1753">
        <v>3000</v>
      </c>
      <c r="F1753" t="s">
        <v>6</v>
      </c>
      <c r="G1753">
        <f>tblSalaries[[#This Row],[clean Salary (in local currency)]]*VLOOKUP(tblSalaries[[#This Row],[Currency]],tblXrate[],2,FALSE)</f>
        <v>3000</v>
      </c>
      <c r="H1753" t="s">
        <v>725</v>
      </c>
      <c r="I1753" t="s">
        <v>20</v>
      </c>
      <c r="J1753" t="s">
        <v>425</v>
      </c>
      <c r="K1753" t="str">
        <f>VLOOKUP(tblSalaries[[#This Row],[Where do you work]],tblCountries[[Actual]:[Mapping]],2,FALSE)</f>
        <v>Bangladesh</v>
      </c>
      <c r="L1753" t="s">
        <v>25</v>
      </c>
      <c r="M1753">
        <v>12</v>
      </c>
    </row>
    <row r="1754" spans="2:13" ht="15" customHeight="1">
      <c r="B1754" t="s">
        <v>3757</v>
      </c>
      <c r="C1754" s="1">
        <v>41071.830972222226</v>
      </c>
      <c r="D1754" s="4">
        <v>11000</v>
      </c>
      <c r="E1754">
        <v>11000</v>
      </c>
      <c r="F1754" t="s">
        <v>6</v>
      </c>
      <c r="G1754">
        <f>tblSalaries[[#This Row],[clean Salary (in local currency)]]*VLOOKUP(tblSalaries[[#This Row],[Currency]],tblXrate[],2,FALSE)</f>
        <v>11000</v>
      </c>
      <c r="H1754" t="s">
        <v>1500</v>
      </c>
      <c r="I1754" t="s">
        <v>20</v>
      </c>
      <c r="J1754" t="s">
        <v>8</v>
      </c>
      <c r="K1754" t="str">
        <f>VLOOKUP(tblSalaries[[#This Row],[Where do you work]],tblCountries[[Actual]:[Mapping]],2,FALSE)</f>
        <v>India</v>
      </c>
      <c r="L1754" t="s">
        <v>9</v>
      </c>
      <c r="M1754">
        <v>2</v>
      </c>
    </row>
    <row r="1755" spans="2:13" ht="15" customHeight="1">
      <c r="B1755" t="s">
        <v>3758</v>
      </c>
      <c r="C1755" s="1">
        <v>41071.877500000002</v>
      </c>
      <c r="D1755" s="4">
        <v>40000</v>
      </c>
      <c r="E1755">
        <v>40000</v>
      </c>
      <c r="F1755" t="s">
        <v>6</v>
      </c>
      <c r="G1755">
        <f>tblSalaries[[#This Row],[clean Salary (in local currency)]]*VLOOKUP(tblSalaries[[#This Row],[Currency]],tblXrate[],2,FALSE)</f>
        <v>40000</v>
      </c>
      <c r="H1755" t="s">
        <v>811</v>
      </c>
      <c r="I1755" t="s">
        <v>20</v>
      </c>
      <c r="J1755" t="s">
        <v>15</v>
      </c>
      <c r="K1755" t="str">
        <f>VLOOKUP(tblSalaries[[#This Row],[Where do you work]],tblCountries[[Actual]:[Mapping]],2,FALSE)</f>
        <v>USA</v>
      </c>
      <c r="L1755" t="s">
        <v>18</v>
      </c>
      <c r="M1755">
        <v>2</v>
      </c>
    </row>
    <row r="1756" spans="2:13" ht="15" customHeight="1">
      <c r="B1756" t="s">
        <v>3759</v>
      </c>
      <c r="C1756" s="1">
        <v>41071.895474537036</v>
      </c>
      <c r="D1756" s="4">
        <v>300</v>
      </c>
      <c r="E1756">
        <v>3600</v>
      </c>
      <c r="F1756" t="s">
        <v>6</v>
      </c>
      <c r="G1756">
        <f>tblSalaries[[#This Row],[clean Salary (in local currency)]]*VLOOKUP(tblSalaries[[#This Row],[Currency]],tblXrate[],2,FALSE)</f>
        <v>3600</v>
      </c>
      <c r="H1756" t="s">
        <v>20</v>
      </c>
      <c r="I1756" t="s">
        <v>20</v>
      </c>
      <c r="J1756" t="s">
        <v>8</v>
      </c>
      <c r="K1756" t="str">
        <f>VLOOKUP(tblSalaries[[#This Row],[Where do you work]],tblCountries[[Actual]:[Mapping]],2,FALSE)</f>
        <v>India</v>
      </c>
      <c r="L1756" t="s">
        <v>9</v>
      </c>
      <c r="M1756">
        <v>1</v>
      </c>
    </row>
    <row r="1757" spans="2:13" ht="15" customHeight="1">
      <c r="B1757" t="s">
        <v>3760</v>
      </c>
      <c r="C1757" s="1">
        <v>41071.911273148151</v>
      </c>
      <c r="D1757" s="4">
        <v>56600</v>
      </c>
      <c r="E1757">
        <v>56600</v>
      </c>
      <c r="F1757" t="s">
        <v>6</v>
      </c>
      <c r="G1757">
        <f>tblSalaries[[#This Row],[clean Salary (in local currency)]]*VLOOKUP(tblSalaries[[#This Row],[Currency]],tblXrate[],2,FALSE)</f>
        <v>56600</v>
      </c>
      <c r="H1757" t="s">
        <v>1906</v>
      </c>
      <c r="I1757" t="s">
        <v>52</v>
      </c>
      <c r="J1757" t="s">
        <v>15</v>
      </c>
      <c r="K1757" t="str">
        <f>VLOOKUP(tblSalaries[[#This Row],[Where do you work]],tblCountries[[Actual]:[Mapping]],2,FALSE)</f>
        <v>USA</v>
      </c>
      <c r="L1757" t="s">
        <v>9</v>
      </c>
      <c r="M1757">
        <v>12</v>
      </c>
    </row>
    <row r="1758" spans="2:13" ht="15" customHeight="1">
      <c r="B1758" t="s">
        <v>3761</v>
      </c>
      <c r="C1758" s="1">
        <v>41071.931539351855</v>
      </c>
      <c r="D1758" s="4">
        <v>33600</v>
      </c>
      <c r="E1758">
        <v>33600</v>
      </c>
      <c r="F1758" t="s">
        <v>6</v>
      </c>
      <c r="G1758">
        <f>tblSalaries[[#This Row],[clean Salary (in local currency)]]*VLOOKUP(tblSalaries[[#This Row],[Currency]],tblXrate[],2,FALSE)</f>
        <v>33600</v>
      </c>
      <c r="H1758" t="s">
        <v>749</v>
      </c>
      <c r="I1758" t="s">
        <v>20</v>
      </c>
      <c r="J1758" t="s">
        <v>171</v>
      </c>
      <c r="K1758" t="str">
        <f>VLOOKUP(tblSalaries[[#This Row],[Where do you work]],tblCountries[[Actual]:[Mapping]],2,FALSE)</f>
        <v>Singapore</v>
      </c>
      <c r="L1758" t="s">
        <v>13</v>
      </c>
      <c r="M1758">
        <v>2</v>
      </c>
    </row>
    <row r="1759" spans="2:13" ht="15" customHeight="1">
      <c r="B1759" t="s">
        <v>3762</v>
      </c>
      <c r="C1759" s="1">
        <v>41071.931944444441</v>
      </c>
      <c r="D1759" s="4">
        <v>33600</v>
      </c>
      <c r="E1759">
        <v>33600</v>
      </c>
      <c r="F1759" t="s">
        <v>6</v>
      </c>
      <c r="G1759">
        <f>tblSalaries[[#This Row],[clean Salary (in local currency)]]*VLOOKUP(tblSalaries[[#This Row],[Currency]],tblXrate[],2,FALSE)</f>
        <v>33600</v>
      </c>
      <c r="H1759" t="s">
        <v>749</v>
      </c>
      <c r="I1759" t="s">
        <v>20</v>
      </c>
      <c r="J1759" t="s">
        <v>171</v>
      </c>
      <c r="K1759" t="str">
        <f>VLOOKUP(tblSalaries[[#This Row],[Where do you work]],tblCountries[[Actual]:[Mapping]],2,FALSE)</f>
        <v>Singapore</v>
      </c>
      <c r="L1759" t="s">
        <v>13</v>
      </c>
      <c r="M1759">
        <v>2</v>
      </c>
    </row>
    <row r="1760" spans="2:13" ht="15" customHeight="1">
      <c r="B1760" t="s">
        <v>3763</v>
      </c>
      <c r="C1760" s="1">
        <v>41072.018136574072</v>
      </c>
      <c r="D1760" s="4">
        <v>100000</v>
      </c>
      <c r="E1760">
        <v>100000</v>
      </c>
      <c r="F1760" t="s">
        <v>6</v>
      </c>
      <c r="G1760">
        <f>tblSalaries[[#This Row],[clean Salary (in local currency)]]*VLOOKUP(tblSalaries[[#This Row],[Currency]],tblXrate[],2,FALSE)</f>
        <v>100000</v>
      </c>
      <c r="H1760" t="s">
        <v>256</v>
      </c>
      <c r="I1760" t="s">
        <v>20</v>
      </c>
      <c r="J1760" t="s">
        <v>15</v>
      </c>
      <c r="K1760" t="str">
        <f>VLOOKUP(tblSalaries[[#This Row],[Where do you work]],tblCountries[[Actual]:[Mapping]],2,FALSE)</f>
        <v>USA</v>
      </c>
      <c r="L1760" t="s">
        <v>13</v>
      </c>
      <c r="M1760">
        <v>12</v>
      </c>
    </row>
    <row r="1761" spans="2:13" ht="15" customHeight="1">
      <c r="B1761" t="s">
        <v>3764</v>
      </c>
      <c r="C1761" s="1">
        <v>41072.080000000002</v>
      </c>
      <c r="D1761" s="4">
        <v>40000</v>
      </c>
      <c r="E1761">
        <v>40000</v>
      </c>
      <c r="F1761" t="s">
        <v>86</v>
      </c>
      <c r="G1761">
        <f>tblSalaries[[#This Row],[clean Salary (in local currency)]]*VLOOKUP(tblSalaries[[#This Row],[Currency]],tblXrate[],2,FALSE)</f>
        <v>39334.460921213074</v>
      </c>
      <c r="H1761" t="s">
        <v>1907</v>
      </c>
      <c r="I1761" t="s">
        <v>20</v>
      </c>
      <c r="J1761" t="s">
        <v>88</v>
      </c>
      <c r="K1761" t="str">
        <f>VLOOKUP(tblSalaries[[#This Row],[Where do you work]],tblCountries[[Actual]:[Mapping]],2,FALSE)</f>
        <v>Canada</v>
      </c>
      <c r="L1761" t="s">
        <v>25</v>
      </c>
      <c r="M1761">
        <v>1</v>
      </c>
    </row>
    <row r="1762" spans="2:13" ht="15" customHeight="1">
      <c r="B1762" t="s">
        <v>3765</v>
      </c>
      <c r="C1762" s="1">
        <v>41072.081944444442</v>
      </c>
      <c r="D1762" s="4">
        <v>400000</v>
      </c>
      <c r="E1762">
        <v>400000</v>
      </c>
      <c r="F1762" t="s">
        <v>40</v>
      </c>
      <c r="G1762">
        <f>tblSalaries[[#This Row],[clean Salary (in local currency)]]*VLOOKUP(tblSalaries[[#This Row],[Currency]],tblXrate[],2,FALSE)</f>
        <v>7123.1666749770275</v>
      </c>
      <c r="H1762" t="s">
        <v>42</v>
      </c>
      <c r="I1762" t="s">
        <v>20</v>
      </c>
      <c r="J1762" t="s">
        <v>8</v>
      </c>
      <c r="K1762" t="str">
        <f>VLOOKUP(tblSalaries[[#This Row],[Where do you work]],tblCountries[[Actual]:[Mapping]],2,FALSE)</f>
        <v>India</v>
      </c>
      <c r="L1762" t="s">
        <v>18</v>
      </c>
      <c r="M1762">
        <v>3</v>
      </c>
    </row>
    <row r="1763" spans="2:13" ht="15" customHeight="1">
      <c r="B1763" t="s">
        <v>3766</v>
      </c>
      <c r="C1763" s="1">
        <v>41072.113391203704</v>
      </c>
      <c r="D1763" s="4" t="s">
        <v>1908</v>
      </c>
      <c r="E1763">
        <v>65000</v>
      </c>
      <c r="F1763" t="s">
        <v>6</v>
      </c>
      <c r="G1763">
        <f>tblSalaries[[#This Row],[clean Salary (in local currency)]]*VLOOKUP(tblSalaries[[#This Row],[Currency]],tblXrate[],2,FALSE)</f>
        <v>65000</v>
      </c>
      <c r="H1763" t="s">
        <v>1909</v>
      </c>
      <c r="I1763" t="s">
        <v>20</v>
      </c>
      <c r="J1763" t="s">
        <v>15</v>
      </c>
      <c r="K1763" t="str">
        <f>VLOOKUP(tblSalaries[[#This Row],[Where do you work]],tblCountries[[Actual]:[Mapping]],2,FALSE)</f>
        <v>USA</v>
      </c>
      <c r="L1763" t="s">
        <v>9</v>
      </c>
      <c r="M1763">
        <v>14</v>
      </c>
    </row>
    <row r="1764" spans="2:13" ht="15" customHeight="1">
      <c r="B1764" t="s">
        <v>3767</v>
      </c>
      <c r="C1764" s="1">
        <v>41072.124490740738</v>
      </c>
      <c r="D1764" s="4">
        <v>65000</v>
      </c>
      <c r="E1764">
        <v>65000</v>
      </c>
      <c r="F1764" t="s">
        <v>6</v>
      </c>
      <c r="G1764">
        <f>tblSalaries[[#This Row],[clean Salary (in local currency)]]*VLOOKUP(tblSalaries[[#This Row],[Currency]],tblXrate[],2,FALSE)</f>
        <v>65000</v>
      </c>
      <c r="H1764" t="s">
        <v>153</v>
      </c>
      <c r="I1764" t="s">
        <v>20</v>
      </c>
      <c r="J1764" t="s">
        <v>15</v>
      </c>
      <c r="K1764" t="str">
        <f>VLOOKUP(tblSalaries[[#This Row],[Where do you work]],tblCountries[[Actual]:[Mapping]],2,FALSE)</f>
        <v>USA</v>
      </c>
      <c r="L1764" t="s">
        <v>18</v>
      </c>
      <c r="M1764">
        <v>10</v>
      </c>
    </row>
    <row r="1765" spans="2:13" ht="15" customHeight="1">
      <c r="B1765" t="s">
        <v>3768</v>
      </c>
      <c r="C1765" s="1">
        <v>41072.147534722222</v>
      </c>
      <c r="D1765" s="4">
        <v>65000</v>
      </c>
      <c r="E1765">
        <v>65000</v>
      </c>
      <c r="F1765" t="s">
        <v>6</v>
      </c>
      <c r="G1765">
        <f>tblSalaries[[#This Row],[clean Salary (in local currency)]]*VLOOKUP(tblSalaries[[#This Row],[Currency]],tblXrate[],2,FALSE)</f>
        <v>65000</v>
      </c>
      <c r="H1765" t="s">
        <v>296</v>
      </c>
      <c r="I1765" t="s">
        <v>488</v>
      </c>
      <c r="J1765" t="s">
        <v>15</v>
      </c>
      <c r="K1765" t="str">
        <f>VLOOKUP(tblSalaries[[#This Row],[Where do you work]],tblCountries[[Actual]:[Mapping]],2,FALSE)</f>
        <v>USA</v>
      </c>
      <c r="L1765" t="s">
        <v>18</v>
      </c>
      <c r="M1765">
        <v>13</v>
      </c>
    </row>
    <row r="1766" spans="2:13" ht="15" customHeight="1">
      <c r="B1766" t="s">
        <v>3769</v>
      </c>
      <c r="C1766" s="1">
        <v>41072.156539351854</v>
      </c>
      <c r="D1766" s="4">
        <v>78000</v>
      </c>
      <c r="E1766">
        <v>78000</v>
      </c>
      <c r="F1766" t="s">
        <v>86</v>
      </c>
      <c r="G1766">
        <f>tblSalaries[[#This Row],[clean Salary (in local currency)]]*VLOOKUP(tblSalaries[[#This Row],[Currency]],tblXrate[],2,FALSE)</f>
        <v>76702.198796365497</v>
      </c>
      <c r="H1766" t="s">
        <v>1910</v>
      </c>
      <c r="I1766" t="s">
        <v>20</v>
      </c>
      <c r="J1766" t="s">
        <v>88</v>
      </c>
      <c r="K1766" t="str">
        <f>VLOOKUP(tblSalaries[[#This Row],[Where do you work]],tblCountries[[Actual]:[Mapping]],2,FALSE)</f>
        <v>Canada</v>
      </c>
      <c r="L1766" t="s">
        <v>13</v>
      </c>
      <c r="M1766">
        <v>4</v>
      </c>
    </row>
    <row r="1767" spans="2:13" ht="15" customHeight="1">
      <c r="B1767" t="s">
        <v>3770</v>
      </c>
      <c r="C1767" s="1">
        <v>41072.275138888886</v>
      </c>
      <c r="D1767" s="4">
        <v>63000</v>
      </c>
      <c r="E1767">
        <v>63000</v>
      </c>
      <c r="F1767" t="s">
        <v>6</v>
      </c>
      <c r="G1767">
        <f>tblSalaries[[#This Row],[clean Salary (in local currency)]]*VLOOKUP(tblSalaries[[#This Row],[Currency]],tblXrate[],2,FALSE)</f>
        <v>63000</v>
      </c>
      <c r="H1767" t="s">
        <v>108</v>
      </c>
      <c r="I1767" t="s">
        <v>20</v>
      </c>
      <c r="J1767" t="s">
        <v>15</v>
      </c>
      <c r="K1767" t="str">
        <f>VLOOKUP(tblSalaries[[#This Row],[Where do you work]],tblCountries[[Actual]:[Mapping]],2,FALSE)</f>
        <v>USA</v>
      </c>
      <c r="L1767" t="s">
        <v>13</v>
      </c>
      <c r="M1767">
        <v>10</v>
      </c>
    </row>
    <row r="1768" spans="2:13" ht="15" customHeight="1">
      <c r="B1768" t="s">
        <v>3771</v>
      </c>
      <c r="C1768" s="1">
        <v>41072.358506944445</v>
      </c>
      <c r="D1768" s="4">
        <v>87000</v>
      </c>
      <c r="E1768">
        <v>87000</v>
      </c>
      <c r="F1768" t="s">
        <v>6</v>
      </c>
      <c r="G1768">
        <f>tblSalaries[[#This Row],[clean Salary (in local currency)]]*VLOOKUP(tblSalaries[[#This Row],[Currency]],tblXrate[],2,FALSE)</f>
        <v>87000</v>
      </c>
      <c r="H1768" t="s">
        <v>1911</v>
      </c>
      <c r="I1768" t="s">
        <v>4000</v>
      </c>
      <c r="J1768" t="s">
        <v>15</v>
      </c>
      <c r="K1768" t="str">
        <f>VLOOKUP(tblSalaries[[#This Row],[Where do you work]],tblCountries[[Actual]:[Mapping]],2,FALSE)</f>
        <v>USA</v>
      </c>
      <c r="L1768" t="s">
        <v>9</v>
      </c>
      <c r="M1768">
        <v>3</v>
      </c>
    </row>
    <row r="1769" spans="2:13" ht="15" customHeight="1">
      <c r="B1769" t="s">
        <v>3772</v>
      </c>
      <c r="C1769" s="1">
        <v>41072.365451388891</v>
      </c>
      <c r="D1769" s="4">
        <v>45000</v>
      </c>
      <c r="E1769">
        <v>45000</v>
      </c>
      <c r="F1769" t="s">
        <v>6</v>
      </c>
      <c r="G1769">
        <f>tblSalaries[[#This Row],[clean Salary (in local currency)]]*VLOOKUP(tblSalaries[[#This Row],[Currency]],tblXrate[],2,FALSE)</f>
        <v>45000</v>
      </c>
      <c r="H1769" t="s">
        <v>1912</v>
      </c>
      <c r="I1769" t="s">
        <v>20</v>
      </c>
      <c r="J1769" t="s">
        <v>15</v>
      </c>
      <c r="K1769" t="str">
        <f>VLOOKUP(tblSalaries[[#This Row],[Where do you work]],tblCountries[[Actual]:[Mapping]],2,FALSE)</f>
        <v>USA</v>
      </c>
      <c r="L1769" t="s">
        <v>9</v>
      </c>
      <c r="M1769">
        <v>4</v>
      </c>
    </row>
    <row r="1770" spans="2:13" ht="15" customHeight="1">
      <c r="B1770" t="s">
        <v>3773</v>
      </c>
      <c r="C1770" s="1">
        <v>41072.510949074072</v>
      </c>
      <c r="D1770" s="4">
        <v>85000</v>
      </c>
      <c r="E1770">
        <v>85000</v>
      </c>
      <c r="F1770" t="s">
        <v>6</v>
      </c>
      <c r="G1770">
        <f>tblSalaries[[#This Row],[clean Salary (in local currency)]]*VLOOKUP(tblSalaries[[#This Row],[Currency]],tblXrate[],2,FALSE)</f>
        <v>85000</v>
      </c>
      <c r="H1770" t="s">
        <v>1913</v>
      </c>
      <c r="I1770" t="s">
        <v>20</v>
      </c>
      <c r="J1770" t="s">
        <v>15</v>
      </c>
      <c r="K1770" t="str">
        <f>VLOOKUP(tblSalaries[[#This Row],[Where do you work]],tblCountries[[Actual]:[Mapping]],2,FALSE)</f>
        <v>USA</v>
      </c>
      <c r="L1770" t="s">
        <v>13</v>
      </c>
      <c r="M1770">
        <v>3</v>
      </c>
    </row>
    <row r="1771" spans="2:13" ht="15" customHeight="1">
      <c r="B1771" t="s">
        <v>3774</v>
      </c>
      <c r="C1771" s="1">
        <v>41072.631504629629</v>
      </c>
      <c r="D1771" s="4">
        <v>156000</v>
      </c>
      <c r="E1771">
        <v>156000</v>
      </c>
      <c r="F1771" t="s">
        <v>82</v>
      </c>
      <c r="G1771">
        <f>tblSalaries[[#This Row],[clean Salary (in local currency)]]*VLOOKUP(tblSalaries[[#This Row],[Currency]],tblXrate[],2,FALSE)</f>
        <v>159105.90639881117</v>
      </c>
      <c r="H1771" t="s">
        <v>1914</v>
      </c>
      <c r="I1771" t="s">
        <v>279</v>
      </c>
      <c r="J1771" t="s">
        <v>84</v>
      </c>
      <c r="K1771" t="str">
        <f>VLOOKUP(tblSalaries[[#This Row],[Where do you work]],tblCountries[[Actual]:[Mapping]],2,FALSE)</f>
        <v>Australia</v>
      </c>
      <c r="L1771" t="s">
        <v>18</v>
      </c>
      <c r="M1771">
        <v>12</v>
      </c>
    </row>
    <row r="1772" spans="2:13" ht="15" customHeight="1">
      <c r="B1772" t="s">
        <v>3775</v>
      </c>
      <c r="C1772" s="1">
        <v>41072.665694444448</v>
      </c>
      <c r="D1772" s="4">
        <v>560000</v>
      </c>
      <c r="E1772">
        <v>560000</v>
      </c>
      <c r="F1772" t="s">
        <v>40</v>
      </c>
      <c r="G1772">
        <f>tblSalaries[[#This Row],[clean Salary (in local currency)]]*VLOOKUP(tblSalaries[[#This Row],[Currency]],tblXrate[],2,FALSE)</f>
        <v>9972.4333449678379</v>
      </c>
      <c r="H1772" t="s">
        <v>1915</v>
      </c>
      <c r="I1772" t="s">
        <v>52</v>
      </c>
      <c r="J1772" t="s">
        <v>8</v>
      </c>
      <c r="K1772" t="str">
        <f>VLOOKUP(tblSalaries[[#This Row],[Where do you work]],tblCountries[[Actual]:[Mapping]],2,FALSE)</f>
        <v>India</v>
      </c>
      <c r="L1772" t="s">
        <v>18</v>
      </c>
      <c r="M1772">
        <v>4</v>
      </c>
    </row>
    <row r="1773" spans="2:13" ht="15" customHeight="1">
      <c r="B1773" t="s">
        <v>3776</v>
      </c>
      <c r="C1773" s="1">
        <v>41072.678067129629</v>
      </c>
      <c r="D1773" s="4">
        <v>14000</v>
      </c>
      <c r="E1773">
        <v>14000</v>
      </c>
      <c r="F1773" t="s">
        <v>6</v>
      </c>
      <c r="G1773">
        <f>tblSalaries[[#This Row],[clean Salary (in local currency)]]*VLOOKUP(tblSalaries[[#This Row],[Currency]],tblXrate[],2,FALSE)</f>
        <v>14000</v>
      </c>
      <c r="H1773" t="s">
        <v>52</v>
      </c>
      <c r="I1773" t="s">
        <v>52</v>
      </c>
      <c r="J1773" t="s">
        <v>8</v>
      </c>
      <c r="K1773" t="str">
        <f>VLOOKUP(tblSalaries[[#This Row],[Where do you work]],tblCountries[[Actual]:[Mapping]],2,FALSE)</f>
        <v>India</v>
      </c>
      <c r="L1773" t="s">
        <v>9</v>
      </c>
      <c r="M1773">
        <v>5</v>
      </c>
    </row>
    <row r="1774" spans="2:13" ht="15" customHeight="1">
      <c r="B1774" t="s">
        <v>3777</v>
      </c>
      <c r="C1774" s="1">
        <v>41072.756921296299</v>
      </c>
      <c r="D1774" s="4" t="s">
        <v>1314</v>
      </c>
      <c r="E1774">
        <v>32000</v>
      </c>
      <c r="F1774" t="s">
        <v>69</v>
      </c>
      <c r="G1774">
        <f>tblSalaries[[#This Row],[clean Salary (in local currency)]]*VLOOKUP(tblSalaries[[#This Row],[Currency]],tblXrate[],2,FALSE)</f>
        <v>50437.70470615309</v>
      </c>
      <c r="H1774" t="s">
        <v>207</v>
      </c>
      <c r="I1774" t="s">
        <v>20</v>
      </c>
      <c r="J1774" t="s">
        <v>71</v>
      </c>
      <c r="K1774" t="str">
        <f>VLOOKUP(tblSalaries[[#This Row],[Where do you work]],tblCountries[[Actual]:[Mapping]],2,FALSE)</f>
        <v>UK</v>
      </c>
      <c r="L1774" t="s">
        <v>9</v>
      </c>
      <c r="M1774">
        <v>20</v>
      </c>
    </row>
    <row r="1775" spans="2:13" ht="15" customHeight="1">
      <c r="B1775" t="s">
        <v>3778</v>
      </c>
      <c r="C1775" s="1">
        <v>41072.769895833335</v>
      </c>
      <c r="D1775" s="4">
        <v>32000</v>
      </c>
      <c r="E1775">
        <v>32000</v>
      </c>
      <c r="F1775" t="s">
        <v>69</v>
      </c>
      <c r="G1775">
        <f>tblSalaries[[#This Row],[clean Salary (in local currency)]]*VLOOKUP(tblSalaries[[#This Row],[Currency]],tblXrate[],2,FALSE)</f>
        <v>50437.70470615309</v>
      </c>
      <c r="H1775" t="s">
        <v>14</v>
      </c>
      <c r="I1775" t="s">
        <v>20</v>
      </c>
      <c r="J1775" t="s">
        <v>71</v>
      </c>
      <c r="K1775" t="str">
        <f>VLOOKUP(tblSalaries[[#This Row],[Where do you work]],tblCountries[[Actual]:[Mapping]],2,FALSE)</f>
        <v>UK</v>
      </c>
      <c r="L1775" t="s">
        <v>13</v>
      </c>
      <c r="M1775">
        <v>1</v>
      </c>
    </row>
    <row r="1776" spans="2:13" ht="15" customHeight="1">
      <c r="B1776" t="s">
        <v>3779</v>
      </c>
      <c r="C1776" s="1">
        <v>41072.841249999998</v>
      </c>
      <c r="D1776" s="4">
        <v>8900</v>
      </c>
      <c r="E1776">
        <v>1281600</v>
      </c>
      <c r="F1776" t="s">
        <v>32</v>
      </c>
      <c r="G1776">
        <f>tblSalaries[[#This Row],[clean Salary (in local currency)]]*VLOOKUP(tblSalaries[[#This Row],[Currency]],tblXrate[],2,FALSE)</f>
        <v>13603.016099449767</v>
      </c>
      <c r="H1776" t="s">
        <v>1916</v>
      </c>
      <c r="I1776" t="s">
        <v>52</v>
      </c>
      <c r="J1776" t="s">
        <v>1448</v>
      </c>
      <c r="K1776" t="str">
        <f>VLOOKUP(tblSalaries[[#This Row],[Where do you work]],tblCountries[[Actual]:[Mapping]],2,FALSE)</f>
        <v>Pakistan</v>
      </c>
      <c r="L1776" t="s">
        <v>13</v>
      </c>
      <c r="M1776">
        <v>8</v>
      </c>
    </row>
    <row r="1777" spans="2:13" ht="15" customHeight="1">
      <c r="B1777" t="s">
        <v>3780</v>
      </c>
      <c r="C1777" s="1">
        <v>41072.866354166668</v>
      </c>
      <c r="D1777" s="4" t="s">
        <v>1917</v>
      </c>
      <c r="E1777">
        <v>145000</v>
      </c>
      <c r="F1777" t="s">
        <v>82</v>
      </c>
      <c r="G1777">
        <f>tblSalaries[[#This Row],[clean Salary (in local currency)]]*VLOOKUP(tblSalaries[[#This Row],[Currency]],tblXrate[],2,FALSE)</f>
        <v>147886.90017838217</v>
      </c>
      <c r="H1777" t="s">
        <v>944</v>
      </c>
      <c r="I1777" t="s">
        <v>488</v>
      </c>
      <c r="J1777" t="s">
        <v>84</v>
      </c>
      <c r="K1777" t="str">
        <f>VLOOKUP(tblSalaries[[#This Row],[Where do you work]],tblCountries[[Actual]:[Mapping]],2,FALSE)</f>
        <v>Australia</v>
      </c>
      <c r="L1777" t="s">
        <v>18</v>
      </c>
      <c r="M1777">
        <v>15</v>
      </c>
    </row>
    <row r="1778" spans="2:13" ht="15" customHeight="1">
      <c r="B1778" t="s">
        <v>3781</v>
      </c>
      <c r="C1778" s="1">
        <v>41072.908263888887</v>
      </c>
      <c r="D1778" s="4">
        <v>280000</v>
      </c>
      <c r="E1778">
        <v>280000</v>
      </c>
      <c r="F1778" t="s">
        <v>40</v>
      </c>
      <c r="G1778">
        <f>tblSalaries[[#This Row],[clean Salary (in local currency)]]*VLOOKUP(tblSalaries[[#This Row],[Currency]],tblXrate[],2,FALSE)</f>
        <v>4986.216672483919</v>
      </c>
      <c r="H1778" t="s">
        <v>1918</v>
      </c>
      <c r="I1778" t="s">
        <v>20</v>
      </c>
      <c r="J1778" t="s">
        <v>8</v>
      </c>
      <c r="K1778" t="str">
        <f>VLOOKUP(tblSalaries[[#This Row],[Where do you work]],tblCountries[[Actual]:[Mapping]],2,FALSE)</f>
        <v>India</v>
      </c>
      <c r="L1778" t="s">
        <v>13</v>
      </c>
      <c r="M1778">
        <v>8</v>
      </c>
    </row>
    <row r="1779" spans="2:13" ht="15" customHeight="1">
      <c r="B1779" t="s">
        <v>3782</v>
      </c>
      <c r="C1779" s="1">
        <v>41072.915520833332</v>
      </c>
      <c r="D1779" s="4">
        <v>4800</v>
      </c>
      <c r="E1779">
        <v>4800</v>
      </c>
      <c r="F1779" t="s">
        <v>6</v>
      </c>
      <c r="G1779">
        <f>tblSalaries[[#This Row],[clean Salary (in local currency)]]*VLOOKUP(tblSalaries[[#This Row],[Currency]],tblXrate[],2,FALSE)</f>
        <v>4800</v>
      </c>
      <c r="H1779" t="s">
        <v>1919</v>
      </c>
      <c r="I1779" t="s">
        <v>52</v>
      </c>
      <c r="J1779" t="s">
        <v>8</v>
      </c>
      <c r="K1779" t="str">
        <f>VLOOKUP(tblSalaries[[#This Row],[Where do you work]],tblCountries[[Actual]:[Mapping]],2,FALSE)</f>
        <v>India</v>
      </c>
      <c r="L1779" t="s">
        <v>13</v>
      </c>
      <c r="M1779">
        <v>3</v>
      </c>
    </row>
    <row r="1780" spans="2:13" ht="15" customHeight="1">
      <c r="B1780" t="s">
        <v>3783</v>
      </c>
      <c r="C1780" s="1">
        <v>41073.014050925929</v>
      </c>
      <c r="D1780" s="4" t="s">
        <v>1920</v>
      </c>
      <c r="E1780">
        <v>450000</v>
      </c>
      <c r="F1780" t="s">
        <v>40</v>
      </c>
      <c r="G1780">
        <f>tblSalaries[[#This Row],[clean Salary (in local currency)]]*VLOOKUP(tblSalaries[[#This Row],[Currency]],tblXrate[],2,FALSE)</f>
        <v>8013.5625093491553</v>
      </c>
      <c r="H1780" t="s">
        <v>721</v>
      </c>
      <c r="I1780" t="s">
        <v>3999</v>
      </c>
      <c r="J1780" t="s">
        <v>8</v>
      </c>
      <c r="K1780" t="str">
        <f>VLOOKUP(tblSalaries[[#This Row],[Where do you work]],tblCountries[[Actual]:[Mapping]],2,FALSE)</f>
        <v>India</v>
      </c>
      <c r="L1780" t="s">
        <v>9</v>
      </c>
      <c r="M1780">
        <v>4</v>
      </c>
    </row>
    <row r="1781" spans="2:13" ht="15" customHeight="1">
      <c r="B1781" t="s">
        <v>3784</v>
      </c>
      <c r="C1781" s="1">
        <v>41073.016331018516</v>
      </c>
      <c r="D1781" s="4">
        <v>80000</v>
      </c>
      <c r="E1781">
        <v>80000</v>
      </c>
      <c r="F1781" t="s">
        <v>6</v>
      </c>
      <c r="G1781">
        <f>tblSalaries[[#This Row],[clean Salary (in local currency)]]*VLOOKUP(tblSalaries[[#This Row],[Currency]],tblXrate[],2,FALSE)</f>
        <v>80000</v>
      </c>
      <c r="H1781" t="s">
        <v>1921</v>
      </c>
      <c r="I1781" t="s">
        <v>52</v>
      </c>
      <c r="J1781" t="s">
        <v>15</v>
      </c>
      <c r="K1781" t="str">
        <f>VLOOKUP(tblSalaries[[#This Row],[Where do you work]],tblCountries[[Actual]:[Mapping]],2,FALSE)</f>
        <v>USA</v>
      </c>
      <c r="L1781" t="s">
        <v>9</v>
      </c>
      <c r="M1781">
        <v>2</v>
      </c>
    </row>
    <row r="1782" spans="2:13" ht="15" customHeight="1">
      <c r="B1782" t="s">
        <v>3785</v>
      </c>
      <c r="C1782" s="1">
        <v>41073.025972222225</v>
      </c>
      <c r="D1782" s="4" t="s">
        <v>1268</v>
      </c>
      <c r="E1782">
        <v>45000</v>
      </c>
      <c r="F1782" t="s">
        <v>22</v>
      </c>
      <c r="G1782">
        <f>tblSalaries[[#This Row],[clean Salary (in local currency)]]*VLOOKUP(tblSalaries[[#This Row],[Currency]],tblXrate[],2,FALSE)</f>
        <v>57167.974754622352</v>
      </c>
      <c r="H1782" t="s">
        <v>1922</v>
      </c>
      <c r="I1782" t="s">
        <v>20</v>
      </c>
      <c r="J1782" t="s">
        <v>628</v>
      </c>
      <c r="K1782" t="str">
        <f>VLOOKUP(tblSalaries[[#This Row],[Where do you work]],tblCountries[[Actual]:[Mapping]],2,FALSE)</f>
        <v>Netherlands</v>
      </c>
      <c r="L1782" t="s">
        <v>18</v>
      </c>
      <c r="M1782">
        <v>14</v>
      </c>
    </row>
    <row r="1783" spans="2:13" ht="15" customHeight="1">
      <c r="B1783" t="s">
        <v>3786</v>
      </c>
      <c r="C1783" s="1">
        <v>41073.034953703704</v>
      </c>
      <c r="D1783" s="4">
        <v>20000</v>
      </c>
      <c r="E1783">
        <v>20000</v>
      </c>
      <c r="F1783" t="s">
        <v>6</v>
      </c>
      <c r="G1783">
        <f>tblSalaries[[#This Row],[clean Salary (in local currency)]]*VLOOKUP(tblSalaries[[#This Row],[Currency]],tblXrate[],2,FALSE)</f>
        <v>20000</v>
      </c>
      <c r="H1783" t="s">
        <v>1923</v>
      </c>
      <c r="I1783" t="s">
        <v>20</v>
      </c>
      <c r="J1783" t="s">
        <v>88</v>
      </c>
      <c r="K1783" t="str">
        <f>VLOOKUP(tblSalaries[[#This Row],[Where do you work]],tblCountries[[Actual]:[Mapping]],2,FALSE)</f>
        <v>Canada</v>
      </c>
      <c r="L1783" t="s">
        <v>18</v>
      </c>
      <c r="M1783">
        <v>2</v>
      </c>
    </row>
    <row r="1784" spans="2:13" ht="15" customHeight="1">
      <c r="B1784" t="s">
        <v>3787</v>
      </c>
      <c r="C1784" s="1">
        <v>41073.080821759257</v>
      </c>
      <c r="D1784" s="4">
        <v>70000</v>
      </c>
      <c r="E1784">
        <v>70000</v>
      </c>
      <c r="F1784" t="s">
        <v>6</v>
      </c>
      <c r="G1784">
        <f>tblSalaries[[#This Row],[clean Salary (in local currency)]]*VLOOKUP(tblSalaries[[#This Row],[Currency]],tblXrate[],2,FALSE)</f>
        <v>70000</v>
      </c>
      <c r="H1784" t="s">
        <v>42</v>
      </c>
      <c r="I1784" t="s">
        <v>20</v>
      </c>
      <c r="J1784" t="s">
        <v>15</v>
      </c>
      <c r="K1784" t="str">
        <f>VLOOKUP(tblSalaries[[#This Row],[Where do you work]],tblCountries[[Actual]:[Mapping]],2,FALSE)</f>
        <v>USA</v>
      </c>
      <c r="L1784" t="s">
        <v>18</v>
      </c>
      <c r="M1784">
        <v>5</v>
      </c>
    </row>
    <row r="1785" spans="2:13" ht="15" customHeight="1">
      <c r="B1785" t="s">
        <v>3788</v>
      </c>
      <c r="C1785" s="1">
        <v>41073.141030092593</v>
      </c>
      <c r="D1785" s="4" t="s">
        <v>1924</v>
      </c>
      <c r="E1785">
        <v>214000</v>
      </c>
      <c r="F1785" t="s">
        <v>6</v>
      </c>
      <c r="G1785">
        <f>tblSalaries[[#This Row],[clean Salary (in local currency)]]*VLOOKUP(tblSalaries[[#This Row],[Currency]],tblXrate[],2,FALSE)</f>
        <v>214000</v>
      </c>
      <c r="H1785" t="s">
        <v>1925</v>
      </c>
      <c r="I1785" t="s">
        <v>488</v>
      </c>
      <c r="J1785" t="s">
        <v>15</v>
      </c>
      <c r="K1785" t="str">
        <f>VLOOKUP(tblSalaries[[#This Row],[Where do you work]],tblCountries[[Actual]:[Mapping]],2,FALSE)</f>
        <v>USA</v>
      </c>
      <c r="L1785" t="s">
        <v>13</v>
      </c>
      <c r="M1785">
        <v>20</v>
      </c>
    </row>
    <row r="1786" spans="2:13" ht="15" customHeight="1">
      <c r="B1786" t="s">
        <v>3789</v>
      </c>
      <c r="C1786" s="1">
        <v>41073.158784722225</v>
      </c>
      <c r="D1786" s="4">
        <v>78000</v>
      </c>
      <c r="E1786">
        <v>78000</v>
      </c>
      <c r="F1786" t="s">
        <v>6</v>
      </c>
      <c r="G1786">
        <f>tblSalaries[[#This Row],[clean Salary (in local currency)]]*VLOOKUP(tblSalaries[[#This Row],[Currency]],tblXrate[],2,FALSE)</f>
        <v>78000</v>
      </c>
      <c r="H1786" t="s">
        <v>1926</v>
      </c>
      <c r="I1786" t="s">
        <v>279</v>
      </c>
      <c r="J1786" t="s">
        <v>15</v>
      </c>
      <c r="K1786" t="str">
        <f>VLOOKUP(tblSalaries[[#This Row],[Where do you work]],tblCountries[[Actual]:[Mapping]],2,FALSE)</f>
        <v>USA</v>
      </c>
      <c r="L1786" t="s">
        <v>13</v>
      </c>
      <c r="M1786">
        <v>5</v>
      </c>
    </row>
    <row r="1787" spans="2:13" ht="15" customHeight="1">
      <c r="B1787" t="s">
        <v>3790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>
        <f>tblSalaries[[#This Row],[clean Salary (in local currency)]]*VLOOKUP(tblSalaries[[#This Row],[Currency]],tblXrate[],2,FALSE)</f>
        <v>42307</v>
      </c>
      <c r="H1787" t="s">
        <v>1927</v>
      </c>
      <c r="I1787" t="s">
        <v>20</v>
      </c>
      <c r="J1787" t="s">
        <v>15</v>
      </c>
      <c r="K1787" t="str">
        <f>VLOOKUP(tblSalaries[[#This Row],[Where do you work]],tblCountries[[Actual]:[Mapping]],2,FALSE)</f>
        <v>USA</v>
      </c>
      <c r="L1787" t="s">
        <v>18</v>
      </c>
      <c r="M1787">
        <v>25</v>
      </c>
    </row>
    <row r="1788" spans="2:13" ht="15" customHeight="1">
      <c r="B1788" t="s">
        <v>3791</v>
      </c>
      <c r="C1788" s="1">
        <v>41073.194479166668</v>
      </c>
      <c r="D1788" s="4">
        <v>33250</v>
      </c>
      <c r="E1788">
        <v>33250</v>
      </c>
      <c r="F1788" t="s">
        <v>6</v>
      </c>
      <c r="G1788">
        <f>tblSalaries[[#This Row],[clean Salary (in local currency)]]*VLOOKUP(tblSalaries[[#This Row],[Currency]],tblXrate[],2,FALSE)</f>
        <v>33250</v>
      </c>
      <c r="H1788" t="s">
        <v>1928</v>
      </c>
      <c r="I1788" t="s">
        <v>52</v>
      </c>
      <c r="J1788" t="s">
        <v>15</v>
      </c>
      <c r="K1788" t="str">
        <f>VLOOKUP(tblSalaries[[#This Row],[Where do you work]],tblCountries[[Actual]:[Mapping]],2,FALSE)</f>
        <v>USA</v>
      </c>
      <c r="L1788" t="s">
        <v>13</v>
      </c>
      <c r="M1788">
        <v>20</v>
      </c>
    </row>
    <row r="1789" spans="2:13" ht="15" customHeight="1">
      <c r="B1789" t="s">
        <v>3792</v>
      </c>
      <c r="C1789" s="1">
        <v>41073.222592592596</v>
      </c>
      <c r="D1789" s="4" t="s">
        <v>1929</v>
      </c>
      <c r="E1789">
        <v>19200</v>
      </c>
      <c r="F1789" t="s">
        <v>22</v>
      </c>
      <c r="G1789">
        <f>tblSalaries[[#This Row],[clean Salary (in local currency)]]*VLOOKUP(tblSalaries[[#This Row],[Currency]],tblXrate[],2,FALSE)</f>
        <v>24391.669228638868</v>
      </c>
      <c r="H1789" t="s">
        <v>1930</v>
      </c>
      <c r="I1789" t="s">
        <v>20</v>
      </c>
      <c r="J1789" t="s">
        <v>895</v>
      </c>
      <c r="K1789" t="str">
        <f>VLOOKUP(tblSalaries[[#This Row],[Where do you work]],tblCountries[[Actual]:[Mapping]],2,FALSE)</f>
        <v>Italy</v>
      </c>
      <c r="L1789" t="s">
        <v>9</v>
      </c>
      <c r="M1789">
        <v>10</v>
      </c>
    </row>
    <row r="1790" spans="2:13" ht="15" customHeight="1">
      <c r="B1790" t="s">
        <v>3793</v>
      </c>
      <c r="C1790" s="1">
        <v>41073.263472222221</v>
      </c>
      <c r="D1790" s="4">
        <v>120000</v>
      </c>
      <c r="E1790">
        <v>120000</v>
      </c>
      <c r="F1790" t="s">
        <v>6</v>
      </c>
      <c r="G1790">
        <f>tblSalaries[[#This Row],[clean Salary (in local currency)]]*VLOOKUP(tblSalaries[[#This Row],[Currency]],tblXrate[],2,FALSE)</f>
        <v>120000</v>
      </c>
      <c r="H1790" t="s">
        <v>1931</v>
      </c>
      <c r="I1790" t="s">
        <v>310</v>
      </c>
      <c r="J1790" t="s">
        <v>15</v>
      </c>
      <c r="K1790" t="str">
        <f>VLOOKUP(tblSalaries[[#This Row],[Where do you work]],tblCountries[[Actual]:[Mapping]],2,FALSE)</f>
        <v>USA</v>
      </c>
      <c r="L1790" t="s">
        <v>9</v>
      </c>
      <c r="M1790">
        <v>20</v>
      </c>
    </row>
    <row r="1791" spans="2:13" ht="15" customHeight="1">
      <c r="B1791" t="s">
        <v>3794</v>
      </c>
      <c r="C1791" s="1">
        <v>41073.49895833333</v>
      </c>
      <c r="D1791" s="4">
        <v>20000</v>
      </c>
      <c r="E1791">
        <v>20000</v>
      </c>
      <c r="F1791" t="s">
        <v>6</v>
      </c>
      <c r="G1791">
        <f>tblSalaries[[#This Row],[clean Salary (in local currency)]]*VLOOKUP(tblSalaries[[#This Row],[Currency]],tblXrate[],2,FALSE)</f>
        <v>20000</v>
      </c>
      <c r="H1791" t="s">
        <v>1932</v>
      </c>
      <c r="I1791" t="s">
        <v>20</v>
      </c>
      <c r="J1791" t="s">
        <v>1933</v>
      </c>
      <c r="K1791" t="str">
        <f>VLOOKUP(tblSalaries[[#This Row],[Where do you work]],tblCountries[[Actual]:[Mapping]],2,FALSE)</f>
        <v>Hong Kong</v>
      </c>
      <c r="L1791" t="s">
        <v>25</v>
      </c>
      <c r="M1791">
        <v>1</v>
      </c>
    </row>
    <row r="1792" spans="2:13" ht="15" customHeight="1">
      <c r="B1792" t="s">
        <v>3795</v>
      </c>
      <c r="C1792" s="1">
        <v>41073.72415509259</v>
      </c>
      <c r="D1792" s="4">
        <v>15000</v>
      </c>
      <c r="E1792">
        <v>15000</v>
      </c>
      <c r="F1792" t="s">
        <v>6</v>
      </c>
      <c r="G1792">
        <f>tblSalaries[[#This Row],[clean Salary (in local currency)]]*VLOOKUP(tblSalaries[[#This Row],[Currency]],tblXrate[],2,FALSE)</f>
        <v>15000</v>
      </c>
      <c r="H1792" t="s">
        <v>1002</v>
      </c>
      <c r="I1792" t="s">
        <v>20</v>
      </c>
      <c r="J1792" t="s">
        <v>8</v>
      </c>
      <c r="K1792" t="str">
        <f>VLOOKUP(tblSalaries[[#This Row],[Where do you work]],tblCountries[[Actual]:[Mapping]],2,FALSE)</f>
        <v>India</v>
      </c>
      <c r="L1792" t="s">
        <v>18</v>
      </c>
      <c r="M1792">
        <v>0.3</v>
      </c>
    </row>
    <row r="1793" spans="2:13" ht="15" customHeight="1">
      <c r="B1793" t="s">
        <v>3796</v>
      </c>
      <c r="C1793" s="1">
        <v>41073.767361111109</v>
      </c>
      <c r="D1793" s="4" t="s">
        <v>1934</v>
      </c>
      <c r="E1793">
        <v>1000000</v>
      </c>
      <c r="F1793" t="s">
        <v>40</v>
      </c>
      <c r="G1793">
        <f>tblSalaries[[#This Row],[clean Salary (in local currency)]]*VLOOKUP(tblSalaries[[#This Row],[Currency]],tblXrate[],2,FALSE)</f>
        <v>17807.916687442568</v>
      </c>
      <c r="H1793" t="s">
        <v>1935</v>
      </c>
      <c r="I1793" t="s">
        <v>52</v>
      </c>
      <c r="J1793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>
        <v>10</v>
      </c>
    </row>
    <row r="1794" spans="2:13" ht="15" customHeight="1">
      <c r="B1794" t="s">
        <v>3797</v>
      </c>
      <c r="C1794" s="1">
        <v>41073.805844907409</v>
      </c>
      <c r="D1794" s="4">
        <v>900000</v>
      </c>
      <c r="E1794">
        <v>900000</v>
      </c>
      <c r="F1794" t="s">
        <v>40</v>
      </c>
      <c r="G1794">
        <f>tblSalaries[[#This Row],[clean Salary (in local currency)]]*VLOOKUP(tblSalaries[[#This Row],[Currency]],tblXrate[],2,FALSE)</f>
        <v>16027.125018698311</v>
      </c>
      <c r="H1794" t="s">
        <v>1936</v>
      </c>
      <c r="I1794" t="s">
        <v>52</v>
      </c>
      <c r="J1794" t="s">
        <v>8</v>
      </c>
      <c r="K1794" t="str">
        <f>VLOOKUP(tblSalaries[[#This Row],[Where do you work]],tblCountries[[Actual]:[Mapping]],2,FALSE)</f>
        <v>India</v>
      </c>
      <c r="L1794" t="s">
        <v>18</v>
      </c>
      <c r="M1794">
        <v>6</v>
      </c>
    </row>
    <row r="1795" spans="2:13" ht="15" customHeight="1">
      <c r="B1795" t="s">
        <v>3798</v>
      </c>
      <c r="C1795" s="1">
        <v>41073.815254629626</v>
      </c>
      <c r="D1795" s="4" t="s">
        <v>1937</v>
      </c>
      <c r="E1795">
        <v>36000</v>
      </c>
      <c r="F1795" t="s">
        <v>69</v>
      </c>
      <c r="G1795">
        <f>tblSalaries[[#This Row],[clean Salary (in local currency)]]*VLOOKUP(tblSalaries[[#This Row],[Currency]],tblXrate[],2,FALSE)</f>
        <v>56742.417794422225</v>
      </c>
      <c r="H1795" t="s">
        <v>1938</v>
      </c>
      <c r="I1795" t="s">
        <v>52</v>
      </c>
      <c r="J1795" t="s">
        <v>71</v>
      </c>
      <c r="K1795" t="str">
        <f>VLOOKUP(tblSalaries[[#This Row],[Where do you work]],tblCountries[[Actual]:[Mapping]],2,FALSE)</f>
        <v>UK</v>
      </c>
      <c r="L1795" t="s">
        <v>13</v>
      </c>
      <c r="M1795">
        <v>7</v>
      </c>
    </row>
    <row r="1796" spans="2:13" ht="15" customHeight="1">
      <c r="B1796" t="s">
        <v>3799</v>
      </c>
      <c r="C1796" s="1">
        <v>41073.81962962963</v>
      </c>
      <c r="D1796" s="4">
        <v>1200000</v>
      </c>
      <c r="E1796">
        <v>1200000</v>
      </c>
      <c r="F1796" t="s">
        <v>40</v>
      </c>
      <c r="G1796">
        <f>tblSalaries[[#This Row],[clean Salary (in local currency)]]*VLOOKUP(tblSalaries[[#This Row],[Currency]],tblXrate[],2,FALSE)</f>
        <v>21369.500024931083</v>
      </c>
      <c r="H1796" t="s">
        <v>1939</v>
      </c>
      <c r="I1796" t="s">
        <v>52</v>
      </c>
      <c r="J1796" t="s">
        <v>8</v>
      </c>
      <c r="K1796" t="str">
        <f>VLOOKUP(tblSalaries[[#This Row],[Where do you work]],tblCountries[[Actual]:[Mapping]],2,FALSE)</f>
        <v>India</v>
      </c>
      <c r="L1796" t="s">
        <v>9</v>
      </c>
      <c r="M1796">
        <v>7</v>
      </c>
    </row>
    <row r="1797" spans="2:13" ht="15" customHeight="1">
      <c r="B1797" t="s">
        <v>3800</v>
      </c>
      <c r="C1797" s="1">
        <v>41073.860625000001</v>
      </c>
      <c r="D1797" s="4">
        <v>425000</v>
      </c>
      <c r="E1797">
        <v>425000</v>
      </c>
      <c r="F1797" t="s">
        <v>40</v>
      </c>
      <c r="G1797">
        <f>tblSalaries[[#This Row],[clean Salary (in local currency)]]*VLOOKUP(tblSalaries[[#This Row],[Currency]],tblXrate[],2,FALSE)</f>
        <v>7568.3645921630914</v>
      </c>
      <c r="H1797" t="s">
        <v>932</v>
      </c>
      <c r="I1797" t="s">
        <v>310</v>
      </c>
      <c r="J1797" t="s">
        <v>8</v>
      </c>
      <c r="K1797" t="str">
        <f>VLOOKUP(tblSalaries[[#This Row],[Where do you work]],tblCountries[[Actual]:[Mapping]],2,FALSE)</f>
        <v>India</v>
      </c>
      <c r="L1797" t="s">
        <v>18</v>
      </c>
      <c r="M1797">
        <v>6</v>
      </c>
    </row>
    <row r="1798" spans="2:13" ht="15" customHeight="1">
      <c r="B1798" t="s">
        <v>3801</v>
      </c>
      <c r="C1798" s="1">
        <v>41073.98097222222</v>
      </c>
      <c r="D1798" s="4">
        <v>50000</v>
      </c>
      <c r="E1798">
        <v>50000</v>
      </c>
      <c r="F1798" t="s">
        <v>69</v>
      </c>
      <c r="G1798">
        <f>tblSalaries[[#This Row],[clean Salary (in local currency)]]*VLOOKUP(tblSalaries[[#This Row],[Currency]],tblXrate[],2,FALSE)</f>
        <v>78808.913603364199</v>
      </c>
      <c r="H1798" t="s">
        <v>1621</v>
      </c>
      <c r="I1798" t="s">
        <v>310</v>
      </c>
      <c r="J1798" t="s">
        <v>71</v>
      </c>
      <c r="K1798" t="str">
        <f>VLOOKUP(tblSalaries[[#This Row],[Where do you work]],tblCountries[[Actual]:[Mapping]],2,FALSE)</f>
        <v>UK</v>
      </c>
      <c r="L1798" t="s">
        <v>18</v>
      </c>
      <c r="M1798">
        <v>10</v>
      </c>
    </row>
    <row r="1799" spans="2:13" ht="15" customHeight="1">
      <c r="B1799" t="s">
        <v>3802</v>
      </c>
      <c r="C1799" s="1">
        <v>41074.080011574071</v>
      </c>
      <c r="D1799" s="4">
        <v>60000</v>
      </c>
      <c r="E1799">
        <v>60000</v>
      </c>
      <c r="F1799" t="s">
        <v>6</v>
      </c>
      <c r="G1799">
        <f>tblSalaries[[#This Row],[clean Salary (in local currency)]]*VLOOKUP(tblSalaries[[#This Row],[Currency]],tblXrate[],2,FALSE)</f>
        <v>60000</v>
      </c>
      <c r="H1799" t="s">
        <v>207</v>
      </c>
      <c r="I1799" t="s">
        <v>20</v>
      </c>
      <c r="J1799" t="s">
        <v>15</v>
      </c>
      <c r="K1799" t="str">
        <f>VLOOKUP(tblSalaries[[#This Row],[Where do you work]],tblCountries[[Actual]:[Mapping]],2,FALSE)</f>
        <v>USA</v>
      </c>
      <c r="L1799" t="s">
        <v>9</v>
      </c>
      <c r="M1799">
        <v>15</v>
      </c>
    </row>
    <row r="1800" spans="2:13" ht="15" customHeight="1">
      <c r="B1800" t="s">
        <v>3803</v>
      </c>
      <c r="C1800" s="1">
        <v>41074.114386574074</v>
      </c>
      <c r="D1800" s="4">
        <v>57000</v>
      </c>
      <c r="E1800">
        <v>57000</v>
      </c>
      <c r="F1800" t="s">
        <v>6</v>
      </c>
      <c r="G1800">
        <f>tblSalaries[[#This Row],[clean Salary (in local currency)]]*VLOOKUP(tblSalaries[[#This Row],[Currency]],tblXrate[],2,FALSE)</f>
        <v>57000</v>
      </c>
      <c r="H1800" t="s">
        <v>1369</v>
      </c>
      <c r="I1800" t="s">
        <v>310</v>
      </c>
      <c r="J1800" t="s">
        <v>15</v>
      </c>
      <c r="K1800" t="str">
        <f>VLOOKUP(tblSalaries[[#This Row],[Where do you work]],tblCountries[[Actual]:[Mapping]],2,FALSE)</f>
        <v>USA</v>
      </c>
      <c r="L1800" t="s">
        <v>9</v>
      </c>
      <c r="M1800">
        <v>9</v>
      </c>
    </row>
    <row r="1801" spans="2:13" ht="15" customHeight="1">
      <c r="B1801" t="s">
        <v>3804</v>
      </c>
      <c r="C1801" s="1">
        <v>41074.18236111111</v>
      </c>
      <c r="D1801" s="4">
        <v>40000</v>
      </c>
      <c r="E1801">
        <v>40000</v>
      </c>
      <c r="F1801" t="s">
        <v>6</v>
      </c>
      <c r="G1801">
        <f>tblSalaries[[#This Row],[clean Salary (in local currency)]]*VLOOKUP(tblSalaries[[#This Row],[Currency]],tblXrate[],2,FALSE)</f>
        <v>40000</v>
      </c>
      <c r="H1801" t="s">
        <v>1940</v>
      </c>
      <c r="I1801" t="s">
        <v>20</v>
      </c>
      <c r="J1801" t="s">
        <v>15</v>
      </c>
      <c r="K1801" t="str">
        <f>VLOOKUP(tblSalaries[[#This Row],[Where do you work]],tblCountries[[Actual]:[Mapping]],2,FALSE)</f>
        <v>USA</v>
      </c>
      <c r="L1801" t="s">
        <v>18</v>
      </c>
      <c r="M1801">
        <v>0</v>
      </c>
    </row>
    <row r="1802" spans="2:13" ht="15" customHeight="1">
      <c r="B1802" t="s">
        <v>3805</v>
      </c>
      <c r="C1802" s="1">
        <v>41074.303252314814</v>
      </c>
      <c r="D1802" s="4">
        <v>80000</v>
      </c>
      <c r="E1802">
        <v>80000</v>
      </c>
      <c r="F1802" t="s">
        <v>6</v>
      </c>
      <c r="G1802">
        <f>tblSalaries[[#This Row],[clean Salary (in local currency)]]*VLOOKUP(tblSalaries[[#This Row],[Currency]],tblXrate[],2,FALSE)</f>
        <v>80000</v>
      </c>
      <c r="H1802" t="s">
        <v>1941</v>
      </c>
      <c r="I1802" t="s">
        <v>488</v>
      </c>
      <c r="J1802" t="s">
        <v>15</v>
      </c>
      <c r="K1802" t="str">
        <f>VLOOKUP(tblSalaries[[#This Row],[Where do you work]],tblCountries[[Actual]:[Mapping]],2,FALSE)</f>
        <v>USA</v>
      </c>
      <c r="L1802" t="s">
        <v>9</v>
      </c>
      <c r="M1802">
        <v>9</v>
      </c>
    </row>
    <row r="1803" spans="2:13" ht="15" customHeight="1">
      <c r="B1803" t="s">
        <v>3806</v>
      </c>
      <c r="C1803" s="1">
        <v>41074.519097222219</v>
      </c>
      <c r="D1803" s="4">
        <v>118000</v>
      </c>
      <c r="E1803">
        <v>118000</v>
      </c>
      <c r="F1803" t="s">
        <v>6</v>
      </c>
      <c r="G1803">
        <f>tblSalaries[[#This Row],[clean Salary (in local currency)]]*VLOOKUP(tblSalaries[[#This Row],[Currency]],tblXrate[],2,FALSE)</f>
        <v>118000</v>
      </c>
      <c r="H1803" t="s">
        <v>1741</v>
      </c>
      <c r="I1803" t="s">
        <v>4001</v>
      </c>
      <c r="J1803" t="s">
        <v>15</v>
      </c>
      <c r="K1803" t="str">
        <f>VLOOKUP(tblSalaries[[#This Row],[Where do you work]],tblCountries[[Actual]:[Mapping]],2,FALSE)</f>
        <v>USA</v>
      </c>
      <c r="L1803" t="s">
        <v>9</v>
      </c>
      <c r="M1803">
        <v>6</v>
      </c>
    </row>
    <row r="1804" spans="2:13" ht="15" customHeight="1">
      <c r="B1804" t="s">
        <v>3807</v>
      </c>
      <c r="C1804" s="1">
        <v>41074.589560185188</v>
      </c>
      <c r="D1804" s="4">
        <v>5000</v>
      </c>
      <c r="E1804">
        <v>60000</v>
      </c>
      <c r="F1804" t="s">
        <v>6</v>
      </c>
      <c r="G1804">
        <f>tblSalaries[[#This Row],[clean Salary (in local currency)]]*VLOOKUP(tblSalaries[[#This Row],[Currency]],tblXrate[],2,FALSE)</f>
        <v>60000</v>
      </c>
      <c r="H1804" t="s">
        <v>20</v>
      </c>
      <c r="I1804" t="s">
        <v>20</v>
      </c>
      <c r="J1804" t="s">
        <v>179</v>
      </c>
      <c r="K1804" t="str">
        <f>VLOOKUP(tblSalaries[[#This Row],[Where do you work]],tblCountries[[Actual]:[Mapping]],2,FALSE)</f>
        <v>UAE</v>
      </c>
      <c r="L1804" t="s">
        <v>9</v>
      </c>
      <c r="M1804">
        <v>5</v>
      </c>
    </row>
    <row r="1805" spans="2:13" ht="15" customHeight="1">
      <c r="B1805" t="s">
        <v>3808</v>
      </c>
      <c r="C1805" s="1">
        <v>41074.768796296295</v>
      </c>
      <c r="D1805" s="4">
        <v>560</v>
      </c>
      <c r="E1805">
        <v>6720</v>
      </c>
      <c r="F1805" t="s">
        <v>6</v>
      </c>
      <c r="G1805">
        <f>tblSalaries[[#This Row],[clean Salary (in local currency)]]*VLOOKUP(tblSalaries[[#This Row],[Currency]],tblXrate[],2,FALSE)</f>
        <v>6720</v>
      </c>
      <c r="H1805" t="s">
        <v>1942</v>
      </c>
      <c r="I1805" t="s">
        <v>310</v>
      </c>
      <c r="J1805" t="s">
        <v>8</v>
      </c>
      <c r="K1805" t="str">
        <f>VLOOKUP(tblSalaries[[#This Row],[Where do you work]],tblCountries[[Actual]:[Mapping]],2,FALSE)</f>
        <v>India</v>
      </c>
      <c r="L1805" t="s">
        <v>9</v>
      </c>
      <c r="M1805">
        <v>5</v>
      </c>
    </row>
    <row r="1806" spans="2:13" ht="15" customHeight="1">
      <c r="B1806" t="s">
        <v>3809</v>
      </c>
      <c r="C1806" s="1">
        <v>41074.918807870374</v>
      </c>
      <c r="D1806" s="4">
        <v>1720</v>
      </c>
      <c r="E1806">
        <v>20640</v>
      </c>
      <c r="F1806" t="s">
        <v>6</v>
      </c>
      <c r="G1806">
        <f>tblSalaries[[#This Row],[clean Salary (in local currency)]]*VLOOKUP(tblSalaries[[#This Row],[Currency]],tblXrate[],2,FALSE)</f>
        <v>20640</v>
      </c>
      <c r="H1806" t="s">
        <v>1943</v>
      </c>
      <c r="I1806" t="s">
        <v>52</v>
      </c>
      <c r="J1806" t="s">
        <v>171</v>
      </c>
      <c r="K1806" t="str">
        <f>VLOOKUP(tblSalaries[[#This Row],[Where do you work]],tblCountries[[Actual]:[Mapping]],2,FALSE)</f>
        <v>Singapore</v>
      </c>
      <c r="L1806" t="s">
        <v>9</v>
      </c>
      <c r="M1806">
        <v>3</v>
      </c>
    </row>
    <row r="1807" spans="2:13" ht="15" customHeight="1">
      <c r="B1807" t="s">
        <v>3810</v>
      </c>
      <c r="C1807" s="1">
        <v>41075.024826388886</v>
      </c>
      <c r="D1807" s="4">
        <v>50000</v>
      </c>
      <c r="E1807">
        <v>50000</v>
      </c>
      <c r="F1807" t="s">
        <v>6</v>
      </c>
      <c r="G1807">
        <f>tblSalaries[[#This Row],[clean Salary (in local currency)]]*VLOOKUP(tblSalaries[[#This Row],[Currency]],tblXrate[],2,FALSE)</f>
        <v>50000</v>
      </c>
      <c r="H1807" t="s">
        <v>1944</v>
      </c>
      <c r="I1807" t="s">
        <v>20</v>
      </c>
      <c r="J1807" t="s">
        <v>15</v>
      </c>
      <c r="K1807" t="str">
        <f>VLOOKUP(tblSalaries[[#This Row],[Where do you work]],tblCountries[[Actual]:[Mapping]],2,FALSE)</f>
        <v>USA</v>
      </c>
      <c r="L1807" t="s">
        <v>13</v>
      </c>
      <c r="M1807">
        <v>15</v>
      </c>
    </row>
    <row r="1808" spans="2:13" ht="15" customHeight="1">
      <c r="B1808" t="s">
        <v>3811</v>
      </c>
      <c r="C1808" s="1">
        <v>41075.036550925928</v>
      </c>
      <c r="D1808" s="4">
        <v>2000</v>
      </c>
      <c r="E1808">
        <v>24000</v>
      </c>
      <c r="F1808" t="s">
        <v>6</v>
      </c>
      <c r="G1808">
        <f>tblSalaries[[#This Row],[clean Salary (in local currency)]]*VLOOKUP(tblSalaries[[#This Row],[Currency]],tblXrate[],2,FALSE)</f>
        <v>24000</v>
      </c>
      <c r="H1808" t="s">
        <v>380</v>
      </c>
      <c r="I1808" t="s">
        <v>488</v>
      </c>
      <c r="J1808" t="s">
        <v>65</v>
      </c>
      <c r="K1808" t="str">
        <f>VLOOKUP(tblSalaries[[#This Row],[Where do you work]],tblCountries[[Actual]:[Mapping]],2,FALSE)</f>
        <v>Russia</v>
      </c>
      <c r="L1808" t="s">
        <v>13</v>
      </c>
      <c r="M1808">
        <v>23</v>
      </c>
    </row>
    <row r="1809" spans="2:13" ht="15" customHeight="1">
      <c r="B1809" t="s">
        <v>3812</v>
      </c>
      <c r="C1809" s="1">
        <v>41075.043611111112</v>
      </c>
      <c r="D1809" s="4">
        <v>60000</v>
      </c>
      <c r="E1809">
        <v>60000</v>
      </c>
      <c r="F1809" t="s">
        <v>6</v>
      </c>
      <c r="G1809">
        <f>tblSalaries[[#This Row],[clean Salary (in local currency)]]*VLOOKUP(tblSalaries[[#This Row],[Currency]],tblXrate[],2,FALSE)</f>
        <v>60000</v>
      </c>
      <c r="H1809" t="s">
        <v>207</v>
      </c>
      <c r="I1809" t="s">
        <v>20</v>
      </c>
      <c r="J1809" t="s">
        <v>15</v>
      </c>
      <c r="K1809" t="str">
        <f>VLOOKUP(tblSalaries[[#This Row],[Where do you work]],tblCountries[[Actual]:[Mapping]],2,FALSE)</f>
        <v>USA</v>
      </c>
      <c r="L1809" t="s">
        <v>18</v>
      </c>
      <c r="M1809">
        <v>3</v>
      </c>
    </row>
    <row r="1810" spans="2:13" ht="15" customHeight="1">
      <c r="B1810" t="s">
        <v>3813</v>
      </c>
      <c r="C1810" s="1">
        <v>41075.048715277779</v>
      </c>
      <c r="D1810" s="4">
        <v>37500</v>
      </c>
      <c r="E1810">
        <v>37500</v>
      </c>
      <c r="F1810" t="s">
        <v>6</v>
      </c>
      <c r="G1810">
        <f>tblSalaries[[#This Row],[clean Salary (in local currency)]]*VLOOKUP(tblSalaries[[#This Row],[Currency]],tblXrate[],2,FALSE)</f>
        <v>37500</v>
      </c>
      <c r="H1810" t="s">
        <v>83</v>
      </c>
      <c r="I1810" t="s">
        <v>356</v>
      </c>
      <c r="J1810" t="s">
        <v>8</v>
      </c>
      <c r="K1810" t="str">
        <f>VLOOKUP(tblSalaries[[#This Row],[Where do you work]],tblCountries[[Actual]:[Mapping]],2,FALSE)</f>
        <v>India</v>
      </c>
      <c r="L1810" t="s">
        <v>13</v>
      </c>
      <c r="M1810">
        <v>0</v>
      </c>
    </row>
    <row r="1811" spans="2:13" ht="15" customHeight="1">
      <c r="B1811" t="s">
        <v>3814</v>
      </c>
      <c r="C1811" s="1">
        <v>41075.10050925926</v>
      </c>
      <c r="D1811" s="4">
        <v>40000</v>
      </c>
      <c r="E1811">
        <v>40000</v>
      </c>
      <c r="F1811" t="s">
        <v>6</v>
      </c>
      <c r="G1811">
        <f>tblSalaries[[#This Row],[clean Salary (in local currency)]]*VLOOKUP(tblSalaries[[#This Row],[Currency]],tblXrate[],2,FALSE)</f>
        <v>40000</v>
      </c>
      <c r="H1811" t="s">
        <v>1945</v>
      </c>
      <c r="I1811" t="s">
        <v>67</v>
      </c>
      <c r="J1811" t="s">
        <v>15</v>
      </c>
      <c r="K1811" t="str">
        <f>VLOOKUP(tblSalaries[[#This Row],[Where do you work]],tblCountries[[Actual]:[Mapping]],2,FALSE)</f>
        <v>USA</v>
      </c>
      <c r="L1811" t="s">
        <v>9</v>
      </c>
      <c r="M1811">
        <v>1</v>
      </c>
    </row>
    <row r="1812" spans="2:13" ht="15" customHeight="1">
      <c r="B1812" t="s">
        <v>3815</v>
      </c>
      <c r="C1812" s="1">
        <v>41075.10429398148</v>
      </c>
      <c r="D1812" s="4" t="s">
        <v>1946</v>
      </c>
      <c r="E1812">
        <v>85000</v>
      </c>
      <c r="F1812" t="s">
        <v>6</v>
      </c>
      <c r="G1812">
        <f>tblSalaries[[#This Row],[clean Salary (in local currency)]]*VLOOKUP(tblSalaries[[#This Row],[Currency]],tblXrate[],2,FALSE)</f>
        <v>85000</v>
      </c>
      <c r="H1812" t="s">
        <v>1947</v>
      </c>
      <c r="I1812" t="s">
        <v>4001</v>
      </c>
      <c r="J1812" t="s">
        <v>15</v>
      </c>
      <c r="K1812" t="str">
        <f>VLOOKUP(tblSalaries[[#This Row],[Where do you work]],tblCountries[[Actual]:[Mapping]],2,FALSE)</f>
        <v>USA</v>
      </c>
      <c r="L1812" t="s">
        <v>18</v>
      </c>
      <c r="M1812">
        <v>15</v>
      </c>
    </row>
    <row r="1813" spans="2:13" ht="15" customHeight="1">
      <c r="B1813" t="s">
        <v>3816</v>
      </c>
      <c r="C1813" s="1">
        <v>41075.1250462963</v>
      </c>
      <c r="D1813" s="4">
        <v>30000</v>
      </c>
      <c r="E1813">
        <v>30000</v>
      </c>
      <c r="F1813" t="s">
        <v>6</v>
      </c>
      <c r="G1813">
        <f>tblSalaries[[#This Row],[clean Salary (in local currency)]]*VLOOKUP(tblSalaries[[#This Row],[Currency]],tblXrate[],2,FALSE)</f>
        <v>30000</v>
      </c>
      <c r="H1813" t="s">
        <v>1664</v>
      </c>
      <c r="I1813" t="s">
        <v>20</v>
      </c>
      <c r="J1813" t="s">
        <v>143</v>
      </c>
      <c r="K1813" t="str">
        <f>VLOOKUP(tblSalaries[[#This Row],[Where do you work]],tblCountries[[Actual]:[Mapping]],2,FALSE)</f>
        <v>Brazil</v>
      </c>
      <c r="L1813" t="s">
        <v>18</v>
      </c>
      <c r="M1813">
        <v>1</v>
      </c>
    </row>
    <row r="1814" spans="2:13" ht="15" customHeight="1">
      <c r="B1814" t="s">
        <v>3817</v>
      </c>
      <c r="C1814" s="1">
        <v>41075.160995370374</v>
      </c>
      <c r="D1814" s="4" t="s">
        <v>1948</v>
      </c>
      <c r="E1814">
        <v>33500</v>
      </c>
      <c r="F1814" t="s">
        <v>69</v>
      </c>
      <c r="G1814">
        <f>tblSalaries[[#This Row],[clean Salary (in local currency)]]*VLOOKUP(tblSalaries[[#This Row],[Currency]],tblXrate[],2,FALSE)</f>
        <v>52801.972114254015</v>
      </c>
      <c r="H1814" t="s">
        <v>1949</v>
      </c>
      <c r="I1814" t="s">
        <v>279</v>
      </c>
      <c r="J1814" t="s">
        <v>71</v>
      </c>
      <c r="K1814" t="str">
        <f>VLOOKUP(tblSalaries[[#This Row],[Where do you work]],tblCountries[[Actual]:[Mapping]],2,FALSE)</f>
        <v>UK</v>
      </c>
      <c r="L1814" t="s">
        <v>18</v>
      </c>
      <c r="M1814">
        <v>7</v>
      </c>
    </row>
    <row r="1815" spans="2:13" ht="15" customHeight="1">
      <c r="B1815" t="s">
        <v>3818</v>
      </c>
      <c r="C1815" s="1">
        <v>41075.239236111112</v>
      </c>
      <c r="D1815" s="4">
        <v>29000</v>
      </c>
      <c r="E1815">
        <v>29000</v>
      </c>
      <c r="F1815" t="s">
        <v>6</v>
      </c>
      <c r="G1815">
        <f>tblSalaries[[#This Row],[clean Salary (in local currency)]]*VLOOKUP(tblSalaries[[#This Row],[Currency]],tblXrate[],2,FALSE)</f>
        <v>29000</v>
      </c>
      <c r="H1815" t="s">
        <v>1950</v>
      </c>
      <c r="I1815" t="s">
        <v>279</v>
      </c>
      <c r="J1815" t="s">
        <v>15</v>
      </c>
      <c r="K1815" t="str">
        <f>VLOOKUP(tblSalaries[[#This Row],[Where do you work]],tblCountries[[Actual]:[Mapping]],2,FALSE)</f>
        <v>USA</v>
      </c>
      <c r="L1815" t="s">
        <v>13</v>
      </c>
      <c r="M1815">
        <v>1</v>
      </c>
    </row>
    <row r="1816" spans="2:13" ht="15" customHeight="1">
      <c r="B1816" t="s">
        <v>3819</v>
      </c>
      <c r="C1816" s="1">
        <v>41075.375092592592</v>
      </c>
      <c r="D1816" s="4">
        <v>48000</v>
      </c>
      <c r="E1816">
        <v>48000</v>
      </c>
      <c r="F1816" t="s">
        <v>6</v>
      </c>
      <c r="G1816">
        <f>tblSalaries[[#This Row],[clean Salary (in local currency)]]*VLOOKUP(tblSalaries[[#This Row],[Currency]],tblXrate[],2,FALSE)</f>
        <v>48000</v>
      </c>
      <c r="H1816" t="s">
        <v>310</v>
      </c>
      <c r="I1816" t="s">
        <v>310</v>
      </c>
      <c r="J1816" t="s">
        <v>15</v>
      </c>
      <c r="K1816" t="str">
        <f>VLOOKUP(tblSalaries[[#This Row],[Where do you work]],tblCountries[[Actual]:[Mapping]],2,FALSE)</f>
        <v>USA</v>
      </c>
      <c r="L1816" t="s">
        <v>9</v>
      </c>
      <c r="M1816">
        <v>1</v>
      </c>
    </row>
    <row r="1817" spans="2:13" ht="15" customHeight="1">
      <c r="B1817" t="s">
        <v>3820</v>
      </c>
      <c r="C1817" s="1">
        <v>41075.375960648147</v>
      </c>
      <c r="D1817" s="4">
        <v>48000</v>
      </c>
      <c r="E1817">
        <v>48000</v>
      </c>
      <c r="F1817" t="s">
        <v>6</v>
      </c>
      <c r="G1817">
        <f>tblSalaries[[#This Row],[clean Salary (in local currency)]]*VLOOKUP(tblSalaries[[#This Row],[Currency]],tblXrate[],2,FALSE)</f>
        <v>48000</v>
      </c>
      <c r="H1817" t="s">
        <v>310</v>
      </c>
      <c r="I1817" t="s">
        <v>310</v>
      </c>
      <c r="J1817" t="s">
        <v>15</v>
      </c>
      <c r="K1817" t="str">
        <f>VLOOKUP(tblSalaries[[#This Row],[Where do you work]],tblCountries[[Actual]:[Mapping]],2,FALSE)</f>
        <v>USA</v>
      </c>
      <c r="L1817" t="s">
        <v>9</v>
      </c>
      <c r="M1817">
        <v>1</v>
      </c>
    </row>
    <row r="1818" spans="2:13" ht="15" customHeight="1">
      <c r="B1818" t="s">
        <v>3821</v>
      </c>
      <c r="C1818" s="1">
        <v>41075.629988425928</v>
      </c>
      <c r="D1818" s="4">
        <v>700</v>
      </c>
      <c r="E1818">
        <v>8400</v>
      </c>
      <c r="F1818" t="s">
        <v>6</v>
      </c>
      <c r="G1818">
        <f>tblSalaries[[#This Row],[clean Salary (in local currency)]]*VLOOKUP(tblSalaries[[#This Row],[Currency]],tblXrate[],2,FALSE)</f>
        <v>8400</v>
      </c>
      <c r="H1818" t="s">
        <v>20</v>
      </c>
      <c r="I1818" t="s">
        <v>20</v>
      </c>
      <c r="J1818" t="s">
        <v>1951</v>
      </c>
      <c r="K1818" t="str">
        <f>VLOOKUP(tblSalaries[[#This Row],[Where do you work]],tblCountries[[Actual]:[Mapping]],2,FALSE)</f>
        <v>Baltic</v>
      </c>
      <c r="L1818" t="s">
        <v>13</v>
      </c>
      <c r="M1818">
        <v>0.3</v>
      </c>
    </row>
    <row r="1819" spans="2:13" ht="15" customHeight="1">
      <c r="B1819" t="s">
        <v>3822</v>
      </c>
      <c r="C1819" s="1">
        <v>41075.655347222222</v>
      </c>
      <c r="D1819" s="4">
        <v>270000</v>
      </c>
      <c r="E1819">
        <v>270000</v>
      </c>
      <c r="F1819" t="s">
        <v>40</v>
      </c>
      <c r="G1819">
        <f>tblSalaries[[#This Row],[clean Salary (in local currency)]]*VLOOKUP(tblSalaries[[#This Row],[Currency]],tblXrate[],2,FALSE)</f>
        <v>4808.137505609493</v>
      </c>
      <c r="H1819" t="s">
        <v>91</v>
      </c>
      <c r="I1819" t="s">
        <v>52</v>
      </c>
      <c r="J1819" t="s">
        <v>8</v>
      </c>
      <c r="K1819" t="str">
        <f>VLOOKUP(tblSalaries[[#This Row],[Where do you work]],tblCountries[[Actual]:[Mapping]],2,FALSE)</f>
        <v>India</v>
      </c>
      <c r="L1819" t="s">
        <v>18</v>
      </c>
      <c r="M1819">
        <v>5</v>
      </c>
    </row>
    <row r="1820" spans="2:13" ht="15" customHeight="1">
      <c r="B1820" t="s">
        <v>3823</v>
      </c>
      <c r="C1820" s="1">
        <v>41075.692210648151</v>
      </c>
      <c r="D1820" s="4">
        <v>1400000</v>
      </c>
      <c r="E1820">
        <v>1400000</v>
      </c>
      <c r="F1820" t="s">
        <v>40</v>
      </c>
      <c r="G1820">
        <f>tblSalaries[[#This Row],[clean Salary (in local currency)]]*VLOOKUP(tblSalaries[[#This Row],[Currency]],tblXrate[],2,FALSE)</f>
        <v>24931.083362419595</v>
      </c>
      <c r="H1820" t="s">
        <v>1952</v>
      </c>
      <c r="I1820" t="s">
        <v>52</v>
      </c>
      <c r="J1820" t="s">
        <v>8</v>
      </c>
      <c r="K1820" t="str">
        <f>VLOOKUP(tblSalaries[[#This Row],[Where do you work]],tblCountries[[Actual]:[Mapping]],2,FALSE)</f>
        <v>India</v>
      </c>
      <c r="L1820" t="s">
        <v>9</v>
      </c>
      <c r="M1820">
        <v>10</v>
      </c>
    </row>
    <row r="1821" spans="2:13" ht="15" customHeight="1">
      <c r="B1821" t="s">
        <v>3824</v>
      </c>
      <c r="C1821" s="1">
        <v>41075.719664351855</v>
      </c>
      <c r="D1821" s="4" t="s">
        <v>873</v>
      </c>
      <c r="E1821">
        <v>700000</v>
      </c>
      <c r="F1821" t="s">
        <v>40</v>
      </c>
      <c r="G1821">
        <f>tblSalaries[[#This Row],[clean Salary (in local currency)]]*VLOOKUP(tblSalaries[[#This Row],[Currency]],tblXrate[],2,FALSE)</f>
        <v>12465.541681209797</v>
      </c>
      <c r="H1821" t="s">
        <v>1953</v>
      </c>
      <c r="I1821" t="s">
        <v>20</v>
      </c>
      <c r="J1821" t="s">
        <v>8</v>
      </c>
      <c r="K1821" t="str">
        <f>VLOOKUP(tblSalaries[[#This Row],[Where do you work]],tblCountries[[Actual]:[Mapping]],2,FALSE)</f>
        <v>India</v>
      </c>
      <c r="L1821" t="s">
        <v>18</v>
      </c>
      <c r="M1821">
        <v>4</v>
      </c>
    </row>
    <row r="1822" spans="2:13" ht="15" customHeight="1">
      <c r="B1822" t="s">
        <v>3825</v>
      </c>
      <c r="C1822" s="1">
        <v>41075.73300925926</v>
      </c>
      <c r="D1822" s="4">
        <v>20000</v>
      </c>
      <c r="E1822">
        <v>20000</v>
      </c>
      <c r="F1822" t="s">
        <v>69</v>
      </c>
      <c r="G1822">
        <f>tblSalaries[[#This Row],[clean Salary (in local currency)]]*VLOOKUP(tblSalaries[[#This Row],[Currency]],tblXrate[],2,FALSE)</f>
        <v>31523.565441345683</v>
      </c>
      <c r="H1822" t="s">
        <v>310</v>
      </c>
      <c r="I1822" t="s">
        <v>310</v>
      </c>
      <c r="J1822" t="s">
        <v>71</v>
      </c>
      <c r="K1822" t="str">
        <f>VLOOKUP(tblSalaries[[#This Row],[Where do you work]],tblCountries[[Actual]:[Mapping]],2,FALSE)</f>
        <v>UK</v>
      </c>
      <c r="L1822" t="s">
        <v>18</v>
      </c>
      <c r="M1822">
        <v>10</v>
      </c>
    </row>
    <row r="1823" spans="2:13" ht="15" customHeight="1">
      <c r="B1823" t="s">
        <v>3826</v>
      </c>
      <c r="C1823" s="1">
        <v>41075.733449074076</v>
      </c>
      <c r="D1823" s="4" t="s">
        <v>395</v>
      </c>
      <c r="E1823">
        <v>1000000</v>
      </c>
      <c r="F1823" t="s">
        <v>40</v>
      </c>
      <c r="G1823">
        <f>tblSalaries[[#This Row],[clean Salary (in local currency)]]*VLOOKUP(tblSalaries[[#This Row],[Currency]],tblXrate[],2,FALSE)</f>
        <v>17807.916687442568</v>
      </c>
      <c r="H1823" t="s">
        <v>1954</v>
      </c>
      <c r="I1823" t="s">
        <v>52</v>
      </c>
      <c r="J1823" t="s">
        <v>8</v>
      </c>
      <c r="K1823" t="str">
        <f>VLOOKUP(tblSalaries[[#This Row],[Where do you work]],tblCountries[[Actual]:[Mapping]],2,FALSE)</f>
        <v>India</v>
      </c>
      <c r="L1823" t="s">
        <v>13</v>
      </c>
      <c r="M1823">
        <v>10</v>
      </c>
    </row>
    <row r="1824" spans="2:13" ht="15" customHeight="1">
      <c r="B1824" t="s">
        <v>3827</v>
      </c>
      <c r="C1824" s="1">
        <v>41075.759166666663</v>
      </c>
      <c r="D1824" s="4">
        <v>112000</v>
      </c>
      <c r="E1824">
        <v>112000</v>
      </c>
      <c r="F1824" t="s">
        <v>6</v>
      </c>
      <c r="G1824">
        <f>tblSalaries[[#This Row],[clean Salary (in local currency)]]*VLOOKUP(tblSalaries[[#This Row],[Currency]],tblXrate[],2,FALSE)</f>
        <v>112000</v>
      </c>
      <c r="H1824" t="s">
        <v>635</v>
      </c>
      <c r="I1824" t="s">
        <v>52</v>
      </c>
      <c r="J1824" t="s">
        <v>15</v>
      </c>
      <c r="K1824" t="str">
        <f>VLOOKUP(tblSalaries[[#This Row],[Where do you work]],tblCountries[[Actual]:[Mapping]],2,FALSE)</f>
        <v>USA</v>
      </c>
      <c r="L1824" t="s">
        <v>18</v>
      </c>
      <c r="M1824">
        <v>8</v>
      </c>
    </row>
    <row r="1825" spans="2:13" ht="15" customHeight="1">
      <c r="B1825" t="s">
        <v>3828</v>
      </c>
      <c r="C1825" s="1">
        <v>41075.833634259259</v>
      </c>
      <c r="D1825" s="4">
        <v>11000</v>
      </c>
      <c r="E1825">
        <v>11000</v>
      </c>
      <c r="F1825" t="s">
        <v>6</v>
      </c>
      <c r="G1825">
        <f>tblSalaries[[#This Row],[clean Salary (in local currency)]]*VLOOKUP(tblSalaries[[#This Row],[Currency]],tblXrate[],2,FALSE)</f>
        <v>11000</v>
      </c>
      <c r="H1825" t="s">
        <v>1939</v>
      </c>
      <c r="I1825" t="s">
        <v>52</v>
      </c>
      <c r="J1825" t="s">
        <v>8</v>
      </c>
      <c r="K1825" t="str">
        <f>VLOOKUP(tblSalaries[[#This Row],[Where do you work]],tblCountries[[Actual]:[Mapping]],2,FALSE)</f>
        <v>India</v>
      </c>
      <c r="L1825" t="s">
        <v>13</v>
      </c>
      <c r="M1825">
        <v>8</v>
      </c>
    </row>
    <row r="1826" spans="2:13" ht="15" customHeight="1">
      <c r="B1826" t="s">
        <v>3829</v>
      </c>
      <c r="C1826" s="1">
        <v>41075.868622685186</v>
      </c>
      <c r="D1826" s="4" t="s">
        <v>1955</v>
      </c>
      <c r="E1826">
        <v>90000</v>
      </c>
      <c r="F1826" t="s">
        <v>22</v>
      </c>
      <c r="G1826">
        <f>tblSalaries[[#This Row],[clean Salary (in local currency)]]*VLOOKUP(tblSalaries[[#This Row],[Currency]],tblXrate[],2,FALSE)</f>
        <v>114335.9495092447</v>
      </c>
      <c r="H1826" t="s">
        <v>488</v>
      </c>
      <c r="I1826" t="s">
        <v>488</v>
      </c>
      <c r="J1826" t="s">
        <v>1956</v>
      </c>
      <c r="K1826" t="str">
        <f>VLOOKUP(tblSalaries[[#This Row],[Where do you work]],tblCountries[[Actual]:[Mapping]],2,FALSE)</f>
        <v>Europe</v>
      </c>
      <c r="L1826" t="s">
        <v>18</v>
      </c>
      <c r="M1826">
        <v>20</v>
      </c>
    </row>
    <row r="1827" spans="2:13" ht="15" customHeight="1">
      <c r="B1827" t="s">
        <v>3830</v>
      </c>
      <c r="C1827" s="1">
        <v>41075.897407407407</v>
      </c>
      <c r="D1827" s="4" t="s">
        <v>1957</v>
      </c>
      <c r="E1827">
        <v>16110</v>
      </c>
      <c r="F1827" t="s">
        <v>6</v>
      </c>
      <c r="G1827">
        <f>tblSalaries[[#This Row],[clean Salary (in local currency)]]*VLOOKUP(tblSalaries[[#This Row],[Currency]],tblXrate[],2,FALSE)</f>
        <v>16110</v>
      </c>
      <c r="H1827" t="s">
        <v>1958</v>
      </c>
      <c r="I1827" t="s">
        <v>20</v>
      </c>
      <c r="J1827" t="s">
        <v>1959</v>
      </c>
      <c r="K1827" t="str">
        <f>VLOOKUP(tblSalaries[[#This Row],[Where do you work]],tblCountries[[Actual]:[Mapping]],2,FALSE)</f>
        <v>Colombia</v>
      </c>
      <c r="L1827" t="s">
        <v>13</v>
      </c>
      <c r="M1827">
        <v>10</v>
      </c>
    </row>
    <row r="1828" spans="2:13" ht="15" customHeight="1">
      <c r="B1828" t="s">
        <v>3831</v>
      </c>
      <c r="C1828" s="1">
        <v>41075.942187499997</v>
      </c>
      <c r="D1828" s="4">
        <v>72000</v>
      </c>
      <c r="E1828">
        <v>72000</v>
      </c>
      <c r="F1828" t="s">
        <v>6</v>
      </c>
      <c r="G1828">
        <f>tblSalaries[[#This Row],[clean Salary (in local currency)]]*VLOOKUP(tblSalaries[[#This Row],[Currency]],tblXrate[],2,FALSE)</f>
        <v>72000</v>
      </c>
      <c r="H1828" t="s">
        <v>1960</v>
      </c>
      <c r="I1828" t="s">
        <v>52</v>
      </c>
      <c r="J1828" t="s">
        <v>15</v>
      </c>
      <c r="K1828" t="str">
        <f>VLOOKUP(tblSalaries[[#This Row],[Where do you work]],tblCountries[[Actual]:[Mapping]],2,FALSE)</f>
        <v>USA</v>
      </c>
      <c r="L1828" t="s">
        <v>9</v>
      </c>
      <c r="M1828">
        <v>10</v>
      </c>
    </row>
    <row r="1829" spans="2:13" ht="15" customHeight="1">
      <c r="B1829" t="s">
        <v>3832</v>
      </c>
      <c r="C1829" s="1">
        <v>41075.972916666666</v>
      </c>
      <c r="D1829" s="4">
        <v>60000</v>
      </c>
      <c r="E1829">
        <v>60000</v>
      </c>
      <c r="F1829" t="s">
        <v>6</v>
      </c>
      <c r="G1829">
        <f>tblSalaries[[#This Row],[clean Salary (in local currency)]]*VLOOKUP(tblSalaries[[#This Row],[Currency]],tblXrate[],2,FALSE)</f>
        <v>60000</v>
      </c>
      <c r="H1829" t="s">
        <v>1961</v>
      </c>
      <c r="I1829" t="s">
        <v>20</v>
      </c>
      <c r="J1829" t="s">
        <v>15</v>
      </c>
      <c r="K1829" t="str">
        <f>VLOOKUP(tblSalaries[[#This Row],[Where do you work]],tblCountries[[Actual]:[Mapping]],2,FALSE)</f>
        <v>USA</v>
      </c>
      <c r="L1829" t="s">
        <v>13</v>
      </c>
      <c r="M1829">
        <v>10</v>
      </c>
    </row>
    <row r="1830" spans="2:13" ht="15" customHeight="1">
      <c r="B1830" t="s">
        <v>3833</v>
      </c>
      <c r="C1830" s="1">
        <v>41075.99318287037</v>
      </c>
      <c r="D1830" s="4">
        <v>67000</v>
      </c>
      <c r="E1830">
        <v>67000</v>
      </c>
      <c r="F1830" t="s">
        <v>6</v>
      </c>
      <c r="G1830">
        <f>tblSalaries[[#This Row],[clean Salary (in local currency)]]*VLOOKUP(tblSalaries[[#This Row],[Currency]],tblXrate[],2,FALSE)</f>
        <v>67000</v>
      </c>
      <c r="H1830" t="s">
        <v>1962</v>
      </c>
      <c r="I1830" t="s">
        <v>20</v>
      </c>
      <c r="J1830" t="s">
        <v>15</v>
      </c>
      <c r="K1830" t="str">
        <f>VLOOKUP(tblSalaries[[#This Row],[Where do you work]],tblCountries[[Actual]:[Mapping]],2,FALSE)</f>
        <v>USA</v>
      </c>
      <c r="L1830" t="s">
        <v>9</v>
      </c>
      <c r="M1830">
        <v>6</v>
      </c>
    </row>
    <row r="1831" spans="2:13" ht="15" customHeight="1">
      <c r="B1831" t="s">
        <v>3834</v>
      </c>
      <c r="C1831" s="1">
        <v>41076.118622685186</v>
      </c>
      <c r="D1831" s="4">
        <v>54000</v>
      </c>
      <c r="E1831">
        <v>54000</v>
      </c>
      <c r="F1831" t="s">
        <v>6</v>
      </c>
      <c r="G1831">
        <f>tblSalaries[[#This Row],[clean Salary (in local currency)]]*VLOOKUP(tblSalaries[[#This Row],[Currency]],tblXrate[],2,FALSE)</f>
        <v>54000</v>
      </c>
      <c r="H1831" t="s">
        <v>1963</v>
      </c>
      <c r="I1831" t="s">
        <v>20</v>
      </c>
      <c r="J1831" t="s">
        <v>15</v>
      </c>
      <c r="K1831" t="str">
        <f>VLOOKUP(tblSalaries[[#This Row],[Where do you work]],tblCountries[[Actual]:[Mapping]],2,FALSE)</f>
        <v>USA</v>
      </c>
      <c r="L1831" t="s">
        <v>9</v>
      </c>
      <c r="M1831">
        <v>18</v>
      </c>
    </row>
    <row r="1832" spans="2:13" ht="15" customHeight="1">
      <c r="B1832" t="s">
        <v>3835</v>
      </c>
      <c r="C1832" s="1">
        <v>41076.224340277775</v>
      </c>
      <c r="D1832" s="4">
        <v>38666</v>
      </c>
      <c r="E1832">
        <v>38666</v>
      </c>
      <c r="F1832" t="s">
        <v>6</v>
      </c>
      <c r="G1832">
        <f>tblSalaries[[#This Row],[clean Salary (in local currency)]]*VLOOKUP(tblSalaries[[#This Row],[Currency]],tblXrate[],2,FALSE)</f>
        <v>38666</v>
      </c>
      <c r="H1832" t="s">
        <v>1964</v>
      </c>
      <c r="I1832" t="s">
        <v>67</v>
      </c>
      <c r="J1832" t="s">
        <v>48</v>
      </c>
      <c r="K1832" t="str">
        <f>VLOOKUP(tblSalaries[[#This Row],[Where do you work]],tblCountries[[Actual]:[Mapping]],2,FALSE)</f>
        <v>South Africa</v>
      </c>
      <c r="L1832" t="s">
        <v>13</v>
      </c>
      <c r="M1832">
        <v>10</v>
      </c>
    </row>
    <row r="1833" spans="2:13" ht="15" customHeight="1">
      <c r="B1833" t="s">
        <v>3836</v>
      </c>
      <c r="C1833" s="1">
        <v>41076.262418981481</v>
      </c>
      <c r="D1833" s="4">
        <v>63000</v>
      </c>
      <c r="E1833">
        <v>63000</v>
      </c>
      <c r="F1833" t="s">
        <v>6</v>
      </c>
      <c r="G1833">
        <f>tblSalaries[[#This Row],[clean Salary (in local currency)]]*VLOOKUP(tblSalaries[[#This Row],[Currency]],tblXrate[],2,FALSE)</f>
        <v>63000</v>
      </c>
      <c r="H1833" t="s">
        <v>1965</v>
      </c>
      <c r="I1833" t="s">
        <v>20</v>
      </c>
      <c r="J1833" t="s">
        <v>15</v>
      </c>
      <c r="K1833" t="str">
        <f>VLOOKUP(tblSalaries[[#This Row],[Where do you work]],tblCountries[[Actual]:[Mapping]],2,FALSE)</f>
        <v>USA</v>
      </c>
      <c r="L1833" t="s">
        <v>9</v>
      </c>
      <c r="M1833">
        <v>6</v>
      </c>
    </row>
    <row r="1834" spans="2:13" ht="15" customHeight="1">
      <c r="B1834" t="s">
        <v>3837</v>
      </c>
      <c r="C1834" s="1">
        <v>41076.340960648151</v>
      </c>
      <c r="D1834" s="4" t="s">
        <v>423</v>
      </c>
      <c r="E1834">
        <v>63000</v>
      </c>
      <c r="F1834" t="s">
        <v>6</v>
      </c>
      <c r="G1834">
        <f>tblSalaries[[#This Row],[clean Salary (in local currency)]]*VLOOKUP(tblSalaries[[#This Row],[Currency]],tblXrate[],2,FALSE)</f>
        <v>63000</v>
      </c>
      <c r="H1834" t="s">
        <v>14</v>
      </c>
      <c r="I1834" t="s">
        <v>20</v>
      </c>
      <c r="J1834" t="s">
        <v>15</v>
      </c>
      <c r="K1834" t="str">
        <f>VLOOKUP(tblSalaries[[#This Row],[Where do you work]],tblCountries[[Actual]:[Mapping]],2,FALSE)</f>
        <v>USA</v>
      </c>
      <c r="L1834" t="s">
        <v>13</v>
      </c>
      <c r="M1834">
        <v>1</v>
      </c>
    </row>
    <row r="1835" spans="2:13" ht="15" customHeight="1">
      <c r="B1835" t="s">
        <v>3838</v>
      </c>
      <c r="C1835" s="1">
        <v>41076.590868055559</v>
      </c>
      <c r="D1835" s="4" t="s">
        <v>1966</v>
      </c>
      <c r="E1835">
        <v>360000</v>
      </c>
      <c r="F1835" t="s">
        <v>40</v>
      </c>
      <c r="G1835">
        <f>tblSalaries[[#This Row],[clean Salary (in local currency)]]*VLOOKUP(tblSalaries[[#This Row],[Currency]],tblXrate[],2,FALSE)</f>
        <v>6410.8500074793246</v>
      </c>
      <c r="H1835" t="s">
        <v>20</v>
      </c>
      <c r="I1835" t="s">
        <v>20</v>
      </c>
      <c r="J1835" t="s">
        <v>8</v>
      </c>
      <c r="K1835" t="str">
        <f>VLOOKUP(tblSalaries[[#This Row],[Where do you work]],tblCountries[[Actual]:[Mapping]],2,FALSE)</f>
        <v>India</v>
      </c>
      <c r="L1835" t="s">
        <v>13</v>
      </c>
      <c r="M1835">
        <v>2</v>
      </c>
    </row>
    <row r="1836" spans="2:13" ht="15" customHeight="1">
      <c r="B1836" t="s">
        <v>3839</v>
      </c>
      <c r="C1836" s="1">
        <v>41076.71371527778</v>
      </c>
      <c r="D1836" s="4" t="s">
        <v>1967</v>
      </c>
      <c r="E1836">
        <v>600000</v>
      </c>
      <c r="F1836" t="s">
        <v>40</v>
      </c>
      <c r="G1836">
        <f>tblSalaries[[#This Row],[clean Salary (in local currency)]]*VLOOKUP(tblSalaries[[#This Row],[Currency]],tblXrate[],2,FALSE)</f>
        <v>10684.750012465542</v>
      </c>
      <c r="H1836" t="s">
        <v>1968</v>
      </c>
      <c r="I1836" t="s">
        <v>52</v>
      </c>
      <c r="J1836" t="s">
        <v>8</v>
      </c>
      <c r="K1836" t="str">
        <f>VLOOKUP(tblSalaries[[#This Row],[Where do you work]],tblCountries[[Actual]:[Mapping]],2,FALSE)</f>
        <v>India</v>
      </c>
      <c r="L1836" t="s">
        <v>9</v>
      </c>
      <c r="M1836">
        <v>12</v>
      </c>
    </row>
    <row r="1837" spans="2:13" ht="15" customHeight="1">
      <c r="B1837" t="s">
        <v>3840</v>
      </c>
      <c r="C1837" s="1">
        <v>41076.718090277776</v>
      </c>
      <c r="D1837" s="4">
        <v>40000</v>
      </c>
      <c r="E1837">
        <v>40000</v>
      </c>
      <c r="F1837" t="s">
        <v>6</v>
      </c>
      <c r="G1837">
        <f>tblSalaries[[#This Row],[clean Salary (in local currency)]]*VLOOKUP(tblSalaries[[#This Row],[Currency]],tblXrate[],2,FALSE)</f>
        <v>40000</v>
      </c>
      <c r="H1837" t="s">
        <v>1022</v>
      </c>
      <c r="I1837" t="s">
        <v>52</v>
      </c>
      <c r="J1837" t="s">
        <v>8</v>
      </c>
      <c r="K1837" t="str">
        <f>VLOOKUP(tblSalaries[[#This Row],[Where do you work]],tblCountries[[Actual]:[Mapping]],2,FALSE)</f>
        <v>India</v>
      </c>
      <c r="L1837" t="s">
        <v>9</v>
      </c>
      <c r="M1837">
        <v>5</v>
      </c>
    </row>
    <row r="1838" spans="2:13" ht="15" customHeight="1">
      <c r="B1838" t="s">
        <v>3841</v>
      </c>
      <c r="C1838" s="1">
        <v>41076.742673611108</v>
      </c>
      <c r="D1838" s="4" t="s">
        <v>1969</v>
      </c>
      <c r="E1838">
        <v>350000</v>
      </c>
      <c r="F1838" t="s">
        <v>40</v>
      </c>
      <c r="G1838">
        <f>tblSalaries[[#This Row],[clean Salary (in local currency)]]*VLOOKUP(tblSalaries[[#This Row],[Currency]],tblXrate[],2,FALSE)</f>
        <v>6232.7708406048987</v>
      </c>
      <c r="H1838" t="s">
        <v>20</v>
      </c>
      <c r="I1838" t="s">
        <v>20</v>
      </c>
      <c r="J1838" t="s">
        <v>8</v>
      </c>
      <c r="K1838" t="str">
        <f>VLOOKUP(tblSalaries[[#This Row],[Where do you work]],tblCountries[[Actual]:[Mapping]],2,FALSE)</f>
        <v>India</v>
      </c>
      <c r="L1838" t="s">
        <v>9</v>
      </c>
      <c r="M1838">
        <v>6</v>
      </c>
    </row>
    <row r="1839" spans="2:13" ht="15" customHeight="1">
      <c r="B1839" t="s">
        <v>3842</v>
      </c>
      <c r="C1839" s="1">
        <v>41076.772210648145</v>
      </c>
      <c r="D1839" s="4">
        <v>2342342</v>
      </c>
      <c r="E1839">
        <v>2342342</v>
      </c>
      <c r="F1839" t="s">
        <v>40</v>
      </c>
      <c r="G1839">
        <f>tblSalaries[[#This Row],[clean Salary (in local currency)]]*VLOOKUP(tblSalaries[[#This Row],[Currency]],tblXrate[],2,FALSE)</f>
        <v>41712.231189497601</v>
      </c>
      <c r="H1839" t="s">
        <v>1970</v>
      </c>
      <c r="I1839" t="s">
        <v>4000</v>
      </c>
      <c r="J1839" t="s">
        <v>8</v>
      </c>
      <c r="K1839" t="str">
        <f>VLOOKUP(tblSalaries[[#This Row],[Where do you work]],tblCountries[[Actual]:[Mapping]],2,FALSE)</f>
        <v>India</v>
      </c>
      <c r="L1839" t="s">
        <v>18</v>
      </c>
      <c r="M1839">
        <v>12</v>
      </c>
    </row>
    <row r="1840" spans="2:13" ht="15" customHeight="1">
      <c r="B1840" t="s">
        <v>3843</v>
      </c>
      <c r="C1840" s="1">
        <v>41076.773206018515</v>
      </c>
      <c r="D1840" s="4" t="s">
        <v>1186</v>
      </c>
      <c r="E1840">
        <v>700000</v>
      </c>
      <c r="F1840" t="s">
        <v>40</v>
      </c>
      <c r="G1840">
        <f>tblSalaries[[#This Row],[clean Salary (in local currency)]]*VLOOKUP(tblSalaries[[#This Row],[Currency]],tblXrate[],2,FALSE)</f>
        <v>12465.541681209797</v>
      </c>
      <c r="H1840" t="s">
        <v>1971</v>
      </c>
      <c r="I1840" t="s">
        <v>52</v>
      </c>
      <c r="J1840" t="s">
        <v>8</v>
      </c>
      <c r="K1840" t="str">
        <f>VLOOKUP(tblSalaries[[#This Row],[Where do you work]],tblCountries[[Actual]:[Mapping]],2,FALSE)</f>
        <v>India</v>
      </c>
      <c r="L1840" t="s">
        <v>18</v>
      </c>
      <c r="M1840">
        <v>9</v>
      </c>
    </row>
    <row r="1841" spans="2:13" ht="15" customHeight="1">
      <c r="B1841" t="s">
        <v>3844</v>
      </c>
      <c r="C1841" s="1">
        <v>41076.933680555558</v>
      </c>
      <c r="D1841" s="4">
        <v>20500</v>
      </c>
      <c r="E1841">
        <v>20500</v>
      </c>
      <c r="F1841" t="s">
        <v>69</v>
      </c>
      <c r="G1841">
        <f>tblSalaries[[#This Row],[clean Salary (in local currency)]]*VLOOKUP(tblSalaries[[#This Row],[Currency]],tblXrate[],2,FALSE)</f>
        <v>32311.654577379326</v>
      </c>
      <c r="H1841" t="s">
        <v>256</v>
      </c>
      <c r="I1841" t="s">
        <v>20</v>
      </c>
      <c r="J1841" t="s">
        <v>71</v>
      </c>
      <c r="K1841" t="str">
        <f>VLOOKUP(tblSalaries[[#This Row],[Where do you work]],tblCountries[[Actual]:[Mapping]],2,FALSE)</f>
        <v>UK</v>
      </c>
      <c r="L1841" t="s">
        <v>9</v>
      </c>
      <c r="M1841">
        <v>20</v>
      </c>
    </row>
    <row r="1842" spans="2:13" ht="15" customHeight="1">
      <c r="B1842" t="s">
        <v>3845</v>
      </c>
      <c r="C1842" s="1">
        <v>41077.065810185188</v>
      </c>
      <c r="D1842" s="4" t="s">
        <v>694</v>
      </c>
      <c r="E1842">
        <v>400000</v>
      </c>
      <c r="F1842" t="s">
        <v>40</v>
      </c>
      <c r="G1842">
        <f>tblSalaries[[#This Row],[clean Salary (in local currency)]]*VLOOKUP(tblSalaries[[#This Row],[Currency]],tblXrate[],2,FALSE)</f>
        <v>7123.1666749770275</v>
      </c>
      <c r="H1842" t="s">
        <v>1972</v>
      </c>
      <c r="I1842" t="s">
        <v>20</v>
      </c>
      <c r="J1842" t="s">
        <v>8</v>
      </c>
      <c r="K1842" t="str">
        <f>VLOOKUP(tblSalaries[[#This Row],[Where do you work]],tblCountries[[Actual]:[Mapping]],2,FALSE)</f>
        <v>India</v>
      </c>
      <c r="L1842" t="s">
        <v>25</v>
      </c>
      <c r="M1842">
        <v>2</v>
      </c>
    </row>
    <row r="1843" spans="2:13" ht="15" customHeight="1">
      <c r="B1843" t="s">
        <v>3846</v>
      </c>
      <c r="C1843" s="1">
        <v>41077.168055555558</v>
      </c>
      <c r="D1843" s="4" t="s">
        <v>1973</v>
      </c>
      <c r="E1843">
        <v>100000</v>
      </c>
      <c r="F1843" t="s">
        <v>6</v>
      </c>
      <c r="G1843">
        <f>tblSalaries[[#This Row],[clean Salary (in local currency)]]*VLOOKUP(tblSalaries[[#This Row],[Currency]],tblXrate[],2,FALSE)</f>
        <v>100000</v>
      </c>
      <c r="H1843" t="s">
        <v>1974</v>
      </c>
      <c r="I1843" t="s">
        <v>52</v>
      </c>
      <c r="J1843" t="s">
        <v>179</v>
      </c>
      <c r="K1843" t="str">
        <f>VLOOKUP(tblSalaries[[#This Row],[Where do you work]],tblCountries[[Actual]:[Mapping]],2,FALSE)</f>
        <v>UAE</v>
      </c>
      <c r="L1843" t="s">
        <v>13</v>
      </c>
      <c r="M1843">
        <v>15</v>
      </c>
    </row>
    <row r="1844" spans="2:13" ht="15" customHeight="1">
      <c r="B1844" t="s">
        <v>3847</v>
      </c>
      <c r="C1844" s="1">
        <v>41077.485335648147</v>
      </c>
      <c r="D1844" s="4">
        <v>75000</v>
      </c>
      <c r="E1844">
        <v>75000</v>
      </c>
      <c r="F1844" t="s">
        <v>670</v>
      </c>
      <c r="G1844">
        <f>tblSalaries[[#This Row],[clean Salary (in local currency)]]*VLOOKUP(tblSalaries[[#This Row],[Currency]],tblXrate[],2,FALSE)</f>
        <v>59819.107020370408</v>
      </c>
      <c r="H1844" t="s">
        <v>557</v>
      </c>
      <c r="I1844" t="s">
        <v>310</v>
      </c>
      <c r="J1844" t="s">
        <v>672</v>
      </c>
      <c r="K1844" t="str">
        <f>VLOOKUP(tblSalaries[[#This Row],[Where do you work]],tblCountries[[Actual]:[Mapping]],2,FALSE)</f>
        <v>New Zealand</v>
      </c>
      <c r="L1844" t="s">
        <v>9</v>
      </c>
      <c r="M1844">
        <v>4</v>
      </c>
    </row>
    <row r="1845" spans="2:13" ht="15" customHeight="1">
      <c r="B1845" t="s">
        <v>3848</v>
      </c>
      <c r="C1845" s="1">
        <v>41077.500659722224</v>
      </c>
      <c r="D1845" s="4">
        <v>25000</v>
      </c>
      <c r="E1845">
        <v>25000</v>
      </c>
      <c r="F1845" t="s">
        <v>6</v>
      </c>
      <c r="G1845">
        <f>tblSalaries[[#This Row],[clean Salary (in local currency)]]*VLOOKUP(tblSalaries[[#This Row],[Currency]],tblXrate[],2,FALSE)</f>
        <v>25000</v>
      </c>
      <c r="H1845" t="s">
        <v>153</v>
      </c>
      <c r="I1845" t="s">
        <v>20</v>
      </c>
      <c r="J1845" t="s">
        <v>8</v>
      </c>
      <c r="K1845" t="str">
        <f>VLOOKUP(tblSalaries[[#This Row],[Where do you work]],tblCountries[[Actual]:[Mapping]],2,FALSE)</f>
        <v>India</v>
      </c>
      <c r="L1845" t="s">
        <v>13</v>
      </c>
      <c r="M1845">
        <v>1.5</v>
      </c>
    </row>
    <row r="1846" spans="2:13" ht="15" customHeight="1">
      <c r="B1846" t="s">
        <v>3849</v>
      </c>
      <c r="C1846" s="1">
        <v>41077.533935185187</v>
      </c>
      <c r="D1846" s="4">
        <v>5000</v>
      </c>
      <c r="E1846">
        <v>5000</v>
      </c>
      <c r="F1846" t="s">
        <v>6</v>
      </c>
      <c r="G1846">
        <f>tblSalaries[[#This Row],[clean Salary (in local currency)]]*VLOOKUP(tblSalaries[[#This Row],[Currency]],tblXrate[],2,FALSE)</f>
        <v>5000</v>
      </c>
      <c r="H1846" t="s">
        <v>1112</v>
      </c>
      <c r="I1846" t="s">
        <v>20</v>
      </c>
      <c r="J1846" t="s">
        <v>8</v>
      </c>
      <c r="K1846" t="str">
        <f>VLOOKUP(tblSalaries[[#This Row],[Where do you work]],tblCountries[[Actual]:[Mapping]],2,FALSE)</f>
        <v>India</v>
      </c>
      <c r="L1846" t="s">
        <v>18</v>
      </c>
      <c r="M1846">
        <v>10</v>
      </c>
    </row>
    <row r="1847" spans="2:13" ht="15" customHeight="1">
      <c r="B1847" t="s">
        <v>3850</v>
      </c>
      <c r="C1847" s="1">
        <v>41077.560162037036</v>
      </c>
      <c r="D1847" s="4" t="s">
        <v>1975</v>
      </c>
      <c r="E1847">
        <v>63000</v>
      </c>
      <c r="F1847" t="s">
        <v>82</v>
      </c>
      <c r="G1847">
        <f>tblSalaries[[#This Row],[clean Salary (in local currency)]]*VLOOKUP(tblSalaries[[#This Row],[Currency]],tblXrate[],2,FALSE)</f>
        <v>64254.308353366054</v>
      </c>
      <c r="H1847" t="s">
        <v>1976</v>
      </c>
      <c r="I1847" t="s">
        <v>310</v>
      </c>
      <c r="J1847" t="s">
        <v>84</v>
      </c>
      <c r="K1847" t="str">
        <f>VLOOKUP(tblSalaries[[#This Row],[Where do you work]],tblCountries[[Actual]:[Mapping]],2,FALSE)</f>
        <v>Australia</v>
      </c>
      <c r="L1847" t="s">
        <v>13</v>
      </c>
      <c r="M1847">
        <v>3</v>
      </c>
    </row>
    <row r="1848" spans="2:13" ht="15" customHeight="1">
      <c r="B1848" t="s">
        <v>3851</v>
      </c>
      <c r="C1848" s="1">
        <v>41077.667939814812</v>
      </c>
      <c r="D1848" s="4">
        <v>60000</v>
      </c>
      <c r="E1848">
        <v>60000</v>
      </c>
      <c r="F1848" t="s">
        <v>22</v>
      </c>
      <c r="G1848">
        <f>tblSalaries[[#This Row],[clean Salary (in local currency)]]*VLOOKUP(tblSalaries[[#This Row],[Currency]],tblXrate[],2,FALSE)</f>
        <v>76223.966339496474</v>
      </c>
      <c r="H1848" t="s">
        <v>1977</v>
      </c>
      <c r="I1848" t="s">
        <v>52</v>
      </c>
      <c r="J1848" t="s">
        <v>24</v>
      </c>
      <c r="K1848" t="str">
        <f>VLOOKUP(tblSalaries[[#This Row],[Where do you work]],tblCountries[[Actual]:[Mapping]],2,FALSE)</f>
        <v>Germany</v>
      </c>
      <c r="L1848" t="s">
        <v>9</v>
      </c>
      <c r="M1848">
        <v>6</v>
      </c>
    </row>
    <row r="1849" spans="2:13" ht="15" customHeight="1">
      <c r="B1849" t="s">
        <v>3852</v>
      </c>
      <c r="C1849" s="1">
        <v>41078.237708333334</v>
      </c>
      <c r="D1849" s="4">
        <v>600000</v>
      </c>
      <c r="E1849">
        <v>600000</v>
      </c>
      <c r="F1849" t="s">
        <v>1362</v>
      </c>
      <c r="G1849">
        <f>tblSalaries[[#This Row],[clean Salary (in local currency)]]*VLOOKUP(tblSalaries[[#This Row],[Currency]],tblXrate[],2,FALSE)</f>
        <v>102542.54233725216</v>
      </c>
      <c r="H1849" t="s">
        <v>279</v>
      </c>
      <c r="I1849" t="s">
        <v>279</v>
      </c>
      <c r="J1849" t="s">
        <v>1978</v>
      </c>
      <c r="K1849" t="str">
        <f>VLOOKUP(tblSalaries[[#This Row],[Where do you work]],tblCountries[[Actual]:[Mapping]],2,FALSE)</f>
        <v>Denmark</v>
      </c>
      <c r="L1849" t="s">
        <v>18</v>
      </c>
      <c r="M1849">
        <v>20</v>
      </c>
    </row>
    <row r="1850" spans="2:13" ht="15" customHeight="1">
      <c r="B1850" t="s">
        <v>3853</v>
      </c>
      <c r="C1850" s="1">
        <v>41078.260127314818</v>
      </c>
      <c r="D1850" s="4">
        <v>46000</v>
      </c>
      <c r="E1850">
        <v>46000</v>
      </c>
      <c r="F1850" t="s">
        <v>6</v>
      </c>
      <c r="G1850">
        <f>tblSalaries[[#This Row],[clean Salary (in local currency)]]*VLOOKUP(tblSalaries[[#This Row],[Currency]],tblXrate[],2,FALSE)</f>
        <v>46000</v>
      </c>
      <c r="H1850" t="s">
        <v>1979</v>
      </c>
      <c r="I1850" t="s">
        <v>20</v>
      </c>
      <c r="J1850" t="s">
        <v>15</v>
      </c>
      <c r="K1850" t="str">
        <f>VLOOKUP(tblSalaries[[#This Row],[Where do you work]],tblCountries[[Actual]:[Mapping]],2,FALSE)</f>
        <v>USA</v>
      </c>
      <c r="L1850" t="s">
        <v>13</v>
      </c>
      <c r="M1850">
        <v>1</v>
      </c>
    </row>
    <row r="1851" spans="2:13" ht="15" customHeight="1">
      <c r="B1851" t="s">
        <v>3854</v>
      </c>
      <c r="C1851" s="1">
        <v>41078.346539351849</v>
      </c>
      <c r="D1851" s="4">
        <v>5000</v>
      </c>
      <c r="E1851">
        <v>5000</v>
      </c>
      <c r="F1851" t="s">
        <v>6</v>
      </c>
      <c r="G1851">
        <f>tblSalaries[[#This Row],[clean Salary (in local currency)]]*VLOOKUP(tblSalaries[[#This Row],[Currency]],tblXrate[],2,FALSE)</f>
        <v>5000</v>
      </c>
      <c r="H1851" t="s">
        <v>1980</v>
      </c>
      <c r="I1851" t="s">
        <v>20</v>
      </c>
      <c r="J1851" t="s">
        <v>8</v>
      </c>
      <c r="K1851" t="str">
        <f>VLOOKUP(tblSalaries[[#This Row],[Where do you work]],tblCountries[[Actual]:[Mapping]],2,FALSE)</f>
        <v>India</v>
      </c>
      <c r="L1851" t="s">
        <v>13</v>
      </c>
      <c r="M1851">
        <v>2</v>
      </c>
    </row>
    <row r="1852" spans="2:13" ht="15" customHeight="1">
      <c r="B1852" t="s">
        <v>3855</v>
      </c>
      <c r="C1852" s="1">
        <v>41078.602766203701</v>
      </c>
      <c r="D1852" s="4" t="s">
        <v>1981</v>
      </c>
      <c r="E1852">
        <v>76300</v>
      </c>
      <c r="F1852" t="s">
        <v>82</v>
      </c>
      <c r="G1852">
        <f>tblSalaries[[#This Row],[clean Salary (in local currency)]]*VLOOKUP(tblSalaries[[#This Row],[Currency]],tblXrate[],2,FALSE)</f>
        <v>77819.106783521114</v>
      </c>
      <c r="H1852" t="s">
        <v>386</v>
      </c>
      <c r="I1852" t="s">
        <v>20</v>
      </c>
      <c r="J1852" t="s">
        <v>84</v>
      </c>
      <c r="K1852" t="str">
        <f>VLOOKUP(tblSalaries[[#This Row],[Where do you work]],tblCountries[[Actual]:[Mapping]],2,FALSE)</f>
        <v>Australia</v>
      </c>
      <c r="L1852" t="s">
        <v>13</v>
      </c>
      <c r="M1852">
        <v>3</v>
      </c>
    </row>
    <row r="1853" spans="2:13" ht="15" customHeight="1">
      <c r="B1853" t="s">
        <v>3856</v>
      </c>
      <c r="C1853" s="1">
        <v>41078.744351851848</v>
      </c>
      <c r="D1853" s="4" t="s">
        <v>1326</v>
      </c>
      <c r="E1853">
        <v>350000</v>
      </c>
      <c r="F1853" t="s">
        <v>40</v>
      </c>
      <c r="G1853">
        <f>tblSalaries[[#This Row],[clean Salary (in local currency)]]*VLOOKUP(tblSalaries[[#This Row],[Currency]],tblXrate[],2,FALSE)</f>
        <v>6232.7708406048987</v>
      </c>
      <c r="H1853" t="s">
        <v>1982</v>
      </c>
      <c r="I1853" t="s">
        <v>52</v>
      </c>
      <c r="J1853" t="s">
        <v>8</v>
      </c>
      <c r="K1853" t="str">
        <f>VLOOKUP(tblSalaries[[#This Row],[Where do you work]],tblCountries[[Actual]:[Mapping]],2,FALSE)</f>
        <v>India</v>
      </c>
      <c r="L1853" t="s">
        <v>18</v>
      </c>
      <c r="M1853">
        <v>27</v>
      </c>
    </row>
    <row r="1854" spans="2:13" ht="15" customHeight="1">
      <c r="B1854" t="s">
        <v>3857</v>
      </c>
      <c r="C1854" s="1">
        <v>41078.768599537034</v>
      </c>
      <c r="D1854" s="4" t="s">
        <v>68</v>
      </c>
      <c r="E1854">
        <v>35000</v>
      </c>
      <c r="F1854" t="s">
        <v>69</v>
      </c>
      <c r="G1854">
        <f>tblSalaries[[#This Row],[clean Salary (in local currency)]]*VLOOKUP(tblSalaries[[#This Row],[Currency]],tblXrate[],2,FALSE)</f>
        <v>55166.239522354947</v>
      </c>
      <c r="H1854" t="s">
        <v>1983</v>
      </c>
      <c r="I1854" t="s">
        <v>20</v>
      </c>
      <c r="J1854" t="s">
        <v>71</v>
      </c>
      <c r="K1854" t="str">
        <f>VLOOKUP(tblSalaries[[#This Row],[Where do you work]],tblCountries[[Actual]:[Mapping]],2,FALSE)</f>
        <v>UK</v>
      </c>
      <c r="L1854" t="s">
        <v>13</v>
      </c>
      <c r="M1854">
        <v>34</v>
      </c>
    </row>
    <row r="1855" spans="2:13" ht="15" customHeight="1">
      <c r="B1855" t="s">
        <v>3858</v>
      </c>
      <c r="C1855" s="1">
        <v>41079.016250000001</v>
      </c>
      <c r="D1855" s="4">
        <v>45000</v>
      </c>
      <c r="E1855">
        <v>45000</v>
      </c>
      <c r="F1855" t="s">
        <v>6</v>
      </c>
      <c r="G1855">
        <f>tblSalaries[[#This Row],[clean Salary (in local currency)]]*VLOOKUP(tblSalaries[[#This Row],[Currency]],tblXrate[],2,FALSE)</f>
        <v>45000</v>
      </c>
      <c r="H1855" t="s">
        <v>89</v>
      </c>
      <c r="I1855" t="s">
        <v>310</v>
      </c>
      <c r="J1855" t="s">
        <v>15</v>
      </c>
      <c r="K1855" t="str">
        <f>VLOOKUP(tblSalaries[[#This Row],[Where do you work]],tblCountries[[Actual]:[Mapping]],2,FALSE)</f>
        <v>USA</v>
      </c>
      <c r="L1855" t="s">
        <v>18</v>
      </c>
      <c r="M1855">
        <v>5</v>
      </c>
    </row>
    <row r="1856" spans="2:13" ht="15" customHeight="1">
      <c r="B1856" t="s">
        <v>3859</v>
      </c>
      <c r="C1856" s="1">
        <v>41079.076261574075</v>
      </c>
      <c r="D1856" s="4" t="s">
        <v>1984</v>
      </c>
      <c r="E1856">
        <v>60000</v>
      </c>
      <c r="F1856" t="s">
        <v>6</v>
      </c>
      <c r="G1856">
        <f>tblSalaries[[#This Row],[clean Salary (in local currency)]]*VLOOKUP(tblSalaries[[#This Row],[Currency]],tblXrate[],2,FALSE)</f>
        <v>60000</v>
      </c>
      <c r="H1856" t="s">
        <v>1985</v>
      </c>
      <c r="I1856" t="s">
        <v>52</v>
      </c>
      <c r="J1856" t="s">
        <v>88</v>
      </c>
      <c r="K1856" t="str">
        <f>VLOOKUP(tblSalaries[[#This Row],[Where do you work]],tblCountries[[Actual]:[Mapping]],2,FALSE)</f>
        <v>Canada</v>
      </c>
      <c r="L1856" t="s">
        <v>18</v>
      </c>
      <c r="M1856">
        <v>10</v>
      </c>
    </row>
    <row r="1857" spans="2:13" ht="15" customHeight="1">
      <c r="B1857" t="s">
        <v>3860</v>
      </c>
      <c r="C1857" s="1">
        <v>41079.142754629633</v>
      </c>
      <c r="D1857" s="4">
        <v>43000</v>
      </c>
      <c r="E1857">
        <v>43000</v>
      </c>
      <c r="F1857" t="s">
        <v>6</v>
      </c>
      <c r="G1857">
        <f>tblSalaries[[#This Row],[clean Salary (in local currency)]]*VLOOKUP(tblSalaries[[#This Row],[Currency]],tblXrate[],2,FALSE)</f>
        <v>43000</v>
      </c>
      <c r="H1857" t="s">
        <v>687</v>
      </c>
      <c r="I1857" t="s">
        <v>20</v>
      </c>
      <c r="J1857" t="s">
        <v>15</v>
      </c>
      <c r="K1857" t="str">
        <f>VLOOKUP(tblSalaries[[#This Row],[Where do you work]],tblCountries[[Actual]:[Mapping]],2,FALSE)</f>
        <v>USA</v>
      </c>
      <c r="L1857" t="s">
        <v>9</v>
      </c>
      <c r="M1857">
        <v>5</v>
      </c>
    </row>
    <row r="1858" spans="2:13" ht="15" customHeight="1">
      <c r="B1858" t="s">
        <v>3861</v>
      </c>
      <c r="C1858" s="1">
        <v>41079.204930555556</v>
      </c>
      <c r="D1858" s="4">
        <v>28000</v>
      </c>
      <c r="E1858">
        <v>28000</v>
      </c>
      <c r="F1858" t="s">
        <v>22</v>
      </c>
      <c r="G1858">
        <f>tblSalaries[[#This Row],[clean Salary (in local currency)]]*VLOOKUP(tblSalaries[[#This Row],[Currency]],tblXrate[],2,FALSE)</f>
        <v>35571.184291765021</v>
      </c>
      <c r="H1858" t="s">
        <v>270</v>
      </c>
      <c r="I1858" t="s">
        <v>488</v>
      </c>
      <c r="J1858" t="s">
        <v>608</v>
      </c>
      <c r="K1858" t="str">
        <f>VLOOKUP(tblSalaries[[#This Row],[Where do you work]],tblCountries[[Actual]:[Mapping]],2,FALSE)</f>
        <v>Spain</v>
      </c>
      <c r="L1858" t="s">
        <v>9</v>
      </c>
      <c r="M1858">
        <v>8</v>
      </c>
    </row>
    <row r="1859" spans="2:13" ht="15" customHeight="1">
      <c r="B1859" t="s">
        <v>3862</v>
      </c>
      <c r="C1859" s="1">
        <v>41079.285266203704</v>
      </c>
      <c r="D1859" s="4">
        <v>48000</v>
      </c>
      <c r="E1859">
        <v>48000</v>
      </c>
      <c r="F1859" t="s">
        <v>6</v>
      </c>
      <c r="G1859">
        <f>tblSalaries[[#This Row],[clean Salary (in local currency)]]*VLOOKUP(tblSalaries[[#This Row],[Currency]],tblXrate[],2,FALSE)</f>
        <v>48000</v>
      </c>
      <c r="H1859" t="s">
        <v>1986</v>
      </c>
      <c r="I1859" t="s">
        <v>20</v>
      </c>
      <c r="J1859" t="s">
        <v>15</v>
      </c>
      <c r="K1859" t="str">
        <f>VLOOKUP(tblSalaries[[#This Row],[Where do you work]],tblCountries[[Actual]:[Mapping]],2,FALSE)</f>
        <v>USA</v>
      </c>
      <c r="L1859" t="s">
        <v>9</v>
      </c>
      <c r="M1859">
        <v>12</v>
      </c>
    </row>
    <row r="1860" spans="2:13" ht="15" customHeight="1">
      <c r="B1860" t="s">
        <v>3863</v>
      </c>
      <c r="C1860" s="1">
        <v>41079.332638888889</v>
      </c>
      <c r="D1860" s="4">
        <v>120000</v>
      </c>
      <c r="E1860">
        <v>120000</v>
      </c>
      <c r="F1860" t="s">
        <v>82</v>
      </c>
      <c r="G1860">
        <f>tblSalaries[[#This Row],[clean Salary (in local currency)]]*VLOOKUP(tblSalaries[[#This Row],[Currency]],tblXrate[],2,FALSE)</f>
        <v>122389.15876831629</v>
      </c>
      <c r="H1860" t="s">
        <v>52</v>
      </c>
      <c r="I1860" t="s">
        <v>52</v>
      </c>
      <c r="J1860" t="s">
        <v>84</v>
      </c>
      <c r="K1860" t="str">
        <f>VLOOKUP(tblSalaries[[#This Row],[Where do you work]],tblCountries[[Actual]:[Mapping]],2,FALSE)</f>
        <v>Australia</v>
      </c>
      <c r="L1860" t="s">
        <v>25</v>
      </c>
      <c r="M1860">
        <v>8</v>
      </c>
    </row>
    <row r="1861" spans="2:13" ht="15" customHeight="1">
      <c r="B1861" t="s">
        <v>3864</v>
      </c>
      <c r="C1861" s="1">
        <v>41079.527268518519</v>
      </c>
      <c r="D1861" s="4">
        <v>4000</v>
      </c>
      <c r="E1861">
        <v>4000</v>
      </c>
      <c r="F1861" t="s">
        <v>6</v>
      </c>
      <c r="G1861">
        <f>tblSalaries[[#This Row],[clean Salary (in local currency)]]*VLOOKUP(tblSalaries[[#This Row],[Currency]],tblXrate[],2,FALSE)</f>
        <v>4000</v>
      </c>
      <c r="H1861" t="s">
        <v>1987</v>
      </c>
      <c r="I1861" t="s">
        <v>20</v>
      </c>
      <c r="J1861" t="s">
        <v>8</v>
      </c>
      <c r="K1861" t="str">
        <f>VLOOKUP(tblSalaries[[#This Row],[Where do you work]],tblCountries[[Actual]:[Mapping]],2,FALSE)</f>
        <v>India</v>
      </c>
      <c r="L1861" t="s">
        <v>18</v>
      </c>
      <c r="M1861">
        <v>4</v>
      </c>
    </row>
    <row r="1862" spans="2:13" ht="15" customHeight="1">
      <c r="B1862" t="s">
        <v>3865</v>
      </c>
      <c r="C1862" s="1">
        <v>41079.63585648148</v>
      </c>
      <c r="D1862" s="4">
        <v>250000</v>
      </c>
      <c r="E1862">
        <v>250000</v>
      </c>
      <c r="F1862" t="s">
        <v>40</v>
      </c>
      <c r="G1862">
        <f>tblSalaries[[#This Row],[clean Salary (in local currency)]]*VLOOKUP(tblSalaries[[#This Row],[Currency]],tblXrate[],2,FALSE)</f>
        <v>4451.9791718606421</v>
      </c>
      <c r="H1862" t="s">
        <v>765</v>
      </c>
      <c r="I1862" t="s">
        <v>3999</v>
      </c>
      <c r="J1862" t="s">
        <v>8</v>
      </c>
      <c r="K1862" t="str">
        <f>VLOOKUP(tblSalaries[[#This Row],[Where do you work]],tblCountries[[Actual]:[Mapping]],2,FALSE)</f>
        <v>India</v>
      </c>
      <c r="L1862" t="s">
        <v>9</v>
      </c>
      <c r="M1862">
        <v>3</v>
      </c>
    </row>
    <row r="1863" spans="2:13" ht="15" customHeight="1">
      <c r="B1863" t="s">
        <v>3866</v>
      </c>
      <c r="C1863" s="1">
        <v>41079.709467592591</v>
      </c>
      <c r="D1863" s="4" t="s">
        <v>1988</v>
      </c>
      <c r="E1863">
        <v>52224</v>
      </c>
      <c r="F1863" t="s">
        <v>1989</v>
      </c>
      <c r="G1863">
        <f>tblSalaries[[#This Row],[clean Salary (in local currency)]]*VLOOKUP(tblSalaries[[#This Row],[Currency]],tblXrate[],2,FALSE)</f>
        <v>2953.8461538461538</v>
      </c>
      <c r="H1863" t="s">
        <v>1990</v>
      </c>
      <c r="I1863" t="s">
        <v>3999</v>
      </c>
      <c r="J1863" t="s">
        <v>1991</v>
      </c>
      <c r="K1863" t="str">
        <f>VLOOKUP(tblSalaries[[#This Row],[Where do you work]],tblCountries[[Actual]:[Mapping]],2,FALSE)</f>
        <v>Ethiopia</v>
      </c>
      <c r="L1863" t="s">
        <v>9</v>
      </c>
      <c r="M1863">
        <v>3</v>
      </c>
    </row>
    <row r="1864" spans="2:13" ht="15" customHeight="1">
      <c r="B1864" t="s">
        <v>3867</v>
      </c>
      <c r="C1864" s="1">
        <v>41079.762291666666</v>
      </c>
      <c r="D1864" s="4">
        <v>25000</v>
      </c>
      <c r="E1864">
        <v>25000</v>
      </c>
      <c r="F1864" t="s">
        <v>69</v>
      </c>
      <c r="G1864">
        <f>tblSalaries[[#This Row],[clean Salary (in local currency)]]*VLOOKUP(tblSalaries[[#This Row],[Currency]],tblXrate[],2,FALSE)</f>
        <v>39404.456801682099</v>
      </c>
      <c r="H1864" t="s">
        <v>153</v>
      </c>
      <c r="I1864" t="s">
        <v>20</v>
      </c>
      <c r="J1864" t="s">
        <v>71</v>
      </c>
      <c r="K1864" t="str">
        <f>VLOOKUP(tblSalaries[[#This Row],[Where do you work]],tblCountries[[Actual]:[Mapping]],2,FALSE)</f>
        <v>UK</v>
      </c>
      <c r="L1864" t="s">
        <v>9</v>
      </c>
      <c r="M1864">
        <v>3</v>
      </c>
    </row>
    <row r="1865" spans="2:13" ht="15" customHeight="1">
      <c r="B1865" t="s">
        <v>3868</v>
      </c>
      <c r="C1865" s="1">
        <v>41079.814872685187</v>
      </c>
      <c r="D1865" s="4">
        <v>74000</v>
      </c>
      <c r="E1865">
        <v>74000</v>
      </c>
      <c r="F1865" t="s">
        <v>82</v>
      </c>
      <c r="G1865">
        <f>tblSalaries[[#This Row],[clean Salary (in local currency)]]*VLOOKUP(tblSalaries[[#This Row],[Currency]],tblXrate[],2,FALSE)</f>
        <v>75473.31457379504</v>
      </c>
      <c r="H1865" t="s">
        <v>1241</v>
      </c>
      <c r="I1865" t="s">
        <v>20</v>
      </c>
      <c r="J1865" t="s">
        <v>84</v>
      </c>
      <c r="K1865" t="str">
        <f>VLOOKUP(tblSalaries[[#This Row],[Where do you work]],tblCountries[[Actual]:[Mapping]],2,FALSE)</f>
        <v>Australia</v>
      </c>
      <c r="L1865" t="s">
        <v>9</v>
      </c>
      <c r="M1865">
        <v>8</v>
      </c>
    </row>
    <row r="1866" spans="2:13" ht="15" customHeight="1">
      <c r="B1866" t="s">
        <v>3869</v>
      </c>
      <c r="C1866" s="1">
        <v>41079.84479166667</v>
      </c>
      <c r="D1866" s="4">
        <v>750000</v>
      </c>
      <c r="E1866">
        <v>750000</v>
      </c>
      <c r="F1866" t="s">
        <v>40</v>
      </c>
      <c r="G1866">
        <f>tblSalaries[[#This Row],[clean Salary (in local currency)]]*VLOOKUP(tblSalaries[[#This Row],[Currency]],tblXrate[],2,FALSE)</f>
        <v>13355.937515581925</v>
      </c>
      <c r="H1866" t="s">
        <v>20</v>
      </c>
      <c r="I1866" t="s">
        <v>20</v>
      </c>
      <c r="J1866" t="s">
        <v>8</v>
      </c>
      <c r="K1866" t="str">
        <f>VLOOKUP(tblSalaries[[#This Row],[Where do you work]],tblCountries[[Actual]:[Mapping]],2,FALSE)</f>
        <v>India</v>
      </c>
      <c r="L1866" t="s">
        <v>9</v>
      </c>
      <c r="M1866">
        <v>5</v>
      </c>
    </row>
    <row r="1867" spans="2:13" ht="15" customHeight="1">
      <c r="B1867" t="s">
        <v>3870</v>
      </c>
      <c r="C1867" s="1">
        <v>41079.858043981483</v>
      </c>
      <c r="D1867" s="4">
        <v>25000</v>
      </c>
      <c r="E1867">
        <v>25000</v>
      </c>
      <c r="F1867" t="s">
        <v>6</v>
      </c>
      <c r="G1867">
        <f>tblSalaries[[#This Row],[clean Salary (in local currency)]]*VLOOKUP(tblSalaries[[#This Row],[Currency]],tblXrate[],2,FALSE)</f>
        <v>25000</v>
      </c>
      <c r="H1867" t="s">
        <v>91</v>
      </c>
      <c r="I1867" t="s">
        <v>52</v>
      </c>
      <c r="J1867" t="s">
        <v>8</v>
      </c>
      <c r="K1867" t="str">
        <f>VLOOKUP(tblSalaries[[#This Row],[Where do you work]],tblCountries[[Actual]:[Mapping]],2,FALSE)</f>
        <v>India</v>
      </c>
      <c r="L1867" t="s">
        <v>9</v>
      </c>
      <c r="M1867">
        <v>10</v>
      </c>
    </row>
    <row r="1868" spans="2:13" ht="15" customHeight="1">
      <c r="B1868" t="s">
        <v>3871</v>
      </c>
      <c r="C1868" s="1">
        <v>41079.875937500001</v>
      </c>
      <c r="D1868" s="4">
        <v>420000</v>
      </c>
      <c r="E1868">
        <v>420000</v>
      </c>
      <c r="F1868" t="s">
        <v>40</v>
      </c>
      <c r="G1868">
        <f>tblSalaries[[#This Row],[clean Salary (in local currency)]]*VLOOKUP(tblSalaries[[#This Row],[Currency]],tblXrate[],2,FALSE)</f>
        <v>7479.3250087258784</v>
      </c>
      <c r="H1868" t="s">
        <v>20</v>
      </c>
      <c r="I1868" t="s">
        <v>20</v>
      </c>
      <c r="J1868" t="s">
        <v>8</v>
      </c>
      <c r="K1868" t="str">
        <f>VLOOKUP(tblSalaries[[#This Row],[Where do you work]],tblCountries[[Actual]:[Mapping]],2,FALSE)</f>
        <v>India</v>
      </c>
      <c r="L1868" t="s">
        <v>9</v>
      </c>
      <c r="M1868">
        <v>2</v>
      </c>
    </row>
    <row r="1869" spans="2:13" ht="15" customHeight="1">
      <c r="B1869" t="s">
        <v>3872</v>
      </c>
      <c r="C1869" s="1">
        <v>41079.879351851851</v>
      </c>
      <c r="D1869" s="4">
        <v>62000</v>
      </c>
      <c r="E1869">
        <v>62000</v>
      </c>
      <c r="F1869" t="s">
        <v>6</v>
      </c>
      <c r="G1869">
        <f>tblSalaries[[#This Row],[clean Salary (in local currency)]]*VLOOKUP(tblSalaries[[#This Row],[Currency]],tblXrate[],2,FALSE)</f>
        <v>62000</v>
      </c>
      <c r="H1869" t="s">
        <v>20</v>
      </c>
      <c r="I1869" t="s">
        <v>20</v>
      </c>
      <c r="J1869" t="s">
        <v>15</v>
      </c>
      <c r="K1869" t="str">
        <f>VLOOKUP(tblSalaries[[#This Row],[Where do you work]],tblCountries[[Actual]:[Mapping]],2,FALSE)</f>
        <v>USA</v>
      </c>
      <c r="L1869" t="s">
        <v>9</v>
      </c>
      <c r="M1869">
        <v>4</v>
      </c>
    </row>
    <row r="1870" spans="2:13" ht="15" customHeight="1">
      <c r="B1870" t="s">
        <v>3873</v>
      </c>
      <c r="C1870" s="1">
        <v>41079.897638888891</v>
      </c>
      <c r="D1870" s="4">
        <v>48000</v>
      </c>
      <c r="E1870">
        <v>48000</v>
      </c>
      <c r="F1870" t="s">
        <v>6</v>
      </c>
      <c r="G1870">
        <f>tblSalaries[[#This Row],[clean Salary (in local currency)]]*VLOOKUP(tblSalaries[[#This Row],[Currency]],tblXrate[],2,FALSE)</f>
        <v>48000</v>
      </c>
      <c r="H1870" t="s">
        <v>1992</v>
      </c>
      <c r="I1870" t="s">
        <v>20</v>
      </c>
      <c r="J1870" t="s">
        <v>15</v>
      </c>
      <c r="K1870" t="str">
        <f>VLOOKUP(tblSalaries[[#This Row],[Where do you work]],tblCountries[[Actual]:[Mapping]],2,FALSE)</f>
        <v>USA</v>
      </c>
      <c r="L1870" t="s">
        <v>9</v>
      </c>
      <c r="M1870">
        <v>1</v>
      </c>
    </row>
    <row r="1871" spans="2:13" ht="15" customHeight="1">
      <c r="B1871" t="s">
        <v>3874</v>
      </c>
      <c r="C1871" s="1">
        <v>41079.946469907409</v>
      </c>
      <c r="D1871" s="4">
        <v>5000</v>
      </c>
      <c r="E1871">
        <v>5000</v>
      </c>
      <c r="F1871" t="s">
        <v>6</v>
      </c>
      <c r="G1871">
        <f>tblSalaries[[#This Row],[clean Salary (in local currency)]]*VLOOKUP(tblSalaries[[#This Row],[Currency]],tblXrate[],2,FALSE)</f>
        <v>5000</v>
      </c>
      <c r="H1871" t="s">
        <v>1993</v>
      </c>
      <c r="I1871" t="s">
        <v>4000</v>
      </c>
      <c r="J1871" t="s">
        <v>8</v>
      </c>
      <c r="K1871" t="str">
        <f>VLOOKUP(tblSalaries[[#This Row],[Where do you work]],tblCountries[[Actual]:[Mapping]],2,FALSE)</f>
        <v>India</v>
      </c>
      <c r="L1871" t="s">
        <v>9</v>
      </c>
      <c r="M1871">
        <v>3</v>
      </c>
    </row>
    <row r="1872" spans="2:13" ht="15" customHeight="1">
      <c r="B1872" t="s">
        <v>3875</v>
      </c>
      <c r="C1872" s="1">
        <v>41080.019375000003</v>
      </c>
      <c r="D1872" s="4" t="s">
        <v>1994</v>
      </c>
      <c r="E1872">
        <v>276000</v>
      </c>
      <c r="F1872" t="s">
        <v>40</v>
      </c>
      <c r="G1872">
        <f>tblSalaries[[#This Row],[clean Salary (in local currency)]]*VLOOKUP(tblSalaries[[#This Row],[Currency]],tblXrate[],2,FALSE)</f>
        <v>4914.9850057341491</v>
      </c>
      <c r="H1872" t="s">
        <v>1995</v>
      </c>
      <c r="I1872" t="s">
        <v>3999</v>
      </c>
      <c r="J1872" t="s">
        <v>8</v>
      </c>
      <c r="K1872" t="str">
        <f>VLOOKUP(tblSalaries[[#This Row],[Where do you work]],tblCountries[[Actual]:[Mapping]],2,FALSE)</f>
        <v>India</v>
      </c>
      <c r="L1872" t="s">
        <v>13</v>
      </c>
      <c r="M1872">
        <v>6</v>
      </c>
    </row>
    <row r="1873" spans="2:13" ht="15" customHeight="1">
      <c r="B1873" t="s">
        <v>3876</v>
      </c>
      <c r="C1873" s="1">
        <v>41080.038518518515</v>
      </c>
      <c r="D1873" s="4">
        <v>75000</v>
      </c>
      <c r="E1873">
        <v>75000</v>
      </c>
      <c r="F1873" t="s">
        <v>6</v>
      </c>
      <c r="G1873">
        <f>tblSalaries[[#This Row],[clean Salary (in local currency)]]*VLOOKUP(tblSalaries[[#This Row],[Currency]],tblXrate[],2,FALSE)</f>
        <v>75000</v>
      </c>
      <c r="H1873" t="s">
        <v>153</v>
      </c>
      <c r="I1873" t="s">
        <v>20</v>
      </c>
      <c r="J1873" t="s">
        <v>15</v>
      </c>
      <c r="K1873" t="str">
        <f>VLOOKUP(tblSalaries[[#This Row],[Where do you work]],tblCountries[[Actual]:[Mapping]],2,FALSE)</f>
        <v>USA</v>
      </c>
      <c r="L1873" t="s">
        <v>25</v>
      </c>
      <c r="M1873">
        <v>3</v>
      </c>
    </row>
    <row r="1874" spans="2:13" ht="15" customHeight="1">
      <c r="B1874" t="s">
        <v>3877</v>
      </c>
      <c r="C1874" s="1">
        <v>41080.056122685186</v>
      </c>
      <c r="D1874" s="4">
        <v>250000</v>
      </c>
      <c r="E1874">
        <v>250000</v>
      </c>
      <c r="F1874" t="s">
        <v>40</v>
      </c>
      <c r="G1874">
        <f>tblSalaries[[#This Row],[clean Salary (in local currency)]]*VLOOKUP(tblSalaries[[#This Row],[Currency]],tblXrate[],2,FALSE)</f>
        <v>4451.9791718606421</v>
      </c>
      <c r="H1874" t="s">
        <v>1996</v>
      </c>
      <c r="I1874" t="s">
        <v>20</v>
      </c>
      <c r="J1874" t="s">
        <v>8</v>
      </c>
      <c r="K1874" t="str">
        <f>VLOOKUP(tblSalaries[[#This Row],[Where do you work]],tblCountries[[Actual]:[Mapping]],2,FALSE)</f>
        <v>India</v>
      </c>
      <c r="L1874" t="s">
        <v>186</v>
      </c>
      <c r="M1874">
        <v>1.6</v>
      </c>
    </row>
    <row r="1875" spans="2:13" ht="15" customHeight="1">
      <c r="B1875" t="s">
        <v>3878</v>
      </c>
      <c r="C1875" s="1">
        <v>41080.071666666663</v>
      </c>
      <c r="D1875" s="4">
        <v>700</v>
      </c>
      <c r="E1875">
        <v>8400</v>
      </c>
      <c r="F1875" t="s">
        <v>6</v>
      </c>
      <c r="G1875">
        <f>tblSalaries[[#This Row],[clean Salary (in local currency)]]*VLOOKUP(tblSalaries[[#This Row],[Currency]],tblXrate[],2,FALSE)</f>
        <v>8400</v>
      </c>
      <c r="H1875" t="s">
        <v>931</v>
      </c>
      <c r="I1875" t="s">
        <v>3999</v>
      </c>
      <c r="J1875" t="s">
        <v>8</v>
      </c>
      <c r="K1875" t="str">
        <f>VLOOKUP(tblSalaries[[#This Row],[Where do you work]],tblCountries[[Actual]:[Mapping]],2,FALSE)</f>
        <v>India</v>
      </c>
      <c r="L1875" t="s">
        <v>13</v>
      </c>
      <c r="M1875">
        <v>6</v>
      </c>
    </row>
    <row r="1876" spans="2:13" ht="15" customHeight="1">
      <c r="B1876" t="s">
        <v>3879</v>
      </c>
      <c r="C1876" s="1">
        <v>41080.079282407409</v>
      </c>
      <c r="D1876" s="4">
        <v>20000</v>
      </c>
      <c r="E1876">
        <v>20000</v>
      </c>
      <c r="F1876" t="s">
        <v>6</v>
      </c>
      <c r="G1876">
        <f>tblSalaries[[#This Row],[clean Salary (in local currency)]]*VLOOKUP(tblSalaries[[#This Row],[Currency]],tblXrate[],2,FALSE)</f>
        <v>20000</v>
      </c>
      <c r="H1876" t="s">
        <v>1997</v>
      </c>
      <c r="I1876" t="s">
        <v>52</v>
      </c>
      <c r="J1876" t="s">
        <v>8</v>
      </c>
      <c r="K1876" t="str">
        <f>VLOOKUP(tblSalaries[[#This Row],[Where do you work]],tblCountries[[Actual]:[Mapping]],2,FALSE)</f>
        <v>India</v>
      </c>
      <c r="L1876" t="s">
        <v>18</v>
      </c>
      <c r="M1876">
        <v>5</v>
      </c>
    </row>
    <row r="1877" spans="2:13" ht="15" customHeight="1">
      <c r="B1877" t="s">
        <v>3880</v>
      </c>
      <c r="C1877" s="1">
        <v>41080.105462962965</v>
      </c>
      <c r="D1877" s="4">
        <v>110000</v>
      </c>
      <c r="E1877">
        <v>110000</v>
      </c>
      <c r="F1877" t="s">
        <v>6</v>
      </c>
      <c r="G1877">
        <f>tblSalaries[[#This Row],[clean Salary (in local currency)]]*VLOOKUP(tblSalaries[[#This Row],[Currency]],tblXrate[],2,FALSE)</f>
        <v>110000</v>
      </c>
      <c r="H1877" t="s">
        <v>1998</v>
      </c>
      <c r="I1877" t="s">
        <v>4001</v>
      </c>
      <c r="J1877" t="s">
        <v>15</v>
      </c>
      <c r="K1877" t="str">
        <f>VLOOKUP(tblSalaries[[#This Row],[Where do you work]],tblCountries[[Actual]:[Mapping]],2,FALSE)</f>
        <v>USA</v>
      </c>
      <c r="L1877" t="s">
        <v>9</v>
      </c>
      <c r="M1877">
        <v>10</v>
      </c>
    </row>
    <row r="1878" spans="2:13" ht="15" customHeight="1">
      <c r="B1878" t="s">
        <v>3881</v>
      </c>
      <c r="C1878" s="1">
        <v>41080.161574074074</v>
      </c>
      <c r="D1878" s="4">
        <v>50000</v>
      </c>
      <c r="E1878">
        <v>50000</v>
      </c>
      <c r="F1878" t="s">
        <v>6</v>
      </c>
      <c r="G1878">
        <f>tblSalaries[[#This Row],[clean Salary (in local currency)]]*VLOOKUP(tblSalaries[[#This Row],[Currency]],tblXrate[],2,FALSE)</f>
        <v>50000</v>
      </c>
      <c r="H1878" t="s">
        <v>1999</v>
      </c>
      <c r="I1878" t="s">
        <v>20</v>
      </c>
      <c r="J1878" t="s">
        <v>15</v>
      </c>
      <c r="K1878" t="str">
        <f>VLOOKUP(tblSalaries[[#This Row],[Where do you work]],tblCountries[[Actual]:[Mapping]],2,FALSE)</f>
        <v>USA</v>
      </c>
      <c r="L1878" t="s">
        <v>13</v>
      </c>
      <c r="M1878">
        <v>3.5</v>
      </c>
    </row>
    <row r="1879" spans="2:13" ht="15" customHeight="1">
      <c r="B1879" t="s">
        <v>3882</v>
      </c>
      <c r="C1879" s="1">
        <v>41080.163831018515</v>
      </c>
      <c r="D1879" s="4">
        <v>46000</v>
      </c>
      <c r="E1879">
        <v>46000</v>
      </c>
      <c r="F1879" t="s">
        <v>6</v>
      </c>
      <c r="G1879">
        <f>tblSalaries[[#This Row],[clean Salary (in local currency)]]*VLOOKUP(tblSalaries[[#This Row],[Currency]],tblXrate[],2,FALSE)</f>
        <v>46000</v>
      </c>
      <c r="H1879" t="s">
        <v>2000</v>
      </c>
      <c r="I1879" t="s">
        <v>20</v>
      </c>
      <c r="J1879" t="s">
        <v>15</v>
      </c>
      <c r="K1879" t="str">
        <f>VLOOKUP(tblSalaries[[#This Row],[Where do you work]],tblCountries[[Actual]:[Mapping]],2,FALSE)</f>
        <v>USA</v>
      </c>
      <c r="L1879" t="s">
        <v>9</v>
      </c>
      <c r="M1879">
        <v>8</v>
      </c>
    </row>
    <row r="1880" spans="2:13" ht="15" customHeight="1">
      <c r="B1880" t="s">
        <v>3883</v>
      </c>
      <c r="C1880" s="1">
        <v>41080.210925925923</v>
      </c>
      <c r="D1880" s="4">
        <v>115000</v>
      </c>
      <c r="E1880">
        <v>115000</v>
      </c>
      <c r="F1880" t="s">
        <v>6</v>
      </c>
      <c r="G1880">
        <f>tblSalaries[[#This Row],[clean Salary (in local currency)]]*VLOOKUP(tblSalaries[[#This Row],[Currency]],tblXrate[],2,FALSE)</f>
        <v>115000</v>
      </c>
      <c r="H1880" t="s">
        <v>207</v>
      </c>
      <c r="I1880" t="s">
        <v>20</v>
      </c>
      <c r="J1880" t="s">
        <v>15</v>
      </c>
      <c r="K1880" t="str">
        <f>VLOOKUP(tblSalaries[[#This Row],[Where do you work]],tblCountries[[Actual]:[Mapping]],2,FALSE)</f>
        <v>USA</v>
      </c>
      <c r="L1880" t="s">
        <v>13</v>
      </c>
      <c r="M1880">
        <v>15</v>
      </c>
    </row>
    <row r="1881" spans="2:13" ht="15" customHeight="1">
      <c r="B1881" t="s">
        <v>3884</v>
      </c>
      <c r="C1881" s="1">
        <v>41080.537453703706</v>
      </c>
      <c r="D1881" s="4">
        <v>180000</v>
      </c>
      <c r="E1881">
        <v>180000</v>
      </c>
      <c r="F1881" t="s">
        <v>40</v>
      </c>
      <c r="G1881">
        <f>tblSalaries[[#This Row],[clean Salary (in local currency)]]*VLOOKUP(tblSalaries[[#This Row],[Currency]],tblXrate[],2,FALSE)</f>
        <v>3205.4250037396623</v>
      </c>
      <c r="H1881" t="s">
        <v>2001</v>
      </c>
      <c r="I1881" t="s">
        <v>20</v>
      </c>
      <c r="J1881" t="s">
        <v>8</v>
      </c>
      <c r="K1881" t="str">
        <f>VLOOKUP(tblSalaries[[#This Row],[Where do you work]],tblCountries[[Actual]:[Mapping]],2,FALSE)</f>
        <v>India</v>
      </c>
      <c r="L1881" t="s">
        <v>9</v>
      </c>
      <c r="M1881">
        <v>3</v>
      </c>
    </row>
    <row r="1882" spans="2:13" ht="15" customHeight="1">
      <c r="B1882" t="s">
        <v>3885</v>
      </c>
      <c r="C1882" s="1">
        <v>41080.545335648145</v>
      </c>
      <c r="D1882" s="4" t="s">
        <v>1704</v>
      </c>
      <c r="E1882">
        <v>60000</v>
      </c>
      <c r="F1882" t="s">
        <v>22</v>
      </c>
      <c r="G1882">
        <f>tblSalaries[[#This Row],[clean Salary (in local currency)]]*VLOOKUP(tblSalaries[[#This Row],[Currency]],tblXrate[],2,FALSE)</f>
        <v>76223.966339496474</v>
      </c>
      <c r="H1882" t="s">
        <v>201</v>
      </c>
      <c r="I1882" t="s">
        <v>52</v>
      </c>
      <c r="J1882" t="s">
        <v>983</v>
      </c>
      <c r="K1882" t="str">
        <f>VLOOKUP(tblSalaries[[#This Row],[Where do you work]],tblCountries[[Actual]:[Mapping]],2,FALSE)</f>
        <v>Europe</v>
      </c>
      <c r="L1882" t="s">
        <v>18</v>
      </c>
      <c r="M1882">
        <v>20</v>
      </c>
    </row>
    <row r="1883" spans="2:13" ht="15" customHeight="1">
      <c r="B1883" t="s">
        <v>3886</v>
      </c>
      <c r="C1883" s="1">
        <v>41080.589479166665</v>
      </c>
      <c r="D1883" s="4">
        <v>52500</v>
      </c>
      <c r="E1883">
        <v>52500</v>
      </c>
      <c r="F1883" t="s">
        <v>6</v>
      </c>
      <c r="G1883">
        <f>tblSalaries[[#This Row],[clean Salary (in local currency)]]*VLOOKUP(tblSalaries[[#This Row],[Currency]],tblXrate[],2,FALSE)</f>
        <v>52500</v>
      </c>
      <c r="H1883" t="s">
        <v>2002</v>
      </c>
      <c r="I1883" t="s">
        <v>20</v>
      </c>
      <c r="J1883" t="s">
        <v>2003</v>
      </c>
      <c r="K1883" t="str">
        <f>VLOOKUP(tblSalaries[[#This Row],[Where do you work]],tblCountries[[Actual]:[Mapping]],2,FALSE)</f>
        <v>South Africa</v>
      </c>
      <c r="L1883" t="s">
        <v>9</v>
      </c>
      <c r="M1883">
        <v>21</v>
      </c>
    </row>
    <row r="1884" spans="2:13" ht="15" customHeight="1">
      <c r="B1884" t="s">
        <v>3887</v>
      </c>
      <c r="C1884" s="1">
        <v>41080.873877314814</v>
      </c>
      <c r="D1884" s="4">
        <v>8400</v>
      </c>
      <c r="E1884">
        <v>100800</v>
      </c>
      <c r="F1884" t="s">
        <v>6</v>
      </c>
      <c r="G1884">
        <f>tblSalaries[[#This Row],[clean Salary (in local currency)]]*VLOOKUP(tblSalaries[[#This Row],[Currency]],tblXrate[],2,FALSE)</f>
        <v>100800</v>
      </c>
      <c r="H1884" t="s">
        <v>1741</v>
      </c>
      <c r="I1884" t="s">
        <v>4001</v>
      </c>
      <c r="J1884" t="s">
        <v>2004</v>
      </c>
      <c r="K1884" t="str">
        <f>VLOOKUP(tblSalaries[[#This Row],[Where do you work]],tblCountries[[Actual]:[Mapping]],2,FALSE)</f>
        <v>Oman</v>
      </c>
      <c r="L1884" t="s">
        <v>9</v>
      </c>
      <c r="M1884">
        <v>4</v>
      </c>
    </row>
    <row r="1885" spans="2:13" ht="15" customHeight="1">
      <c r="B1885" t="s">
        <v>3888</v>
      </c>
      <c r="C1885" s="1">
        <v>41081.157210648147</v>
      </c>
      <c r="D1885" s="4">
        <v>21000</v>
      </c>
      <c r="E1885">
        <v>21000</v>
      </c>
      <c r="F1885" t="s">
        <v>6</v>
      </c>
      <c r="G1885">
        <f>tblSalaries[[#This Row],[clean Salary (in local currency)]]*VLOOKUP(tblSalaries[[#This Row],[Currency]],tblXrate[],2,FALSE)</f>
        <v>21000</v>
      </c>
      <c r="H1885" t="s">
        <v>2005</v>
      </c>
      <c r="I1885" t="s">
        <v>4000</v>
      </c>
      <c r="J1885" t="s">
        <v>8</v>
      </c>
      <c r="K1885" t="str">
        <f>VLOOKUP(tblSalaries[[#This Row],[Where do you work]],tblCountries[[Actual]:[Mapping]],2,FALSE)</f>
        <v>India</v>
      </c>
      <c r="L1885" t="s">
        <v>13</v>
      </c>
      <c r="M1885">
        <v>5</v>
      </c>
    </row>
    <row r="1886" spans="2:13" ht="15" customHeight="1">
      <c r="B1886" t="s">
        <v>3889</v>
      </c>
      <c r="C1886" s="1">
        <v>41081.171006944445</v>
      </c>
      <c r="D1886" s="4">
        <v>40000</v>
      </c>
      <c r="E1886">
        <v>40000</v>
      </c>
      <c r="F1886" t="s">
        <v>6</v>
      </c>
      <c r="G1886">
        <f>tblSalaries[[#This Row],[clean Salary (in local currency)]]*VLOOKUP(tblSalaries[[#This Row],[Currency]],tblXrate[],2,FALSE)</f>
        <v>40000</v>
      </c>
      <c r="H1886" t="s">
        <v>2006</v>
      </c>
      <c r="I1886" t="s">
        <v>20</v>
      </c>
      <c r="J1886" t="s">
        <v>15</v>
      </c>
      <c r="K1886" t="str">
        <f>VLOOKUP(tblSalaries[[#This Row],[Where do you work]],tblCountries[[Actual]:[Mapping]],2,FALSE)</f>
        <v>USA</v>
      </c>
      <c r="L1886" t="s">
        <v>25</v>
      </c>
      <c r="M1886">
        <v>3</v>
      </c>
    </row>
    <row r="1887" spans="2:13" ht="15" customHeight="1">
      <c r="B1887" t="s">
        <v>3890</v>
      </c>
      <c r="C1887" s="1">
        <v>41081.197453703702</v>
      </c>
      <c r="D1887" s="4">
        <v>46359</v>
      </c>
      <c r="E1887">
        <v>46359</v>
      </c>
      <c r="F1887" t="s">
        <v>6</v>
      </c>
      <c r="G1887">
        <f>tblSalaries[[#This Row],[clean Salary (in local currency)]]*VLOOKUP(tblSalaries[[#This Row],[Currency]],tblXrate[],2,FALSE)</f>
        <v>46359</v>
      </c>
      <c r="H1887" t="s">
        <v>153</v>
      </c>
      <c r="I1887" t="s">
        <v>20</v>
      </c>
      <c r="J1887" t="s">
        <v>15</v>
      </c>
      <c r="K1887" t="str">
        <f>VLOOKUP(tblSalaries[[#This Row],[Where do you work]],tblCountries[[Actual]:[Mapping]],2,FALSE)</f>
        <v>USA</v>
      </c>
      <c r="L1887" t="s">
        <v>13</v>
      </c>
      <c r="M1887">
        <v>5</v>
      </c>
    </row>
    <row r="1888" spans="2:13" ht="15" customHeight="1">
      <c r="B1888" t="s">
        <v>3891</v>
      </c>
      <c r="C1888" s="1">
        <v>41081.198888888888</v>
      </c>
      <c r="D1888" s="4">
        <v>70000</v>
      </c>
      <c r="E1888">
        <v>70000</v>
      </c>
      <c r="F1888" t="s">
        <v>6</v>
      </c>
      <c r="G1888">
        <f>tblSalaries[[#This Row],[clean Salary (in local currency)]]*VLOOKUP(tblSalaries[[#This Row],[Currency]],tblXrate[],2,FALSE)</f>
        <v>70000</v>
      </c>
      <c r="H1888" t="s">
        <v>2007</v>
      </c>
      <c r="I1888" t="s">
        <v>20</v>
      </c>
      <c r="J1888" t="s">
        <v>15</v>
      </c>
      <c r="K1888" t="str">
        <f>VLOOKUP(tblSalaries[[#This Row],[Where do you work]],tblCountries[[Actual]:[Mapping]],2,FALSE)</f>
        <v>USA</v>
      </c>
      <c r="L1888" t="s">
        <v>9</v>
      </c>
      <c r="M1888">
        <v>10</v>
      </c>
    </row>
  </sheetData>
  <mergeCells count="1">
    <mergeCell ref="B1:E1"/>
  </mergeCells>
  <conditionalFormatting sqref="B1776:D1776 B1714:D1714 B1706:D1706 B1647:D1647 B1302:D1302 B1090:D1090 B1078:D1078 B1049:D1049 B873:D873 B807:D807 B803:D803 B786:D786 B750:D750 B713:D713 B709:D709 B698:D698 B691:D691 B659:D659 B635:D635 B596:D596 B424:D424 B7:D38 B45:D46 B48:D48 B53:D54 B60:D60 B62:D62 B80:D80 B92:D92 B102:D102 B104:D104 B140:D140 B155:D155 B159:D159 B216:D216 B242:D242 B278:D278 B310:D310 B6:N6 B1777:N1888 F1776:N1776 B1715:N1775 F1714:N1714 B1707:N1713 F1706:N1706 B1648:N1705 F1647:N1647 B1303:N1646 F1302:N1302 B1091:N1301 F1090:N1090 B1079:N1089 F1078:N1078 B1050:N1077 F1049:N1049 B874:N1048 F873:N873 B808:N872 F807:N807 B804:N806 F803:N803 B787:N802 F786:N786 B751:N785 F750:N750 B714:N749 F713:N713 B710:N712 F709:N709 B699:N708 F698:N698 B692:N697 F691:N691 B660:N690 F659:N659 B636:N658 F635:N635 B597:N634 F596:N596 B425:N595 F424:N424 B39:N44 F7:N38 B47:N47 F45:N46 B49:N52 F48:N48 B55:N59 F53:N54 B61:N61 F60:N60 B63:N79 F62:N62 B81:N91 F80:N80 B93:N101 F92:N92 B103:N103 F102:N102 B105:N139 F104:N104 B141:N154 F140:N140 B156:N158 F155:N155 B160:N215 F159:N159 B217:N241 F216:N216 B243:N277 F242:N242 B279:N309 F278:N278 B311:N423 F310:N310">
    <cfRule type="expression" dxfId="5" priority="1">
      <formula>$F6="ERR"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M137"/>
  <sheetViews>
    <sheetView showGridLines="0" workbookViewId="0">
      <selection activeCell="O23" sqref="O23"/>
    </sheetView>
  </sheetViews>
  <sheetFormatPr defaultRowHeight="1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>
      <c r="B1" s="80" t="s">
        <v>4007</v>
      </c>
      <c r="C1" s="80"/>
      <c r="G1" s="2" t="s">
        <v>3976</v>
      </c>
      <c r="H1" s="2" t="s">
        <v>3997</v>
      </c>
    </row>
    <row r="2" spans="2:13">
      <c r="B2" s="5" t="s">
        <v>4006</v>
      </c>
      <c r="C2" s="5"/>
      <c r="L2" s="5" t="s">
        <v>4005</v>
      </c>
      <c r="M2" s="5"/>
    </row>
    <row r="3" spans="2:13">
      <c r="B3" t="s">
        <v>2</v>
      </c>
      <c r="C3" t="s">
        <v>3892</v>
      </c>
      <c r="G3" s="7" t="s">
        <v>3893</v>
      </c>
      <c r="H3" s="7"/>
      <c r="I3" s="7"/>
      <c r="L3" t="s">
        <v>4002</v>
      </c>
      <c r="M3" t="s">
        <v>4003</v>
      </c>
    </row>
    <row r="4" spans="2:13">
      <c r="B4" t="s">
        <v>6</v>
      </c>
      <c r="C4">
        <v>1</v>
      </c>
      <c r="G4" s="6" t="s">
        <v>3894</v>
      </c>
      <c r="H4" s="6">
        <v>4.4927299999999999</v>
      </c>
      <c r="I4" s="6" t="s">
        <v>3895</v>
      </c>
      <c r="L4" t="s">
        <v>1074</v>
      </c>
      <c r="M4" t="s">
        <v>1074</v>
      </c>
    </row>
    <row r="5" spans="2:13">
      <c r="B5" t="s">
        <v>22</v>
      </c>
      <c r="C5">
        <f>1/INDEX($H$4:$H$64,MATCH(tblXrate[[#This Row],[Currency]],$I$4:$I$64,0))</f>
        <v>1.2703994389916078</v>
      </c>
      <c r="G5" s="6" t="s">
        <v>3896</v>
      </c>
      <c r="H5" s="6">
        <v>0.98047899999999999</v>
      </c>
      <c r="I5" s="6" t="s">
        <v>82</v>
      </c>
      <c r="L5" t="s">
        <v>163</v>
      </c>
      <c r="M5" t="s">
        <v>4008</v>
      </c>
    </row>
    <row r="6" spans="2:13">
      <c r="B6" t="s">
        <v>32</v>
      </c>
      <c r="C6">
        <f>1/INDEX($H$4:$H$64,MATCH(tblXrate[[#This Row],[Currency]],$I$4:$I$64,0))</f>
        <v>1.0614088716799131E-2</v>
      </c>
      <c r="G6" s="6" t="s">
        <v>3897</v>
      </c>
      <c r="H6" s="6">
        <v>7.6569700000000003</v>
      </c>
      <c r="I6" s="6" t="s">
        <v>3898</v>
      </c>
      <c r="L6" t="s">
        <v>1331</v>
      </c>
      <c r="M6" t="s">
        <v>1331</v>
      </c>
    </row>
    <row r="7" spans="2:13">
      <c r="B7" t="s">
        <v>40</v>
      </c>
      <c r="C7">
        <f>1/INDEX($H$4:$H$64,MATCH(tblXrate[[#This Row],[Currency]],$I$4:$I$64,0))</f>
        <v>1.7807916687442568E-2</v>
      </c>
      <c r="G7" s="6" t="s">
        <v>3899</v>
      </c>
      <c r="H7" s="6">
        <v>2.0231400000000002</v>
      </c>
      <c r="I7" s="6" t="s">
        <v>3900</v>
      </c>
      <c r="L7" t="s">
        <v>1860</v>
      </c>
      <c r="M7" t="s">
        <v>1860</v>
      </c>
    </row>
    <row r="8" spans="2:13">
      <c r="B8" t="s">
        <v>69</v>
      </c>
      <c r="C8">
        <f>1/INDEX($H$4:$H$64,MATCH(tblXrate[[#This Row],[Currency]],$I$4:$I$64,0))</f>
        <v>1.5761782720672841</v>
      </c>
      <c r="G8" s="6" t="s">
        <v>3901</v>
      </c>
      <c r="H8" s="6">
        <v>0.63444599999999995</v>
      </c>
      <c r="I8" s="6" t="s">
        <v>69</v>
      </c>
      <c r="L8" t="s">
        <v>992</v>
      </c>
      <c r="M8" t="s">
        <v>992</v>
      </c>
    </row>
    <row r="9" spans="2:13">
      <c r="B9" t="s">
        <v>82</v>
      </c>
      <c r="C9">
        <f>1/INDEX($H$4:$H$64,MATCH(tblXrate[[#This Row],[Currency]],$I$4:$I$64,0))</f>
        <v>1.0199096564026358</v>
      </c>
      <c r="G9" s="6" t="s">
        <v>3902</v>
      </c>
      <c r="H9" s="6">
        <v>1.2686999999999999</v>
      </c>
      <c r="I9" s="6" t="s">
        <v>3903</v>
      </c>
      <c r="L9" t="s">
        <v>1126</v>
      </c>
      <c r="M9" t="s">
        <v>1126</v>
      </c>
    </row>
    <row r="10" spans="2:13">
      <c r="B10" t="s">
        <v>86</v>
      </c>
      <c r="C10">
        <f>1/INDEX($H$4:$H$64,MATCH(tblXrate[[#This Row],[Currency]],$I$4:$I$64,0))</f>
        <v>0.98336152303032687</v>
      </c>
      <c r="G10" s="6" t="s">
        <v>3904</v>
      </c>
      <c r="H10" s="6">
        <v>1.53952</v>
      </c>
      <c r="I10" s="6" t="s">
        <v>3905</v>
      </c>
      <c r="L10" t="s">
        <v>84</v>
      </c>
      <c r="M10" t="s">
        <v>84</v>
      </c>
    </row>
    <row r="11" spans="2:13">
      <c r="B11" t="s">
        <v>3951</v>
      </c>
      <c r="C11">
        <f>1/INDEX($H$4:$H$64,MATCH(tblXrate[[#This Row],[Currency]],$I$4:$I$64,0))</f>
        <v>2.3705052257787702E-2</v>
      </c>
      <c r="G11" s="6" t="s">
        <v>3906</v>
      </c>
      <c r="H11" s="6">
        <v>1.01692</v>
      </c>
      <c r="I11" s="6" t="s">
        <v>86</v>
      </c>
      <c r="L11" t="s">
        <v>1519</v>
      </c>
      <c r="M11" t="s">
        <v>1519</v>
      </c>
    </row>
    <row r="12" spans="2:13">
      <c r="B12" t="s">
        <v>358</v>
      </c>
      <c r="C12">
        <f>1/INDEX($H$4:$H$64,MATCH(tblXrate[[#This Row],[Currency]],$I$4:$I$64,0))</f>
        <v>0.27221921268759308</v>
      </c>
      <c r="G12" s="6" t="s">
        <v>3907</v>
      </c>
      <c r="H12" s="6">
        <v>497.26799999999997</v>
      </c>
      <c r="I12" s="6" t="s">
        <v>3908</v>
      </c>
      <c r="L12" t="s">
        <v>1773</v>
      </c>
      <c r="M12" t="s">
        <v>1773</v>
      </c>
    </row>
    <row r="13" spans="2:13">
      <c r="B13" t="s">
        <v>391</v>
      </c>
      <c r="C13">
        <f>1/INDEX($H$4:$H$64,MATCH(tblXrate[[#This Row],[Currency]],$I$4:$I$64,0))</f>
        <v>7.3046552567951561E-2</v>
      </c>
      <c r="G13" s="6" t="s">
        <v>3909</v>
      </c>
      <c r="H13" s="6">
        <v>6.3609099999999996</v>
      </c>
      <c r="I13" s="6" t="s">
        <v>3910</v>
      </c>
      <c r="L13" t="s">
        <v>1951</v>
      </c>
      <c r="M13" t="s">
        <v>1951</v>
      </c>
    </row>
    <row r="14" spans="2:13">
      <c r="B14" t="s">
        <v>445</v>
      </c>
      <c r="C14">
        <f>1/INDEX($H$4:$H$64,MATCH(tblXrate[[#This Row],[Currency]],$I$4:$I$64,0))</f>
        <v>0.14365525038391866</v>
      </c>
      <c r="G14" s="6" t="s">
        <v>3911</v>
      </c>
      <c r="H14" s="6">
        <v>1769.79</v>
      </c>
      <c r="I14" s="6" t="s">
        <v>3912</v>
      </c>
      <c r="L14" t="s">
        <v>425</v>
      </c>
      <c r="M14" t="s">
        <v>425</v>
      </c>
    </row>
    <row r="15" spans="2:13">
      <c r="B15" t="s">
        <v>483</v>
      </c>
      <c r="C15">
        <f>1/INDEX($H$4:$H$64,MATCH(tblXrate[[#This Row],[Currency]],$I$4:$I$64,0))</f>
        <v>1.2220845340313881E-2</v>
      </c>
      <c r="G15" s="6" t="s">
        <v>3913</v>
      </c>
      <c r="H15" s="6">
        <v>5.9367099999999997</v>
      </c>
      <c r="I15" s="6" t="s">
        <v>3914</v>
      </c>
      <c r="L15" t="s">
        <v>59</v>
      </c>
      <c r="M15" t="s">
        <v>59</v>
      </c>
    </row>
    <row r="16" spans="2:13">
      <c r="B16" t="s">
        <v>497</v>
      </c>
      <c r="C16">
        <f>1/INDEX($H$4:$H$64,MATCH(tblXrate[[#This Row],[Currency]],$I$4:$I$64,0))</f>
        <v>2.0078305391024996E-3</v>
      </c>
      <c r="G16" s="6" t="s">
        <v>3915</v>
      </c>
      <c r="H16" s="6">
        <v>5.8512300000000002</v>
      </c>
      <c r="I16" s="6" t="s">
        <v>1362</v>
      </c>
      <c r="L16" t="s">
        <v>292</v>
      </c>
      <c r="M16" t="s">
        <v>292</v>
      </c>
    </row>
    <row r="17" spans="2:13">
      <c r="B17" t="s">
        <v>585</v>
      </c>
      <c r="C17">
        <f>1/INDEX($H$4:$H$64,MATCH(tblXrate[[#This Row],[Currency]],$I$4:$I$64,0))</f>
        <v>0.12192177986291114</v>
      </c>
      <c r="G17" s="6" t="s">
        <v>3916</v>
      </c>
      <c r="H17" s="6">
        <v>0.78715400000000002</v>
      </c>
      <c r="I17" s="6" t="s">
        <v>22</v>
      </c>
      <c r="L17" t="s">
        <v>851</v>
      </c>
      <c r="M17" t="s">
        <v>851</v>
      </c>
    </row>
    <row r="18" spans="2:13">
      <c r="B18" t="s">
        <v>670</v>
      </c>
      <c r="C18">
        <f>1/INDEX($H$4:$H$64,MATCH(tblXrate[[#This Row],[Currency]],$I$4:$I$64,0))</f>
        <v>0.79758809360493876</v>
      </c>
      <c r="G18" s="6" t="s">
        <v>3917</v>
      </c>
      <c r="H18" s="6">
        <v>7.7588900000000001</v>
      </c>
      <c r="I18" s="6" t="s">
        <v>3918</v>
      </c>
      <c r="L18" t="s">
        <v>1671</v>
      </c>
      <c r="M18" t="s">
        <v>1671</v>
      </c>
    </row>
    <row r="19" spans="2:13">
      <c r="B19" t="s">
        <v>3910</v>
      </c>
      <c r="C19">
        <f>1/INDEX($H$4:$H$64,MATCH(tblXrate[[#This Row],[Currency]],$I$4:$I$64,0))</f>
        <v>0.15721021048875083</v>
      </c>
      <c r="G19" s="6" t="s">
        <v>3919</v>
      </c>
      <c r="H19" s="6">
        <v>225.874</v>
      </c>
      <c r="I19" s="6" t="s">
        <v>3920</v>
      </c>
      <c r="L19" t="s">
        <v>111</v>
      </c>
      <c r="M19" t="s">
        <v>143</v>
      </c>
    </row>
    <row r="20" spans="2:13">
      <c r="B20" t="s">
        <v>845</v>
      </c>
      <c r="C20">
        <f>1/INDEX($H$4:$H$64,MATCH(tblXrate[[#This Row],[Currency]],$I$4:$I$64,0))</f>
        <v>0.16526194017517765</v>
      </c>
      <c r="G20" s="6" t="s">
        <v>3921</v>
      </c>
      <c r="H20" s="6">
        <v>124.697</v>
      </c>
      <c r="I20" s="6" t="s">
        <v>3922</v>
      </c>
      <c r="L20" t="s">
        <v>143</v>
      </c>
      <c r="M20" t="s">
        <v>143</v>
      </c>
    </row>
    <row r="21" spans="2:13">
      <c r="B21" t="s">
        <v>3984</v>
      </c>
      <c r="C21">
        <f>1/INDEX($H$4:$H$64,MATCH(tblXrate[[#This Row],[Currency]],$I$4:$I$64,0))</f>
        <v>6.1633281972265025E-3</v>
      </c>
      <c r="G21" s="6" t="s">
        <v>3923</v>
      </c>
      <c r="H21" s="6">
        <v>56.154800000000002</v>
      </c>
      <c r="I21" s="6" t="s">
        <v>40</v>
      </c>
      <c r="L21" t="s">
        <v>662</v>
      </c>
      <c r="M21" t="s">
        <v>143</v>
      </c>
    </row>
    <row r="22" spans="2:13">
      <c r="B22" t="s">
        <v>358</v>
      </c>
      <c r="C22">
        <f>1/INDEX($H$4:$H$64,MATCH(tblXrate[[#This Row],[Currency]],$I$4:$I$64,0))</f>
        <v>0.27221921268759308</v>
      </c>
      <c r="G22" s="6" t="s">
        <v>3924</v>
      </c>
      <c r="H22" s="6">
        <v>9443.81</v>
      </c>
      <c r="I22" s="6" t="s">
        <v>1393</v>
      </c>
      <c r="L22" t="s">
        <v>1707</v>
      </c>
      <c r="M22" t="s">
        <v>1707</v>
      </c>
    </row>
    <row r="23" spans="2:13">
      <c r="B23" t="s">
        <v>3900</v>
      </c>
      <c r="C23">
        <f>1/INDEX($H$4:$H$64,MATCH(tblXrate[[#This Row],[Currency]],$I$4:$I$64,0))</f>
        <v>0.49428116689897877</v>
      </c>
      <c r="G23" s="6" t="s">
        <v>3925</v>
      </c>
      <c r="H23" s="6">
        <v>3.86721</v>
      </c>
      <c r="I23" s="6" t="s">
        <v>3926</v>
      </c>
      <c r="L23" t="s">
        <v>799</v>
      </c>
      <c r="M23" t="s">
        <v>799</v>
      </c>
    </row>
    <row r="24" spans="2:13">
      <c r="B24" t="s">
        <v>959</v>
      </c>
      <c r="C24">
        <f>1/INDEX($H$4:$H$64,MATCH(tblXrate[[#This Row],[Currency]],$I$4:$I$64,0))</f>
        <v>0.28461323906942854</v>
      </c>
      <c r="G24" s="6" t="s">
        <v>3927</v>
      </c>
      <c r="H24" s="6">
        <v>78.904300000000006</v>
      </c>
      <c r="I24" s="6" t="s">
        <v>1531</v>
      </c>
      <c r="L24" t="s">
        <v>88</v>
      </c>
      <c r="M24" t="s">
        <v>88</v>
      </c>
    </row>
    <row r="25" spans="2:13">
      <c r="B25" t="s">
        <v>6</v>
      </c>
      <c r="C25">
        <v>1</v>
      </c>
      <c r="G25" s="6" t="s">
        <v>3928</v>
      </c>
      <c r="H25" s="6">
        <v>148.88</v>
      </c>
      <c r="I25" s="6" t="s">
        <v>3929</v>
      </c>
      <c r="L25" t="s">
        <v>541</v>
      </c>
      <c r="M25" t="s">
        <v>88</v>
      </c>
    </row>
    <row r="26" spans="2:13">
      <c r="B26" t="s">
        <v>3939</v>
      </c>
      <c r="C26">
        <f>1/INDEX($H$4:$H$64,MATCH(tblXrate[[#This Row],[Currency]],$I$4:$I$64,0))</f>
        <v>0.31680056770661735</v>
      </c>
      <c r="G26" s="6" t="s">
        <v>3930</v>
      </c>
      <c r="H26" s="6">
        <v>0.27939999999999998</v>
      </c>
      <c r="I26" s="6" t="s">
        <v>3931</v>
      </c>
      <c r="L26" t="s">
        <v>1497</v>
      </c>
      <c r="M26" t="s">
        <v>1497</v>
      </c>
    </row>
    <row r="27" spans="2:13">
      <c r="B27" t="s">
        <v>1147</v>
      </c>
      <c r="C27">
        <f>1/INDEX($H$4:$H$64,MATCH(tblXrate[[#This Row],[Currency]],$I$4:$I$64,0))</f>
        <v>7.5240581760178168E-3</v>
      </c>
      <c r="G27" s="6" t="s">
        <v>3932</v>
      </c>
      <c r="H27" s="6">
        <v>0.548489</v>
      </c>
      <c r="I27" s="6" t="s">
        <v>3933</v>
      </c>
      <c r="L27" t="s">
        <v>1282</v>
      </c>
      <c r="M27" t="s">
        <v>1497</v>
      </c>
    </row>
    <row r="28" spans="2:13">
      <c r="B28" t="s">
        <v>1159</v>
      </c>
      <c r="C28">
        <f>1/INDEX($H$4:$H$64,MATCH(tblXrate[[#This Row],[Currency]],$I$4:$I$64,0))</f>
        <v>0.78882394238429931</v>
      </c>
      <c r="G28" s="6" t="s">
        <v>3934</v>
      </c>
      <c r="H28" s="6">
        <v>1.9323999999999999</v>
      </c>
      <c r="I28" s="6" t="s">
        <v>3935</v>
      </c>
      <c r="L28" t="s">
        <v>639</v>
      </c>
      <c r="M28" t="s">
        <v>639</v>
      </c>
    </row>
    <row r="29" spans="2:13">
      <c r="B29" t="s">
        <v>69</v>
      </c>
      <c r="C29">
        <f>1/INDEX($H$4:$H$64,MATCH(tblXrate[[#This Row],[Currency]],$I$4:$I$64,0))</f>
        <v>1.5761782720672841</v>
      </c>
      <c r="G29" s="6" t="s">
        <v>3936</v>
      </c>
      <c r="H29" s="6">
        <v>2.7178800000000001</v>
      </c>
      <c r="I29" s="6" t="s">
        <v>3937</v>
      </c>
      <c r="L29" t="s">
        <v>690</v>
      </c>
      <c r="M29" t="s">
        <v>1123</v>
      </c>
    </row>
    <row r="30" spans="2:13">
      <c r="B30" t="s">
        <v>3986</v>
      </c>
      <c r="C30">
        <f>1/INDEX($H$4:$H$64,MATCH(tblXrate[[#This Row],[Currency]],$I$4:$I$64,0))</f>
        <v>2.5673940949935813E-2</v>
      </c>
      <c r="G30" s="6" t="s">
        <v>3938</v>
      </c>
      <c r="H30" s="6">
        <v>3.1565599999999998</v>
      </c>
      <c r="I30" s="6" t="s">
        <v>3939</v>
      </c>
      <c r="L30" t="s">
        <v>184</v>
      </c>
      <c r="M30" t="s">
        <v>184</v>
      </c>
    </row>
    <row r="31" spans="2:13">
      <c r="B31" t="s">
        <v>1337</v>
      </c>
      <c r="C31">
        <f>1/INDEX($H$4:$H$64,MATCH(tblXrate[[#This Row],[Currency]],$I$4:$I$64,0))</f>
        <v>0.30031472983686902</v>
      </c>
      <c r="G31" s="6" t="s">
        <v>3940</v>
      </c>
      <c r="H31" s="6">
        <v>30.715900000000001</v>
      </c>
      <c r="I31" s="6" t="s">
        <v>3941</v>
      </c>
      <c r="L31" t="s">
        <v>971</v>
      </c>
      <c r="M31" t="s">
        <v>184</v>
      </c>
    </row>
    <row r="32" spans="2:13">
      <c r="B32" t="s">
        <v>1343</v>
      </c>
      <c r="C32">
        <f>1/INDEX($H$4:$H$64,MATCH(tblXrate[[#This Row],[Currency]],$I$4:$I$64,0))</f>
        <v>1.1976047904191617E-2</v>
      </c>
      <c r="G32" s="6" t="s">
        <v>3942</v>
      </c>
      <c r="H32" s="6">
        <v>13.6899</v>
      </c>
      <c r="I32" s="6" t="s">
        <v>391</v>
      </c>
      <c r="L32" t="s">
        <v>499</v>
      </c>
      <c r="M32" t="s">
        <v>499</v>
      </c>
    </row>
    <row r="33" spans="2:13">
      <c r="B33" t="s">
        <v>1362</v>
      </c>
      <c r="C33">
        <f>1/INDEX($H$4:$H$64,MATCH(tblXrate[[#This Row],[Currency]],$I$4:$I$64,0))</f>
        <v>0.17090423722875361</v>
      </c>
      <c r="G33" s="6" t="s">
        <v>3943</v>
      </c>
      <c r="H33" s="6">
        <v>89.65</v>
      </c>
      <c r="I33" s="6" t="s">
        <v>3944</v>
      </c>
      <c r="L33" t="s">
        <v>935</v>
      </c>
      <c r="M33" t="s">
        <v>935</v>
      </c>
    </row>
    <row r="34" spans="2:13">
      <c r="B34" t="s">
        <v>1393</v>
      </c>
      <c r="C34">
        <f>1/INDEX($H$4:$H$64,MATCH(tblXrate[[#This Row],[Currency]],$I$4:$I$64,0))</f>
        <v>1.0588946622178973E-4</v>
      </c>
      <c r="G34" s="6" t="s">
        <v>3945</v>
      </c>
      <c r="H34" s="6">
        <v>1.2537799999999999</v>
      </c>
      <c r="I34" s="6" t="s">
        <v>670</v>
      </c>
      <c r="L34" t="s">
        <v>12</v>
      </c>
      <c r="M34" t="s">
        <v>935</v>
      </c>
    </row>
    <row r="35" spans="2:13">
      <c r="B35" t="s">
        <v>1410</v>
      </c>
      <c r="C35">
        <f>1/INDEX($H$4:$H$64,MATCH(tblXrate[[#This Row],[Currency]],$I$4:$I$64,0))</f>
        <v>7.5642965204236008E-4</v>
      </c>
      <c r="G35" s="6" t="s">
        <v>3946</v>
      </c>
      <c r="H35" s="6">
        <v>5.9083800000000002</v>
      </c>
      <c r="I35" s="6" t="s">
        <v>1829</v>
      </c>
      <c r="L35" t="s">
        <v>1052</v>
      </c>
      <c r="M35" t="s">
        <v>1052</v>
      </c>
    </row>
    <row r="36" spans="2:13">
      <c r="B36" t="s">
        <v>1531</v>
      </c>
      <c r="C36">
        <f>1/INDEX($H$4:$H$64,MATCH(tblXrate[[#This Row],[Currency]],$I$4:$I$64,0))</f>
        <v>1.2673580527296991E-2</v>
      </c>
      <c r="G36" s="6" t="s">
        <v>3947</v>
      </c>
      <c r="H36" s="6">
        <v>0.38450000000000001</v>
      </c>
      <c r="I36" s="6" t="s">
        <v>3948</v>
      </c>
      <c r="L36" t="s">
        <v>877</v>
      </c>
      <c r="M36" t="s">
        <v>877</v>
      </c>
    </row>
    <row r="37" spans="2:13">
      <c r="B37" t="s">
        <v>3958</v>
      </c>
      <c r="C37">
        <f>1/INDEX($H$4:$H$64,MATCH(tblXrate[[#This Row],[Currency]],$I$4:$I$64,0))</f>
        <v>0.26666666666666666</v>
      </c>
      <c r="G37" s="6" t="s">
        <v>3949</v>
      </c>
      <c r="H37" s="6">
        <v>94.214399999999998</v>
      </c>
      <c r="I37" s="6" t="s">
        <v>32</v>
      </c>
      <c r="L37" t="s">
        <v>1978</v>
      </c>
      <c r="M37" t="s">
        <v>877</v>
      </c>
    </row>
    <row r="38" spans="2:13">
      <c r="B38" t="s">
        <v>1729</v>
      </c>
      <c r="C38">
        <f>1/INDEX($H$4:$H$64,MATCH(tblXrate[[#This Row],[Currency]],$I$4:$I$64,0))</f>
        <v>0.11454753722794959</v>
      </c>
      <c r="G38" s="6" t="s">
        <v>3950</v>
      </c>
      <c r="H38" s="6">
        <v>42.185099999999998</v>
      </c>
      <c r="I38" s="6" t="s">
        <v>3951</v>
      </c>
      <c r="L38" t="s">
        <v>526</v>
      </c>
      <c r="M38" t="s">
        <v>526</v>
      </c>
    </row>
    <row r="39" spans="2:13">
      <c r="B39" t="s">
        <v>3941</v>
      </c>
      <c r="C39">
        <f>1/INDEX($H$4:$H$64,MATCH(tblXrate[[#This Row],[Currency]],$I$4:$I$64,0))</f>
        <v>3.2556428429575561E-2</v>
      </c>
      <c r="G39" s="6" t="s">
        <v>3952</v>
      </c>
      <c r="H39" s="6">
        <v>3.64</v>
      </c>
      <c r="I39" s="6" t="s">
        <v>3953</v>
      </c>
      <c r="L39" t="s">
        <v>359</v>
      </c>
      <c r="M39" t="s">
        <v>359</v>
      </c>
    </row>
    <row r="40" spans="2:13">
      <c r="B40" t="s">
        <v>1829</v>
      </c>
      <c r="C40">
        <f>1/INDEX($H$4:$H$64,MATCH(tblXrate[[#This Row],[Currency]],$I$4:$I$64,0))</f>
        <v>0.16925113144381371</v>
      </c>
      <c r="G40" s="6" t="s">
        <v>3954</v>
      </c>
      <c r="H40" s="6">
        <v>3.5135399999999999</v>
      </c>
      <c r="I40" s="6" t="s">
        <v>959</v>
      </c>
      <c r="L40" t="s">
        <v>847</v>
      </c>
      <c r="M40" t="s">
        <v>847</v>
      </c>
    </row>
    <row r="41" spans="2:13">
      <c r="B41" t="s">
        <v>1881</v>
      </c>
      <c r="C41">
        <f>1/INDEX($H$4:$H$64,MATCH(tblXrate[[#This Row],[Currency]],$I$4:$I$64,0))</f>
        <v>1.0578730615798488</v>
      </c>
      <c r="G41" s="6" t="s">
        <v>3955</v>
      </c>
      <c r="H41" s="6">
        <v>32.5458</v>
      </c>
      <c r="I41" s="6" t="s">
        <v>3956</v>
      </c>
      <c r="L41" t="s">
        <v>574</v>
      </c>
      <c r="M41" t="s">
        <v>574</v>
      </c>
    </row>
    <row r="42" spans="2:13">
      <c r="B42" t="s">
        <v>1989</v>
      </c>
      <c r="C42">
        <f>1/INDEX($H$4:$H$64,MATCH(tblXrate[[#This Row],[Currency]],$I$4:$I$64,0))</f>
        <v>5.6561085972850679E-2</v>
      </c>
      <c r="G42" s="6" t="s">
        <v>3957</v>
      </c>
      <c r="H42" s="6">
        <v>3.75</v>
      </c>
      <c r="I42" s="6" t="s">
        <v>3958</v>
      </c>
      <c r="L42" t="s">
        <v>1991</v>
      </c>
      <c r="M42" t="s">
        <v>1991</v>
      </c>
    </row>
    <row r="43" spans="2:13">
      <c r="G43" s="6" t="s">
        <v>3959</v>
      </c>
      <c r="H43" s="6">
        <v>1.2677099999999999</v>
      </c>
      <c r="I43" s="6" t="s">
        <v>1159</v>
      </c>
      <c r="L43" t="s">
        <v>983</v>
      </c>
      <c r="M43" t="s">
        <v>983</v>
      </c>
    </row>
    <row r="44" spans="2:13">
      <c r="G44" s="6" t="s">
        <v>3960</v>
      </c>
      <c r="H44" s="6">
        <v>8.2019800000000007</v>
      </c>
      <c r="I44" s="6" t="s">
        <v>585</v>
      </c>
      <c r="L44" t="s">
        <v>1956</v>
      </c>
      <c r="M44" t="s">
        <v>983</v>
      </c>
    </row>
    <row r="45" spans="2:13">
      <c r="G45" s="6" t="s">
        <v>3961</v>
      </c>
      <c r="H45" s="6">
        <v>1151.0899999999999</v>
      </c>
      <c r="I45" s="6" t="s">
        <v>3962</v>
      </c>
      <c r="L45" t="s">
        <v>1623</v>
      </c>
      <c r="M45" t="s">
        <v>983</v>
      </c>
    </row>
    <row r="46" spans="2:13">
      <c r="G46" s="6" t="s">
        <v>3963</v>
      </c>
      <c r="H46" s="6">
        <v>132.90700000000001</v>
      </c>
      <c r="I46" s="6" t="s">
        <v>1147</v>
      </c>
      <c r="L46" t="s">
        <v>515</v>
      </c>
      <c r="M46" t="s">
        <v>515</v>
      </c>
    </row>
    <row r="47" spans="2:13">
      <c r="G47" s="6" t="s">
        <v>3964</v>
      </c>
      <c r="H47" s="6">
        <v>6.9611099999999997</v>
      </c>
      <c r="I47" s="6" t="s">
        <v>445</v>
      </c>
      <c r="L47" t="s">
        <v>106</v>
      </c>
      <c r="M47" t="s">
        <v>106</v>
      </c>
    </row>
    <row r="48" spans="2:13">
      <c r="G48" s="6" t="s">
        <v>3965</v>
      </c>
      <c r="H48" s="6">
        <v>0.94529300000000005</v>
      </c>
      <c r="I48" s="6" t="s">
        <v>1881</v>
      </c>
      <c r="L48" t="s">
        <v>113</v>
      </c>
      <c r="M48" t="s">
        <v>106</v>
      </c>
    </row>
    <row r="49" spans="7:13">
      <c r="G49" s="6" t="s">
        <v>3966</v>
      </c>
      <c r="H49" s="6">
        <v>29.859400000000001</v>
      </c>
      <c r="I49" s="6" t="s">
        <v>3967</v>
      </c>
      <c r="L49" t="s">
        <v>24</v>
      </c>
      <c r="M49" t="s">
        <v>24</v>
      </c>
    </row>
    <row r="50" spans="7:13">
      <c r="G50" s="6" t="s">
        <v>3968</v>
      </c>
      <c r="H50" s="6">
        <v>31.500299999999999</v>
      </c>
      <c r="I50" s="6" t="s">
        <v>3969</v>
      </c>
      <c r="L50" t="s">
        <v>1503</v>
      </c>
      <c r="M50" t="s">
        <v>1503</v>
      </c>
    </row>
    <row r="51" spans="7:13">
      <c r="G51" s="6" t="s">
        <v>3970</v>
      </c>
      <c r="H51" s="6">
        <v>6.3912199999999997</v>
      </c>
      <c r="I51" s="6" t="s">
        <v>3971</v>
      </c>
      <c r="L51" t="s">
        <v>169</v>
      </c>
      <c r="M51" t="s">
        <v>169</v>
      </c>
    </row>
    <row r="52" spans="7:13">
      <c r="G52" s="6" t="s">
        <v>3972</v>
      </c>
      <c r="H52" s="6">
        <v>1.79447</v>
      </c>
      <c r="I52" s="6" t="s">
        <v>3973</v>
      </c>
      <c r="L52" t="s">
        <v>680</v>
      </c>
      <c r="M52" t="s">
        <v>680</v>
      </c>
    </row>
    <row r="53" spans="7:13">
      <c r="G53" s="6" t="s">
        <v>3974</v>
      </c>
      <c r="H53" s="6">
        <v>4.2940199999999997</v>
      </c>
      <c r="I53" s="6" t="s">
        <v>3975</v>
      </c>
      <c r="L53" t="s">
        <v>1933</v>
      </c>
      <c r="M53" t="s">
        <v>1933</v>
      </c>
    </row>
    <row r="54" spans="7:13">
      <c r="G54" s="6" t="s">
        <v>3977</v>
      </c>
      <c r="H54" s="6">
        <v>3.6735099999999998</v>
      </c>
      <c r="I54" s="6" t="s">
        <v>358</v>
      </c>
      <c r="L54" t="s">
        <v>38</v>
      </c>
      <c r="M54" t="s">
        <v>38</v>
      </c>
    </row>
    <row r="55" spans="7:13">
      <c r="G55" s="6" t="s">
        <v>3980</v>
      </c>
      <c r="H55" s="6">
        <v>81.827399999999997</v>
      </c>
      <c r="I55" s="6" t="s">
        <v>483</v>
      </c>
      <c r="L55" t="s">
        <v>21</v>
      </c>
      <c r="M55" t="s">
        <v>21</v>
      </c>
    </row>
    <row r="56" spans="7:13">
      <c r="G56" s="6" t="s">
        <v>3981</v>
      </c>
      <c r="H56" s="6">
        <v>498.05</v>
      </c>
      <c r="I56" s="6" t="s">
        <v>3982</v>
      </c>
      <c r="L56" t="s">
        <v>8</v>
      </c>
      <c r="M56" t="s">
        <v>8</v>
      </c>
    </row>
    <row r="57" spans="7:13">
      <c r="G57" s="6" t="s">
        <v>3983</v>
      </c>
      <c r="H57" s="6">
        <v>6.0510000000000002</v>
      </c>
      <c r="I57" s="6" t="s">
        <v>847</v>
      </c>
      <c r="L57" t="s">
        <v>726</v>
      </c>
      <c r="M57" t="s">
        <v>726</v>
      </c>
    </row>
    <row r="58" spans="7:13">
      <c r="G58" s="6" t="s">
        <v>3985</v>
      </c>
      <c r="H58" s="6">
        <v>162.25</v>
      </c>
      <c r="I58" s="6" t="s">
        <v>3984</v>
      </c>
      <c r="L58" t="s">
        <v>954</v>
      </c>
      <c r="M58" t="s">
        <v>726</v>
      </c>
    </row>
    <row r="59" spans="7:13">
      <c r="G59" s="6" t="s">
        <v>3987</v>
      </c>
      <c r="H59" s="6">
        <v>38.950000000000003</v>
      </c>
      <c r="I59" s="6" t="s">
        <v>3986</v>
      </c>
      <c r="L59" t="s">
        <v>512</v>
      </c>
      <c r="M59" t="s">
        <v>1078</v>
      </c>
    </row>
    <row r="60" spans="7:13">
      <c r="G60" s="6" t="s">
        <v>3988</v>
      </c>
      <c r="H60" s="6">
        <v>3.3298399999999999</v>
      </c>
      <c r="I60" s="6" t="s">
        <v>1337</v>
      </c>
      <c r="L60" t="s">
        <v>36</v>
      </c>
      <c r="M60" t="s">
        <v>36</v>
      </c>
    </row>
    <row r="61" spans="7:13">
      <c r="G61" s="6" t="s">
        <v>3989</v>
      </c>
      <c r="H61" s="6">
        <v>83.5</v>
      </c>
      <c r="I61" s="6" t="s">
        <v>1344</v>
      </c>
      <c r="L61" t="s">
        <v>416</v>
      </c>
      <c r="M61" t="s">
        <v>416</v>
      </c>
    </row>
    <row r="62" spans="7:13">
      <c r="G62" s="6" t="s">
        <v>3990</v>
      </c>
      <c r="H62" s="6">
        <v>1322</v>
      </c>
      <c r="I62" s="6" t="s">
        <v>3991</v>
      </c>
      <c r="L62" t="s">
        <v>895</v>
      </c>
      <c r="M62" t="s">
        <v>1351</v>
      </c>
    </row>
    <row r="63" spans="7:13">
      <c r="G63" s="6" t="s">
        <v>3992</v>
      </c>
      <c r="H63" s="6">
        <v>8.73</v>
      </c>
      <c r="I63" s="6" t="s">
        <v>1729</v>
      </c>
      <c r="L63" t="s">
        <v>654</v>
      </c>
      <c r="M63" t="s">
        <v>654</v>
      </c>
    </row>
    <row r="64" spans="7:13">
      <c r="G64" s="6" t="s">
        <v>3993</v>
      </c>
      <c r="H64" s="6">
        <v>17.68</v>
      </c>
      <c r="I64" s="6" t="s">
        <v>1989</v>
      </c>
      <c r="L64" t="s">
        <v>1344</v>
      </c>
      <c r="M64" t="s">
        <v>1344</v>
      </c>
    </row>
    <row r="65" spans="12:13">
      <c r="L65" t="s">
        <v>1176</v>
      </c>
      <c r="M65" t="s">
        <v>1176</v>
      </c>
    </row>
    <row r="66" spans="12:13">
      <c r="L66" t="s">
        <v>1043</v>
      </c>
      <c r="M66" t="s">
        <v>1043</v>
      </c>
    </row>
    <row r="67" spans="12:13">
      <c r="L67" t="s">
        <v>1371</v>
      </c>
      <c r="M67" t="s">
        <v>1371</v>
      </c>
    </row>
    <row r="68" spans="12:13">
      <c r="L68" t="s">
        <v>1745</v>
      </c>
      <c r="M68" t="s">
        <v>1745</v>
      </c>
    </row>
    <row r="69" spans="12:13">
      <c r="L69" t="s">
        <v>1700</v>
      </c>
      <c r="M69" t="s">
        <v>1700</v>
      </c>
    </row>
    <row r="70" spans="12:13">
      <c r="L70" t="s">
        <v>818</v>
      </c>
      <c r="M70" t="s">
        <v>818</v>
      </c>
    </row>
    <row r="71" spans="12:13">
      <c r="L71" t="s">
        <v>1118</v>
      </c>
      <c r="M71" t="s">
        <v>1131</v>
      </c>
    </row>
    <row r="72" spans="12:13">
      <c r="L72" t="s">
        <v>1679</v>
      </c>
      <c r="M72" t="s">
        <v>1131</v>
      </c>
    </row>
    <row r="73" spans="12:13">
      <c r="L73" t="s">
        <v>1771</v>
      </c>
      <c r="M73" t="s">
        <v>1771</v>
      </c>
    </row>
    <row r="74" spans="12:13">
      <c r="L74" t="s">
        <v>166</v>
      </c>
      <c r="M74" t="s">
        <v>166</v>
      </c>
    </row>
    <row r="75" spans="12:13">
      <c r="L75" t="s">
        <v>1031</v>
      </c>
      <c r="M75" t="s">
        <v>166</v>
      </c>
    </row>
    <row r="76" spans="12:13">
      <c r="L76" t="s">
        <v>1411</v>
      </c>
      <c r="M76" t="s">
        <v>1411</v>
      </c>
    </row>
    <row r="77" spans="12:13">
      <c r="L77" t="s">
        <v>1291</v>
      </c>
      <c r="M77" t="s">
        <v>1291</v>
      </c>
    </row>
    <row r="78" spans="12:13">
      <c r="L78" t="s">
        <v>1731</v>
      </c>
      <c r="M78" t="s">
        <v>1731</v>
      </c>
    </row>
    <row r="79" spans="12:13">
      <c r="L79" t="s">
        <v>577</v>
      </c>
      <c r="M79" t="s">
        <v>4009</v>
      </c>
    </row>
    <row r="80" spans="12:13">
      <c r="L80" t="s">
        <v>1444</v>
      </c>
      <c r="M80" t="s">
        <v>1444</v>
      </c>
    </row>
    <row r="81" spans="12:13">
      <c r="L81" t="s">
        <v>1620</v>
      </c>
      <c r="M81" t="s">
        <v>1444</v>
      </c>
    </row>
    <row r="82" spans="12:13">
      <c r="L82" t="s">
        <v>628</v>
      </c>
      <c r="M82" t="s">
        <v>628</v>
      </c>
    </row>
    <row r="83" spans="12:13">
      <c r="L83" t="s">
        <v>96</v>
      </c>
      <c r="M83" t="s">
        <v>628</v>
      </c>
    </row>
    <row r="84" spans="12:13">
      <c r="L84" t="s">
        <v>1690</v>
      </c>
      <c r="M84" t="s">
        <v>628</v>
      </c>
    </row>
    <row r="85" spans="12:13">
      <c r="L85" t="s">
        <v>672</v>
      </c>
      <c r="M85" t="s">
        <v>672</v>
      </c>
    </row>
    <row r="86" spans="12:13">
      <c r="L86" t="s">
        <v>636</v>
      </c>
      <c r="M86" t="s">
        <v>672</v>
      </c>
    </row>
    <row r="87" spans="12:13">
      <c r="L87" t="s">
        <v>1099</v>
      </c>
      <c r="M87" t="s">
        <v>672</v>
      </c>
    </row>
    <row r="88" spans="12:13">
      <c r="L88" t="s">
        <v>1609</v>
      </c>
      <c r="M88" t="s">
        <v>672</v>
      </c>
    </row>
    <row r="89" spans="12:13">
      <c r="L89" t="s">
        <v>870</v>
      </c>
      <c r="M89" t="s">
        <v>870</v>
      </c>
    </row>
    <row r="90" spans="12:13">
      <c r="L90" t="s">
        <v>583</v>
      </c>
      <c r="M90" t="s">
        <v>583</v>
      </c>
    </row>
    <row r="91" spans="12:13">
      <c r="L91" t="s">
        <v>2004</v>
      </c>
      <c r="M91" t="s">
        <v>2004</v>
      </c>
    </row>
    <row r="92" spans="12:13">
      <c r="L92" t="s">
        <v>17</v>
      </c>
      <c r="M92" t="s">
        <v>17</v>
      </c>
    </row>
    <row r="93" spans="12:13">
      <c r="L93" t="s">
        <v>1381</v>
      </c>
      <c r="M93" t="s">
        <v>17</v>
      </c>
    </row>
    <row r="94" spans="12:13">
      <c r="L94" t="s">
        <v>136</v>
      </c>
      <c r="M94" t="s">
        <v>136</v>
      </c>
    </row>
    <row r="95" spans="12:13">
      <c r="L95" t="s">
        <v>1156</v>
      </c>
      <c r="M95" t="s">
        <v>1156</v>
      </c>
    </row>
    <row r="96" spans="12:13">
      <c r="L96" t="s">
        <v>1722</v>
      </c>
      <c r="M96" t="s">
        <v>1722</v>
      </c>
    </row>
    <row r="97" spans="12:13">
      <c r="L97" t="s">
        <v>347</v>
      </c>
      <c r="M97" t="s">
        <v>347</v>
      </c>
    </row>
    <row r="98" spans="12:13">
      <c r="L98" t="s">
        <v>75</v>
      </c>
      <c r="M98" t="s">
        <v>75</v>
      </c>
    </row>
    <row r="99" spans="12:13">
      <c r="L99" t="s">
        <v>30</v>
      </c>
      <c r="M99" t="s">
        <v>30</v>
      </c>
    </row>
    <row r="100" spans="12:13">
      <c r="L100" t="s">
        <v>1011</v>
      </c>
      <c r="M100" t="s">
        <v>1011</v>
      </c>
    </row>
    <row r="101" spans="12:13">
      <c r="L101" t="s">
        <v>567</v>
      </c>
      <c r="M101" t="s">
        <v>567</v>
      </c>
    </row>
    <row r="102" spans="12:13">
      <c r="L102" t="s">
        <v>1306</v>
      </c>
      <c r="M102" t="s">
        <v>526</v>
      </c>
    </row>
    <row r="103" spans="12:13">
      <c r="L103" t="s">
        <v>73</v>
      </c>
      <c r="M103" t="s">
        <v>73</v>
      </c>
    </row>
    <row r="104" spans="12:13">
      <c r="L104" t="s">
        <v>65</v>
      </c>
      <c r="M104" t="s">
        <v>65</v>
      </c>
    </row>
    <row r="105" spans="12:13">
      <c r="L105" t="s">
        <v>133</v>
      </c>
      <c r="M105" t="s">
        <v>133</v>
      </c>
    </row>
    <row r="106" spans="12:13">
      <c r="L106" t="s">
        <v>773</v>
      </c>
      <c r="M106" t="s">
        <v>133</v>
      </c>
    </row>
    <row r="107" spans="12:13">
      <c r="L107" t="s">
        <v>1494</v>
      </c>
      <c r="M107" t="s">
        <v>133</v>
      </c>
    </row>
    <row r="108" spans="12:13">
      <c r="L108" t="s">
        <v>644</v>
      </c>
      <c r="M108" t="s">
        <v>644</v>
      </c>
    </row>
    <row r="109" spans="12:13">
      <c r="L109" t="s">
        <v>171</v>
      </c>
      <c r="M109" t="s">
        <v>171</v>
      </c>
    </row>
    <row r="110" spans="12:13">
      <c r="L110" t="s">
        <v>1804</v>
      </c>
      <c r="M110" t="s">
        <v>1804</v>
      </c>
    </row>
    <row r="111" spans="12:13">
      <c r="L111" t="s">
        <v>1066</v>
      </c>
      <c r="M111" t="s">
        <v>1066</v>
      </c>
    </row>
    <row r="112" spans="12:13">
      <c r="L112" t="s">
        <v>548</v>
      </c>
      <c r="M112" t="s">
        <v>548</v>
      </c>
    </row>
    <row r="113" spans="12:13">
      <c r="L113" t="s">
        <v>48</v>
      </c>
      <c r="M113" t="s">
        <v>48</v>
      </c>
    </row>
    <row r="114" spans="12:13">
      <c r="L114" t="s">
        <v>1607</v>
      </c>
      <c r="M114" t="s">
        <v>48</v>
      </c>
    </row>
    <row r="115" spans="12:13">
      <c r="L115" t="s">
        <v>120</v>
      </c>
      <c r="M115" t="s">
        <v>48</v>
      </c>
    </row>
    <row r="116" spans="12:13">
      <c r="L116" t="s">
        <v>608</v>
      </c>
      <c r="M116" t="s">
        <v>608</v>
      </c>
    </row>
    <row r="117" spans="12:13">
      <c r="L117" t="s">
        <v>716</v>
      </c>
      <c r="M117" t="s">
        <v>716</v>
      </c>
    </row>
    <row r="118" spans="12:13">
      <c r="L118" t="s">
        <v>1434</v>
      </c>
      <c r="M118" t="s">
        <v>716</v>
      </c>
    </row>
    <row r="119" spans="12:13">
      <c r="L119" t="s">
        <v>447</v>
      </c>
      <c r="M119" t="s">
        <v>447</v>
      </c>
    </row>
    <row r="120" spans="12:13">
      <c r="L120" t="s">
        <v>46</v>
      </c>
      <c r="M120" t="s">
        <v>46</v>
      </c>
    </row>
    <row r="121" spans="12:13">
      <c r="L121" t="s">
        <v>299</v>
      </c>
      <c r="M121" t="s">
        <v>299</v>
      </c>
    </row>
    <row r="122" spans="12:13">
      <c r="L122" t="s">
        <v>748</v>
      </c>
      <c r="M122" t="s">
        <v>299</v>
      </c>
    </row>
    <row r="123" spans="12:13">
      <c r="L123" t="s">
        <v>1809</v>
      </c>
      <c r="M123" t="s">
        <v>1809</v>
      </c>
    </row>
    <row r="124" spans="12:13">
      <c r="L124" t="s">
        <v>197</v>
      </c>
      <c r="M124" t="s">
        <v>197</v>
      </c>
    </row>
    <row r="125" spans="12:13">
      <c r="L125" t="s">
        <v>179</v>
      </c>
      <c r="M125" t="s">
        <v>179</v>
      </c>
    </row>
    <row r="126" spans="12:13">
      <c r="L126" t="s">
        <v>126</v>
      </c>
      <c r="M126" t="s">
        <v>179</v>
      </c>
    </row>
    <row r="127" spans="12:13">
      <c r="L127" t="s">
        <v>492</v>
      </c>
      <c r="M127" t="s">
        <v>179</v>
      </c>
    </row>
    <row r="128" spans="12:13">
      <c r="L128" t="s">
        <v>1458</v>
      </c>
      <c r="M128" t="s">
        <v>1458</v>
      </c>
    </row>
    <row r="129" spans="12:13">
      <c r="L129" t="s">
        <v>71</v>
      </c>
      <c r="M129" t="s">
        <v>71</v>
      </c>
    </row>
    <row r="130" spans="12:13">
      <c r="L130" t="s">
        <v>27</v>
      </c>
      <c r="M130" t="s">
        <v>27</v>
      </c>
    </row>
    <row r="131" spans="12:13">
      <c r="L131" t="s">
        <v>989</v>
      </c>
      <c r="M131" t="s">
        <v>989</v>
      </c>
    </row>
    <row r="132" spans="12:13">
      <c r="L132" t="s">
        <v>15</v>
      </c>
      <c r="M132" t="s">
        <v>15</v>
      </c>
    </row>
    <row r="133" spans="12:13">
      <c r="L133" t="s">
        <v>56</v>
      </c>
      <c r="M133" t="s">
        <v>15</v>
      </c>
    </row>
    <row r="134" spans="12:13">
      <c r="L134" t="s">
        <v>1027</v>
      </c>
      <c r="M134" t="s">
        <v>1676</v>
      </c>
    </row>
    <row r="135" spans="12:13">
      <c r="L135" t="s">
        <v>1676</v>
      </c>
      <c r="M135" t="s">
        <v>1676</v>
      </c>
    </row>
    <row r="136" spans="12:13">
      <c r="L136" t="s">
        <v>1086</v>
      </c>
      <c r="M136" t="s">
        <v>1086</v>
      </c>
    </row>
    <row r="137" spans="12:13">
      <c r="L137" t="s">
        <v>1055</v>
      </c>
      <c r="M137" t="s">
        <v>1055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Dashboard</vt:lpstr>
      <vt:lpstr>Analysis</vt:lpstr>
      <vt:lpstr>Data</vt:lpstr>
      <vt:lpstr>mapping</vt:lpstr>
      <vt:lpstr>flagBenchmark</vt:lpstr>
      <vt:lpstr>flagCountries</vt:lpstr>
      <vt:lpstr>listCountries2</vt:lpstr>
      <vt:lpstr>numC1JobTitles</vt:lpstr>
      <vt:lpstr>numC2JobTitles</vt:lpstr>
      <vt:lpstr>numRankCountries</vt:lpstr>
      <vt:lpstr>numRankCountries2</vt:lpstr>
      <vt:lpstr>Dashboard!Print_Area</vt:lpstr>
      <vt:lpstr>selectC1</vt:lpstr>
      <vt:lpstr>selectC2</vt:lpstr>
      <vt:lpstr>selectCountry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MCYager</cp:lastModifiedBy>
  <dcterms:created xsi:type="dcterms:W3CDTF">2012-06-21T06:10:20Z</dcterms:created>
  <dcterms:modified xsi:type="dcterms:W3CDTF">2012-07-08T06:16:45Z</dcterms:modified>
</cp:coreProperties>
</file>