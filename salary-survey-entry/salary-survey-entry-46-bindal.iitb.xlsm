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80" yWindow="1800" windowWidth="20730" windowHeight="10905"/>
  </bookViews>
  <sheets>
    <sheet name="Analysis" sheetId="4" r:id="rId1"/>
    <sheet name="Data" sheetId="1" r:id="rId2"/>
    <sheet name="Country to Region" sheetId="3" r:id="rId3"/>
  </sheets>
  <definedNames>
    <definedName name="chartdata1" localSheetId="0">OFFSET(Analysis!$AO$11,0,0,Analysis!$C$134-1,1)</definedName>
    <definedName name="chartdata10">OFFSET(Analysis!$AX$11,0,0,Analysis!$C$134-1,1)</definedName>
    <definedName name="chartdata11">OFFSET(Analysis!$AY$11,0,0,Analysis!$C$134-1,1)</definedName>
    <definedName name="chartdata2">OFFSET(Analysis!$AP$11,0,0,Analysis!$C$134-1,1)</definedName>
    <definedName name="chartdata3">OFFSET(Analysis!$AQ$11,0,0,Analysis!$C$134-1,1)</definedName>
    <definedName name="chartdata4">OFFSET(Analysis!$AR$11,0,0,Analysis!$C$134-1,1)</definedName>
    <definedName name="chartdata5">OFFSET(Analysis!$AS$11,0,0,Analysis!$C$134-1,1)</definedName>
    <definedName name="chartdata6">OFFSET(Analysis!$AT$11,0,0,Analysis!$C$134-1,1)</definedName>
    <definedName name="chartdata7">OFFSET(Analysis!$AU$11,0,0,Analysis!$C$134-1,1)</definedName>
    <definedName name="chartdata8">OFFSET(Analysis!$AV$11,0,0,Analysis!$C$134-1,1)</definedName>
    <definedName name="chartdata9">OFFSET(Analysis!$AW$11,0,0,Analysis!$C$134-1,1)</definedName>
    <definedName name="chartrange" localSheetId="0">OFFSET(Analysis!$AN$11,0,0,Analysis!$C$134-1,1)</definedName>
    <definedName name="plstRegions">Analysis!$B$10:$W$10</definedName>
    <definedName name="valRegionPicked">Analysis!$AL$10</definedName>
  </definedNames>
  <calcPr calcId="145621"/>
</workbook>
</file>

<file path=xl/calcChain.xml><?xml version="1.0" encoding="utf-8"?>
<calcChain xmlns="http://schemas.openxmlformats.org/spreadsheetml/2006/main">
  <c r="D71" i="4" l="1"/>
  <c r="E71" i="4" s="1"/>
  <c r="F71" i="4" s="1"/>
  <c r="G71" i="4" s="1"/>
  <c r="H71" i="4" s="1"/>
  <c r="I71" i="4" s="1"/>
  <c r="J71" i="4" s="1"/>
  <c r="K71" i="4" s="1"/>
  <c r="L71" i="4" s="1"/>
  <c r="M71" i="4" s="1"/>
  <c r="N71" i="4" s="1"/>
  <c r="O71" i="4" s="1"/>
  <c r="P71" i="4" s="1"/>
  <c r="Q71" i="4" s="1"/>
  <c r="R71" i="4" s="1"/>
  <c r="S71" i="4" s="1"/>
  <c r="T71" i="4" s="1"/>
  <c r="U71" i="4" s="1"/>
  <c r="V71" i="4" s="1"/>
  <c r="W71" i="4" s="1"/>
  <c r="W61" i="4"/>
  <c r="W62" i="4" s="1"/>
  <c r="W63" i="4" s="1"/>
  <c r="W64" i="4" s="1"/>
  <c r="W65" i="4" s="1"/>
  <c r="W66" i="4" s="1"/>
  <c r="W67" i="4" s="1"/>
  <c r="W68" i="4" s="1"/>
  <c r="W69" i="4" s="1"/>
  <c r="W70" i="4" s="1"/>
  <c r="F135" i="4" l="1"/>
  <c r="A149" i="4" l="1"/>
  <c r="A148" i="4"/>
  <c r="C134" i="4"/>
  <c r="AK10" i="4"/>
  <c r="A20" i="4" l="1"/>
  <c r="AN20" i="4" s="1"/>
  <c r="A19" i="4"/>
  <c r="AN19" i="4" s="1"/>
  <c r="A18" i="4"/>
  <c r="AN18" i="4" s="1"/>
  <c r="A17" i="4"/>
  <c r="AN17" i="4" s="1"/>
  <c r="A16" i="4"/>
  <c r="AN16" i="4" s="1"/>
  <c r="A15" i="4"/>
  <c r="AN15" i="4" s="1"/>
  <c r="A14" i="4"/>
  <c r="AN14" i="4" s="1"/>
  <c r="A13" i="4"/>
  <c r="AN13" i="4" s="1"/>
  <c r="A12" i="4"/>
  <c r="AN12" i="4" s="1"/>
  <c r="B120" i="4"/>
  <c r="B121" i="4" s="1"/>
  <c r="B122" i="4" s="1"/>
  <c r="B123" i="4" s="1"/>
  <c r="B124" i="4" s="1"/>
  <c r="B125" i="4" s="1"/>
  <c r="B103" i="4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83" i="4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62" i="4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GQ123" i="4" a="1"/>
  <c r="GQ123" i="4" s="1"/>
  <c r="GP123" i="4" a="1"/>
  <c r="GP123" i="4" s="1"/>
  <c r="GO123" i="4" a="1"/>
  <c r="GO123" i="4" s="1"/>
  <c r="GN123" i="4" a="1"/>
  <c r="GN123" i="4" s="1"/>
  <c r="GM123" i="4" a="1"/>
  <c r="GM123" i="4" s="1"/>
  <c r="GL123" i="4" a="1"/>
  <c r="GL123" i="4" s="1"/>
  <c r="GK123" i="4" a="1"/>
  <c r="GK123" i="4" s="1"/>
  <c r="GJ123" i="4" a="1"/>
  <c r="GJ123" i="4" s="1"/>
  <c r="GI123" i="4" a="1"/>
  <c r="GI123" i="4" s="1"/>
  <c r="GH123" i="4" a="1"/>
  <c r="GH123" i="4" s="1"/>
  <c r="GG123" i="4" a="1"/>
  <c r="GG123" i="4" s="1"/>
  <c r="GF123" i="4" a="1"/>
  <c r="GF123" i="4" s="1"/>
  <c r="GE123" i="4" a="1"/>
  <c r="GE123" i="4" s="1"/>
  <c r="GD123" i="4" a="1"/>
  <c r="GD123" i="4" s="1"/>
  <c r="GC123" i="4" a="1"/>
  <c r="GC123" i="4" s="1"/>
  <c r="GB123" i="4" a="1"/>
  <c r="GB123" i="4" s="1"/>
  <c r="GA123" i="4" a="1"/>
  <c r="GA123" i="4" s="1"/>
  <c r="FZ123" i="4" a="1"/>
  <c r="FZ123" i="4" s="1"/>
  <c r="FY123" i="4" a="1"/>
  <c r="FY123" i="4" s="1"/>
  <c r="FX123" i="4" a="1"/>
  <c r="FX123" i="4" s="1"/>
  <c r="FW123" i="4" a="1"/>
  <c r="FW123" i="4" s="1"/>
  <c r="FV123" i="4" a="1"/>
  <c r="FV123" i="4" s="1"/>
  <c r="FU123" i="4" a="1"/>
  <c r="FU123" i="4" s="1"/>
  <c r="FT123" i="4" a="1"/>
  <c r="FT123" i="4" s="1"/>
  <c r="GQ122" i="4" a="1"/>
  <c r="GQ122" i="4" s="1"/>
  <c r="GP122" i="4" a="1"/>
  <c r="GP122" i="4" s="1"/>
  <c r="GO122" i="4" a="1"/>
  <c r="GO122" i="4" s="1"/>
  <c r="GN122" i="4" a="1"/>
  <c r="GN122" i="4" s="1"/>
  <c r="GM122" i="4" a="1"/>
  <c r="GM122" i="4" s="1"/>
  <c r="GL122" i="4" a="1"/>
  <c r="GL122" i="4" s="1"/>
  <c r="GK122" i="4" a="1"/>
  <c r="GK122" i="4" s="1"/>
  <c r="GJ122" i="4" a="1"/>
  <c r="GJ122" i="4" s="1"/>
  <c r="GI122" i="4" a="1"/>
  <c r="GI122" i="4" s="1"/>
  <c r="GH122" i="4" a="1"/>
  <c r="GH122" i="4" s="1"/>
  <c r="GG122" i="4" a="1"/>
  <c r="GG122" i="4" s="1"/>
  <c r="GF122" i="4" a="1"/>
  <c r="GF122" i="4" s="1"/>
  <c r="GE122" i="4" a="1"/>
  <c r="GE122" i="4" s="1"/>
  <c r="GD122" i="4" a="1"/>
  <c r="GD122" i="4" s="1"/>
  <c r="GC122" i="4" a="1"/>
  <c r="GC122" i="4" s="1"/>
  <c r="GB122" i="4" a="1"/>
  <c r="GB122" i="4" s="1"/>
  <c r="GA122" i="4" a="1"/>
  <c r="GA122" i="4" s="1"/>
  <c r="FZ122" i="4" a="1"/>
  <c r="FZ122" i="4" s="1"/>
  <c r="FY122" i="4" a="1"/>
  <c r="FY122" i="4" s="1"/>
  <c r="FX122" i="4" a="1"/>
  <c r="FX122" i="4" s="1"/>
  <c r="FW122" i="4" a="1"/>
  <c r="FW122" i="4" s="1"/>
  <c r="FV122" i="4" a="1"/>
  <c r="FV122" i="4" s="1"/>
  <c r="FU122" i="4" a="1"/>
  <c r="FU122" i="4" s="1"/>
  <c r="FT122" i="4" a="1"/>
  <c r="FT122" i="4" s="1"/>
  <c r="GQ121" i="4" a="1"/>
  <c r="GQ121" i="4" s="1"/>
  <c r="GP121" i="4" a="1"/>
  <c r="GP121" i="4" s="1"/>
  <c r="GO121" i="4" a="1"/>
  <c r="GO121" i="4" s="1"/>
  <c r="GN121" i="4" a="1"/>
  <c r="GN121" i="4" s="1"/>
  <c r="GM121" i="4" a="1"/>
  <c r="GM121" i="4" s="1"/>
  <c r="GL121" i="4" a="1"/>
  <c r="GL121" i="4" s="1"/>
  <c r="GK121" i="4" a="1"/>
  <c r="GK121" i="4" s="1"/>
  <c r="GJ121" i="4" a="1"/>
  <c r="GJ121" i="4" s="1"/>
  <c r="GI121" i="4" a="1"/>
  <c r="GI121" i="4" s="1"/>
  <c r="GH121" i="4" a="1"/>
  <c r="GH121" i="4" s="1"/>
  <c r="GG121" i="4" a="1"/>
  <c r="GG121" i="4" s="1"/>
  <c r="GF121" i="4" a="1"/>
  <c r="GF121" i="4" s="1"/>
  <c r="GE121" i="4" a="1"/>
  <c r="GE121" i="4" s="1"/>
  <c r="GD121" i="4" a="1"/>
  <c r="GD121" i="4" s="1"/>
  <c r="GC121" i="4" a="1"/>
  <c r="GC121" i="4" s="1"/>
  <c r="GB121" i="4" a="1"/>
  <c r="GB121" i="4" s="1"/>
  <c r="GA121" i="4" a="1"/>
  <c r="GA121" i="4" s="1"/>
  <c r="FZ121" i="4" a="1"/>
  <c r="FZ121" i="4" s="1"/>
  <c r="FY121" i="4" a="1"/>
  <c r="FY121" i="4" s="1"/>
  <c r="FX121" i="4" a="1"/>
  <c r="FX121" i="4" s="1"/>
  <c r="FW121" i="4" a="1"/>
  <c r="FW121" i="4" s="1"/>
  <c r="FV121" i="4" a="1"/>
  <c r="FV121" i="4" s="1"/>
  <c r="FU121" i="4" a="1"/>
  <c r="FU121" i="4" s="1"/>
  <c r="FT121" i="4" a="1"/>
  <c r="FT121" i="4" s="1"/>
  <c r="GQ120" i="4" a="1"/>
  <c r="GQ120" i="4" s="1"/>
  <c r="GP120" i="4" a="1"/>
  <c r="GP120" i="4" s="1"/>
  <c r="GO120" i="4" a="1"/>
  <c r="GO120" i="4" s="1"/>
  <c r="GN120" i="4" a="1"/>
  <c r="GN120" i="4" s="1"/>
  <c r="GM120" i="4" a="1"/>
  <c r="GM120" i="4" s="1"/>
  <c r="GL120" i="4" a="1"/>
  <c r="GL120" i="4" s="1"/>
  <c r="GK120" i="4" a="1"/>
  <c r="GK120" i="4" s="1"/>
  <c r="GJ120" i="4" a="1"/>
  <c r="GJ120" i="4" s="1"/>
  <c r="GI120" i="4" a="1"/>
  <c r="GI120" i="4" s="1"/>
  <c r="GH120" i="4" a="1"/>
  <c r="GH120" i="4" s="1"/>
  <c r="GG120" i="4" a="1"/>
  <c r="GG120" i="4" s="1"/>
  <c r="GF120" i="4" a="1"/>
  <c r="GF120" i="4" s="1"/>
  <c r="GE120" i="4" a="1"/>
  <c r="GE120" i="4" s="1"/>
  <c r="GD120" i="4" a="1"/>
  <c r="GD120" i="4" s="1"/>
  <c r="GC120" i="4" a="1"/>
  <c r="GC120" i="4" s="1"/>
  <c r="GB120" i="4" a="1"/>
  <c r="GB120" i="4" s="1"/>
  <c r="GA120" i="4" a="1"/>
  <c r="GA120" i="4" s="1"/>
  <c r="FZ120" i="4" a="1"/>
  <c r="FZ120" i="4" s="1"/>
  <c r="FY120" i="4" a="1"/>
  <c r="FY120" i="4" s="1"/>
  <c r="FX120" i="4" a="1"/>
  <c r="FX120" i="4" s="1"/>
  <c r="FW120" i="4" a="1"/>
  <c r="FW120" i="4" s="1"/>
  <c r="FV120" i="4" a="1"/>
  <c r="FV120" i="4" s="1"/>
  <c r="FU120" i="4" a="1"/>
  <c r="FU120" i="4" s="1"/>
  <c r="FT120" i="4" a="1"/>
  <c r="FT120" i="4" s="1"/>
  <c r="GQ119" i="4" a="1"/>
  <c r="GQ119" i="4" s="1"/>
  <c r="GP119" i="4" a="1"/>
  <c r="GP119" i="4" s="1"/>
  <c r="GO119" i="4" a="1"/>
  <c r="GO119" i="4" s="1"/>
  <c r="GN119" i="4" a="1"/>
  <c r="GN119" i="4" s="1"/>
  <c r="GM119" i="4" a="1"/>
  <c r="GM119" i="4" s="1"/>
  <c r="GL119" i="4" a="1"/>
  <c r="GL119" i="4" s="1"/>
  <c r="GK119" i="4" a="1"/>
  <c r="GK119" i="4" s="1"/>
  <c r="GJ119" i="4" a="1"/>
  <c r="GJ119" i="4" s="1"/>
  <c r="GI119" i="4" a="1"/>
  <c r="GI119" i="4" s="1"/>
  <c r="GH119" i="4" a="1"/>
  <c r="GH119" i="4" s="1"/>
  <c r="GG119" i="4" a="1"/>
  <c r="GG119" i="4" s="1"/>
  <c r="GF119" i="4" a="1"/>
  <c r="GF119" i="4" s="1"/>
  <c r="GE119" i="4" a="1"/>
  <c r="GE119" i="4" s="1"/>
  <c r="GD119" i="4" a="1"/>
  <c r="GD119" i="4" s="1"/>
  <c r="GC119" i="4" a="1"/>
  <c r="GC119" i="4" s="1"/>
  <c r="GB119" i="4" a="1"/>
  <c r="GB119" i="4" s="1"/>
  <c r="GA119" i="4" a="1"/>
  <c r="GA119" i="4" s="1"/>
  <c r="FZ119" i="4" a="1"/>
  <c r="FZ119" i="4" s="1"/>
  <c r="FY119" i="4" a="1"/>
  <c r="FY119" i="4" s="1"/>
  <c r="FX119" i="4" a="1"/>
  <c r="FX119" i="4" s="1"/>
  <c r="FW119" i="4" a="1"/>
  <c r="FW119" i="4" s="1"/>
  <c r="FV119" i="4" a="1"/>
  <c r="FV119" i="4" s="1"/>
  <c r="FU119" i="4" a="1"/>
  <c r="FU119" i="4" s="1"/>
  <c r="FT119" i="4" a="1"/>
  <c r="FT119" i="4" s="1"/>
  <c r="FS123" i="4" a="1"/>
  <c r="FS123" i="4" s="1"/>
  <c r="FR123" i="4" a="1"/>
  <c r="FR123" i="4" s="1"/>
  <c r="FQ123" i="4" a="1"/>
  <c r="FQ123" i="4" s="1"/>
  <c r="FP123" i="4" a="1"/>
  <c r="FP123" i="4" s="1"/>
  <c r="FO123" i="4" a="1"/>
  <c r="FO123" i="4" s="1"/>
  <c r="FN123" i="4" a="1"/>
  <c r="FN123" i="4" s="1"/>
  <c r="FM123" i="4" a="1"/>
  <c r="FM123" i="4" s="1"/>
  <c r="FL123" i="4" a="1"/>
  <c r="FL123" i="4" s="1"/>
  <c r="FK123" i="4" a="1"/>
  <c r="FK123" i="4" s="1"/>
  <c r="FJ123" i="4" a="1"/>
  <c r="FJ123" i="4" s="1"/>
  <c r="FI123" i="4" a="1"/>
  <c r="FI123" i="4" s="1"/>
  <c r="FH123" i="4" a="1"/>
  <c r="FH123" i="4" s="1"/>
  <c r="FG123" i="4" a="1"/>
  <c r="FG123" i="4" s="1"/>
  <c r="FF123" i="4" a="1"/>
  <c r="FF123" i="4" s="1"/>
  <c r="FE123" i="4" a="1"/>
  <c r="FE123" i="4" s="1"/>
  <c r="FD123" i="4" a="1"/>
  <c r="FD123" i="4" s="1"/>
  <c r="FC123" i="4" a="1"/>
  <c r="FC123" i="4" s="1"/>
  <c r="FB123" i="4" a="1"/>
  <c r="FB123" i="4" s="1"/>
  <c r="FA123" i="4" a="1"/>
  <c r="FA123" i="4" s="1"/>
  <c r="EZ123" i="4" a="1"/>
  <c r="EZ123" i="4" s="1"/>
  <c r="EY123" i="4" a="1"/>
  <c r="EY123" i="4" s="1"/>
  <c r="EX123" i="4" a="1"/>
  <c r="EX123" i="4" s="1"/>
  <c r="EW123" i="4" a="1"/>
  <c r="EW123" i="4" s="1"/>
  <c r="EV123" i="4" a="1"/>
  <c r="EV123" i="4" s="1"/>
  <c r="FS122" i="4" a="1"/>
  <c r="FS122" i="4" s="1"/>
  <c r="FR122" i="4" a="1"/>
  <c r="FR122" i="4" s="1"/>
  <c r="FQ122" i="4" a="1"/>
  <c r="FQ122" i="4" s="1"/>
  <c r="FP122" i="4" a="1"/>
  <c r="FP122" i="4" s="1"/>
  <c r="FO122" i="4" a="1"/>
  <c r="FO122" i="4" s="1"/>
  <c r="FN122" i="4" a="1"/>
  <c r="FN122" i="4" s="1"/>
  <c r="FM122" i="4" a="1"/>
  <c r="FM122" i="4" s="1"/>
  <c r="FL122" i="4" a="1"/>
  <c r="FL122" i="4" s="1"/>
  <c r="FK122" i="4" a="1"/>
  <c r="FK122" i="4" s="1"/>
  <c r="FJ122" i="4" a="1"/>
  <c r="FJ122" i="4" s="1"/>
  <c r="FI122" i="4" a="1"/>
  <c r="FI122" i="4" s="1"/>
  <c r="FH122" i="4" a="1"/>
  <c r="FH122" i="4" s="1"/>
  <c r="FG122" i="4" a="1"/>
  <c r="FG122" i="4" s="1"/>
  <c r="FF122" i="4" a="1"/>
  <c r="FF122" i="4" s="1"/>
  <c r="FE122" i="4" a="1"/>
  <c r="FE122" i="4" s="1"/>
  <c r="FD122" i="4" a="1"/>
  <c r="FD122" i="4" s="1"/>
  <c r="FC122" i="4" a="1"/>
  <c r="FC122" i="4" s="1"/>
  <c r="FB122" i="4" a="1"/>
  <c r="FB122" i="4" s="1"/>
  <c r="FA122" i="4" a="1"/>
  <c r="FA122" i="4" s="1"/>
  <c r="EZ122" i="4" a="1"/>
  <c r="EZ122" i="4" s="1"/>
  <c r="EY122" i="4" a="1"/>
  <c r="EY122" i="4" s="1"/>
  <c r="EX122" i="4" a="1"/>
  <c r="EX122" i="4" s="1"/>
  <c r="EW122" i="4" a="1"/>
  <c r="EW122" i="4" s="1"/>
  <c r="EV122" i="4" a="1"/>
  <c r="EV122" i="4" s="1"/>
  <c r="FS121" i="4" a="1"/>
  <c r="FS121" i="4" s="1"/>
  <c r="FR121" i="4" a="1"/>
  <c r="FR121" i="4" s="1"/>
  <c r="FQ121" i="4" a="1"/>
  <c r="FQ121" i="4" s="1"/>
  <c r="FP121" i="4" a="1"/>
  <c r="FP121" i="4" s="1"/>
  <c r="FO121" i="4" a="1"/>
  <c r="FO121" i="4" s="1"/>
  <c r="FN121" i="4" a="1"/>
  <c r="FN121" i="4" s="1"/>
  <c r="FM121" i="4" a="1"/>
  <c r="FM121" i="4" s="1"/>
  <c r="FL121" i="4" a="1"/>
  <c r="FL121" i="4" s="1"/>
  <c r="FK121" i="4" a="1"/>
  <c r="FK121" i="4" s="1"/>
  <c r="FJ121" i="4" a="1"/>
  <c r="FJ121" i="4" s="1"/>
  <c r="FI121" i="4" a="1"/>
  <c r="FI121" i="4" s="1"/>
  <c r="FH121" i="4" a="1"/>
  <c r="FH121" i="4" s="1"/>
  <c r="FG121" i="4" a="1"/>
  <c r="FG121" i="4" s="1"/>
  <c r="FF121" i="4" a="1"/>
  <c r="FF121" i="4" s="1"/>
  <c r="FE121" i="4" a="1"/>
  <c r="FE121" i="4" s="1"/>
  <c r="FD121" i="4" a="1"/>
  <c r="FD121" i="4" s="1"/>
  <c r="FC121" i="4" a="1"/>
  <c r="FC121" i="4" s="1"/>
  <c r="FB121" i="4" a="1"/>
  <c r="FB121" i="4" s="1"/>
  <c r="FA121" i="4" a="1"/>
  <c r="FA121" i="4" s="1"/>
  <c r="EZ121" i="4" a="1"/>
  <c r="EZ121" i="4" s="1"/>
  <c r="EY121" i="4" a="1"/>
  <c r="EY121" i="4" s="1"/>
  <c r="EX121" i="4" a="1"/>
  <c r="EX121" i="4" s="1"/>
  <c r="EW121" i="4" a="1"/>
  <c r="EW121" i="4" s="1"/>
  <c r="EV121" i="4" a="1"/>
  <c r="EV121" i="4" s="1"/>
  <c r="FS120" i="4" a="1"/>
  <c r="FS120" i="4" s="1"/>
  <c r="FR120" i="4" a="1"/>
  <c r="FR120" i="4" s="1"/>
  <c r="FQ120" i="4" a="1"/>
  <c r="FQ120" i="4" s="1"/>
  <c r="FP120" i="4" a="1"/>
  <c r="FP120" i="4" s="1"/>
  <c r="FO120" i="4" a="1"/>
  <c r="FO120" i="4" s="1"/>
  <c r="FN120" i="4" a="1"/>
  <c r="FN120" i="4" s="1"/>
  <c r="FM120" i="4" a="1"/>
  <c r="FM120" i="4" s="1"/>
  <c r="FL120" i="4" a="1"/>
  <c r="FL120" i="4" s="1"/>
  <c r="FK120" i="4" a="1"/>
  <c r="FK120" i="4" s="1"/>
  <c r="FJ120" i="4" a="1"/>
  <c r="FJ120" i="4" s="1"/>
  <c r="FI120" i="4" a="1"/>
  <c r="FI120" i="4" s="1"/>
  <c r="FH120" i="4" a="1"/>
  <c r="FH120" i="4" s="1"/>
  <c r="FG120" i="4" a="1"/>
  <c r="FG120" i="4" s="1"/>
  <c r="FF120" i="4" a="1"/>
  <c r="FF120" i="4" s="1"/>
  <c r="FE120" i="4" a="1"/>
  <c r="FE120" i="4" s="1"/>
  <c r="FD120" i="4" a="1"/>
  <c r="FD120" i="4" s="1"/>
  <c r="FC120" i="4" a="1"/>
  <c r="FC120" i="4" s="1"/>
  <c r="FB120" i="4" a="1"/>
  <c r="FB120" i="4" s="1"/>
  <c r="FA120" i="4" a="1"/>
  <c r="FA120" i="4" s="1"/>
  <c r="EZ120" i="4" a="1"/>
  <c r="EZ120" i="4" s="1"/>
  <c r="EY120" i="4" a="1"/>
  <c r="EY120" i="4" s="1"/>
  <c r="EX120" i="4" a="1"/>
  <c r="EX120" i="4" s="1"/>
  <c r="EW120" i="4" a="1"/>
  <c r="EW120" i="4" s="1"/>
  <c r="EV120" i="4" a="1"/>
  <c r="EV120" i="4" s="1"/>
  <c r="FS119" i="4" a="1"/>
  <c r="FS119" i="4" s="1"/>
  <c r="FR119" i="4" a="1"/>
  <c r="FR119" i="4" s="1"/>
  <c r="FQ119" i="4" a="1"/>
  <c r="FQ119" i="4" s="1"/>
  <c r="FP119" i="4" a="1"/>
  <c r="FP119" i="4" s="1"/>
  <c r="FO119" i="4" a="1"/>
  <c r="FO119" i="4" s="1"/>
  <c r="FN119" i="4" a="1"/>
  <c r="FN119" i="4" s="1"/>
  <c r="FM119" i="4" a="1"/>
  <c r="FM119" i="4" s="1"/>
  <c r="FL119" i="4" a="1"/>
  <c r="FL119" i="4" s="1"/>
  <c r="FK119" i="4" a="1"/>
  <c r="FK119" i="4" s="1"/>
  <c r="FJ119" i="4" a="1"/>
  <c r="FJ119" i="4" s="1"/>
  <c r="FI119" i="4" a="1"/>
  <c r="FI119" i="4" s="1"/>
  <c r="FH119" i="4" a="1"/>
  <c r="FH119" i="4" s="1"/>
  <c r="FG119" i="4" a="1"/>
  <c r="FG119" i="4" s="1"/>
  <c r="FF119" i="4" a="1"/>
  <c r="FF119" i="4" s="1"/>
  <c r="FE119" i="4" a="1"/>
  <c r="FE119" i="4" s="1"/>
  <c r="FD119" i="4" a="1"/>
  <c r="FD119" i="4" s="1"/>
  <c r="FC119" i="4" a="1"/>
  <c r="FC119" i="4" s="1"/>
  <c r="FB119" i="4" a="1"/>
  <c r="FB119" i="4" s="1"/>
  <c r="FA119" i="4" a="1"/>
  <c r="FA119" i="4" s="1"/>
  <c r="EZ119" i="4" a="1"/>
  <c r="EZ119" i="4" s="1"/>
  <c r="EY119" i="4" a="1"/>
  <c r="EY119" i="4" s="1"/>
  <c r="EX119" i="4" a="1"/>
  <c r="EX119" i="4" s="1"/>
  <c r="EW119" i="4" a="1"/>
  <c r="EW119" i="4" s="1"/>
  <c r="EV119" i="4" a="1"/>
  <c r="EV119" i="4" s="1"/>
  <c r="EU123" i="4" a="1"/>
  <c r="EU123" i="4" s="1"/>
  <c r="ET123" i="4" a="1"/>
  <c r="ET123" i="4" s="1"/>
  <c r="ES123" i="4" a="1"/>
  <c r="ES123" i="4" s="1"/>
  <c r="ER123" i="4" a="1"/>
  <c r="ER123" i="4" s="1"/>
  <c r="EQ123" i="4" a="1"/>
  <c r="EQ123" i="4" s="1"/>
  <c r="EP123" i="4" a="1"/>
  <c r="EP123" i="4" s="1"/>
  <c r="EO123" i="4" a="1"/>
  <c r="EO123" i="4" s="1"/>
  <c r="EN123" i="4" a="1"/>
  <c r="EN123" i="4" s="1"/>
  <c r="EM123" i="4" a="1"/>
  <c r="EM123" i="4" s="1"/>
  <c r="EL123" i="4" a="1"/>
  <c r="EL123" i="4" s="1"/>
  <c r="EK123" i="4" a="1"/>
  <c r="EK123" i="4" s="1"/>
  <c r="EJ123" i="4" a="1"/>
  <c r="EJ123" i="4" s="1"/>
  <c r="EI123" i="4" a="1"/>
  <c r="EI123" i="4" s="1"/>
  <c r="EH123" i="4" a="1"/>
  <c r="EH123" i="4" s="1"/>
  <c r="EG123" i="4" a="1"/>
  <c r="EG123" i="4" s="1"/>
  <c r="EF123" i="4" a="1"/>
  <c r="EF123" i="4" s="1"/>
  <c r="EE123" i="4" a="1"/>
  <c r="EE123" i="4" s="1"/>
  <c r="ED123" i="4" a="1"/>
  <c r="ED123" i="4" s="1"/>
  <c r="EC123" i="4" a="1"/>
  <c r="EC123" i="4" s="1"/>
  <c r="EB123" i="4" a="1"/>
  <c r="EB123" i="4" s="1"/>
  <c r="EA123" i="4" a="1"/>
  <c r="EA123" i="4" s="1"/>
  <c r="DZ123" i="4" a="1"/>
  <c r="DZ123" i="4" s="1"/>
  <c r="DY123" i="4" a="1"/>
  <c r="DY123" i="4" s="1"/>
  <c r="DX123" i="4" a="1"/>
  <c r="DX123" i="4" s="1"/>
  <c r="EU122" i="4" a="1"/>
  <c r="EU122" i="4" s="1"/>
  <c r="ET122" i="4" a="1"/>
  <c r="ET122" i="4" s="1"/>
  <c r="ES122" i="4" a="1"/>
  <c r="ES122" i="4" s="1"/>
  <c r="ER122" i="4" a="1"/>
  <c r="ER122" i="4" s="1"/>
  <c r="EQ122" i="4" a="1"/>
  <c r="EQ122" i="4" s="1"/>
  <c r="EP122" i="4" a="1"/>
  <c r="EP122" i="4" s="1"/>
  <c r="EO122" i="4" a="1"/>
  <c r="EO122" i="4" s="1"/>
  <c r="EN122" i="4" a="1"/>
  <c r="EN122" i="4" s="1"/>
  <c r="EM122" i="4" a="1"/>
  <c r="EM122" i="4" s="1"/>
  <c r="EL122" i="4" a="1"/>
  <c r="EL122" i="4" s="1"/>
  <c r="EK122" i="4" a="1"/>
  <c r="EK122" i="4" s="1"/>
  <c r="EJ122" i="4" a="1"/>
  <c r="EJ122" i="4" s="1"/>
  <c r="EI122" i="4" a="1"/>
  <c r="EI122" i="4" s="1"/>
  <c r="EH122" i="4" a="1"/>
  <c r="EH122" i="4" s="1"/>
  <c r="EG122" i="4" a="1"/>
  <c r="EG122" i="4" s="1"/>
  <c r="EF122" i="4" a="1"/>
  <c r="EF122" i="4" s="1"/>
  <c r="EE122" i="4" a="1"/>
  <c r="EE122" i="4" s="1"/>
  <c r="ED122" i="4" a="1"/>
  <c r="ED122" i="4" s="1"/>
  <c r="EC122" i="4" a="1"/>
  <c r="EC122" i="4" s="1"/>
  <c r="EB122" i="4" a="1"/>
  <c r="EB122" i="4" s="1"/>
  <c r="EA122" i="4" a="1"/>
  <c r="EA122" i="4" s="1"/>
  <c r="DZ122" i="4" a="1"/>
  <c r="DZ122" i="4" s="1"/>
  <c r="DY122" i="4" a="1"/>
  <c r="DY122" i="4" s="1"/>
  <c r="DX122" i="4" a="1"/>
  <c r="DX122" i="4" s="1"/>
  <c r="EU121" i="4" a="1"/>
  <c r="EU121" i="4" s="1"/>
  <c r="ET121" i="4" a="1"/>
  <c r="ET121" i="4" s="1"/>
  <c r="ES121" i="4" a="1"/>
  <c r="ES121" i="4" s="1"/>
  <c r="ER121" i="4" a="1"/>
  <c r="ER121" i="4" s="1"/>
  <c r="EQ121" i="4" a="1"/>
  <c r="EQ121" i="4" s="1"/>
  <c r="EP121" i="4" a="1"/>
  <c r="EP121" i="4" s="1"/>
  <c r="EO121" i="4" a="1"/>
  <c r="EO121" i="4" s="1"/>
  <c r="EN121" i="4" a="1"/>
  <c r="EN121" i="4" s="1"/>
  <c r="EM121" i="4" a="1"/>
  <c r="EM121" i="4" s="1"/>
  <c r="EL121" i="4" a="1"/>
  <c r="EL121" i="4" s="1"/>
  <c r="EK121" i="4" a="1"/>
  <c r="EK121" i="4" s="1"/>
  <c r="EJ121" i="4" a="1"/>
  <c r="EJ121" i="4" s="1"/>
  <c r="EI121" i="4" a="1"/>
  <c r="EI121" i="4" s="1"/>
  <c r="EH121" i="4" a="1"/>
  <c r="EH121" i="4" s="1"/>
  <c r="EG121" i="4" a="1"/>
  <c r="EG121" i="4" s="1"/>
  <c r="EF121" i="4" a="1"/>
  <c r="EF121" i="4" s="1"/>
  <c r="EE121" i="4" a="1"/>
  <c r="EE121" i="4" s="1"/>
  <c r="ED121" i="4" a="1"/>
  <c r="ED121" i="4" s="1"/>
  <c r="EC121" i="4" a="1"/>
  <c r="EC121" i="4" s="1"/>
  <c r="EB121" i="4" a="1"/>
  <c r="EB121" i="4" s="1"/>
  <c r="EA121" i="4" a="1"/>
  <c r="EA121" i="4" s="1"/>
  <c r="DZ121" i="4" a="1"/>
  <c r="DZ121" i="4" s="1"/>
  <c r="DY121" i="4" a="1"/>
  <c r="DY121" i="4" s="1"/>
  <c r="DX121" i="4" a="1"/>
  <c r="DX121" i="4" s="1"/>
  <c r="EU120" i="4" a="1"/>
  <c r="EU120" i="4" s="1"/>
  <c r="ET120" i="4" a="1"/>
  <c r="ET120" i="4" s="1"/>
  <c r="ES120" i="4" a="1"/>
  <c r="ES120" i="4" s="1"/>
  <c r="ER120" i="4" a="1"/>
  <c r="ER120" i="4" s="1"/>
  <c r="EQ120" i="4" a="1"/>
  <c r="EQ120" i="4" s="1"/>
  <c r="EP120" i="4" a="1"/>
  <c r="EP120" i="4" s="1"/>
  <c r="EO120" i="4" a="1"/>
  <c r="EO120" i="4" s="1"/>
  <c r="EN120" i="4" a="1"/>
  <c r="EN120" i="4" s="1"/>
  <c r="EM120" i="4" a="1"/>
  <c r="EM120" i="4" s="1"/>
  <c r="EL120" i="4" a="1"/>
  <c r="EL120" i="4" s="1"/>
  <c r="EK120" i="4" a="1"/>
  <c r="EK120" i="4" s="1"/>
  <c r="EJ120" i="4" a="1"/>
  <c r="EJ120" i="4" s="1"/>
  <c r="EI120" i="4" a="1"/>
  <c r="EI120" i="4" s="1"/>
  <c r="EH120" i="4" a="1"/>
  <c r="EH120" i="4" s="1"/>
  <c r="EG120" i="4" a="1"/>
  <c r="EG120" i="4" s="1"/>
  <c r="EF120" i="4" a="1"/>
  <c r="EF120" i="4" s="1"/>
  <c r="EE120" i="4" a="1"/>
  <c r="EE120" i="4" s="1"/>
  <c r="ED120" i="4" a="1"/>
  <c r="ED120" i="4" s="1"/>
  <c r="EC120" i="4" a="1"/>
  <c r="EC120" i="4" s="1"/>
  <c r="EB120" i="4" a="1"/>
  <c r="EB120" i="4" s="1"/>
  <c r="EA120" i="4" a="1"/>
  <c r="EA120" i="4" s="1"/>
  <c r="DZ120" i="4" a="1"/>
  <c r="DZ120" i="4" s="1"/>
  <c r="DY120" i="4" a="1"/>
  <c r="DY120" i="4" s="1"/>
  <c r="DX120" i="4" a="1"/>
  <c r="DX120" i="4" s="1"/>
  <c r="EU119" i="4" a="1"/>
  <c r="EU119" i="4" s="1"/>
  <c r="ET119" i="4" a="1"/>
  <c r="ET119" i="4" s="1"/>
  <c r="ES119" i="4" a="1"/>
  <c r="ES119" i="4" s="1"/>
  <c r="ER119" i="4" a="1"/>
  <c r="ER119" i="4" s="1"/>
  <c r="EQ119" i="4" a="1"/>
  <c r="EQ119" i="4" s="1"/>
  <c r="EP119" i="4" a="1"/>
  <c r="EP119" i="4" s="1"/>
  <c r="EO119" i="4" a="1"/>
  <c r="EO119" i="4" s="1"/>
  <c r="EN119" i="4" a="1"/>
  <c r="EN119" i="4" s="1"/>
  <c r="EM119" i="4" a="1"/>
  <c r="EM119" i="4" s="1"/>
  <c r="EL119" i="4" a="1"/>
  <c r="EL119" i="4" s="1"/>
  <c r="EK119" i="4" a="1"/>
  <c r="EK119" i="4" s="1"/>
  <c r="EJ119" i="4" a="1"/>
  <c r="EJ119" i="4" s="1"/>
  <c r="EI119" i="4" a="1"/>
  <c r="EI119" i="4" s="1"/>
  <c r="EH119" i="4" a="1"/>
  <c r="EH119" i="4" s="1"/>
  <c r="EG119" i="4" a="1"/>
  <c r="EG119" i="4" s="1"/>
  <c r="EF119" i="4" a="1"/>
  <c r="EF119" i="4" s="1"/>
  <c r="EE119" i="4" a="1"/>
  <c r="EE119" i="4" s="1"/>
  <c r="ED119" i="4" a="1"/>
  <c r="ED119" i="4" s="1"/>
  <c r="EC119" i="4" a="1"/>
  <c r="EC119" i="4" s="1"/>
  <c r="EB119" i="4" a="1"/>
  <c r="EB119" i="4" s="1"/>
  <c r="EA119" i="4" a="1"/>
  <c r="EA119" i="4" s="1"/>
  <c r="DZ119" i="4" a="1"/>
  <c r="DZ119" i="4" s="1"/>
  <c r="DY119" i="4" a="1"/>
  <c r="DY119" i="4" s="1"/>
  <c r="DX119" i="4" a="1"/>
  <c r="DX119" i="4" s="1"/>
  <c r="DW123" i="4" a="1"/>
  <c r="DW123" i="4" s="1"/>
  <c r="AA123" i="4" s="1"/>
  <c r="DW122" i="4" a="1"/>
  <c r="DW122" i="4" s="1"/>
  <c r="AA122" i="4" s="1"/>
  <c r="DW121" i="4" a="1"/>
  <c r="DW121" i="4" s="1"/>
  <c r="AA121" i="4" s="1"/>
  <c r="DW120" i="4" a="1"/>
  <c r="DW120" i="4" s="1"/>
  <c r="AA120" i="4" s="1"/>
  <c r="DW119" i="4" a="1"/>
  <c r="DW119" i="4" s="1"/>
  <c r="AA119" i="4" s="1"/>
  <c r="DV123" i="4" a="1"/>
  <c r="DV123" i="4" s="1"/>
  <c r="Z123" i="4" s="1"/>
  <c r="DV122" i="4" a="1"/>
  <c r="DV122" i="4" s="1"/>
  <c r="Z122" i="4" s="1"/>
  <c r="DV121" i="4" a="1"/>
  <c r="DV121" i="4" s="1"/>
  <c r="Z121" i="4" s="1"/>
  <c r="DV120" i="4" a="1"/>
  <c r="DV120" i="4" s="1"/>
  <c r="Z120" i="4" s="1"/>
  <c r="DV119" i="4" a="1"/>
  <c r="DV119" i="4" s="1"/>
  <c r="Z119" i="4" s="1"/>
  <c r="DU123" i="4" a="1"/>
  <c r="DU123" i="4" s="1"/>
  <c r="Y123" i="4" s="1"/>
  <c r="DU122" i="4" a="1"/>
  <c r="DU122" i="4" s="1"/>
  <c r="Y122" i="4" s="1"/>
  <c r="DU121" i="4" a="1"/>
  <c r="DU121" i="4" s="1"/>
  <c r="Y121" i="4" s="1"/>
  <c r="DU120" i="4" a="1"/>
  <c r="DU120" i="4" s="1"/>
  <c r="Y120" i="4" s="1"/>
  <c r="DU119" i="4" a="1"/>
  <c r="DU119" i="4" s="1"/>
  <c r="Y119" i="4" s="1"/>
  <c r="DT123" i="4" a="1"/>
  <c r="DT123" i="4" s="1"/>
  <c r="X123" i="4" s="1"/>
  <c r="DT122" i="4" a="1"/>
  <c r="DT122" i="4" s="1"/>
  <c r="X122" i="4" s="1"/>
  <c r="DT121" i="4" a="1"/>
  <c r="DT121" i="4" s="1"/>
  <c r="X121" i="4" s="1"/>
  <c r="DT120" i="4" a="1"/>
  <c r="DT120" i="4" s="1"/>
  <c r="X120" i="4" s="1"/>
  <c r="DT119" i="4" a="1"/>
  <c r="DT119" i="4" s="1"/>
  <c r="X119" i="4" s="1"/>
  <c r="DS123" i="4" a="1"/>
  <c r="DS123" i="4" s="1"/>
  <c r="W123" i="4" s="1"/>
  <c r="DS122" i="4" a="1"/>
  <c r="DS122" i="4" s="1"/>
  <c r="W122" i="4" s="1"/>
  <c r="DS121" i="4" a="1"/>
  <c r="DS121" i="4" s="1"/>
  <c r="W121" i="4" s="1"/>
  <c r="DS120" i="4" a="1"/>
  <c r="DS120" i="4" s="1"/>
  <c r="W120" i="4" s="1"/>
  <c r="DS119" i="4" a="1"/>
  <c r="DS119" i="4" s="1"/>
  <c r="W119" i="4" s="1"/>
  <c r="DR123" i="4" a="1"/>
  <c r="DR123" i="4" s="1"/>
  <c r="V123" i="4" s="1"/>
  <c r="DR122" i="4" a="1"/>
  <c r="DR122" i="4" s="1"/>
  <c r="V122" i="4" s="1"/>
  <c r="DR121" i="4" a="1"/>
  <c r="DR121" i="4" s="1"/>
  <c r="V121" i="4" s="1"/>
  <c r="DR120" i="4" a="1"/>
  <c r="DR120" i="4" s="1"/>
  <c r="V120" i="4" s="1"/>
  <c r="DR119" i="4" a="1"/>
  <c r="DR119" i="4" s="1"/>
  <c r="V119" i="4" s="1"/>
  <c r="DQ123" i="4" a="1"/>
  <c r="DQ123" i="4" s="1"/>
  <c r="U123" i="4" s="1"/>
  <c r="DQ122" i="4" a="1"/>
  <c r="DQ122" i="4" s="1"/>
  <c r="U122" i="4" s="1"/>
  <c r="DQ121" i="4" a="1"/>
  <c r="DQ121" i="4" s="1"/>
  <c r="U121" i="4" s="1"/>
  <c r="DQ120" i="4" a="1"/>
  <c r="DQ120" i="4" s="1"/>
  <c r="U120" i="4" s="1"/>
  <c r="DQ119" i="4" a="1"/>
  <c r="DQ119" i="4" s="1"/>
  <c r="U119" i="4" s="1"/>
  <c r="DP123" i="4" a="1"/>
  <c r="DP123" i="4" s="1"/>
  <c r="T123" i="4" s="1"/>
  <c r="DP122" i="4" a="1"/>
  <c r="DP122" i="4" s="1"/>
  <c r="T122" i="4" s="1"/>
  <c r="DP121" i="4" a="1"/>
  <c r="DP121" i="4" s="1"/>
  <c r="T121" i="4" s="1"/>
  <c r="DP120" i="4" a="1"/>
  <c r="DP120" i="4" s="1"/>
  <c r="T120" i="4" s="1"/>
  <c r="DP119" i="4" a="1"/>
  <c r="DP119" i="4" s="1"/>
  <c r="T119" i="4" s="1"/>
  <c r="DO123" i="4" a="1"/>
  <c r="DO123" i="4" s="1"/>
  <c r="S123" i="4" s="1"/>
  <c r="DO122" i="4" a="1"/>
  <c r="DO122" i="4" s="1"/>
  <c r="S122" i="4" s="1"/>
  <c r="DO121" i="4" a="1"/>
  <c r="DO121" i="4" s="1"/>
  <c r="S121" i="4" s="1"/>
  <c r="DO120" i="4" a="1"/>
  <c r="DO120" i="4" s="1"/>
  <c r="S120" i="4" s="1"/>
  <c r="DO119" i="4" a="1"/>
  <c r="DO119" i="4" s="1"/>
  <c r="S119" i="4" s="1"/>
  <c r="DN123" i="4" a="1"/>
  <c r="DN123" i="4" s="1"/>
  <c r="R123" i="4" s="1"/>
  <c r="DN122" i="4" a="1"/>
  <c r="DN122" i="4" s="1"/>
  <c r="R122" i="4" s="1"/>
  <c r="DN121" i="4" a="1"/>
  <c r="DN121" i="4" s="1"/>
  <c r="R121" i="4" s="1"/>
  <c r="DN120" i="4" a="1"/>
  <c r="DN120" i="4" s="1"/>
  <c r="R120" i="4" s="1"/>
  <c r="DN119" i="4" a="1"/>
  <c r="DN119" i="4" s="1"/>
  <c r="R119" i="4" s="1"/>
  <c r="DM123" i="4" a="1"/>
  <c r="DM123" i="4" s="1"/>
  <c r="Q123" i="4" s="1"/>
  <c r="DM122" i="4" a="1"/>
  <c r="DM122" i="4" s="1"/>
  <c r="Q122" i="4" s="1"/>
  <c r="DM121" i="4" a="1"/>
  <c r="DM121" i="4" s="1"/>
  <c r="Q121" i="4" s="1"/>
  <c r="DM120" i="4" a="1"/>
  <c r="DM120" i="4" s="1"/>
  <c r="Q120" i="4" s="1"/>
  <c r="DM119" i="4" a="1"/>
  <c r="DM119" i="4" s="1"/>
  <c r="Q119" i="4" s="1"/>
  <c r="DL123" i="4" a="1"/>
  <c r="DL123" i="4" s="1"/>
  <c r="P123" i="4" s="1"/>
  <c r="DL122" i="4" a="1"/>
  <c r="DL122" i="4" s="1"/>
  <c r="P122" i="4" s="1"/>
  <c r="DL121" i="4" a="1"/>
  <c r="DL121" i="4" s="1"/>
  <c r="P121" i="4" s="1"/>
  <c r="DL120" i="4" a="1"/>
  <c r="DL120" i="4" s="1"/>
  <c r="P120" i="4" s="1"/>
  <c r="DL119" i="4" a="1"/>
  <c r="DL119" i="4" s="1"/>
  <c r="P119" i="4" s="1"/>
  <c r="DK123" i="4" a="1"/>
  <c r="DK123" i="4" s="1"/>
  <c r="O123" i="4" s="1"/>
  <c r="DK122" i="4" a="1"/>
  <c r="DK122" i="4" s="1"/>
  <c r="O122" i="4" s="1"/>
  <c r="DK121" i="4" a="1"/>
  <c r="DK121" i="4" s="1"/>
  <c r="O121" i="4" s="1"/>
  <c r="DK120" i="4" a="1"/>
  <c r="DK120" i="4" s="1"/>
  <c r="O120" i="4" s="1"/>
  <c r="DK119" i="4" a="1"/>
  <c r="DK119" i="4" s="1"/>
  <c r="O119" i="4" s="1"/>
  <c r="DJ123" i="4" a="1"/>
  <c r="DJ123" i="4" s="1"/>
  <c r="N123" i="4" s="1"/>
  <c r="DJ122" i="4" a="1"/>
  <c r="DJ122" i="4" s="1"/>
  <c r="N122" i="4" s="1"/>
  <c r="DJ121" i="4" a="1"/>
  <c r="DJ121" i="4" s="1"/>
  <c r="N121" i="4" s="1"/>
  <c r="DJ120" i="4" a="1"/>
  <c r="DJ120" i="4" s="1"/>
  <c r="N120" i="4" s="1"/>
  <c r="DJ119" i="4" a="1"/>
  <c r="DJ119" i="4" s="1"/>
  <c r="N119" i="4" s="1"/>
  <c r="DI123" i="4" a="1"/>
  <c r="DI123" i="4" s="1"/>
  <c r="M123" i="4" s="1"/>
  <c r="DI122" i="4" a="1"/>
  <c r="DI122" i="4" s="1"/>
  <c r="M122" i="4" s="1"/>
  <c r="DI121" i="4" a="1"/>
  <c r="DI121" i="4" s="1"/>
  <c r="M121" i="4" s="1"/>
  <c r="DI120" i="4" a="1"/>
  <c r="DI120" i="4" s="1"/>
  <c r="M120" i="4" s="1"/>
  <c r="DI119" i="4" a="1"/>
  <c r="DI119" i="4" s="1"/>
  <c r="M119" i="4" s="1"/>
  <c r="DH123" i="4" a="1"/>
  <c r="DH123" i="4" s="1"/>
  <c r="L123" i="4" s="1"/>
  <c r="DH122" i="4" a="1"/>
  <c r="DH122" i="4" s="1"/>
  <c r="L122" i="4" s="1"/>
  <c r="DH121" i="4" a="1"/>
  <c r="DH121" i="4" s="1"/>
  <c r="L121" i="4" s="1"/>
  <c r="DH120" i="4" a="1"/>
  <c r="DH120" i="4" s="1"/>
  <c r="L120" i="4" s="1"/>
  <c r="DH119" i="4" a="1"/>
  <c r="DH119" i="4" s="1"/>
  <c r="L119" i="4" s="1"/>
  <c r="DG123" i="4" a="1"/>
  <c r="DG123" i="4" s="1"/>
  <c r="K123" i="4" s="1"/>
  <c r="DG122" i="4" a="1"/>
  <c r="DG122" i="4" s="1"/>
  <c r="K122" i="4" s="1"/>
  <c r="DG121" i="4" a="1"/>
  <c r="DG121" i="4" s="1"/>
  <c r="K121" i="4" s="1"/>
  <c r="DG120" i="4" a="1"/>
  <c r="DG120" i="4" s="1"/>
  <c r="K120" i="4" s="1"/>
  <c r="DG119" i="4" a="1"/>
  <c r="DG119" i="4" s="1"/>
  <c r="K119" i="4" s="1"/>
  <c r="DF123" i="4" a="1"/>
  <c r="DF123" i="4" s="1"/>
  <c r="J123" i="4" s="1"/>
  <c r="DF122" i="4" a="1"/>
  <c r="DF122" i="4" s="1"/>
  <c r="J122" i="4" s="1"/>
  <c r="DF121" i="4" a="1"/>
  <c r="DF121" i="4" s="1"/>
  <c r="J121" i="4" s="1"/>
  <c r="DF120" i="4" a="1"/>
  <c r="DF120" i="4" s="1"/>
  <c r="J120" i="4" s="1"/>
  <c r="DF119" i="4" a="1"/>
  <c r="DF119" i="4" s="1"/>
  <c r="J119" i="4" s="1"/>
  <c r="DE123" i="4" a="1"/>
  <c r="DE123" i="4" s="1"/>
  <c r="I123" i="4" s="1"/>
  <c r="DE122" i="4" a="1"/>
  <c r="DE122" i="4" s="1"/>
  <c r="I122" i="4" s="1"/>
  <c r="DE121" i="4" a="1"/>
  <c r="DE121" i="4" s="1"/>
  <c r="I121" i="4" s="1"/>
  <c r="DE120" i="4" a="1"/>
  <c r="DE120" i="4" s="1"/>
  <c r="I120" i="4" s="1"/>
  <c r="DE119" i="4" a="1"/>
  <c r="DE119" i="4" s="1"/>
  <c r="I119" i="4" s="1"/>
  <c r="DD123" i="4" a="1"/>
  <c r="DD123" i="4" s="1"/>
  <c r="H123" i="4" s="1"/>
  <c r="DD122" i="4" a="1"/>
  <c r="DD122" i="4" s="1"/>
  <c r="H122" i="4" s="1"/>
  <c r="DD121" i="4" a="1"/>
  <c r="DD121" i="4" s="1"/>
  <c r="H121" i="4" s="1"/>
  <c r="DD120" i="4" a="1"/>
  <c r="DD120" i="4" s="1"/>
  <c r="H120" i="4" s="1"/>
  <c r="DD119" i="4" a="1"/>
  <c r="DD119" i="4" s="1"/>
  <c r="H119" i="4" s="1"/>
  <c r="DC123" i="4" a="1"/>
  <c r="DC123" i="4" s="1"/>
  <c r="G123" i="4" s="1"/>
  <c r="DC122" i="4" a="1"/>
  <c r="DC122" i="4" s="1"/>
  <c r="G122" i="4" s="1"/>
  <c r="DC121" i="4" a="1"/>
  <c r="DC121" i="4" s="1"/>
  <c r="G121" i="4" s="1"/>
  <c r="DC120" i="4" a="1"/>
  <c r="DC120" i="4" s="1"/>
  <c r="G120" i="4" s="1"/>
  <c r="DC119" i="4" a="1"/>
  <c r="DC119" i="4" s="1"/>
  <c r="G119" i="4" s="1"/>
  <c r="DB123" i="4" a="1"/>
  <c r="DB123" i="4" s="1"/>
  <c r="F123" i="4" s="1"/>
  <c r="DB122" i="4" a="1"/>
  <c r="DB122" i="4" s="1"/>
  <c r="F122" i="4" s="1"/>
  <c r="DB121" i="4" a="1"/>
  <c r="DB121" i="4" s="1"/>
  <c r="F121" i="4" s="1"/>
  <c r="DB120" i="4" a="1"/>
  <c r="DB120" i="4" s="1"/>
  <c r="F120" i="4" s="1"/>
  <c r="DB119" i="4" a="1"/>
  <c r="DB119" i="4" s="1"/>
  <c r="F119" i="4" s="1"/>
  <c r="DA123" i="4" a="1"/>
  <c r="DA123" i="4" s="1"/>
  <c r="E123" i="4" s="1"/>
  <c r="DA122" i="4" a="1"/>
  <c r="DA122" i="4" s="1"/>
  <c r="E122" i="4" s="1"/>
  <c r="DA121" i="4" a="1"/>
  <c r="DA121" i="4" s="1"/>
  <c r="E121" i="4" s="1"/>
  <c r="DA120" i="4" a="1"/>
  <c r="DA120" i="4" s="1"/>
  <c r="E120" i="4" s="1"/>
  <c r="DA119" i="4" a="1"/>
  <c r="DA119" i="4" s="1"/>
  <c r="E119" i="4" s="1"/>
  <c r="CZ123" i="4" a="1"/>
  <c r="CZ123" i="4" s="1"/>
  <c r="D123" i="4" s="1"/>
  <c r="CZ122" i="4" a="1"/>
  <c r="CZ122" i="4" s="1"/>
  <c r="D122" i="4" s="1"/>
  <c r="CZ121" i="4" a="1"/>
  <c r="CZ121" i="4" s="1"/>
  <c r="D121" i="4" s="1"/>
  <c r="CZ120" i="4" a="1"/>
  <c r="CZ120" i="4" s="1"/>
  <c r="D120" i="4" s="1"/>
  <c r="CZ119" i="4" a="1"/>
  <c r="CZ119" i="4" s="1"/>
  <c r="D119" i="4" s="1"/>
  <c r="EW105" i="4" a="1"/>
  <c r="EW105" i="4" s="1"/>
  <c r="EV105" i="4" a="1"/>
  <c r="EV105" i="4" s="1"/>
  <c r="EU105" i="4" a="1"/>
  <c r="EU105" i="4" s="1"/>
  <c r="ET105" i="4" a="1"/>
  <c r="ET105" i="4" s="1"/>
  <c r="ES105" i="4" a="1"/>
  <c r="ES105" i="4" s="1"/>
  <c r="ER105" i="4" a="1"/>
  <c r="ER105" i="4" s="1"/>
  <c r="EQ105" i="4" a="1"/>
  <c r="EQ105" i="4" s="1"/>
  <c r="EP105" i="4" a="1"/>
  <c r="EP105" i="4" s="1"/>
  <c r="EO105" i="4" a="1"/>
  <c r="EO105" i="4" s="1"/>
  <c r="EN105" i="4" a="1"/>
  <c r="EN105" i="4" s="1"/>
  <c r="EM105" i="4" a="1"/>
  <c r="EM105" i="4" s="1"/>
  <c r="EL105" i="4" a="1"/>
  <c r="EL105" i="4" s="1"/>
  <c r="EK105" i="4" a="1"/>
  <c r="EK105" i="4" s="1"/>
  <c r="EJ105" i="4" a="1"/>
  <c r="EJ105" i="4" s="1"/>
  <c r="EI105" i="4" a="1"/>
  <c r="EI105" i="4" s="1"/>
  <c r="EH105" i="4" a="1"/>
  <c r="EH105" i="4" s="1"/>
  <c r="EG105" i="4" a="1"/>
  <c r="EG105" i="4" s="1"/>
  <c r="EF105" i="4" a="1"/>
  <c r="EF105" i="4" s="1"/>
  <c r="EE105" i="4" a="1"/>
  <c r="EE105" i="4" s="1"/>
  <c r="ED105" i="4" a="1"/>
  <c r="ED105" i="4" s="1"/>
  <c r="EC105" i="4" a="1"/>
  <c r="EC105" i="4" s="1"/>
  <c r="EB105" i="4" a="1"/>
  <c r="EB105" i="4" s="1"/>
  <c r="EA105" i="4" a="1"/>
  <c r="EA105" i="4" s="1"/>
  <c r="DZ105" i="4" a="1"/>
  <c r="DZ105" i="4" s="1"/>
  <c r="DY105" i="4" a="1"/>
  <c r="DY105" i="4" s="1"/>
  <c r="EW104" i="4" a="1"/>
  <c r="EW104" i="4" s="1"/>
  <c r="EV104" i="4" a="1"/>
  <c r="EV104" i="4" s="1"/>
  <c r="EU104" i="4" a="1"/>
  <c r="EU104" i="4" s="1"/>
  <c r="ET104" i="4" a="1"/>
  <c r="ET104" i="4" s="1"/>
  <c r="ES104" i="4" a="1"/>
  <c r="ES104" i="4" s="1"/>
  <c r="ER104" i="4" a="1"/>
  <c r="ER104" i="4" s="1"/>
  <c r="EQ104" i="4" a="1"/>
  <c r="EQ104" i="4" s="1"/>
  <c r="EP104" i="4" a="1"/>
  <c r="EP104" i="4" s="1"/>
  <c r="EO104" i="4" a="1"/>
  <c r="EO104" i="4" s="1"/>
  <c r="EN104" i="4" a="1"/>
  <c r="EN104" i="4" s="1"/>
  <c r="EM104" i="4" a="1"/>
  <c r="EM104" i="4" s="1"/>
  <c r="EL104" i="4" a="1"/>
  <c r="EL104" i="4" s="1"/>
  <c r="EK104" i="4" a="1"/>
  <c r="EK104" i="4" s="1"/>
  <c r="EJ104" i="4" a="1"/>
  <c r="EJ104" i="4" s="1"/>
  <c r="EI104" i="4" a="1"/>
  <c r="EI104" i="4" s="1"/>
  <c r="EH104" i="4" a="1"/>
  <c r="EH104" i="4" s="1"/>
  <c r="EG104" i="4" a="1"/>
  <c r="EG104" i="4" s="1"/>
  <c r="EF104" i="4" a="1"/>
  <c r="EF104" i="4" s="1"/>
  <c r="EE104" i="4" a="1"/>
  <c r="EE104" i="4" s="1"/>
  <c r="ED104" i="4" a="1"/>
  <c r="ED104" i="4" s="1"/>
  <c r="EC104" i="4" a="1"/>
  <c r="EC104" i="4" s="1"/>
  <c r="EB104" i="4" a="1"/>
  <c r="EB104" i="4" s="1"/>
  <c r="EA104" i="4" a="1"/>
  <c r="EA104" i="4" s="1"/>
  <c r="DZ104" i="4" a="1"/>
  <c r="DZ104" i="4" s="1"/>
  <c r="DY104" i="4" a="1"/>
  <c r="DY104" i="4" s="1"/>
  <c r="EW103" i="4" a="1"/>
  <c r="EW103" i="4" s="1"/>
  <c r="EV103" i="4" a="1"/>
  <c r="EV103" i="4" s="1"/>
  <c r="EU103" i="4" a="1"/>
  <c r="EU103" i="4" s="1"/>
  <c r="ET103" i="4" a="1"/>
  <c r="ET103" i="4" s="1"/>
  <c r="ES103" i="4" a="1"/>
  <c r="ES103" i="4" s="1"/>
  <c r="ER103" i="4" a="1"/>
  <c r="ER103" i="4" s="1"/>
  <c r="EQ103" i="4" a="1"/>
  <c r="EQ103" i="4" s="1"/>
  <c r="EP103" i="4" a="1"/>
  <c r="EP103" i="4" s="1"/>
  <c r="EO103" i="4" a="1"/>
  <c r="EO103" i="4" s="1"/>
  <c r="EN103" i="4" a="1"/>
  <c r="EN103" i="4" s="1"/>
  <c r="EM103" i="4" a="1"/>
  <c r="EM103" i="4" s="1"/>
  <c r="EL103" i="4" a="1"/>
  <c r="EL103" i="4" s="1"/>
  <c r="EK103" i="4" a="1"/>
  <c r="EK103" i="4" s="1"/>
  <c r="EJ103" i="4" a="1"/>
  <c r="EJ103" i="4" s="1"/>
  <c r="EI103" i="4" a="1"/>
  <c r="EI103" i="4" s="1"/>
  <c r="EH103" i="4" a="1"/>
  <c r="EH103" i="4" s="1"/>
  <c r="EG103" i="4" a="1"/>
  <c r="EG103" i="4" s="1"/>
  <c r="EF103" i="4" a="1"/>
  <c r="EF103" i="4" s="1"/>
  <c r="EE103" i="4" a="1"/>
  <c r="EE103" i="4" s="1"/>
  <c r="ED103" i="4" a="1"/>
  <c r="ED103" i="4" s="1"/>
  <c r="EC103" i="4" a="1"/>
  <c r="EC103" i="4" s="1"/>
  <c r="EB103" i="4" a="1"/>
  <c r="EB103" i="4" s="1"/>
  <c r="EA103" i="4" a="1"/>
  <c r="EA103" i="4" s="1"/>
  <c r="DZ103" i="4" a="1"/>
  <c r="DZ103" i="4" s="1"/>
  <c r="DY103" i="4" a="1"/>
  <c r="DY103" i="4" s="1"/>
  <c r="EW102" i="4" a="1"/>
  <c r="EW102" i="4" s="1"/>
  <c r="EV102" i="4" a="1"/>
  <c r="EV102" i="4" s="1"/>
  <c r="EU102" i="4" a="1"/>
  <c r="EU102" i="4" s="1"/>
  <c r="ET102" i="4" a="1"/>
  <c r="ET102" i="4" s="1"/>
  <c r="ES102" i="4" a="1"/>
  <c r="ES102" i="4" s="1"/>
  <c r="ER102" i="4" a="1"/>
  <c r="ER102" i="4" s="1"/>
  <c r="EQ102" i="4" a="1"/>
  <c r="EQ102" i="4" s="1"/>
  <c r="EP102" i="4" a="1"/>
  <c r="EP102" i="4" s="1"/>
  <c r="EO102" i="4" a="1"/>
  <c r="EO102" i="4" s="1"/>
  <c r="EN102" i="4" a="1"/>
  <c r="EN102" i="4" s="1"/>
  <c r="EM102" i="4" a="1"/>
  <c r="EM102" i="4" s="1"/>
  <c r="EL102" i="4" a="1"/>
  <c r="EL102" i="4" s="1"/>
  <c r="EK102" i="4" a="1"/>
  <c r="EK102" i="4" s="1"/>
  <c r="EJ102" i="4" a="1"/>
  <c r="EJ102" i="4" s="1"/>
  <c r="EI102" i="4" a="1"/>
  <c r="EI102" i="4" s="1"/>
  <c r="EH102" i="4" a="1"/>
  <c r="EH102" i="4" s="1"/>
  <c r="EG102" i="4" a="1"/>
  <c r="EG102" i="4" s="1"/>
  <c r="EF102" i="4" a="1"/>
  <c r="EF102" i="4" s="1"/>
  <c r="EE102" i="4" a="1"/>
  <c r="EE102" i="4" s="1"/>
  <c r="ED102" i="4" a="1"/>
  <c r="ED102" i="4" s="1"/>
  <c r="EC102" i="4" a="1"/>
  <c r="EC102" i="4" s="1"/>
  <c r="EB102" i="4" a="1"/>
  <c r="EB102" i="4" s="1"/>
  <c r="EA102" i="4" a="1"/>
  <c r="EA102" i="4" s="1"/>
  <c r="DZ102" i="4" a="1"/>
  <c r="DZ102" i="4" s="1"/>
  <c r="DY102" i="4" a="1"/>
  <c r="DY102" i="4" s="1"/>
  <c r="FV105" i="4" a="1"/>
  <c r="FV105" i="4" s="1"/>
  <c r="FU105" i="4" a="1"/>
  <c r="FU105" i="4" s="1"/>
  <c r="FT105" i="4" a="1"/>
  <c r="FT105" i="4" s="1"/>
  <c r="FS105" i="4" a="1"/>
  <c r="FS105" i="4" s="1"/>
  <c r="FR105" i="4" a="1"/>
  <c r="FR105" i="4" s="1"/>
  <c r="FQ105" i="4" a="1"/>
  <c r="FQ105" i="4" s="1"/>
  <c r="FP105" i="4" a="1"/>
  <c r="FP105" i="4" s="1"/>
  <c r="FO105" i="4" a="1"/>
  <c r="FO105" i="4" s="1"/>
  <c r="FN105" i="4" a="1"/>
  <c r="FN105" i="4" s="1"/>
  <c r="FM105" i="4" a="1"/>
  <c r="FM105" i="4" s="1"/>
  <c r="FL105" i="4" a="1"/>
  <c r="FL105" i="4" s="1"/>
  <c r="FK105" i="4" a="1"/>
  <c r="FK105" i="4" s="1"/>
  <c r="FJ105" i="4" a="1"/>
  <c r="FJ105" i="4" s="1"/>
  <c r="FI105" i="4" a="1"/>
  <c r="FI105" i="4" s="1"/>
  <c r="FH105" i="4" a="1"/>
  <c r="FH105" i="4" s="1"/>
  <c r="FG105" i="4" a="1"/>
  <c r="FG105" i="4" s="1"/>
  <c r="FF105" i="4" a="1"/>
  <c r="FF105" i="4" s="1"/>
  <c r="FE105" i="4" a="1"/>
  <c r="FE105" i="4" s="1"/>
  <c r="FD105" i="4" a="1"/>
  <c r="FD105" i="4" s="1"/>
  <c r="FC105" i="4" a="1"/>
  <c r="FC105" i="4" s="1"/>
  <c r="FB105" i="4" a="1"/>
  <c r="FB105" i="4" s="1"/>
  <c r="FA105" i="4" a="1"/>
  <c r="FA105" i="4" s="1"/>
  <c r="EZ105" i="4" a="1"/>
  <c r="EZ105" i="4" s="1"/>
  <c r="EY105" i="4" a="1"/>
  <c r="EY105" i="4" s="1"/>
  <c r="EX105" i="4" a="1"/>
  <c r="EX105" i="4" s="1"/>
  <c r="FV104" i="4" a="1"/>
  <c r="FV104" i="4" s="1"/>
  <c r="FU104" i="4" a="1"/>
  <c r="FU104" i="4" s="1"/>
  <c r="FT104" i="4" a="1"/>
  <c r="FT104" i="4" s="1"/>
  <c r="FS104" i="4" a="1"/>
  <c r="FS104" i="4" s="1"/>
  <c r="FR104" i="4" a="1"/>
  <c r="FR104" i="4" s="1"/>
  <c r="FQ104" i="4" a="1"/>
  <c r="FQ104" i="4" s="1"/>
  <c r="FP104" i="4" a="1"/>
  <c r="FP104" i="4" s="1"/>
  <c r="FO104" i="4" a="1"/>
  <c r="FO104" i="4" s="1"/>
  <c r="FN104" i="4" a="1"/>
  <c r="FN104" i="4" s="1"/>
  <c r="FM104" i="4" a="1"/>
  <c r="FM104" i="4" s="1"/>
  <c r="FL104" i="4" a="1"/>
  <c r="FL104" i="4" s="1"/>
  <c r="FK104" i="4" a="1"/>
  <c r="FK104" i="4" s="1"/>
  <c r="FJ104" i="4" a="1"/>
  <c r="FJ104" i="4" s="1"/>
  <c r="FI104" i="4" a="1"/>
  <c r="FI104" i="4" s="1"/>
  <c r="FH104" i="4" a="1"/>
  <c r="FH104" i="4" s="1"/>
  <c r="FG104" i="4" a="1"/>
  <c r="FG104" i="4" s="1"/>
  <c r="FF104" i="4" a="1"/>
  <c r="FF104" i="4" s="1"/>
  <c r="FE104" i="4" a="1"/>
  <c r="FE104" i="4" s="1"/>
  <c r="FD104" i="4" a="1"/>
  <c r="FD104" i="4" s="1"/>
  <c r="FC104" i="4" a="1"/>
  <c r="FC104" i="4" s="1"/>
  <c r="FB104" i="4" a="1"/>
  <c r="FB104" i="4" s="1"/>
  <c r="FA104" i="4" a="1"/>
  <c r="FA104" i="4" s="1"/>
  <c r="EZ104" i="4" a="1"/>
  <c r="EZ104" i="4" s="1"/>
  <c r="EY104" i="4" a="1"/>
  <c r="EY104" i="4" s="1"/>
  <c r="EX104" i="4" a="1"/>
  <c r="EX104" i="4" s="1"/>
  <c r="FV103" i="4" a="1"/>
  <c r="FV103" i="4" s="1"/>
  <c r="FU103" i="4" a="1"/>
  <c r="FU103" i="4" s="1"/>
  <c r="FT103" i="4" a="1"/>
  <c r="FT103" i="4" s="1"/>
  <c r="FS103" i="4" a="1"/>
  <c r="FS103" i="4" s="1"/>
  <c r="FR103" i="4" a="1"/>
  <c r="FR103" i="4" s="1"/>
  <c r="FQ103" i="4" a="1"/>
  <c r="FQ103" i="4" s="1"/>
  <c r="FP103" i="4" a="1"/>
  <c r="FP103" i="4" s="1"/>
  <c r="FO103" i="4" a="1"/>
  <c r="FO103" i="4" s="1"/>
  <c r="FN103" i="4" a="1"/>
  <c r="FN103" i="4" s="1"/>
  <c r="FM103" i="4" a="1"/>
  <c r="FM103" i="4" s="1"/>
  <c r="FL103" i="4" a="1"/>
  <c r="FL103" i="4" s="1"/>
  <c r="FK103" i="4" a="1"/>
  <c r="FK103" i="4" s="1"/>
  <c r="FJ103" i="4" a="1"/>
  <c r="FJ103" i="4" s="1"/>
  <c r="FI103" i="4" a="1"/>
  <c r="FI103" i="4" s="1"/>
  <c r="FH103" i="4" a="1"/>
  <c r="FH103" i="4" s="1"/>
  <c r="FG103" i="4" a="1"/>
  <c r="FG103" i="4" s="1"/>
  <c r="FF103" i="4" a="1"/>
  <c r="FF103" i="4" s="1"/>
  <c r="FE103" i="4" a="1"/>
  <c r="FE103" i="4" s="1"/>
  <c r="FD103" i="4" a="1"/>
  <c r="FD103" i="4" s="1"/>
  <c r="FC103" i="4" a="1"/>
  <c r="FC103" i="4" s="1"/>
  <c r="FB103" i="4" a="1"/>
  <c r="FB103" i="4" s="1"/>
  <c r="FA103" i="4" a="1"/>
  <c r="FA103" i="4" s="1"/>
  <c r="EZ103" i="4" a="1"/>
  <c r="EZ103" i="4" s="1"/>
  <c r="EY103" i="4" a="1"/>
  <c r="EY103" i="4" s="1"/>
  <c r="EX103" i="4" a="1"/>
  <c r="EX103" i="4" s="1"/>
  <c r="FV102" i="4" a="1"/>
  <c r="FV102" i="4" s="1"/>
  <c r="FU102" i="4" a="1"/>
  <c r="FU102" i="4" s="1"/>
  <c r="FT102" i="4" a="1"/>
  <c r="FT102" i="4" s="1"/>
  <c r="FS102" i="4" a="1"/>
  <c r="FS102" i="4" s="1"/>
  <c r="FR102" i="4" a="1"/>
  <c r="FR102" i="4" s="1"/>
  <c r="FQ102" i="4" a="1"/>
  <c r="FQ102" i="4" s="1"/>
  <c r="FP102" i="4" a="1"/>
  <c r="FP102" i="4" s="1"/>
  <c r="FO102" i="4" a="1"/>
  <c r="FO102" i="4" s="1"/>
  <c r="FN102" i="4" a="1"/>
  <c r="FN102" i="4" s="1"/>
  <c r="FM102" i="4" a="1"/>
  <c r="FM102" i="4" s="1"/>
  <c r="FL102" i="4" a="1"/>
  <c r="FL102" i="4" s="1"/>
  <c r="FK102" i="4" a="1"/>
  <c r="FK102" i="4" s="1"/>
  <c r="FJ102" i="4" a="1"/>
  <c r="FJ102" i="4" s="1"/>
  <c r="FI102" i="4" a="1"/>
  <c r="FI102" i="4" s="1"/>
  <c r="FH102" i="4" a="1"/>
  <c r="FH102" i="4" s="1"/>
  <c r="FG102" i="4" a="1"/>
  <c r="FG102" i="4" s="1"/>
  <c r="FF102" i="4" a="1"/>
  <c r="FF102" i="4" s="1"/>
  <c r="FE102" i="4" a="1"/>
  <c r="FE102" i="4" s="1"/>
  <c r="FD102" i="4" a="1"/>
  <c r="FD102" i="4" s="1"/>
  <c r="FC102" i="4" a="1"/>
  <c r="FC102" i="4" s="1"/>
  <c r="FB102" i="4" a="1"/>
  <c r="FB102" i="4" s="1"/>
  <c r="FA102" i="4" a="1"/>
  <c r="FA102" i="4" s="1"/>
  <c r="EZ102" i="4" a="1"/>
  <c r="EZ102" i="4" s="1"/>
  <c r="EY102" i="4" a="1"/>
  <c r="EY102" i="4" s="1"/>
  <c r="EX102" i="4" a="1"/>
  <c r="EX102" i="4" s="1"/>
  <c r="GU105" i="4" a="1"/>
  <c r="GU105" i="4" s="1"/>
  <c r="GT105" i="4" a="1"/>
  <c r="GT105" i="4" s="1"/>
  <c r="GS105" i="4" a="1"/>
  <c r="GS105" i="4" s="1"/>
  <c r="GR105" i="4" a="1"/>
  <c r="GR105" i="4" s="1"/>
  <c r="GQ105" i="4" a="1"/>
  <c r="GQ105" i="4" s="1"/>
  <c r="GP105" i="4" a="1"/>
  <c r="GP105" i="4" s="1"/>
  <c r="GO105" i="4" a="1"/>
  <c r="GO105" i="4" s="1"/>
  <c r="GN105" i="4" a="1"/>
  <c r="GN105" i="4" s="1"/>
  <c r="GM105" i="4" a="1"/>
  <c r="GM105" i="4" s="1"/>
  <c r="GL105" i="4" a="1"/>
  <c r="GL105" i="4" s="1"/>
  <c r="GK105" i="4" a="1"/>
  <c r="GK105" i="4" s="1"/>
  <c r="GJ105" i="4" a="1"/>
  <c r="GJ105" i="4" s="1"/>
  <c r="GI105" i="4" a="1"/>
  <c r="GI105" i="4" s="1"/>
  <c r="GH105" i="4" a="1"/>
  <c r="GH105" i="4" s="1"/>
  <c r="GG105" i="4" a="1"/>
  <c r="GG105" i="4" s="1"/>
  <c r="GF105" i="4" a="1"/>
  <c r="GF105" i="4" s="1"/>
  <c r="GE105" i="4" a="1"/>
  <c r="GE105" i="4" s="1"/>
  <c r="GD105" i="4" a="1"/>
  <c r="GD105" i="4" s="1"/>
  <c r="GC105" i="4" a="1"/>
  <c r="GC105" i="4" s="1"/>
  <c r="GB105" i="4" a="1"/>
  <c r="GB105" i="4" s="1"/>
  <c r="GA105" i="4" a="1"/>
  <c r="GA105" i="4" s="1"/>
  <c r="FZ105" i="4" a="1"/>
  <c r="FZ105" i="4" s="1"/>
  <c r="FY105" i="4" a="1"/>
  <c r="FY105" i="4" s="1"/>
  <c r="FX105" i="4" a="1"/>
  <c r="FX105" i="4" s="1"/>
  <c r="FW105" i="4" a="1"/>
  <c r="FW105" i="4" s="1"/>
  <c r="GU104" i="4" a="1"/>
  <c r="GU104" i="4" s="1"/>
  <c r="GT104" i="4" a="1"/>
  <c r="GT104" i="4" s="1"/>
  <c r="GS104" i="4" a="1"/>
  <c r="GS104" i="4" s="1"/>
  <c r="GR104" i="4" a="1"/>
  <c r="GR104" i="4" s="1"/>
  <c r="GQ104" i="4" a="1"/>
  <c r="GQ104" i="4" s="1"/>
  <c r="GP104" i="4" a="1"/>
  <c r="GP104" i="4" s="1"/>
  <c r="GO104" i="4" a="1"/>
  <c r="GO104" i="4" s="1"/>
  <c r="GN104" i="4" a="1"/>
  <c r="GN104" i="4" s="1"/>
  <c r="GM104" i="4" a="1"/>
  <c r="GM104" i="4" s="1"/>
  <c r="GL104" i="4" a="1"/>
  <c r="GL104" i="4" s="1"/>
  <c r="GK104" i="4" a="1"/>
  <c r="GK104" i="4" s="1"/>
  <c r="GJ104" i="4" a="1"/>
  <c r="GJ104" i="4" s="1"/>
  <c r="GI104" i="4" a="1"/>
  <c r="GI104" i="4" s="1"/>
  <c r="GH104" i="4" a="1"/>
  <c r="GH104" i="4" s="1"/>
  <c r="GG104" i="4" a="1"/>
  <c r="GG104" i="4" s="1"/>
  <c r="GF104" i="4" a="1"/>
  <c r="GF104" i="4" s="1"/>
  <c r="GE104" i="4" a="1"/>
  <c r="GE104" i="4" s="1"/>
  <c r="GD104" i="4" a="1"/>
  <c r="GD104" i="4" s="1"/>
  <c r="GC104" i="4" a="1"/>
  <c r="GC104" i="4" s="1"/>
  <c r="GB104" i="4" a="1"/>
  <c r="GB104" i="4" s="1"/>
  <c r="GA104" i="4" a="1"/>
  <c r="GA104" i="4" s="1"/>
  <c r="FZ104" i="4" a="1"/>
  <c r="FZ104" i="4" s="1"/>
  <c r="FY104" i="4" a="1"/>
  <c r="FY104" i="4" s="1"/>
  <c r="FX104" i="4" a="1"/>
  <c r="FX104" i="4" s="1"/>
  <c r="FW104" i="4" a="1"/>
  <c r="FW104" i="4" s="1"/>
  <c r="GU103" i="4" a="1"/>
  <c r="GU103" i="4" s="1"/>
  <c r="GT103" i="4" a="1"/>
  <c r="GT103" i="4" s="1"/>
  <c r="GS103" i="4" a="1"/>
  <c r="GS103" i="4" s="1"/>
  <c r="GR103" i="4" a="1"/>
  <c r="GR103" i="4" s="1"/>
  <c r="GQ103" i="4" a="1"/>
  <c r="GQ103" i="4" s="1"/>
  <c r="GP103" i="4" a="1"/>
  <c r="GP103" i="4" s="1"/>
  <c r="GO103" i="4" a="1"/>
  <c r="GO103" i="4" s="1"/>
  <c r="GN103" i="4" a="1"/>
  <c r="GN103" i="4" s="1"/>
  <c r="GM103" i="4" a="1"/>
  <c r="GM103" i="4" s="1"/>
  <c r="GL103" i="4" a="1"/>
  <c r="GL103" i="4" s="1"/>
  <c r="GK103" i="4" a="1"/>
  <c r="GK103" i="4" s="1"/>
  <c r="GJ103" i="4" a="1"/>
  <c r="GJ103" i="4" s="1"/>
  <c r="GI103" i="4" a="1"/>
  <c r="GI103" i="4" s="1"/>
  <c r="GH103" i="4" a="1"/>
  <c r="GH103" i="4" s="1"/>
  <c r="GG103" i="4" a="1"/>
  <c r="GG103" i="4" s="1"/>
  <c r="GF103" i="4" a="1"/>
  <c r="GF103" i="4" s="1"/>
  <c r="GE103" i="4" a="1"/>
  <c r="GE103" i="4" s="1"/>
  <c r="GD103" i="4" a="1"/>
  <c r="GD103" i="4" s="1"/>
  <c r="GC103" i="4" a="1"/>
  <c r="GC103" i="4" s="1"/>
  <c r="GB103" i="4" a="1"/>
  <c r="GB103" i="4" s="1"/>
  <c r="GA103" i="4" a="1"/>
  <c r="GA103" i="4" s="1"/>
  <c r="FZ103" i="4" a="1"/>
  <c r="FZ103" i="4" s="1"/>
  <c r="FY103" i="4" a="1"/>
  <c r="FY103" i="4" s="1"/>
  <c r="FX103" i="4" a="1"/>
  <c r="FX103" i="4" s="1"/>
  <c r="FW103" i="4" a="1"/>
  <c r="FW103" i="4" s="1"/>
  <c r="GU102" i="4" a="1"/>
  <c r="GU102" i="4" s="1"/>
  <c r="GT102" i="4" a="1"/>
  <c r="GT102" i="4" s="1"/>
  <c r="GS102" i="4" a="1"/>
  <c r="GS102" i="4" s="1"/>
  <c r="GR102" i="4" a="1"/>
  <c r="GR102" i="4" s="1"/>
  <c r="GQ102" i="4" a="1"/>
  <c r="GQ102" i="4" s="1"/>
  <c r="GP102" i="4" a="1"/>
  <c r="GP102" i="4" s="1"/>
  <c r="GO102" i="4" a="1"/>
  <c r="GO102" i="4" s="1"/>
  <c r="GN102" i="4" a="1"/>
  <c r="GN102" i="4" s="1"/>
  <c r="GM102" i="4" a="1"/>
  <c r="GM102" i="4" s="1"/>
  <c r="GL102" i="4" a="1"/>
  <c r="GL102" i="4" s="1"/>
  <c r="GK102" i="4" a="1"/>
  <c r="GK102" i="4" s="1"/>
  <c r="GJ102" i="4" a="1"/>
  <c r="GJ102" i="4" s="1"/>
  <c r="GI102" i="4" a="1"/>
  <c r="GI102" i="4" s="1"/>
  <c r="GH102" i="4" a="1"/>
  <c r="GH102" i="4" s="1"/>
  <c r="GG102" i="4" a="1"/>
  <c r="GG102" i="4" s="1"/>
  <c r="GF102" i="4" a="1"/>
  <c r="GF102" i="4" s="1"/>
  <c r="GE102" i="4" a="1"/>
  <c r="GE102" i="4" s="1"/>
  <c r="GD102" i="4" a="1"/>
  <c r="GD102" i="4" s="1"/>
  <c r="GC102" i="4" a="1"/>
  <c r="GC102" i="4" s="1"/>
  <c r="GB102" i="4" a="1"/>
  <c r="GB102" i="4" s="1"/>
  <c r="GA102" i="4" a="1"/>
  <c r="GA102" i="4" s="1"/>
  <c r="FZ102" i="4" a="1"/>
  <c r="FZ102" i="4" s="1"/>
  <c r="FY102" i="4" a="1"/>
  <c r="FY102" i="4" s="1"/>
  <c r="FX102" i="4" a="1"/>
  <c r="FX102" i="4" s="1"/>
  <c r="FW102" i="4" a="1"/>
  <c r="FW102" i="4" s="1"/>
  <c r="DX105" i="4" a="1"/>
  <c r="DX105" i="4" s="1"/>
  <c r="AB105" i="4" s="1"/>
  <c r="DX104" i="4" a="1"/>
  <c r="DX104" i="4" s="1"/>
  <c r="AB104" i="4" s="1"/>
  <c r="DX103" i="4" a="1"/>
  <c r="DX103" i="4" s="1"/>
  <c r="AB103" i="4" s="1"/>
  <c r="DX102" i="4" a="1"/>
  <c r="DX102" i="4" s="1"/>
  <c r="AB102" i="4" s="1"/>
  <c r="DW105" i="4" a="1"/>
  <c r="DW105" i="4" s="1"/>
  <c r="AA105" i="4" s="1"/>
  <c r="DW104" i="4" a="1"/>
  <c r="DW104" i="4" s="1"/>
  <c r="AA104" i="4" s="1"/>
  <c r="DW103" i="4" a="1"/>
  <c r="DW103" i="4" s="1"/>
  <c r="AA103" i="4" s="1"/>
  <c r="DW102" i="4" a="1"/>
  <c r="DW102" i="4" s="1"/>
  <c r="AA102" i="4" s="1"/>
  <c r="DV105" i="4" a="1"/>
  <c r="DV105" i="4" s="1"/>
  <c r="Z105" i="4" s="1"/>
  <c r="DV104" i="4" a="1"/>
  <c r="DV104" i="4" s="1"/>
  <c r="Z104" i="4" s="1"/>
  <c r="DV103" i="4" a="1"/>
  <c r="DV103" i="4" s="1"/>
  <c r="Z103" i="4" s="1"/>
  <c r="DV102" i="4" a="1"/>
  <c r="DV102" i="4" s="1"/>
  <c r="Z102" i="4" s="1"/>
  <c r="DU105" i="4" a="1"/>
  <c r="DU105" i="4" s="1"/>
  <c r="Y105" i="4" s="1"/>
  <c r="DU104" i="4" a="1"/>
  <c r="DU104" i="4" s="1"/>
  <c r="Y104" i="4" s="1"/>
  <c r="DU103" i="4" a="1"/>
  <c r="DU103" i="4" s="1"/>
  <c r="Y103" i="4" s="1"/>
  <c r="DU102" i="4" a="1"/>
  <c r="DU102" i="4" s="1"/>
  <c r="Y102" i="4" s="1"/>
  <c r="DT105" i="4" a="1"/>
  <c r="DT105" i="4" s="1"/>
  <c r="X105" i="4" s="1"/>
  <c r="DT104" i="4" a="1"/>
  <c r="DT104" i="4" s="1"/>
  <c r="X104" i="4" s="1"/>
  <c r="DT103" i="4" a="1"/>
  <c r="DT103" i="4" s="1"/>
  <c r="X103" i="4" s="1"/>
  <c r="DT102" i="4" a="1"/>
  <c r="DT102" i="4" s="1"/>
  <c r="X102" i="4" s="1"/>
  <c r="DS105" i="4" a="1"/>
  <c r="DS105" i="4" s="1"/>
  <c r="W105" i="4" s="1"/>
  <c r="DS104" i="4" a="1"/>
  <c r="DS104" i="4" s="1"/>
  <c r="W104" i="4" s="1"/>
  <c r="DS103" i="4" a="1"/>
  <c r="DS103" i="4" s="1"/>
  <c r="W103" i="4" s="1"/>
  <c r="DS102" i="4" a="1"/>
  <c r="DS102" i="4" s="1"/>
  <c r="W102" i="4" s="1"/>
  <c r="DR105" i="4" a="1"/>
  <c r="DR105" i="4" s="1"/>
  <c r="V105" i="4" s="1"/>
  <c r="DR104" i="4" a="1"/>
  <c r="DR104" i="4" s="1"/>
  <c r="V104" i="4" s="1"/>
  <c r="DR103" i="4" a="1"/>
  <c r="DR103" i="4" s="1"/>
  <c r="V103" i="4" s="1"/>
  <c r="DR102" i="4" a="1"/>
  <c r="DR102" i="4" s="1"/>
  <c r="V102" i="4" s="1"/>
  <c r="DQ105" i="4" a="1"/>
  <c r="DQ105" i="4" s="1"/>
  <c r="U105" i="4" s="1"/>
  <c r="DQ104" i="4" a="1"/>
  <c r="DQ104" i="4" s="1"/>
  <c r="U104" i="4" s="1"/>
  <c r="DQ103" i="4" a="1"/>
  <c r="DQ103" i="4" s="1"/>
  <c r="U103" i="4" s="1"/>
  <c r="DQ102" i="4" a="1"/>
  <c r="DQ102" i="4" s="1"/>
  <c r="U102" i="4" s="1"/>
  <c r="DP105" i="4" a="1"/>
  <c r="DP105" i="4" s="1"/>
  <c r="T105" i="4" s="1"/>
  <c r="DP104" i="4" a="1"/>
  <c r="DP104" i="4" s="1"/>
  <c r="T104" i="4" s="1"/>
  <c r="DP103" i="4" a="1"/>
  <c r="DP103" i="4" s="1"/>
  <c r="T103" i="4" s="1"/>
  <c r="DP102" i="4" a="1"/>
  <c r="DP102" i="4" s="1"/>
  <c r="T102" i="4" s="1"/>
  <c r="DO105" i="4" a="1"/>
  <c r="DO105" i="4" s="1"/>
  <c r="S105" i="4" s="1"/>
  <c r="DO104" i="4" a="1"/>
  <c r="DO104" i="4" s="1"/>
  <c r="S104" i="4" s="1"/>
  <c r="DO103" i="4" a="1"/>
  <c r="DO103" i="4" s="1"/>
  <c r="S103" i="4" s="1"/>
  <c r="DO102" i="4" a="1"/>
  <c r="DO102" i="4" s="1"/>
  <c r="S102" i="4" s="1"/>
  <c r="DN105" i="4" a="1"/>
  <c r="DN105" i="4" s="1"/>
  <c r="R105" i="4" s="1"/>
  <c r="DN104" i="4" a="1"/>
  <c r="DN104" i="4" s="1"/>
  <c r="R104" i="4" s="1"/>
  <c r="DN103" i="4" a="1"/>
  <c r="DN103" i="4" s="1"/>
  <c r="R103" i="4" s="1"/>
  <c r="DN102" i="4" a="1"/>
  <c r="DN102" i="4" s="1"/>
  <c r="R102" i="4" s="1"/>
  <c r="DM105" i="4" a="1"/>
  <c r="DM105" i="4" s="1"/>
  <c r="Q105" i="4" s="1"/>
  <c r="DM104" i="4" a="1"/>
  <c r="DM104" i="4" s="1"/>
  <c r="Q104" i="4" s="1"/>
  <c r="DM103" i="4" a="1"/>
  <c r="DM103" i="4" s="1"/>
  <c r="Q103" i="4" s="1"/>
  <c r="DM102" i="4" a="1"/>
  <c r="DM102" i="4" s="1"/>
  <c r="Q102" i="4" s="1"/>
  <c r="DL105" i="4" a="1"/>
  <c r="DL105" i="4" s="1"/>
  <c r="P105" i="4" s="1"/>
  <c r="DL104" i="4" a="1"/>
  <c r="DL104" i="4" s="1"/>
  <c r="P104" i="4" s="1"/>
  <c r="DL103" i="4" a="1"/>
  <c r="DL103" i="4" s="1"/>
  <c r="P103" i="4" s="1"/>
  <c r="DL102" i="4" a="1"/>
  <c r="DL102" i="4" s="1"/>
  <c r="P102" i="4" s="1"/>
  <c r="DK105" i="4" a="1"/>
  <c r="DK105" i="4" s="1"/>
  <c r="O105" i="4" s="1"/>
  <c r="DK104" i="4" a="1"/>
  <c r="DK104" i="4" s="1"/>
  <c r="O104" i="4" s="1"/>
  <c r="DK103" i="4" a="1"/>
  <c r="DK103" i="4" s="1"/>
  <c r="O103" i="4" s="1"/>
  <c r="DK102" i="4" a="1"/>
  <c r="DK102" i="4" s="1"/>
  <c r="O102" i="4" s="1"/>
  <c r="DJ105" i="4" a="1"/>
  <c r="DJ105" i="4" s="1"/>
  <c r="N105" i="4" s="1"/>
  <c r="DJ104" i="4" a="1"/>
  <c r="DJ104" i="4" s="1"/>
  <c r="N104" i="4" s="1"/>
  <c r="DJ103" i="4" a="1"/>
  <c r="DJ103" i="4" s="1"/>
  <c r="N103" i="4" s="1"/>
  <c r="DJ102" i="4" a="1"/>
  <c r="DJ102" i="4" s="1"/>
  <c r="N102" i="4" s="1"/>
  <c r="DI105" i="4" a="1"/>
  <c r="DI105" i="4" s="1"/>
  <c r="M105" i="4" s="1"/>
  <c r="DI104" i="4" a="1"/>
  <c r="DI104" i="4" s="1"/>
  <c r="M104" i="4" s="1"/>
  <c r="DI103" i="4" a="1"/>
  <c r="DI103" i="4" s="1"/>
  <c r="M103" i="4" s="1"/>
  <c r="DI102" i="4" a="1"/>
  <c r="DI102" i="4" s="1"/>
  <c r="M102" i="4" s="1"/>
  <c r="DH105" i="4" a="1"/>
  <c r="DH105" i="4" s="1"/>
  <c r="L105" i="4" s="1"/>
  <c r="DH104" i="4" a="1"/>
  <c r="DH104" i="4" s="1"/>
  <c r="L104" i="4" s="1"/>
  <c r="DH103" i="4" a="1"/>
  <c r="DH103" i="4" s="1"/>
  <c r="L103" i="4" s="1"/>
  <c r="DH102" i="4" a="1"/>
  <c r="DH102" i="4" s="1"/>
  <c r="L102" i="4" s="1"/>
  <c r="DG105" i="4" a="1"/>
  <c r="DG105" i="4" s="1"/>
  <c r="K105" i="4" s="1"/>
  <c r="DG104" i="4" a="1"/>
  <c r="DG104" i="4" s="1"/>
  <c r="K104" i="4" s="1"/>
  <c r="DG103" i="4" a="1"/>
  <c r="DG103" i="4" s="1"/>
  <c r="K103" i="4" s="1"/>
  <c r="DG102" i="4" a="1"/>
  <c r="DG102" i="4" s="1"/>
  <c r="K102" i="4" s="1"/>
  <c r="DF105" i="4" a="1"/>
  <c r="DF105" i="4" s="1"/>
  <c r="J105" i="4" s="1"/>
  <c r="DF104" i="4" a="1"/>
  <c r="DF104" i="4" s="1"/>
  <c r="J104" i="4" s="1"/>
  <c r="DF103" i="4" a="1"/>
  <c r="DF103" i="4" s="1"/>
  <c r="J103" i="4" s="1"/>
  <c r="DF102" i="4" a="1"/>
  <c r="DF102" i="4" s="1"/>
  <c r="J102" i="4" s="1"/>
  <c r="DE105" i="4" a="1"/>
  <c r="DE105" i="4" s="1"/>
  <c r="I105" i="4" s="1"/>
  <c r="DE104" i="4" a="1"/>
  <c r="DE104" i="4" s="1"/>
  <c r="I104" i="4" s="1"/>
  <c r="DE103" i="4" a="1"/>
  <c r="DE103" i="4" s="1"/>
  <c r="I103" i="4" s="1"/>
  <c r="DE102" i="4" a="1"/>
  <c r="DE102" i="4" s="1"/>
  <c r="I102" i="4" s="1"/>
  <c r="DD105" i="4" a="1"/>
  <c r="DD105" i="4" s="1"/>
  <c r="H105" i="4" s="1"/>
  <c r="DD104" i="4" a="1"/>
  <c r="DD104" i="4" s="1"/>
  <c r="H104" i="4" s="1"/>
  <c r="DD103" i="4" a="1"/>
  <c r="DD103" i="4" s="1"/>
  <c r="H103" i="4" s="1"/>
  <c r="DD102" i="4" a="1"/>
  <c r="DD102" i="4" s="1"/>
  <c r="H102" i="4" s="1"/>
  <c r="DC105" i="4" a="1"/>
  <c r="DC105" i="4" s="1"/>
  <c r="G105" i="4" s="1"/>
  <c r="DC104" i="4" a="1"/>
  <c r="DC104" i="4" s="1"/>
  <c r="G104" i="4" s="1"/>
  <c r="DC103" i="4" a="1"/>
  <c r="DC103" i="4" s="1"/>
  <c r="G103" i="4" s="1"/>
  <c r="DC102" i="4" a="1"/>
  <c r="DC102" i="4" s="1"/>
  <c r="G102" i="4" s="1"/>
  <c r="DB105" i="4" a="1"/>
  <c r="DB105" i="4" s="1"/>
  <c r="F105" i="4" s="1"/>
  <c r="DB104" i="4" a="1"/>
  <c r="DB104" i="4" s="1"/>
  <c r="F104" i="4" s="1"/>
  <c r="DB103" i="4" a="1"/>
  <c r="DB103" i="4" s="1"/>
  <c r="F103" i="4" s="1"/>
  <c r="DB102" i="4" a="1"/>
  <c r="DB102" i="4" s="1"/>
  <c r="F102" i="4" s="1"/>
  <c r="DA105" i="4" a="1"/>
  <c r="DA105" i="4" s="1"/>
  <c r="E105" i="4" s="1"/>
  <c r="DA104" i="4" a="1"/>
  <c r="DA104" i="4" s="1"/>
  <c r="E104" i="4" s="1"/>
  <c r="DA103" i="4" a="1"/>
  <c r="DA103" i="4" s="1"/>
  <c r="E103" i="4" s="1"/>
  <c r="DA102" i="4" a="1"/>
  <c r="DA102" i="4" s="1"/>
  <c r="E102" i="4" s="1"/>
  <c r="CZ105" i="4" a="1"/>
  <c r="CZ105" i="4" s="1"/>
  <c r="D105" i="4" s="1"/>
  <c r="CZ104" i="4" a="1"/>
  <c r="CZ104" i="4" s="1"/>
  <c r="D104" i="4" s="1"/>
  <c r="CZ103" i="4" a="1"/>
  <c r="CZ103" i="4" s="1"/>
  <c r="D103" i="4" s="1"/>
  <c r="CZ102" i="4" a="1"/>
  <c r="CZ102" i="4" s="1"/>
  <c r="D102" i="4" s="1"/>
  <c r="GA90" i="4" a="1"/>
  <c r="GA90" i="4" s="1"/>
  <c r="FZ90" i="4" a="1"/>
  <c r="FZ90" i="4" s="1"/>
  <c r="FY90" i="4" a="1"/>
  <c r="FY90" i="4" s="1"/>
  <c r="FX90" i="4" a="1"/>
  <c r="FX90" i="4" s="1"/>
  <c r="FW90" i="4" a="1"/>
  <c r="FW90" i="4" s="1"/>
  <c r="FV90" i="4" a="1"/>
  <c r="FV90" i="4" s="1"/>
  <c r="FU90" i="4" a="1"/>
  <c r="FU90" i="4" s="1"/>
  <c r="FT90" i="4" a="1"/>
  <c r="FT90" i="4" s="1"/>
  <c r="FS90" i="4" a="1"/>
  <c r="FS90" i="4" s="1"/>
  <c r="FR90" i="4" a="1"/>
  <c r="FR90" i="4" s="1"/>
  <c r="FQ90" i="4" a="1"/>
  <c r="FQ90" i="4" s="1"/>
  <c r="FP90" i="4" a="1"/>
  <c r="FP90" i="4" s="1"/>
  <c r="FO90" i="4" a="1"/>
  <c r="FO90" i="4" s="1"/>
  <c r="FN90" i="4" a="1"/>
  <c r="FN90" i="4" s="1"/>
  <c r="FM90" i="4" a="1"/>
  <c r="FM90" i="4" s="1"/>
  <c r="FL90" i="4" a="1"/>
  <c r="FL90" i="4" s="1"/>
  <c r="FK90" i="4" a="1"/>
  <c r="FK90" i="4" s="1"/>
  <c r="FJ90" i="4" a="1"/>
  <c r="FJ90" i="4" s="1"/>
  <c r="FI90" i="4" a="1"/>
  <c r="FI90" i="4" s="1"/>
  <c r="FH90" i="4" a="1"/>
  <c r="FH90" i="4" s="1"/>
  <c r="GA89" i="4" a="1"/>
  <c r="GA89" i="4" s="1"/>
  <c r="FZ89" i="4" a="1"/>
  <c r="FZ89" i="4" s="1"/>
  <c r="FY89" i="4" a="1"/>
  <c r="FY89" i="4" s="1"/>
  <c r="FX89" i="4" a="1"/>
  <c r="FX89" i="4" s="1"/>
  <c r="FW89" i="4" a="1"/>
  <c r="FW89" i="4" s="1"/>
  <c r="FV89" i="4" a="1"/>
  <c r="FV89" i="4" s="1"/>
  <c r="FU89" i="4" a="1"/>
  <c r="FU89" i="4" s="1"/>
  <c r="FT89" i="4" a="1"/>
  <c r="FT89" i="4" s="1"/>
  <c r="FS89" i="4" a="1"/>
  <c r="FS89" i="4" s="1"/>
  <c r="FR89" i="4" a="1"/>
  <c r="FR89" i="4" s="1"/>
  <c r="FQ89" i="4" a="1"/>
  <c r="FQ89" i="4" s="1"/>
  <c r="FP89" i="4" a="1"/>
  <c r="FP89" i="4" s="1"/>
  <c r="FO89" i="4" a="1"/>
  <c r="FO89" i="4" s="1"/>
  <c r="FN89" i="4" a="1"/>
  <c r="FN89" i="4" s="1"/>
  <c r="FM89" i="4" a="1"/>
  <c r="FM89" i="4" s="1"/>
  <c r="FL89" i="4" a="1"/>
  <c r="FL89" i="4" s="1"/>
  <c r="FK89" i="4" a="1"/>
  <c r="FK89" i="4" s="1"/>
  <c r="FJ89" i="4" a="1"/>
  <c r="FJ89" i="4" s="1"/>
  <c r="FI89" i="4" a="1"/>
  <c r="FI89" i="4" s="1"/>
  <c r="FH89" i="4" a="1"/>
  <c r="FH89" i="4" s="1"/>
  <c r="GA88" i="4" a="1"/>
  <c r="GA88" i="4" s="1"/>
  <c r="FZ88" i="4" a="1"/>
  <c r="FZ88" i="4" s="1"/>
  <c r="FY88" i="4" a="1"/>
  <c r="FY88" i="4" s="1"/>
  <c r="FX88" i="4" a="1"/>
  <c r="FX88" i="4" s="1"/>
  <c r="FW88" i="4" a="1"/>
  <c r="FW88" i="4" s="1"/>
  <c r="FV88" i="4" a="1"/>
  <c r="FV88" i="4" s="1"/>
  <c r="FU88" i="4" a="1"/>
  <c r="FU88" i="4" s="1"/>
  <c r="FT88" i="4" a="1"/>
  <c r="FT88" i="4" s="1"/>
  <c r="FS88" i="4" a="1"/>
  <c r="FS88" i="4" s="1"/>
  <c r="FR88" i="4" a="1"/>
  <c r="FR88" i="4" s="1"/>
  <c r="FQ88" i="4" a="1"/>
  <c r="FQ88" i="4" s="1"/>
  <c r="FP88" i="4" a="1"/>
  <c r="FP88" i="4" s="1"/>
  <c r="FO88" i="4" a="1"/>
  <c r="FO88" i="4" s="1"/>
  <c r="FN88" i="4" a="1"/>
  <c r="FN88" i="4" s="1"/>
  <c r="FM88" i="4" a="1"/>
  <c r="FM88" i="4" s="1"/>
  <c r="FL88" i="4" a="1"/>
  <c r="FL88" i="4" s="1"/>
  <c r="FK88" i="4" a="1"/>
  <c r="FK88" i="4" s="1"/>
  <c r="FJ88" i="4" a="1"/>
  <c r="FJ88" i="4" s="1"/>
  <c r="FI88" i="4" a="1"/>
  <c r="FI88" i="4" s="1"/>
  <c r="FH88" i="4" a="1"/>
  <c r="FH88" i="4" s="1"/>
  <c r="GA87" i="4" a="1"/>
  <c r="GA87" i="4" s="1"/>
  <c r="FZ87" i="4" a="1"/>
  <c r="FZ87" i="4" s="1"/>
  <c r="FY87" i="4" a="1"/>
  <c r="FY87" i="4" s="1"/>
  <c r="FX87" i="4" a="1"/>
  <c r="FX87" i="4" s="1"/>
  <c r="FW87" i="4" a="1"/>
  <c r="FW87" i="4" s="1"/>
  <c r="FV87" i="4" a="1"/>
  <c r="FV87" i="4" s="1"/>
  <c r="FU87" i="4" a="1"/>
  <c r="FU87" i="4" s="1"/>
  <c r="FT87" i="4" a="1"/>
  <c r="FT87" i="4" s="1"/>
  <c r="FS87" i="4" a="1"/>
  <c r="FS87" i="4" s="1"/>
  <c r="FR87" i="4" a="1"/>
  <c r="FR87" i="4" s="1"/>
  <c r="FQ87" i="4" a="1"/>
  <c r="FQ87" i="4" s="1"/>
  <c r="FP87" i="4" a="1"/>
  <c r="FP87" i="4" s="1"/>
  <c r="FO87" i="4" a="1"/>
  <c r="FO87" i="4" s="1"/>
  <c r="FN87" i="4" a="1"/>
  <c r="FN87" i="4" s="1"/>
  <c r="FM87" i="4" a="1"/>
  <c r="FM87" i="4" s="1"/>
  <c r="FL87" i="4" a="1"/>
  <c r="FL87" i="4" s="1"/>
  <c r="FK87" i="4" a="1"/>
  <c r="FK87" i="4" s="1"/>
  <c r="FJ87" i="4" a="1"/>
  <c r="FJ87" i="4" s="1"/>
  <c r="FI87" i="4" a="1"/>
  <c r="FI87" i="4" s="1"/>
  <c r="FH87" i="4" a="1"/>
  <c r="FH87" i="4" s="1"/>
  <c r="GA86" i="4" a="1"/>
  <c r="GA86" i="4" s="1"/>
  <c r="FZ86" i="4" a="1"/>
  <c r="FZ86" i="4" s="1"/>
  <c r="FY86" i="4" a="1"/>
  <c r="FY86" i="4" s="1"/>
  <c r="FX86" i="4" a="1"/>
  <c r="FX86" i="4" s="1"/>
  <c r="FW86" i="4" a="1"/>
  <c r="FW86" i="4" s="1"/>
  <c r="FV86" i="4" a="1"/>
  <c r="FV86" i="4" s="1"/>
  <c r="FU86" i="4" a="1"/>
  <c r="FU86" i="4" s="1"/>
  <c r="FT86" i="4" a="1"/>
  <c r="FT86" i="4" s="1"/>
  <c r="FS86" i="4" a="1"/>
  <c r="FS86" i="4" s="1"/>
  <c r="FR86" i="4" a="1"/>
  <c r="FR86" i="4" s="1"/>
  <c r="FQ86" i="4" a="1"/>
  <c r="FQ86" i="4" s="1"/>
  <c r="FP86" i="4" a="1"/>
  <c r="FP86" i="4" s="1"/>
  <c r="FO86" i="4" a="1"/>
  <c r="FO86" i="4" s="1"/>
  <c r="FN86" i="4" a="1"/>
  <c r="FN86" i="4" s="1"/>
  <c r="FM86" i="4" a="1"/>
  <c r="FM86" i="4" s="1"/>
  <c r="FL86" i="4" a="1"/>
  <c r="FL86" i="4" s="1"/>
  <c r="FK86" i="4" a="1"/>
  <c r="FK86" i="4" s="1"/>
  <c r="FJ86" i="4" a="1"/>
  <c r="FJ86" i="4" s="1"/>
  <c r="FI86" i="4" a="1"/>
  <c r="FI86" i="4" s="1"/>
  <c r="FH86" i="4" a="1"/>
  <c r="FH86" i="4" s="1"/>
  <c r="GA85" i="4" a="1"/>
  <c r="GA85" i="4" s="1"/>
  <c r="FZ85" i="4" a="1"/>
  <c r="FZ85" i="4" s="1"/>
  <c r="FY85" i="4" a="1"/>
  <c r="FY85" i="4" s="1"/>
  <c r="FX85" i="4" a="1"/>
  <c r="FX85" i="4" s="1"/>
  <c r="FW85" i="4" a="1"/>
  <c r="FW85" i="4" s="1"/>
  <c r="FV85" i="4" a="1"/>
  <c r="FV85" i="4" s="1"/>
  <c r="FU85" i="4" a="1"/>
  <c r="FU85" i="4" s="1"/>
  <c r="FT85" i="4" a="1"/>
  <c r="FT85" i="4" s="1"/>
  <c r="FS85" i="4" a="1"/>
  <c r="FS85" i="4" s="1"/>
  <c r="FR85" i="4" a="1"/>
  <c r="FR85" i="4" s="1"/>
  <c r="FQ85" i="4" a="1"/>
  <c r="FQ85" i="4" s="1"/>
  <c r="FP85" i="4" a="1"/>
  <c r="FP85" i="4" s="1"/>
  <c r="FO85" i="4" a="1"/>
  <c r="FO85" i="4" s="1"/>
  <c r="FN85" i="4" a="1"/>
  <c r="FN85" i="4" s="1"/>
  <c r="FM85" i="4" a="1"/>
  <c r="FM85" i="4" s="1"/>
  <c r="FL85" i="4" a="1"/>
  <c r="FL85" i="4" s="1"/>
  <c r="FK85" i="4" a="1"/>
  <c r="FK85" i="4" s="1"/>
  <c r="FJ85" i="4" a="1"/>
  <c r="FJ85" i="4" s="1"/>
  <c r="FI85" i="4" a="1"/>
  <c r="FI85" i="4" s="1"/>
  <c r="FH85" i="4" a="1"/>
  <c r="FH85" i="4" s="1"/>
  <c r="GA84" i="4" a="1"/>
  <c r="GA84" i="4" s="1"/>
  <c r="FZ84" i="4" a="1"/>
  <c r="FZ84" i="4" s="1"/>
  <c r="FY84" i="4" a="1"/>
  <c r="FY84" i="4" s="1"/>
  <c r="FX84" i="4" a="1"/>
  <c r="FX84" i="4" s="1"/>
  <c r="FW84" i="4" a="1"/>
  <c r="FW84" i="4" s="1"/>
  <c r="FV84" i="4" a="1"/>
  <c r="FV84" i="4" s="1"/>
  <c r="FU84" i="4" a="1"/>
  <c r="FU84" i="4" s="1"/>
  <c r="FT84" i="4" a="1"/>
  <c r="FT84" i="4" s="1"/>
  <c r="FS84" i="4" a="1"/>
  <c r="FS84" i="4" s="1"/>
  <c r="FR84" i="4" a="1"/>
  <c r="FR84" i="4" s="1"/>
  <c r="FQ84" i="4" a="1"/>
  <c r="FQ84" i="4" s="1"/>
  <c r="FP84" i="4" a="1"/>
  <c r="FP84" i="4" s="1"/>
  <c r="FO84" i="4" a="1"/>
  <c r="FO84" i="4" s="1"/>
  <c r="FN84" i="4" a="1"/>
  <c r="FN84" i="4" s="1"/>
  <c r="FM84" i="4" a="1"/>
  <c r="FM84" i="4" s="1"/>
  <c r="FL84" i="4" a="1"/>
  <c r="FL84" i="4" s="1"/>
  <c r="FK84" i="4" a="1"/>
  <c r="FK84" i="4" s="1"/>
  <c r="FJ84" i="4" a="1"/>
  <c r="FJ84" i="4" s="1"/>
  <c r="FI84" i="4" a="1"/>
  <c r="FI84" i="4" s="1"/>
  <c r="FH84" i="4" a="1"/>
  <c r="FH84" i="4" s="1"/>
  <c r="GA83" i="4" a="1"/>
  <c r="GA83" i="4" s="1"/>
  <c r="FZ83" i="4" a="1"/>
  <c r="FZ83" i="4" s="1"/>
  <c r="FY83" i="4" a="1"/>
  <c r="FY83" i="4" s="1"/>
  <c r="FX83" i="4" a="1"/>
  <c r="FX83" i="4" s="1"/>
  <c r="FW83" i="4" a="1"/>
  <c r="FW83" i="4" s="1"/>
  <c r="FV83" i="4" a="1"/>
  <c r="FV83" i="4" s="1"/>
  <c r="FU83" i="4" a="1"/>
  <c r="FU83" i="4" s="1"/>
  <c r="FT83" i="4" a="1"/>
  <c r="FT83" i="4" s="1"/>
  <c r="FS83" i="4" a="1"/>
  <c r="FS83" i="4" s="1"/>
  <c r="FR83" i="4" a="1"/>
  <c r="FR83" i="4" s="1"/>
  <c r="FQ83" i="4" a="1"/>
  <c r="FQ83" i="4" s="1"/>
  <c r="FP83" i="4" a="1"/>
  <c r="FP83" i="4" s="1"/>
  <c r="FO83" i="4" a="1"/>
  <c r="FO83" i="4" s="1"/>
  <c r="FN83" i="4" a="1"/>
  <c r="FN83" i="4" s="1"/>
  <c r="FM83" i="4" a="1"/>
  <c r="FM83" i="4" s="1"/>
  <c r="FL83" i="4" a="1"/>
  <c r="FL83" i="4" s="1"/>
  <c r="FK83" i="4" a="1"/>
  <c r="FK83" i="4" s="1"/>
  <c r="FJ83" i="4" a="1"/>
  <c r="FJ83" i="4" s="1"/>
  <c r="FI83" i="4" a="1"/>
  <c r="FI83" i="4" s="1"/>
  <c r="FH83" i="4" a="1"/>
  <c r="FH83" i="4" s="1"/>
  <c r="GA82" i="4" a="1"/>
  <c r="GA82" i="4" s="1"/>
  <c r="FZ82" i="4" a="1"/>
  <c r="FZ82" i="4" s="1"/>
  <c r="FY82" i="4" a="1"/>
  <c r="FY82" i="4" s="1"/>
  <c r="FX82" i="4" a="1"/>
  <c r="FX82" i="4" s="1"/>
  <c r="FW82" i="4" a="1"/>
  <c r="FW82" i="4" s="1"/>
  <c r="FV82" i="4" a="1"/>
  <c r="FV82" i="4" s="1"/>
  <c r="FU82" i="4" a="1"/>
  <c r="FU82" i="4" s="1"/>
  <c r="FT82" i="4" a="1"/>
  <c r="FT82" i="4" s="1"/>
  <c r="FS82" i="4" a="1"/>
  <c r="FS82" i="4" s="1"/>
  <c r="FR82" i="4" a="1"/>
  <c r="FR82" i="4" s="1"/>
  <c r="FQ82" i="4" a="1"/>
  <c r="FQ82" i="4" s="1"/>
  <c r="FP82" i="4" a="1"/>
  <c r="FP82" i="4" s="1"/>
  <c r="FO82" i="4" a="1"/>
  <c r="FO82" i="4" s="1"/>
  <c r="FN82" i="4" a="1"/>
  <c r="FN82" i="4" s="1"/>
  <c r="FM82" i="4" a="1"/>
  <c r="FM82" i="4" s="1"/>
  <c r="FL82" i="4" a="1"/>
  <c r="FL82" i="4" s="1"/>
  <c r="FK82" i="4" a="1"/>
  <c r="FK82" i="4" s="1"/>
  <c r="FJ82" i="4" a="1"/>
  <c r="FJ82" i="4" s="1"/>
  <c r="FI82" i="4" a="1"/>
  <c r="FI82" i="4" s="1"/>
  <c r="FH82" i="4" a="1"/>
  <c r="FH82" i="4" s="1"/>
  <c r="FG90" i="4" a="1"/>
  <c r="FG90" i="4" s="1"/>
  <c r="FF90" i="4" a="1"/>
  <c r="FF90" i="4" s="1"/>
  <c r="FE90" i="4" a="1"/>
  <c r="FE90" i="4" s="1"/>
  <c r="FD90" i="4" a="1"/>
  <c r="FD90" i="4" s="1"/>
  <c r="FC90" i="4" a="1"/>
  <c r="FC90" i="4" s="1"/>
  <c r="FB90" i="4" a="1"/>
  <c r="FB90" i="4" s="1"/>
  <c r="FA90" i="4" a="1"/>
  <c r="FA90" i="4" s="1"/>
  <c r="EZ90" i="4" a="1"/>
  <c r="EZ90" i="4" s="1"/>
  <c r="EY90" i="4" a="1"/>
  <c r="EY90" i="4" s="1"/>
  <c r="EX90" i="4" a="1"/>
  <c r="EX90" i="4" s="1"/>
  <c r="EW90" i="4" a="1"/>
  <c r="EW90" i="4" s="1"/>
  <c r="EV90" i="4" a="1"/>
  <c r="EV90" i="4" s="1"/>
  <c r="EU90" i="4" a="1"/>
  <c r="EU90" i="4" s="1"/>
  <c r="ET90" i="4" a="1"/>
  <c r="ET90" i="4" s="1"/>
  <c r="ES90" i="4" a="1"/>
  <c r="ES90" i="4" s="1"/>
  <c r="ER90" i="4" a="1"/>
  <c r="ER90" i="4" s="1"/>
  <c r="EQ90" i="4" a="1"/>
  <c r="EQ90" i="4" s="1"/>
  <c r="EP90" i="4" a="1"/>
  <c r="EP90" i="4" s="1"/>
  <c r="EO90" i="4" a="1"/>
  <c r="EO90" i="4" s="1"/>
  <c r="EN90" i="4" a="1"/>
  <c r="EN90" i="4" s="1"/>
  <c r="FG89" i="4" a="1"/>
  <c r="FG89" i="4" s="1"/>
  <c r="FF89" i="4" a="1"/>
  <c r="FF89" i="4" s="1"/>
  <c r="FE89" i="4" a="1"/>
  <c r="FE89" i="4" s="1"/>
  <c r="FD89" i="4" a="1"/>
  <c r="FD89" i="4" s="1"/>
  <c r="FC89" i="4" a="1"/>
  <c r="FC89" i="4" s="1"/>
  <c r="FB89" i="4" a="1"/>
  <c r="FB89" i="4" s="1"/>
  <c r="FA89" i="4" a="1"/>
  <c r="FA89" i="4" s="1"/>
  <c r="EZ89" i="4" a="1"/>
  <c r="EZ89" i="4" s="1"/>
  <c r="EY89" i="4" a="1"/>
  <c r="EY89" i="4" s="1"/>
  <c r="EX89" i="4" a="1"/>
  <c r="EX89" i="4" s="1"/>
  <c r="EW89" i="4" a="1"/>
  <c r="EW89" i="4" s="1"/>
  <c r="EV89" i="4" a="1"/>
  <c r="EV89" i="4" s="1"/>
  <c r="EU89" i="4" a="1"/>
  <c r="EU89" i="4" s="1"/>
  <c r="ET89" i="4" a="1"/>
  <c r="ET89" i="4" s="1"/>
  <c r="ES89" i="4" a="1"/>
  <c r="ES89" i="4" s="1"/>
  <c r="ER89" i="4" a="1"/>
  <c r="ER89" i="4" s="1"/>
  <c r="EQ89" i="4" a="1"/>
  <c r="EQ89" i="4" s="1"/>
  <c r="EP89" i="4" a="1"/>
  <c r="EP89" i="4" s="1"/>
  <c r="EO89" i="4" a="1"/>
  <c r="EO89" i="4" s="1"/>
  <c r="EN89" i="4" a="1"/>
  <c r="EN89" i="4" s="1"/>
  <c r="FG88" i="4" a="1"/>
  <c r="FG88" i="4" s="1"/>
  <c r="FF88" i="4" a="1"/>
  <c r="FF88" i="4" s="1"/>
  <c r="FE88" i="4" a="1"/>
  <c r="FE88" i="4" s="1"/>
  <c r="FD88" i="4" a="1"/>
  <c r="FD88" i="4" s="1"/>
  <c r="FC88" i="4" a="1"/>
  <c r="FC88" i="4" s="1"/>
  <c r="FB88" i="4" a="1"/>
  <c r="FB88" i="4" s="1"/>
  <c r="FA88" i="4" a="1"/>
  <c r="FA88" i="4" s="1"/>
  <c r="EZ88" i="4" a="1"/>
  <c r="EZ88" i="4" s="1"/>
  <c r="EY88" i="4" a="1"/>
  <c r="EY88" i="4" s="1"/>
  <c r="EX88" i="4" a="1"/>
  <c r="EX88" i="4" s="1"/>
  <c r="EW88" i="4" a="1"/>
  <c r="EW88" i="4" s="1"/>
  <c r="EV88" i="4" a="1"/>
  <c r="EV88" i="4" s="1"/>
  <c r="EU88" i="4" a="1"/>
  <c r="EU88" i="4" s="1"/>
  <c r="ET88" i="4" a="1"/>
  <c r="ET88" i="4" s="1"/>
  <c r="ES88" i="4" a="1"/>
  <c r="ES88" i="4" s="1"/>
  <c r="ER88" i="4" a="1"/>
  <c r="ER88" i="4" s="1"/>
  <c r="EQ88" i="4" a="1"/>
  <c r="EQ88" i="4" s="1"/>
  <c r="EP88" i="4" a="1"/>
  <c r="EP88" i="4" s="1"/>
  <c r="EO88" i="4" a="1"/>
  <c r="EO88" i="4" s="1"/>
  <c r="EN88" i="4" a="1"/>
  <c r="EN88" i="4" s="1"/>
  <c r="FG87" i="4" a="1"/>
  <c r="FG87" i="4" s="1"/>
  <c r="FF87" i="4" a="1"/>
  <c r="FF87" i="4" s="1"/>
  <c r="FE87" i="4" a="1"/>
  <c r="FE87" i="4" s="1"/>
  <c r="FD87" i="4" a="1"/>
  <c r="FD87" i="4" s="1"/>
  <c r="FC87" i="4" a="1"/>
  <c r="FC87" i="4" s="1"/>
  <c r="FB87" i="4" a="1"/>
  <c r="FB87" i="4" s="1"/>
  <c r="FA87" i="4" a="1"/>
  <c r="FA87" i="4" s="1"/>
  <c r="EZ87" i="4" a="1"/>
  <c r="EZ87" i="4" s="1"/>
  <c r="EY87" i="4" a="1"/>
  <c r="EY87" i="4" s="1"/>
  <c r="EX87" i="4" a="1"/>
  <c r="EX87" i="4" s="1"/>
  <c r="EW87" i="4" a="1"/>
  <c r="EW87" i="4" s="1"/>
  <c r="EV87" i="4" a="1"/>
  <c r="EV87" i="4" s="1"/>
  <c r="EU87" i="4" a="1"/>
  <c r="EU87" i="4" s="1"/>
  <c r="ET87" i="4" a="1"/>
  <c r="ET87" i="4" s="1"/>
  <c r="ES87" i="4" a="1"/>
  <c r="ES87" i="4" s="1"/>
  <c r="ER87" i="4" a="1"/>
  <c r="ER87" i="4" s="1"/>
  <c r="EQ87" i="4" a="1"/>
  <c r="EQ87" i="4" s="1"/>
  <c r="EP87" i="4" a="1"/>
  <c r="EP87" i="4" s="1"/>
  <c r="EO87" i="4" a="1"/>
  <c r="EO87" i="4" s="1"/>
  <c r="EN87" i="4" a="1"/>
  <c r="EN87" i="4" s="1"/>
  <c r="FG86" i="4" a="1"/>
  <c r="FG86" i="4" s="1"/>
  <c r="FF86" i="4" a="1"/>
  <c r="FF86" i="4" s="1"/>
  <c r="FE86" i="4" a="1"/>
  <c r="FE86" i="4" s="1"/>
  <c r="FD86" i="4" a="1"/>
  <c r="FD86" i="4" s="1"/>
  <c r="FC86" i="4" a="1"/>
  <c r="FC86" i="4" s="1"/>
  <c r="FB86" i="4" a="1"/>
  <c r="FB86" i="4" s="1"/>
  <c r="FA86" i="4" a="1"/>
  <c r="FA86" i="4" s="1"/>
  <c r="EZ86" i="4" a="1"/>
  <c r="EZ86" i="4" s="1"/>
  <c r="EY86" i="4" a="1"/>
  <c r="EY86" i="4" s="1"/>
  <c r="EX86" i="4" a="1"/>
  <c r="EX86" i="4" s="1"/>
  <c r="EW86" i="4" a="1"/>
  <c r="EW86" i="4" s="1"/>
  <c r="EV86" i="4" a="1"/>
  <c r="EV86" i="4" s="1"/>
  <c r="EU86" i="4" a="1"/>
  <c r="EU86" i="4" s="1"/>
  <c r="ET86" i="4" a="1"/>
  <c r="ET86" i="4" s="1"/>
  <c r="ES86" i="4" a="1"/>
  <c r="ES86" i="4" s="1"/>
  <c r="ER86" i="4" a="1"/>
  <c r="ER86" i="4" s="1"/>
  <c r="EQ86" i="4" a="1"/>
  <c r="EQ86" i="4" s="1"/>
  <c r="EP86" i="4" a="1"/>
  <c r="EP86" i="4" s="1"/>
  <c r="EO86" i="4" a="1"/>
  <c r="EO86" i="4" s="1"/>
  <c r="EN86" i="4" a="1"/>
  <c r="EN86" i="4" s="1"/>
  <c r="FG85" i="4" a="1"/>
  <c r="FG85" i="4" s="1"/>
  <c r="FF85" i="4" a="1"/>
  <c r="FF85" i="4" s="1"/>
  <c r="FE85" i="4" a="1"/>
  <c r="FE85" i="4" s="1"/>
  <c r="FD85" i="4" a="1"/>
  <c r="FD85" i="4" s="1"/>
  <c r="FC85" i="4" a="1"/>
  <c r="FC85" i="4" s="1"/>
  <c r="FB85" i="4" a="1"/>
  <c r="FB85" i="4" s="1"/>
  <c r="FA85" i="4" a="1"/>
  <c r="FA85" i="4" s="1"/>
  <c r="EZ85" i="4" a="1"/>
  <c r="EZ85" i="4" s="1"/>
  <c r="EY85" i="4" a="1"/>
  <c r="EY85" i="4" s="1"/>
  <c r="EX85" i="4" a="1"/>
  <c r="EX85" i="4" s="1"/>
  <c r="EW85" i="4" a="1"/>
  <c r="EW85" i="4" s="1"/>
  <c r="EV85" i="4" a="1"/>
  <c r="EV85" i="4" s="1"/>
  <c r="EU85" i="4" a="1"/>
  <c r="EU85" i="4" s="1"/>
  <c r="ET85" i="4" a="1"/>
  <c r="ET85" i="4" s="1"/>
  <c r="ES85" i="4" a="1"/>
  <c r="ES85" i="4" s="1"/>
  <c r="ER85" i="4" a="1"/>
  <c r="ER85" i="4" s="1"/>
  <c r="EQ85" i="4" a="1"/>
  <c r="EQ85" i="4" s="1"/>
  <c r="EP85" i="4" a="1"/>
  <c r="EP85" i="4" s="1"/>
  <c r="EO85" i="4" a="1"/>
  <c r="EO85" i="4" s="1"/>
  <c r="EN85" i="4" a="1"/>
  <c r="EN85" i="4" s="1"/>
  <c r="FG84" i="4" a="1"/>
  <c r="FG84" i="4" s="1"/>
  <c r="FF84" i="4" a="1"/>
  <c r="FF84" i="4" s="1"/>
  <c r="FE84" i="4" a="1"/>
  <c r="FE84" i="4" s="1"/>
  <c r="FD84" i="4" a="1"/>
  <c r="FD84" i="4" s="1"/>
  <c r="FC84" i="4" a="1"/>
  <c r="FC84" i="4" s="1"/>
  <c r="FB84" i="4" a="1"/>
  <c r="FB84" i="4" s="1"/>
  <c r="FA84" i="4" a="1"/>
  <c r="FA84" i="4" s="1"/>
  <c r="EZ84" i="4" a="1"/>
  <c r="EZ84" i="4" s="1"/>
  <c r="EY84" i="4" a="1"/>
  <c r="EY84" i="4" s="1"/>
  <c r="EX84" i="4" a="1"/>
  <c r="EX84" i="4" s="1"/>
  <c r="EW84" i="4" a="1"/>
  <c r="EW84" i="4" s="1"/>
  <c r="EV84" i="4" a="1"/>
  <c r="EV84" i="4" s="1"/>
  <c r="EU84" i="4" a="1"/>
  <c r="EU84" i="4" s="1"/>
  <c r="ET84" i="4" a="1"/>
  <c r="ET84" i="4" s="1"/>
  <c r="ES84" i="4" a="1"/>
  <c r="ES84" i="4" s="1"/>
  <c r="ER84" i="4" a="1"/>
  <c r="ER84" i="4" s="1"/>
  <c r="EQ84" i="4" a="1"/>
  <c r="EQ84" i="4" s="1"/>
  <c r="EP84" i="4" a="1"/>
  <c r="EP84" i="4" s="1"/>
  <c r="EO84" i="4" a="1"/>
  <c r="EO84" i="4" s="1"/>
  <c r="EN84" i="4" a="1"/>
  <c r="EN84" i="4" s="1"/>
  <c r="FG83" i="4" a="1"/>
  <c r="FG83" i="4" s="1"/>
  <c r="FF83" i="4" a="1"/>
  <c r="FF83" i="4" s="1"/>
  <c r="FE83" i="4" a="1"/>
  <c r="FE83" i="4" s="1"/>
  <c r="FD83" i="4" a="1"/>
  <c r="FD83" i="4" s="1"/>
  <c r="FC83" i="4" a="1"/>
  <c r="FC83" i="4" s="1"/>
  <c r="FB83" i="4" a="1"/>
  <c r="FB83" i="4" s="1"/>
  <c r="FA83" i="4" a="1"/>
  <c r="FA83" i="4" s="1"/>
  <c r="EZ83" i="4" a="1"/>
  <c r="EZ83" i="4" s="1"/>
  <c r="EY83" i="4" a="1"/>
  <c r="EY83" i="4" s="1"/>
  <c r="EX83" i="4" a="1"/>
  <c r="EX83" i="4" s="1"/>
  <c r="EW83" i="4" a="1"/>
  <c r="EW83" i="4" s="1"/>
  <c r="EV83" i="4" a="1"/>
  <c r="EV83" i="4" s="1"/>
  <c r="EU83" i="4" a="1"/>
  <c r="EU83" i="4" s="1"/>
  <c r="ET83" i="4" a="1"/>
  <c r="ET83" i="4" s="1"/>
  <c r="ES83" i="4" a="1"/>
  <c r="ES83" i="4" s="1"/>
  <c r="ER83" i="4" a="1"/>
  <c r="ER83" i="4" s="1"/>
  <c r="EQ83" i="4" a="1"/>
  <c r="EQ83" i="4" s="1"/>
  <c r="EP83" i="4" a="1"/>
  <c r="EP83" i="4" s="1"/>
  <c r="EO83" i="4" a="1"/>
  <c r="EO83" i="4" s="1"/>
  <c r="EN83" i="4" a="1"/>
  <c r="EN83" i="4" s="1"/>
  <c r="FG82" i="4" a="1"/>
  <c r="FG82" i="4" s="1"/>
  <c r="FF82" i="4" a="1"/>
  <c r="FF82" i="4" s="1"/>
  <c r="FE82" i="4" a="1"/>
  <c r="FE82" i="4" s="1"/>
  <c r="FD82" i="4" a="1"/>
  <c r="FD82" i="4" s="1"/>
  <c r="FC82" i="4" a="1"/>
  <c r="FC82" i="4" s="1"/>
  <c r="FB82" i="4" a="1"/>
  <c r="FB82" i="4" s="1"/>
  <c r="FA82" i="4" a="1"/>
  <c r="FA82" i="4" s="1"/>
  <c r="EZ82" i="4" a="1"/>
  <c r="EZ82" i="4" s="1"/>
  <c r="EY82" i="4" a="1"/>
  <c r="EY82" i="4" s="1"/>
  <c r="EX82" i="4" a="1"/>
  <c r="EX82" i="4" s="1"/>
  <c r="EW82" i="4" a="1"/>
  <c r="EW82" i="4" s="1"/>
  <c r="EV82" i="4" a="1"/>
  <c r="EV82" i="4" s="1"/>
  <c r="EU82" i="4" a="1"/>
  <c r="EU82" i="4" s="1"/>
  <c r="ET82" i="4" a="1"/>
  <c r="ET82" i="4" s="1"/>
  <c r="ES82" i="4" a="1"/>
  <c r="ES82" i="4" s="1"/>
  <c r="ER82" i="4" a="1"/>
  <c r="ER82" i="4" s="1"/>
  <c r="EQ82" i="4" a="1"/>
  <c r="EQ82" i="4" s="1"/>
  <c r="EP82" i="4" a="1"/>
  <c r="EP82" i="4" s="1"/>
  <c r="EO82" i="4" a="1"/>
  <c r="EO82" i="4" s="1"/>
  <c r="EN82" i="4" a="1"/>
  <c r="EN82" i="4" s="1"/>
  <c r="EM90" i="4" a="1"/>
  <c r="EM90" i="4" s="1"/>
  <c r="EL90" i="4" a="1"/>
  <c r="EL90" i="4" s="1"/>
  <c r="EK90" i="4" a="1"/>
  <c r="EK90" i="4" s="1"/>
  <c r="EJ90" i="4" a="1"/>
  <c r="EJ90" i="4" s="1"/>
  <c r="EI90" i="4" a="1"/>
  <c r="EI90" i="4" s="1"/>
  <c r="EH90" i="4" a="1"/>
  <c r="EH90" i="4" s="1"/>
  <c r="EG90" i="4" a="1"/>
  <c r="EG90" i="4" s="1"/>
  <c r="EF90" i="4" a="1"/>
  <c r="EF90" i="4" s="1"/>
  <c r="EE90" i="4" a="1"/>
  <c r="EE90" i="4" s="1"/>
  <c r="ED90" i="4" a="1"/>
  <c r="ED90" i="4" s="1"/>
  <c r="EC90" i="4" a="1"/>
  <c r="EC90" i="4" s="1"/>
  <c r="EB90" i="4" a="1"/>
  <c r="EB90" i="4" s="1"/>
  <c r="EA90" i="4" a="1"/>
  <c r="EA90" i="4" s="1"/>
  <c r="DZ90" i="4" a="1"/>
  <c r="DZ90" i="4" s="1"/>
  <c r="DY90" i="4" a="1"/>
  <c r="DY90" i="4" s="1"/>
  <c r="DX90" i="4" a="1"/>
  <c r="DX90" i="4" s="1"/>
  <c r="DW90" i="4" a="1"/>
  <c r="DW90" i="4" s="1"/>
  <c r="DV90" i="4" a="1"/>
  <c r="DV90" i="4" s="1"/>
  <c r="DU90" i="4" a="1"/>
  <c r="DU90" i="4" s="1"/>
  <c r="DT90" i="4" a="1"/>
  <c r="DT90" i="4" s="1"/>
  <c r="EM89" i="4" a="1"/>
  <c r="EM89" i="4" s="1"/>
  <c r="EL89" i="4" a="1"/>
  <c r="EL89" i="4" s="1"/>
  <c r="EK89" i="4" a="1"/>
  <c r="EK89" i="4" s="1"/>
  <c r="EJ89" i="4" a="1"/>
  <c r="EJ89" i="4" s="1"/>
  <c r="EI89" i="4" a="1"/>
  <c r="EI89" i="4" s="1"/>
  <c r="EH89" i="4" a="1"/>
  <c r="EH89" i="4" s="1"/>
  <c r="EG89" i="4" a="1"/>
  <c r="EG89" i="4" s="1"/>
  <c r="EF89" i="4" a="1"/>
  <c r="EF89" i="4" s="1"/>
  <c r="EE89" i="4" a="1"/>
  <c r="EE89" i="4" s="1"/>
  <c r="ED89" i="4" a="1"/>
  <c r="ED89" i="4" s="1"/>
  <c r="EC89" i="4" a="1"/>
  <c r="EC89" i="4" s="1"/>
  <c r="EB89" i="4" a="1"/>
  <c r="EB89" i="4" s="1"/>
  <c r="EA89" i="4" a="1"/>
  <c r="EA89" i="4" s="1"/>
  <c r="DZ89" i="4" a="1"/>
  <c r="DZ89" i="4" s="1"/>
  <c r="DY89" i="4" a="1"/>
  <c r="DY89" i="4" s="1"/>
  <c r="DX89" i="4" a="1"/>
  <c r="DX89" i="4" s="1"/>
  <c r="DW89" i="4" a="1"/>
  <c r="DW89" i="4" s="1"/>
  <c r="DV89" i="4" a="1"/>
  <c r="DV89" i="4" s="1"/>
  <c r="DU89" i="4" a="1"/>
  <c r="DU89" i="4" s="1"/>
  <c r="DT89" i="4" a="1"/>
  <c r="DT89" i="4" s="1"/>
  <c r="EM88" i="4" a="1"/>
  <c r="EM88" i="4" s="1"/>
  <c r="EL88" i="4" a="1"/>
  <c r="EL88" i="4" s="1"/>
  <c r="EK88" i="4" a="1"/>
  <c r="EK88" i="4" s="1"/>
  <c r="EJ88" i="4" a="1"/>
  <c r="EJ88" i="4" s="1"/>
  <c r="EI88" i="4" a="1"/>
  <c r="EI88" i="4" s="1"/>
  <c r="EH88" i="4" a="1"/>
  <c r="EH88" i="4" s="1"/>
  <c r="EG88" i="4" a="1"/>
  <c r="EG88" i="4" s="1"/>
  <c r="EF88" i="4" a="1"/>
  <c r="EF88" i="4" s="1"/>
  <c r="EE88" i="4" a="1"/>
  <c r="EE88" i="4" s="1"/>
  <c r="ED88" i="4" a="1"/>
  <c r="ED88" i="4" s="1"/>
  <c r="EC88" i="4" a="1"/>
  <c r="EC88" i="4" s="1"/>
  <c r="EB88" i="4" a="1"/>
  <c r="EB88" i="4" s="1"/>
  <c r="EA88" i="4" a="1"/>
  <c r="EA88" i="4" s="1"/>
  <c r="DZ88" i="4" a="1"/>
  <c r="DZ88" i="4" s="1"/>
  <c r="DY88" i="4" a="1"/>
  <c r="DY88" i="4" s="1"/>
  <c r="DX88" i="4" a="1"/>
  <c r="DX88" i="4" s="1"/>
  <c r="DW88" i="4" a="1"/>
  <c r="DW88" i="4" s="1"/>
  <c r="DV88" i="4" a="1"/>
  <c r="DV88" i="4" s="1"/>
  <c r="DU88" i="4" a="1"/>
  <c r="DU88" i="4" s="1"/>
  <c r="DT88" i="4" a="1"/>
  <c r="DT88" i="4" s="1"/>
  <c r="EM87" i="4" a="1"/>
  <c r="EM87" i="4" s="1"/>
  <c r="EL87" i="4" a="1"/>
  <c r="EL87" i="4" s="1"/>
  <c r="EK87" i="4" a="1"/>
  <c r="EK87" i="4" s="1"/>
  <c r="EJ87" i="4" a="1"/>
  <c r="EJ87" i="4" s="1"/>
  <c r="EI87" i="4" a="1"/>
  <c r="EI87" i="4" s="1"/>
  <c r="EH87" i="4" a="1"/>
  <c r="EH87" i="4" s="1"/>
  <c r="EG87" i="4" a="1"/>
  <c r="EG87" i="4" s="1"/>
  <c r="EF87" i="4" a="1"/>
  <c r="EF87" i="4" s="1"/>
  <c r="EE87" i="4" a="1"/>
  <c r="EE87" i="4" s="1"/>
  <c r="ED87" i="4" a="1"/>
  <c r="ED87" i="4" s="1"/>
  <c r="EC87" i="4" a="1"/>
  <c r="EC87" i="4" s="1"/>
  <c r="EB87" i="4" a="1"/>
  <c r="EB87" i="4" s="1"/>
  <c r="EA87" i="4" a="1"/>
  <c r="EA87" i="4" s="1"/>
  <c r="DZ87" i="4" a="1"/>
  <c r="DZ87" i="4" s="1"/>
  <c r="DY87" i="4" a="1"/>
  <c r="DY87" i="4" s="1"/>
  <c r="DX87" i="4" a="1"/>
  <c r="DX87" i="4" s="1"/>
  <c r="DW87" i="4" a="1"/>
  <c r="DW87" i="4" s="1"/>
  <c r="DV87" i="4" a="1"/>
  <c r="DV87" i="4" s="1"/>
  <c r="DU87" i="4" a="1"/>
  <c r="DU87" i="4" s="1"/>
  <c r="DT87" i="4" a="1"/>
  <c r="DT87" i="4" s="1"/>
  <c r="EM86" i="4" a="1"/>
  <c r="EM86" i="4" s="1"/>
  <c r="EL86" i="4" a="1"/>
  <c r="EL86" i="4" s="1"/>
  <c r="EK86" i="4" a="1"/>
  <c r="EK86" i="4" s="1"/>
  <c r="EJ86" i="4" a="1"/>
  <c r="EJ86" i="4" s="1"/>
  <c r="EI86" i="4" a="1"/>
  <c r="EI86" i="4" s="1"/>
  <c r="EH86" i="4" a="1"/>
  <c r="EH86" i="4" s="1"/>
  <c r="EG86" i="4" a="1"/>
  <c r="EG86" i="4" s="1"/>
  <c r="EF86" i="4" a="1"/>
  <c r="EF86" i="4" s="1"/>
  <c r="EE86" i="4" a="1"/>
  <c r="EE86" i="4" s="1"/>
  <c r="ED86" i="4" a="1"/>
  <c r="ED86" i="4" s="1"/>
  <c r="EC86" i="4" a="1"/>
  <c r="EC86" i="4" s="1"/>
  <c r="EB86" i="4" a="1"/>
  <c r="EB86" i="4" s="1"/>
  <c r="EA86" i="4" a="1"/>
  <c r="EA86" i="4" s="1"/>
  <c r="DZ86" i="4" a="1"/>
  <c r="DZ86" i="4" s="1"/>
  <c r="DY86" i="4" a="1"/>
  <c r="DY86" i="4" s="1"/>
  <c r="DX86" i="4" a="1"/>
  <c r="DX86" i="4" s="1"/>
  <c r="DW86" i="4" a="1"/>
  <c r="DW86" i="4" s="1"/>
  <c r="DV86" i="4" a="1"/>
  <c r="DV86" i="4" s="1"/>
  <c r="DU86" i="4" a="1"/>
  <c r="DU86" i="4" s="1"/>
  <c r="DT86" i="4" a="1"/>
  <c r="DT86" i="4" s="1"/>
  <c r="EM85" i="4" a="1"/>
  <c r="EM85" i="4" s="1"/>
  <c r="EL85" i="4" a="1"/>
  <c r="EL85" i="4" s="1"/>
  <c r="EK85" i="4" a="1"/>
  <c r="EK85" i="4" s="1"/>
  <c r="EJ85" i="4" a="1"/>
  <c r="EJ85" i="4" s="1"/>
  <c r="EI85" i="4" a="1"/>
  <c r="EI85" i="4" s="1"/>
  <c r="EH85" i="4" a="1"/>
  <c r="EH85" i="4" s="1"/>
  <c r="EG85" i="4" a="1"/>
  <c r="EG85" i="4" s="1"/>
  <c r="EF85" i="4" a="1"/>
  <c r="EF85" i="4" s="1"/>
  <c r="EE85" i="4" a="1"/>
  <c r="EE85" i="4" s="1"/>
  <c r="ED85" i="4" a="1"/>
  <c r="ED85" i="4" s="1"/>
  <c r="EC85" i="4" a="1"/>
  <c r="EC85" i="4" s="1"/>
  <c r="EB85" i="4" a="1"/>
  <c r="EB85" i="4" s="1"/>
  <c r="EA85" i="4" a="1"/>
  <c r="EA85" i="4" s="1"/>
  <c r="DZ85" i="4" a="1"/>
  <c r="DZ85" i="4" s="1"/>
  <c r="DY85" i="4" a="1"/>
  <c r="DY85" i="4" s="1"/>
  <c r="DX85" i="4" a="1"/>
  <c r="DX85" i="4" s="1"/>
  <c r="DW85" i="4" a="1"/>
  <c r="DW85" i="4" s="1"/>
  <c r="DV85" i="4" a="1"/>
  <c r="DV85" i="4" s="1"/>
  <c r="DU85" i="4" a="1"/>
  <c r="DU85" i="4" s="1"/>
  <c r="DT85" i="4" a="1"/>
  <c r="DT85" i="4" s="1"/>
  <c r="EM84" i="4" a="1"/>
  <c r="EM84" i="4" s="1"/>
  <c r="EL84" i="4" a="1"/>
  <c r="EL84" i="4" s="1"/>
  <c r="EK84" i="4" a="1"/>
  <c r="EK84" i="4" s="1"/>
  <c r="EJ84" i="4" a="1"/>
  <c r="EJ84" i="4" s="1"/>
  <c r="EI84" i="4" a="1"/>
  <c r="EI84" i="4" s="1"/>
  <c r="EH84" i="4" a="1"/>
  <c r="EH84" i="4" s="1"/>
  <c r="EG84" i="4" a="1"/>
  <c r="EG84" i="4" s="1"/>
  <c r="EF84" i="4" a="1"/>
  <c r="EF84" i="4" s="1"/>
  <c r="EE84" i="4" a="1"/>
  <c r="EE84" i="4" s="1"/>
  <c r="ED84" i="4" a="1"/>
  <c r="ED84" i="4" s="1"/>
  <c r="EC84" i="4" a="1"/>
  <c r="EC84" i="4" s="1"/>
  <c r="EB84" i="4" a="1"/>
  <c r="EB84" i="4" s="1"/>
  <c r="EA84" i="4" a="1"/>
  <c r="EA84" i="4" s="1"/>
  <c r="DZ84" i="4" a="1"/>
  <c r="DZ84" i="4" s="1"/>
  <c r="DY84" i="4" a="1"/>
  <c r="DY84" i="4" s="1"/>
  <c r="DX84" i="4" a="1"/>
  <c r="DX84" i="4" s="1"/>
  <c r="DW84" i="4" a="1"/>
  <c r="DW84" i="4" s="1"/>
  <c r="DV84" i="4" a="1"/>
  <c r="DV84" i="4" s="1"/>
  <c r="DU84" i="4" a="1"/>
  <c r="DU84" i="4" s="1"/>
  <c r="DT84" i="4" a="1"/>
  <c r="DT84" i="4" s="1"/>
  <c r="EM83" i="4" a="1"/>
  <c r="EM83" i="4" s="1"/>
  <c r="EL83" i="4" a="1"/>
  <c r="EL83" i="4" s="1"/>
  <c r="EK83" i="4" a="1"/>
  <c r="EK83" i="4" s="1"/>
  <c r="EJ83" i="4" a="1"/>
  <c r="EJ83" i="4" s="1"/>
  <c r="EI83" i="4" a="1"/>
  <c r="EI83" i="4" s="1"/>
  <c r="EH83" i="4" a="1"/>
  <c r="EH83" i="4" s="1"/>
  <c r="EG83" i="4" a="1"/>
  <c r="EG83" i="4" s="1"/>
  <c r="EF83" i="4" a="1"/>
  <c r="EF83" i="4" s="1"/>
  <c r="EE83" i="4" a="1"/>
  <c r="EE83" i="4" s="1"/>
  <c r="ED83" i="4" a="1"/>
  <c r="ED83" i="4" s="1"/>
  <c r="EC83" i="4" a="1"/>
  <c r="EC83" i="4" s="1"/>
  <c r="EB83" i="4" a="1"/>
  <c r="EB83" i="4" s="1"/>
  <c r="EA83" i="4" a="1"/>
  <c r="EA83" i="4" s="1"/>
  <c r="DZ83" i="4" a="1"/>
  <c r="DZ83" i="4" s="1"/>
  <c r="DY83" i="4" a="1"/>
  <c r="DY83" i="4" s="1"/>
  <c r="DX83" i="4" a="1"/>
  <c r="DX83" i="4" s="1"/>
  <c r="DW83" i="4" a="1"/>
  <c r="DW83" i="4" s="1"/>
  <c r="DV83" i="4" a="1"/>
  <c r="DV83" i="4" s="1"/>
  <c r="DU83" i="4" a="1"/>
  <c r="DU83" i="4" s="1"/>
  <c r="DT83" i="4" a="1"/>
  <c r="DT83" i="4" s="1"/>
  <c r="EM82" i="4" a="1"/>
  <c r="EM82" i="4" s="1"/>
  <c r="EL82" i="4" a="1"/>
  <c r="EL82" i="4" s="1"/>
  <c r="EK82" i="4" a="1"/>
  <c r="EK82" i="4" s="1"/>
  <c r="EJ82" i="4" a="1"/>
  <c r="EJ82" i="4" s="1"/>
  <c r="EI82" i="4" a="1"/>
  <c r="EI82" i="4" s="1"/>
  <c r="EH82" i="4" a="1"/>
  <c r="EH82" i="4" s="1"/>
  <c r="EG82" i="4" a="1"/>
  <c r="EG82" i="4" s="1"/>
  <c r="EF82" i="4" a="1"/>
  <c r="EF82" i="4" s="1"/>
  <c r="EE82" i="4" a="1"/>
  <c r="EE82" i="4" s="1"/>
  <c r="ED82" i="4" a="1"/>
  <c r="ED82" i="4" s="1"/>
  <c r="EC82" i="4" a="1"/>
  <c r="EC82" i="4" s="1"/>
  <c r="EB82" i="4" a="1"/>
  <c r="EB82" i="4" s="1"/>
  <c r="EA82" i="4" a="1"/>
  <c r="EA82" i="4" s="1"/>
  <c r="DZ82" i="4" a="1"/>
  <c r="DZ82" i="4" s="1"/>
  <c r="DY82" i="4" a="1"/>
  <c r="DY82" i="4" s="1"/>
  <c r="DX82" i="4" a="1"/>
  <c r="DX82" i="4" s="1"/>
  <c r="DW82" i="4" a="1"/>
  <c r="DW82" i="4" s="1"/>
  <c r="DV82" i="4" a="1"/>
  <c r="DV82" i="4" s="1"/>
  <c r="DU82" i="4" a="1"/>
  <c r="DU82" i="4" s="1"/>
  <c r="DT82" i="4" a="1"/>
  <c r="DT82" i="4" s="1"/>
  <c r="DS90" i="4" a="1"/>
  <c r="DS90" i="4" s="1"/>
  <c r="W90" i="4" s="1"/>
  <c r="DS89" i="4" a="1"/>
  <c r="DS89" i="4" s="1"/>
  <c r="W89" i="4" s="1"/>
  <c r="DS88" i="4" a="1"/>
  <c r="DS88" i="4" s="1"/>
  <c r="W88" i="4" s="1"/>
  <c r="DS87" i="4" a="1"/>
  <c r="DS87" i="4" s="1"/>
  <c r="W87" i="4" s="1"/>
  <c r="DS86" i="4" a="1"/>
  <c r="DS86" i="4" s="1"/>
  <c r="W86" i="4" s="1"/>
  <c r="DS85" i="4" a="1"/>
  <c r="DS85" i="4" s="1"/>
  <c r="W85" i="4" s="1"/>
  <c r="DS84" i="4" a="1"/>
  <c r="DS84" i="4" s="1"/>
  <c r="W84" i="4" s="1"/>
  <c r="DS83" i="4" a="1"/>
  <c r="DS83" i="4" s="1"/>
  <c r="W83" i="4" s="1"/>
  <c r="DS82" i="4" a="1"/>
  <c r="DS82" i="4" s="1"/>
  <c r="W82" i="4" s="1"/>
  <c r="DR90" i="4" a="1"/>
  <c r="DR90" i="4" s="1"/>
  <c r="V90" i="4" s="1"/>
  <c r="DR89" i="4" a="1"/>
  <c r="DR89" i="4" s="1"/>
  <c r="V89" i="4" s="1"/>
  <c r="DR88" i="4" a="1"/>
  <c r="DR88" i="4" s="1"/>
  <c r="V88" i="4" s="1"/>
  <c r="DR87" i="4" a="1"/>
  <c r="DR87" i="4" s="1"/>
  <c r="V87" i="4" s="1"/>
  <c r="DR86" i="4" a="1"/>
  <c r="DR86" i="4" s="1"/>
  <c r="V86" i="4" s="1"/>
  <c r="DR85" i="4" a="1"/>
  <c r="DR85" i="4" s="1"/>
  <c r="V85" i="4" s="1"/>
  <c r="DR84" i="4" a="1"/>
  <c r="DR84" i="4" s="1"/>
  <c r="V84" i="4" s="1"/>
  <c r="DR83" i="4" a="1"/>
  <c r="DR83" i="4" s="1"/>
  <c r="V83" i="4" s="1"/>
  <c r="DR82" i="4" a="1"/>
  <c r="DR82" i="4" s="1"/>
  <c r="V82" i="4" s="1"/>
  <c r="DQ90" i="4" a="1"/>
  <c r="DQ90" i="4" s="1"/>
  <c r="U90" i="4" s="1"/>
  <c r="DQ89" i="4" a="1"/>
  <c r="DQ89" i="4" s="1"/>
  <c r="U89" i="4" s="1"/>
  <c r="DQ88" i="4" a="1"/>
  <c r="DQ88" i="4" s="1"/>
  <c r="U88" i="4" s="1"/>
  <c r="DQ87" i="4" a="1"/>
  <c r="DQ87" i="4" s="1"/>
  <c r="U87" i="4" s="1"/>
  <c r="DQ86" i="4" a="1"/>
  <c r="DQ86" i="4" s="1"/>
  <c r="U86" i="4" s="1"/>
  <c r="DQ85" i="4" a="1"/>
  <c r="DQ85" i="4" s="1"/>
  <c r="U85" i="4" s="1"/>
  <c r="DQ84" i="4" a="1"/>
  <c r="DQ84" i="4" s="1"/>
  <c r="U84" i="4" s="1"/>
  <c r="DQ83" i="4" a="1"/>
  <c r="DQ83" i="4" s="1"/>
  <c r="U83" i="4" s="1"/>
  <c r="DQ82" i="4" a="1"/>
  <c r="DQ82" i="4" s="1"/>
  <c r="U82" i="4" s="1"/>
  <c r="DP90" i="4" a="1"/>
  <c r="DP90" i="4" s="1"/>
  <c r="T90" i="4" s="1"/>
  <c r="DP89" i="4" a="1"/>
  <c r="DP89" i="4" s="1"/>
  <c r="T89" i="4" s="1"/>
  <c r="DP88" i="4" a="1"/>
  <c r="DP88" i="4" s="1"/>
  <c r="T88" i="4" s="1"/>
  <c r="DP87" i="4" a="1"/>
  <c r="DP87" i="4" s="1"/>
  <c r="T87" i="4" s="1"/>
  <c r="DP86" i="4" a="1"/>
  <c r="DP86" i="4" s="1"/>
  <c r="T86" i="4" s="1"/>
  <c r="DP85" i="4" a="1"/>
  <c r="DP85" i="4" s="1"/>
  <c r="T85" i="4" s="1"/>
  <c r="DP84" i="4" a="1"/>
  <c r="DP84" i="4" s="1"/>
  <c r="T84" i="4" s="1"/>
  <c r="DP83" i="4" a="1"/>
  <c r="DP83" i="4" s="1"/>
  <c r="T83" i="4" s="1"/>
  <c r="DP82" i="4" a="1"/>
  <c r="DP82" i="4" s="1"/>
  <c r="T82" i="4" s="1"/>
  <c r="DO90" i="4" a="1"/>
  <c r="DO90" i="4" s="1"/>
  <c r="S90" i="4" s="1"/>
  <c r="DO89" i="4" a="1"/>
  <c r="DO89" i="4" s="1"/>
  <c r="S89" i="4" s="1"/>
  <c r="DO88" i="4" a="1"/>
  <c r="DO88" i="4" s="1"/>
  <c r="S88" i="4" s="1"/>
  <c r="DO87" i="4" a="1"/>
  <c r="DO87" i="4" s="1"/>
  <c r="S87" i="4" s="1"/>
  <c r="DO86" i="4" a="1"/>
  <c r="DO86" i="4" s="1"/>
  <c r="S86" i="4" s="1"/>
  <c r="DO85" i="4" a="1"/>
  <c r="DO85" i="4" s="1"/>
  <c r="S85" i="4" s="1"/>
  <c r="DO84" i="4" a="1"/>
  <c r="DO84" i="4" s="1"/>
  <c r="S84" i="4" s="1"/>
  <c r="DO83" i="4" a="1"/>
  <c r="DO83" i="4" s="1"/>
  <c r="S83" i="4" s="1"/>
  <c r="DO82" i="4" a="1"/>
  <c r="DO82" i="4" s="1"/>
  <c r="S82" i="4" s="1"/>
  <c r="DN90" i="4" a="1"/>
  <c r="DN90" i="4" s="1"/>
  <c r="R90" i="4" s="1"/>
  <c r="DN89" i="4" a="1"/>
  <c r="DN89" i="4" s="1"/>
  <c r="R89" i="4" s="1"/>
  <c r="DN88" i="4" a="1"/>
  <c r="DN88" i="4" s="1"/>
  <c r="R88" i="4" s="1"/>
  <c r="DN87" i="4" a="1"/>
  <c r="DN87" i="4" s="1"/>
  <c r="R87" i="4" s="1"/>
  <c r="DN86" i="4" a="1"/>
  <c r="DN86" i="4" s="1"/>
  <c r="R86" i="4" s="1"/>
  <c r="DN85" i="4" a="1"/>
  <c r="DN85" i="4" s="1"/>
  <c r="R85" i="4" s="1"/>
  <c r="DN84" i="4" a="1"/>
  <c r="DN84" i="4" s="1"/>
  <c r="R84" i="4" s="1"/>
  <c r="DN83" i="4" a="1"/>
  <c r="DN83" i="4" s="1"/>
  <c r="R83" i="4" s="1"/>
  <c r="DN82" i="4" a="1"/>
  <c r="DN82" i="4" s="1"/>
  <c r="R82" i="4" s="1"/>
  <c r="DM90" i="4" a="1"/>
  <c r="DM90" i="4" s="1"/>
  <c r="Q90" i="4" s="1"/>
  <c r="DM89" i="4" a="1"/>
  <c r="DM89" i="4" s="1"/>
  <c r="Q89" i="4" s="1"/>
  <c r="DM88" i="4" a="1"/>
  <c r="DM88" i="4" s="1"/>
  <c r="Q88" i="4" s="1"/>
  <c r="DM87" i="4" a="1"/>
  <c r="DM87" i="4" s="1"/>
  <c r="Q87" i="4" s="1"/>
  <c r="DM86" i="4" a="1"/>
  <c r="DM86" i="4" s="1"/>
  <c r="Q86" i="4" s="1"/>
  <c r="DM85" i="4" a="1"/>
  <c r="DM85" i="4" s="1"/>
  <c r="Q85" i="4" s="1"/>
  <c r="DM84" i="4" a="1"/>
  <c r="DM84" i="4" s="1"/>
  <c r="Q84" i="4" s="1"/>
  <c r="DM83" i="4" a="1"/>
  <c r="DM83" i="4" s="1"/>
  <c r="Q83" i="4" s="1"/>
  <c r="DM82" i="4" a="1"/>
  <c r="DM82" i="4" s="1"/>
  <c r="Q82" i="4" s="1"/>
  <c r="DL90" i="4" a="1"/>
  <c r="DL90" i="4" s="1"/>
  <c r="P90" i="4" s="1"/>
  <c r="DL89" i="4" a="1"/>
  <c r="DL89" i="4" s="1"/>
  <c r="P89" i="4" s="1"/>
  <c r="DL88" i="4" a="1"/>
  <c r="DL88" i="4" s="1"/>
  <c r="P88" i="4" s="1"/>
  <c r="DL87" i="4" a="1"/>
  <c r="DL87" i="4" s="1"/>
  <c r="P87" i="4" s="1"/>
  <c r="DL86" i="4" a="1"/>
  <c r="DL86" i="4" s="1"/>
  <c r="P86" i="4" s="1"/>
  <c r="DL85" i="4" a="1"/>
  <c r="DL85" i="4" s="1"/>
  <c r="P85" i="4" s="1"/>
  <c r="DL84" i="4" a="1"/>
  <c r="DL84" i="4" s="1"/>
  <c r="P84" i="4" s="1"/>
  <c r="DL83" i="4" a="1"/>
  <c r="DL83" i="4" s="1"/>
  <c r="P83" i="4" s="1"/>
  <c r="DL82" i="4" a="1"/>
  <c r="DL82" i="4" s="1"/>
  <c r="P82" i="4" s="1"/>
  <c r="DK90" i="4" a="1"/>
  <c r="DK90" i="4" s="1"/>
  <c r="O90" i="4" s="1"/>
  <c r="DK89" i="4" a="1"/>
  <c r="DK89" i="4" s="1"/>
  <c r="O89" i="4" s="1"/>
  <c r="DK88" i="4" a="1"/>
  <c r="DK88" i="4" s="1"/>
  <c r="O88" i="4" s="1"/>
  <c r="DK87" i="4" a="1"/>
  <c r="DK87" i="4" s="1"/>
  <c r="O87" i="4" s="1"/>
  <c r="DK86" i="4" a="1"/>
  <c r="DK86" i="4" s="1"/>
  <c r="O86" i="4" s="1"/>
  <c r="DK85" i="4" a="1"/>
  <c r="DK85" i="4" s="1"/>
  <c r="O85" i="4" s="1"/>
  <c r="DK84" i="4" a="1"/>
  <c r="DK84" i="4" s="1"/>
  <c r="O84" i="4" s="1"/>
  <c r="DK83" i="4" a="1"/>
  <c r="DK83" i="4" s="1"/>
  <c r="O83" i="4" s="1"/>
  <c r="DK82" i="4" a="1"/>
  <c r="DK82" i="4" s="1"/>
  <c r="O82" i="4" s="1"/>
  <c r="DJ90" i="4" a="1"/>
  <c r="DJ90" i="4" s="1"/>
  <c r="N90" i="4" s="1"/>
  <c r="DJ89" i="4" a="1"/>
  <c r="DJ89" i="4" s="1"/>
  <c r="N89" i="4" s="1"/>
  <c r="DJ88" i="4" a="1"/>
  <c r="DJ88" i="4" s="1"/>
  <c r="N88" i="4" s="1"/>
  <c r="DJ87" i="4" a="1"/>
  <c r="DJ87" i="4" s="1"/>
  <c r="N87" i="4" s="1"/>
  <c r="DJ86" i="4" a="1"/>
  <c r="DJ86" i="4" s="1"/>
  <c r="N86" i="4" s="1"/>
  <c r="DJ85" i="4" a="1"/>
  <c r="DJ85" i="4" s="1"/>
  <c r="N85" i="4" s="1"/>
  <c r="DJ84" i="4" a="1"/>
  <c r="DJ84" i="4" s="1"/>
  <c r="N84" i="4" s="1"/>
  <c r="DJ83" i="4" a="1"/>
  <c r="DJ83" i="4" s="1"/>
  <c r="N83" i="4" s="1"/>
  <c r="DJ82" i="4" a="1"/>
  <c r="DJ82" i="4" s="1"/>
  <c r="N82" i="4" s="1"/>
  <c r="DI90" i="4" a="1"/>
  <c r="DI90" i="4" s="1"/>
  <c r="M90" i="4" s="1"/>
  <c r="DI89" i="4" a="1"/>
  <c r="DI89" i="4" s="1"/>
  <c r="M89" i="4" s="1"/>
  <c r="DI88" i="4" a="1"/>
  <c r="DI88" i="4" s="1"/>
  <c r="M88" i="4" s="1"/>
  <c r="DI87" i="4" a="1"/>
  <c r="DI87" i="4" s="1"/>
  <c r="M87" i="4" s="1"/>
  <c r="DI86" i="4" a="1"/>
  <c r="DI86" i="4" s="1"/>
  <c r="M86" i="4" s="1"/>
  <c r="DI85" i="4" a="1"/>
  <c r="DI85" i="4" s="1"/>
  <c r="M85" i="4" s="1"/>
  <c r="DI84" i="4" a="1"/>
  <c r="DI84" i="4" s="1"/>
  <c r="M84" i="4" s="1"/>
  <c r="DI83" i="4" a="1"/>
  <c r="DI83" i="4" s="1"/>
  <c r="M83" i="4" s="1"/>
  <c r="DI82" i="4" a="1"/>
  <c r="DI82" i="4" s="1"/>
  <c r="M82" i="4" s="1"/>
  <c r="DH90" i="4" a="1"/>
  <c r="DH90" i="4" s="1"/>
  <c r="L90" i="4" s="1"/>
  <c r="DH89" i="4" a="1"/>
  <c r="DH89" i="4" s="1"/>
  <c r="L89" i="4" s="1"/>
  <c r="DH88" i="4" a="1"/>
  <c r="DH88" i="4" s="1"/>
  <c r="L88" i="4" s="1"/>
  <c r="DH87" i="4" a="1"/>
  <c r="DH87" i="4" s="1"/>
  <c r="L87" i="4" s="1"/>
  <c r="DH86" i="4" a="1"/>
  <c r="DH86" i="4" s="1"/>
  <c r="L86" i="4" s="1"/>
  <c r="DH85" i="4" a="1"/>
  <c r="DH85" i="4" s="1"/>
  <c r="L85" i="4" s="1"/>
  <c r="DH84" i="4" a="1"/>
  <c r="DH84" i="4" s="1"/>
  <c r="L84" i="4" s="1"/>
  <c r="DH83" i="4" a="1"/>
  <c r="DH83" i="4" s="1"/>
  <c r="L83" i="4" s="1"/>
  <c r="DH82" i="4" a="1"/>
  <c r="DH82" i="4" s="1"/>
  <c r="L82" i="4" s="1"/>
  <c r="DG90" i="4" a="1"/>
  <c r="DG90" i="4" s="1"/>
  <c r="K90" i="4" s="1"/>
  <c r="DG89" i="4" a="1"/>
  <c r="DG89" i="4" s="1"/>
  <c r="K89" i="4" s="1"/>
  <c r="DG88" i="4" a="1"/>
  <c r="DG88" i="4" s="1"/>
  <c r="K88" i="4" s="1"/>
  <c r="DG87" i="4" a="1"/>
  <c r="DG87" i="4" s="1"/>
  <c r="K87" i="4" s="1"/>
  <c r="DG86" i="4" a="1"/>
  <c r="DG86" i="4" s="1"/>
  <c r="K86" i="4" s="1"/>
  <c r="DG85" i="4" a="1"/>
  <c r="DG85" i="4" s="1"/>
  <c r="K85" i="4" s="1"/>
  <c r="DG84" i="4" a="1"/>
  <c r="DG84" i="4" s="1"/>
  <c r="K84" i="4" s="1"/>
  <c r="DG83" i="4" a="1"/>
  <c r="DG83" i="4" s="1"/>
  <c r="K83" i="4" s="1"/>
  <c r="DG82" i="4" a="1"/>
  <c r="DG82" i="4" s="1"/>
  <c r="K82" i="4" s="1"/>
  <c r="DF90" i="4" a="1"/>
  <c r="DF90" i="4" s="1"/>
  <c r="J90" i="4" s="1"/>
  <c r="DF89" i="4" a="1"/>
  <c r="DF89" i="4" s="1"/>
  <c r="J89" i="4" s="1"/>
  <c r="DF88" i="4" a="1"/>
  <c r="DF88" i="4" s="1"/>
  <c r="J88" i="4" s="1"/>
  <c r="DF87" i="4" a="1"/>
  <c r="DF87" i="4" s="1"/>
  <c r="J87" i="4" s="1"/>
  <c r="DF86" i="4" a="1"/>
  <c r="DF86" i="4" s="1"/>
  <c r="J86" i="4" s="1"/>
  <c r="DF85" i="4" a="1"/>
  <c r="DF85" i="4" s="1"/>
  <c r="J85" i="4" s="1"/>
  <c r="DF84" i="4" a="1"/>
  <c r="DF84" i="4" s="1"/>
  <c r="J84" i="4" s="1"/>
  <c r="DF83" i="4" a="1"/>
  <c r="DF83" i="4" s="1"/>
  <c r="J83" i="4" s="1"/>
  <c r="DF82" i="4" a="1"/>
  <c r="DF82" i="4" s="1"/>
  <c r="J82" i="4" s="1"/>
  <c r="DE90" i="4" a="1"/>
  <c r="DE90" i="4" s="1"/>
  <c r="I90" i="4" s="1"/>
  <c r="DE89" i="4" a="1"/>
  <c r="DE89" i="4" s="1"/>
  <c r="I89" i="4" s="1"/>
  <c r="DE88" i="4" a="1"/>
  <c r="DE88" i="4" s="1"/>
  <c r="I88" i="4" s="1"/>
  <c r="DE87" i="4" a="1"/>
  <c r="DE87" i="4" s="1"/>
  <c r="I87" i="4" s="1"/>
  <c r="DE86" i="4" a="1"/>
  <c r="DE86" i="4" s="1"/>
  <c r="I86" i="4" s="1"/>
  <c r="DE85" i="4" a="1"/>
  <c r="DE85" i="4" s="1"/>
  <c r="I85" i="4" s="1"/>
  <c r="DE84" i="4" a="1"/>
  <c r="DE84" i="4" s="1"/>
  <c r="I84" i="4" s="1"/>
  <c r="DE83" i="4" a="1"/>
  <c r="DE83" i="4" s="1"/>
  <c r="I83" i="4" s="1"/>
  <c r="DE82" i="4" a="1"/>
  <c r="DE82" i="4" s="1"/>
  <c r="I82" i="4" s="1"/>
  <c r="DD90" i="4" a="1"/>
  <c r="DD90" i="4" s="1"/>
  <c r="H90" i="4" s="1"/>
  <c r="DD89" i="4" a="1"/>
  <c r="DD89" i="4" s="1"/>
  <c r="H89" i="4" s="1"/>
  <c r="DD88" i="4" a="1"/>
  <c r="DD88" i="4" s="1"/>
  <c r="H88" i="4" s="1"/>
  <c r="DD87" i="4" a="1"/>
  <c r="DD87" i="4" s="1"/>
  <c r="H87" i="4" s="1"/>
  <c r="DD86" i="4" a="1"/>
  <c r="DD86" i="4" s="1"/>
  <c r="H86" i="4" s="1"/>
  <c r="DD85" i="4" a="1"/>
  <c r="DD85" i="4" s="1"/>
  <c r="H85" i="4" s="1"/>
  <c r="DD84" i="4" a="1"/>
  <c r="DD84" i="4" s="1"/>
  <c r="H84" i="4" s="1"/>
  <c r="DD83" i="4" a="1"/>
  <c r="DD83" i="4" s="1"/>
  <c r="H83" i="4" s="1"/>
  <c r="DD82" i="4" a="1"/>
  <c r="DD82" i="4" s="1"/>
  <c r="H82" i="4" s="1"/>
  <c r="DC90" i="4" a="1"/>
  <c r="DC90" i="4" s="1"/>
  <c r="G90" i="4" s="1"/>
  <c r="DC89" i="4" a="1"/>
  <c r="DC89" i="4" s="1"/>
  <c r="G89" i="4" s="1"/>
  <c r="DC88" i="4" a="1"/>
  <c r="DC88" i="4" s="1"/>
  <c r="G88" i="4" s="1"/>
  <c r="DC87" i="4" a="1"/>
  <c r="DC87" i="4" s="1"/>
  <c r="G87" i="4" s="1"/>
  <c r="DC86" i="4" a="1"/>
  <c r="DC86" i="4" s="1"/>
  <c r="G86" i="4" s="1"/>
  <c r="DC85" i="4" a="1"/>
  <c r="DC85" i="4" s="1"/>
  <c r="G85" i="4" s="1"/>
  <c r="DC84" i="4" a="1"/>
  <c r="DC84" i="4" s="1"/>
  <c r="G84" i="4" s="1"/>
  <c r="DC83" i="4" a="1"/>
  <c r="DC83" i="4" s="1"/>
  <c r="G83" i="4" s="1"/>
  <c r="DC82" i="4" a="1"/>
  <c r="DC82" i="4" s="1"/>
  <c r="G82" i="4" s="1"/>
  <c r="DB90" i="4" a="1"/>
  <c r="DB90" i="4" s="1"/>
  <c r="F90" i="4" s="1"/>
  <c r="DB89" i="4" a="1"/>
  <c r="DB89" i="4" s="1"/>
  <c r="F89" i="4" s="1"/>
  <c r="DB88" i="4" a="1"/>
  <c r="DB88" i="4" s="1"/>
  <c r="F88" i="4" s="1"/>
  <c r="DB87" i="4" a="1"/>
  <c r="DB87" i="4" s="1"/>
  <c r="F87" i="4" s="1"/>
  <c r="DB86" i="4" a="1"/>
  <c r="DB86" i="4" s="1"/>
  <c r="F86" i="4" s="1"/>
  <c r="DB85" i="4" a="1"/>
  <c r="DB85" i="4" s="1"/>
  <c r="F85" i="4" s="1"/>
  <c r="DB84" i="4" a="1"/>
  <c r="DB84" i="4" s="1"/>
  <c r="F84" i="4" s="1"/>
  <c r="DB83" i="4" a="1"/>
  <c r="DB83" i="4" s="1"/>
  <c r="F83" i="4" s="1"/>
  <c r="DB82" i="4" a="1"/>
  <c r="DB82" i="4" s="1"/>
  <c r="F82" i="4" s="1"/>
  <c r="DA83" i="4" a="1"/>
  <c r="DA83" i="4" s="1"/>
  <c r="E83" i="4" s="1"/>
  <c r="DA84" i="4" a="1"/>
  <c r="DA84" i="4" s="1"/>
  <c r="E84" i="4" s="1"/>
  <c r="DA85" i="4" a="1"/>
  <c r="DA85" i="4" s="1"/>
  <c r="E85" i="4" s="1"/>
  <c r="DA86" i="4" a="1"/>
  <c r="DA86" i="4" s="1"/>
  <c r="E86" i="4" s="1"/>
  <c r="DA87" i="4" a="1"/>
  <c r="DA87" i="4" s="1"/>
  <c r="E87" i="4" s="1"/>
  <c r="DA88" i="4" a="1"/>
  <c r="DA88" i="4" s="1"/>
  <c r="E88" i="4" s="1"/>
  <c r="DA89" i="4" a="1"/>
  <c r="DA89" i="4" s="1"/>
  <c r="E89" i="4" s="1"/>
  <c r="DA90" i="4" a="1"/>
  <c r="DA90" i="4" s="1"/>
  <c r="E90" i="4" s="1"/>
  <c r="DA82" i="4" a="1"/>
  <c r="DA82" i="4" s="1"/>
  <c r="E82" i="4" s="1"/>
  <c r="CZ90" i="4" a="1"/>
  <c r="CZ90" i="4" s="1"/>
  <c r="D90" i="4" s="1"/>
  <c r="CZ89" i="4" a="1"/>
  <c r="CZ89" i="4" s="1"/>
  <c r="D89" i="4" s="1"/>
  <c r="CZ88" i="4" a="1"/>
  <c r="CZ88" i="4" s="1"/>
  <c r="D88" i="4" s="1"/>
  <c r="CZ87" i="4" a="1"/>
  <c r="CZ87" i="4" s="1"/>
  <c r="D87" i="4" s="1"/>
  <c r="CZ86" i="4" a="1"/>
  <c r="CZ86" i="4" s="1"/>
  <c r="D86" i="4" s="1"/>
  <c r="CZ85" i="4" a="1"/>
  <c r="CZ85" i="4" s="1"/>
  <c r="D85" i="4" s="1"/>
  <c r="CZ84" i="4" a="1"/>
  <c r="CZ84" i="4" s="1"/>
  <c r="D84" i="4" s="1"/>
  <c r="CZ83" i="4" a="1"/>
  <c r="CZ83" i="4" s="1"/>
  <c r="D83" i="4" s="1"/>
  <c r="CZ82" i="4" a="1"/>
  <c r="CZ82" i="4" s="1"/>
  <c r="D82" i="4" s="1"/>
  <c r="EK70" i="4" a="1"/>
  <c r="EK70" i="4" s="1"/>
  <c r="EJ70" i="4" a="1"/>
  <c r="EJ70" i="4" s="1"/>
  <c r="EI70" i="4" a="1"/>
  <c r="EI70" i="4" s="1"/>
  <c r="EH70" i="4" a="1"/>
  <c r="EH70" i="4" s="1"/>
  <c r="EG70" i="4" a="1"/>
  <c r="EG70" i="4" s="1"/>
  <c r="EF70" i="4" a="1"/>
  <c r="EF70" i="4" s="1"/>
  <c r="EE70" i="4" a="1"/>
  <c r="EE70" i="4" s="1"/>
  <c r="ED70" i="4" a="1"/>
  <c r="ED70" i="4" s="1"/>
  <c r="EC70" i="4" a="1"/>
  <c r="EC70" i="4" s="1"/>
  <c r="EB70" i="4" a="1"/>
  <c r="EB70" i="4" s="1"/>
  <c r="EA70" i="4" a="1"/>
  <c r="EA70" i="4" s="1"/>
  <c r="DZ70" i="4" a="1"/>
  <c r="DZ70" i="4" s="1"/>
  <c r="DY70" i="4" a="1"/>
  <c r="DY70" i="4" s="1"/>
  <c r="DX70" i="4" a="1"/>
  <c r="DX70" i="4" s="1"/>
  <c r="DW70" i="4" a="1"/>
  <c r="DW70" i="4" s="1"/>
  <c r="DV70" i="4" a="1"/>
  <c r="DV70" i="4" s="1"/>
  <c r="DU70" i="4" a="1"/>
  <c r="DU70" i="4" s="1"/>
  <c r="DT70" i="4" a="1"/>
  <c r="DT70" i="4" s="1"/>
  <c r="DS70" i="4" a="1"/>
  <c r="DS70" i="4" s="1"/>
  <c r="EK69" i="4" a="1"/>
  <c r="EK69" i="4" s="1"/>
  <c r="EJ69" i="4" a="1"/>
  <c r="EJ69" i="4" s="1"/>
  <c r="EI69" i="4" a="1"/>
  <c r="EI69" i="4" s="1"/>
  <c r="EH69" i="4" a="1"/>
  <c r="EH69" i="4" s="1"/>
  <c r="EG69" i="4" a="1"/>
  <c r="EG69" i="4" s="1"/>
  <c r="EF69" i="4" a="1"/>
  <c r="EF69" i="4" s="1"/>
  <c r="EE69" i="4" a="1"/>
  <c r="EE69" i="4" s="1"/>
  <c r="ED69" i="4" a="1"/>
  <c r="ED69" i="4" s="1"/>
  <c r="EC69" i="4" a="1"/>
  <c r="EC69" i="4" s="1"/>
  <c r="EB69" i="4" a="1"/>
  <c r="EB69" i="4" s="1"/>
  <c r="EA69" i="4" a="1"/>
  <c r="EA69" i="4" s="1"/>
  <c r="DZ69" i="4" a="1"/>
  <c r="DZ69" i="4" s="1"/>
  <c r="DY69" i="4" a="1"/>
  <c r="DY69" i="4" s="1"/>
  <c r="DX69" i="4" a="1"/>
  <c r="DX69" i="4" s="1"/>
  <c r="DW69" i="4" a="1"/>
  <c r="DW69" i="4" s="1"/>
  <c r="DV69" i="4" a="1"/>
  <c r="DV69" i="4" s="1"/>
  <c r="DU69" i="4" a="1"/>
  <c r="DU69" i="4" s="1"/>
  <c r="DT69" i="4" a="1"/>
  <c r="DT69" i="4" s="1"/>
  <c r="DS69" i="4" a="1"/>
  <c r="DS69" i="4" s="1"/>
  <c r="EK68" i="4" a="1"/>
  <c r="EK68" i="4" s="1"/>
  <c r="EJ68" i="4" a="1"/>
  <c r="EJ68" i="4" s="1"/>
  <c r="EI68" i="4" a="1"/>
  <c r="EI68" i="4" s="1"/>
  <c r="EH68" i="4" a="1"/>
  <c r="EH68" i="4" s="1"/>
  <c r="EG68" i="4" a="1"/>
  <c r="EG68" i="4" s="1"/>
  <c r="EF68" i="4" a="1"/>
  <c r="EF68" i="4" s="1"/>
  <c r="EE68" i="4" a="1"/>
  <c r="EE68" i="4" s="1"/>
  <c r="ED68" i="4" a="1"/>
  <c r="ED68" i="4" s="1"/>
  <c r="EC68" i="4" a="1"/>
  <c r="EC68" i="4" s="1"/>
  <c r="EB68" i="4" a="1"/>
  <c r="EB68" i="4" s="1"/>
  <c r="EA68" i="4" a="1"/>
  <c r="EA68" i="4" s="1"/>
  <c r="DZ68" i="4" a="1"/>
  <c r="DZ68" i="4" s="1"/>
  <c r="DY68" i="4" a="1"/>
  <c r="DY68" i="4" s="1"/>
  <c r="DX68" i="4" a="1"/>
  <c r="DX68" i="4" s="1"/>
  <c r="DW68" i="4" a="1"/>
  <c r="DW68" i="4" s="1"/>
  <c r="DV68" i="4" a="1"/>
  <c r="DV68" i="4" s="1"/>
  <c r="DU68" i="4" a="1"/>
  <c r="DU68" i="4" s="1"/>
  <c r="DT68" i="4" a="1"/>
  <c r="DT68" i="4" s="1"/>
  <c r="DS68" i="4" a="1"/>
  <c r="DS68" i="4" s="1"/>
  <c r="EK67" i="4" a="1"/>
  <c r="EK67" i="4" s="1"/>
  <c r="EJ67" i="4" a="1"/>
  <c r="EJ67" i="4" s="1"/>
  <c r="EI67" i="4" a="1"/>
  <c r="EI67" i="4" s="1"/>
  <c r="EH67" i="4" a="1"/>
  <c r="EH67" i="4" s="1"/>
  <c r="EG67" i="4" a="1"/>
  <c r="EG67" i="4" s="1"/>
  <c r="EF67" i="4" a="1"/>
  <c r="EF67" i="4" s="1"/>
  <c r="EE67" i="4" a="1"/>
  <c r="EE67" i="4" s="1"/>
  <c r="ED67" i="4" a="1"/>
  <c r="ED67" i="4" s="1"/>
  <c r="EC67" i="4" a="1"/>
  <c r="EC67" i="4" s="1"/>
  <c r="EB67" i="4" a="1"/>
  <c r="EB67" i="4" s="1"/>
  <c r="EA67" i="4" a="1"/>
  <c r="EA67" i="4" s="1"/>
  <c r="DZ67" i="4" a="1"/>
  <c r="DZ67" i="4" s="1"/>
  <c r="DY67" i="4" a="1"/>
  <c r="DY67" i="4" s="1"/>
  <c r="DX67" i="4" a="1"/>
  <c r="DX67" i="4" s="1"/>
  <c r="DW67" i="4" a="1"/>
  <c r="DW67" i="4" s="1"/>
  <c r="DV67" i="4" a="1"/>
  <c r="DV67" i="4" s="1"/>
  <c r="DU67" i="4" a="1"/>
  <c r="DU67" i="4" s="1"/>
  <c r="DT67" i="4" a="1"/>
  <c r="DT67" i="4" s="1"/>
  <c r="DS67" i="4" a="1"/>
  <c r="DS67" i="4" s="1"/>
  <c r="EK66" i="4" a="1"/>
  <c r="EK66" i="4" s="1"/>
  <c r="EJ66" i="4" a="1"/>
  <c r="EJ66" i="4" s="1"/>
  <c r="EI66" i="4" a="1"/>
  <c r="EI66" i="4" s="1"/>
  <c r="EH66" i="4" a="1"/>
  <c r="EH66" i="4" s="1"/>
  <c r="EG66" i="4" a="1"/>
  <c r="EG66" i="4" s="1"/>
  <c r="EF66" i="4" a="1"/>
  <c r="EF66" i="4" s="1"/>
  <c r="EE66" i="4" a="1"/>
  <c r="EE66" i="4" s="1"/>
  <c r="ED66" i="4" a="1"/>
  <c r="ED66" i="4" s="1"/>
  <c r="EC66" i="4" a="1"/>
  <c r="EC66" i="4" s="1"/>
  <c r="EB66" i="4" a="1"/>
  <c r="EB66" i="4" s="1"/>
  <c r="EA66" i="4" a="1"/>
  <c r="EA66" i="4" s="1"/>
  <c r="DZ66" i="4" a="1"/>
  <c r="DZ66" i="4" s="1"/>
  <c r="DY66" i="4" a="1"/>
  <c r="DY66" i="4" s="1"/>
  <c r="DX66" i="4" a="1"/>
  <c r="DX66" i="4" s="1"/>
  <c r="DW66" i="4" a="1"/>
  <c r="DW66" i="4" s="1"/>
  <c r="DV66" i="4" a="1"/>
  <c r="DV66" i="4" s="1"/>
  <c r="DU66" i="4" a="1"/>
  <c r="DU66" i="4" s="1"/>
  <c r="DT66" i="4" a="1"/>
  <c r="DT66" i="4" s="1"/>
  <c r="DS66" i="4" a="1"/>
  <c r="DS66" i="4" s="1"/>
  <c r="EK65" i="4" a="1"/>
  <c r="EK65" i="4" s="1"/>
  <c r="EJ65" i="4" a="1"/>
  <c r="EJ65" i="4" s="1"/>
  <c r="EI65" i="4" a="1"/>
  <c r="EI65" i="4" s="1"/>
  <c r="EH65" i="4" a="1"/>
  <c r="EH65" i="4" s="1"/>
  <c r="EG65" i="4" a="1"/>
  <c r="EG65" i="4" s="1"/>
  <c r="EF65" i="4" a="1"/>
  <c r="EF65" i="4" s="1"/>
  <c r="EE65" i="4" a="1"/>
  <c r="EE65" i="4" s="1"/>
  <c r="ED65" i="4" a="1"/>
  <c r="ED65" i="4" s="1"/>
  <c r="EC65" i="4" a="1"/>
  <c r="EC65" i="4" s="1"/>
  <c r="EB65" i="4" a="1"/>
  <c r="EB65" i="4" s="1"/>
  <c r="EA65" i="4" a="1"/>
  <c r="EA65" i="4" s="1"/>
  <c r="DZ65" i="4" a="1"/>
  <c r="DZ65" i="4" s="1"/>
  <c r="DY65" i="4" a="1"/>
  <c r="DY65" i="4" s="1"/>
  <c r="DX65" i="4" a="1"/>
  <c r="DX65" i="4" s="1"/>
  <c r="DW65" i="4" a="1"/>
  <c r="DW65" i="4" s="1"/>
  <c r="DV65" i="4" a="1"/>
  <c r="DV65" i="4" s="1"/>
  <c r="DU65" i="4" a="1"/>
  <c r="DU65" i="4" s="1"/>
  <c r="DT65" i="4" a="1"/>
  <c r="DT65" i="4" s="1"/>
  <c r="DS65" i="4" a="1"/>
  <c r="DS65" i="4" s="1"/>
  <c r="EK64" i="4" a="1"/>
  <c r="EK64" i="4" s="1"/>
  <c r="EJ64" i="4" a="1"/>
  <c r="EJ64" i="4" s="1"/>
  <c r="EI64" i="4" a="1"/>
  <c r="EI64" i="4" s="1"/>
  <c r="EH64" i="4" a="1"/>
  <c r="EH64" i="4" s="1"/>
  <c r="EG64" i="4" a="1"/>
  <c r="EG64" i="4" s="1"/>
  <c r="EF64" i="4" a="1"/>
  <c r="EF64" i="4" s="1"/>
  <c r="EE64" i="4" a="1"/>
  <c r="EE64" i="4" s="1"/>
  <c r="ED64" i="4" a="1"/>
  <c r="ED64" i="4" s="1"/>
  <c r="EC64" i="4" a="1"/>
  <c r="EC64" i="4" s="1"/>
  <c r="EB64" i="4" a="1"/>
  <c r="EB64" i="4" s="1"/>
  <c r="EA64" i="4" a="1"/>
  <c r="EA64" i="4" s="1"/>
  <c r="DZ64" i="4" a="1"/>
  <c r="DZ64" i="4" s="1"/>
  <c r="DY64" i="4" a="1"/>
  <c r="DY64" i="4" s="1"/>
  <c r="DX64" i="4" a="1"/>
  <c r="DX64" i="4" s="1"/>
  <c r="DW64" i="4" a="1"/>
  <c r="DW64" i="4" s="1"/>
  <c r="DV64" i="4" a="1"/>
  <c r="DV64" i="4" s="1"/>
  <c r="DU64" i="4" a="1"/>
  <c r="DU64" i="4" s="1"/>
  <c r="DT64" i="4" a="1"/>
  <c r="DT64" i="4" s="1"/>
  <c r="DS64" i="4" a="1"/>
  <c r="DS64" i="4" s="1"/>
  <c r="EK63" i="4" a="1"/>
  <c r="EK63" i="4" s="1"/>
  <c r="EJ63" i="4" a="1"/>
  <c r="EJ63" i="4" s="1"/>
  <c r="EI63" i="4" a="1"/>
  <c r="EI63" i="4" s="1"/>
  <c r="EH63" i="4" a="1"/>
  <c r="EH63" i="4" s="1"/>
  <c r="EG63" i="4" a="1"/>
  <c r="EG63" i="4" s="1"/>
  <c r="EF63" i="4" a="1"/>
  <c r="EF63" i="4" s="1"/>
  <c r="EE63" i="4" a="1"/>
  <c r="EE63" i="4" s="1"/>
  <c r="ED63" i="4" a="1"/>
  <c r="ED63" i="4" s="1"/>
  <c r="EC63" i="4" a="1"/>
  <c r="EC63" i="4" s="1"/>
  <c r="EB63" i="4" a="1"/>
  <c r="EB63" i="4" s="1"/>
  <c r="EA63" i="4" a="1"/>
  <c r="EA63" i="4" s="1"/>
  <c r="DZ63" i="4" a="1"/>
  <c r="DZ63" i="4" s="1"/>
  <c r="DY63" i="4" a="1"/>
  <c r="DY63" i="4" s="1"/>
  <c r="DX63" i="4" a="1"/>
  <c r="DX63" i="4" s="1"/>
  <c r="DW63" i="4" a="1"/>
  <c r="DW63" i="4" s="1"/>
  <c r="DV63" i="4" a="1"/>
  <c r="DV63" i="4" s="1"/>
  <c r="DU63" i="4" a="1"/>
  <c r="DU63" i="4" s="1"/>
  <c r="DT63" i="4" a="1"/>
  <c r="DT63" i="4" s="1"/>
  <c r="DS63" i="4" a="1"/>
  <c r="DS63" i="4" s="1"/>
  <c r="EK62" i="4" a="1"/>
  <c r="EK62" i="4" s="1"/>
  <c r="EJ62" i="4" a="1"/>
  <c r="EJ62" i="4" s="1"/>
  <c r="EI62" i="4" a="1"/>
  <c r="EI62" i="4" s="1"/>
  <c r="EH62" i="4" a="1"/>
  <c r="EH62" i="4" s="1"/>
  <c r="EG62" i="4" a="1"/>
  <c r="EG62" i="4" s="1"/>
  <c r="EF62" i="4" a="1"/>
  <c r="EF62" i="4" s="1"/>
  <c r="EE62" i="4" a="1"/>
  <c r="EE62" i="4" s="1"/>
  <c r="ED62" i="4" a="1"/>
  <c r="ED62" i="4" s="1"/>
  <c r="EC62" i="4" a="1"/>
  <c r="EC62" i="4" s="1"/>
  <c r="EB62" i="4" a="1"/>
  <c r="EB62" i="4" s="1"/>
  <c r="EA62" i="4" a="1"/>
  <c r="EA62" i="4" s="1"/>
  <c r="DZ62" i="4" a="1"/>
  <c r="DZ62" i="4" s="1"/>
  <c r="DY62" i="4" a="1"/>
  <c r="DY62" i="4" s="1"/>
  <c r="DX62" i="4" a="1"/>
  <c r="DX62" i="4" s="1"/>
  <c r="DW62" i="4" a="1"/>
  <c r="DW62" i="4" s="1"/>
  <c r="DV62" i="4" a="1"/>
  <c r="DV62" i="4" s="1"/>
  <c r="DU62" i="4" a="1"/>
  <c r="DU62" i="4" s="1"/>
  <c r="DT62" i="4" a="1"/>
  <c r="DT62" i="4" s="1"/>
  <c r="DS62" i="4" a="1"/>
  <c r="DS62" i="4" s="1"/>
  <c r="EK61" i="4" a="1"/>
  <c r="EK61" i="4" s="1"/>
  <c r="EJ61" i="4" a="1"/>
  <c r="EJ61" i="4" s="1"/>
  <c r="EI61" i="4" a="1"/>
  <c r="EI61" i="4" s="1"/>
  <c r="EH61" i="4" a="1"/>
  <c r="EH61" i="4" s="1"/>
  <c r="EG61" i="4" a="1"/>
  <c r="EG61" i="4" s="1"/>
  <c r="EF61" i="4" a="1"/>
  <c r="EF61" i="4" s="1"/>
  <c r="EE61" i="4" a="1"/>
  <c r="EE61" i="4" s="1"/>
  <c r="ED61" i="4" a="1"/>
  <c r="ED61" i="4" s="1"/>
  <c r="EC61" i="4" a="1"/>
  <c r="EC61" i="4" s="1"/>
  <c r="EB61" i="4" a="1"/>
  <c r="EB61" i="4" s="1"/>
  <c r="EA61" i="4" a="1"/>
  <c r="EA61" i="4" s="1"/>
  <c r="DZ61" i="4" a="1"/>
  <c r="DZ61" i="4" s="1"/>
  <c r="DY61" i="4" a="1"/>
  <c r="DY61" i="4" s="1"/>
  <c r="DX61" i="4" a="1"/>
  <c r="DX61" i="4" s="1"/>
  <c r="DW61" i="4" a="1"/>
  <c r="DW61" i="4" s="1"/>
  <c r="DV61" i="4" a="1"/>
  <c r="DV61" i="4" s="1"/>
  <c r="DU61" i="4" a="1"/>
  <c r="DU61" i="4" s="1"/>
  <c r="DT61" i="4" a="1"/>
  <c r="DT61" i="4" s="1"/>
  <c r="DS61" i="4" a="1"/>
  <c r="DS61" i="4" s="1"/>
  <c r="FD70" i="4" a="1"/>
  <c r="FD70" i="4" s="1"/>
  <c r="FC70" i="4" a="1"/>
  <c r="FC70" i="4" s="1"/>
  <c r="FB70" i="4" a="1"/>
  <c r="FB70" i="4" s="1"/>
  <c r="FA70" i="4" a="1"/>
  <c r="FA70" i="4" s="1"/>
  <c r="EZ70" i="4" a="1"/>
  <c r="EZ70" i="4" s="1"/>
  <c r="EY70" i="4" a="1"/>
  <c r="EY70" i="4" s="1"/>
  <c r="EX70" i="4" a="1"/>
  <c r="EX70" i="4" s="1"/>
  <c r="EW70" i="4" a="1"/>
  <c r="EW70" i="4" s="1"/>
  <c r="EV70" i="4" a="1"/>
  <c r="EV70" i="4" s="1"/>
  <c r="EU70" i="4" a="1"/>
  <c r="EU70" i="4" s="1"/>
  <c r="ET70" i="4" a="1"/>
  <c r="ET70" i="4" s="1"/>
  <c r="ES70" i="4" a="1"/>
  <c r="ES70" i="4" s="1"/>
  <c r="ER70" i="4" a="1"/>
  <c r="ER70" i="4" s="1"/>
  <c r="EQ70" i="4" a="1"/>
  <c r="EQ70" i="4" s="1"/>
  <c r="EP70" i="4" a="1"/>
  <c r="EP70" i="4" s="1"/>
  <c r="EO70" i="4" a="1"/>
  <c r="EO70" i="4" s="1"/>
  <c r="EN70" i="4" a="1"/>
  <c r="EN70" i="4" s="1"/>
  <c r="EM70" i="4" a="1"/>
  <c r="EM70" i="4" s="1"/>
  <c r="EL70" i="4" a="1"/>
  <c r="EL70" i="4" s="1"/>
  <c r="FD69" i="4" a="1"/>
  <c r="FD69" i="4" s="1"/>
  <c r="FC69" i="4" a="1"/>
  <c r="FC69" i="4" s="1"/>
  <c r="FB69" i="4" a="1"/>
  <c r="FB69" i="4" s="1"/>
  <c r="FA69" i="4" a="1"/>
  <c r="FA69" i="4" s="1"/>
  <c r="EZ69" i="4" a="1"/>
  <c r="EZ69" i="4" s="1"/>
  <c r="EY69" i="4" a="1"/>
  <c r="EY69" i="4" s="1"/>
  <c r="EX69" i="4" a="1"/>
  <c r="EX69" i="4" s="1"/>
  <c r="EW69" i="4" a="1"/>
  <c r="EW69" i="4" s="1"/>
  <c r="EV69" i="4" a="1"/>
  <c r="EV69" i="4" s="1"/>
  <c r="EU69" i="4" a="1"/>
  <c r="EU69" i="4" s="1"/>
  <c r="ET69" i="4" a="1"/>
  <c r="ET69" i="4" s="1"/>
  <c r="ES69" i="4" a="1"/>
  <c r="ES69" i="4" s="1"/>
  <c r="ER69" i="4" a="1"/>
  <c r="ER69" i="4" s="1"/>
  <c r="EQ69" i="4" a="1"/>
  <c r="EQ69" i="4" s="1"/>
  <c r="EP69" i="4" a="1"/>
  <c r="EP69" i="4" s="1"/>
  <c r="EO69" i="4" a="1"/>
  <c r="EO69" i="4" s="1"/>
  <c r="EN69" i="4" a="1"/>
  <c r="EN69" i="4" s="1"/>
  <c r="EM69" i="4" a="1"/>
  <c r="EM69" i="4" s="1"/>
  <c r="EL69" i="4" a="1"/>
  <c r="EL69" i="4" s="1"/>
  <c r="FD68" i="4" a="1"/>
  <c r="FD68" i="4" s="1"/>
  <c r="FC68" i="4" a="1"/>
  <c r="FC68" i="4" s="1"/>
  <c r="FB68" i="4" a="1"/>
  <c r="FB68" i="4" s="1"/>
  <c r="FA68" i="4" a="1"/>
  <c r="FA68" i="4" s="1"/>
  <c r="EZ68" i="4" a="1"/>
  <c r="EZ68" i="4" s="1"/>
  <c r="EY68" i="4" a="1"/>
  <c r="EY68" i="4" s="1"/>
  <c r="EX68" i="4" a="1"/>
  <c r="EX68" i="4" s="1"/>
  <c r="EW68" i="4" a="1"/>
  <c r="EW68" i="4" s="1"/>
  <c r="EV68" i="4" a="1"/>
  <c r="EV68" i="4" s="1"/>
  <c r="EU68" i="4" a="1"/>
  <c r="EU68" i="4" s="1"/>
  <c r="ET68" i="4" a="1"/>
  <c r="ET68" i="4" s="1"/>
  <c r="ES68" i="4" a="1"/>
  <c r="ES68" i="4" s="1"/>
  <c r="ER68" i="4" a="1"/>
  <c r="ER68" i="4" s="1"/>
  <c r="EQ68" i="4" a="1"/>
  <c r="EQ68" i="4" s="1"/>
  <c r="EP68" i="4" a="1"/>
  <c r="EP68" i="4" s="1"/>
  <c r="EO68" i="4" a="1"/>
  <c r="EO68" i="4" s="1"/>
  <c r="EN68" i="4" a="1"/>
  <c r="EN68" i="4" s="1"/>
  <c r="EM68" i="4" a="1"/>
  <c r="EM68" i="4" s="1"/>
  <c r="EL68" i="4" a="1"/>
  <c r="EL68" i="4" s="1"/>
  <c r="FD67" i="4" a="1"/>
  <c r="FD67" i="4" s="1"/>
  <c r="FC67" i="4" a="1"/>
  <c r="FC67" i="4" s="1"/>
  <c r="FB67" i="4" a="1"/>
  <c r="FB67" i="4" s="1"/>
  <c r="FA67" i="4" a="1"/>
  <c r="FA67" i="4" s="1"/>
  <c r="EZ67" i="4" a="1"/>
  <c r="EZ67" i="4" s="1"/>
  <c r="EY67" i="4" a="1"/>
  <c r="EY67" i="4" s="1"/>
  <c r="EX67" i="4" a="1"/>
  <c r="EX67" i="4" s="1"/>
  <c r="EW67" i="4" a="1"/>
  <c r="EW67" i="4" s="1"/>
  <c r="EV67" i="4" a="1"/>
  <c r="EV67" i="4" s="1"/>
  <c r="EU67" i="4" a="1"/>
  <c r="EU67" i="4" s="1"/>
  <c r="ET67" i="4" a="1"/>
  <c r="ET67" i="4" s="1"/>
  <c r="ES67" i="4" a="1"/>
  <c r="ES67" i="4" s="1"/>
  <c r="ER67" i="4" a="1"/>
  <c r="ER67" i="4" s="1"/>
  <c r="EQ67" i="4" a="1"/>
  <c r="EQ67" i="4" s="1"/>
  <c r="EP67" i="4" a="1"/>
  <c r="EP67" i="4" s="1"/>
  <c r="EO67" i="4" a="1"/>
  <c r="EO67" i="4" s="1"/>
  <c r="EN67" i="4" a="1"/>
  <c r="EN67" i="4" s="1"/>
  <c r="EM67" i="4" a="1"/>
  <c r="EM67" i="4" s="1"/>
  <c r="EL67" i="4" a="1"/>
  <c r="EL67" i="4" s="1"/>
  <c r="FD66" i="4" a="1"/>
  <c r="FD66" i="4" s="1"/>
  <c r="FC66" i="4" a="1"/>
  <c r="FC66" i="4" s="1"/>
  <c r="FB66" i="4" a="1"/>
  <c r="FB66" i="4" s="1"/>
  <c r="FA66" i="4" a="1"/>
  <c r="FA66" i="4" s="1"/>
  <c r="EZ66" i="4" a="1"/>
  <c r="EZ66" i="4" s="1"/>
  <c r="EY66" i="4" a="1"/>
  <c r="EY66" i="4" s="1"/>
  <c r="EX66" i="4" a="1"/>
  <c r="EX66" i="4" s="1"/>
  <c r="EW66" i="4" a="1"/>
  <c r="EW66" i="4" s="1"/>
  <c r="EV66" i="4" a="1"/>
  <c r="EV66" i="4" s="1"/>
  <c r="EU66" i="4" a="1"/>
  <c r="EU66" i="4" s="1"/>
  <c r="ET66" i="4" a="1"/>
  <c r="ET66" i="4" s="1"/>
  <c r="ES66" i="4" a="1"/>
  <c r="ES66" i="4" s="1"/>
  <c r="ER66" i="4" a="1"/>
  <c r="ER66" i="4" s="1"/>
  <c r="EQ66" i="4" a="1"/>
  <c r="EQ66" i="4" s="1"/>
  <c r="EP66" i="4" a="1"/>
  <c r="EP66" i="4" s="1"/>
  <c r="EO66" i="4" a="1"/>
  <c r="EO66" i="4" s="1"/>
  <c r="EN66" i="4" a="1"/>
  <c r="EN66" i="4" s="1"/>
  <c r="EM66" i="4" a="1"/>
  <c r="EM66" i="4" s="1"/>
  <c r="EL66" i="4" a="1"/>
  <c r="EL66" i="4" s="1"/>
  <c r="FD65" i="4" a="1"/>
  <c r="FD65" i="4" s="1"/>
  <c r="FC65" i="4" a="1"/>
  <c r="FC65" i="4" s="1"/>
  <c r="FB65" i="4" a="1"/>
  <c r="FB65" i="4" s="1"/>
  <c r="FA65" i="4" a="1"/>
  <c r="FA65" i="4" s="1"/>
  <c r="EZ65" i="4" a="1"/>
  <c r="EZ65" i="4" s="1"/>
  <c r="EY65" i="4" a="1"/>
  <c r="EY65" i="4" s="1"/>
  <c r="EX65" i="4" a="1"/>
  <c r="EX65" i="4" s="1"/>
  <c r="EW65" i="4" a="1"/>
  <c r="EW65" i="4" s="1"/>
  <c r="EV65" i="4" a="1"/>
  <c r="EV65" i="4" s="1"/>
  <c r="EU65" i="4" a="1"/>
  <c r="EU65" i="4" s="1"/>
  <c r="ET65" i="4" a="1"/>
  <c r="ET65" i="4" s="1"/>
  <c r="ES65" i="4" a="1"/>
  <c r="ES65" i="4" s="1"/>
  <c r="ER65" i="4" a="1"/>
  <c r="ER65" i="4" s="1"/>
  <c r="EQ65" i="4" a="1"/>
  <c r="EQ65" i="4" s="1"/>
  <c r="EP65" i="4" a="1"/>
  <c r="EP65" i="4" s="1"/>
  <c r="EO65" i="4" a="1"/>
  <c r="EO65" i="4" s="1"/>
  <c r="EN65" i="4" a="1"/>
  <c r="EN65" i="4" s="1"/>
  <c r="EM65" i="4" a="1"/>
  <c r="EM65" i="4" s="1"/>
  <c r="EL65" i="4" a="1"/>
  <c r="EL65" i="4" s="1"/>
  <c r="FD64" i="4" a="1"/>
  <c r="FD64" i="4" s="1"/>
  <c r="FC64" i="4" a="1"/>
  <c r="FC64" i="4" s="1"/>
  <c r="FB64" i="4" a="1"/>
  <c r="FB64" i="4" s="1"/>
  <c r="FA64" i="4" a="1"/>
  <c r="FA64" i="4" s="1"/>
  <c r="EZ64" i="4" a="1"/>
  <c r="EZ64" i="4" s="1"/>
  <c r="EY64" i="4" a="1"/>
  <c r="EY64" i="4" s="1"/>
  <c r="EX64" i="4" a="1"/>
  <c r="EX64" i="4" s="1"/>
  <c r="EW64" i="4" a="1"/>
  <c r="EW64" i="4" s="1"/>
  <c r="EV64" i="4" a="1"/>
  <c r="EV64" i="4" s="1"/>
  <c r="EU64" i="4" a="1"/>
  <c r="EU64" i="4" s="1"/>
  <c r="ET64" i="4" a="1"/>
  <c r="ET64" i="4" s="1"/>
  <c r="ES64" i="4" a="1"/>
  <c r="ES64" i="4" s="1"/>
  <c r="ER64" i="4" a="1"/>
  <c r="ER64" i="4" s="1"/>
  <c r="EQ64" i="4" a="1"/>
  <c r="EQ64" i="4" s="1"/>
  <c r="EP64" i="4" a="1"/>
  <c r="EP64" i="4" s="1"/>
  <c r="EO64" i="4" a="1"/>
  <c r="EO64" i="4" s="1"/>
  <c r="EN64" i="4" a="1"/>
  <c r="EN64" i="4" s="1"/>
  <c r="EM64" i="4" a="1"/>
  <c r="EM64" i="4" s="1"/>
  <c r="EL64" i="4" a="1"/>
  <c r="EL64" i="4" s="1"/>
  <c r="FD63" i="4" a="1"/>
  <c r="FD63" i="4" s="1"/>
  <c r="FC63" i="4" a="1"/>
  <c r="FC63" i="4" s="1"/>
  <c r="FB63" i="4" a="1"/>
  <c r="FB63" i="4" s="1"/>
  <c r="FA63" i="4" a="1"/>
  <c r="FA63" i="4" s="1"/>
  <c r="EZ63" i="4" a="1"/>
  <c r="EZ63" i="4" s="1"/>
  <c r="EY63" i="4" a="1"/>
  <c r="EY63" i="4" s="1"/>
  <c r="EX63" i="4" a="1"/>
  <c r="EX63" i="4" s="1"/>
  <c r="EW63" i="4" a="1"/>
  <c r="EW63" i="4" s="1"/>
  <c r="EV63" i="4" a="1"/>
  <c r="EV63" i="4" s="1"/>
  <c r="EU63" i="4" a="1"/>
  <c r="EU63" i="4" s="1"/>
  <c r="ET63" i="4" a="1"/>
  <c r="ET63" i="4" s="1"/>
  <c r="ES63" i="4" a="1"/>
  <c r="ES63" i="4" s="1"/>
  <c r="ER63" i="4" a="1"/>
  <c r="ER63" i="4" s="1"/>
  <c r="EQ63" i="4" a="1"/>
  <c r="EQ63" i="4" s="1"/>
  <c r="EP63" i="4" a="1"/>
  <c r="EP63" i="4" s="1"/>
  <c r="EO63" i="4" a="1"/>
  <c r="EO63" i="4" s="1"/>
  <c r="EN63" i="4" a="1"/>
  <c r="EN63" i="4" s="1"/>
  <c r="EM63" i="4" a="1"/>
  <c r="EM63" i="4" s="1"/>
  <c r="EL63" i="4" a="1"/>
  <c r="EL63" i="4" s="1"/>
  <c r="FD62" i="4" a="1"/>
  <c r="FD62" i="4" s="1"/>
  <c r="FC62" i="4" a="1"/>
  <c r="FC62" i="4" s="1"/>
  <c r="FB62" i="4" a="1"/>
  <c r="FB62" i="4" s="1"/>
  <c r="FA62" i="4" a="1"/>
  <c r="FA62" i="4" s="1"/>
  <c r="EZ62" i="4" a="1"/>
  <c r="EZ62" i="4" s="1"/>
  <c r="EY62" i="4" a="1"/>
  <c r="EY62" i="4" s="1"/>
  <c r="EX62" i="4" a="1"/>
  <c r="EX62" i="4" s="1"/>
  <c r="EW62" i="4" a="1"/>
  <c r="EW62" i="4" s="1"/>
  <c r="EV62" i="4" a="1"/>
  <c r="EV62" i="4" s="1"/>
  <c r="EU62" i="4" a="1"/>
  <c r="EU62" i="4" s="1"/>
  <c r="ET62" i="4" a="1"/>
  <c r="ET62" i="4" s="1"/>
  <c r="ES62" i="4" a="1"/>
  <c r="ES62" i="4" s="1"/>
  <c r="ER62" i="4" a="1"/>
  <c r="ER62" i="4" s="1"/>
  <c r="EQ62" i="4" a="1"/>
  <c r="EQ62" i="4" s="1"/>
  <c r="EP62" i="4" a="1"/>
  <c r="EP62" i="4" s="1"/>
  <c r="EO62" i="4" a="1"/>
  <c r="EO62" i="4" s="1"/>
  <c r="EN62" i="4" a="1"/>
  <c r="EN62" i="4" s="1"/>
  <c r="EM62" i="4" a="1"/>
  <c r="EM62" i="4" s="1"/>
  <c r="EL62" i="4" a="1"/>
  <c r="EL62" i="4" s="1"/>
  <c r="FD61" i="4" a="1"/>
  <c r="FD61" i="4" s="1"/>
  <c r="FC61" i="4" a="1"/>
  <c r="FC61" i="4" s="1"/>
  <c r="FB61" i="4" a="1"/>
  <c r="FB61" i="4" s="1"/>
  <c r="FA61" i="4" a="1"/>
  <c r="FA61" i="4" s="1"/>
  <c r="EZ61" i="4" a="1"/>
  <c r="EZ61" i="4" s="1"/>
  <c r="EY61" i="4" a="1"/>
  <c r="EY61" i="4" s="1"/>
  <c r="EX61" i="4" a="1"/>
  <c r="EX61" i="4" s="1"/>
  <c r="EW61" i="4" a="1"/>
  <c r="EW61" i="4" s="1"/>
  <c r="EV61" i="4" a="1"/>
  <c r="EV61" i="4" s="1"/>
  <c r="EU61" i="4" a="1"/>
  <c r="EU61" i="4" s="1"/>
  <c r="ET61" i="4" a="1"/>
  <c r="ET61" i="4" s="1"/>
  <c r="ES61" i="4" a="1"/>
  <c r="ES61" i="4" s="1"/>
  <c r="ER61" i="4" a="1"/>
  <c r="ER61" i="4" s="1"/>
  <c r="EQ61" i="4" a="1"/>
  <c r="EQ61" i="4" s="1"/>
  <c r="EP61" i="4" a="1"/>
  <c r="EP61" i="4" s="1"/>
  <c r="EO61" i="4" a="1"/>
  <c r="EO61" i="4" s="1"/>
  <c r="EN61" i="4" a="1"/>
  <c r="EN61" i="4" s="1"/>
  <c r="EM61" i="4" a="1"/>
  <c r="EM61" i="4" s="1"/>
  <c r="EL61" i="4" a="1"/>
  <c r="EL61" i="4" s="1"/>
  <c r="FW70" i="4" a="1"/>
  <c r="FW70" i="4" s="1"/>
  <c r="FV70" i="4" a="1"/>
  <c r="FV70" i="4" s="1"/>
  <c r="FU70" i="4" a="1"/>
  <c r="FU70" i="4" s="1"/>
  <c r="FT70" i="4" a="1"/>
  <c r="FT70" i="4" s="1"/>
  <c r="FS70" i="4" a="1"/>
  <c r="FS70" i="4" s="1"/>
  <c r="FR70" i="4" a="1"/>
  <c r="FR70" i="4" s="1"/>
  <c r="FQ70" i="4" a="1"/>
  <c r="FQ70" i="4" s="1"/>
  <c r="FP70" i="4" a="1"/>
  <c r="FP70" i="4" s="1"/>
  <c r="FO70" i="4" a="1"/>
  <c r="FO70" i="4" s="1"/>
  <c r="FN70" i="4" a="1"/>
  <c r="FN70" i="4" s="1"/>
  <c r="FM70" i="4" a="1"/>
  <c r="FM70" i="4" s="1"/>
  <c r="FL70" i="4" a="1"/>
  <c r="FL70" i="4" s="1"/>
  <c r="FK70" i="4" a="1"/>
  <c r="FK70" i="4" s="1"/>
  <c r="FJ70" i="4" a="1"/>
  <c r="FJ70" i="4" s="1"/>
  <c r="FI70" i="4" a="1"/>
  <c r="FI70" i="4" s="1"/>
  <c r="FH70" i="4" a="1"/>
  <c r="FH70" i="4" s="1"/>
  <c r="FG70" i="4" a="1"/>
  <c r="FG70" i="4" s="1"/>
  <c r="FF70" i="4" a="1"/>
  <c r="FF70" i="4" s="1"/>
  <c r="FE70" i="4" a="1"/>
  <c r="FE70" i="4" s="1"/>
  <c r="FW69" i="4" a="1"/>
  <c r="FW69" i="4" s="1"/>
  <c r="FV69" i="4" a="1"/>
  <c r="FV69" i="4" s="1"/>
  <c r="FU69" i="4" a="1"/>
  <c r="FU69" i="4" s="1"/>
  <c r="FT69" i="4" a="1"/>
  <c r="FT69" i="4" s="1"/>
  <c r="FS69" i="4" a="1"/>
  <c r="FS69" i="4" s="1"/>
  <c r="FR69" i="4" a="1"/>
  <c r="FR69" i="4" s="1"/>
  <c r="FQ69" i="4" a="1"/>
  <c r="FQ69" i="4" s="1"/>
  <c r="FP69" i="4" a="1"/>
  <c r="FP69" i="4" s="1"/>
  <c r="FO69" i="4" a="1"/>
  <c r="FO69" i="4" s="1"/>
  <c r="FN69" i="4" a="1"/>
  <c r="FN69" i="4" s="1"/>
  <c r="FM69" i="4" a="1"/>
  <c r="FM69" i="4" s="1"/>
  <c r="FL69" i="4" a="1"/>
  <c r="FL69" i="4" s="1"/>
  <c r="FK69" i="4" a="1"/>
  <c r="FK69" i="4" s="1"/>
  <c r="FJ69" i="4" a="1"/>
  <c r="FJ69" i="4" s="1"/>
  <c r="FI69" i="4" a="1"/>
  <c r="FI69" i="4" s="1"/>
  <c r="FH69" i="4" a="1"/>
  <c r="FH69" i="4" s="1"/>
  <c r="FG69" i="4" a="1"/>
  <c r="FG69" i="4" s="1"/>
  <c r="FF69" i="4" a="1"/>
  <c r="FF69" i="4" s="1"/>
  <c r="FE69" i="4" a="1"/>
  <c r="FE69" i="4" s="1"/>
  <c r="FW68" i="4" a="1"/>
  <c r="FW68" i="4" s="1"/>
  <c r="FV68" i="4" a="1"/>
  <c r="FV68" i="4" s="1"/>
  <c r="FU68" i="4" a="1"/>
  <c r="FU68" i="4" s="1"/>
  <c r="FT68" i="4" a="1"/>
  <c r="FT68" i="4" s="1"/>
  <c r="FS68" i="4" a="1"/>
  <c r="FS68" i="4" s="1"/>
  <c r="FR68" i="4" a="1"/>
  <c r="FR68" i="4" s="1"/>
  <c r="FQ68" i="4" a="1"/>
  <c r="FQ68" i="4" s="1"/>
  <c r="FP68" i="4" a="1"/>
  <c r="FP68" i="4" s="1"/>
  <c r="FO68" i="4" a="1"/>
  <c r="FO68" i="4" s="1"/>
  <c r="FN68" i="4" a="1"/>
  <c r="FN68" i="4" s="1"/>
  <c r="FM68" i="4" a="1"/>
  <c r="FM68" i="4" s="1"/>
  <c r="FL68" i="4" a="1"/>
  <c r="FL68" i="4" s="1"/>
  <c r="FK68" i="4" a="1"/>
  <c r="FK68" i="4" s="1"/>
  <c r="FJ68" i="4" a="1"/>
  <c r="FJ68" i="4" s="1"/>
  <c r="FI68" i="4" a="1"/>
  <c r="FI68" i="4" s="1"/>
  <c r="FH68" i="4" a="1"/>
  <c r="FH68" i="4" s="1"/>
  <c r="FG68" i="4" a="1"/>
  <c r="FG68" i="4" s="1"/>
  <c r="FF68" i="4" a="1"/>
  <c r="FF68" i="4" s="1"/>
  <c r="FE68" i="4" a="1"/>
  <c r="FE68" i="4" s="1"/>
  <c r="FW67" i="4" a="1"/>
  <c r="FW67" i="4" s="1"/>
  <c r="FV67" i="4" a="1"/>
  <c r="FV67" i="4" s="1"/>
  <c r="FU67" i="4" a="1"/>
  <c r="FU67" i="4" s="1"/>
  <c r="FT67" i="4" a="1"/>
  <c r="FT67" i="4" s="1"/>
  <c r="FS67" i="4" a="1"/>
  <c r="FS67" i="4" s="1"/>
  <c r="FR67" i="4" a="1"/>
  <c r="FR67" i="4" s="1"/>
  <c r="FQ67" i="4" a="1"/>
  <c r="FQ67" i="4" s="1"/>
  <c r="FP67" i="4" a="1"/>
  <c r="FP67" i="4" s="1"/>
  <c r="FO67" i="4" a="1"/>
  <c r="FO67" i="4" s="1"/>
  <c r="FN67" i="4" a="1"/>
  <c r="FN67" i="4" s="1"/>
  <c r="FM67" i="4" a="1"/>
  <c r="FM67" i="4" s="1"/>
  <c r="FL67" i="4" a="1"/>
  <c r="FL67" i="4" s="1"/>
  <c r="FK67" i="4" a="1"/>
  <c r="FK67" i="4" s="1"/>
  <c r="FJ67" i="4" a="1"/>
  <c r="FJ67" i="4" s="1"/>
  <c r="FI67" i="4" a="1"/>
  <c r="FI67" i="4" s="1"/>
  <c r="FH67" i="4" a="1"/>
  <c r="FH67" i="4" s="1"/>
  <c r="FG67" i="4" a="1"/>
  <c r="FG67" i="4" s="1"/>
  <c r="FF67" i="4" a="1"/>
  <c r="FF67" i="4" s="1"/>
  <c r="FE67" i="4" a="1"/>
  <c r="FE67" i="4" s="1"/>
  <c r="FW66" i="4" a="1"/>
  <c r="FW66" i="4" s="1"/>
  <c r="FV66" i="4" a="1"/>
  <c r="FV66" i="4" s="1"/>
  <c r="FU66" i="4" a="1"/>
  <c r="FU66" i="4" s="1"/>
  <c r="FT66" i="4" a="1"/>
  <c r="FT66" i="4" s="1"/>
  <c r="FS66" i="4" a="1"/>
  <c r="FS66" i="4" s="1"/>
  <c r="FR66" i="4" a="1"/>
  <c r="FR66" i="4" s="1"/>
  <c r="FQ66" i="4" a="1"/>
  <c r="FQ66" i="4" s="1"/>
  <c r="FP66" i="4" a="1"/>
  <c r="FP66" i="4" s="1"/>
  <c r="FO66" i="4" a="1"/>
  <c r="FO66" i="4" s="1"/>
  <c r="FN66" i="4" a="1"/>
  <c r="FN66" i="4" s="1"/>
  <c r="FM66" i="4" a="1"/>
  <c r="FM66" i="4" s="1"/>
  <c r="FL66" i="4" a="1"/>
  <c r="FL66" i="4" s="1"/>
  <c r="FK66" i="4" a="1"/>
  <c r="FK66" i="4" s="1"/>
  <c r="FJ66" i="4" a="1"/>
  <c r="FJ66" i="4" s="1"/>
  <c r="FI66" i="4" a="1"/>
  <c r="FI66" i="4" s="1"/>
  <c r="FH66" i="4" a="1"/>
  <c r="FH66" i="4" s="1"/>
  <c r="FG66" i="4" a="1"/>
  <c r="FG66" i="4" s="1"/>
  <c r="FF66" i="4" a="1"/>
  <c r="FF66" i="4" s="1"/>
  <c r="FE66" i="4" a="1"/>
  <c r="FE66" i="4" s="1"/>
  <c r="FW65" i="4" a="1"/>
  <c r="FW65" i="4" s="1"/>
  <c r="FV65" i="4" a="1"/>
  <c r="FV65" i="4" s="1"/>
  <c r="FU65" i="4" a="1"/>
  <c r="FU65" i="4" s="1"/>
  <c r="FT65" i="4" a="1"/>
  <c r="FT65" i="4" s="1"/>
  <c r="FS65" i="4" a="1"/>
  <c r="FS65" i="4" s="1"/>
  <c r="FR65" i="4" a="1"/>
  <c r="FR65" i="4" s="1"/>
  <c r="FQ65" i="4" a="1"/>
  <c r="FQ65" i="4" s="1"/>
  <c r="FP65" i="4" a="1"/>
  <c r="FP65" i="4" s="1"/>
  <c r="FO65" i="4" a="1"/>
  <c r="FO65" i="4" s="1"/>
  <c r="FN65" i="4" a="1"/>
  <c r="FN65" i="4" s="1"/>
  <c r="FM65" i="4" a="1"/>
  <c r="FM65" i="4" s="1"/>
  <c r="FL65" i="4" a="1"/>
  <c r="FL65" i="4" s="1"/>
  <c r="FK65" i="4" a="1"/>
  <c r="FK65" i="4" s="1"/>
  <c r="FJ65" i="4" a="1"/>
  <c r="FJ65" i="4" s="1"/>
  <c r="FI65" i="4" a="1"/>
  <c r="FI65" i="4" s="1"/>
  <c r="FH65" i="4" a="1"/>
  <c r="FH65" i="4" s="1"/>
  <c r="FG65" i="4" a="1"/>
  <c r="FG65" i="4" s="1"/>
  <c r="FF65" i="4" a="1"/>
  <c r="FF65" i="4" s="1"/>
  <c r="FE65" i="4" a="1"/>
  <c r="FE65" i="4" s="1"/>
  <c r="FW64" i="4" a="1"/>
  <c r="FW64" i="4" s="1"/>
  <c r="FV64" i="4" a="1"/>
  <c r="FV64" i="4" s="1"/>
  <c r="FU64" i="4" a="1"/>
  <c r="FU64" i="4" s="1"/>
  <c r="FT64" i="4" a="1"/>
  <c r="FT64" i="4" s="1"/>
  <c r="FS64" i="4" a="1"/>
  <c r="FS64" i="4" s="1"/>
  <c r="FR64" i="4" a="1"/>
  <c r="FR64" i="4" s="1"/>
  <c r="FQ64" i="4" a="1"/>
  <c r="FQ64" i="4" s="1"/>
  <c r="FP64" i="4" a="1"/>
  <c r="FP64" i="4" s="1"/>
  <c r="FO64" i="4" a="1"/>
  <c r="FO64" i="4" s="1"/>
  <c r="FN64" i="4" a="1"/>
  <c r="FN64" i="4" s="1"/>
  <c r="FM64" i="4" a="1"/>
  <c r="FM64" i="4" s="1"/>
  <c r="FL64" i="4" a="1"/>
  <c r="FL64" i="4" s="1"/>
  <c r="FK64" i="4" a="1"/>
  <c r="FK64" i="4" s="1"/>
  <c r="FJ64" i="4" a="1"/>
  <c r="FJ64" i="4" s="1"/>
  <c r="FI64" i="4" a="1"/>
  <c r="FI64" i="4" s="1"/>
  <c r="FH64" i="4" a="1"/>
  <c r="FH64" i="4" s="1"/>
  <c r="FG64" i="4" a="1"/>
  <c r="FG64" i="4" s="1"/>
  <c r="FF64" i="4" a="1"/>
  <c r="FF64" i="4" s="1"/>
  <c r="FE64" i="4" a="1"/>
  <c r="FE64" i="4" s="1"/>
  <c r="FW63" i="4" a="1"/>
  <c r="FW63" i="4" s="1"/>
  <c r="FV63" i="4" a="1"/>
  <c r="FV63" i="4" s="1"/>
  <c r="FU63" i="4" a="1"/>
  <c r="FU63" i="4" s="1"/>
  <c r="FT63" i="4" a="1"/>
  <c r="FT63" i="4" s="1"/>
  <c r="FS63" i="4" a="1"/>
  <c r="FS63" i="4" s="1"/>
  <c r="FR63" i="4" a="1"/>
  <c r="FR63" i="4" s="1"/>
  <c r="FQ63" i="4" a="1"/>
  <c r="FQ63" i="4" s="1"/>
  <c r="FP63" i="4" a="1"/>
  <c r="FP63" i="4" s="1"/>
  <c r="FO63" i="4" a="1"/>
  <c r="FO63" i="4" s="1"/>
  <c r="FN63" i="4" a="1"/>
  <c r="FN63" i="4" s="1"/>
  <c r="FM63" i="4" a="1"/>
  <c r="FM63" i="4" s="1"/>
  <c r="FL63" i="4" a="1"/>
  <c r="FL63" i="4" s="1"/>
  <c r="FK63" i="4" a="1"/>
  <c r="FK63" i="4" s="1"/>
  <c r="FJ63" i="4" a="1"/>
  <c r="FJ63" i="4" s="1"/>
  <c r="FI63" i="4" a="1"/>
  <c r="FI63" i="4" s="1"/>
  <c r="FH63" i="4" a="1"/>
  <c r="FH63" i="4" s="1"/>
  <c r="FG63" i="4" a="1"/>
  <c r="FG63" i="4" s="1"/>
  <c r="FF63" i="4" a="1"/>
  <c r="FF63" i="4" s="1"/>
  <c r="FE63" i="4" a="1"/>
  <c r="FE63" i="4" s="1"/>
  <c r="FW62" i="4" a="1"/>
  <c r="FW62" i="4" s="1"/>
  <c r="FV62" i="4" a="1"/>
  <c r="FV62" i="4" s="1"/>
  <c r="FU62" i="4" a="1"/>
  <c r="FU62" i="4" s="1"/>
  <c r="FT62" i="4" a="1"/>
  <c r="FT62" i="4" s="1"/>
  <c r="FS62" i="4" a="1"/>
  <c r="FS62" i="4" s="1"/>
  <c r="FR62" i="4" a="1"/>
  <c r="FR62" i="4" s="1"/>
  <c r="FQ62" i="4" a="1"/>
  <c r="FQ62" i="4" s="1"/>
  <c r="FP62" i="4" a="1"/>
  <c r="FP62" i="4" s="1"/>
  <c r="FO62" i="4" a="1"/>
  <c r="FO62" i="4" s="1"/>
  <c r="FN62" i="4" a="1"/>
  <c r="FN62" i="4" s="1"/>
  <c r="FM62" i="4" a="1"/>
  <c r="FM62" i="4" s="1"/>
  <c r="FL62" i="4" a="1"/>
  <c r="FL62" i="4" s="1"/>
  <c r="FK62" i="4" a="1"/>
  <c r="FK62" i="4" s="1"/>
  <c r="FJ62" i="4" a="1"/>
  <c r="FJ62" i="4" s="1"/>
  <c r="FI62" i="4" a="1"/>
  <c r="FI62" i="4" s="1"/>
  <c r="FH62" i="4" a="1"/>
  <c r="FH62" i="4" s="1"/>
  <c r="FG62" i="4" a="1"/>
  <c r="FG62" i="4" s="1"/>
  <c r="FF62" i="4" a="1"/>
  <c r="FF62" i="4" s="1"/>
  <c r="FE62" i="4" a="1"/>
  <c r="FE62" i="4" s="1"/>
  <c r="FW61" i="4" a="1"/>
  <c r="FW61" i="4" s="1"/>
  <c r="FV61" i="4" a="1"/>
  <c r="FV61" i="4" s="1"/>
  <c r="FU61" i="4" a="1"/>
  <c r="FU61" i="4" s="1"/>
  <c r="FT61" i="4" a="1"/>
  <c r="FT61" i="4" s="1"/>
  <c r="FS61" i="4" a="1"/>
  <c r="FS61" i="4" s="1"/>
  <c r="FR61" i="4" a="1"/>
  <c r="FR61" i="4" s="1"/>
  <c r="FQ61" i="4" a="1"/>
  <c r="FQ61" i="4" s="1"/>
  <c r="FP61" i="4" a="1"/>
  <c r="FP61" i="4" s="1"/>
  <c r="FO61" i="4" a="1"/>
  <c r="FO61" i="4" s="1"/>
  <c r="FN61" i="4" a="1"/>
  <c r="FN61" i="4" s="1"/>
  <c r="FM61" i="4" a="1"/>
  <c r="FM61" i="4" s="1"/>
  <c r="FL61" i="4" a="1"/>
  <c r="FL61" i="4" s="1"/>
  <c r="FK61" i="4" a="1"/>
  <c r="FK61" i="4" s="1"/>
  <c r="FJ61" i="4" a="1"/>
  <c r="FJ61" i="4" s="1"/>
  <c r="FI61" i="4" a="1"/>
  <c r="FI61" i="4" s="1"/>
  <c r="FH61" i="4" a="1"/>
  <c r="FH61" i="4" s="1"/>
  <c r="FG61" i="4" a="1"/>
  <c r="FG61" i="4" s="1"/>
  <c r="FF61" i="4" a="1"/>
  <c r="FF61" i="4" s="1"/>
  <c r="FE61" i="4" a="1"/>
  <c r="FE61" i="4" s="1"/>
  <c r="DR70" i="4" a="1"/>
  <c r="DR70" i="4" s="1"/>
  <c r="V70" i="4" s="1"/>
  <c r="DR69" i="4" a="1"/>
  <c r="DR69" i="4" s="1"/>
  <c r="V69" i="4" s="1"/>
  <c r="DR68" i="4" a="1"/>
  <c r="DR68" i="4" s="1"/>
  <c r="V68" i="4" s="1"/>
  <c r="DR67" i="4" a="1"/>
  <c r="DR67" i="4" s="1"/>
  <c r="V67" i="4" s="1"/>
  <c r="DR66" i="4" a="1"/>
  <c r="DR66" i="4" s="1"/>
  <c r="V66" i="4" s="1"/>
  <c r="DR65" i="4" a="1"/>
  <c r="DR65" i="4" s="1"/>
  <c r="V65" i="4" s="1"/>
  <c r="DR64" i="4" a="1"/>
  <c r="DR64" i="4" s="1"/>
  <c r="V64" i="4" s="1"/>
  <c r="DR63" i="4" a="1"/>
  <c r="DR63" i="4" s="1"/>
  <c r="V63" i="4" s="1"/>
  <c r="DR62" i="4" a="1"/>
  <c r="DR62" i="4" s="1"/>
  <c r="V62" i="4" s="1"/>
  <c r="DR61" i="4" a="1"/>
  <c r="DR61" i="4" s="1"/>
  <c r="V61" i="4" s="1"/>
  <c r="DQ70" i="4" a="1"/>
  <c r="DQ70" i="4" s="1"/>
  <c r="U70" i="4" s="1"/>
  <c r="DQ69" i="4" a="1"/>
  <c r="DQ69" i="4" s="1"/>
  <c r="U69" i="4" s="1"/>
  <c r="DQ68" i="4" a="1"/>
  <c r="DQ68" i="4" s="1"/>
  <c r="U68" i="4" s="1"/>
  <c r="DQ67" i="4" a="1"/>
  <c r="DQ67" i="4" s="1"/>
  <c r="U67" i="4" s="1"/>
  <c r="DQ66" i="4" a="1"/>
  <c r="DQ66" i="4" s="1"/>
  <c r="U66" i="4" s="1"/>
  <c r="DQ65" i="4" a="1"/>
  <c r="DQ65" i="4" s="1"/>
  <c r="U65" i="4" s="1"/>
  <c r="DQ64" i="4" a="1"/>
  <c r="DQ64" i="4" s="1"/>
  <c r="U64" i="4" s="1"/>
  <c r="DQ63" i="4" a="1"/>
  <c r="DQ63" i="4" s="1"/>
  <c r="U63" i="4" s="1"/>
  <c r="DQ62" i="4" a="1"/>
  <c r="DQ62" i="4" s="1"/>
  <c r="U62" i="4" s="1"/>
  <c r="DQ61" i="4" a="1"/>
  <c r="DQ61" i="4" s="1"/>
  <c r="U61" i="4" s="1"/>
  <c r="DP70" i="4" a="1"/>
  <c r="DP70" i="4" s="1"/>
  <c r="T70" i="4" s="1"/>
  <c r="DP69" i="4" a="1"/>
  <c r="DP69" i="4" s="1"/>
  <c r="T69" i="4" s="1"/>
  <c r="DP68" i="4" a="1"/>
  <c r="DP68" i="4" s="1"/>
  <c r="T68" i="4" s="1"/>
  <c r="DP67" i="4" a="1"/>
  <c r="DP67" i="4" s="1"/>
  <c r="T67" i="4" s="1"/>
  <c r="DP66" i="4" a="1"/>
  <c r="DP66" i="4" s="1"/>
  <c r="T66" i="4" s="1"/>
  <c r="DP65" i="4" a="1"/>
  <c r="DP65" i="4" s="1"/>
  <c r="T65" i="4" s="1"/>
  <c r="DP64" i="4" a="1"/>
  <c r="DP64" i="4" s="1"/>
  <c r="T64" i="4" s="1"/>
  <c r="DP63" i="4" a="1"/>
  <c r="DP63" i="4" s="1"/>
  <c r="T63" i="4" s="1"/>
  <c r="DP62" i="4" a="1"/>
  <c r="DP62" i="4" s="1"/>
  <c r="T62" i="4" s="1"/>
  <c r="DP61" i="4" a="1"/>
  <c r="DP61" i="4" s="1"/>
  <c r="T61" i="4" s="1"/>
  <c r="DO70" i="4" a="1"/>
  <c r="DO70" i="4" s="1"/>
  <c r="S70" i="4" s="1"/>
  <c r="DO69" i="4" a="1"/>
  <c r="DO69" i="4" s="1"/>
  <c r="S69" i="4" s="1"/>
  <c r="DO68" i="4" a="1"/>
  <c r="DO68" i="4" s="1"/>
  <c r="S68" i="4" s="1"/>
  <c r="DO67" i="4" a="1"/>
  <c r="DO67" i="4" s="1"/>
  <c r="S67" i="4" s="1"/>
  <c r="DO66" i="4" a="1"/>
  <c r="DO66" i="4" s="1"/>
  <c r="S66" i="4" s="1"/>
  <c r="DO65" i="4" a="1"/>
  <c r="DO65" i="4" s="1"/>
  <c r="S65" i="4" s="1"/>
  <c r="DO64" i="4" a="1"/>
  <c r="DO64" i="4" s="1"/>
  <c r="S64" i="4" s="1"/>
  <c r="DO63" i="4" a="1"/>
  <c r="DO63" i="4" s="1"/>
  <c r="S63" i="4" s="1"/>
  <c r="DO62" i="4" a="1"/>
  <c r="DO62" i="4" s="1"/>
  <c r="S62" i="4" s="1"/>
  <c r="DO61" i="4" a="1"/>
  <c r="DO61" i="4" s="1"/>
  <c r="S61" i="4" s="1"/>
  <c r="DN70" i="4" a="1"/>
  <c r="DN70" i="4" s="1"/>
  <c r="R70" i="4" s="1"/>
  <c r="DN69" i="4" a="1"/>
  <c r="DN69" i="4" s="1"/>
  <c r="R69" i="4" s="1"/>
  <c r="DN68" i="4" a="1"/>
  <c r="DN68" i="4" s="1"/>
  <c r="R68" i="4" s="1"/>
  <c r="DN67" i="4" a="1"/>
  <c r="DN67" i="4" s="1"/>
  <c r="R67" i="4" s="1"/>
  <c r="DN66" i="4" a="1"/>
  <c r="DN66" i="4" s="1"/>
  <c r="R66" i="4" s="1"/>
  <c r="DN65" i="4" a="1"/>
  <c r="DN65" i="4" s="1"/>
  <c r="R65" i="4" s="1"/>
  <c r="DN64" i="4" a="1"/>
  <c r="DN64" i="4" s="1"/>
  <c r="R64" i="4" s="1"/>
  <c r="DN63" i="4" a="1"/>
  <c r="DN63" i="4" s="1"/>
  <c r="R63" i="4" s="1"/>
  <c r="DN62" i="4" a="1"/>
  <c r="DN62" i="4" s="1"/>
  <c r="R62" i="4" s="1"/>
  <c r="DN61" i="4" a="1"/>
  <c r="DN61" i="4" s="1"/>
  <c r="R61" i="4" s="1"/>
  <c r="DM70" i="4" a="1"/>
  <c r="DM70" i="4" s="1"/>
  <c r="Q70" i="4" s="1"/>
  <c r="DM69" i="4" a="1"/>
  <c r="DM69" i="4" s="1"/>
  <c r="Q69" i="4" s="1"/>
  <c r="DM68" i="4" a="1"/>
  <c r="DM68" i="4" s="1"/>
  <c r="Q68" i="4" s="1"/>
  <c r="DM67" i="4" a="1"/>
  <c r="DM67" i="4" s="1"/>
  <c r="Q67" i="4" s="1"/>
  <c r="DM66" i="4" a="1"/>
  <c r="DM66" i="4" s="1"/>
  <c r="Q66" i="4" s="1"/>
  <c r="DM65" i="4" a="1"/>
  <c r="DM65" i="4" s="1"/>
  <c r="Q65" i="4" s="1"/>
  <c r="DM64" i="4" a="1"/>
  <c r="DM64" i="4" s="1"/>
  <c r="Q64" i="4" s="1"/>
  <c r="DM63" i="4" a="1"/>
  <c r="DM63" i="4" s="1"/>
  <c r="Q63" i="4" s="1"/>
  <c r="DM62" i="4" a="1"/>
  <c r="DM62" i="4" s="1"/>
  <c r="Q62" i="4" s="1"/>
  <c r="DM61" i="4" a="1"/>
  <c r="DM61" i="4" s="1"/>
  <c r="Q61" i="4" s="1"/>
  <c r="DL70" i="4" a="1"/>
  <c r="DL70" i="4" s="1"/>
  <c r="P70" i="4" s="1"/>
  <c r="DL69" i="4" a="1"/>
  <c r="DL69" i="4" s="1"/>
  <c r="P69" i="4" s="1"/>
  <c r="DL68" i="4" a="1"/>
  <c r="DL68" i="4" s="1"/>
  <c r="P68" i="4" s="1"/>
  <c r="DL67" i="4" a="1"/>
  <c r="DL67" i="4" s="1"/>
  <c r="P67" i="4" s="1"/>
  <c r="DL66" i="4" a="1"/>
  <c r="DL66" i="4" s="1"/>
  <c r="P66" i="4" s="1"/>
  <c r="DL65" i="4" a="1"/>
  <c r="DL65" i="4" s="1"/>
  <c r="P65" i="4" s="1"/>
  <c r="DL64" i="4" a="1"/>
  <c r="DL64" i="4" s="1"/>
  <c r="P64" i="4" s="1"/>
  <c r="DL63" i="4" a="1"/>
  <c r="DL63" i="4" s="1"/>
  <c r="P63" i="4" s="1"/>
  <c r="DL62" i="4" a="1"/>
  <c r="DL62" i="4" s="1"/>
  <c r="P62" i="4" s="1"/>
  <c r="DL61" i="4" a="1"/>
  <c r="DL61" i="4" s="1"/>
  <c r="P61" i="4" s="1"/>
  <c r="DK70" i="4" a="1"/>
  <c r="DK70" i="4" s="1"/>
  <c r="O70" i="4" s="1"/>
  <c r="DK69" i="4" a="1"/>
  <c r="DK69" i="4" s="1"/>
  <c r="O69" i="4" s="1"/>
  <c r="DK68" i="4" a="1"/>
  <c r="DK68" i="4" s="1"/>
  <c r="O68" i="4" s="1"/>
  <c r="DK67" i="4" a="1"/>
  <c r="DK67" i="4" s="1"/>
  <c r="O67" i="4" s="1"/>
  <c r="DK66" i="4" a="1"/>
  <c r="DK66" i="4" s="1"/>
  <c r="O66" i="4" s="1"/>
  <c r="DK65" i="4" a="1"/>
  <c r="DK65" i="4" s="1"/>
  <c r="O65" i="4" s="1"/>
  <c r="DK64" i="4" a="1"/>
  <c r="DK64" i="4" s="1"/>
  <c r="O64" i="4" s="1"/>
  <c r="DK63" i="4" a="1"/>
  <c r="DK63" i="4" s="1"/>
  <c r="O63" i="4" s="1"/>
  <c r="DK62" i="4" a="1"/>
  <c r="DK62" i="4" s="1"/>
  <c r="O62" i="4" s="1"/>
  <c r="DK61" i="4" a="1"/>
  <c r="DK61" i="4" s="1"/>
  <c r="O61" i="4" s="1"/>
  <c r="DJ70" i="4" a="1"/>
  <c r="DJ70" i="4" s="1"/>
  <c r="N70" i="4" s="1"/>
  <c r="DJ69" i="4" a="1"/>
  <c r="DJ69" i="4" s="1"/>
  <c r="N69" i="4" s="1"/>
  <c r="DJ68" i="4" a="1"/>
  <c r="DJ68" i="4" s="1"/>
  <c r="N68" i="4" s="1"/>
  <c r="DJ67" i="4" a="1"/>
  <c r="DJ67" i="4" s="1"/>
  <c r="N67" i="4" s="1"/>
  <c r="DJ66" i="4" a="1"/>
  <c r="DJ66" i="4" s="1"/>
  <c r="N66" i="4" s="1"/>
  <c r="DJ65" i="4" a="1"/>
  <c r="DJ65" i="4" s="1"/>
  <c r="N65" i="4" s="1"/>
  <c r="DJ64" i="4" a="1"/>
  <c r="DJ64" i="4" s="1"/>
  <c r="N64" i="4" s="1"/>
  <c r="DJ63" i="4" a="1"/>
  <c r="DJ63" i="4" s="1"/>
  <c r="N63" i="4" s="1"/>
  <c r="DJ62" i="4" a="1"/>
  <c r="DJ62" i="4" s="1"/>
  <c r="N62" i="4" s="1"/>
  <c r="DJ61" i="4" a="1"/>
  <c r="DJ61" i="4" s="1"/>
  <c r="N61" i="4" s="1"/>
  <c r="DI70" i="4" a="1"/>
  <c r="DI70" i="4" s="1"/>
  <c r="M70" i="4" s="1"/>
  <c r="DI69" i="4" a="1"/>
  <c r="DI69" i="4" s="1"/>
  <c r="M69" i="4" s="1"/>
  <c r="DI68" i="4" a="1"/>
  <c r="DI68" i="4" s="1"/>
  <c r="M68" i="4" s="1"/>
  <c r="DI67" i="4" a="1"/>
  <c r="DI67" i="4" s="1"/>
  <c r="M67" i="4" s="1"/>
  <c r="DI66" i="4" a="1"/>
  <c r="DI66" i="4" s="1"/>
  <c r="M66" i="4" s="1"/>
  <c r="DI65" i="4" a="1"/>
  <c r="DI65" i="4" s="1"/>
  <c r="M65" i="4" s="1"/>
  <c r="DI64" i="4" a="1"/>
  <c r="DI64" i="4" s="1"/>
  <c r="M64" i="4" s="1"/>
  <c r="DI63" i="4" a="1"/>
  <c r="DI63" i="4" s="1"/>
  <c r="M63" i="4" s="1"/>
  <c r="DI62" i="4" a="1"/>
  <c r="DI62" i="4" s="1"/>
  <c r="M62" i="4" s="1"/>
  <c r="DI61" i="4" a="1"/>
  <c r="DI61" i="4" s="1"/>
  <c r="M61" i="4" s="1"/>
  <c r="DH70" i="4" a="1"/>
  <c r="DH70" i="4" s="1"/>
  <c r="L70" i="4" s="1"/>
  <c r="DH69" i="4" a="1"/>
  <c r="DH69" i="4" s="1"/>
  <c r="L69" i="4" s="1"/>
  <c r="DH68" i="4" a="1"/>
  <c r="DH68" i="4" s="1"/>
  <c r="L68" i="4" s="1"/>
  <c r="DH67" i="4" a="1"/>
  <c r="DH67" i="4" s="1"/>
  <c r="L67" i="4" s="1"/>
  <c r="DH66" i="4" a="1"/>
  <c r="DH66" i="4" s="1"/>
  <c r="L66" i="4" s="1"/>
  <c r="DH65" i="4" a="1"/>
  <c r="DH65" i="4" s="1"/>
  <c r="L65" i="4" s="1"/>
  <c r="DH64" i="4" a="1"/>
  <c r="DH64" i="4" s="1"/>
  <c r="L64" i="4" s="1"/>
  <c r="DH63" i="4" a="1"/>
  <c r="DH63" i="4" s="1"/>
  <c r="L63" i="4" s="1"/>
  <c r="DH62" i="4" a="1"/>
  <c r="DH62" i="4" s="1"/>
  <c r="L62" i="4" s="1"/>
  <c r="DH61" i="4" a="1"/>
  <c r="DH61" i="4" s="1"/>
  <c r="L61" i="4" s="1"/>
  <c r="DG70" i="4" a="1"/>
  <c r="DG70" i="4" s="1"/>
  <c r="K70" i="4" s="1"/>
  <c r="DG69" i="4" a="1"/>
  <c r="DG69" i="4" s="1"/>
  <c r="K69" i="4" s="1"/>
  <c r="DG68" i="4" a="1"/>
  <c r="DG68" i="4" s="1"/>
  <c r="K68" i="4" s="1"/>
  <c r="DG67" i="4" a="1"/>
  <c r="DG67" i="4" s="1"/>
  <c r="K67" i="4" s="1"/>
  <c r="DG66" i="4" a="1"/>
  <c r="DG66" i="4" s="1"/>
  <c r="K66" i="4" s="1"/>
  <c r="DG65" i="4" a="1"/>
  <c r="DG65" i="4" s="1"/>
  <c r="K65" i="4" s="1"/>
  <c r="DG64" i="4" a="1"/>
  <c r="DG64" i="4" s="1"/>
  <c r="K64" i="4" s="1"/>
  <c r="DG63" i="4" a="1"/>
  <c r="DG63" i="4" s="1"/>
  <c r="K63" i="4" s="1"/>
  <c r="DG62" i="4" a="1"/>
  <c r="DG62" i="4" s="1"/>
  <c r="K62" i="4" s="1"/>
  <c r="DG61" i="4" a="1"/>
  <c r="DG61" i="4" s="1"/>
  <c r="K61" i="4" s="1"/>
  <c r="DF70" i="4" a="1"/>
  <c r="DF70" i="4" s="1"/>
  <c r="J70" i="4" s="1"/>
  <c r="DF69" i="4" a="1"/>
  <c r="DF69" i="4" s="1"/>
  <c r="J69" i="4" s="1"/>
  <c r="DF68" i="4" a="1"/>
  <c r="DF68" i="4" s="1"/>
  <c r="J68" i="4" s="1"/>
  <c r="DF67" i="4" a="1"/>
  <c r="DF67" i="4" s="1"/>
  <c r="J67" i="4" s="1"/>
  <c r="DF66" i="4" a="1"/>
  <c r="DF66" i="4" s="1"/>
  <c r="J66" i="4" s="1"/>
  <c r="DF65" i="4" a="1"/>
  <c r="DF65" i="4" s="1"/>
  <c r="J65" i="4" s="1"/>
  <c r="DF64" i="4" a="1"/>
  <c r="DF64" i="4" s="1"/>
  <c r="J64" i="4" s="1"/>
  <c r="DF63" i="4" a="1"/>
  <c r="DF63" i="4" s="1"/>
  <c r="J63" i="4" s="1"/>
  <c r="DF62" i="4" a="1"/>
  <c r="DF62" i="4" s="1"/>
  <c r="J62" i="4" s="1"/>
  <c r="DF61" i="4" a="1"/>
  <c r="DF61" i="4" s="1"/>
  <c r="J61" i="4" s="1"/>
  <c r="DE70" i="4" a="1"/>
  <c r="DE70" i="4" s="1"/>
  <c r="I70" i="4" s="1"/>
  <c r="DE69" i="4" a="1"/>
  <c r="DE69" i="4" s="1"/>
  <c r="I69" i="4" s="1"/>
  <c r="DE68" i="4" a="1"/>
  <c r="DE68" i="4" s="1"/>
  <c r="I68" i="4" s="1"/>
  <c r="DE67" i="4" a="1"/>
  <c r="DE67" i="4" s="1"/>
  <c r="I67" i="4" s="1"/>
  <c r="DE66" i="4" a="1"/>
  <c r="DE66" i="4" s="1"/>
  <c r="I66" i="4" s="1"/>
  <c r="DE65" i="4" a="1"/>
  <c r="DE65" i="4" s="1"/>
  <c r="I65" i="4" s="1"/>
  <c r="DE64" i="4" a="1"/>
  <c r="DE64" i="4" s="1"/>
  <c r="I64" i="4" s="1"/>
  <c r="DE63" i="4" a="1"/>
  <c r="DE63" i="4" s="1"/>
  <c r="I63" i="4" s="1"/>
  <c r="DE62" i="4" a="1"/>
  <c r="DE62" i="4" s="1"/>
  <c r="I62" i="4" s="1"/>
  <c r="DE61" i="4" a="1"/>
  <c r="DE61" i="4" s="1"/>
  <c r="I61" i="4" s="1"/>
  <c r="DD70" i="4" a="1"/>
  <c r="DD70" i="4" s="1"/>
  <c r="H70" i="4" s="1"/>
  <c r="DD69" i="4" a="1"/>
  <c r="DD69" i="4" s="1"/>
  <c r="H69" i="4" s="1"/>
  <c r="DD68" i="4" a="1"/>
  <c r="DD68" i="4" s="1"/>
  <c r="H68" i="4" s="1"/>
  <c r="DD67" i="4" a="1"/>
  <c r="DD67" i="4" s="1"/>
  <c r="H67" i="4" s="1"/>
  <c r="DD66" i="4" a="1"/>
  <c r="DD66" i="4" s="1"/>
  <c r="H66" i="4" s="1"/>
  <c r="DD65" i="4" a="1"/>
  <c r="DD65" i="4" s="1"/>
  <c r="H65" i="4" s="1"/>
  <c r="DD64" i="4" a="1"/>
  <c r="DD64" i="4" s="1"/>
  <c r="H64" i="4" s="1"/>
  <c r="DD63" i="4" a="1"/>
  <c r="DD63" i="4" s="1"/>
  <c r="H63" i="4" s="1"/>
  <c r="DD62" i="4" a="1"/>
  <c r="DD62" i="4" s="1"/>
  <c r="H62" i="4" s="1"/>
  <c r="DD61" i="4" a="1"/>
  <c r="DD61" i="4" s="1"/>
  <c r="H61" i="4" s="1"/>
  <c r="DC70" i="4" a="1"/>
  <c r="DC70" i="4" s="1"/>
  <c r="G70" i="4" s="1"/>
  <c r="DC69" i="4" a="1"/>
  <c r="DC69" i="4" s="1"/>
  <c r="G69" i="4" s="1"/>
  <c r="DC68" i="4" a="1"/>
  <c r="DC68" i="4" s="1"/>
  <c r="G68" i="4" s="1"/>
  <c r="DC67" i="4" a="1"/>
  <c r="DC67" i="4" s="1"/>
  <c r="G67" i="4" s="1"/>
  <c r="DC66" i="4" a="1"/>
  <c r="DC66" i="4" s="1"/>
  <c r="G66" i="4" s="1"/>
  <c r="DC65" i="4" a="1"/>
  <c r="DC65" i="4" s="1"/>
  <c r="G65" i="4" s="1"/>
  <c r="DC64" i="4" a="1"/>
  <c r="DC64" i="4" s="1"/>
  <c r="G64" i="4" s="1"/>
  <c r="DC63" i="4" a="1"/>
  <c r="DC63" i="4" s="1"/>
  <c r="G63" i="4" s="1"/>
  <c r="DC62" i="4" a="1"/>
  <c r="DC62" i="4" s="1"/>
  <c r="G62" i="4" s="1"/>
  <c r="DC61" i="4" a="1"/>
  <c r="DC61" i="4" s="1"/>
  <c r="G61" i="4" s="1"/>
  <c r="DB70" i="4" a="1"/>
  <c r="DB70" i="4" s="1"/>
  <c r="F70" i="4" s="1"/>
  <c r="DB69" i="4" a="1"/>
  <c r="DB69" i="4" s="1"/>
  <c r="F69" i="4" s="1"/>
  <c r="DB68" i="4" a="1"/>
  <c r="DB68" i="4" s="1"/>
  <c r="F68" i="4" s="1"/>
  <c r="DB67" i="4" a="1"/>
  <c r="DB67" i="4" s="1"/>
  <c r="F67" i="4" s="1"/>
  <c r="DB66" i="4" a="1"/>
  <c r="DB66" i="4" s="1"/>
  <c r="F66" i="4" s="1"/>
  <c r="DB65" i="4" a="1"/>
  <c r="DB65" i="4" s="1"/>
  <c r="F65" i="4" s="1"/>
  <c r="DB64" i="4" a="1"/>
  <c r="DB64" i="4" s="1"/>
  <c r="F64" i="4" s="1"/>
  <c r="DB63" i="4" a="1"/>
  <c r="DB63" i="4" s="1"/>
  <c r="F63" i="4" s="1"/>
  <c r="DB62" i="4" a="1"/>
  <c r="DB62" i="4" s="1"/>
  <c r="F62" i="4" s="1"/>
  <c r="DB61" i="4" a="1"/>
  <c r="DB61" i="4" s="1"/>
  <c r="F61" i="4" s="1"/>
  <c r="DA70" i="4" a="1"/>
  <c r="DA70" i="4" s="1"/>
  <c r="E70" i="4" s="1"/>
  <c r="DA69" i="4" a="1"/>
  <c r="DA69" i="4" s="1"/>
  <c r="E69" i="4" s="1"/>
  <c r="DA68" i="4" a="1"/>
  <c r="DA68" i="4" s="1"/>
  <c r="E68" i="4" s="1"/>
  <c r="DA67" i="4" a="1"/>
  <c r="DA67" i="4" s="1"/>
  <c r="E67" i="4" s="1"/>
  <c r="DA66" i="4" a="1"/>
  <c r="DA66" i="4" s="1"/>
  <c r="E66" i="4" s="1"/>
  <c r="DA65" i="4" a="1"/>
  <c r="DA65" i="4" s="1"/>
  <c r="E65" i="4" s="1"/>
  <c r="DA64" i="4" a="1"/>
  <c r="DA64" i="4" s="1"/>
  <c r="E64" i="4" s="1"/>
  <c r="DA63" i="4" a="1"/>
  <c r="DA63" i="4" s="1"/>
  <c r="E63" i="4" s="1"/>
  <c r="DA62" i="4" a="1"/>
  <c r="DA62" i="4" s="1"/>
  <c r="E62" i="4" s="1"/>
  <c r="DA61" i="4" a="1"/>
  <c r="DA61" i="4" s="1"/>
  <c r="E61" i="4" s="1"/>
  <c r="CZ70" i="4" a="1"/>
  <c r="CZ70" i="4" s="1"/>
  <c r="D70" i="4" s="1"/>
  <c r="CZ69" i="4" a="1"/>
  <c r="CZ69" i="4" s="1"/>
  <c r="D69" i="4" s="1"/>
  <c r="CZ68" i="4" a="1"/>
  <c r="CZ68" i="4" s="1"/>
  <c r="D68" i="4" s="1"/>
  <c r="CZ67" i="4" a="1"/>
  <c r="CZ67" i="4" s="1"/>
  <c r="D67" i="4" s="1"/>
  <c r="CZ66" i="4" a="1"/>
  <c r="CZ66" i="4" s="1"/>
  <c r="D66" i="4" s="1"/>
  <c r="CZ65" i="4" a="1"/>
  <c r="CZ65" i="4" s="1"/>
  <c r="D65" i="4" s="1"/>
  <c r="CZ64" i="4" a="1"/>
  <c r="CZ64" i="4" s="1"/>
  <c r="D64" i="4" s="1"/>
  <c r="CZ63" i="4" a="1"/>
  <c r="CZ63" i="4" s="1"/>
  <c r="D63" i="4" s="1"/>
  <c r="CZ62" i="4" a="1"/>
  <c r="CZ62" i="4" s="1"/>
  <c r="D62" i="4" s="1"/>
  <c r="CZ61" i="4" a="1"/>
  <c r="CZ61" i="4" s="1"/>
  <c r="D61" i="4" s="1"/>
  <c r="A11" i="4"/>
  <c r="AN11" i="4" s="1"/>
  <c r="A10" i="4"/>
  <c r="B126" i="4" l="1"/>
  <c r="B127" i="4" l="1"/>
  <c r="XDC143" i="4"/>
  <c r="XDC144" i="4" s="1"/>
  <c r="XDC145" i="4" s="1"/>
  <c r="XDC146" i="4" s="1"/>
  <c r="XDC147" i="4" s="1"/>
  <c r="XDC148" i="4" s="1"/>
  <c r="XDC149" i="4" s="1"/>
  <c r="XDC150" i="4" s="1"/>
  <c r="XDC151" i="4" s="1"/>
  <c r="XDC152" i="4" s="1"/>
  <c r="B128" i="4" l="1"/>
  <c r="E144" i="4"/>
  <c r="E143" i="4"/>
  <c r="E142" i="4"/>
  <c r="F140" i="4" l="1"/>
  <c r="B129" i="4"/>
  <c r="I140" i="4"/>
  <c r="H151" i="4"/>
  <c r="T10" i="4" s="1"/>
  <c r="H147" i="4"/>
  <c r="L10" i="4" s="1"/>
  <c r="H143" i="4"/>
  <c r="D10" i="4" s="1"/>
  <c r="H150" i="4"/>
  <c r="R10" i="4" s="1"/>
  <c r="H146" i="4"/>
  <c r="J10" i="4" s="1"/>
  <c r="H142" i="4"/>
  <c r="B10" i="4" s="1"/>
  <c r="H149" i="4"/>
  <c r="P10" i="4" s="1"/>
  <c r="H145" i="4"/>
  <c r="H10" i="4" s="1"/>
  <c r="H152" i="4"/>
  <c r="V10" i="4" s="1"/>
  <c r="H148" i="4"/>
  <c r="N10" i="4" s="1"/>
  <c r="H144" i="4"/>
  <c r="F10" i="4" s="1"/>
  <c r="F136" i="4"/>
  <c r="O17" i="4" l="1"/>
  <c r="O13" i="4"/>
  <c r="O20" i="4"/>
  <c r="O16" i="4"/>
  <c r="O12" i="4"/>
  <c r="O19" i="4"/>
  <c r="O15" i="4"/>
  <c r="O11" i="4"/>
  <c r="O18" i="4"/>
  <c r="O14" i="4"/>
  <c r="C20" i="4"/>
  <c r="C16" i="4"/>
  <c r="C12" i="4"/>
  <c r="C19" i="4"/>
  <c r="C15" i="4"/>
  <c r="C11" i="4"/>
  <c r="C18" i="4"/>
  <c r="C14" i="4"/>
  <c r="C17" i="4"/>
  <c r="C13" i="4"/>
  <c r="W20" i="4"/>
  <c r="W16" i="4"/>
  <c r="W12" i="4"/>
  <c r="W17" i="4"/>
  <c r="W19" i="4"/>
  <c r="W15" i="4"/>
  <c r="W11" i="4"/>
  <c r="W18" i="4"/>
  <c r="W14" i="4"/>
  <c r="W13" i="4"/>
  <c r="K17" i="4"/>
  <c r="K13" i="4"/>
  <c r="K20" i="4"/>
  <c r="K16" i="4"/>
  <c r="K12" i="4"/>
  <c r="K19" i="4"/>
  <c r="K15" i="4"/>
  <c r="K11" i="4"/>
  <c r="K18" i="4"/>
  <c r="K14" i="4"/>
  <c r="U18" i="4"/>
  <c r="U14" i="4"/>
  <c r="U17" i="4"/>
  <c r="U13" i="4"/>
  <c r="U20" i="4"/>
  <c r="U16" i="4"/>
  <c r="U12" i="4"/>
  <c r="U19" i="4"/>
  <c r="U15" i="4"/>
  <c r="U11" i="4"/>
  <c r="I18" i="4"/>
  <c r="I14" i="4"/>
  <c r="I17" i="4"/>
  <c r="I13" i="4"/>
  <c r="I20" i="4"/>
  <c r="I16" i="4"/>
  <c r="I12" i="4"/>
  <c r="I19" i="4"/>
  <c r="I15" i="4"/>
  <c r="I11" i="4"/>
  <c r="S20" i="4"/>
  <c r="S16" i="4"/>
  <c r="S12" i="4"/>
  <c r="S19" i="4"/>
  <c r="S15" i="4"/>
  <c r="S11" i="4"/>
  <c r="S18" i="4"/>
  <c r="S14" i="4"/>
  <c r="S17" i="4"/>
  <c r="S13" i="4"/>
  <c r="G20" i="4"/>
  <c r="G16" i="4"/>
  <c r="G12" i="4"/>
  <c r="G19" i="4"/>
  <c r="G15" i="4"/>
  <c r="G11" i="4"/>
  <c r="G18" i="4"/>
  <c r="G14" i="4"/>
  <c r="G17" i="4"/>
  <c r="G13" i="4"/>
  <c r="Q19" i="4"/>
  <c r="Q15" i="4"/>
  <c r="Q11" i="4"/>
  <c r="Q18" i="4"/>
  <c r="Q14" i="4"/>
  <c r="Q17" i="4"/>
  <c r="Q13" i="4"/>
  <c r="Q20" i="4"/>
  <c r="Q16" i="4"/>
  <c r="Q12" i="4"/>
  <c r="E18" i="4"/>
  <c r="E14" i="4"/>
  <c r="E17" i="4"/>
  <c r="E13" i="4"/>
  <c r="E20" i="4"/>
  <c r="E16" i="4"/>
  <c r="E12" i="4"/>
  <c r="E19" i="4"/>
  <c r="E15" i="4"/>
  <c r="E11" i="4"/>
  <c r="M19" i="4"/>
  <c r="M15" i="4"/>
  <c r="M11" i="4"/>
  <c r="M18" i="4"/>
  <c r="M14" i="4"/>
  <c r="M17" i="4"/>
  <c r="M13" i="4"/>
  <c r="M20" i="4"/>
  <c r="M16" i="4"/>
  <c r="M12" i="4"/>
  <c r="AO10" i="4"/>
  <c r="AY10" i="4"/>
  <c r="AS10" i="4"/>
  <c r="AX10" i="4"/>
  <c r="AR10" i="4"/>
  <c r="AW10" i="4"/>
  <c r="AQ10" i="4"/>
  <c r="AV10" i="4"/>
  <c r="AP10" i="4"/>
  <c r="AU10" i="4"/>
  <c r="AU14" i="4" s="1"/>
  <c r="AT10" i="4"/>
  <c r="F137" i="4"/>
  <c r="X10" i="4" s="1"/>
  <c r="B130" i="4"/>
  <c r="B131" i="4" s="1"/>
  <c r="B132" i="4" s="1"/>
  <c r="B133" i="4" s="1"/>
  <c r="J13" i="4"/>
  <c r="J11" i="4"/>
  <c r="J19" i="4"/>
  <c r="J16" i="4"/>
  <c r="J17" i="4"/>
  <c r="J14" i="4"/>
  <c r="J12" i="4"/>
  <c r="J15" i="4"/>
  <c r="J20" i="4"/>
  <c r="J18" i="4"/>
  <c r="F12" i="4"/>
  <c r="F20" i="4"/>
  <c r="F13" i="4"/>
  <c r="F11" i="4"/>
  <c r="F15" i="4"/>
  <c r="F14" i="4"/>
  <c r="F16" i="4"/>
  <c r="F19" i="4"/>
  <c r="F17" i="4"/>
  <c r="F18" i="4"/>
  <c r="P16" i="4"/>
  <c r="P12" i="4"/>
  <c r="P20" i="4"/>
  <c r="P14" i="4"/>
  <c r="P13" i="4"/>
  <c r="P11" i="4"/>
  <c r="P17" i="4"/>
  <c r="P18" i="4"/>
  <c r="P19" i="4"/>
  <c r="P15" i="4"/>
  <c r="D16" i="4"/>
  <c r="D17" i="4"/>
  <c r="D11" i="4"/>
  <c r="D19" i="4"/>
  <c r="D14" i="4"/>
  <c r="D12" i="4"/>
  <c r="D20" i="4"/>
  <c r="D13" i="4"/>
  <c r="D18" i="4"/>
  <c r="D15" i="4"/>
  <c r="N11" i="4"/>
  <c r="N15" i="4"/>
  <c r="N17" i="4"/>
  <c r="N18" i="4"/>
  <c r="N16" i="4"/>
  <c r="N14" i="4"/>
  <c r="N19" i="4"/>
  <c r="N12" i="4"/>
  <c r="N20" i="4"/>
  <c r="N13" i="4"/>
  <c r="B17" i="4"/>
  <c r="B14" i="4"/>
  <c r="B13" i="4"/>
  <c r="B15" i="4"/>
  <c r="B20" i="4"/>
  <c r="B18" i="4"/>
  <c r="B16" i="4"/>
  <c r="B11" i="4"/>
  <c r="B19" i="4"/>
  <c r="B12" i="4"/>
  <c r="L15" i="4"/>
  <c r="L17" i="4"/>
  <c r="L16" i="4"/>
  <c r="L13" i="4"/>
  <c r="L18" i="4"/>
  <c r="L11" i="4"/>
  <c r="AT11" i="4" s="1"/>
  <c r="L19" i="4"/>
  <c r="L14" i="4"/>
  <c r="L12" i="4"/>
  <c r="L20" i="4"/>
  <c r="AT20" i="4" s="1"/>
  <c r="V20" i="4"/>
  <c r="V16" i="4"/>
  <c r="V12" i="4"/>
  <c r="V18" i="4"/>
  <c r="V13" i="4"/>
  <c r="V19" i="4"/>
  <c r="V15" i="4"/>
  <c r="V11" i="4"/>
  <c r="V14" i="4"/>
  <c r="V17" i="4"/>
  <c r="T13" i="4"/>
  <c r="T12" i="4"/>
  <c r="T20" i="4"/>
  <c r="T14" i="4"/>
  <c r="T18" i="4"/>
  <c r="T19" i="4"/>
  <c r="T15" i="4"/>
  <c r="T16" i="4"/>
  <c r="T17" i="4"/>
  <c r="T11" i="4"/>
  <c r="H20" i="4"/>
  <c r="H17" i="4"/>
  <c r="H18" i="4"/>
  <c r="H19" i="4"/>
  <c r="H15" i="4"/>
  <c r="H12" i="4"/>
  <c r="H16" i="4"/>
  <c r="H11" i="4"/>
  <c r="H13" i="4"/>
  <c r="H14" i="4"/>
  <c r="R17" i="4"/>
  <c r="R16" i="4"/>
  <c r="R12" i="4"/>
  <c r="R20" i="4"/>
  <c r="R18" i="4"/>
  <c r="R11" i="4"/>
  <c r="R19" i="4"/>
  <c r="R14" i="4"/>
  <c r="R15" i="4"/>
  <c r="R13" i="4"/>
  <c r="I3" i="4" l="1" a="1"/>
  <c r="I3" i="4" s="1"/>
  <c r="I4" i="4" a="1"/>
  <c r="I4" i="4" s="1"/>
  <c r="I7" i="4" a="1"/>
  <c r="I7" i="4" s="1"/>
  <c r="I5" i="4" a="1"/>
  <c r="I5" i="4" s="1"/>
  <c r="AS20" i="4"/>
  <c r="B148" i="4"/>
  <c r="B149" i="4" a="1"/>
  <c r="B149" i="4" s="1"/>
  <c r="AQ18" i="4"/>
  <c r="AT19" i="4"/>
  <c r="AS16" i="4"/>
  <c r="AT17" i="4"/>
  <c r="AQ19" i="4"/>
  <c r="AQ11" i="4"/>
  <c r="AS12" i="4"/>
  <c r="AT13" i="4"/>
  <c r="AT12" i="4"/>
  <c r="AT18" i="4"/>
  <c r="AT15" i="4"/>
  <c r="AS11" i="4"/>
  <c r="AQ17" i="4"/>
  <c r="AQ15" i="4"/>
  <c r="AQ12" i="4"/>
  <c r="AS19" i="4"/>
  <c r="AR11" i="4"/>
  <c r="AO15" i="4"/>
  <c r="AP13" i="4"/>
  <c r="AR19" i="4"/>
  <c r="AO11" i="4"/>
  <c r="AP19" i="4"/>
  <c r="AR16" i="4"/>
  <c r="AR18" i="4"/>
  <c r="AO16" i="4"/>
  <c r="AO13" i="4"/>
  <c r="AP20" i="4"/>
  <c r="AP11" i="4"/>
  <c r="AQ16" i="4"/>
  <c r="AQ13" i="4"/>
  <c r="AS14" i="4"/>
  <c r="AS17" i="4"/>
  <c r="AT16" i="4"/>
  <c r="AW13" i="4"/>
  <c r="AW11" i="4"/>
  <c r="AW16" i="4"/>
  <c r="AY11" i="4"/>
  <c r="AY18" i="4"/>
  <c r="AU16" i="4"/>
  <c r="AT14" i="4"/>
  <c r="AS13" i="4"/>
  <c r="AS15" i="4"/>
  <c r="AV14" i="4"/>
  <c r="AU19" i="4"/>
  <c r="AR14" i="4"/>
  <c r="AR12" i="4"/>
  <c r="AR17" i="4"/>
  <c r="AO12" i="4"/>
  <c r="AO18" i="4"/>
  <c r="AO14" i="4"/>
  <c r="AP15" i="4"/>
  <c r="AP12" i="4"/>
  <c r="AP17" i="4"/>
  <c r="AQ14" i="4"/>
  <c r="AQ20" i="4"/>
  <c r="AS18" i="4"/>
  <c r="AR13" i="4"/>
  <c r="AR15" i="4"/>
  <c r="AR20" i="4"/>
  <c r="AY14" i="4"/>
  <c r="AY13" i="4"/>
  <c r="AO19" i="4"/>
  <c r="AO20" i="4"/>
  <c r="AO17" i="4"/>
  <c r="AP18" i="4"/>
  <c r="AP14" i="4"/>
  <c r="AP16" i="4"/>
  <c r="AW15" i="4"/>
  <c r="AW18" i="4"/>
  <c r="AW17" i="4"/>
  <c r="AX17" i="4"/>
  <c r="AX18" i="4"/>
  <c r="AX13" i="4"/>
  <c r="AY15" i="4"/>
  <c r="AY12" i="4"/>
  <c r="AU18" i="4"/>
  <c r="AU13" i="4"/>
  <c r="AW19" i="4"/>
  <c r="AW12" i="4"/>
  <c r="AX15" i="4"/>
  <c r="AX20" i="4"/>
  <c r="AY20" i="4"/>
  <c r="AV17" i="4"/>
  <c r="AV20" i="4"/>
  <c r="AU11" i="4"/>
  <c r="AV19" i="4"/>
  <c r="AV13" i="4"/>
  <c r="AV16" i="4"/>
  <c r="AW14" i="4"/>
  <c r="AW20" i="4"/>
  <c r="AX16" i="4"/>
  <c r="AX14" i="4"/>
  <c r="AY17" i="4"/>
  <c r="AY19" i="4"/>
  <c r="AY16" i="4"/>
  <c r="AV18" i="4"/>
  <c r="AU12" i="4"/>
  <c r="AU15" i="4"/>
  <c r="AU17" i="4"/>
  <c r="AX11" i="4"/>
  <c r="AX19" i="4"/>
  <c r="AX12" i="4"/>
  <c r="AV15" i="4"/>
  <c r="AV11" i="4"/>
  <c r="AV12" i="4"/>
  <c r="AU20" i="4"/>
</calcChain>
</file>

<file path=xl/sharedStrings.xml><?xml version="1.0" encoding="utf-8"?>
<sst xmlns="http://schemas.openxmlformats.org/spreadsheetml/2006/main" count="8806" uniqueCount="1474">
  <si>
    <t>India</t>
  </si>
  <si>
    <t>USA</t>
  </si>
  <si>
    <t>Pakistan</t>
  </si>
  <si>
    <t>Analyst</t>
  </si>
  <si>
    <t>Germany</t>
  </si>
  <si>
    <t>Ukraine</t>
  </si>
  <si>
    <t>Portugal</t>
  </si>
  <si>
    <t>Ireland</t>
  </si>
  <si>
    <t>Hungary</t>
  </si>
  <si>
    <t>Switzerland</t>
  </si>
  <si>
    <t>South Africa</t>
  </si>
  <si>
    <t>Manager</t>
  </si>
  <si>
    <t>Belgium</t>
  </si>
  <si>
    <t>Russia</t>
  </si>
  <si>
    <t>Specialist</t>
  </si>
  <si>
    <t>UK</t>
  </si>
  <si>
    <t>Romania</t>
  </si>
  <si>
    <t>Poland</t>
  </si>
  <si>
    <t>Australia</t>
  </si>
  <si>
    <t>Canada</t>
  </si>
  <si>
    <t>France</t>
  </si>
  <si>
    <t>Saudi Arabia</t>
  </si>
  <si>
    <t>Brazil</t>
  </si>
  <si>
    <t>Mexico</t>
  </si>
  <si>
    <t>Greece</t>
  </si>
  <si>
    <t>Singapore</t>
  </si>
  <si>
    <t>UAE</t>
  </si>
  <si>
    <t>Colombia</t>
  </si>
  <si>
    <t>Turkey</t>
  </si>
  <si>
    <t>Engineer</t>
  </si>
  <si>
    <t>Thailand</t>
  </si>
  <si>
    <t>Accountant</t>
  </si>
  <si>
    <t>Philippines</t>
  </si>
  <si>
    <t>Consultant</t>
  </si>
  <si>
    <t>Dubai</t>
  </si>
  <si>
    <t>Israel</t>
  </si>
  <si>
    <t>Bangladesh</t>
  </si>
  <si>
    <t>Sweden</t>
  </si>
  <si>
    <t>Controller</t>
  </si>
  <si>
    <t>iran</t>
  </si>
  <si>
    <t>Finland</t>
  </si>
  <si>
    <t>Norway</t>
  </si>
  <si>
    <t>Spain</t>
  </si>
  <si>
    <t>Netherlands</t>
  </si>
  <si>
    <t>Japan</t>
  </si>
  <si>
    <t>New Zealand</t>
  </si>
  <si>
    <t>Guyana</t>
  </si>
  <si>
    <t>china</t>
  </si>
  <si>
    <t>Sri Lanka</t>
  </si>
  <si>
    <t>Indonesia</t>
  </si>
  <si>
    <t>Cambodia</t>
  </si>
  <si>
    <t>Lithuania</t>
  </si>
  <si>
    <t>Egypt</t>
  </si>
  <si>
    <t>Bhutan</t>
  </si>
  <si>
    <t>Nigeria</t>
  </si>
  <si>
    <t>Denmark</t>
  </si>
  <si>
    <t>italy</t>
  </si>
  <si>
    <t>Croatia</t>
  </si>
  <si>
    <t>Europe</t>
  </si>
  <si>
    <t>Uruguay</t>
  </si>
  <si>
    <t>Aruba</t>
  </si>
  <si>
    <t>Qatar</t>
  </si>
  <si>
    <t>Viet Nam</t>
  </si>
  <si>
    <t xml:space="preserve">Kuwait </t>
  </si>
  <si>
    <t>Czech Republic</t>
  </si>
  <si>
    <t>Zimbabwe</t>
  </si>
  <si>
    <t>Slovenia</t>
  </si>
  <si>
    <t>Albania</t>
  </si>
  <si>
    <t>Zambia</t>
  </si>
  <si>
    <t>malaysia</t>
  </si>
  <si>
    <t>Asia</t>
  </si>
  <si>
    <t>Paraguay</t>
  </si>
  <si>
    <t>Kuwait</t>
  </si>
  <si>
    <t>Montenegro</t>
  </si>
  <si>
    <t>Republica Dominicana</t>
  </si>
  <si>
    <t>Argentina</t>
  </si>
  <si>
    <t>Kenya</t>
  </si>
  <si>
    <t>Latin America</t>
  </si>
  <si>
    <t>Mongolia</t>
  </si>
  <si>
    <t>Myanmar</t>
  </si>
  <si>
    <t>Uganda</t>
  </si>
  <si>
    <t>CEE</t>
  </si>
  <si>
    <t>Ghana</t>
  </si>
  <si>
    <t>Austria</t>
  </si>
  <si>
    <t>Bolivia</t>
  </si>
  <si>
    <t>Vietnam</t>
  </si>
  <si>
    <t>MYS</t>
  </si>
  <si>
    <t>Libya</t>
  </si>
  <si>
    <t>Bulgaria</t>
  </si>
  <si>
    <t>Peru</t>
  </si>
  <si>
    <t>Morocco</t>
  </si>
  <si>
    <t>Lesotho</t>
  </si>
  <si>
    <t>Mauritius</t>
  </si>
  <si>
    <t>Azerbaijan</t>
  </si>
  <si>
    <t>Slovakia</t>
  </si>
  <si>
    <t>Tunisia</t>
  </si>
  <si>
    <t>Armenia</t>
  </si>
  <si>
    <t>Hong Kong</t>
  </si>
  <si>
    <t>Baltic</t>
  </si>
  <si>
    <t>Ethiopia</t>
  </si>
  <si>
    <t>Oman</t>
  </si>
  <si>
    <t>Unique ID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</si>
  <si>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</si>
  <si>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</si>
  <si>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</si>
  <si>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</si>
  <si>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</si>
  <si>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</si>
  <si>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</si>
  <si>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</si>
  <si>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</si>
  <si>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</si>
  <si>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</si>
  <si>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</si>
  <si>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</si>
  <si>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</si>
  <si>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</si>
  <si>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</si>
  <si>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</si>
  <si>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</si>
  <si>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</si>
  <si>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</si>
  <si>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</si>
  <si>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</si>
  <si>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</si>
  <si>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</si>
  <si>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</si>
  <si>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</si>
  <si>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</si>
  <si>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</si>
  <si>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</si>
  <si>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</si>
  <si>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</si>
  <si>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</si>
  <si>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</si>
  <si>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</si>
  <si>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</si>
  <si>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</si>
  <si>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</si>
  <si>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</si>
  <si>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</si>
  <si>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</si>
  <si>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</si>
  <si>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</si>
  <si>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</si>
  <si>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</si>
  <si>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</si>
  <si>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</si>
  <si>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</si>
  <si>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</si>
  <si>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</si>
  <si>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</si>
  <si>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</si>
  <si>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</si>
  <si>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</si>
  <si>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</si>
  <si>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</si>
  <si>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</si>
  <si>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</si>
  <si>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</si>
  <si>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</si>
  <si>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</si>
  <si>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</si>
  <si>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</si>
  <si>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</si>
  <si>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</si>
  <si>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</si>
  <si>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</si>
  <si>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</si>
  <si>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</si>
  <si>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</si>
  <si>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</si>
  <si>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</si>
  <si>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</si>
  <si>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</si>
  <si>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</si>
  <si>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</si>
  <si>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</si>
  <si>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</si>
  <si>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</si>
  <si>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</si>
  <si>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</si>
  <si>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</si>
  <si>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</si>
  <si>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</si>
  <si>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</si>
  <si>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</si>
  <si>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</si>
  <si>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</si>
  <si>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</si>
  <si>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</si>
  <si>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</si>
  <si>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</si>
  <si>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</si>
  <si>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</si>
  <si>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</si>
  <si>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</si>
  <si>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</si>
  <si>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</si>
  <si>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</si>
  <si>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</si>
  <si>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</si>
  <si>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</si>
  <si>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</si>
  <si>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</si>
  <si>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</si>
  <si>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</si>
  <si>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</si>
  <si>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</si>
  <si>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</si>
  <si>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</si>
  <si>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</si>
  <si>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</si>
  <si>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</si>
  <si>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</si>
  <si>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</si>
  <si>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</si>
  <si>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</si>
  <si>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</si>
  <si>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</si>
  <si>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</si>
  <si>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</si>
  <si>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</si>
  <si>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</si>
  <si>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</si>
  <si>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</si>
  <si>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</si>
  <si>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</si>
  <si>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</si>
  <si>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</si>
  <si>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</si>
  <si>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</si>
  <si>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</si>
  <si>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</si>
  <si>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</si>
  <si>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</si>
  <si>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</si>
  <si>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</si>
  <si>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</si>
  <si>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</si>
  <si>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</si>
  <si>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</si>
  <si>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</si>
  <si>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</si>
  <si>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</si>
  <si>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</si>
  <si>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</si>
  <si>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</si>
  <si>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</si>
  <si>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</si>
  <si>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</si>
  <si>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</si>
  <si>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</si>
  <si>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</si>
  <si>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</si>
  <si>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</si>
  <si>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</si>
  <si>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</si>
  <si>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</si>
  <si>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</si>
  <si>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</si>
  <si>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</si>
  <si>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</si>
  <si>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</si>
  <si>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</si>
  <si>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</si>
  <si>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</si>
  <si>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</si>
  <si>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</si>
  <si>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</si>
  <si>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</si>
  <si>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</si>
  <si>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</si>
  <si>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</si>
  <si>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</si>
  <si>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</si>
  <si>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</si>
  <si>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</si>
  <si>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</si>
  <si>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</si>
  <si>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</si>
  <si>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</si>
  <si>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</si>
  <si>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</si>
  <si>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</si>
  <si>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</si>
  <si>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</si>
  <si>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</si>
  <si>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</si>
  <si>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</si>
  <si>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</si>
  <si>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</si>
  <si>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</si>
  <si>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</si>
  <si>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</si>
  <si>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</si>
  <si>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</si>
  <si>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</si>
  <si>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</si>
  <si>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</si>
  <si>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</si>
  <si>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</si>
  <si>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</si>
  <si>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</si>
  <si>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</si>
  <si>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</si>
  <si>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</si>
  <si>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</si>
  <si>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</si>
  <si>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</si>
  <si>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</si>
  <si>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</si>
  <si>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</si>
  <si>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</si>
  <si>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</si>
  <si>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</si>
  <si>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</si>
  <si>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</si>
  <si>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</si>
  <si>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</si>
  <si>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</si>
  <si>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</si>
  <si>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</si>
  <si>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</si>
  <si>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</si>
  <si>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</si>
  <si>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</si>
  <si>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</si>
  <si>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</si>
  <si>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</si>
  <si>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</si>
  <si>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</si>
  <si>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</si>
  <si>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</si>
  <si>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</si>
  <si>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</si>
  <si>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</si>
  <si>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</si>
  <si>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</si>
  <si>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</si>
  <si>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</si>
  <si>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</si>
  <si>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</si>
  <si>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</si>
  <si>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</si>
  <si>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</si>
  <si>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</si>
  <si>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</si>
  <si>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</si>
  <si>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</si>
  <si>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</si>
  <si>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</si>
  <si>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</si>
  <si>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</si>
  <si>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</si>
  <si>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</si>
  <si>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</si>
  <si>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</si>
  <si>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</si>
  <si>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</si>
  <si>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</si>
  <si>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</si>
  <si>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</si>
  <si>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</si>
  <si>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</si>
  <si>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</si>
  <si>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</si>
  <si>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</si>
  <si>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</si>
  <si>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</si>
  <si>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</si>
  <si>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</si>
  <si>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</si>
  <si>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</si>
  <si>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</si>
  <si>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</si>
  <si>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</si>
  <si>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</si>
  <si>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</si>
  <si>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</si>
  <si>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</si>
  <si>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</si>
  <si>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</si>
  <si>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</si>
  <si>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</si>
  <si>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</si>
  <si>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</si>
  <si>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</si>
  <si>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</si>
  <si>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</si>
  <si>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</si>
  <si>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</si>
  <si>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</si>
  <si>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</si>
  <si>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</si>
  <si>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</si>
  <si>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</si>
  <si>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</si>
  <si>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</si>
  <si>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</si>
  <si>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</si>
  <si>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</si>
  <si>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</si>
  <si>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</si>
  <si>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</si>
  <si>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</si>
  <si>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</si>
  <si>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</si>
  <si>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</si>
  <si>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</si>
  <si>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</si>
  <si>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</si>
  <si>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</si>
  <si>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</si>
  <si>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</si>
  <si>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</si>
  <si>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</si>
  <si>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</si>
  <si>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</si>
  <si>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</si>
  <si>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</si>
  <si>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</si>
  <si>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</si>
  <si>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</si>
  <si>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</si>
  <si>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</si>
  <si>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</si>
  <si>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</si>
  <si>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</si>
  <si>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</si>
  <si>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</si>
  <si>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</si>
  <si>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</si>
  <si>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</si>
  <si>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</si>
  <si>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</si>
  <si>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</si>
  <si>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</si>
  <si>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</si>
  <si>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</si>
  <si>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</si>
  <si>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</si>
  <si>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</si>
  <si>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</si>
  <si>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</si>
  <si>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</si>
  <si>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</si>
  <si>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</si>
  <si>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</si>
  <si>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</si>
  <si>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</si>
  <si>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</si>
  <si>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</si>
  <si>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</si>
  <si>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</si>
  <si>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</si>
  <si>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</si>
  <si>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</si>
  <si>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</si>
  <si>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</si>
  <si>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</si>
  <si>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</si>
  <si>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</si>
  <si>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</si>
  <si>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</si>
  <si>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</si>
  <si>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</si>
  <si>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</si>
  <si>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</si>
  <si>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</si>
  <si>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</si>
  <si>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</si>
  <si>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</si>
  <si>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</si>
  <si>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</si>
  <si>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</si>
  <si>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</si>
  <si>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</si>
  <si>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</si>
  <si>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</si>
  <si>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</si>
  <si>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</si>
  <si>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</si>
  <si>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</si>
  <si>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</si>
  <si>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</si>
  <si>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</si>
  <si>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</si>
  <si>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</si>
  <si>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</si>
  <si>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</si>
  <si>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</si>
  <si>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</si>
  <si>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</si>
  <si>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</si>
  <si>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</si>
  <si>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</si>
  <si>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</si>
  <si>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</si>
  <si>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</si>
  <si>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</si>
  <si>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</si>
  <si>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</si>
  <si>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</si>
  <si>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</si>
  <si>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</si>
  <si>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</si>
  <si>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</si>
  <si>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</si>
  <si>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</si>
  <si>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</si>
  <si>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</si>
  <si>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</si>
  <si>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</si>
  <si>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</si>
  <si>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</si>
  <si>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</si>
  <si>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</si>
  <si>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</si>
  <si>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</si>
  <si>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</si>
  <si>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</si>
  <si>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</si>
  <si>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</si>
  <si>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</si>
  <si>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</si>
  <si>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</si>
  <si>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</si>
  <si>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</si>
  <si>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</si>
  <si>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</si>
  <si>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</si>
  <si>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</si>
  <si>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</si>
  <si>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</si>
  <si>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</si>
  <si>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</si>
  <si>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</si>
  <si>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</si>
  <si>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</si>
  <si>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</si>
  <si>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</si>
  <si>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</si>
  <si>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</si>
  <si>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</si>
  <si>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</si>
  <si>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</si>
  <si>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</si>
  <si>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</si>
  <si>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</si>
  <si>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</si>
  <si>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</si>
  <si>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</si>
  <si>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</si>
  <si>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</si>
  <si>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</si>
  <si>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</si>
  <si>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</si>
  <si>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</si>
  <si>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</si>
  <si>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</si>
  <si>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</si>
  <si>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</si>
  <si>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</si>
  <si>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</si>
  <si>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</si>
  <si>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</si>
  <si>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</si>
  <si>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</si>
  <si>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</si>
  <si>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</si>
  <si>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</si>
  <si>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</si>
  <si>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</si>
  <si>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</si>
  <si>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</si>
  <si>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</si>
  <si>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</si>
  <si>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</si>
  <si>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</si>
  <si>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</si>
  <si>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</si>
  <si>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</si>
  <si>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</si>
  <si>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</si>
  <si>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</si>
  <si>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</si>
  <si>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</si>
  <si>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</si>
  <si>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</si>
  <si>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</si>
  <si>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</si>
  <si>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</si>
  <si>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</si>
  <si>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</si>
  <si>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</si>
  <si>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</si>
  <si>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</si>
  <si>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</si>
  <si>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</si>
  <si>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</si>
  <si>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</si>
  <si>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</si>
  <si>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</si>
  <si>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</si>
  <si>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</si>
  <si>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</si>
  <si>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</si>
  <si>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</si>
  <si>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</si>
  <si>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</si>
  <si>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</si>
  <si>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</si>
  <si>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</si>
  <si>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</si>
  <si>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</si>
  <si>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</si>
  <si>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</si>
  <si>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</si>
  <si>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</si>
  <si>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</si>
  <si>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</si>
  <si>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</si>
  <si>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</si>
  <si>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</si>
  <si>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</si>
  <si>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</si>
  <si>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</si>
  <si>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</si>
  <si>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</si>
  <si>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</si>
  <si>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</si>
  <si>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</si>
  <si>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</si>
  <si>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</si>
  <si>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</si>
  <si>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</si>
  <si>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</si>
  <si>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</si>
  <si>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</si>
  <si>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</si>
  <si>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</si>
  <si>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</si>
  <si>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</si>
  <si>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</si>
  <si>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</si>
  <si>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</si>
  <si>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</si>
  <si>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</si>
  <si>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</si>
  <si>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</si>
  <si>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</si>
  <si>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</si>
  <si>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</si>
  <si>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</si>
  <si>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</si>
  <si>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</si>
  <si>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</si>
  <si>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</si>
  <si>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</si>
  <si>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</si>
  <si>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</si>
  <si>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</si>
  <si>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</si>
  <si>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</si>
  <si>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</si>
  <si>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</si>
  <si>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</si>
  <si>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</si>
  <si>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</si>
  <si>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</si>
  <si>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</si>
  <si>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</si>
  <si>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</si>
  <si>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</si>
  <si>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</si>
  <si>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</si>
  <si>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</si>
  <si>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</si>
  <si>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</si>
  <si>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</si>
  <si>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</si>
  <si>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</si>
  <si>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</si>
  <si>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</si>
  <si>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</si>
  <si>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</si>
  <si>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</si>
  <si>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</si>
  <si>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</si>
  <si>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</si>
  <si>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</si>
  <si>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</si>
  <si>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</si>
  <si>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</si>
  <si>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</si>
  <si>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</si>
  <si>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</si>
  <si>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</si>
  <si>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</si>
  <si>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</si>
  <si>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</si>
  <si>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</si>
  <si>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</si>
  <si>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</si>
  <si>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</si>
  <si>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</si>
  <si>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</si>
  <si>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</si>
  <si>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</si>
  <si>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</si>
  <si>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</si>
  <si>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</si>
  <si>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</si>
  <si>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</si>
  <si>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</si>
  <si>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</si>
  <si>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</si>
  <si>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</si>
  <si>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</si>
  <si>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</si>
  <si>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</si>
  <si>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</si>
  <si>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</si>
  <si>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</si>
  <si>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</si>
  <si>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</si>
  <si>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</si>
  <si>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</si>
  <si>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</si>
  <si>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</si>
  <si>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</si>
  <si>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</si>
  <si>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</si>
  <si>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</si>
  <si>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</si>
  <si>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</si>
  <si>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</si>
  <si>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</si>
  <si>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</si>
  <si>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</si>
  <si>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</si>
  <si>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</si>
  <si>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</si>
  <si>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</si>
  <si>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</si>
  <si>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</si>
  <si>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</si>
  <si>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</si>
  <si>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</si>
  <si>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</si>
  <si>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</si>
  <si>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</si>
  <si>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</si>
  <si>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</si>
  <si>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</si>
  <si>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</si>
  <si>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</si>
  <si>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</si>
  <si>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</si>
  <si>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</si>
  <si>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</si>
  <si>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</si>
  <si>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</si>
  <si>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</si>
  <si>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</si>
  <si>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</si>
  <si>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</si>
  <si>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</si>
  <si>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</si>
  <si>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</si>
  <si>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</si>
  <si>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</si>
  <si>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</si>
  <si>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</si>
  <si>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</si>
  <si>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</si>
  <si>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</si>
  <si>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</si>
  <si>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</si>
  <si>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</si>
  <si>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</si>
  <si>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</si>
  <si>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</si>
  <si>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</si>
  <si>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</si>
  <si>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</si>
  <si>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</si>
  <si>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</si>
  <si>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</si>
  <si>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</si>
  <si>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</si>
  <si>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</si>
  <si>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</si>
  <si>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</si>
  <si>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</si>
  <si>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</si>
  <si>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</si>
  <si>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</si>
  <si>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</si>
  <si>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</si>
  <si>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</si>
  <si>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</si>
  <si>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</si>
  <si>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</si>
  <si>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</si>
  <si>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</si>
  <si>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</si>
  <si>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</si>
  <si>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</si>
  <si>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</si>
  <si>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</si>
  <si>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</si>
  <si>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</si>
  <si>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</si>
  <si>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</si>
  <si>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</si>
  <si>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</si>
  <si>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</si>
  <si>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</si>
  <si>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</si>
  <si>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</si>
  <si>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</si>
  <si>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</si>
  <si>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</si>
  <si>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</si>
  <si>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</si>
  <si>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</si>
  <si>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</si>
  <si>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</si>
  <si>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</si>
  <si>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</si>
  <si>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</si>
  <si>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</si>
  <si>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</si>
  <si>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</si>
  <si>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</si>
  <si>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</si>
  <si>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</si>
  <si>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</si>
  <si>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</si>
  <si>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</si>
  <si>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</si>
  <si>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</si>
  <si>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</si>
  <si>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</si>
  <si>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</si>
  <si>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</si>
  <si>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</si>
  <si>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</si>
  <si>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</si>
  <si>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</si>
  <si>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</si>
  <si>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</si>
  <si>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</si>
  <si>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</si>
  <si>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</si>
  <si>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</si>
  <si>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</si>
  <si>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</si>
  <si>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</si>
  <si>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</si>
  <si>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</si>
  <si>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</si>
  <si>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</si>
  <si>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</si>
  <si>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</si>
  <si>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</si>
  <si>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</si>
  <si>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</si>
  <si>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</si>
  <si>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</si>
  <si>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</si>
  <si>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</si>
  <si>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</si>
  <si>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</si>
  <si>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</si>
  <si>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</si>
  <si>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</si>
  <si>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</si>
  <si>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</si>
  <si>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</si>
  <si>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</si>
  <si>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</si>
  <si>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</si>
  <si>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</si>
  <si>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</si>
  <si>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</si>
  <si>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</si>
  <si>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</si>
  <si>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</si>
  <si>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</si>
  <si>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</si>
  <si>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</si>
  <si>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</si>
  <si>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</si>
  <si>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</si>
  <si>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</si>
  <si>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</si>
  <si>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</si>
  <si>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</si>
  <si>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</si>
  <si>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</si>
  <si>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</si>
  <si>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</si>
  <si>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</si>
  <si>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</si>
  <si>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</si>
  <si>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</si>
  <si>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</si>
  <si>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</si>
  <si>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</si>
  <si>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</si>
  <si>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</si>
  <si>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</si>
  <si>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</si>
  <si>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</si>
  <si>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</si>
  <si>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</si>
  <si>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</si>
  <si>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</si>
  <si>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</si>
  <si>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</si>
  <si>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</si>
  <si>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</si>
  <si>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</si>
  <si>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</si>
  <si>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</si>
  <si>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</si>
  <si>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</si>
  <si>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</si>
  <si>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</si>
  <si>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</si>
  <si>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</si>
  <si>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</si>
  <si>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</si>
  <si>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</si>
  <si>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</si>
  <si>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</si>
  <si>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</si>
  <si>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</si>
  <si>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</si>
  <si>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</si>
  <si>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</si>
  <si>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</si>
  <si>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</si>
  <si>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</si>
  <si>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</si>
  <si>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</si>
  <si>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</si>
  <si>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</si>
  <si>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</si>
  <si>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</si>
  <si>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</si>
  <si>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</si>
  <si>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</si>
  <si>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</si>
  <si>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</si>
  <si>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</si>
  <si>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</si>
  <si>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</si>
  <si>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</si>
  <si>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</si>
  <si>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</si>
  <si>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</si>
  <si>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</si>
  <si>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</si>
  <si>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</si>
  <si>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</si>
  <si>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</si>
  <si>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</si>
  <si>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</si>
  <si>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</si>
  <si>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</si>
  <si>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</si>
  <si>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</si>
  <si>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</si>
  <si>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</si>
  <si>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</si>
  <si>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</si>
  <si>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</si>
  <si>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</si>
  <si>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</si>
  <si>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</si>
  <si>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</si>
  <si>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</si>
  <si>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</si>
  <si>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</si>
  <si>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</si>
  <si>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</si>
  <si>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</si>
  <si>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</si>
  <si>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</si>
  <si>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</si>
  <si>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</si>
  <si>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</si>
  <si>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</si>
  <si>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</si>
  <si>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</si>
  <si>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</si>
  <si>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</si>
  <si>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</si>
  <si>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</si>
  <si>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</si>
  <si>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</si>
  <si>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</si>
  <si>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</si>
  <si>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</si>
  <si>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</si>
  <si>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</si>
  <si>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</si>
  <si>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</si>
  <si>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</si>
  <si>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</si>
  <si>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</si>
  <si>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</si>
  <si>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</si>
  <si>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</si>
  <si>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</si>
  <si>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</si>
  <si>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</si>
  <si>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</si>
  <si>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</si>
  <si>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</si>
  <si>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</si>
  <si>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</si>
  <si>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</si>
  <si>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</si>
  <si>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</si>
  <si>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</si>
  <si>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</si>
  <si>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</si>
  <si>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</si>
  <si>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</si>
  <si>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</si>
  <si>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</si>
  <si>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</si>
  <si>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</si>
  <si>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</si>
  <si>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</si>
  <si>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</si>
  <si>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</si>
  <si>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</si>
  <si>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</si>
  <si>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</si>
  <si>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</si>
  <si>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</si>
  <si>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</si>
  <si>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</si>
  <si>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</si>
  <si>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</si>
  <si>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</si>
  <si>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</si>
  <si>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</si>
  <si>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</si>
  <si>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</si>
  <si>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</si>
  <si>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</si>
  <si>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</si>
  <si>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</si>
  <si>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</si>
  <si>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</si>
  <si>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</si>
  <si>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</si>
  <si>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</si>
  <si>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</si>
  <si>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</si>
  <si>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</si>
  <si>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</si>
  <si>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</si>
  <si>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</si>
  <si>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</si>
  <si>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</si>
  <si>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</si>
  <si>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</si>
  <si>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</si>
  <si>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</si>
  <si>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</si>
  <si>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</si>
  <si>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</si>
  <si>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</si>
  <si>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</si>
  <si>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</si>
  <si>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</si>
  <si>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</si>
  <si>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</si>
  <si>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</si>
  <si>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</si>
  <si>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</si>
  <si>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</si>
  <si>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</si>
  <si>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</si>
  <si>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</si>
  <si>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</si>
  <si>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</si>
  <si>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</si>
  <si>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</si>
  <si>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</si>
  <si>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</si>
  <si>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</si>
  <si>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</si>
  <si>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</si>
  <si>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</si>
  <si>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</si>
  <si>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</si>
  <si>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</si>
  <si>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</si>
  <si>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</si>
  <si>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</si>
  <si>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</si>
  <si>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</si>
  <si>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</si>
  <si>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</si>
  <si>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</si>
  <si>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</si>
  <si>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</si>
  <si>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</si>
  <si>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</si>
  <si>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</si>
  <si>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</si>
  <si>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</si>
  <si>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</si>
  <si>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</si>
  <si>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</si>
  <si>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</si>
  <si>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</si>
  <si>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</si>
  <si>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</si>
  <si>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</si>
  <si>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</si>
  <si>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</si>
  <si>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</si>
  <si>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</si>
  <si>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</si>
  <si>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</si>
  <si>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</si>
  <si>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</si>
  <si>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</si>
  <si>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</si>
  <si>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</si>
  <si>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</si>
  <si>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</si>
  <si>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</si>
  <si>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</si>
  <si>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</si>
  <si>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</si>
  <si>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</si>
  <si>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</si>
  <si>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</si>
  <si>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</si>
  <si>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</si>
  <si>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</si>
  <si>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</si>
  <si>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</si>
  <si>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</si>
  <si>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</si>
  <si>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</si>
  <si>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</si>
  <si>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</si>
  <si>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</si>
  <si>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</si>
  <si>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</si>
  <si>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</si>
  <si>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</si>
  <si>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</si>
  <si>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</si>
  <si>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</si>
  <si>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</si>
  <si>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</si>
  <si>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</si>
  <si>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</si>
  <si>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</si>
  <si>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</si>
  <si>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</si>
  <si>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</si>
  <si>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</si>
  <si>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</si>
  <si>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</si>
  <si>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</si>
  <si>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</si>
  <si>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</si>
  <si>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</si>
  <si>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</si>
  <si>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</si>
  <si>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</si>
  <si>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</si>
  <si>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</si>
  <si>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</si>
  <si>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</si>
  <si>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</si>
  <si>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</si>
  <si>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</si>
  <si>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</si>
  <si>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</si>
  <si>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</si>
  <si>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</si>
  <si>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</si>
  <si>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</si>
  <si>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</si>
  <si>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</si>
  <si>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</si>
  <si>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</si>
  <si>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</si>
  <si>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</si>
  <si>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</si>
  <si>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</si>
  <si>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</si>
  <si>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</si>
  <si>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</si>
  <si>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</si>
  <si>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</si>
  <si>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</si>
  <si>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</si>
  <si>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</si>
  <si>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</si>
  <si>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</si>
  <si>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</si>
  <si>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</si>
  <si>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</si>
  <si>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</si>
  <si>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</si>
  <si>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</si>
  <si>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</si>
  <si>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</si>
  <si>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</si>
  <si>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</si>
  <si>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</si>
  <si>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</si>
  <si>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</si>
  <si>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</si>
  <si>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</si>
  <si>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</si>
  <si>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</si>
  <si>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</si>
  <si>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</si>
  <si>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</si>
  <si>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</si>
  <si>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</si>
  <si>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</si>
  <si>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</si>
  <si>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</si>
  <si>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</si>
  <si>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</si>
  <si>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</si>
  <si>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</si>
  <si>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</si>
  <si>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</si>
  <si>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</si>
  <si>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</si>
  <si>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</si>
  <si>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</si>
  <si>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</si>
  <si>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</si>
  <si>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</si>
  <si>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</si>
  <si>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</si>
  <si>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</si>
  <si>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</si>
  <si>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</si>
  <si>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</si>
  <si>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</si>
  <si>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</si>
  <si>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</si>
  <si>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</si>
  <si>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</si>
  <si>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</si>
  <si>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</si>
  <si>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</si>
  <si>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</si>
  <si>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</si>
  <si>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</si>
  <si>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</si>
  <si>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</si>
  <si>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</si>
  <si>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</si>
  <si>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</si>
  <si>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</si>
  <si>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</si>
  <si>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</si>
  <si>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</si>
  <si>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</si>
  <si>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</si>
  <si>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</si>
  <si>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</si>
  <si>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</si>
  <si>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</si>
  <si>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</si>
  <si>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</si>
  <si>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</si>
  <si>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</si>
  <si>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</si>
  <si>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</si>
  <si>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</si>
  <si>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</si>
  <si>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</si>
  <si>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</si>
  <si>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</si>
  <si>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</si>
  <si>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</si>
  <si>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</si>
  <si>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</si>
  <si>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</si>
  <si>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</si>
  <si>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</si>
  <si>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</si>
  <si>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</si>
  <si>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</si>
  <si>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</si>
  <si>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</si>
  <si>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</si>
  <si>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</si>
  <si>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</si>
  <si>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</si>
  <si>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</si>
  <si>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</si>
  <si>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</si>
  <si>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</si>
  <si>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</si>
  <si>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</si>
  <si>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</si>
  <si>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</si>
  <si>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</si>
  <si>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</si>
  <si>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</si>
  <si>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</si>
  <si>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</si>
  <si>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</si>
  <si>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</si>
  <si>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</si>
  <si>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</si>
  <si>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</si>
  <si>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</si>
  <si>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</si>
  <si>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</si>
  <si>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</si>
  <si>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</si>
  <si>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</si>
  <si>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</si>
  <si>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</si>
  <si>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</si>
  <si>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</si>
  <si>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</si>
  <si>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</si>
  <si>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</si>
  <si>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</si>
  <si>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</si>
  <si>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</si>
  <si>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</si>
  <si>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</si>
  <si>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</si>
  <si>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</si>
  <si>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</si>
  <si>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</si>
  <si>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</si>
  <si>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</si>
  <si>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</si>
  <si>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</si>
  <si>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</si>
  <si>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</si>
  <si>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</si>
  <si>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</si>
  <si>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</si>
  <si>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</si>
  <si>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</si>
  <si>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</si>
  <si>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</si>
  <si>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</si>
  <si>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</si>
  <si>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</si>
  <si>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</si>
  <si>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</si>
  <si>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</si>
  <si>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</si>
  <si>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</si>
  <si>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</si>
  <si>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</si>
  <si>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</si>
  <si>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</si>
  <si>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</si>
  <si>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</si>
  <si>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</si>
  <si>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</si>
  <si>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</si>
  <si>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</si>
  <si>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</si>
  <si>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</si>
  <si>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</si>
  <si>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</si>
  <si>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</si>
  <si>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</si>
  <si>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</si>
  <si>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</si>
  <si>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</si>
  <si>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</si>
  <si>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</si>
  <si>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</si>
  <si>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</si>
  <si>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</si>
  <si>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</si>
  <si>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</si>
  <si>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</si>
  <si>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</si>
  <si>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</si>
  <si>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</si>
  <si>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</si>
  <si>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</si>
  <si>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</si>
  <si>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</si>
  <si>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</si>
  <si>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</si>
  <si>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</si>
  <si>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</si>
  <si>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</si>
  <si>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</si>
  <si>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</si>
  <si>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</si>
  <si>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</si>
  <si>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</si>
  <si>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</si>
  <si>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</si>
  <si>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</si>
  <si>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</si>
  <si>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</si>
  <si>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</si>
  <si>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</si>
  <si>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</si>
  <si>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</si>
  <si>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</si>
  <si>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</si>
  <si>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</si>
  <si>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</si>
  <si>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</si>
  <si>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</si>
  <si>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</si>
  <si>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Salary in USD</t>
  </si>
  <si>
    <t>Years of Experience</t>
  </si>
  <si>
    <t>Job Type</t>
  </si>
  <si>
    <t>Reporting</t>
  </si>
  <si>
    <t>Misc.</t>
  </si>
  <si>
    <t>CXO or Top Mgmt.</t>
  </si>
  <si>
    <t>8 hours</t>
  </si>
  <si>
    <t>4 to 6 hours</t>
  </si>
  <si>
    <t>1 to 2 hours</t>
  </si>
  <si>
    <t>2 to 3 hours</t>
  </si>
  <si>
    <t>Cleaned Data</t>
  </si>
  <si>
    <t>0 to 5 years</t>
  </si>
  <si>
    <t>10 to 20 years</t>
  </si>
  <si>
    <t>5 to 10 years</t>
  </si>
  <si>
    <t>20 to 30 years</t>
  </si>
  <si>
    <t>More than 30</t>
  </si>
  <si>
    <t>Country</t>
  </si>
  <si>
    <t>ROW</t>
  </si>
  <si>
    <t>Region</t>
  </si>
  <si>
    <t>Other Europe</t>
  </si>
  <si>
    <t>Other Asia</t>
  </si>
  <si>
    <t>Chart Type</t>
  </si>
  <si>
    <t>Work Hour per day on Excel</t>
  </si>
  <si>
    <t>x axis</t>
  </si>
  <si>
    <t>Title</t>
  </si>
  <si>
    <t>Data Type</t>
  </si>
  <si>
    <t>2nd Level Data</t>
  </si>
  <si>
    <t>3rd Level Data</t>
  </si>
  <si>
    <t>Total</t>
  </si>
  <si>
    <t>y axis</t>
  </si>
  <si>
    <t>Min</t>
  </si>
  <si>
    <t>Max</t>
  </si>
  <si>
    <t>Average</t>
  </si>
  <si>
    <t>Count</t>
  </si>
  <si>
    <t>Average Salary</t>
  </si>
  <si>
    <t>Max Salary</t>
  </si>
  <si>
    <t>Min Salary</t>
  </si>
  <si>
    <t>Selected</t>
  </si>
  <si>
    <t>*Click on column headers to view the respective Bar Chart</t>
  </si>
  <si>
    <t>Key Observations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</si>
</sst>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1">
    <xf numFmtId="0" fontId="0" fillId="0" borderId="0" xfId="0"/>
    <xf numFmtId="0" fontId="1" fillId="0" borderId="0" xfId="0" applyFont="1" applyAlignment="1"/>
    <xf numFmtId="164" fontId="0" fillId="0" borderId="0" xfId="1" applyNumberFormat="1" applyFont="1"/>
    <xf numFmtId="0" fontId="0" fillId="0" borderId="0" xfId="0" applyAlignment="1">
      <alignment horizontal="center" vertical="center" wrapText="1"/>
    </xf>
    <xf numFmtId="0" fontId="4" fillId="0" borderId="0" xfId="0" applyFont="1" applyFill="1" applyAlignment="1">
      <alignment horizontal="left" vertical="center" textRotation="90" wrapText="1"/>
    </xf>
    <xf numFmtId="0" fontId="7" fillId="0" borderId="0" xfId="0" applyFont="1" applyFill="1" applyBorder="1" applyAlignment="1">
      <alignment vertical="center" wrapText="1"/>
    </xf>
    <xf numFmtId="164" fontId="5" fillId="0" borderId="0" xfId="1" applyNumberFormat="1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64" fontId="3" fillId="0" borderId="0" xfId="0" applyNumberFormat="1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Alignment="1">
      <alignment vertical="center"/>
    </xf>
    <xf numFmtId="0" fontId="0" fillId="0" borderId="0" xfId="0" applyBorder="1"/>
    <xf numFmtId="0" fontId="3" fillId="3" borderId="0" xfId="0" applyFont="1" applyFill="1" applyAlignment="1">
      <alignment vertical="center"/>
    </xf>
    <xf numFmtId="164" fontId="3" fillId="3" borderId="0" xfId="1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164" fontId="3" fillId="3" borderId="0" xfId="0" applyNumberFormat="1" applyFont="1" applyFill="1" applyAlignment="1">
      <alignment vertical="center"/>
    </xf>
    <xf numFmtId="6" fontId="8" fillId="0" borderId="0" xfId="1" applyNumberFormat="1" applyFont="1" applyBorder="1" applyAlignment="1">
      <alignment horizontal="center" vertical="center"/>
    </xf>
    <xf numFmtId="6" fontId="3" fillId="3" borderId="0" xfId="1" applyNumberFormat="1" applyFont="1" applyFill="1" applyAlignment="1">
      <alignment vertical="center"/>
    </xf>
    <xf numFmtId="0" fontId="0" fillId="0" borderId="0" xfId="0" applyAlignment="1"/>
    <xf numFmtId="8" fontId="3" fillId="3" borderId="0" xfId="0" applyNumberFormat="1" applyFont="1" applyFill="1" applyAlignment="1">
      <alignment vertical="center"/>
    </xf>
    <xf numFmtId="0" fontId="7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 wrapText="1"/>
    </xf>
    <xf numFmtId="0" fontId="11" fillId="0" borderId="8" xfId="0" applyFont="1" applyFill="1" applyBorder="1" applyAlignment="1">
      <alignment horizontal="left" vertical="center" wrapText="1"/>
    </xf>
    <xf numFmtId="0" fontId="11" fillId="0" borderId="9" xfId="0" applyFont="1" applyFill="1" applyBorder="1" applyAlignment="1">
      <alignment horizontal="left" vertical="center" wrapText="1"/>
    </xf>
    <xf numFmtId="0" fontId="11" fillId="0" borderId="10" xfId="0" applyFont="1" applyFill="1" applyBorder="1" applyAlignment="1">
      <alignment horizontal="left" vertical="center" wrapText="1"/>
    </xf>
    <xf numFmtId="0" fontId="11" fillId="0" borderId="11" xfId="0" applyFont="1" applyFill="1" applyBorder="1" applyAlignment="1">
      <alignment horizontal="left" vertical="center" wrapText="1"/>
    </xf>
  </cellXfs>
  <cellStyles count="2">
    <cellStyle name="Comma" xfId="1" builtinId="3"/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alignment horizontal="center" vertical="center" textRotation="0" wrapText="1" indent="0" justifyLastLine="0" shrinkToFit="0" readingOrder="0"/>
    </dxf>
    <dxf>
      <font>
        <strike/>
        <color theme="1" tint="0.499984740745262"/>
      </font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 patternType="solid">
          <fgColor auto="1"/>
          <bgColor theme="9" tint="0.3999450666829432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  <border>
        <right style="thin">
          <color auto="1"/>
        </right>
      </border>
    </dxf>
    <dxf>
      <font>
        <color theme="0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8" tint="0.39994506668294322"/>
        </patternFill>
      </fill>
      <border>
        <right style="thin">
          <color auto="1"/>
        </right>
      </border>
    </dxf>
    <dxf>
      <fill>
        <patternFill patternType="none">
          <bgColor auto="1"/>
        </patternFill>
      </fill>
      <border>
        <left style="hair">
          <color auto="1"/>
        </left>
        <right style="thin">
          <color auto="1"/>
        </right>
        <vertical/>
        <horizontal/>
      </border>
    </dxf>
    <dxf>
      <font>
        <b/>
        <i val="0"/>
        <color auto="1"/>
      </font>
      <fill>
        <patternFill>
          <bgColor theme="8" tint="-0.24994659260841701"/>
        </patternFill>
      </fill>
      <border>
        <left style="thin">
          <color auto="1"/>
        </left>
      </border>
    </dxf>
  </dxfs>
  <tableStyles count="0" defaultTableStyle="TableStyleMedium2" defaultPivotStyle="PivotStyleLight16"/>
  <colors>
    <mruColors>
      <color rgb="FFFF9999"/>
      <color rgb="FFFF0000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1807895491064"/>
          <c:y val="5.232891952288439E-2"/>
          <c:w val="0.6715319621115271"/>
          <c:h val="0.9329389122351299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Analysis!$AO$10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Analysis!chartdata1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Analysis!$AP$10</c:f>
              <c:strCache>
                <c:ptCount val="1"/>
                <c:pt idx="0">
                  <c:v>Australia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[0]!chartdata2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Analysis!$AQ$10</c:f>
              <c:strCache>
                <c:ptCount val="1"/>
                <c:pt idx="0">
                  <c:v>USA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[0]!chartdata3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3"/>
          <c:order val="3"/>
          <c:tx>
            <c:strRef>
              <c:f>Analysis!$AR$10</c:f>
              <c:strCache>
                <c:ptCount val="1"/>
                <c:pt idx="0">
                  <c:v>Canada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[0]!chartdata4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4"/>
          <c:order val="4"/>
          <c:tx>
            <c:strRef>
              <c:f>Analysis!$AS$10</c:f>
              <c:strCache>
                <c:ptCount val="1"/>
                <c:pt idx="0">
                  <c:v>UK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[0]!chartdata5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5"/>
          <c:order val="5"/>
          <c:tx>
            <c:strRef>
              <c:f>Analysis!$AT$10</c:f>
              <c:strCache>
                <c:ptCount val="1"/>
                <c:pt idx="0">
                  <c:v>Other Europe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[0]!chartdata6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6"/>
          <c:order val="6"/>
          <c:tx>
            <c:strRef>
              <c:f>Analysis!$AU$10</c:f>
              <c:strCache>
                <c:ptCount val="1"/>
                <c:pt idx="0">
                  <c:v>ROW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[0]!chartdata7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7"/>
          <c:order val="7"/>
          <c:tx>
            <c:strRef>
              <c:f>Analysis!$AV$10</c:f>
              <c:strCache>
                <c:ptCount val="1"/>
                <c:pt idx="0">
                  <c:v>Other Asia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[0]!chartdata8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8"/>
          <c:order val="8"/>
          <c:tx>
            <c:strRef>
              <c:f>Analysis!$AW$10</c:f>
              <c:strCache>
                <c:ptCount val="1"/>
                <c:pt idx="0">
                  <c:v>India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[0]!chartdata9</c:f>
              <c:numCache>
                <c:formatCode>"$"#,##0_);[Red]\("$"#,##0\)</c:formatCode>
                <c:ptCount val="10"/>
                <c:pt idx="0">
                  <c:v>31032.550022437972</c:v>
                </c:pt>
                <c:pt idx="1">
                  <c:v>10468.177151120017</c:v>
                </c:pt>
                <c:pt idx="2">
                  <c:v>14851.586023939944</c:v>
                </c:pt>
                <c:pt idx="3">
                  <c:v>31759.895859303211</c:v>
                </c:pt>
                <c:pt idx="4">
                  <c:v>12724.546715414121</c:v>
                </c:pt>
                <c:pt idx="5">
                  <c:v>10725.16857884118</c:v>
                </c:pt>
                <c:pt idx="6">
                  <c:v>8863.6591214067066</c:v>
                </c:pt>
                <c:pt idx="7">
                  <c:v>15529.153395511199</c:v>
                </c:pt>
                <c:pt idx="8">
                  <c:v>17551.33488143489</c:v>
                </c:pt>
                <c:pt idx="9">
                  <c:v>10474.5749755384</c:v>
                </c:pt>
              </c:numCache>
            </c:numRef>
          </c:val>
        </c:ser>
        <c:ser>
          <c:idx val="9"/>
          <c:order val="9"/>
          <c:tx>
            <c:strRef>
              <c:f>Analysis!$AX$10</c:f>
              <c:strCache>
                <c:ptCount val="1"/>
                <c:pt idx="0">
                  <c:v>Pakistan</c:v>
                </c:pt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[0]!chartdata10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0"/>
          <c:order val="10"/>
          <c:tx>
            <c:strRef>
              <c:f>Analysis!$AY$10</c:f>
              <c:strCache>
                <c:ptCount val="1"/>
              </c:strCache>
            </c:strRef>
          </c:tx>
          <c:invertIfNegative val="0"/>
          <c:dLbls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Analysis!chartrange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Accountant</c:v>
                </c:pt>
                <c:pt idx="7">
                  <c:v>Manager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[0]!chartdata11</c:f>
              <c:numCache>
                <c:formatCode>"$"#,##0_);[Red]\("$"#,##0\)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56125824"/>
        <c:axId val="171345408"/>
      </c:barChart>
      <c:catAx>
        <c:axId val="156125824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71345408"/>
        <c:crosses val="autoZero"/>
        <c:auto val="1"/>
        <c:lblAlgn val="ctr"/>
        <c:lblOffset val="100"/>
        <c:noMultiLvlLbl val="0"/>
      </c:catAx>
      <c:valAx>
        <c:axId val="171345408"/>
        <c:scaling>
          <c:orientation val="minMax"/>
        </c:scaling>
        <c:delete val="1"/>
        <c:axPos val="t"/>
        <c:numFmt formatCode="&quot;$&quot;#,##0_);[Red]\(&quot;$&quot;#,##0\)" sourceLinked="1"/>
        <c:majorTickMark val="out"/>
        <c:minorTickMark val="none"/>
        <c:tickLblPos val="nextTo"/>
        <c:crossAx val="1561258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13500000">
        <a:prstClr val="black">
          <a:alpha val="50000"/>
        </a:prstClr>
      </a:innerShdw>
    </a:effec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16" fmlaLink="$C$135" fmlaRange="$B$136:$B$139" val="0"/>
</file>

<file path=xl/ctrlProps/ctrlProp2.xml><?xml version="1.0" encoding="utf-8"?>
<formControlPr xmlns="http://schemas.microsoft.com/office/spreadsheetml/2009/9/main" objectType="List" dx="16" fmlaLink="$F$141" fmlaRange="$E$142:$E$144" val="0"/>
</file>

<file path=xl/ctrlProps/ctrlProp3.xml><?xml version="1.0" encoding="utf-8"?>
<formControlPr xmlns="http://schemas.microsoft.com/office/spreadsheetml/2009/9/main" objectType="Radio" checked="Checked" firstButton="1" fmlaLink="$C$141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200027</xdr:colOff>
      <xdr:row>9</xdr:row>
      <xdr:rowOff>295276</xdr:rowOff>
    </xdr:from>
    <xdr:to>
      <xdr:col>27</xdr:col>
      <xdr:colOff>28575</xdr:colOff>
      <xdr:row>19</xdr:row>
      <xdr:rowOff>266700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1</xdr:row>
          <xdr:rowOff>171450</xdr:rowOff>
        </xdr:from>
        <xdr:to>
          <xdr:col>2</xdr:col>
          <xdr:colOff>180975</xdr:colOff>
          <xdr:row>3</xdr:row>
          <xdr:rowOff>257175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</xdr:row>
          <xdr:rowOff>171450</xdr:rowOff>
        </xdr:from>
        <xdr:to>
          <xdr:col>6</xdr:col>
          <xdr:colOff>190500</xdr:colOff>
          <xdr:row>3</xdr:row>
          <xdr:rowOff>257175</xdr:rowOff>
        </xdr:to>
        <xdr:sp macro="" textlink="">
          <xdr:nvSpPr>
            <xdr:cNvPr id="1026" name="List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5</xdr:row>
          <xdr:rowOff>66675</xdr:rowOff>
        </xdr:from>
        <xdr:to>
          <xdr:col>1</xdr:col>
          <xdr:colOff>142875</xdr:colOff>
          <xdr:row>7</xdr:row>
          <xdr:rowOff>66675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Average Salary ($)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200025</xdr:colOff>
          <xdr:row>5</xdr:row>
          <xdr:rowOff>66675</xdr:rowOff>
        </xdr:from>
        <xdr:to>
          <xdr:col>3</xdr:col>
          <xdr:colOff>504825</xdr:colOff>
          <xdr:row>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 Salary ($)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5</xdr:row>
          <xdr:rowOff>66675</xdr:rowOff>
        </xdr:from>
        <xdr:to>
          <xdr:col>6</xdr:col>
          <xdr:colOff>238125</xdr:colOff>
          <xdr:row>7</xdr:row>
          <xdr:rowOff>66675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Salary ($)</a:t>
              </a:r>
              <a:endParaRPr lang="en-US"/>
            </a:p>
          </xdr:txBody>
        </xdr:sp>
        <xdr:clientData/>
      </xdr:twoCellAnchor>
    </mc:Choice>
    <mc:Fallback/>
  </mc:AlternateContent>
  <xdr:twoCellAnchor editAs="absolute">
    <xdr:from>
      <xdr:col>23</xdr:col>
      <xdr:colOff>9525</xdr:colOff>
      <xdr:row>9</xdr:row>
      <xdr:rowOff>352426</xdr:rowOff>
    </xdr:from>
    <xdr:to>
      <xdr:col>26</xdr:col>
      <xdr:colOff>701040</xdr:colOff>
      <xdr:row>19</xdr:row>
      <xdr:rowOff>276226</xdr:rowOff>
    </xdr:to>
    <xdr:sp macro="" textlink="">
      <xdr:nvSpPr>
        <xdr:cNvPr id="2" name="Rectangle 1"/>
        <xdr:cNvSpPr/>
      </xdr:nvSpPr>
      <xdr:spPr>
        <a:xfrm>
          <a:off x="9667875" y="1933576"/>
          <a:ext cx="2834640" cy="2857500"/>
        </a:xfrm>
        <a:prstGeom prst="rect">
          <a:avLst/>
        </a:prstGeom>
        <a:noFill/>
        <a:ln w="9525">
          <a:solidFill>
            <a:schemeClr val="bg1">
              <a:lumMod val="50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57150</xdr:colOff>
      <xdr:row>0</xdr:row>
      <xdr:rowOff>16669</xdr:rowOff>
    </xdr:from>
    <xdr:to>
      <xdr:col>0</xdr:col>
      <xdr:colOff>742950</xdr:colOff>
      <xdr:row>1</xdr:row>
      <xdr:rowOff>161925</xdr:rowOff>
    </xdr:to>
    <xdr:sp macro="" textlink="">
      <xdr:nvSpPr>
        <xdr:cNvPr id="9" name="TextBox 8"/>
        <xdr:cNvSpPr txBox="1"/>
      </xdr:nvSpPr>
      <xdr:spPr>
        <a:xfrm>
          <a:off x="57150" y="16669"/>
          <a:ext cx="685800" cy="230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Level</a:t>
          </a:r>
          <a:r>
            <a:rPr lang="en-US" sz="1200" b="1" baseline="0">
              <a:solidFill>
                <a:schemeClr val="bg1"/>
              </a:solidFill>
            </a:rPr>
            <a:t> 1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238124</xdr:colOff>
      <xdr:row>0</xdr:row>
      <xdr:rowOff>30955</xdr:rowOff>
    </xdr:from>
    <xdr:to>
      <xdr:col>4</xdr:col>
      <xdr:colOff>238124</xdr:colOff>
      <xdr:row>1</xdr:row>
      <xdr:rowOff>152399</xdr:rowOff>
    </xdr:to>
    <xdr:sp macro="" textlink="">
      <xdr:nvSpPr>
        <xdr:cNvPr id="10" name="TextBox 9"/>
        <xdr:cNvSpPr txBox="1"/>
      </xdr:nvSpPr>
      <xdr:spPr>
        <a:xfrm>
          <a:off x="1714499" y="30955"/>
          <a:ext cx="790575" cy="207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Level</a:t>
          </a:r>
          <a:r>
            <a:rPr lang="en-US" sz="1200" b="1" baseline="0">
              <a:solidFill>
                <a:schemeClr val="bg1"/>
              </a:solidFill>
            </a:rPr>
            <a:t> 2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723900</xdr:colOff>
      <xdr:row>1</xdr:row>
      <xdr:rowOff>36672</xdr:rowOff>
    </xdr:from>
    <xdr:to>
      <xdr:col>2</xdr:col>
      <xdr:colOff>190500</xdr:colOff>
      <xdr:row>1</xdr:row>
      <xdr:rowOff>82391</xdr:rowOff>
    </xdr:to>
    <xdr:sp macro="" textlink="">
      <xdr:nvSpPr>
        <xdr:cNvPr id="11" name="Right Arrow 10"/>
        <xdr:cNvSpPr/>
      </xdr:nvSpPr>
      <xdr:spPr>
        <a:xfrm>
          <a:off x="723900" y="122397"/>
          <a:ext cx="942975" cy="45719"/>
        </a:xfrm>
        <a:prstGeom prst="rightArrow">
          <a:avLst/>
        </a:prstGeom>
        <a:solidFill>
          <a:schemeClr val="bg2">
            <a:lumMod val="2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43460</xdr:colOff>
      <xdr:row>4</xdr:row>
      <xdr:rowOff>7144</xdr:rowOff>
    </xdr:from>
    <xdr:to>
      <xdr:col>1</xdr:col>
      <xdr:colOff>489937</xdr:colOff>
      <xdr:row>5</xdr:row>
      <xdr:rowOff>114300</xdr:rowOff>
    </xdr:to>
    <xdr:sp macro="" textlink="">
      <xdr:nvSpPr>
        <xdr:cNvPr id="13" name="TextBox 12"/>
        <xdr:cNvSpPr txBox="1"/>
      </xdr:nvSpPr>
      <xdr:spPr>
        <a:xfrm>
          <a:off x="43460" y="826294"/>
          <a:ext cx="1408502" cy="250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Data Type</a:t>
          </a:r>
        </a:p>
      </xdr:txBody>
    </xdr:sp>
    <xdr:clientData/>
  </xdr:twoCellAnchor>
  <xdr:twoCellAnchor editAs="absolute">
    <xdr:from>
      <xdr:col>20</xdr:col>
      <xdr:colOff>66675</xdr:colOff>
      <xdr:row>1</xdr:row>
      <xdr:rowOff>0</xdr:rowOff>
    </xdr:from>
    <xdr:to>
      <xdr:col>26</xdr:col>
      <xdr:colOff>697230</xdr:colOff>
      <xdr:row>8</xdr:row>
      <xdr:rowOff>1</xdr:rowOff>
    </xdr:to>
    <xdr:sp macro="" textlink="">
      <xdr:nvSpPr>
        <xdr:cNvPr id="4" name="Folded Corner 3"/>
        <xdr:cNvSpPr/>
      </xdr:nvSpPr>
      <xdr:spPr>
        <a:xfrm>
          <a:off x="8658225" y="85725"/>
          <a:ext cx="3840480" cy="1304926"/>
        </a:xfrm>
        <a:prstGeom prst="foldedCorner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900"/>
        </a:p>
      </xdr:txBody>
    </xdr:sp>
    <xdr:clientData/>
  </xdr:twoCellAnchor>
  <xdr:twoCellAnchor editAs="absolute">
    <xdr:from>
      <xdr:col>20</xdr:col>
      <xdr:colOff>28575</xdr:colOff>
      <xdr:row>1</xdr:row>
      <xdr:rowOff>57150</xdr:rowOff>
    </xdr:from>
    <xdr:to>
      <xdr:col>27</xdr:col>
      <xdr:colOff>57150</xdr:colOff>
      <xdr:row>7</xdr:row>
      <xdr:rowOff>36246</xdr:rowOff>
    </xdr:to>
    <xdr:sp macro="" textlink="">
      <xdr:nvSpPr>
        <xdr:cNvPr id="5" name="TextBox 4"/>
        <xdr:cNvSpPr txBox="1"/>
      </xdr:nvSpPr>
      <xdr:spPr>
        <a:xfrm>
          <a:off x="8620125" y="142875"/>
          <a:ext cx="3952875" cy="1141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Notes:</a:t>
          </a:r>
          <a:endParaRPr lang="en-US">
            <a:solidFill>
              <a:sysClr val="windowText" lastClr="000000"/>
            </a:solidFill>
            <a:effectLst/>
          </a:endParaRPr>
        </a:p>
        <a:p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Select category from list box given in left corner for Level 1 and  Level 2</a:t>
          </a:r>
          <a:endParaRPr lang="en-US" sz="900">
            <a:solidFill>
              <a:sysClr val="windowText" lastClr="000000"/>
            </a:solidFill>
            <a:effectLst/>
          </a:endParaRPr>
        </a:p>
        <a:p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Select data type by clicking</a:t>
          </a:r>
          <a:r>
            <a:rPr lang="en-US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respective option button</a:t>
          </a:r>
          <a:endParaRPr lang="en-US" sz="900">
            <a:solidFill>
              <a:sysClr val="windowText" lastClr="000000"/>
            </a:solidFill>
            <a:effectLst/>
          </a:endParaRPr>
        </a:p>
        <a:p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Number mentioned alongside the salary represents the survey population for that particular group</a:t>
          </a:r>
          <a:endParaRPr lang="en-US" sz="900">
            <a:solidFill>
              <a:sysClr val="windowText" lastClr="000000"/>
            </a:solidFill>
            <a:effectLst/>
          </a:endParaRPr>
        </a:p>
        <a:p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Definition of region is given in "Country to Region"sheet</a:t>
          </a:r>
        </a:p>
        <a:p>
          <a:r>
            <a:rPr lang="en-US" sz="9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Years</a:t>
          </a:r>
          <a:r>
            <a:rPr lang="en-US" sz="9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of experience has been classified into five groups</a:t>
          </a:r>
          <a:endParaRPr lang="en-US" sz="9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34</xdr:col>
      <xdr:colOff>276225</xdr:colOff>
      <xdr:row>7</xdr:row>
      <xdr:rowOff>180975</xdr:rowOff>
    </xdr:from>
    <xdr:to>
      <xdr:col>52</xdr:col>
      <xdr:colOff>200025</xdr:colOff>
      <xdr:row>21</xdr:row>
      <xdr:rowOff>123825</xdr:rowOff>
    </xdr:to>
    <xdr:sp macro="" textlink="">
      <xdr:nvSpPr>
        <xdr:cNvPr id="6" name="Rectangle 5"/>
        <xdr:cNvSpPr/>
      </xdr:nvSpPr>
      <xdr:spPr>
        <a:xfrm>
          <a:off x="17792700" y="1362075"/>
          <a:ext cx="2724150" cy="37338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423863</xdr:colOff>
      <xdr:row>4</xdr:row>
      <xdr:rowOff>9525</xdr:rowOff>
    </xdr:from>
    <xdr:to>
      <xdr:col>7</xdr:col>
      <xdr:colOff>509588</xdr:colOff>
      <xdr:row>5</xdr:row>
      <xdr:rowOff>140970</xdr:rowOff>
    </xdr:to>
    <xdr:sp macro="" textlink="">
      <xdr:nvSpPr>
        <xdr:cNvPr id="16" name="Rectangle 15"/>
        <xdr:cNvSpPr/>
      </xdr:nvSpPr>
      <xdr:spPr>
        <a:xfrm>
          <a:off x="3757613" y="828675"/>
          <a:ext cx="85725" cy="27432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423863</xdr:colOff>
      <xdr:row>6</xdr:row>
      <xdr:rowOff>0</xdr:rowOff>
    </xdr:from>
    <xdr:to>
      <xdr:col>7</xdr:col>
      <xdr:colOff>509588</xdr:colOff>
      <xdr:row>8</xdr:row>
      <xdr:rowOff>6858</xdr:rowOff>
    </xdr:to>
    <xdr:sp macro="" textlink="">
      <xdr:nvSpPr>
        <xdr:cNvPr id="17" name="Rectangle 16"/>
        <xdr:cNvSpPr/>
      </xdr:nvSpPr>
      <xdr:spPr>
        <a:xfrm>
          <a:off x="3757613" y="1104900"/>
          <a:ext cx="85725" cy="292608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423863</xdr:colOff>
      <xdr:row>2</xdr:row>
      <xdr:rowOff>9525</xdr:rowOff>
    </xdr:from>
    <xdr:to>
      <xdr:col>7</xdr:col>
      <xdr:colOff>509588</xdr:colOff>
      <xdr:row>3</xdr:row>
      <xdr:rowOff>17145</xdr:rowOff>
    </xdr:to>
    <xdr:sp macro="" textlink="">
      <xdr:nvSpPr>
        <xdr:cNvPr id="18" name="Rectangle 17"/>
        <xdr:cNvSpPr/>
      </xdr:nvSpPr>
      <xdr:spPr>
        <a:xfrm>
          <a:off x="3757613" y="295275"/>
          <a:ext cx="85725" cy="27432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423863</xdr:colOff>
      <xdr:row>3</xdr:row>
      <xdr:rowOff>0</xdr:rowOff>
    </xdr:from>
    <xdr:to>
      <xdr:col>7</xdr:col>
      <xdr:colOff>509588</xdr:colOff>
      <xdr:row>4</xdr:row>
      <xdr:rowOff>7620</xdr:rowOff>
    </xdr:to>
    <xdr:sp macro="" textlink="">
      <xdr:nvSpPr>
        <xdr:cNvPr id="19" name="Rectangle 18"/>
        <xdr:cNvSpPr/>
      </xdr:nvSpPr>
      <xdr:spPr>
        <a:xfrm>
          <a:off x="3757613" y="552450"/>
          <a:ext cx="85725" cy="27432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blSalaries" displayName="tblSalaries" ref="B3:H1335" totalsRowShown="0" headerRowDxfId="4">
  <autoFilter ref="B3:H1335"/>
  <sortState ref="B6:M1888">
    <sortCondition ref="B5:B1888"/>
  </sortState>
  <tableColumns count="7">
    <tableColumn id="1" name="Unique ID"/>
    <tableColumn id="13" name="Salary in USD" dataDxfId="3" dataCellStyle="Comma"/>
    <tableColumn id="6" name="Job Type"/>
    <tableColumn id="10" name="Country" dataDxfId="2"/>
    <tableColumn id="4" name="Region" dataDxfId="1"/>
    <tableColumn id="9" name="Work Hour per day on Excel"/>
    <tableColumn id="12" name="Years of Experie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DK10066"/>
  <sheetViews>
    <sheetView showGridLines="0" showRowColHeaders="0" tabSelected="1" zoomScaleNormal="100" workbookViewId="0">
      <selection activeCell="R10" sqref="R10:S10"/>
    </sheetView>
  </sheetViews>
  <sheetFormatPr defaultColWidth="10.7109375" defaultRowHeight="0.2" customHeight="1" x14ac:dyDescent="0.25"/>
  <cols>
    <col min="1" max="1" width="14.42578125" style="8" customWidth="1"/>
    <col min="2" max="2" width="7.7109375" style="8" customWidth="1"/>
    <col min="3" max="3" width="4.140625" style="8" customWidth="1"/>
    <col min="4" max="4" width="7.7109375" style="8" customWidth="1"/>
    <col min="5" max="5" width="4.140625" style="8" customWidth="1"/>
    <col min="6" max="6" width="7.7109375" style="8" customWidth="1"/>
    <col min="7" max="7" width="4.140625" style="8" customWidth="1"/>
    <col min="8" max="8" width="7.7109375" style="8" customWidth="1"/>
    <col min="9" max="9" width="4.140625" style="8" customWidth="1"/>
    <col min="10" max="10" width="7.7109375" style="8" customWidth="1"/>
    <col min="11" max="11" width="4.140625" style="8" customWidth="1"/>
    <col min="12" max="12" width="7.7109375" style="8" customWidth="1"/>
    <col min="13" max="13" width="4.140625" style="8" customWidth="1"/>
    <col min="14" max="14" width="7.7109375" style="8" customWidth="1"/>
    <col min="15" max="15" width="4.140625" style="8" customWidth="1"/>
    <col min="16" max="16" width="7.7109375" style="8" customWidth="1"/>
    <col min="17" max="17" width="4.140625" style="8" customWidth="1"/>
    <col min="18" max="18" width="7.7109375" style="8" customWidth="1"/>
    <col min="19" max="19" width="4.140625" style="8" customWidth="1"/>
    <col min="20" max="20" width="7.7109375" style="8" customWidth="1"/>
    <col min="21" max="21" width="4.140625" style="8" customWidth="1"/>
    <col min="22" max="22" width="7.7109375" style="8" customWidth="1"/>
    <col min="23" max="23" width="4.140625" style="8" customWidth="1"/>
    <col min="24" max="35" width="10.7109375" style="8"/>
    <col min="36" max="51" width="1.28515625" style="8" customWidth="1"/>
    <col min="52" max="16384" width="10.7109375" style="8"/>
  </cols>
  <sheetData>
    <row r="1" spans="1:51" ht="6.75" customHeight="1" x14ac:dyDescent="0.25">
      <c r="A1" s="12"/>
      <c r="B1" s="13"/>
      <c r="C1" s="13"/>
      <c r="D1" s="13"/>
      <c r="E1" s="13"/>
      <c r="F1" s="13"/>
      <c r="G1" s="14"/>
      <c r="H1" s="7"/>
      <c r="I1" s="21"/>
      <c r="J1" s="21"/>
      <c r="K1" s="21"/>
      <c r="L1" s="21"/>
      <c r="M1" s="21"/>
      <c r="N1" s="21"/>
      <c r="O1" s="21"/>
      <c r="P1" s="21"/>
      <c r="Q1" s="21"/>
      <c r="R1" s="21"/>
    </row>
    <row r="2" spans="1:51" ht="15.75" customHeight="1" x14ac:dyDescent="0.25">
      <c r="A2" s="15"/>
      <c r="B2" s="16"/>
      <c r="C2" s="16"/>
      <c r="D2" s="16"/>
      <c r="E2" s="16"/>
      <c r="F2" s="16"/>
      <c r="G2" s="17"/>
      <c r="H2" s="7"/>
      <c r="I2" s="42" t="s">
        <v>1473</v>
      </c>
      <c r="J2" s="43"/>
      <c r="K2" s="43"/>
      <c r="L2" s="43"/>
      <c r="M2" s="43"/>
      <c r="N2" s="43"/>
      <c r="O2" s="43"/>
      <c r="P2" s="43"/>
      <c r="Q2" s="43"/>
      <c r="R2" s="43"/>
      <c r="S2" s="43"/>
      <c r="T2" s="44"/>
      <c r="U2" s="22"/>
      <c r="V2" s="24"/>
      <c r="W2"/>
      <c r="X2"/>
      <c r="Y2"/>
      <c r="Z2"/>
      <c r="AA2"/>
    </row>
    <row r="3" spans="1:51" ht="21" customHeight="1" x14ac:dyDescent="0.25">
      <c r="A3" s="15"/>
      <c r="B3" s="16"/>
      <c r="C3" s="16"/>
      <c r="D3" s="16"/>
      <c r="E3" s="16"/>
      <c r="F3" s="16"/>
      <c r="G3" s="17"/>
      <c r="H3" s="7"/>
      <c r="I3" s="34" t="str">
        <f t="array" ref="I3">"* "&amp;"Overall "&amp;INDEX($A$11:$A$20,MAX(IF($B$11:$C$20=MAX($B$11:$C$20),ROW($A$11:$A$20)-ROW($A$11)+1)),1)&amp;" ( "&amp;$F$136&amp;" ) getting Highest "&amp;$F$135&amp;" of "&amp;TEXT(MAX($B$11:$C$20),"$0,000")</f>
        <v>* Overall CXO or Top Mgmt. ( Job Type ) getting Highest Average Salary of $92,946</v>
      </c>
      <c r="J3" s="35"/>
      <c r="K3" s="35"/>
      <c r="L3" s="35"/>
      <c r="M3" s="35"/>
      <c r="N3" s="35"/>
      <c r="O3" s="35"/>
      <c r="P3" s="35"/>
      <c r="Q3" s="35"/>
      <c r="R3" s="35"/>
      <c r="S3" s="35"/>
      <c r="T3" s="36"/>
      <c r="U3" s="22"/>
      <c r="V3" s="24"/>
      <c r="W3"/>
      <c r="X3"/>
      <c r="Y3"/>
      <c r="Z3"/>
      <c r="AA3"/>
    </row>
    <row r="4" spans="1:51" ht="21" customHeight="1" x14ac:dyDescent="0.25">
      <c r="A4" s="15"/>
      <c r="B4" s="16"/>
      <c r="C4" s="16"/>
      <c r="D4" s="16"/>
      <c r="E4" s="16"/>
      <c r="F4" s="16"/>
      <c r="G4" s="17"/>
      <c r="H4" s="7"/>
      <c r="I4" s="34" t="str">
        <f t="array" ref="I4">"* "&amp;"Overall "&amp;INDEX($A$11:$A$20,MAX(IF($B$11:$C$20=MIN($B$11:$C$20),ROW($A$11:$A$20)-ROW($A$11)+1)),1)&amp;" ( "&amp;$F$136&amp;" ) getting Lowest "&amp;$F$135&amp;" of "&amp;TEXT(MIN($B$11:$C$20),"$0,000")</f>
        <v>* Overall Reporting ( Job Type ) getting Lowest Average Salary of $16,479</v>
      </c>
      <c r="J4" s="35"/>
      <c r="K4" s="35"/>
      <c r="L4" s="35"/>
      <c r="M4" s="35"/>
      <c r="N4" s="35"/>
      <c r="O4" s="35"/>
      <c r="P4" s="35"/>
      <c r="Q4" s="35"/>
      <c r="R4" s="35"/>
      <c r="S4" s="35"/>
      <c r="T4" s="36"/>
      <c r="U4" s="22"/>
      <c r="V4" s="24"/>
      <c r="W4"/>
      <c r="X4"/>
      <c r="Y4"/>
      <c r="Z4"/>
      <c r="AA4"/>
    </row>
    <row r="5" spans="1:51" ht="11.25" customHeight="1" x14ac:dyDescent="0.25">
      <c r="A5" s="15"/>
      <c r="B5" s="16"/>
      <c r="C5" s="16"/>
      <c r="D5" s="16"/>
      <c r="E5" s="16"/>
      <c r="F5" s="16"/>
      <c r="G5" s="17"/>
      <c r="H5" s="7"/>
      <c r="I5" s="45" t="str">
        <f t="array" ref="I5">"* "&amp;INDEX($A$11:$A$20,SUM(IF($D$11:$V$20=MAX($D$11:$V$20),ROW($A$11:$A$20)-ROW($A$11)+1)),1)&amp;" ( "&amp;$F$136&amp;" ) - "&amp;INDEX($D$10:$W$10,1,SUM(IF($D$11:$W$20=MAX($D$11:$V$20),COLUMN($D$10:$W$10)-COLUMN($D$10)+1)),1)&amp;" ( "&amp;INDEX($E$142:$E$144,$F$141)&amp;" ) getting Highest "&amp;$F$135&amp;" of "&amp;TEXT(MAX($D$11:$V$20),"$0,000")</f>
        <v>* Engineer ( Job Type ) - Australia ( Region ) getting Highest Average Salary of $163,695</v>
      </c>
      <c r="J5" s="46"/>
      <c r="K5" s="46"/>
      <c r="L5" s="46"/>
      <c r="M5" s="46"/>
      <c r="N5" s="46"/>
      <c r="O5" s="46"/>
      <c r="P5" s="46"/>
      <c r="Q5" s="46"/>
      <c r="R5" s="46"/>
      <c r="S5" s="46"/>
      <c r="T5" s="47"/>
      <c r="U5" s="22"/>
      <c r="V5" s="24"/>
      <c r="W5"/>
      <c r="X5"/>
      <c r="Y5"/>
      <c r="Z5"/>
      <c r="AA5"/>
    </row>
    <row r="6" spans="1:51" ht="11.25" customHeight="1" x14ac:dyDescent="0.25">
      <c r="A6" s="15"/>
      <c r="B6" s="16"/>
      <c r="C6" s="16"/>
      <c r="D6" s="16"/>
      <c r="E6" s="16"/>
      <c r="F6" s="16"/>
      <c r="G6" s="17"/>
      <c r="H6" s="7"/>
      <c r="I6" s="48"/>
      <c r="J6" s="49"/>
      <c r="K6" s="49"/>
      <c r="L6" s="49"/>
      <c r="M6" s="49"/>
      <c r="N6" s="49"/>
      <c r="O6" s="49"/>
      <c r="P6" s="49"/>
      <c r="Q6" s="49"/>
      <c r="R6" s="49"/>
      <c r="S6" s="49"/>
      <c r="T6" s="50"/>
      <c r="U6" s="22"/>
      <c r="V6" s="24"/>
      <c r="W6"/>
      <c r="X6"/>
      <c r="Y6"/>
      <c r="Z6"/>
      <c r="AA6"/>
    </row>
    <row r="7" spans="1:51" ht="11.25" customHeight="1" x14ac:dyDescent="0.25">
      <c r="A7" s="15"/>
      <c r="B7" s="16"/>
      <c r="C7" s="16"/>
      <c r="D7" s="16"/>
      <c r="E7" s="16"/>
      <c r="F7" s="16"/>
      <c r="G7" s="17"/>
      <c r="H7" s="7"/>
      <c r="I7" s="45" t="str">
        <f t="array" ref="I7">"* "&amp;INDEX($A$11:$A$20,SUM(IF($D$11:$V$20=MIN(IF($B$11:$V$20&gt;0,$B$11:$V$20)),ROW($A$11:$A$20)-ROW($A$11)+1)),1)&amp;" ( "&amp;$F$136&amp;" ) - "&amp;INDEX($D$10:$W$10,1,SUM(IF($D$11:$W$20=MIN(IF($B$11:$V$20&gt;0,$B$11:$V$20)),COLUMN($D$10:$W$10)-COLUMN($D$10)+1)),1)&amp;" ( "&amp;INDEX($E$142:$E$144,$F$141)&amp;" ) getting Lowest "&amp;$F$135&amp;" of "&amp;TEXT(MIN(IF($B$11:$V$20&gt;0,$B$11:$V$20)),"$0,000")</f>
        <v>* Reporting ( Job Type ) - Pakistan ( Region ) getting Lowest Average Salary of $1,911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7"/>
      <c r="U7" s="22"/>
      <c r="V7" s="24"/>
      <c r="W7"/>
      <c r="X7"/>
      <c r="Y7"/>
      <c r="Z7"/>
      <c r="AA7"/>
    </row>
    <row r="8" spans="1:51" ht="11.25" customHeight="1" x14ac:dyDescent="0.25">
      <c r="A8" s="18"/>
      <c r="B8" s="19"/>
      <c r="C8" s="19"/>
      <c r="D8" s="19"/>
      <c r="E8" s="19"/>
      <c r="F8" s="19"/>
      <c r="G8" s="20"/>
      <c r="H8" s="7"/>
      <c r="I8" s="48"/>
      <c r="J8" s="49"/>
      <c r="K8" s="49"/>
      <c r="L8" s="49"/>
      <c r="M8" s="49"/>
      <c r="N8" s="49"/>
      <c r="O8" s="49"/>
      <c r="P8" s="49"/>
      <c r="Q8" s="49"/>
      <c r="R8" s="49"/>
      <c r="S8" s="49"/>
      <c r="T8" s="50"/>
      <c r="U8" s="22"/>
      <c r="V8" s="24"/>
      <c r="W8"/>
      <c r="X8"/>
      <c r="Y8"/>
      <c r="Z8"/>
      <c r="AA8"/>
    </row>
    <row r="9" spans="1:51" ht="15" customHeight="1" x14ac:dyDescent="0.25">
      <c r="A9" s="23" t="s">
        <v>1472</v>
      </c>
      <c r="B9" s="7"/>
      <c r="C9" s="7"/>
      <c r="D9" s="7"/>
      <c r="E9" s="7"/>
      <c r="F9" s="7"/>
      <c r="G9" s="7"/>
      <c r="H9" s="7"/>
      <c r="I9" s="7"/>
      <c r="J9" s="7"/>
      <c r="L9" s="7"/>
      <c r="M9" s="7"/>
      <c r="N9" s="7"/>
      <c r="O9" s="7"/>
      <c r="P9" s="7"/>
    </row>
    <row r="10" spans="1:51" ht="28.5" customHeight="1" x14ac:dyDescent="0.25">
      <c r="A10" s="5" t="str">
        <f>VLOOKUP($C$135,$A$136:$B$139,2,0)</f>
        <v>Job Type</v>
      </c>
      <c r="B10" s="37" t="str">
        <f>IF(H142=0,"",H142)</f>
        <v>Total</v>
      </c>
      <c r="C10" s="37"/>
      <c r="D10" s="37" t="str">
        <f>IF(H143=0,"",H143)</f>
        <v>Australia</v>
      </c>
      <c r="E10" s="37"/>
      <c r="F10" s="37" t="str">
        <f>IF(H144=0,"",H144)</f>
        <v>USA</v>
      </c>
      <c r="G10" s="37"/>
      <c r="H10" s="37" t="str">
        <f>IF(H145=0,"",H145)</f>
        <v>Canada</v>
      </c>
      <c r="I10" s="37"/>
      <c r="J10" s="37" t="str">
        <f>IF(H146=0,"",H146)</f>
        <v>UK</v>
      </c>
      <c r="K10" s="37"/>
      <c r="L10" s="37" t="str">
        <f>IF(H147=0,"",H147)</f>
        <v>Other Europe</v>
      </c>
      <c r="M10" s="37"/>
      <c r="N10" s="37" t="str">
        <f>IF(H148=0,"",H148)</f>
        <v>ROW</v>
      </c>
      <c r="O10" s="37"/>
      <c r="P10" s="37" t="str">
        <f>IF(H149=0,"",H149)</f>
        <v>Other Asia</v>
      </c>
      <c r="Q10" s="37"/>
      <c r="R10" s="37" t="str">
        <f>IF(H150=0,"",H150)</f>
        <v>India</v>
      </c>
      <c r="S10" s="37"/>
      <c r="T10" s="37" t="str">
        <f>IF(H151=0,"",H151)</f>
        <v>Pakistan</v>
      </c>
      <c r="U10" s="37"/>
      <c r="V10" s="37" t="str">
        <f>IF(H152=0,"",H152)</f>
        <v/>
      </c>
      <c r="W10" s="37"/>
      <c r="X10" s="39" t="str">
        <f>$F$137</f>
        <v>Average Salary by Job Type ( India - Region )</v>
      </c>
      <c r="Y10" s="40"/>
      <c r="Z10" s="40"/>
      <c r="AA10" s="41"/>
      <c r="AJ10" s="25" t="s">
        <v>1471</v>
      </c>
      <c r="AK10" s="25" t="str">
        <f>IF(valRegionPicked="","Total",valRegionPicked)</f>
        <v>India</v>
      </c>
      <c r="AL10" s="25" t="s">
        <v>0</v>
      </c>
      <c r="AN10" s="25"/>
      <c r="AO10" s="25" t="str">
        <f>B10</f>
        <v>Total</v>
      </c>
      <c r="AP10" s="25" t="str">
        <f>D10</f>
        <v>Australia</v>
      </c>
      <c r="AQ10" s="25" t="str">
        <f>F10</f>
        <v>USA</v>
      </c>
      <c r="AR10" s="25" t="str">
        <f>H10</f>
        <v>Canada</v>
      </c>
      <c r="AS10" s="25" t="str">
        <f>J10</f>
        <v>UK</v>
      </c>
      <c r="AT10" s="25" t="str">
        <f>L10</f>
        <v>Other Europe</v>
      </c>
      <c r="AU10" s="25" t="str">
        <f>N10</f>
        <v>ROW</v>
      </c>
      <c r="AV10" s="25" t="str">
        <f>P10</f>
        <v>Other Asia</v>
      </c>
      <c r="AW10" s="25" t="str">
        <f>R10</f>
        <v>India</v>
      </c>
      <c r="AX10" s="25" t="str">
        <f>T10</f>
        <v>Pakistan</v>
      </c>
      <c r="AY10" s="25" t="str">
        <f>V10</f>
        <v/>
      </c>
    </row>
    <row r="11" spans="1:51" ht="22.5" customHeight="1" x14ac:dyDescent="0.25">
      <c r="A11" s="9" t="str">
        <f>IF(CHOOSE($C$135,C61,C82,C102,C119)=0,"",CHOOSE($C$135,C61,C82,C102,C119))</f>
        <v>CXO or Top Mgmt.</v>
      </c>
      <c r="B11" s="30">
        <f t="shared" ref="B11:B19" si="0">IFERROR(CHOOSE($C$135,HLOOKUP(B$10,$D$60:$V$70,$B61+1,0),HLOOKUP(B$10,$D$81:$W$90,$B82+1,0),HLOOKUP(B$10,$D$101:$AB$105,$B102+1,0),HLOOKUP(B$10,$D$118:$AA$123,$B119+1,0)),"")</f>
        <v>92945.903175288535</v>
      </c>
      <c r="C11" s="6" t="str">
        <f>IFERROR("("&amp;CHOOSE($C$135,HLOOKUP(B$10,$FE$60:$FW$70,$B61+1,0),HLOOKUP(B$10,$FH$81:$GA$90,$B82+1,0),HLOOKUP(B$10,$FW$101:$GU$105,$B102+1,0),HLOOKUP(B$10,$FT$118:$GQ$123,$B119+1,0))&amp;")","")</f>
        <v>(47)</v>
      </c>
      <c r="D11" s="30">
        <f t="shared" ref="D11:D19" si="1">IFERROR(CHOOSE($C$135,HLOOKUP(D$10,$D$60:$V$70,$B61+1,0),HLOOKUP(D$10,$D$81:$W$90,$B82+1,0),HLOOKUP(D$10,$D$101:$AB$105,$B102+1,0),HLOOKUP(D$10,$D$118:$AA$123,$B119+1,0)),"")</f>
        <v>99441.191499256995</v>
      </c>
      <c r="E11" s="6" t="str">
        <f>IFERROR("("&amp;CHOOSE($C$135,HLOOKUP(D$10,$FE$60:$FW$70,$B61+1,0),HLOOKUP(D$10,$FH$81:$GA$90,$B82+1,0),HLOOKUP(D$10,$FW$101:$GU$105,$B102+1,0),HLOOKUP(D$10,$FT$118:$GQ$123,$B119+1,0))&amp;")","")</f>
        <v>(2)</v>
      </c>
      <c r="F11" s="30">
        <f>IFERROR(CHOOSE($C$135,HLOOKUP(F$10,$D$60:$V$70,$B61+1,0),HLOOKUP(F$10,$D$81:$W$90,$B82+1,0),HLOOKUP(F$10,$D$101:$AB$105,$B102+1,0),HLOOKUP(F$10,$D$118:$AA$123,$B119+1,0)),"")</f>
        <v>139710.52631578947</v>
      </c>
      <c r="G11" s="6" t="str">
        <f>IFERROR("("&amp;CHOOSE($C$135,HLOOKUP(F$10,$FE$60:$FW$70,$B61+1,0),HLOOKUP(F$10,$FH$81:$GA$90,$B82+1,0),HLOOKUP(F$10,$FW$101:$GU$105,$B102+1,0),HLOOKUP(F$10,$FT$118:$GQ$123,$B119+1,0))&amp;")","")</f>
        <v>(19)</v>
      </c>
      <c r="H11" s="30">
        <f>IFERROR(CHOOSE($C$135,HLOOKUP(H$10,$D$60:$V$70,$B61+1,0),HLOOKUP(H$10,$D$81:$W$90,$B82+1,0),HLOOKUP(H$10,$D$101:$AB$105,$B102+1,0),HLOOKUP(H$10,$D$118:$AA$123,$B119+1,0)),"")</f>
        <v>98336.152303032693</v>
      </c>
      <c r="I11" s="6" t="str">
        <f>IFERROR("("&amp;CHOOSE($C$135,HLOOKUP(H$10,$FE$60:$FW$70,$B61+1,0),HLOOKUP(H$10,$FH$81:$GA$90,$B82+1,0),HLOOKUP(H$10,$FW$101:$GU$105,$B102+1,0),HLOOKUP(H$10,$FT$118:$GQ$123,$B119+1,0))&amp;")","")</f>
        <v>(1)</v>
      </c>
      <c r="J11" s="30">
        <f>IFERROR(CHOOSE($C$135,HLOOKUP(J$10,$D$60:$V$70,$B61+1,0),HLOOKUP(J$10,$D$81:$W$90,$B82+1,0),HLOOKUP(J$10,$D$101:$AB$105,$B102+1,0),HLOOKUP(J$10,$D$118:$AA$123,$B119+1,0)),"")</f>
        <v>72898.245083111891</v>
      </c>
      <c r="K11" s="6" t="str">
        <f>IFERROR("("&amp;CHOOSE($C$135,HLOOKUP(J$10,$FE$60:$FW$70,$B61+1,0),HLOOKUP(J$10,$FH$81:$GA$90,$B82+1,0),HLOOKUP(J$10,$FW$101:$GU$105,$B102+1,0),HLOOKUP(J$10,$FT$118:$GQ$123,$B119+1,0))&amp;")","")</f>
        <v>(4)</v>
      </c>
      <c r="L11" s="30">
        <f>IFERROR(CHOOSE($C$135,HLOOKUP(L$10,$D$60:$V$70,$B61+1,0),HLOOKUP(L$10,$D$81:$W$90,$B82+1,0),HLOOKUP(L$10,$D$101:$AB$105,$B102+1,0),HLOOKUP(L$10,$D$118:$AA$123,$B119+1,0)),"")</f>
        <v>86469.803299439722</v>
      </c>
      <c r="M11" s="6" t="str">
        <f>IFERROR("("&amp;CHOOSE($C$135,HLOOKUP(L$10,$FE$60:$FW$70,$B61+1,0),HLOOKUP(L$10,$FH$81:$GA$90,$B82+1,0),HLOOKUP(L$10,$FW$101:$GU$105,$B102+1,0),HLOOKUP(L$10,$FT$118:$GQ$123,$B119+1,0))&amp;")","")</f>
        <v>(6)</v>
      </c>
      <c r="N11" s="30">
        <f>IFERROR(CHOOSE($C$135,HLOOKUP(N$10,$D$60:$V$70,$B61+1,0),HLOOKUP(N$10,$D$81:$W$90,$B82+1,0),HLOOKUP(N$10,$D$101:$AB$105,$B102+1,0),HLOOKUP(N$10,$D$118:$AA$123,$B119+1,0)),"")</f>
        <v>65250.403395887333</v>
      </c>
      <c r="O11" s="6" t="str">
        <f>IFERROR("("&amp;CHOOSE($C$135,HLOOKUP(N$10,$FE$60:$FW$70,$B61+1,0),HLOOKUP(N$10,$FH$81:$GA$90,$B82+1,0),HLOOKUP(N$10,$FW$101:$GU$105,$B102+1,0),HLOOKUP(N$10,$FT$118:$GQ$123,$B119+1,0))&amp;")","")</f>
        <v>(4)</v>
      </c>
      <c r="P11" s="30">
        <f>IFERROR(CHOOSE($C$135,HLOOKUP(P$10,$D$60:$V$70,$B61+1,0),HLOOKUP(P$10,$D$81:$W$90,$B82+1,0),HLOOKUP(P$10,$D$101:$AB$105,$B102+1,0),HLOOKUP(P$10,$D$118:$AA$123,$B119+1,0)),"")</f>
        <v>35000</v>
      </c>
      <c r="Q11" s="6" t="str">
        <f>IFERROR("("&amp;CHOOSE($C$135,HLOOKUP(P$10,$FE$60:$FW$70,$B61+1,0),HLOOKUP(P$10,$FH$81:$GA$90,$B82+1,0),HLOOKUP(P$10,$FW$101:$GU$105,$B102+1,0),HLOOKUP(P$10,$FT$118:$GQ$123,$B119+1,0))&amp;")","")</f>
        <v>(1)</v>
      </c>
      <c r="R11" s="30">
        <f>IFERROR(CHOOSE($C$135,HLOOKUP(R$10,$D$60:$V$70,$B61+1,0),HLOOKUP(R$10,$D$81:$W$90,$B82+1,0),HLOOKUP(R$10,$D$101:$AB$105,$B102+1,0),HLOOKUP(R$10,$D$118:$AA$123,$B119+1,0)),"")</f>
        <v>31032.550022437972</v>
      </c>
      <c r="S11" s="6" t="str">
        <f>IFERROR("("&amp;CHOOSE($C$135,HLOOKUP(R$10,$FE$60:$FW$70,$B61+1,0),HLOOKUP(R$10,$FH$81:$GA$90,$B82+1,0),HLOOKUP(R$10,$FW$101:$GU$105,$B102+1,0),HLOOKUP(R$10,$FT$118:$GQ$123,$B119+1,0))&amp;")","")</f>
        <v>(10)</v>
      </c>
      <c r="T11" s="30">
        <f>IFERROR(CHOOSE($C$135,HLOOKUP(T$10,$D$60:$V$70,$B61+1,0),HLOOKUP(T$10,$D$81:$W$90,$B82+1,0),HLOOKUP(T$10,$D$101:$AB$105,$B102+1,0),HLOOKUP(T$10,$D$118:$AA$123,$B119+1,0)),"")</f>
        <v>0</v>
      </c>
      <c r="U11" s="6" t="str">
        <f>IFERROR("("&amp;CHOOSE($C$135,HLOOKUP(T$10,$FE$60:$FW$70,$B61+1,0),HLOOKUP(T$10,$FH$81:$GA$90,$B82+1,0),HLOOKUP(T$10,$FW$101:$GU$105,$B102+1,0),HLOOKUP(T$10,$FT$118:$GQ$123,$B119+1,0))&amp;")","")</f>
        <v>(0)</v>
      </c>
      <c r="V11" s="30" t="str">
        <f>IFERROR(CHOOSE($C$135,HLOOKUP(V$10,$D$60:$V$70,$B61+1,0),HLOOKUP(V$10,$D$81:$W$90,$B82+1,0),HLOOKUP(V$10,$D$101:$AB$105,$B102+1,0),HLOOKUP(V$10,$D$118:$AA$123,$B119+1,0)),"")</f>
        <v/>
      </c>
      <c r="W11" s="6" t="str">
        <f>IFERROR("("&amp;CHOOSE($C$135,HLOOKUP(V$10,$FE$60:$FW$70,$B61+1,0),HLOOKUP(V$10,$FH$81:$GA$90,$B82+1,0),HLOOKUP(V$10,$FW$101:$GU$105,$B102+1,0),HLOOKUP(V$10,$FT$118:$GQ$123,$B119+1,0))&amp;")","")</f>
        <v/>
      </c>
      <c r="X11"/>
      <c r="Y11"/>
      <c r="Z11"/>
      <c r="AA11"/>
      <c r="AN11" s="25" t="str">
        <f>A11</f>
        <v>CXO or Top Mgmt.</v>
      </c>
      <c r="AO11" s="31" t="e">
        <f>IF($AK$10=AO$10,B11,NA())</f>
        <v>#N/A</v>
      </c>
      <c r="AP11" s="31" t="e">
        <f>IF($AK$10=AP$10,D11,NA())</f>
        <v>#N/A</v>
      </c>
      <c r="AQ11" s="31" t="e">
        <f>IF($AK$10=AQ$10,F11,NA())</f>
        <v>#N/A</v>
      </c>
      <c r="AR11" s="31" t="e">
        <f>IF($AK$10=AR$10,H11,NA())</f>
        <v>#N/A</v>
      </c>
      <c r="AS11" s="31" t="e">
        <f>IF($AK$10=AS$10,J11,NA())</f>
        <v>#N/A</v>
      </c>
      <c r="AT11" s="31" t="e">
        <f>IF($AK$10=AT$10,L11,NA())</f>
        <v>#N/A</v>
      </c>
      <c r="AU11" s="31" t="e">
        <f>IF($AK$10=AU$10,N11,NA())</f>
        <v>#N/A</v>
      </c>
      <c r="AV11" s="31" t="e">
        <f>IF($AK$10=AV$10,P11,NA())</f>
        <v>#N/A</v>
      </c>
      <c r="AW11" s="31">
        <f>IF($AK$10=AW$10,R11,NA())</f>
        <v>31032.550022437972</v>
      </c>
      <c r="AX11" s="31" t="e">
        <f>IF($AK$10=AX$10,T11,NA())</f>
        <v>#N/A</v>
      </c>
      <c r="AY11" s="31" t="e">
        <f>IF($AK$10=AY$10,V11,NA())</f>
        <v>#N/A</v>
      </c>
    </row>
    <row r="12" spans="1:51" ht="22.5" customHeight="1" x14ac:dyDescent="0.25">
      <c r="A12" s="9" t="str">
        <f t="shared" ref="A12:A20" si="2">IF(CHOOSE($C$135,C62,C83,C103,C120)=0,"",CHOOSE($C$135,C62,C83,C103,C120))</f>
        <v>Controller</v>
      </c>
      <c r="B12" s="30">
        <f t="shared" si="0"/>
        <v>61690.252660289887</v>
      </c>
      <c r="C12" s="6" t="str">
        <f t="shared" ref="C12:C20" si="3">IFERROR("("&amp;CHOOSE($C$135,HLOOKUP(B$10,$FE$60:$FW$70,$B62+1,0),HLOOKUP(B$10,$FH$81:$GA$90,$B83+1,0),HLOOKUP(B$10,$FW$101:$GU$105,$B103+1,0),HLOOKUP(B$10,$FT$118:$GQ$123,$B120+1,0))&amp;")","")</f>
        <v>(55)</v>
      </c>
      <c r="D12" s="30">
        <f t="shared" si="1"/>
        <v>82952.652054081045</v>
      </c>
      <c r="E12" s="6" t="str">
        <f t="shared" ref="E12:E20" si="4">IFERROR("("&amp;CHOOSE($C$135,HLOOKUP(D$10,$FE$60:$FW$70,$B62+1,0),HLOOKUP(D$10,$FH$81:$GA$90,$B83+1,0),HLOOKUP(D$10,$FW$101:$GU$105,$B103+1,0),HLOOKUP(D$10,$FT$118:$GQ$123,$B120+1,0))&amp;")","")</f>
        <v>(3)</v>
      </c>
      <c r="F12" s="30">
        <f t="shared" ref="F12" si="5">IFERROR(CHOOSE($C$135,HLOOKUP(F$10,$D$60:$V$70,$B62+1,0),HLOOKUP(F$10,$D$81:$W$90,$B83+1,0),HLOOKUP(F$10,$D$101:$AB$105,$B103+1,0),HLOOKUP(F$10,$D$118:$AA$123,$B120+1,0)),"")</f>
        <v>88308.928571428565</v>
      </c>
      <c r="G12" s="6" t="str">
        <f t="shared" ref="G12:G20" si="6">IFERROR("("&amp;CHOOSE($C$135,HLOOKUP(F$10,$FE$60:$FW$70,$B62+1,0),HLOOKUP(F$10,$FH$81:$GA$90,$B83+1,0),HLOOKUP(F$10,$FW$101:$GU$105,$B103+1,0),HLOOKUP(F$10,$FT$118:$GQ$123,$B120+1,0))&amp;")","")</f>
        <v>(14)</v>
      </c>
      <c r="H12" s="30">
        <f t="shared" ref="H12" si="7">IFERROR(CHOOSE($C$135,HLOOKUP(H$10,$D$60:$V$70,$B62+1,0),HLOOKUP(H$10,$D$81:$W$90,$B83+1,0),HLOOKUP(H$10,$D$101:$AB$105,$B103+1,0),HLOOKUP(H$10,$D$118:$AA$123,$B120+1,0)),"")</f>
        <v>0</v>
      </c>
      <c r="I12" s="6" t="str">
        <f t="shared" ref="I12:I20" si="8">IFERROR("("&amp;CHOOSE($C$135,HLOOKUP(H$10,$FE$60:$FW$70,$B62+1,0),HLOOKUP(H$10,$FH$81:$GA$90,$B83+1,0),HLOOKUP(H$10,$FW$101:$GU$105,$B103+1,0),HLOOKUP(H$10,$FT$118:$GQ$123,$B120+1,0))&amp;")","")</f>
        <v>(0)</v>
      </c>
      <c r="J12" s="30">
        <f t="shared" ref="J12" si="9">IFERROR(CHOOSE($C$135,HLOOKUP(J$10,$D$60:$V$70,$B62+1,0),HLOOKUP(J$10,$D$81:$W$90,$B83+1,0),HLOOKUP(J$10,$D$101:$AB$105,$B103+1,0),HLOOKUP(J$10,$D$118:$AA$123,$B120+1,0)),"")</f>
        <v>110647.71469912333</v>
      </c>
      <c r="K12" s="6" t="str">
        <f t="shared" ref="K12:K20" si="10">IFERROR("("&amp;CHOOSE($C$135,HLOOKUP(J$10,$FE$60:$FW$70,$B62+1,0),HLOOKUP(J$10,$FH$81:$GA$90,$B83+1,0),HLOOKUP(J$10,$FW$101:$GU$105,$B103+1,0),HLOOKUP(J$10,$FT$118:$GQ$123,$B120+1,0))&amp;")","")</f>
        <v>(5)</v>
      </c>
      <c r="L12" s="30">
        <f t="shared" ref="L12" si="11">IFERROR(CHOOSE($C$135,HLOOKUP(L$10,$D$60:$V$70,$B62+1,0),HLOOKUP(L$10,$D$81:$W$90,$B83+1,0),HLOOKUP(L$10,$D$101:$AB$105,$B103+1,0),HLOOKUP(L$10,$D$118:$AA$123,$B120+1,0)),"")</f>
        <v>73917.823093112995</v>
      </c>
      <c r="M12" s="6" t="str">
        <f t="shared" ref="M12:M20" si="12">IFERROR("("&amp;CHOOSE($C$135,HLOOKUP(L$10,$FE$60:$FW$70,$B62+1,0),HLOOKUP(L$10,$FH$81:$GA$90,$B83+1,0),HLOOKUP(L$10,$FW$101:$GU$105,$B103+1,0),HLOOKUP(L$10,$FT$118:$GQ$123,$B120+1,0))&amp;")","")</f>
        <v>(14)</v>
      </c>
      <c r="N12" s="30">
        <f t="shared" ref="N12" si="13">IFERROR(CHOOSE($C$135,HLOOKUP(N$10,$D$60:$V$70,$B62+1,0),HLOOKUP(N$10,$D$81:$W$90,$B83+1,0),HLOOKUP(N$10,$D$101:$AB$105,$B103+1,0),HLOOKUP(N$10,$D$118:$AA$123,$B120+1,0)),"")</f>
        <v>21712.844810740113</v>
      </c>
      <c r="O12" s="6" t="str">
        <f t="shared" ref="O12:O20" si="14">IFERROR("("&amp;CHOOSE($C$135,HLOOKUP(N$10,$FE$60:$FW$70,$B62+1,0),HLOOKUP(N$10,$FH$81:$GA$90,$B83+1,0),HLOOKUP(N$10,$FW$101:$GU$105,$B103+1,0),HLOOKUP(N$10,$FT$118:$GQ$123,$B120+1,0))&amp;")","")</f>
        <v>(9)</v>
      </c>
      <c r="P12" s="30">
        <f t="shared" ref="P12" si="15">IFERROR(CHOOSE($C$135,HLOOKUP(P$10,$D$60:$V$70,$B62+1,0),HLOOKUP(P$10,$D$81:$W$90,$B83+1,0),HLOOKUP(P$10,$D$101:$AB$105,$B103+1,0),HLOOKUP(P$10,$D$118:$AA$123,$B120+1,0)),"")</f>
        <v>17000</v>
      </c>
      <c r="Q12" s="6" t="str">
        <f t="shared" ref="Q12:Q20" si="16">IFERROR("("&amp;CHOOSE($C$135,HLOOKUP(P$10,$FE$60:$FW$70,$B62+1,0),HLOOKUP(P$10,$FH$81:$GA$90,$B83+1,0),HLOOKUP(P$10,$FW$101:$GU$105,$B103+1,0),HLOOKUP(P$10,$FT$118:$GQ$123,$B120+1,0))&amp;")","")</f>
        <v>(3)</v>
      </c>
      <c r="R12" s="30">
        <f t="shared" ref="R12" si="17">IFERROR(CHOOSE($C$135,HLOOKUP(R$10,$D$60:$V$70,$B62+1,0),HLOOKUP(R$10,$D$81:$W$90,$B83+1,0),HLOOKUP(R$10,$D$101:$AB$105,$B103+1,0),HLOOKUP(R$10,$D$118:$AA$123,$B120+1,0)),"")</f>
        <v>10468.177151120017</v>
      </c>
      <c r="S12" s="6" t="str">
        <f t="shared" ref="S12:S20" si="18">IFERROR("("&amp;CHOOSE($C$135,HLOOKUP(R$10,$FE$60:$FW$70,$B62+1,0),HLOOKUP(R$10,$FH$81:$GA$90,$B83+1,0),HLOOKUP(R$10,$FW$101:$GU$105,$B103+1,0),HLOOKUP(R$10,$FT$118:$GQ$123,$B120+1,0))&amp;")","")</f>
        <v>(7)</v>
      </c>
      <c r="T12" s="30">
        <f t="shared" ref="T12" si="19">IFERROR(CHOOSE($C$135,HLOOKUP(T$10,$D$60:$V$70,$B62+1,0),HLOOKUP(T$10,$D$81:$W$90,$B83+1,0),HLOOKUP(T$10,$D$101:$AB$105,$B103+1,0),HLOOKUP(T$10,$D$118:$AA$123,$B120+1,0)),"")</f>
        <v>0</v>
      </c>
      <c r="U12" s="6" t="str">
        <f t="shared" ref="U12:U20" si="20">IFERROR("("&amp;CHOOSE($C$135,HLOOKUP(T$10,$FE$60:$FW$70,$B62+1,0),HLOOKUP(T$10,$FH$81:$GA$90,$B83+1,0),HLOOKUP(T$10,$FW$101:$GU$105,$B103+1,0),HLOOKUP(T$10,$FT$118:$GQ$123,$B120+1,0))&amp;")","")</f>
        <v>(0)</v>
      </c>
      <c r="V12" s="30" t="str">
        <f t="shared" ref="V12" si="21">IFERROR(CHOOSE($C$135,HLOOKUP(V$10,$D$60:$V$70,$B62+1,0),HLOOKUP(V$10,$D$81:$W$90,$B83+1,0),HLOOKUP(V$10,$D$101:$AB$105,$B103+1,0),HLOOKUP(V$10,$D$118:$AA$123,$B120+1,0)),"")</f>
        <v/>
      </c>
      <c r="W12" s="6" t="str">
        <f t="shared" ref="W12:W20" si="22">IFERROR("("&amp;CHOOSE($C$135,HLOOKUP(V$10,$FE$60:$FW$70,$B62+1,0),HLOOKUP(V$10,$FH$81:$GA$90,$B83+1,0),HLOOKUP(V$10,$FW$101:$GU$105,$B103+1,0),HLOOKUP(V$10,$FT$118:$GQ$123,$B120+1,0))&amp;")","")</f>
        <v/>
      </c>
      <c r="AN12" s="25" t="str">
        <f t="shared" ref="AN12:AN20" si="23">A12</f>
        <v>Controller</v>
      </c>
      <c r="AO12" s="31" t="e">
        <f t="shared" ref="AO12:AO20" si="24">IF($AK$10=AO$10,B12,NA())</f>
        <v>#N/A</v>
      </c>
      <c r="AP12" s="31" t="e">
        <f t="shared" ref="AP12:AP20" si="25">IF($AK$10=AP$10,D12,NA())</f>
        <v>#N/A</v>
      </c>
      <c r="AQ12" s="31" t="e">
        <f t="shared" ref="AQ12:AQ20" si="26">IF($AK$10=AQ$10,F12,NA())</f>
        <v>#N/A</v>
      </c>
      <c r="AR12" s="31" t="e">
        <f t="shared" ref="AR12:AR20" si="27">IF($AK$10=AR$10,H12,NA())</f>
        <v>#N/A</v>
      </c>
      <c r="AS12" s="31" t="e">
        <f t="shared" ref="AS12:AS20" si="28">IF($AK$10=AS$10,J12,NA())</f>
        <v>#N/A</v>
      </c>
      <c r="AT12" s="31" t="e">
        <f t="shared" ref="AT12:AT20" si="29">IF($AK$10=AT$10,L12,NA())</f>
        <v>#N/A</v>
      </c>
      <c r="AU12" s="31" t="e">
        <f t="shared" ref="AU12:AU20" si="30">IF($AK$10=AU$10,N12,NA())</f>
        <v>#N/A</v>
      </c>
      <c r="AV12" s="31" t="e">
        <f t="shared" ref="AV12:AV20" si="31">IF($AK$10=AV$10,P12,NA())</f>
        <v>#N/A</v>
      </c>
      <c r="AW12" s="31">
        <f t="shared" ref="AW12:AW20" si="32">IF($AK$10=AW$10,R12,NA())</f>
        <v>10468.177151120017</v>
      </c>
      <c r="AX12" s="31" t="e">
        <f t="shared" ref="AX12:AX20" si="33">IF($AK$10=AX$10,T12,NA())</f>
        <v>#N/A</v>
      </c>
      <c r="AY12" s="31" t="e">
        <f t="shared" ref="AY12:AY20" si="34">IF($AK$10=AY$10,V12,NA())</f>
        <v>#N/A</v>
      </c>
    </row>
    <row r="13" spans="1:51" ht="22.5" customHeight="1" x14ac:dyDescent="0.25">
      <c r="A13" s="9" t="str">
        <f t="shared" si="2"/>
        <v>Consultant</v>
      </c>
      <c r="B13" s="30">
        <f t="shared" si="0"/>
        <v>60430.129217439477</v>
      </c>
      <c r="C13" s="6" t="str">
        <f t="shared" si="3"/>
        <v>(58)</v>
      </c>
      <c r="D13" s="30">
        <f t="shared" si="1"/>
        <v>108620.3784068807</v>
      </c>
      <c r="E13" s="6" t="str">
        <f t="shared" si="4"/>
        <v>(6)</v>
      </c>
      <c r="F13" s="30">
        <f t="shared" ref="F13" si="35">IFERROR(CHOOSE($C$135,HLOOKUP(F$10,$D$60:$V$70,$B63+1,0),HLOOKUP(F$10,$D$81:$W$90,$B84+1,0),HLOOKUP(F$10,$D$101:$AB$105,$B104+1,0),HLOOKUP(F$10,$D$118:$AA$123,$B121+1,0)),"")</f>
        <v>110125</v>
      </c>
      <c r="G13" s="6" t="str">
        <f t="shared" si="6"/>
        <v>(8)</v>
      </c>
      <c r="H13" s="30">
        <f t="shared" ref="H13" si="36">IFERROR(CHOOSE($C$135,HLOOKUP(H$10,$D$60:$V$70,$B63+1,0),HLOOKUP(H$10,$D$81:$W$90,$B84+1,0),HLOOKUP(H$10,$D$101:$AB$105,$B104+1,0),HLOOKUP(H$10,$D$118:$AA$123,$B121+1,0)),"")</f>
        <v>55068.245289698301</v>
      </c>
      <c r="I13" s="6" t="str">
        <f t="shared" si="8"/>
        <v>(1)</v>
      </c>
      <c r="J13" s="30">
        <f t="shared" ref="J13" si="37">IFERROR(CHOOSE($C$135,HLOOKUP(J$10,$D$60:$V$70,$B63+1,0),HLOOKUP(J$10,$D$81:$W$90,$B84+1,0),HLOOKUP(J$10,$D$101:$AB$105,$B104+1,0),HLOOKUP(J$10,$D$118:$AA$123,$B121+1,0)),"")</f>
        <v>89101.357719963562</v>
      </c>
      <c r="K13" s="6" t="str">
        <f t="shared" si="10"/>
        <v>(7)</v>
      </c>
      <c r="L13" s="30">
        <f t="shared" ref="L13" si="38">IFERROR(CHOOSE($C$135,HLOOKUP(L$10,$D$60:$V$70,$B63+1,0),HLOOKUP(L$10,$D$81:$W$90,$B84+1,0),HLOOKUP(L$10,$D$101:$AB$105,$B104+1,0),HLOOKUP(L$10,$D$118:$AA$123,$B121+1,0)),"")</f>
        <v>53663.372097454878</v>
      </c>
      <c r="M13" s="6" t="str">
        <f t="shared" si="12"/>
        <v>(11)</v>
      </c>
      <c r="N13" s="30">
        <f t="shared" ref="N13" si="39">IFERROR(CHOOSE($C$135,HLOOKUP(N$10,$D$60:$V$70,$B63+1,0),HLOOKUP(N$10,$D$81:$W$90,$B84+1,0),HLOOKUP(N$10,$D$101:$AB$105,$B104+1,0),HLOOKUP(N$10,$D$118:$AA$123,$B121+1,0)),"")</f>
        <v>46200</v>
      </c>
      <c r="O13" s="6" t="str">
        <f t="shared" si="14"/>
        <v>(5)</v>
      </c>
      <c r="P13" s="30">
        <f t="shared" ref="P13" si="40">IFERROR(CHOOSE($C$135,HLOOKUP(P$10,$D$60:$V$70,$B63+1,0),HLOOKUP(P$10,$D$81:$W$90,$B84+1,0),HLOOKUP(P$10,$D$101:$AB$105,$B104+1,0),HLOOKUP(P$10,$D$118:$AA$123,$B121+1,0)),"")</f>
        <v>57750</v>
      </c>
      <c r="Q13" s="6" t="str">
        <f t="shared" si="16"/>
        <v>(4)</v>
      </c>
      <c r="R13" s="30">
        <f t="shared" ref="R13" si="41">IFERROR(CHOOSE($C$135,HLOOKUP(R$10,$D$60:$V$70,$B63+1,0),HLOOKUP(R$10,$D$81:$W$90,$B84+1,0),HLOOKUP(R$10,$D$101:$AB$105,$B104+1,0),HLOOKUP(R$10,$D$118:$AA$123,$B121+1,0)),"")</f>
        <v>14851.586023939944</v>
      </c>
      <c r="S13" s="6" t="str">
        <f t="shared" si="18"/>
        <v>(14)</v>
      </c>
      <c r="T13" s="30">
        <f t="shared" ref="T13" si="42">IFERROR(CHOOSE($C$135,HLOOKUP(T$10,$D$60:$V$70,$B63+1,0),HLOOKUP(T$10,$D$81:$W$90,$B84+1,0),HLOOKUP(T$10,$D$101:$AB$105,$B104+1,0),HLOOKUP(T$10,$D$118:$AA$123,$B121+1,0)),"")</f>
        <v>16614.088716799131</v>
      </c>
      <c r="U13" s="6" t="str">
        <f t="shared" si="20"/>
        <v>(2)</v>
      </c>
      <c r="V13" s="30" t="str">
        <f t="shared" ref="V13" si="43">IFERROR(CHOOSE($C$135,HLOOKUP(V$10,$D$60:$V$70,$B63+1,0),HLOOKUP(V$10,$D$81:$W$90,$B84+1,0),HLOOKUP(V$10,$D$101:$AB$105,$B104+1,0),HLOOKUP(V$10,$D$118:$AA$123,$B121+1,0)),"")</f>
        <v/>
      </c>
      <c r="W13" s="6" t="str">
        <f t="shared" si="22"/>
        <v/>
      </c>
      <c r="AN13" s="25" t="str">
        <f t="shared" si="23"/>
        <v>Consultant</v>
      </c>
      <c r="AO13" s="31" t="e">
        <f t="shared" si="24"/>
        <v>#N/A</v>
      </c>
      <c r="AP13" s="31" t="e">
        <f t="shared" si="25"/>
        <v>#N/A</v>
      </c>
      <c r="AQ13" s="31" t="e">
        <f t="shared" si="26"/>
        <v>#N/A</v>
      </c>
      <c r="AR13" s="31" t="e">
        <f t="shared" si="27"/>
        <v>#N/A</v>
      </c>
      <c r="AS13" s="31" t="e">
        <f t="shared" si="28"/>
        <v>#N/A</v>
      </c>
      <c r="AT13" s="31" t="e">
        <f t="shared" si="29"/>
        <v>#N/A</v>
      </c>
      <c r="AU13" s="31" t="e">
        <f t="shared" si="30"/>
        <v>#N/A</v>
      </c>
      <c r="AV13" s="31" t="e">
        <f t="shared" si="31"/>
        <v>#N/A</v>
      </c>
      <c r="AW13" s="31">
        <f t="shared" si="32"/>
        <v>14851.586023939944</v>
      </c>
      <c r="AX13" s="31" t="e">
        <f t="shared" si="33"/>
        <v>#N/A</v>
      </c>
      <c r="AY13" s="31" t="e">
        <f t="shared" si="34"/>
        <v>#N/A</v>
      </c>
    </row>
    <row r="14" spans="1:51" ht="22.5" customHeight="1" x14ac:dyDescent="0.25">
      <c r="A14" s="9" t="str">
        <f t="shared" si="2"/>
        <v>Specialist</v>
      </c>
      <c r="B14" s="30">
        <f t="shared" si="0"/>
        <v>49956.132944873774</v>
      </c>
      <c r="C14" s="6" t="str">
        <f t="shared" si="3"/>
        <v>(27)</v>
      </c>
      <c r="D14" s="30">
        <f t="shared" si="1"/>
        <v>94851.598045445135</v>
      </c>
      <c r="E14" s="6" t="str">
        <f t="shared" si="4"/>
        <v>(2)</v>
      </c>
      <c r="F14" s="30">
        <f t="shared" ref="F14" si="44">IFERROR(CHOOSE($C$135,HLOOKUP(F$10,$D$60:$V$70,$B64+1,0),HLOOKUP(F$10,$D$81:$W$90,$B85+1,0),HLOOKUP(F$10,$D$101:$AB$105,$B105+1,0),HLOOKUP(F$10,$D$118:$AA$123,$B122+1,0)),"")</f>
        <v>51833.333333333336</v>
      </c>
      <c r="G14" s="6" t="str">
        <f t="shared" si="6"/>
        <v>(12)</v>
      </c>
      <c r="H14" s="30">
        <f t="shared" ref="H14" si="45">IFERROR(CHOOSE($C$135,HLOOKUP(H$10,$D$60:$V$70,$B64+1,0),HLOOKUP(H$10,$D$81:$W$90,$B85+1,0),HLOOKUP(H$10,$D$101:$AB$105,$B105+1,0),HLOOKUP(H$10,$D$118:$AA$123,$B122+1,0)),"")</f>
        <v>0</v>
      </c>
      <c r="I14" s="6" t="str">
        <f t="shared" si="8"/>
        <v>(0)</v>
      </c>
      <c r="J14" s="30">
        <f t="shared" ref="J14" si="46">IFERROR(CHOOSE($C$135,HLOOKUP(J$10,$D$60:$V$70,$B64+1,0),HLOOKUP(J$10,$D$81:$W$90,$B85+1,0),HLOOKUP(J$10,$D$101:$AB$105,$B105+1,0),HLOOKUP(J$10,$D$118:$AA$123,$B122+1,0)),"")</f>
        <v>61864.997178640901</v>
      </c>
      <c r="K14" s="6" t="str">
        <f t="shared" si="10"/>
        <v>(4)</v>
      </c>
      <c r="L14" s="30">
        <f t="shared" ref="L14" si="47">IFERROR(CHOOSE($C$135,HLOOKUP(L$10,$D$60:$V$70,$B64+1,0),HLOOKUP(L$10,$D$81:$W$90,$B85+1,0),HLOOKUP(L$10,$D$101:$AB$105,$B105+1,0),HLOOKUP(L$10,$D$118:$AA$123,$B122+1,0)),"")</f>
        <v>88927.960729412545</v>
      </c>
      <c r="M14" s="6" t="str">
        <f t="shared" si="12"/>
        <v>(1)</v>
      </c>
      <c r="N14" s="30">
        <f t="shared" ref="N14" si="48">IFERROR(CHOOSE($C$135,HLOOKUP(N$10,$D$60:$V$70,$B64+1,0),HLOOKUP(N$10,$D$81:$W$90,$B85+1,0),HLOOKUP(N$10,$D$101:$AB$105,$B105+1,0),HLOOKUP(N$10,$D$118:$AA$123,$B122+1,0)),"")</f>
        <v>28582.930269756427</v>
      </c>
      <c r="O14" s="6" t="str">
        <f t="shared" si="14"/>
        <v>(2)</v>
      </c>
      <c r="P14" s="30">
        <f t="shared" ref="P14" si="49">IFERROR(CHOOSE($C$135,HLOOKUP(P$10,$D$60:$V$70,$B64+1,0),HLOOKUP(P$10,$D$81:$W$90,$B85+1,0),HLOOKUP(P$10,$D$101:$AB$105,$B105+1,0),HLOOKUP(P$10,$D$118:$AA$123,$B122+1,0)),"")</f>
        <v>8259.5</v>
      </c>
      <c r="Q14" s="6" t="str">
        <f t="shared" si="16"/>
        <v>(2)</v>
      </c>
      <c r="R14" s="30">
        <f t="shared" ref="R14" si="50">IFERROR(CHOOSE($C$135,HLOOKUP(R$10,$D$60:$V$70,$B64+1,0),HLOOKUP(R$10,$D$81:$W$90,$B85+1,0),HLOOKUP(R$10,$D$101:$AB$105,$B105+1,0),HLOOKUP(R$10,$D$118:$AA$123,$B122+1,0)),"")</f>
        <v>31759.895859303211</v>
      </c>
      <c r="S14" s="6" t="str">
        <f t="shared" si="18"/>
        <v>(4)</v>
      </c>
      <c r="T14" s="30">
        <f t="shared" ref="T14" si="51">IFERROR(CHOOSE($C$135,HLOOKUP(T$10,$D$60:$V$70,$B64+1,0),HLOOKUP(T$10,$D$81:$W$90,$B85+1,0),HLOOKUP(T$10,$D$101:$AB$105,$B105+1,0),HLOOKUP(T$10,$D$118:$AA$123,$B122+1,0)),"")</f>
        <v>0</v>
      </c>
      <c r="U14" s="6" t="str">
        <f t="shared" si="20"/>
        <v>(0)</v>
      </c>
      <c r="V14" s="30" t="str">
        <f t="shared" ref="V14" si="52">IFERROR(CHOOSE($C$135,HLOOKUP(V$10,$D$60:$V$70,$B64+1,0),HLOOKUP(V$10,$D$81:$W$90,$B85+1,0),HLOOKUP(V$10,$D$101:$AB$105,$B105+1,0),HLOOKUP(V$10,$D$118:$AA$123,$B122+1,0)),"")</f>
        <v/>
      </c>
      <c r="W14" s="6" t="str">
        <f t="shared" si="22"/>
        <v/>
      </c>
      <c r="AN14" s="25" t="str">
        <f t="shared" si="23"/>
        <v>Specialist</v>
      </c>
      <c r="AO14" s="31" t="e">
        <f t="shared" si="24"/>
        <v>#N/A</v>
      </c>
      <c r="AP14" s="31" t="e">
        <f t="shared" si="25"/>
        <v>#N/A</v>
      </c>
      <c r="AQ14" s="31" t="e">
        <f t="shared" si="26"/>
        <v>#N/A</v>
      </c>
      <c r="AR14" s="31" t="e">
        <f t="shared" si="27"/>
        <v>#N/A</v>
      </c>
      <c r="AS14" s="31" t="e">
        <f t="shared" si="28"/>
        <v>#N/A</v>
      </c>
      <c r="AT14" s="31" t="e">
        <f t="shared" si="29"/>
        <v>#N/A</v>
      </c>
      <c r="AU14" s="31" t="e">
        <f t="shared" si="30"/>
        <v>#N/A</v>
      </c>
      <c r="AV14" s="31" t="e">
        <f t="shared" si="31"/>
        <v>#N/A</v>
      </c>
      <c r="AW14" s="31">
        <f t="shared" si="32"/>
        <v>31759.895859303211</v>
      </c>
      <c r="AX14" s="31" t="e">
        <f t="shared" si="33"/>
        <v>#N/A</v>
      </c>
      <c r="AY14" s="31" t="e">
        <f t="shared" si="34"/>
        <v>#N/A</v>
      </c>
    </row>
    <row r="15" spans="1:51" ht="22.5" customHeight="1" x14ac:dyDescent="0.25">
      <c r="A15" s="9" t="str">
        <f t="shared" si="2"/>
        <v>Engineer</v>
      </c>
      <c r="B15" s="30">
        <f t="shared" si="0"/>
        <v>48093.592487638009</v>
      </c>
      <c r="C15" s="6" t="str">
        <f t="shared" si="3"/>
        <v>(49)</v>
      </c>
      <c r="D15" s="30">
        <f t="shared" si="1"/>
        <v>163695.49985262303</v>
      </c>
      <c r="E15" s="6" t="str">
        <f t="shared" si="4"/>
        <v>(2)</v>
      </c>
      <c r="F15" s="30">
        <f t="shared" ref="F15" si="53">IFERROR(CHOOSE($C$135,HLOOKUP(F$10,$D$60:$V$70,$B65+1,0),HLOOKUP(F$10,$D$81:$W$90,$B86+1,0),HLOOKUP(F$10,$D$101:$AB$105,$B106+1,0),HLOOKUP(F$10,$D$118:$AA$123,$B123+1,0)),"")</f>
        <v>65330</v>
      </c>
      <c r="G15" s="6" t="str">
        <f t="shared" si="6"/>
        <v>(12)</v>
      </c>
      <c r="H15" s="30">
        <f t="shared" ref="H15" si="54">IFERROR(CHOOSE($C$135,HLOOKUP(H$10,$D$60:$V$70,$B65+1,0),HLOOKUP(H$10,$D$81:$W$90,$B86+1,0),HLOOKUP(H$10,$D$101:$AB$105,$B106+1,0),HLOOKUP(H$10,$D$118:$AA$123,$B123+1,0)),"")</f>
        <v>0</v>
      </c>
      <c r="I15" s="6" t="str">
        <f t="shared" si="8"/>
        <v>(0)</v>
      </c>
      <c r="J15" s="30">
        <f t="shared" ref="J15" si="55">IFERROR(CHOOSE($C$135,HLOOKUP(J$10,$D$60:$V$70,$B65+1,0),HLOOKUP(J$10,$D$81:$W$90,$B86+1,0),HLOOKUP(J$10,$D$101:$AB$105,$B106+1,0),HLOOKUP(J$10,$D$118:$AA$123,$B123+1,0)),"")</f>
        <v>108826.17800937092</v>
      </c>
      <c r="K15" s="6" t="str">
        <f t="shared" si="10"/>
        <v>(3)</v>
      </c>
      <c r="L15" s="30">
        <f t="shared" ref="L15" si="56">IFERROR(CHOOSE($C$135,HLOOKUP(L$10,$D$60:$V$70,$B65+1,0),HLOOKUP(L$10,$D$81:$W$90,$B86+1,0),HLOOKUP(L$10,$D$101:$AB$105,$B106+1,0),HLOOKUP(L$10,$D$118:$AA$123,$B123+1,0)),"")</f>
        <v>69545.926812526508</v>
      </c>
      <c r="M15" s="6" t="str">
        <f t="shared" si="12"/>
        <v>(5)</v>
      </c>
      <c r="N15" s="30">
        <f t="shared" ref="N15" si="57">IFERROR(CHOOSE($C$135,HLOOKUP(N$10,$D$60:$V$70,$B65+1,0),HLOOKUP(N$10,$D$81:$W$90,$B86+1,0),HLOOKUP(N$10,$D$101:$AB$105,$B106+1,0),HLOOKUP(N$10,$D$118:$AA$123,$B123+1,0)),"")</f>
        <v>44571.13121359294</v>
      </c>
      <c r="O15" s="6" t="str">
        <f t="shared" si="14"/>
        <v>(5)</v>
      </c>
      <c r="P15" s="30">
        <f t="shared" ref="P15" si="58">IFERROR(CHOOSE($C$135,HLOOKUP(P$10,$D$60:$V$70,$B65+1,0),HLOOKUP(P$10,$D$81:$W$90,$B86+1,0),HLOOKUP(P$10,$D$101:$AB$105,$B106+1,0),HLOOKUP(P$10,$D$118:$AA$123,$B123+1,0)),"")</f>
        <v>35468.273479146075</v>
      </c>
      <c r="Q15" s="6" t="str">
        <f t="shared" si="16"/>
        <v>(3)</v>
      </c>
      <c r="R15" s="30">
        <f t="shared" ref="R15" si="59">IFERROR(CHOOSE($C$135,HLOOKUP(R$10,$D$60:$V$70,$B65+1,0),HLOOKUP(R$10,$D$81:$W$90,$B86+1,0),HLOOKUP(R$10,$D$101:$AB$105,$B106+1,0),HLOOKUP(R$10,$D$118:$AA$123,$B123+1,0)),"")</f>
        <v>12724.546715414121</v>
      </c>
      <c r="S15" s="6" t="str">
        <f t="shared" si="18"/>
        <v>(19)</v>
      </c>
      <c r="T15" s="30">
        <f t="shared" ref="T15" si="60">IFERROR(CHOOSE($C$135,HLOOKUP(T$10,$D$60:$V$70,$B65+1,0),HLOOKUP(T$10,$D$81:$W$90,$B86+1,0),HLOOKUP(T$10,$D$101:$AB$105,$B106+1,0),HLOOKUP(T$10,$D$118:$AA$123,$B123+1,0)),"")</f>
        <v>0</v>
      </c>
      <c r="U15" s="6" t="str">
        <f t="shared" si="20"/>
        <v>(0)</v>
      </c>
      <c r="V15" s="30" t="str">
        <f t="shared" ref="V15" si="61">IFERROR(CHOOSE($C$135,HLOOKUP(V$10,$D$60:$V$70,$B65+1,0),HLOOKUP(V$10,$D$81:$W$90,$B86+1,0),HLOOKUP(V$10,$D$101:$AB$105,$B106+1,0),HLOOKUP(V$10,$D$118:$AA$123,$B123+1,0)),"")</f>
        <v/>
      </c>
      <c r="W15" s="6" t="str">
        <f t="shared" si="22"/>
        <v/>
      </c>
      <c r="AN15" s="25" t="str">
        <f t="shared" si="23"/>
        <v>Engineer</v>
      </c>
      <c r="AO15" s="31" t="e">
        <f t="shared" si="24"/>
        <v>#N/A</v>
      </c>
      <c r="AP15" s="31" t="e">
        <f t="shared" si="25"/>
        <v>#N/A</v>
      </c>
      <c r="AQ15" s="31" t="e">
        <f t="shared" si="26"/>
        <v>#N/A</v>
      </c>
      <c r="AR15" s="31" t="e">
        <f t="shared" si="27"/>
        <v>#N/A</v>
      </c>
      <c r="AS15" s="31" t="e">
        <f t="shared" si="28"/>
        <v>#N/A</v>
      </c>
      <c r="AT15" s="31" t="e">
        <f t="shared" si="29"/>
        <v>#N/A</v>
      </c>
      <c r="AU15" s="31" t="e">
        <f t="shared" si="30"/>
        <v>#N/A</v>
      </c>
      <c r="AV15" s="31" t="e">
        <f t="shared" si="31"/>
        <v>#N/A</v>
      </c>
      <c r="AW15" s="31">
        <f t="shared" si="32"/>
        <v>12724.546715414121</v>
      </c>
      <c r="AX15" s="31" t="e">
        <f t="shared" si="33"/>
        <v>#N/A</v>
      </c>
      <c r="AY15" s="31" t="e">
        <f t="shared" si="34"/>
        <v>#N/A</v>
      </c>
    </row>
    <row r="16" spans="1:51" ht="22.5" customHeight="1" x14ac:dyDescent="0.25">
      <c r="A16" s="9" t="str">
        <f t="shared" si="2"/>
        <v>Analyst</v>
      </c>
      <c r="B16" s="30">
        <f t="shared" si="0"/>
        <v>43412.00862565812</v>
      </c>
      <c r="C16" s="6" t="str">
        <f t="shared" si="3"/>
        <v>(526)</v>
      </c>
      <c r="D16" s="30">
        <f t="shared" si="1"/>
        <v>87472.715305886188</v>
      </c>
      <c r="E16" s="6" t="str">
        <f t="shared" si="4"/>
        <v>(35)</v>
      </c>
      <c r="F16" s="30">
        <f t="shared" ref="F16" si="62">IFERROR(CHOOSE($C$135,HLOOKUP(F$10,$D$60:$V$70,$B66+1,0),HLOOKUP(F$10,$D$81:$W$90,$B87+1,0),HLOOKUP(F$10,$D$101:$AB$105,$B107+1,0),HLOOKUP(F$10,$D$118:$AA$123,$B124+1,0)),"")</f>
        <v>62749.440476190473</v>
      </c>
      <c r="G16" s="6" t="str">
        <f t="shared" si="6"/>
        <v>(168)</v>
      </c>
      <c r="H16" s="30">
        <f t="shared" ref="H16" si="63">IFERROR(CHOOSE($C$135,HLOOKUP(H$10,$D$60:$V$70,$B66+1,0),HLOOKUP(H$10,$D$81:$W$90,$B87+1,0),HLOOKUP(H$10,$D$101:$AB$105,$B107+1,0),HLOOKUP(H$10,$D$118:$AA$123,$B124+1,0)),"")</f>
        <v>67792.566688492036</v>
      </c>
      <c r="I16" s="6" t="str">
        <f t="shared" si="8"/>
        <v>(16)</v>
      </c>
      <c r="J16" s="30">
        <f t="shared" ref="J16" si="64">IFERROR(CHOOSE($C$135,HLOOKUP(J$10,$D$60:$V$70,$B66+1,0),HLOOKUP(J$10,$D$81:$W$90,$B87+1,0),HLOOKUP(J$10,$D$101:$AB$105,$B107+1,0),HLOOKUP(J$10,$D$118:$AA$123,$B124+1,0)),"")</f>
        <v>51905.084421859567</v>
      </c>
      <c r="K16" s="6" t="str">
        <f t="shared" si="10"/>
        <v>(45)</v>
      </c>
      <c r="L16" s="30">
        <f t="shared" ref="L16" si="65">IFERROR(CHOOSE($C$135,HLOOKUP(L$10,$D$60:$V$70,$B66+1,0),HLOOKUP(L$10,$D$81:$W$90,$B87+1,0),HLOOKUP(L$10,$D$101:$AB$105,$B107+1,0),HLOOKUP(L$10,$D$118:$AA$123,$B124+1,0)),"")</f>
        <v>54464.373248134965</v>
      </c>
      <c r="M16" s="6" t="str">
        <f t="shared" si="12"/>
        <v>(37)</v>
      </c>
      <c r="N16" s="30">
        <f t="shared" ref="N16" si="66">IFERROR(CHOOSE($C$135,HLOOKUP(N$10,$D$60:$V$70,$B66+1,0),HLOOKUP(N$10,$D$81:$W$90,$B87+1,0),HLOOKUP(N$10,$D$101:$AB$105,$B107+1,0),HLOOKUP(N$10,$D$118:$AA$123,$B124+1,0)),"")</f>
        <v>39019.496884862878</v>
      </c>
      <c r="O16" s="6" t="str">
        <f t="shared" si="14"/>
        <v>(41)</v>
      </c>
      <c r="P16" s="30">
        <f t="shared" ref="P16" si="67">IFERROR(CHOOSE($C$135,HLOOKUP(P$10,$D$60:$V$70,$B66+1,0),HLOOKUP(P$10,$D$81:$W$90,$B87+1,0),HLOOKUP(P$10,$D$101:$AB$105,$B107+1,0),HLOOKUP(P$10,$D$118:$AA$123,$B124+1,0)),"")</f>
        <v>23067.196447372138</v>
      </c>
      <c r="Q16" s="6" t="str">
        <f t="shared" si="16"/>
        <v>(16)</v>
      </c>
      <c r="R16" s="30">
        <f t="shared" ref="R16" si="68">IFERROR(CHOOSE($C$135,HLOOKUP(R$10,$D$60:$V$70,$B66+1,0),HLOOKUP(R$10,$D$81:$W$90,$B87+1,0),HLOOKUP(R$10,$D$101:$AB$105,$B107+1,0),HLOOKUP(R$10,$D$118:$AA$123,$B124+1,0)),"")</f>
        <v>10725.16857884118</v>
      </c>
      <c r="S16" s="6" t="str">
        <f t="shared" si="18"/>
        <v>(162)</v>
      </c>
      <c r="T16" s="30">
        <f t="shared" ref="T16" si="69">IFERROR(CHOOSE($C$135,HLOOKUP(T$10,$D$60:$V$70,$B66+1,0),HLOOKUP(T$10,$D$81:$W$90,$B87+1,0),HLOOKUP(T$10,$D$101:$AB$105,$B107+1,0),HLOOKUP(T$10,$D$118:$AA$123,$B124+1,0)),"")</f>
        <v>14887</v>
      </c>
      <c r="U16" s="6" t="str">
        <f t="shared" si="20"/>
        <v>(6)</v>
      </c>
      <c r="V16" s="30" t="str">
        <f t="shared" ref="V16" si="70">IFERROR(CHOOSE($C$135,HLOOKUP(V$10,$D$60:$V$70,$B66+1,0),HLOOKUP(V$10,$D$81:$W$90,$B87+1,0),HLOOKUP(V$10,$D$101:$AB$105,$B107+1,0),HLOOKUP(V$10,$D$118:$AA$123,$B124+1,0)),"")</f>
        <v/>
      </c>
      <c r="W16" s="6" t="str">
        <f t="shared" si="22"/>
        <v/>
      </c>
      <c r="AN16" s="25" t="str">
        <f t="shared" si="23"/>
        <v>Analyst</v>
      </c>
      <c r="AO16" s="31" t="e">
        <f t="shared" si="24"/>
        <v>#N/A</v>
      </c>
      <c r="AP16" s="31" t="e">
        <f t="shared" si="25"/>
        <v>#N/A</v>
      </c>
      <c r="AQ16" s="31" t="e">
        <f t="shared" si="26"/>
        <v>#N/A</v>
      </c>
      <c r="AR16" s="31" t="e">
        <f t="shared" si="27"/>
        <v>#N/A</v>
      </c>
      <c r="AS16" s="31" t="e">
        <f t="shared" si="28"/>
        <v>#N/A</v>
      </c>
      <c r="AT16" s="31" t="e">
        <f t="shared" si="29"/>
        <v>#N/A</v>
      </c>
      <c r="AU16" s="31" t="e">
        <f t="shared" si="30"/>
        <v>#N/A</v>
      </c>
      <c r="AV16" s="31" t="e">
        <f t="shared" si="31"/>
        <v>#N/A</v>
      </c>
      <c r="AW16" s="31">
        <f t="shared" si="32"/>
        <v>10725.16857884118</v>
      </c>
      <c r="AX16" s="31" t="e">
        <f t="shared" si="33"/>
        <v>#N/A</v>
      </c>
      <c r="AY16" s="31" t="e">
        <f t="shared" si="34"/>
        <v>#N/A</v>
      </c>
    </row>
    <row r="17" spans="1:51" ht="22.5" customHeight="1" x14ac:dyDescent="0.25">
      <c r="A17" s="9" t="str">
        <f t="shared" si="2"/>
        <v>Accountant</v>
      </c>
      <c r="B17" s="30">
        <f t="shared" si="0"/>
        <v>42098.821874814974</v>
      </c>
      <c r="C17" s="6" t="str">
        <f t="shared" si="3"/>
        <v>(101)</v>
      </c>
      <c r="D17" s="30">
        <f t="shared" si="1"/>
        <v>92811.778732639854</v>
      </c>
      <c r="E17" s="6" t="str">
        <f t="shared" si="4"/>
        <v>(6)</v>
      </c>
      <c r="F17" s="30">
        <f t="shared" ref="F17" si="71">IFERROR(CHOOSE($C$135,HLOOKUP(F$10,$D$60:$V$70,$B67+1,0),HLOOKUP(F$10,$D$81:$W$90,$B88+1,0),HLOOKUP(F$10,$D$101:$AB$105,$B108+1,0),HLOOKUP(F$10,$D$118:$AA$123,$B125+1,0)),"")</f>
        <v>64936.17391304348</v>
      </c>
      <c r="G17" s="6" t="str">
        <f t="shared" si="6"/>
        <v>(23)</v>
      </c>
      <c r="H17" s="30">
        <f t="shared" ref="H17" si="72">IFERROR(CHOOSE($C$135,HLOOKUP(H$10,$D$60:$V$70,$B67+1,0),HLOOKUP(H$10,$D$81:$W$90,$B88+1,0),HLOOKUP(H$10,$D$101:$AB$105,$B108+1,0),HLOOKUP(H$10,$D$118:$AA$123,$B125+1,0)),"")</f>
        <v>131770.4440860638</v>
      </c>
      <c r="I17" s="6" t="str">
        <f t="shared" si="8"/>
        <v>(1)</v>
      </c>
      <c r="J17" s="30">
        <f t="shared" ref="J17" si="73">IFERROR(CHOOSE($C$135,HLOOKUP(J$10,$D$60:$V$70,$B67+1,0),HLOOKUP(J$10,$D$81:$W$90,$B88+1,0),HLOOKUP(J$10,$D$101:$AB$105,$B108+1,0),HLOOKUP(J$10,$D$118:$AA$123,$B125+1,0)),"")</f>
        <v>55059.788269721044</v>
      </c>
      <c r="K17" s="6" t="str">
        <f t="shared" si="10"/>
        <v>(14)</v>
      </c>
      <c r="L17" s="30">
        <f t="shared" ref="L17" si="74">IFERROR(CHOOSE($C$135,HLOOKUP(L$10,$D$60:$V$70,$B67+1,0),HLOOKUP(L$10,$D$81:$W$90,$B88+1,0),HLOOKUP(L$10,$D$101:$AB$105,$B108+1,0),HLOOKUP(L$10,$D$118:$AA$123,$B125+1,0)),"")</f>
        <v>43447.660813512979</v>
      </c>
      <c r="M17" s="6" t="str">
        <f t="shared" si="12"/>
        <v>(4)</v>
      </c>
      <c r="N17" s="30">
        <f t="shared" ref="N17" si="75">IFERROR(CHOOSE($C$135,HLOOKUP(N$10,$D$60:$V$70,$B67+1,0),HLOOKUP(N$10,$D$81:$W$90,$B88+1,0),HLOOKUP(N$10,$D$101:$AB$105,$B108+1,0),HLOOKUP(N$10,$D$118:$AA$123,$B125+1,0)),"")</f>
        <v>41118.89009647302</v>
      </c>
      <c r="O17" s="6" t="str">
        <f t="shared" si="14"/>
        <v>(19)</v>
      </c>
      <c r="P17" s="30">
        <f t="shared" ref="P17" si="76">IFERROR(CHOOSE($C$135,HLOOKUP(P$10,$D$60:$V$70,$B67+1,0),HLOOKUP(P$10,$D$81:$W$90,$B88+1,0),HLOOKUP(P$10,$D$101:$AB$105,$B108+1,0),HLOOKUP(P$10,$D$118:$AA$123,$B125+1,0)),"")</f>
        <v>21432.036041384017</v>
      </c>
      <c r="Q17" s="6" t="str">
        <f t="shared" si="16"/>
        <v>(5)</v>
      </c>
      <c r="R17" s="30">
        <f t="shared" ref="R17" si="77">IFERROR(CHOOSE($C$135,HLOOKUP(R$10,$D$60:$V$70,$B67+1,0),HLOOKUP(R$10,$D$81:$W$90,$B88+1,0),HLOOKUP(R$10,$D$101:$AB$105,$B108+1,0),HLOOKUP(R$10,$D$118:$AA$123,$B125+1,0)),"")</f>
        <v>8863.6591214067066</v>
      </c>
      <c r="S17" s="6" t="str">
        <f t="shared" si="18"/>
        <v>(26)</v>
      </c>
      <c r="T17" s="30">
        <f t="shared" ref="T17" si="78">IFERROR(CHOOSE($C$135,HLOOKUP(T$10,$D$60:$V$70,$B67+1,0),HLOOKUP(T$10,$D$81:$W$90,$B88+1,0),HLOOKUP(T$10,$D$101:$AB$105,$B108+1,0),HLOOKUP(T$10,$D$118:$AA$123,$B125+1,0)),"")</f>
        <v>2101.9948825940269</v>
      </c>
      <c r="U17" s="6" t="str">
        <f t="shared" si="20"/>
        <v>(3)</v>
      </c>
      <c r="V17" s="30" t="str">
        <f t="shared" ref="V17" si="79">IFERROR(CHOOSE($C$135,HLOOKUP(V$10,$D$60:$V$70,$B67+1,0),HLOOKUP(V$10,$D$81:$W$90,$B88+1,0),HLOOKUP(V$10,$D$101:$AB$105,$B108+1,0),HLOOKUP(V$10,$D$118:$AA$123,$B125+1,0)),"")</f>
        <v/>
      </c>
      <c r="W17" s="6" t="str">
        <f t="shared" si="22"/>
        <v/>
      </c>
      <c r="AN17" s="25" t="str">
        <f t="shared" si="23"/>
        <v>Accountant</v>
      </c>
      <c r="AO17" s="31" t="e">
        <f t="shared" si="24"/>
        <v>#N/A</v>
      </c>
      <c r="AP17" s="31" t="e">
        <f t="shared" si="25"/>
        <v>#N/A</v>
      </c>
      <c r="AQ17" s="31" t="e">
        <f t="shared" si="26"/>
        <v>#N/A</v>
      </c>
      <c r="AR17" s="31" t="e">
        <f t="shared" si="27"/>
        <v>#N/A</v>
      </c>
      <c r="AS17" s="31" t="e">
        <f t="shared" si="28"/>
        <v>#N/A</v>
      </c>
      <c r="AT17" s="31" t="e">
        <f t="shared" si="29"/>
        <v>#N/A</v>
      </c>
      <c r="AU17" s="31" t="e">
        <f t="shared" si="30"/>
        <v>#N/A</v>
      </c>
      <c r="AV17" s="31" t="e">
        <f t="shared" si="31"/>
        <v>#N/A</v>
      </c>
      <c r="AW17" s="31">
        <f t="shared" si="32"/>
        <v>8863.6591214067066</v>
      </c>
      <c r="AX17" s="31" t="e">
        <f t="shared" si="33"/>
        <v>#N/A</v>
      </c>
      <c r="AY17" s="31" t="e">
        <f t="shared" si="34"/>
        <v>#N/A</v>
      </c>
    </row>
    <row r="18" spans="1:51" ht="22.5" customHeight="1" x14ac:dyDescent="0.25">
      <c r="A18" s="9" t="str">
        <f t="shared" si="2"/>
        <v>Manager</v>
      </c>
      <c r="B18" s="30">
        <f t="shared" si="0"/>
        <v>41919.457113506971</v>
      </c>
      <c r="C18" s="6" t="str">
        <f t="shared" si="3"/>
        <v>(392)</v>
      </c>
      <c r="D18" s="30">
        <f t="shared" si="1"/>
        <v>95277.699924673987</v>
      </c>
      <c r="E18" s="6" t="str">
        <f t="shared" si="4"/>
        <v>(18)</v>
      </c>
      <c r="F18" s="30">
        <f t="shared" ref="F18" si="80">IFERROR(CHOOSE($C$135,HLOOKUP(F$10,$D$60:$V$70,$B68+1,0),HLOOKUP(F$10,$D$81:$W$90,$B89+1,0),HLOOKUP(F$10,$D$101:$AB$105,$B109+1,0),HLOOKUP(F$10,$D$118:$AA$123,$B126+1,0)),"")</f>
        <v>80467.578947368427</v>
      </c>
      <c r="G18" s="6" t="str">
        <f t="shared" si="6"/>
        <v>(76)</v>
      </c>
      <c r="H18" s="30">
        <f t="shared" ref="H18" si="81">IFERROR(CHOOSE($C$135,HLOOKUP(H$10,$D$60:$V$70,$B68+1,0),HLOOKUP(H$10,$D$81:$W$90,$B89+1,0),HLOOKUP(H$10,$D$101:$AB$105,$B109+1,0),HLOOKUP(H$10,$D$118:$AA$123,$B126+1,0)),"")</f>
        <v>65267.907013334378</v>
      </c>
      <c r="I18" s="6" t="str">
        <f t="shared" si="8"/>
        <v>(5)</v>
      </c>
      <c r="J18" s="30">
        <f t="shared" ref="J18" si="82">IFERROR(CHOOSE($C$135,HLOOKUP(J$10,$D$60:$V$70,$B68+1,0),HLOOKUP(J$10,$D$81:$W$90,$B89+1,0),HLOOKUP(J$10,$D$101:$AB$105,$B109+1,0),HLOOKUP(J$10,$D$118:$AA$123,$B126+1,0)),"")</f>
        <v>67841.549950665634</v>
      </c>
      <c r="K18" s="6" t="str">
        <f t="shared" si="10"/>
        <v>(25)</v>
      </c>
      <c r="L18" s="30">
        <f t="shared" ref="L18" si="83">IFERROR(CHOOSE($C$135,HLOOKUP(L$10,$D$60:$V$70,$B68+1,0),HLOOKUP(L$10,$D$81:$W$90,$B89+1,0),HLOOKUP(L$10,$D$101:$AB$105,$B109+1,0),HLOOKUP(L$10,$D$118:$AA$123,$B126+1,0)),"")</f>
        <v>64887.492338211661</v>
      </c>
      <c r="M18" s="6" t="str">
        <f t="shared" si="12"/>
        <v>(27)</v>
      </c>
      <c r="N18" s="30">
        <f t="shared" ref="N18" si="84">IFERROR(CHOOSE($C$135,HLOOKUP(N$10,$D$60:$V$70,$B68+1,0),HLOOKUP(N$10,$D$81:$W$90,$B89+1,0),HLOOKUP(N$10,$D$101:$AB$105,$B109+1,0),HLOOKUP(N$10,$D$118:$AA$123,$B126+1,0)),"")</f>
        <v>42342.530832159857</v>
      </c>
      <c r="O18" s="6" t="str">
        <f t="shared" si="14"/>
        <v>(34)</v>
      </c>
      <c r="P18" s="30">
        <f t="shared" ref="P18" si="85">IFERROR(CHOOSE($C$135,HLOOKUP(P$10,$D$60:$V$70,$B68+1,0),HLOOKUP(P$10,$D$81:$W$90,$B89+1,0),HLOOKUP(P$10,$D$101:$AB$105,$B109+1,0),HLOOKUP(P$10,$D$118:$AA$123,$B126+1,0)),"")</f>
        <v>27543.141511940754</v>
      </c>
      <c r="Q18" s="6" t="str">
        <f t="shared" si="16"/>
        <v>(20)</v>
      </c>
      <c r="R18" s="30">
        <f t="shared" ref="R18" si="86">IFERROR(CHOOSE($C$135,HLOOKUP(R$10,$D$60:$V$70,$B68+1,0),HLOOKUP(R$10,$D$81:$W$90,$B89+1,0),HLOOKUP(R$10,$D$101:$AB$105,$B109+1,0),HLOOKUP(R$10,$D$118:$AA$123,$B126+1,0)),"")</f>
        <v>15529.153395511199</v>
      </c>
      <c r="S18" s="6" t="str">
        <f t="shared" si="18"/>
        <v>(174)</v>
      </c>
      <c r="T18" s="30">
        <f t="shared" ref="T18" si="87">IFERROR(CHOOSE($C$135,HLOOKUP(T$10,$D$60:$V$70,$B68+1,0),HLOOKUP(T$10,$D$81:$W$90,$B89+1,0),HLOOKUP(T$10,$D$101:$AB$105,$B109+1,0),HLOOKUP(T$10,$D$118:$AA$123,$B126+1,0)),"")</f>
        <v>10382.341810335902</v>
      </c>
      <c r="U18" s="6" t="str">
        <f t="shared" si="20"/>
        <v>(13)</v>
      </c>
      <c r="V18" s="30" t="str">
        <f t="shared" ref="V18" si="88">IFERROR(CHOOSE($C$135,HLOOKUP(V$10,$D$60:$V$70,$B68+1,0),HLOOKUP(V$10,$D$81:$W$90,$B89+1,0),HLOOKUP(V$10,$D$101:$AB$105,$B109+1,0),HLOOKUP(V$10,$D$118:$AA$123,$B126+1,0)),"")</f>
        <v/>
      </c>
      <c r="W18" s="6" t="str">
        <f t="shared" si="22"/>
        <v/>
      </c>
      <c r="AN18" s="25" t="str">
        <f t="shared" si="23"/>
        <v>Manager</v>
      </c>
      <c r="AO18" s="31" t="e">
        <f t="shared" si="24"/>
        <v>#N/A</v>
      </c>
      <c r="AP18" s="31" t="e">
        <f t="shared" si="25"/>
        <v>#N/A</v>
      </c>
      <c r="AQ18" s="31" t="e">
        <f t="shared" si="26"/>
        <v>#N/A</v>
      </c>
      <c r="AR18" s="31" t="e">
        <f t="shared" si="27"/>
        <v>#N/A</v>
      </c>
      <c r="AS18" s="31" t="e">
        <f t="shared" si="28"/>
        <v>#N/A</v>
      </c>
      <c r="AT18" s="31" t="e">
        <f t="shared" si="29"/>
        <v>#N/A</v>
      </c>
      <c r="AU18" s="31" t="e">
        <f t="shared" si="30"/>
        <v>#N/A</v>
      </c>
      <c r="AV18" s="31" t="e">
        <f t="shared" si="31"/>
        <v>#N/A</v>
      </c>
      <c r="AW18" s="31">
        <f t="shared" si="32"/>
        <v>15529.153395511199</v>
      </c>
      <c r="AX18" s="31" t="e">
        <f t="shared" si="33"/>
        <v>#N/A</v>
      </c>
      <c r="AY18" s="31" t="e">
        <f t="shared" si="34"/>
        <v>#N/A</v>
      </c>
    </row>
    <row r="19" spans="1:51" ht="22.5" customHeight="1" x14ac:dyDescent="0.25">
      <c r="A19" s="9" t="str">
        <f t="shared" si="2"/>
        <v>Misc.</v>
      </c>
      <c r="B19" s="30">
        <f t="shared" si="0"/>
        <v>38611.056587623265</v>
      </c>
      <c r="C19" s="6" t="str">
        <f t="shared" si="3"/>
        <v>(6)</v>
      </c>
      <c r="D19" s="30">
        <f t="shared" si="1"/>
        <v>0</v>
      </c>
      <c r="E19" s="6" t="str">
        <f t="shared" si="4"/>
        <v>(0)</v>
      </c>
      <c r="F19" s="30">
        <f t="shared" ref="F19" si="89">IFERROR(CHOOSE($C$135,HLOOKUP(F$10,$D$60:$V$70,$B69+1,0),HLOOKUP(F$10,$D$81:$W$90,$B90+1,0),HLOOKUP(F$10,$D$101:$AB$105,$B110+1,0),HLOOKUP(F$10,$D$118:$AA$123,$B127+1,0)),"")</f>
        <v>80730.5</v>
      </c>
      <c r="G19" s="6" t="str">
        <f t="shared" si="6"/>
        <v>(2)</v>
      </c>
      <c r="H19" s="30">
        <f t="shared" ref="H19" si="90">IFERROR(CHOOSE($C$135,HLOOKUP(H$10,$D$60:$V$70,$B69+1,0),HLOOKUP(H$10,$D$81:$W$90,$B90+1,0),HLOOKUP(H$10,$D$101:$AB$105,$B110+1,0),HLOOKUP(H$10,$D$118:$AA$123,$B127+1,0)),"")</f>
        <v>0</v>
      </c>
      <c r="I19" s="6" t="str">
        <f t="shared" si="8"/>
        <v>(0)</v>
      </c>
      <c r="J19" s="30">
        <f t="shared" ref="J19" si="91">IFERROR(CHOOSE($C$135,HLOOKUP(J$10,$D$60:$V$70,$B69+1,0),HLOOKUP(J$10,$D$81:$W$90,$B90+1,0),HLOOKUP(J$10,$D$101:$AB$105,$B110+1,0),HLOOKUP(J$10,$D$118:$AA$123,$B127+1,0)),"")</f>
        <v>0</v>
      </c>
      <c r="K19" s="6" t="str">
        <f t="shared" si="10"/>
        <v>(0)</v>
      </c>
      <c r="L19" s="30">
        <f t="shared" ref="L19" si="92">IFERROR(CHOOSE($C$135,HLOOKUP(L$10,$D$60:$V$70,$B69+1,0),HLOOKUP(L$10,$D$81:$W$90,$B90+1,0),HLOOKUP(L$10,$D$101:$AB$105,$B110+1,0),HLOOKUP(L$10,$D$118:$AA$123,$B127+1,0)),"")</f>
        <v>0</v>
      </c>
      <c r="M19" s="6" t="str">
        <f t="shared" si="12"/>
        <v>(0)</v>
      </c>
      <c r="N19" s="30">
        <f t="shared" ref="N19" si="93">IFERROR(CHOOSE($C$135,HLOOKUP(N$10,$D$60:$V$70,$B69+1,0),HLOOKUP(N$10,$D$81:$W$90,$B90+1,0),HLOOKUP(N$10,$D$101:$AB$105,$B110+1,0),HLOOKUP(N$10,$D$118:$AA$123,$B127+1,0)),"")</f>
        <v>0</v>
      </c>
      <c r="O19" s="6" t="str">
        <f t="shared" si="14"/>
        <v>(0)</v>
      </c>
      <c r="P19" s="30">
        <f t="shared" ref="P19" si="94">IFERROR(CHOOSE($C$135,HLOOKUP(P$10,$D$60:$V$70,$B69+1,0),HLOOKUP(P$10,$D$81:$W$90,$B90+1,0),HLOOKUP(P$10,$D$101:$AB$105,$B110+1,0),HLOOKUP(P$10,$D$118:$AA$123,$B127+1,0)),"")</f>
        <v>0</v>
      </c>
      <c r="Q19" s="6" t="str">
        <f t="shared" si="16"/>
        <v>(0)</v>
      </c>
      <c r="R19" s="30">
        <f t="shared" ref="R19" si="95">IFERROR(CHOOSE($C$135,HLOOKUP(R$10,$D$60:$V$70,$B69+1,0),HLOOKUP(R$10,$D$81:$W$90,$B90+1,0),HLOOKUP(R$10,$D$101:$AB$105,$B110+1,0),HLOOKUP(R$10,$D$118:$AA$123,$B127+1,0)),"")</f>
        <v>17551.33488143489</v>
      </c>
      <c r="S19" s="6" t="str">
        <f t="shared" si="18"/>
        <v>(4)</v>
      </c>
      <c r="T19" s="30">
        <f t="shared" ref="T19" si="96">IFERROR(CHOOSE($C$135,HLOOKUP(T$10,$D$60:$V$70,$B69+1,0),HLOOKUP(T$10,$D$81:$W$90,$B90+1,0),HLOOKUP(T$10,$D$101:$AB$105,$B110+1,0),HLOOKUP(T$10,$D$118:$AA$123,$B127+1,0)),"")</f>
        <v>0</v>
      </c>
      <c r="U19" s="6" t="str">
        <f t="shared" si="20"/>
        <v>(0)</v>
      </c>
      <c r="V19" s="30" t="str">
        <f t="shared" ref="V19" si="97">IFERROR(CHOOSE($C$135,HLOOKUP(V$10,$D$60:$V$70,$B69+1,0),HLOOKUP(V$10,$D$81:$W$90,$B90+1,0),HLOOKUP(V$10,$D$101:$AB$105,$B110+1,0),HLOOKUP(V$10,$D$118:$AA$123,$B127+1,0)),"")</f>
        <v/>
      </c>
      <c r="W19" s="6" t="str">
        <f t="shared" si="22"/>
        <v/>
      </c>
      <c r="AN19" s="25" t="str">
        <f t="shared" si="23"/>
        <v>Misc.</v>
      </c>
      <c r="AO19" s="31" t="e">
        <f t="shared" si="24"/>
        <v>#N/A</v>
      </c>
      <c r="AP19" s="31" t="e">
        <f t="shared" si="25"/>
        <v>#N/A</v>
      </c>
      <c r="AQ19" s="31" t="e">
        <f t="shared" si="26"/>
        <v>#N/A</v>
      </c>
      <c r="AR19" s="31" t="e">
        <f t="shared" si="27"/>
        <v>#N/A</v>
      </c>
      <c r="AS19" s="31" t="e">
        <f t="shared" si="28"/>
        <v>#N/A</v>
      </c>
      <c r="AT19" s="31" t="e">
        <f t="shared" si="29"/>
        <v>#N/A</v>
      </c>
      <c r="AU19" s="31" t="e">
        <f t="shared" si="30"/>
        <v>#N/A</v>
      </c>
      <c r="AV19" s="31" t="e">
        <f t="shared" si="31"/>
        <v>#N/A</v>
      </c>
      <c r="AW19" s="31">
        <f t="shared" si="32"/>
        <v>17551.33488143489</v>
      </c>
      <c r="AX19" s="31" t="e">
        <f t="shared" si="33"/>
        <v>#N/A</v>
      </c>
      <c r="AY19" s="31" t="e">
        <f t="shared" si="34"/>
        <v>#N/A</v>
      </c>
    </row>
    <row r="20" spans="1:51" ht="22.5" customHeight="1" x14ac:dyDescent="0.25">
      <c r="A20" s="9" t="str">
        <f t="shared" si="2"/>
        <v>Reporting</v>
      </c>
      <c r="B20" s="30">
        <f>IFERROR(CHOOSE($C$135,HLOOKUP(B$10,$D$60:$V$70,$B70+1,0),HLOOKUP(B$10,$D$81:$W$90,$B91+1,0),HLOOKUP(B$10,$D$101:$AB$105,$B115+1,0),HLOOKUP(B$10,$D$118:$AA$123,$B128+1,0)),"")</f>
        <v>16478.624035917248</v>
      </c>
      <c r="C20" s="6" t="str">
        <f t="shared" si="3"/>
        <v>(71)</v>
      </c>
      <c r="D20" s="30">
        <f>IFERROR(CHOOSE($C$135,HLOOKUP(D$10,$D$60:$V$70,$B70+1,0),HLOOKUP(D$10,$D$81:$W$90,$B91+1,0),HLOOKUP(D$10,$D$101:$AB$105,$B115+1,0),HLOOKUP(D$10,$D$118:$AA$123,$B128+1,0)),"")</f>
        <v>85000</v>
      </c>
      <c r="E20" s="6" t="str">
        <f t="shared" si="4"/>
        <v>(1)</v>
      </c>
      <c r="F20" s="30">
        <f t="shared" ref="F20" si="98">IFERROR(CHOOSE($C$135,HLOOKUP(F$10,$D$60:$V$70,$B70+1,0),HLOOKUP(F$10,$D$81:$W$90,$B91+1,0),HLOOKUP(F$10,$D$101:$AB$105,$B115+1,0),HLOOKUP(F$10,$D$118:$AA$123,$B128+1,0)),"")</f>
        <v>61500</v>
      </c>
      <c r="G20" s="6" t="str">
        <f t="shared" si="6"/>
        <v>(4)</v>
      </c>
      <c r="H20" s="30">
        <f t="shared" ref="H20" si="99">IFERROR(CHOOSE($C$135,HLOOKUP(H$10,$D$60:$V$70,$B70+1,0),HLOOKUP(H$10,$D$81:$W$90,$B91+1,0),HLOOKUP(H$10,$D$101:$AB$105,$B115+1,0),HLOOKUP(H$10,$D$118:$AA$123,$B128+1,0)),"")</f>
        <v>0</v>
      </c>
      <c r="I20" s="6" t="str">
        <f t="shared" si="8"/>
        <v>(0)</v>
      </c>
      <c r="J20" s="30">
        <f t="shared" ref="J20" si="100">IFERROR(CHOOSE($C$135,HLOOKUP(J$10,$D$60:$V$70,$B70+1,0),HLOOKUP(J$10,$D$81:$W$90,$B91+1,0),HLOOKUP(J$10,$D$101:$AB$105,$B115+1,0),HLOOKUP(J$10,$D$118:$AA$123,$B128+1,0)),"")</f>
        <v>31939.07519316065</v>
      </c>
      <c r="K20" s="6" t="str">
        <f t="shared" si="10"/>
        <v>(4)</v>
      </c>
      <c r="L20" s="30">
        <f t="shared" ref="L20" si="101">IFERROR(CHOOSE($C$135,HLOOKUP(L$10,$D$60:$V$70,$B70+1,0),HLOOKUP(L$10,$D$81:$W$90,$B91+1,0),HLOOKUP(L$10,$D$101:$AB$105,$B115+1,0),HLOOKUP(L$10,$D$118:$AA$123,$B128+1,0)),"")</f>
        <v>0</v>
      </c>
      <c r="M20" s="6" t="str">
        <f t="shared" si="12"/>
        <v>(0)</v>
      </c>
      <c r="N20" s="30">
        <f t="shared" ref="N20" si="102">IFERROR(CHOOSE($C$135,HLOOKUP(N$10,$D$60:$V$70,$B70+1,0),HLOOKUP(N$10,$D$81:$W$90,$B91+1,0),HLOOKUP(N$10,$D$101:$AB$105,$B115+1,0),HLOOKUP(N$10,$D$118:$AA$123,$B128+1,0)),"")</f>
        <v>23030.76923076923</v>
      </c>
      <c r="O20" s="6" t="str">
        <f t="shared" si="14"/>
        <v>(5)</v>
      </c>
      <c r="P20" s="30">
        <f t="shared" ref="P20" si="103">IFERROR(CHOOSE($C$135,HLOOKUP(P$10,$D$60:$V$70,$B70+1,0),HLOOKUP(P$10,$D$81:$W$90,$B91+1,0),HLOOKUP(P$10,$D$101:$AB$105,$B115+1,0),HLOOKUP(P$10,$D$118:$AA$123,$B128+1,0)),"")</f>
        <v>18060</v>
      </c>
      <c r="Q20" s="6" t="str">
        <f t="shared" si="16"/>
        <v>(1)</v>
      </c>
      <c r="R20" s="30">
        <f t="shared" ref="R20" si="104">IFERROR(CHOOSE($C$135,HLOOKUP(R$10,$D$60:$V$70,$B70+1,0),HLOOKUP(R$10,$D$81:$W$90,$B91+1,0),HLOOKUP(R$10,$D$101:$AB$105,$B115+1,0),HLOOKUP(R$10,$D$118:$AA$123,$B128+1,0)),"")</f>
        <v>10474.5749755384</v>
      </c>
      <c r="S20" s="6" t="str">
        <f t="shared" si="18"/>
        <v>(55)</v>
      </c>
      <c r="T20" s="30">
        <f t="shared" ref="T20" si="105">IFERROR(CHOOSE($C$135,HLOOKUP(T$10,$D$60:$V$70,$B70+1,0),HLOOKUP(T$10,$D$81:$W$90,$B91+1,0),HLOOKUP(T$10,$D$101:$AB$105,$B115+1,0),HLOOKUP(T$10,$D$118:$AA$123,$B128+1,0)),"")</f>
        <v>1910.5359690238436</v>
      </c>
      <c r="U20" s="6" t="str">
        <f t="shared" si="20"/>
        <v>(1)</v>
      </c>
      <c r="V20" s="30" t="str">
        <f t="shared" ref="V20" si="106">IFERROR(CHOOSE($C$135,HLOOKUP(V$10,$D$60:$V$70,$B70+1,0),HLOOKUP(V$10,$D$81:$W$90,$B91+1,0),HLOOKUP(V$10,$D$101:$AB$105,$B115+1,0),HLOOKUP(V$10,$D$118:$AA$123,$B128+1,0)),"")</f>
        <v/>
      </c>
      <c r="W20" s="6" t="str">
        <f t="shared" si="22"/>
        <v/>
      </c>
      <c r="AN20" s="25" t="str">
        <f t="shared" si="23"/>
        <v>Reporting</v>
      </c>
      <c r="AO20" s="31" t="e">
        <f t="shared" si="24"/>
        <v>#N/A</v>
      </c>
      <c r="AP20" s="31" t="e">
        <f t="shared" si="25"/>
        <v>#N/A</v>
      </c>
      <c r="AQ20" s="31" t="e">
        <f t="shared" si="26"/>
        <v>#N/A</v>
      </c>
      <c r="AR20" s="31" t="e">
        <f t="shared" si="27"/>
        <v>#N/A</v>
      </c>
      <c r="AS20" s="31" t="e">
        <f t="shared" si="28"/>
        <v>#N/A</v>
      </c>
      <c r="AT20" s="31" t="e">
        <f t="shared" si="29"/>
        <v>#N/A</v>
      </c>
      <c r="AU20" s="31" t="e">
        <f t="shared" si="30"/>
        <v>#N/A</v>
      </c>
      <c r="AV20" s="31" t="e">
        <f t="shared" si="31"/>
        <v>#N/A</v>
      </c>
      <c r="AW20" s="31">
        <f t="shared" si="32"/>
        <v>10474.5749755384</v>
      </c>
      <c r="AX20" s="31" t="e">
        <f t="shared" si="33"/>
        <v>#N/A</v>
      </c>
      <c r="AY20" s="31" t="e">
        <f t="shared" si="34"/>
        <v>#N/A</v>
      </c>
    </row>
    <row r="21" spans="1:51" ht="15" customHeight="1" x14ac:dyDescent="0.25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O21" s="7"/>
    </row>
    <row r="22" spans="1:51" ht="15" customHeight="1" x14ac:dyDescent="0.25">
      <c r="A22" s="7"/>
      <c r="B22" s="4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51" ht="15" customHeight="1" x14ac:dyDescent="0.25">
      <c r="A23" s="7"/>
      <c r="B23" s="4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51" ht="15" customHeight="1" x14ac:dyDescent="0.25">
      <c r="A24" s="7"/>
      <c r="B24" s="4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51" ht="1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51" ht="1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51" ht="1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51" ht="1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51" ht="1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51" ht="1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51" ht="1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51" ht="1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ht="1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ht="1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ht="1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ht="1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  <row r="37" spans="1:15" ht="15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</row>
    <row r="38" spans="1:15" ht="1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</row>
    <row r="39" spans="1:15" ht="1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</row>
    <row r="40" spans="1:15" ht="1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</row>
    <row r="41" spans="1:15" ht="1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</row>
    <row r="42" spans="1:15" ht="15" customHeight="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1:15" ht="1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1:15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spans="1:15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ht="1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ht="1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79" ht="1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79" ht="1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79" ht="1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79" ht="1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79" ht="1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79" ht="1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79" ht="1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79" ht="1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79" ht="15" customHeight="1" x14ac:dyDescent="0.25">
      <c r="A57" s="7"/>
      <c r="C57" s="7"/>
      <c r="D57" s="7"/>
      <c r="E57" s="11"/>
      <c r="H57" s="11"/>
      <c r="I57" s="7"/>
      <c r="J57" s="7"/>
      <c r="K57" s="7"/>
      <c r="L57" s="7"/>
      <c r="M57" s="7"/>
      <c r="N57" s="7"/>
      <c r="O57" s="7"/>
    </row>
    <row r="58" spans="1:179" s="25" customFormat="1" ht="15" hidden="1" customHeight="1" x14ac:dyDescent="0.25"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CZ58" s="38" t="s">
        <v>1466</v>
      </c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 t="s">
        <v>1465</v>
      </c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 t="s">
        <v>1464</v>
      </c>
      <c r="EM58" s="38"/>
      <c r="EN58" s="38"/>
      <c r="EO58" s="38"/>
      <c r="EP58" s="38"/>
      <c r="EQ58" s="38"/>
      <c r="ER58" s="38"/>
      <c r="ES58" s="38"/>
      <c r="ET58" s="38"/>
      <c r="EU58" s="38"/>
      <c r="EV58" s="38"/>
      <c r="EW58" s="38"/>
      <c r="EX58" s="38"/>
      <c r="EY58" s="38"/>
      <c r="EZ58" s="38"/>
      <c r="FA58" s="38"/>
      <c r="FB58" s="38"/>
      <c r="FC58" s="38"/>
      <c r="FD58" s="38"/>
      <c r="FE58" s="38" t="s">
        <v>1467</v>
      </c>
      <c r="FF58" s="38"/>
      <c r="FG58" s="38"/>
      <c r="FH58" s="38"/>
      <c r="FI58" s="38"/>
      <c r="FJ58" s="38"/>
      <c r="FK58" s="38"/>
      <c r="FL58" s="38"/>
      <c r="FM58" s="38"/>
      <c r="FN58" s="38"/>
      <c r="FO58" s="38"/>
      <c r="FP58" s="38"/>
      <c r="FQ58" s="38"/>
      <c r="FR58" s="38"/>
      <c r="FS58" s="38"/>
      <c r="FT58" s="38"/>
      <c r="FU58" s="38"/>
      <c r="FV58" s="38"/>
      <c r="FW58" s="38"/>
    </row>
    <row r="59" spans="1:179" s="25" customFormat="1" ht="15" hidden="1" customHeight="1" x14ac:dyDescent="0.25">
      <c r="E59" s="28" t="s">
        <v>1452</v>
      </c>
      <c r="F59" s="28"/>
      <c r="G59" s="28"/>
      <c r="H59" s="28"/>
      <c r="I59" s="28"/>
      <c r="J59" s="28"/>
      <c r="K59" s="28"/>
      <c r="L59" s="28"/>
      <c r="M59" s="28"/>
      <c r="N59" s="25" t="s">
        <v>1456</v>
      </c>
      <c r="R59" s="25" t="s">
        <v>1435</v>
      </c>
      <c r="DA59" s="28" t="s">
        <v>1452</v>
      </c>
      <c r="DB59" s="28"/>
      <c r="DC59" s="28"/>
      <c r="DD59" s="28"/>
      <c r="DE59" s="28"/>
      <c r="DF59" s="28"/>
      <c r="DG59" s="28"/>
      <c r="DH59" s="28"/>
      <c r="DI59" s="28"/>
      <c r="DJ59" s="25" t="s">
        <v>1456</v>
      </c>
      <c r="DN59" s="25" t="s">
        <v>1435</v>
      </c>
      <c r="DT59" s="28" t="s">
        <v>1452</v>
      </c>
      <c r="DU59" s="28"/>
      <c r="DV59" s="28"/>
      <c r="DW59" s="28"/>
      <c r="DX59" s="28"/>
      <c r="DY59" s="28"/>
      <c r="DZ59" s="28"/>
      <c r="EA59" s="28"/>
      <c r="EB59" s="28"/>
      <c r="EC59" s="25" t="s">
        <v>1456</v>
      </c>
      <c r="EG59" s="25" t="s">
        <v>1435</v>
      </c>
      <c r="EM59" s="28" t="s">
        <v>1452</v>
      </c>
      <c r="EN59" s="28"/>
      <c r="EO59" s="28"/>
      <c r="EP59" s="28"/>
      <c r="EQ59" s="28"/>
      <c r="ER59" s="28"/>
      <c r="ES59" s="28"/>
      <c r="ET59" s="28"/>
      <c r="EU59" s="28"/>
      <c r="EV59" s="25" t="s">
        <v>1456</v>
      </c>
      <c r="EZ59" s="25" t="s">
        <v>1435</v>
      </c>
      <c r="FF59" s="28" t="s">
        <v>1452</v>
      </c>
      <c r="FG59" s="28"/>
      <c r="FH59" s="28"/>
      <c r="FI59" s="28"/>
      <c r="FJ59" s="28"/>
      <c r="FK59" s="28"/>
      <c r="FL59" s="28"/>
      <c r="FM59" s="28"/>
      <c r="FN59" s="28"/>
      <c r="FO59" s="25" t="s">
        <v>1456</v>
      </c>
      <c r="FS59" s="25" t="s">
        <v>1435</v>
      </c>
    </row>
    <row r="60" spans="1:179" s="25" customFormat="1" ht="15" hidden="1" customHeight="1" x14ac:dyDescent="0.25">
      <c r="C60" s="28" t="s">
        <v>1436</v>
      </c>
      <c r="D60" s="28" t="s">
        <v>1462</v>
      </c>
      <c r="E60" s="25" t="s">
        <v>18</v>
      </c>
      <c r="F60" s="25" t="s">
        <v>1</v>
      </c>
      <c r="G60" s="25" t="s">
        <v>19</v>
      </c>
      <c r="H60" s="25" t="s">
        <v>15</v>
      </c>
      <c r="I60" s="25" t="s">
        <v>1453</v>
      </c>
      <c r="J60" s="25" t="s">
        <v>1451</v>
      </c>
      <c r="K60" s="25" t="s">
        <v>1454</v>
      </c>
      <c r="L60" s="25" t="s">
        <v>0</v>
      </c>
      <c r="M60" s="25" t="s">
        <v>2</v>
      </c>
      <c r="N60" s="25" t="s">
        <v>1442</v>
      </c>
      <c r="O60" s="25" t="s">
        <v>1443</v>
      </c>
      <c r="P60" s="25" t="s">
        <v>1441</v>
      </c>
      <c r="Q60" s="25" t="s">
        <v>1440</v>
      </c>
      <c r="R60" s="25" t="s">
        <v>1445</v>
      </c>
      <c r="S60" s="25" t="s">
        <v>1447</v>
      </c>
      <c r="T60" s="25" t="s">
        <v>1446</v>
      </c>
      <c r="U60" s="25" t="s">
        <v>1448</v>
      </c>
      <c r="V60" s="25" t="s">
        <v>1449</v>
      </c>
      <c r="W60" s="25">
        <v>1</v>
      </c>
      <c r="CZ60" s="28" t="s">
        <v>1462</v>
      </c>
      <c r="DA60" s="25" t="s">
        <v>18</v>
      </c>
      <c r="DB60" s="25" t="s">
        <v>1</v>
      </c>
      <c r="DC60" s="25" t="s">
        <v>19</v>
      </c>
      <c r="DD60" s="25" t="s">
        <v>15</v>
      </c>
      <c r="DE60" s="25" t="s">
        <v>1453</v>
      </c>
      <c r="DF60" s="25" t="s">
        <v>1451</v>
      </c>
      <c r="DG60" s="25" t="s">
        <v>1454</v>
      </c>
      <c r="DH60" s="25" t="s">
        <v>0</v>
      </c>
      <c r="DI60" s="25" t="s">
        <v>2</v>
      </c>
      <c r="DJ60" s="25" t="s">
        <v>1442</v>
      </c>
      <c r="DK60" s="25" t="s">
        <v>1443</v>
      </c>
      <c r="DL60" s="25" t="s">
        <v>1441</v>
      </c>
      <c r="DM60" s="25" t="s">
        <v>1440</v>
      </c>
      <c r="DN60" s="25" t="s">
        <v>1445</v>
      </c>
      <c r="DO60" s="25" t="s">
        <v>1447</v>
      </c>
      <c r="DP60" s="25" t="s">
        <v>1446</v>
      </c>
      <c r="DQ60" s="25" t="s">
        <v>1448</v>
      </c>
      <c r="DR60" s="25" t="s">
        <v>1449</v>
      </c>
      <c r="DS60" s="28" t="s">
        <v>1462</v>
      </c>
      <c r="DT60" s="25" t="s">
        <v>18</v>
      </c>
      <c r="DU60" s="25" t="s">
        <v>1</v>
      </c>
      <c r="DV60" s="25" t="s">
        <v>19</v>
      </c>
      <c r="DW60" s="25" t="s">
        <v>15</v>
      </c>
      <c r="DX60" s="25" t="s">
        <v>1453</v>
      </c>
      <c r="DY60" s="25" t="s">
        <v>1451</v>
      </c>
      <c r="DZ60" s="25" t="s">
        <v>1454</v>
      </c>
      <c r="EA60" s="25" t="s">
        <v>0</v>
      </c>
      <c r="EB60" s="25" t="s">
        <v>2</v>
      </c>
      <c r="EC60" s="25" t="s">
        <v>1442</v>
      </c>
      <c r="ED60" s="25" t="s">
        <v>1443</v>
      </c>
      <c r="EE60" s="25" t="s">
        <v>1441</v>
      </c>
      <c r="EF60" s="25" t="s">
        <v>1440</v>
      </c>
      <c r="EG60" s="25" t="s">
        <v>1445</v>
      </c>
      <c r="EH60" s="25" t="s">
        <v>1447</v>
      </c>
      <c r="EI60" s="25" t="s">
        <v>1446</v>
      </c>
      <c r="EJ60" s="25" t="s">
        <v>1448</v>
      </c>
      <c r="EK60" s="25" t="s">
        <v>1449</v>
      </c>
      <c r="EL60" s="28" t="s">
        <v>1462</v>
      </c>
      <c r="EM60" s="25" t="s">
        <v>18</v>
      </c>
      <c r="EN60" s="25" t="s">
        <v>1</v>
      </c>
      <c r="EO60" s="25" t="s">
        <v>19</v>
      </c>
      <c r="EP60" s="25" t="s">
        <v>15</v>
      </c>
      <c r="EQ60" s="25" t="s">
        <v>1453</v>
      </c>
      <c r="ER60" s="25" t="s">
        <v>1451</v>
      </c>
      <c r="ES60" s="25" t="s">
        <v>1454</v>
      </c>
      <c r="ET60" s="25" t="s">
        <v>0</v>
      </c>
      <c r="EU60" s="25" t="s">
        <v>2</v>
      </c>
      <c r="EV60" s="25" t="s">
        <v>1442</v>
      </c>
      <c r="EW60" s="25" t="s">
        <v>1443</v>
      </c>
      <c r="EX60" s="25" t="s">
        <v>1441</v>
      </c>
      <c r="EY60" s="25" t="s">
        <v>1440</v>
      </c>
      <c r="EZ60" s="25" t="s">
        <v>1445</v>
      </c>
      <c r="FA60" s="25" t="s">
        <v>1447</v>
      </c>
      <c r="FB60" s="25" t="s">
        <v>1446</v>
      </c>
      <c r="FC60" s="25" t="s">
        <v>1448</v>
      </c>
      <c r="FD60" s="25" t="s">
        <v>1449</v>
      </c>
      <c r="FE60" s="28" t="s">
        <v>1462</v>
      </c>
      <c r="FF60" s="25" t="s">
        <v>18</v>
      </c>
      <c r="FG60" s="25" t="s">
        <v>1</v>
      </c>
      <c r="FH60" s="25" t="s">
        <v>19</v>
      </c>
      <c r="FI60" s="25" t="s">
        <v>15</v>
      </c>
      <c r="FJ60" s="25" t="s">
        <v>1453</v>
      </c>
      <c r="FK60" s="25" t="s">
        <v>1451</v>
      </c>
      <c r="FL60" s="25" t="s">
        <v>1454</v>
      </c>
      <c r="FM60" s="25" t="s">
        <v>0</v>
      </c>
      <c r="FN60" s="25" t="s">
        <v>2</v>
      </c>
      <c r="FO60" s="25" t="s">
        <v>1442</v>
      </c>
      <c r="FP60" s="25" t="s">
        <v>1443</v>
      </c>
      <c r="FQ60" s="25" t="s">
        <v>1441</v>
      </c>
      <c r="FR60" s="25" t="s">
        <v>1440</v>
      </c>
      <c r="FS60" s="25" t="s">
        <v>1445</v>
      </c>
      <c r="FT60" s="25" t="s">
        <v>1447</v>
      </c>
      <c r="FU60" s="25" t="s">
        <v>1446</v>
      </c>
      <c r="FV60" s="25" t="s">
        <v>1448</v>
      </c>
      <c r="FW60" s="25" t="s">
        <v>1449</v>
      </c>
    </row>
    <row r="61" spans="1:179" s="25" customFormat="1" ht="15" hidden="1" customHeight="1" x14ac:dyDescent="0.25">
      <c r="A61" s="29"/>
      <c r="B61" s="25">
        <v>1</v>
      </c>
      <c r="C61" s="25" t="s">
        <v>1439</v>
      </c>
      <c r="D61" s="26">
        <f t="shared" ref="D61:D70" si="107">CHOOSE($C$141,CZ61,DS61,EL61)</f>
        <v>92945.903175288535</v>
      </c>
      <c r="E61" s="26">
        <f t="shared" ref="E61:E70" si="108">CHOOSE($C$141,DA61,DT61,EM61)</f>
        <v>99441.191499256995</v>
      </c>
      <c r="F61" s="26">
        <f t="shared" ref="F61:F70" si="109">CHOOSE($C$141,DB61,DU61,EN61)</f>
        <v>139710.52631578947</v>
      </c>
      <c r="G61" s="26">
        <f t="shared" ref="G61:G70" si="110">CHOOSE($C$141,DC61,DV61,EO61)</f>
        <v>98336.152303032693</v>
      </c>
      <c r="H61" s="26">
        <f t="shared" ref="H61:H70" si="111">CHOOSE($C$141,DD61,DW61,EP61)</f>
        <v>72898.245083111891</v>
      </c>
      <c r="I61" s="26">
        <f t="shared" ref="I61:I70" si="112">CHOOSE($C$141,DE61,DX61,EQ61)</f>
        <v>86469.803299439722</v>
      </c>
      <c r="J61" s="26">
        <f t="shared" ref="J61:J70" si="113">CHOOSE($C$141,DF61,DY61,ER61)</f>
        <v>65250.403395887333</v>
      </c>
      <c r="K61" s="26">
        <f t="shared" ref="K61:K70" si="114">CHOOSE($C$141,DG61,DZ61,ES61)</f>
        <v>35000</v>
      </c>
      <c r="L61" s="26">
        <f t="shared" ref="L61:L70" si="115">CHOOSE($C$141,DH61,EA61,ET61)</f>
        <v>31032.550022437972</v>
      </c>
      <c r="M61" s="26">
        <f t="shared" ref="M61:M70" si="116">CHOOSE($C$141,DI61,EB61,EU61)</f>
        <v>0</v>
      </c>
      <c r="N61" s="26">
        <f t="shared" ref="N61:N70" si="117">CHOOSE($C$141,DJ61,EC61,EV61)</f>
        <v>87647.358072604897</v>
      </c>
      <c r="O61" s="26">
        <f t="shared" ref="O61:O70" si="118">CHOOSE($C$141,DK61,ED61,EW61)</f>
        <v>133525.33484784377</v>
      </c>
      <c r="P61" s="26">
        <f t="shared" ref="P61:P70" si="119">CHOOSE($C$141,DL61,EE61,EX61)</f>
        <v>82191.188973852593</v>
      </c>
      <c r="Q61" s="26">
        <f t="shared" ref="Q61:Q70" si="120">CHOOSE($C$141,DM61,EF61,EY61)</f>
        <v>82850.072837640459</v>
      </c>
      <c r="R61" s="26">
        <f t="shared" ref="R61:R70" si="121">CHOOSE($C$141,DN61,EG61,EZ61)</f>
        <v>52069.619158739442</v>
      </c>
      <c r="S61" s="26">
        <f t="shared" ref="S61:S70" si="122">CHOOSE($C$141,DO61,EH61,FA61)</f>
        <v>83791.161640712773</v>
      </c>
      <c r="T61" s="26">
        <f t="shared" ref="T61:T70" si="123">CHOOSE($C$141,DP61,EI61,FB61)</f>
        <v>99917.314179493667</v>
      </c>
      <c r="U61" s="26">
        <f t="shared" ref="U61:U70" si="124">CHOOSE($C$141,DQ61,EJ61,FC61)</f>
        <v>137044.50556075695</v>
      </c>
      <c r="V61" s="26">
        <f t="shared" ref="V61:V70" si="125">CHOOSE($C$141,DR61,EK61,FD61)</f>
        <v>0</v>
      </c>
      <c r="W61" s="25">
        <f>W60+1</f>
        <v>2</v>
      </c>
      <c r="CZ61" s="26">
        <f t="array" ref="CZ61">IFERROR(AVERAGE(IF(tblSalaries[Job Type]=Analysis!$C61,tblSalaries[Salary in USD])),0)</f>
        <v>92945.903175288535</v>
      </c>
      <c r="DA61" s="26">
        <f t="array" ref="DA61">IFERROR(AVERAGE(IF(tblSalaries[Region]=Analysis!DA$60,IF(tblSalaries[Job Type]=Analysis!$C61,tblSalaries[Salary in USD]))),0)</f>
        <v>99441.191499256995</v>
      </c>
      <c r="DB61" s="26">
        <f t="array" ref="DB61">IFERROR(AVERAGE(IF(tblSalaries[Region]=Analysis!DB$60,IF(tblSalaries[Job Type]=Analysis!$C61,tblSalaries[Salary in USD]))),0)</f>
        <v>139710.52631578947</v>
      </c>
      <c r="DC61" s="26">
        <f t="array" ref="DC61">IFERROR(AVERAGE(IF(tblSalaries[Region]=Analysis!DC$60,IF(tblSalaries[Job Type]=Analysis!$C61,tblSalaries[Salary in USD]))),0)</f>
        <v>98336.152303032693</v>
      </c>
      <c r="DD61" s="26">
        <f t="array" ref="DD61">IFERROR(AVERAGE(IF(tblSalaries[Region]=Analysis!DD$60,IF(tblSalaries[Job Type]=Analysis!$C61,tblSalaries[Salary in USD]))),0)</f>
        <v>72898.245083111891</v>
      </c>
      <c r="DE61" s="26">
        <f t="array" ref="DE61">IFERROR(AVERAGE(IF(tblSalaries[Region]=Analysis!DE$60,IF(tblSalaries[Job Type]=Analysis!$C61,tblSalaries[Salary in USD]))),0)</f>
        <v>86469.803299439722</v>
      </c>
      <c r="DF61" s="26">
        <f t="array" ref="DF61">IFERROR(AVERAGE(IF(tblSalaries[Region]=Analysis!DF$60,IF(tblSalaries[Job Type]=Analysis!$C61,tblSalaries[Salary in USD]))),0)</f>
        <v>65250.403395887333</v>
      </c>
      <c r="DG61" s="26">
        <f t="array" ref="DG61">IFERROR(AVERAGE(IF(tblSalaries[Region]=Analysis!DG$60,IF(tblSalaries[Job Type]=Analysis!$C61,tblSalaries[Salary in USD]))),0)</f>
        <v>35000</v>
      </c>
      <c r="DH61" s="26">
        <f t="array" ref="DH61">IFERROR(AVERAGE(IF(tblSalaries[Region]=Analysis!DH$60,IF(tblSalaries[Job Type]=Analysis!$C61,tblSalaries[Salary in USD]))),0)</f>
        <v>31032.550022437972</v>
      </c>
      <c r="DI61" s="26">
        <f t="array" ref="DI61">IFERROR(AVERAGE(IF(tblSalaries[Region]=Analysis!DI$60,IF(tblSalaries[Job Type]=Analysis!$C61,tblSalaries[Salary in USD]))),0)</f>
        <v>0</v>
      </c>
      <c r="DJ61" s="26">
        <f t="array" ref="DJ61">IFERROR(AVERAGE(IF(tblSalaries[Work Hour per day on Excel]=Analysis!DJ$60,IF(tblSalaries[Job Type]=Analysis!$C61,tblSalaries[Salary in USD]))),0)</f>
        <v>87647.358072604897</v>
      </c>
      <c r="DK61" s="26">
        <f t="array" ref="DK61">IFERROR(AVERAGE(IF(tblSalaries[Work Hour per day on Excel]=Analysis!DK$60,IF(tblSalaries[Job Type]=Analysis!$C61,tblSalaries[Salary in USD]))),0)</f>
        <v>133525.33484784377</v>
      </c>
      <c r="DL61" s="26">
        <f t="array" ref="DL61">IFERROR(AVERAGE(IF(tblSalaries[Work Hour per day on Excel]=Analysis!DL$60,IF(tblSalaries[Job Type]=Analysis!$C61,tblSalaries[Salary in USD]))),0)</f>
        <v>82191.188973852593</v>
      </c>
      <c r="DM61" s="26">
        <f t="array" ref="DM61">IFERROR(AVERAGE(IF(tblSalaries[Work Hour per day on Excel]=Analysis!DM$60,IF(tblSalaries[Job Type]=Analysis!$C61,tblSalaries[Salary in USD]))),0)</f>
        <v>82850.072837640459</v>
      </c>
      <c r="DN61" s="26">
        <f t="array" ref="DN61">IFERROR(AVERAGE(IF(tblSalaries[Years of Experience]=Analysis!DN$60,IF(tblSalaries[Job Type]=Analysis!$C61,tblSalaries[Salary in USD]))),0)</f>
        <v>52069.619158739442</v>
      </c>
      <c r="DO61" s="26">
        <f t="array" ref="DO61">IFERROR(AVERAGE(IF(tblSalaries[Years of Experience]=Analysis!DO$60,IF(tblSalaries[Job Type]=Analysis!$C61,tblSalaries[Salary in USD]))),0)</f>
        <v>83791.161640712773</v>
      </c>
      <c r="DP61" s="26">
        <f t="array" ref="DP61">IFERROR(AVERAGE(IF(tblSalaries[Years of Experience]=Analysis!DP$60,IF(tblSalaries[Job Type]=Analysis!$C61,tblSalaries[Salary in USD]))),0)</f>
        <v>99917.314179493667</v>
      </c>
      <c r="DQ61" s="26">
        <f t="array" ref="DQ61">IFERROR(AVERAGE(IF(tblSalaries[Years of Experience]=Analysis!DQ$60,IF(tblSalaries[Job Type]=Analysis!$C61,tblSalaries[Salary in USD]))),0)</f>
        <v>137044.50556075695</v>
      </c>
      <c r="DR61" s="26">
        <f t="array" ref="DR61">IFERROR(AVERAGE(IF(tblSalaries[Years of Experience]=Analysis!DR$60,IF(tblSalaries[Job Type]=Analysis!$C61,tblSalaries[Salary in USD]))),0)</f>
        <v>0</v>
      </c>
      <c r="DS61" s="26">
        <f t="array" ref="DS61">IFERROR(MAX(IF(tblSalaries[Job Type]=Analysis!$C61,tblSalaries[Salary in USD])),0)</f>
        <v>300000</v>
      </c>
      <c r="DT61" s="26">
        <f t="array" ref="DT61">IFERROR(MAX(IF(tblSalaries[Region]=Analysis!DT$60,IF(tblSalaries[Job Type]=Analysis!$C61,tblSalaries[Salary in USD]))),0)</f>
        <v>127488.70705032947</v>
      </c>
      <c r="DU61" s="26">
        <f t="array" ref="DU61">IFERROR(MAX(IF(tblSalaries[Region]=Analysis!DU$60,IF(tblSalaries[Job Type]=Analysis!$C61,tblSalaries[Salary in USD]))),0)</f>
        <v>300000</v>
      </c>
      <c r="DV61" s="26">
        <f t="array" ref="DV61">IFERROR(MAX(IF(tblSalaries[Region]=Analysis!DV$60,IF(tblSalaries[Job Type]=Analysis!$C61,tblSalaries[Salary in USD]))),0)</f>
        <v>98336.152303032693</v>
      </c>
      <c r="DW61" s="26">
        <f t="array" ref="DW61">IFERROR(MAX(IF(tblSalaries[Region]=Analysis!DW$60,IF(tblSalaries[Job Type]=Analysis!$C61,tblSalaries[Salary in USD]))),0)</f>
        <v>86689.804963700633</v>
      </c>
      <c r="DX61" s="26">
        <f t="array" ref="DX61">IFERROR(MAX(IF(tblSalaries[Region]=Analysis!DX$60,IF(tblSalaries[Job Type]=Analysis!$C61,tblSalaries[Salary in USD]))),0)</f>
        <v>127039.94389916077</v>
      </c>
      <c r="DY61" s="26">
        <f t="array" ref="DY61">IFERROR(MAX(IF(tblSalaries[Region]=Analysis!DY$60,IF(tblSalaries[Job Type]=Analysis!$C61,tblSalaries[Salary in USD]))),0)</f>
        <v>125000</v>
      </c>
      <c r="DZ61" s="26">
        <f t="array" ref="DZ61">IFERROR(MAX(IF(tblSalaries[Region]=Analysis!DZ$60,IF(tblSalaries[Job Type]=Analysis!$C61,tblSalaries[Salary in USD]))),0)</f>
        <v>35000</v>
      </c>
      <c r="EA61" s="26">
        <f t="array" ref="EA61">IFERROR(MAX(IF(tblSalaries[Region]=Analysis!EA$60,IF(tblSalaries[Job Type]=Analysis!$C61,tblSalaries[Salary in USD]))),0)</f>
        <v>80135.625093491559</v>
      </c>
      <c r="EB61" s="26">
        <f t="array" ref="EB61">IFERROR(MAX(IF(tblSalaries[Region]=Analysis!EB$60,IF(tblSalaries[Job Type]=Analysis!$C61,tblSalaries[Salary in USD]))),0)</f>
        <v>0</v>
      </c>
      <c r="EC61" s="26">
        <f t="array" ref="EC61">IFERROR(MAX(IF(tblSalaries[Work Hour per day on Excel]=Analysis!EC$60,IF(tblSalaries[Job Type]=Analysis!$C61,tblSalaries[Salary in USD]))),0)</f>
        <v>188000</v>
      </c>
      <c r="ED61" s="26">
        <f t="array" ref="ED61">IFERROR(MAX(IF(tblSalaries[Work Hour per day on Excel]=Analysis!ED$60,IF(tblSalaries[Job Type]=Analysis!$C61,tblSalaries[Salary in USD]))),0)</f>
        <v>300000</v>
      </c>
      <c r="EE61" s="26">
        <f t="array" ref="EE61">IFERROR(MAX(IF(tblSalaries[Work Hour per day on Excel]=Analysis!EE$60,IF(tblSalaries[Job Type]=Analysis!$C61,tblSalaries[Salary in USD]))),0)</f>
        <v>225000</v>
      </c>
      <c r="EF61" s="26">
        <f t="array" ref="EF61">IFERROR(MAX(IF(tblSalaries[Work Hour per day on Excel]=Analysis!EF$60,IF(tblSalaries[Job Type]=Analysis!$C61,tblSalaries[Salary in USD]))),0)</f>
        <v>192000</v>
      </c>
      <c r="EG61" s="26">
        <f t="array" ref="EG61">IFERROR(MAX(IF(tblSalaries[Years of Experience]=Analysis!EG$60,IF(tblSalaries[Job Type]=Analysis!$C61,tblSalaries[Salary in USD]))),0)</f>
        <v>100800</v>
      </c>
      <c r="EH61" s="26">
        <f t="array" ref="EH61">IFERROR(MAX(IF(tblSalaries[Years of Experience]=Analysis!EH$60,IF(tblSalaries[Job Type]=Analysis!$C61,tblSalaries[Salary in USD]))),0)</f>
        <v>260000</v>
      </c>
      <c r="EI61" s="26">
        <f t="array" ref="EI61">IFERROR(MAX(IF(tblSalaries[Years of Experience]=Analysis!EI$60,IF(tblSalaries[Job Type]=Analysis!$C61,tblSalaries[Salary in USD]))),0)</f>
        <v>225000</v>
      </c>
      <c r="EJ61" s="26">
        <f t="array" ref="EJ61">IFERROR(MAX(IF(tblSalaries[Years of Experience]=Analysis!EJ$60,IF(tblSalaries[Job Type]=Analysis!$C61,tblSalaries[Salary in USD]))),0)</f>
        <v>300000</v>
      </c>
      <c r="EK61" s="26">
        <f t="array" ref="EK61">IFERROR(MAX(IF(tblSalaries[Years of Experience]=Analysis!EK$60,IF(tblSalaries[Job Type]=Analysis!$C61,tblSalaries[Salary in USD]))),0)</f>
        <v>0</v>
      </c>
      <c r="EL61" s="26">
        <f t="array" ref="EL61">IFERROR(MIN(IF(tblSalaries[Job Type]=Analysis!$C61,tblSalaries[Salary in USD])),0)</f>
        <v>2671.1875031163854</v>
      </c>
      <c r="EM61" s="26">
        <f t="array" ref="EM61">IFERROR(MIN(IF(tblSalaries[Region]=Analysis!EM$60,IF(tblSalaries[Job Type]=Analysis!$C61,tblSalaries[Salary in USD]))),0)</f>
        <v>71393.675948184507</v>
      </c>
      <c r="EN61" s="26">
        <f t="array" ref="EN61">IFERROR(MIN(IF(tblSalaries[Region]=Analysis!EN$60,IF(tblSalaries[Job Type]=Analysis!$C61,tblSalaries[Salary in USD]))),0)</f>
        <v>50000</v>
      </c>
      <c r="EO61" s="26">
        <f t="array" ref="EO61">IFERROR(MIN(IF(tblSalaries[Region]=Analysis!EO$60,IF(tblSalaries[Job Type]=Analysis!$C61,tblSalaries[Salary in USD]))),0)</f>
        <v>98336.152303032693</v>
      </c>
      <c r="EP61" s="26">
        <f t="array" ref="EP61">IFERROR(MIN(IF(tblSalaries[Region]=Analysis!EP$60,IF(tblSalaries[Job Type]=Analysis!$C61,tblSalaries[Salary in USD]))),0)</f>
        <v>55166.239522354947</v>
      </c>
      <c r="EQ61" s="26">
        <f t="array" ref="EQ61">IFERROR(MIN(IF(tblSalaries[Region]=Analysis!EQ$60,IF(tblSalaries[Job Type]=Analysis!$C61,tblSalaries[Salary in USD]))),0)</f>
        <v>45000</v>
      </c>
      <c r="ER61" s="26">
        <f t="array" ref="ER61">IFERROR(MIN(IF(tblSalaries[Region]=Analysis!ER$60,IF(tblSalaries[Job Type]=Analysis!$C61,tblSalaries[Salary in USD]))),0)</f>
        <v>14630.613583549337</v>
      </c>
      <c r="ES61" s="26">
        <f t="array" ref="ES61">IFERROR(MIN(IF(tblSalaries[Region]=Analysis!ES$60,IF(tblSalaries[Job Type]=Analysis!$C61,tblSalaries[Salary in USD]))),0)</f>
        <v>35000</v>
      </c>
      <c r="ET61" s="26">
        <f t="array" ref="ET61">IFERROR(MIN(IF(tblSalaries[Region]=Analysis!ET$60,IF(tblSalaries[Job Type]=Analysis!$C61,tblSalaries[Salary in USD]))),0)</f>
        <v>2671.1875031163854</v>
      </c>
      <c r="EU61" s="26">
        <f t="array" ref="EU61">IFERROR(MIN(IF(tblSalaries[Region]=Analysis!EU$60,IF(tblSalaries[Job Type]=Analysis!$C61,tblSalaries[Salary in USD]))),0)</f>
        <v>0</v>
      </c>
      <c r="EV61" s="26">
        <f t="array" ref="EV61">IFERROR(MIN(IF(tblSalaries[Work Hour per day on Excel]=Analysis!EV$60,IF(tblSalaries[Job Type]=Analysis!$C61,tblSalaries[Salary in USD]))),0)</f>
        <v>13355.937515581925</v>
      </c>
      <c r="EW61" s="26">
        <f t="array" ref="EW61">IFERROR(MIN(IF(tblSalaries[Work Hour per day on Excel]=Analysis!EW$60,IF(tblSalaries[Job Type]=Analysis!$C61,tblSalaries[Salary in USD]))),0)</f>
        <v>55166.239522354947</v>
      </c>
      <c r="EX61" s="26">
        <f t="array" ref="EX61">IFERROR(MIN(IF(tblSalaries[Work Hour per day on Excel]=Analysis!EX$60,IF(tblSalaries[Job Type]=Analysis!$C61,tblSalaries[Salary in USD]))),0)</f>
        <v>2671.1875031163854</v>
      </c>
      <c r="EY61" s="26">
        <f t="array" ref="EY61">IFERROR(MIN(IF(tblSalaries[Work Hour per day on Excel]=Analysis!EY$60,IF(tblSalaries[Job Type]=Analysis!$C61,tblSalaries[Salary in USD]))),0)</f>
        <v>10000</v>
      </c>
      <c r="EZ61" s="26">
        <f t="array" ref="EZ61">IFERROR(MIN(IF(tblSalaries[Years of Experience]=Analysis!EZ$60,IF(tblSalaries[Job Type]=Analysis!$C61,tblSalaries[Salary in USD]))),0)</f>
        <v>2671.1875031163854</v>
      </c>
      <c r="FA61" s="26">
        <f t="array" ref="FA61">IFERROR(MIN(IF(tblSalaries[Years of Experience]=Analysis!FA$60,IF(tblSalaries[Job Type]=Analysis!$C61,tblSalaries[Salary in USD]))),0)</f>
        <v>14630.613583549337</v>
      </c>
      <c r="FB61" s="26">
        <f t="array" ref="FB61">IFERROR(MIN(IF(tblSalaries[Years of Experience]=Analysis!FB$60,IF(tblSalaries[Job Type]=Analysis!$C61,tblSalaries[Salary in USD]))),0)</f>
        <v>8000</v>
      </c>
      <c r="FC61" s="26">
        <f t="array" ref="FC61">IFERROR(MIN(IF(tblSalaries[Years of Experience]=Analysis!FC$60,IF(tblSalaries[Job Type]=Analysis!$C61,tblSalaries[Salary in USD]))),0)</f>
        <v>50000</v>
      </c>
      <c r="FD61" s="26">
        <f t="array" ref="FD61">IFERROR(MIN(IF(tblSalaries[Years of Experience]=Analysis!FD$60,IF(tblSalaries[Job Type]=Analysis!$C61,tblSalaries[Salary in USD]))),0)</f>
        <v>0</v>
      </c>
      <c r="FE61" s="26">
        <f t="array" ref="FE61">IFERROR(COUNT(IF(tblSalaries[Job Type]=Analysis!$C61,tblSalaries[Salary in USD])),0)</f>
        <v>47</v>
      </c>
      <c r="FF61" s="26">
        <f t="array" ref="FF61">IFERROR(COUNT(IF(tblSalaries[Region]=Analysis!FF$60,IF(tblSalaries[Job Type]=Analysis!$C61,tblSalaries[Salary in USD]))),0)</f>
        <v>2</v>
      </c>
      <c r="FG61" s="26">
        <f t="array" ref="FG61">IFERROR(COUNT(IF(tblSalaries[Region]=Analysis!FG$60,IF(tblSalaries[Job Type]=Analysis!$C61,tblSalaries[Salary in USD]))),0)</f>
        <v>19</v>
      </c>
      <c r="FH61" s="26">
        <f t="array" ref="FH61">IFERROR(COUNT(IF(tblSalaries[Region]=Analysis!FH$60,IF(tblSalaries[Job Type]=Analysis!$C61,tblSalaries[Salary in USD]))),0)</f>
        <v>1</v>
      </c>
      <c r="FI61" s="26">
        <f t="array" ref="FI61">IFERROR(COUNT(IF(tblSalaries[Region]=Analysis!FI$60,IF(tblSalaries[Job Type]=Analysis!$C61,tblSalaries[Salary in USD]))),0)</f>
        <v>4</v>
      </c>
      <c r="FJ61" s="26">
        <f t="array" ref="FJ61">IFERROR(COUNT(IF(tblSalaries[Region]=Analysis!FJ$60,IF(tblSalaries[Job Type]=Analysis!$C61,tblSalaries[Salary in USD]))),0)</f>
        <v>6</v>
      </c>
      <c r="FK61" s="26">
        <f t="array" ref="FK61">IFERROR(COUNT(IF(tblSalaries[Region]=Analysis!FK$60,IF(tblSalaries[Job Type]=Analysis!$C61,tblSalaries[Salary in USD]))),0)</f>
        <v>4</v>
      </c>
      <c r="FL61" s="26">
        <f t="array" ref="FL61">IFERROR(COUNT(IF(tblSalaries[Region]=Analysis!FL$60,IF(tblSalaries[Job Type]=Analysis!$C61,tblSalaries[Salary in USD]))),0)</f>
        <v>1</v>
      </c>
      <c r="FM61" s="26">
        <f t="array" ref="FM61">IFERROR(COUNT(IF(tblSalaries[Region]=Analysis!FM$60,IF(tblSalaries[Job Type]=Analysis!$C61,tblSalaries[Salary in USD]))),0)</f>
        <v>10</v>
      </c>
      <c r="FN61" s="26">
        <f t="array" ref="FN61">IFERROR(COUNT(IF(tblSalaries[Region]=Analysis!FN$60,IF(tblSalaries[Job Type]=Analysis!$C61,tblSalaries[Salary in USD]))),0)</f>
        <v>0</v>
      </c>
      <c r="FO61" s="26">
        <f t="array" ref="FO61">IFERROR(COUNT(IF(tblSalaries[Work Hour per day on Excel]=Analysis!FO$60,IF(tblSalaries[Job Type]=Analysis!$C61,tblSalaries[Salary in USD]))),0)</f>
        <v>7</v>
      </c>
      <c r="FP61" s="26">
        <f t="array" ref="FP61">IFERROR(COUNT(IF(tblSalaries[Work Hour per day on Excel]=Analysis!FP$60,IF(tblSalaries[Job Type]=Analysis!$C61,tblSalaries[Salary in USD]))),0)</f>
        <v>9</v>
      </c>
      <c r="FQ61" s="26">
        <f t="array" ref="FQ61">IFERROR(COUNT(IF(tblSalaries[Work Hour per day on Excel]=Analysis!FQ$60,IF(tblSalaries[Job Type]=Analysis!$C61,tblSalaries[Salary in USD]))),0)</f>
        <v>23</v>
      </c>
      <c r="FR61" s="26">
        <f t="array" ref="FR61">IFERROR(COUNT(IF(tblSalaries[Work Hour per day on Excel]=Analysis!FR$60,IF(tblSalaries[Job Type]=Analysis!$C61,tblSalaries[Salary in USD]))),0)</f>
        <v>8</v>
      </c>
      <c r="FS61" s="26">
        <f t="array" ref="FS61">IFERROR(COUNT(IF(tblSalaries[Years of Experience]=Analysis!FS$60,IF(tblSalaries[Job Type]=Analysis!$C61,tblSalaries[Salary in USD]))),0)</f>
        <v>8</v>
      </c>
      <c r="FT61" s="26">
        <f t="array" ref="FT61">IFERROR(COUNT(IF(tblSalaries[Years of Experience]=Analysis!FT$60,IF(tblSalaries[Job Type]=Analysis!$C61,tblSalaries[Salary in USD]))),0)</f>
        <v>15</v>
      </c>
      <c r="FU61" s="26">
        <f t="array" ref="FU61">IFERROR(COUNT(IF(tblSalaries[Years of Experience]=Analysis!FU$60,IF(tblSalaries[Job Type]=Analysis!$C61,tblSalaries[Salary in USD]))),0)</f>
        <v>16</v>
      </c>
      <c r="FV61" s="26">
        <f t="array" ref="FV61">IFERROR(COUNT(IF(tblSalaries[Years of Experience]=Analysis!FV$60,IF(tblSalaries[Job Type]=Analysis!$C61,tblSalaries[Salary in USD]))),0)</f>
        <v>8</v>
      </c>
      <c r="FW61" s="26">
        <f t="array" ref="FW61">IFERROR(COUNT(IF(tblSalaries[Years of Experience]=Analysis!FW$60,IF(tblSalaries[Job Type]=Analysis!$C61,tblSalaries[Salary in USD]))),0)</f>
        <v>0</v>
      </c>
    </row>
    <row r="62" spans="1:179" s="25" customFormat="1" ht="15" hidden="1" customHeight="1" x14ac:dyDescent="0.25">
      <c r="A62" s="29"/>
      <c r="B62" s="25">
        <f>B61+1</f>
        <v>2</v>
      </c>
      <c r="C62" s="25" t="s">
        <v>38</v>
      </c>
      <c r="D62" s="26">
        <f t="shared" si="107"/>
        <v>61690.252660289887</v>
      </c>
      <c r="E62" s="26">
        <f t="shared" si="108"/>
        <v>82952.652054081045</v>
      </c>
      <c r="F62" s="26">
        <f t="shared" si="109"/>
        <v>88308.928571428565</v>
      </c>
      <c r="G62" s="26">
        <f t="shared" si="110"/>
        <v>0</v>
      </c>
      <c r="H62" s="26">
        <f t="shared" si="111"/>
        <v>110647.71469912333</v>
      </c>
      <c r="I62" s="26">
        <f t="shared" si="112"/>
        <v>73917.823093112995</v>
      </c>
      <c r="J62" s="26">
        <f t="shared" si="113"/>
        <v>21712.844810740113</v>
      </c>
      <c r="K62" s="26">
        <f t="shared" si="114"/>
        <v>17000</v>
      </c>
      <c r="L62" s="26">
        <f t="shared" si="115"/>
        <v>10468.177151120017</v>
      </c>
      <c r="M62" s="26">
        <f t="shared" si="116"/>
        <v>0</v>
      </c>
      <c r="N62" s="26">
        <f t="shared" si="117"/>
        <v>37497.741410065893</v>
      </c>
      <c r="O62" s="26">
        <f t="shared" si="118"/>
        <v>75317.881408278467</v>
      </c>
      <c r="P62" s="26">
        <f t="shared" si="119"/>
        <v>61176.039560703153</v>
      </c>
      <c r="Q62" s="26">
        <f t="shared" si="120"/>
        <v>51769.661021467226</v>
      </c>
      <c r="R62" s="26">
        <f t="shared" si="121"/>
        <v>28626.277325577703</v>
      </c>
      <c r="S62" s="26">
        <f t="shared" si="122"/>
        <v>49720.145138544583</v>
      </c>
      <c r="T62" s="26">
        <f t="shared" si="123"/>
        <v>86164.517247196665</v>
      </c>
      <c r="U62" s="26">
        <f t="shared" si="124"/>
        <v>78950.247772524468</v>
      </c>
      <c r="V62" s="26">
        <f t="shared" si="125"/>
        <v>0</v>
      </c>
      <c r="W62" s="25">
        <f t="shared" ref="W62:W70" si="126">W61+1</f>
        <v>3</v>
      </c>
      <c r="CZ62" s="26">
        <f t="array" ref="CZ62">IFERROR(AVERAGE(IF(tblSalaries[Job Type]=Analysis!$C62,tblSalaries[Salary in USD])),0)</f>
        <v>61690.252660289887</v>
      </c>
      <c r="DA62" s="26">
        <f t="array" ref="DA62">IFERROR(AVERAGE(IF(tblSalaries[Region]=Analysis!DA$60,IF(tblSalaries[Job Type]=Analysis!$C62,tblSalaries[Salary in USD]))),0)</f>
        <v>82952.652054081045</v>
      </c>
      <c r="DB62" s="26">
        <f t="array" ref="DB62">IFERROR(AVERAGE(IF(tblSalaries[Region]=Analysis!DB$60,IF(tblSalaries[Job Type]=Analysis!$C62,tblSalaries[Salary in USD]))),0)</f>
        <v>88308.928571428565</v>
      </c>
      <c r="DC62" s="26">
        <f t="array" ref="DC62">IFERROR(AVERAGE(IF(tblSalaries[Region]=Analysis!DC$60,IF(tblSalaries[Job Type]=Analysis!$C62,tblSalaries[Salary in USD]))),0)</f>
        <v>0</v>
      </c>
      <c r="DD62" s="26">
        <f t="array" ref="DD62">IFERROR(AVERAGE(IF(tblSalaries[Region]=Analysis!DD$60,IF(tblSalaries[Job Type]=Analysis!$C62,tblSalaries[Salary in USD]))),0)</f>
        <v>110647.71469912333</v>
      </c>
      <c r="DE62" s="26">
        <f t="array" ref="DE62">IFERROR(AVERAGE(IF(tblSalaries[Region]=Analysis!DE$60,IF(tblSalaries[Job Type]=Analysis!$C62,tblSalaries[Salary in USD]))),0)</f>
        <v>73917.823093112995</v>
      </c>
      <c r="DF62" s="26">
        <f t="array" ref="DF62">IFERROR(AVERAGE(IF(tblSalaries[Region]=Analysis!DF$60,IF(tblSalaries[Job Type]=Analysis!$C62,tblSalaries[Salary in USD]))),0)</f>
        <v>21712.844810740113</v>
      </c>
      <c r="DG62" s="26">
        <f t="array" ref="DG62">IFERROR(AVERAGE(IF(tblSalaries[Region]=Analysis!DG$60,IF(tblSalaries[Job Type]=Analysis!$C62,tblSalaries[Salary in USD]))),0)</f>
        <v>17000</v>
      </c>
      <c r="DH62" s="26">
        <f t="array" ref="DH62">IFERROR(AVERAGE(IF(tblSalaries[Region]=Analysis!DH$60,IF(tblSalaries[Job Type]=Analysis!$C62,tblSalaries[Salary in USD]))),0)</f>
        <v>10468.177151120017</v>
      </c>
      <c r="DI62" s="26">
        <f t="array" ref="DI62">IFERROR(AVERAGE(IF(tblSalaries[Region]=Analysis!DI$60,IF(tblSalaries[Job Type]=Analysis!$C62,tblSalaries[Salary in USD]))),0)</f>
        <v>0</v>
      </c>
      <c r="DJ62" s="26">
        <f t="array" ref="DJ62">IFERROR(AVERAGE(IF(tblSalaries[Work Hour per day on Excel]=Analysis!DJ$60,IF(tblSalaries[Job Type]=Analysis!$C62,tblSalaries[Salary in USD]))),0)</f>
        <v>37497.741410065893</v>
      </c>
      <c r="DK62" s="26">
        <f t="array" ref="DK62">IFERROR(AVERAGE(IF(tblSalaries[Work Hour per day on Excel]=Analysis!DK$60,IF(tblSalaries[Job Type]=Analysis!$C62,tblSalaries[Salary in USD]))),0)</f>
        <v>75317.881408278467</v>
      </c>
      <c r="DL62" s="26">
        <f t="array" ref="DL62">IFERROR(AVERAGE(IF(tblSalaries[Work Hour per day on Excel]=Analysis!DL$60,IF(tblSalaries[Job Type]=Analysis!$C62,tblSalaries[Salary in USD]))),0)</f>
        <v>61176.039560703153</v>
      </c>
      <c r="DM62" s="26">
        <f t="array" ref="DM62">IFERROR(AVERAGE(IF(tblSalaries[Work Hour per day on Excel]=Analysis!DM$60,IF(tblSalaries[Job Type]=Analysis!$C62,tblSalaries[Salary in USD]))),0)</f>
        <v>51769.661021467226</v>
      </c>
      <c r="DN62" s="26">
        <f t="array" ref="DN62">IFERROR(AVERAGE(IF(tblSalaries[Years of Experience]=Analysis!DN$60,IF(tblSalaries[Job Type]=Analysis!$C62,tblSalaries[Salary in USD]))),0)</f>
        <v>28626.277325577703</v>
      </c>
      <c r="DO62" s="26">
        <f t="array" ref="DO62">IFERROR(AVERAGE(IF(tblSalaries[Years of Experience]=Analysis!DO$60,IF(tblSalaries[Job Type]=Analysis!$C62,tblSalaries[Salary in USD]))),0)</f>
        <v>49720.145138544583</v>
      </c>
      <c r="DP62" s="26">
        <f t="array" ref="DP62">IFERROR(AVERAGE(IF(tblSalaries[Years of Experience]=Analysis!DP$60,IF(tblSalaries[Job Type]=Analysis!$C62,tblSalaries[Salary in USD]))),0)</f>
        <v>86164.517247196665</v>
      </c>
      <c r="DQ62" s="26">
        <f t="array" ref="DQ62">IFERROR(AVERAGE(IF(tblSalaries[Years of Experience]=Analysis!DQ$60,IF(tblSalaries[Job Type]=Analysis!$C62,tblSalaries[Salary in USD]))),0)</f>
        <v>78950.247772524468</v>
      </c>
      <c r="DR62" s="26">
        <f t="array" ref="DR62">IFERROR(AVERAGE(IF(tblSalaries[Years of Experience]=Analysis!DR$60,IF(tblSalaries[Job Type]=Analysis!$C62,tblSalaries[Salary in USD]))),0)</f>
        <v>0</v>
      </c>
      <c r="DS62" s="26">
        <f t="array" ref="DS62">IFERROR(MAX(IF(tblSalaries[Job Type]=Analysis!$C62,tblSalaries[Salary in USD])),0)</f>
        <v>228671.89901848941</v>
      </c>
      <c r="DT62" s="26">
        <f t="array" ref="DT62">IFERROR(MAX(IF(tblSalaries[Region]=Analysis!DT$60,IF(tblSalaries[Job Type]=Analysis!$C62,tblSalaries[Salary in USD]))),0)</f>
        <v>147886.90017838217</v>
      </c>
      <c r="DU62" s="26">
        <f t="array" ref="DU62">IFERROR(MAX(IF(tblSalaries[Region]=Analysis!DU$60,IF(tblSalaries[Job Type]=Analysis!$C62,tblSalaries[Salary in USD]))),0)</f>
        <v>214000</v>
      </c>
      <c r="DV62" s="26">
        <f t="array" ref="DV62">IFERROR(MAX(IF(tblSalaries[Region]=Analysis!DV$60,IF(tblSalaries[Job Type]=Analysis!$C62,tblSalaries[Salary in USD]))),0)</f>
        <v>0</v>
      </c>
      <c r="DW62" s="26">
        <f t="array" ref="DW62">IFERROR(MAX(IF(tblSalaries[Region]=Analysis!DW$60,IF(tblSalaries[Job Type]=Analysis!$C62,tblSalaries[Salary in USD]))),0)</f>
        <v>157617.8272067284</v>
      </c>
      <c r="DX62" s="26">
        <f t="array" ref="DX62">IFERROR(MAX(IF(tblSalaries[Region]=Analysis!DX$60,IF(tblSalaries[Job Type]=Analysis!$C62,tblSalaries[Salary in USD]))),0)</f>
        <v>228671.89901848941</v>
      </c>
      <c r="DY62" s="26">
        <f t="array" ref="DY62">IFERROR(MAX(IF(tblSalaries[Region]=Analysis!DY$60,IF(tblSalaries[Job Type]=Analysis!$C62,tblSalaries[Salary in USD]))),0)</f>
        <v>48000</v>
      </c>
      <c r="DZ62" s="26">
        <f t="array" ref="DZ62">IFERROR(MAX(IF(tblSalaries[Region]=Analysis!DZ$60,IF(tblSalaries[Job Type]=Analysis!$C62,tblSalaries[Salary in USD]))),0)</f>
        <v>30000</v>
      </c>
      <c r="EA62" s="26">
        <f t="array" ref="EA62">IFERROR(MAX(IF(tblSalaries[Region]=Analysis!EA$60,IF(tblSalaries[Job Type]=Analysis!$C62,tblSalaries[Salary in USD]))),0)</f>
        <v>21369.500024931083</v>
      </c>
      <c r="EB62" s="26">
        <f t="array" ref="EB62">IFERROR(MAX(IF(tblSalaries[Region]=Analysis!EB$60,IF(tblSalaries[Job Type]=Analysis!$C62,tblSalaries[Salary in USD]))),0)</f>
        <v>0</v>
      </c>
      <c r="EC62" s="26">
        <f t="array" ref="EC62">IFERROR(MAX(IF(tblSalaries[Work Hour per day on Excel]=Analysis!EC$60,IF(tblSalaries[Job Type]=Analysis!$C62,tblSalaries[Salary in USD]))),0)</f>
        <v>50995.482820131787</v>
      </c>
      <c r="ED62" s="26">
        <f t="array" ref="ED62">IFERROR(MAX(IF(tblSalaries[Work Hour per day on Excel]=Analysis!ED$60,IF(tblSalaries[Job Type]=Analysis!$C62,tblSalaries[Salary in USD]))),0)</f>
        <v>157617.8272067284</v>
      </c>
      <c r="EE62" s="26">
        <f t="array" ref="EE62">IFERROR(MAX(IF(tblSalaries[Work Hour per day on Excel]=Analysis!EE$60,IF(tblSalaries[Job Type]=Analysis!$C62,tblSalaries[Salary in USD]))),0)</f>
        <v>228671.89901848941</v>
      </c>
      <c r="EF62" s="26">
        <f t="array" ref="EF62">IFERROR(MAX(IF(tblSalaries[Work Hour per day on Excel]=Analysis!EF$60,IF(tblSalaries[Job Type]=Analysis!$C62,tblSalaries[Salary in USD]))),0)</f>
        <v>214000</v>
      </c>
      <c r="EG62" s="26">
        <f t="array" ref="EG62">IFERROR(MAX(IF(tblSalaries[Years of Experience]=Analysis!EG$60,IF(tblSalaries[Job Type]=Analysis!$C62,tblSalaries[Salary in USD]))),0)</f>
        <v>110000</v>
      </c>
      <c r="EH62" s="26">
        <f t="array" ref="EH62">IFERROR(MAX(IF(tblSalaries[Years of Experience]=Analysis!EH$60,IF(tblSalaries[Job Type]=Analysis!$C62,tblSalaries[Salary in USD]))),0)</f>
        <v>140000</v>
      </c>
      <c r="EI62" s="26">
        <f t="array" ref="EI62">IFERROR(MAX(IF(tblSalaries[Years of Experience]=Analysis!EI$60,IF(tblSalaries[Job Type]=Analysis!$C62,tblSalaries[Salary in USD]))),0)</f>
        <v>228671.89901848941</v>
      </c>
      <c r="EJ62" s="26">
        <f t="array" ref="EJ62">IFERROR(MAX(IF(tblSalaries[Years of Experience]=Analysis!EJ$60,IF(tblSalaries[Job Type]=Analysis!$C62,tblSalaries[Salary in USD]))),0)</f>
        <v>150000</v>
      </c>
      <c r="EK62" s="26">
        <f t="array" ref="EK62">IFERROR(MAX(IF(tblSalaries[Years of Experience]=Analysis!EK$60,IF(tblSalaries[Job Type]=Analysis!$C62,tblSalaries[Salary in USD]))),0)</f>
        <v>0</v>
      </c>
      <c r="EL62" s="26">
        <f t="array" ref="EL62">IFERROR(MIN(IF(tblSalaries[Job Type]=Analysis!$C62,tblSalaries[Salary in USD])),0)</f>
        <v>2564.3400029917298</v>
      </c>
      <c r="EM62" s="26">
        <f t="array" ref="EM62">IFERROR(MIN(IF(tblSalaries[Region]=Analysis!EM$60,IF(tblSalaries[Job Type]=Analysis!$C62,tblSalaries[Salary in USD]))),0)</f>
        <v>49975.573163729154</v>
      </c>
      <c r="EN62" s="26">
        <f t="array" ref="EN62">IFERROR(MIN(IF(tblSalaries[Region]=Analysis!EN$60,IF(tblSalaries[Job Type]=Analysis!$C62,tblSalaries[Salary in USD]))),0)</f>
        <v>24000</v>
      </c>
      <c r="EO62" s="26">
        <f t="array" ref="EO62">IFERROR(MIN(IF(tblSalaries[Region]=Analysis!EO$60,IF(tblSalaries[Job Type]=Analysis!$C62,tblSalaries[Salary in USD]))),0)</f>
        <v>0</v>
      </c>
      <c r="EP62" s="26">
        <f t="array" ref="EP62">IFERROR(MIN(IF(tblSalaries[Region]=Analysis!EP$60,IF(tblSalaries[Job Type]=Analysis!$C62,tblSalaries[Salary in USD]))),0)</f>
        <v>67775.665698893223</v>
      </c>
      <c r="EQ62" s="26">
        <f t="array" ref="EQ62">IFERROR(MIN(IF(tblSalaries[Region]=Analysis!EQ$60,IF(tblSalaries[Job Type]=Analysis!$C62,tblSalaries[Salary in USD]))),0)</f>
        <v>19818.231248269083</v>
      </c>
      <c r="ER62" s="26">
        <f t="array" ref="ER62">IFERROR(MIN(IF(tblSalaries[Region]=Analysis!ER$60,IF(tblSalaries[Job Type]=Analysis!$C62,tblSalaries[Salary in USD]))),0)</f>
        <v>9509.8988293070688</v>
      </c>
      <c r="ES62" s="26">
        <f t="array" ref="ES62">IFERROR(MIN(IF(tblSalaries[Region]=Analysis!ES$60,IF(tblSalaries[Job Type]=Analysis!$C62,tblSalaries[Salary in USD]))),0)</f>
        <v>7200</v>
      </c>
      <c r="ET62" s="26">
        <f t="array" ref="ET62">IFERROR(MIN(IF(tblSalaries[Region]=Analysis!ET$60,IF(tblSalaries[Job Type]=Analysis!$C62,tblSalaries[Salary in USD]))),0)</f>
        <v>2564.3400029917298</v>
      </c>
      <c r="EU62" s="26">
        <f t="array" ref="EU62">IFERROR(MIN(IF(tblSalaries[Region]=Analysis!EU$60,IF(tblSalaries[Job Type]=Analysis!$C62,tblSalaries[Salary in USD]))),0)</f>
        <v>0</v>
      </c>
      <c r="EV62" s="26">
        <f t="array" ref="EV62">IFERROR(MIN(IF(tblSalaries[Work Hour per day on Excel]=Analysis!EV$60,IF(tblSalaries[Job Type]=Analysis!$C62,tblSalaries[Salary in USD]))),0)</f>
        <v>24000</v>
      </c>
      <c r="EW62" s="26">
        <f t="array" ref="EW62">IFERROR(MIN(IF(tblSalaries[Work Hour per day on Excel]=Analysis!EW$60,IF(tblSalaries[Job Type]=Analysis!$C62,tblSalaries[Salary in USD]))),0)</f>
        <v>4273.9000049862161</v>
      </c>
      <c r="EX62" s="26">
        <f t="array" ref="EX62">IFERROR(MIN(IF(tblSalaries[Work Hour per day on Excel]=Analysis!EX$60,IF(tblSalaries[Job Type]=Analysis!$C62,tblSalaries[Salary in USD]))),0)</f>
        <v>2564.3400029917298</v>
      </c>
      <c r="EY62" s="26">
        <f t="array" ref="EY62">IFERROR(MIN(IF(tblSalaries[Work Hour per day on Excel]=Analysis!EY$60,IF(tblSalaries[Job Type]=Analysis!$C62,tblSalaries[Salary in USD]))),0)</f>
        <v>5342.3750062327708</v>
      </c>
      <c r="EZ62" s="26">
        <f t="array" ref="EZ62">IFERROR(MIN(IF(tblSalaries[Years of Experience]=Analysis!EZ$60,IF(tblSalaries[Job Type]=Analysis!$C62,tblSalaries[Salary in USD]))),0)</f>
        <v>2564.3400029917298</v>
      </c>
      <c r="FA62" s="26">
        <f t="array" ref="FA62">IFERROR(MIN(IF(tblSalaries[Years of Experience]=Analysis!FA$60,IF(tblSalaries[Job Type]=Analysis!$C62,tblSalaries[Salary in USD]))),0)</f>
        <v>7200</v>
      </c>
      <c r="FB62" s="26">
        <f t="array" ref="FB62">IFERROR(MIN(IF(tblSalaries[Years of Experience]=Analysis!FB$60,IF(tblSalaries[Job Type]=Analysis!$C62,tblSalaries[Salary in USD]))),0)</f>
        <v>4273.9000049862161</v>
      </c>
      <c r="FC62" s="26">
        <f t="array" ref="FC62">IFERROR(MIN(IF(tblSalaries[Years of Experience]=Analysis!FC$60,IF(tblSalaries[Job Type]=Analysis!$C62,tblSalaries[Salary in USD]))),0)</f>
        <v>24000</v>
      </c>
      <c r="FD62" s="26">
        <f t="array" ref="FD62">IFERROR(MIN(IF(tblSalaries[Years of Experience]=Analysis!FD$60,IF(tblSalaries[Job Type]=Analysis!$C62,tblSalaries[Salary in USD]))),0)</f>
        <v>0</v>
      </c>
      <c r="FE62" s="26">
        <f t="array" ref="FE62">IFERROR(COUNT(IF(tblSalaries[Job Type]=Analysis!$C62,tblSalaries[Salary in USD])),0)</f>
        <v>55</v>
      </c>
      <c r="FF62" s="26">
        <f t="array" ref="FF62">IFERROR(COUNT(IF(tblSalaries[Region]=Analysis!FF$60,IF(tblSalaries[Job Type]=Analysis!$C62,tblSalaries[Salary in USD]))),0)</f>
        <v>3</v>
      </c>
      <c r="FG62" s="26">
        <f t="array" ref="FG62">IFERROR(COUNT(IF(tblSalaries[Region]=Analysis!FG$60,IF(tblSalaries[Job Type]=Analysis!$C62,tblSalaries[Salary in USD]))),0)</f>
        <v>14</v>
      </c>
      <c r="FH62" s="26">
        <f t="array" ref="FH62">IFERROR(COUNT(IF(tblSalaries[Region]=Analysis!FH$60,IF(tblSalaries[Job Type]=Analysis!$C62,tblSalaries[Salary in USD]))),0)</f>
        <v>0</v>
      </c>
      <c r="FI62" s="26">
        <f t="array" ref="FI62">IFERROR(COUNT(IF(tblSalaries[Region]=Analysis!FI$60,IF(tblSalaries[Job Type]=Analysis!$C62,tblSalaries[Salary in USD]))),0)</f>
        <v>5</v>
      </c>
      <c r="FJ62" s="26">
        <f t="array" ref="FJ62">IFERROR(COUNT(IF(tblSalaries[Region]=Analysis!FJ$60,IF(tblSalaries[Job Type]=Analysis!$C62,tblSalaries[Salary in USD]))),0)</f>
        <v>14</v>
      </c>
      <c r="FK62" s="26">
        <f t="array" ref="FK62">IFERROR(COUNT(IF(tblSalaries[Region]=Analysis!FK$60,IF(tblSalaries[Job Type]=Analysis!$C62,tblSalaries[Salary in USD]))),0)</f>
        <v>9</v>
      </c>
      <c r="FL62" s="26">
        <f t="array" ref="FL62">IFERROR(COUNT(IF(tblSalaries[Region]=Analysis!FL$60,IF(tblSalaries[Job Type]=Analysis!$C62,tblSalaries[Salary in USD]))),0)</f>
        <v>3</v>
      </c>
      <c r="FM62" s="26">
        <f t="array" ref="FM62">IFERROR(COUNT(IF(tblSalaries[Region]=Analysis!FM$60,IF(tblSalaries[Job Type]=Analysis!$C62,tblSalaries[Salary in USD]))),0)</f>
        <v>7</v>
      </c>
      <c r="FN62" s="26">
        <f t="array" ref="FN62">IFERROR(COUNT(IF(tblSalaries[Region]=Analysis!FN$60,IF(tblSalaries[Job Type]=Analysis!$C62,tblSalaries[Salary in USD]))),0)</f>
        <v>0</v>
      </c>
      <c r="FO62" s="26">
        <f t="array" ref="FO62">IFERROR(COUNT(IF(tblSalaries[Work Hour per day on Excel]=Analysis!FO$60,IF(tblSalaries[Job Type]=Analysis!$C62,tblSalaries[Salary in USD]))),0)</f>
        <v>2</v>
      </c>
      <c r="FP62" s="26">
        <f t="array" ref="FP62">IFERROR(COUNT(IF(tblSalaries[Work Hour per day on Excel]=Analysis!FP$60,IF(tblSalaries[Job Type]=Analysis!$C62,tblSalaries[Salary in USD]))),0)</f>
        <v>12</v>
      </c>
      <c r="FQ62" s="26">
        <f t="array" ref="FQ62">IFERROR(COUNT(IF(tblSalaries[Work Hour per day on Excel]=Analysis!FQ$60,IF(tblSalaries[Job Type]=Analysis!$C62,tblSalaries[Salary in USD]))),0)</f>
        <v>31</v>
      </c>
      <c r="FR62" s="26">
        <f t="array" ref="FR62">IFERROR(COUNT(IF(tblSalaries[Work Hour per day on Excel]=Analysis!FR$60,IF(tblSalaries[Job Type]=Analysis!$C62,tblSalaries[Salary in USD]))),0)</f>
        <v>10</v>
      </c>
      <c r="FS62" s="26">
        <f t="array" ref="FS62">IFERROR(COUNT(IF(tblSalaries[Years of Experience]=Analysis!FS$60,IF(tblSalaries[Job Type]=Analysis!$C62,tblSalaries[Salary in USD]))),0)</f>
        <v>12</v>
      </c>
      <c r="FT62" s="26">
        <f t="array" ref="FT62">IFERROR(COUNT(IF(tblSalaries[Years of Experience]=Analysis!FT$60,IF(tblSalaries[Job Type]=Analysis!$C62,tblSalaries[Salary in USD]))),0)</f>
        <v>17</v>
      </c>
      <c r="FU62" s="26">
        <f t="array" ref="FU62">IFERROR(COUNT(IF(tblSalaries[Years of Experience]=Analysis!FU$60,IF(tblSalaries[Job Type]=Analysis!$C62,tblSalaries[Salary in USD]))),0)</f>
        <v>21</v>
      </c>
      <c r="FV62" s="26">
        <f t="array" ref="FV62">IFERROR(COUNT(IF(tblSalaries[Years of Experience]=Analysis!FV$60,IF(tblSalaries[Job Type]=Analysis!$C62,tblSalaries[Salary in USD]))),0)</f>
        <v>5</v>
      </c>
      <c r="FW62" s="26">
        <f t="array" ref="FW62">IFERROR(COUNT(IF(tblSalaries[Years of Experience]=Analysis!FW$60,IF(tblSalaries[Job Type]=Analysis!$C62,tblSalaries[Salary in USD]))),0)</f>
        <v>0</v>
      </c>
    </row>
    <row r="63" spans="1:179" s="25" customFormat="1" ht="15" hidden="1" customHeight="1" x14ac:dyDescent="0.25">
      <c r="A63" s="29"/>
      <c r="B63" s="25">
        <f t="shared" ref="B63:B77" si="127">B62+1</f>
        <v>3</v>
      </c>
      <c r="C63" s="25" t="s">
        <v>33</v>
      </c>
      <c r="D63" s="26">
        <f t="shared" si="107"/>
        <v>60430.129217439477</v>
      </c>
      <c r="E63" s="26">
        <f t="shared" si="108"/>
        <v>108620.3784068807</v>
      </c>
      <c r="F63" s="26">
        <f t="shared" si="109"/>
        <v>110125</v>
      </c>
      <c r="G63" s="26">
        <f t="shared" si="110"/>
        <v>55068.245289698301</v>
      </c>
      <c r="H63" s="26">
        <f t="shared" si="111"/>
        <v>89101.357719963562</v>
      </c>
      <c r="I63" s="26">
        <f t="shared" si="112"/>
        <v>53663.372097454878</v>
      </c>
      <c r="J63" s="26">
        <f t="shared" si="113"/>
        <v>46200</v>
      </c>
      <c r="K63" s="26">
        <f t="shared" si="114"/>
        <v>57750</v>
      </c>
      <c r="L63" s="26">
        <f t="shared" si="115"/>
        <v>14851.586023939944</v>
      </c>
      <c r="M63" s="26">
        <f t="shared" si="116"/>
        <v>16614.088716799131</v>
      </c>
      <c r="N63" s="26">
        <f t="shared" si="117"/>
        <v>64057.78282573133</v>
      </c>
      <c r="O63" s="26">
        <f t="shared" si="118"/>
        <v>57468.314967678234</v>
      </c>
      <c r="P63" s="26">
        <f t="shared" si="119"/>
        <v>63390.853019784561</v>
      </c>
      <c r="Q63" s="26">
        <f t="shared" si="120"/>
        <v>59133.368607276352</v>
      </c>
      <c r="R63" s="26">
        <f t="shared" si="121"/>
        <v>42645.081483020469</v>
      </c>
      <c r="S63" s="26">
        <f t="shared" si="122"/>
        <v>69468.485647513371</v>
      </c>
      <c r="T63" s="26">
        <f t="shared" si="123"/>
        <v>77030.289365842968</v>
      </c>
      <c r="U63" s="26">
        <f t="shared" si="124"/>
        <v>61680.232832597329</v>
      </c>
      <c r="V63" s="26">
        <f t="shared" si="125"/>
        <v>10684.750012465542</v>
      </c>
      <c r="W63" s="25">
        <f t="shared" si="126"/>
        <v>4</v>
      </c>
      <c r="CZ63" s="26">
        <f t="array" ref="CZ63">IFERROR(AVERAGE(IF(tblSalaries[Job Type]=Analysis!$C63,tblSalaries[Salary in USD])),0)</f>
        <v>60430.129217439477</v>
      </c>
      <c r="DA63" s="26">
        <f t="array" ref="DA63">IFERROR(AVERAGE(IF(tblSalaries[Region]=Analysis!DA$60,IF(tblSalaries[Job Type]=Analysis!$C63,tblSalaries[Salary in USD]))),0)</f>
        <v>108620.3784068807</v>
      </c>
      <c r="DB63" s="26">
        <f t="array" ref="DB63">IFERROR(AVERAGE(IF(tblSalaries[Region]=Analysis!DB$60,IF(tblSalaries[Job Type]=Analysis!$C63,tblSalaries[Salary in USD]))),0)</f>
        <v>110125</v>
      </c>
      <c r="DC63" s="26">
        <f t="array" ref="DC63">IFERROR(AVERAGE(IF(tblSalaries[Region]=Analysis!DC$60,IF(tblSalaries[Job Type]=Analysis!$C63,tblSalaries[Salary in USD]))),0)</f>
        <v>55068.245289698301</v>
      </c>
      <c r="DD63" s="26">
        <f t="array" ref="DD63">IFERROR(AVERAGE(IF(tblSalaries[Region]=Analysis!DD$60,IF(tblSalaries[Job Type]=Analysis!$C63,tblSalaries[Salary in USD]))),0)</f>
        <v>89101.357719963562</v>
      </c>
      <c r="DE63" s="26">
        <f t="array" ref="DE63">IFERROR(AVERAGE(IF(tblSalaries[Region]=Analysis!DE$60,IF(tblSalaries[Job Type]=Analysis!$C63,tblSalaries[Salary in USD]))),0)</f>
        <v>53663.372097454878</v>
      </c>
      <c r="DF63" s="26">
        <f t="array" ref="DF63">IFERROR(AVERAGE(IF(tblSalaries[Region]=Analysis!DF$60,IF(tblSalaries[Job Type]=Analysis!$C63,tblSalaries[Salary in USD]))),0)</f>
        <v>46200</v>
      </c>
      <c r="DG63" s="26">
        <f t="array" ref="DG63">IFERROR(AVERAGE(IF(tblSalaries[Region]=Analysis!DG$60,IF(tblSalaries[Job Type]=Analysis!$C63,tblSalaries[Salary in USD]))),0)</f>
        <v>57750</v>
      </c>
      <c r="DH63" s="26">
        <f t="array" ref="DH63">IFERROR(AVERAGE(IF(tblSalaries[Region]=Analysis!DH$60,IF(tblSalaries[Job Type]=Analysis!$C63,tblSalaries[Salary in USD]))),0)</f>
        <v>14851.586023939944</v>
      </c>
      <c r="DI63" s="26">
        <f t="array" ref="DI63">IFERROR(AVERAGE(IF(tblSalaries[Region]=Analysis!DI$60,IF(tblSalaries[Job Type]=Analysis!$C63,tblSalaries[Salary in USD]))),0)</f>
        <v>16614.088716799131</v>
      </c>
      <c r="DJ63" s="26">
        <f t="array" ref="DJ63">IFERROR(AVERAGE(IF(tblSalaries[Work Hour per day on Excel]=Analysis!DJ$60,IF(tblSalaries[Job Type]=Analysis!$C63,tblSalaries[Salary in USD]))),0)</f>
        <v>64057.78282573133</v>
      </c>
      <c r="DK63" s="26">
        <f t="array" ref="DK63">IFERROR(AVERAGE(IF(tblSalaries[Work Hour per day on Excel]=Analysis!DK$60,IF(tblSalaries[Job Type]=Analysis!$C63,tblSalaries[Salary in USD]))),0)</f>
        <v>57468.314967678234</v>
      </c>
      <c r="DL63" s="26">
        <f t="array" ref="DL63">IFERROR(AVERAGE(IF(tblSalaries[Work Hour per day on Excel]=Analysis!DL$60,IF(tblSalaries[Job Type]=Analysis!$C63,tblSalaries[Salary in USD]))),0)</f>
        <v>63390.853019784561</v>
      </c>
      <c r="DM63" s="26">
        <f t="array" ref="DM63">IFERROR(AVERAGE(IF(tblSalaries[Work Hour per day on Excel]=Analysis!DM$60,IF(tblSalaries[Job Type]=Analysis!$C63,tblSalaries[Salary in USD]))),0)</f>
        <v>59133.368607276352</v>
      </c>
      <c r="DN63" s="26">
        <f t="array" ref="DN63">IFERROR(AVERAGE(IF(tblSalaries[Years of Experience]=Analysis!DN$60,IF(tblSalaries[Job Type]=Analysis!$C63,tblSalaries[Salary in USD]))),0)</f>
        <v>42645.081483020469</v>
      </c>
      <c r="DO63" s="26">
        <f t="array" ref="DO63">IFERROR(AVERAGE(IF(tblSalaries[Years of Experience]=Analysis!DO$60,IF(tblSalaries[Job Type]=Analysis!$C63,tblSalaries[Salary in USD]))),0)</f>
        <v>69468.485647513371</v>
      </c>
      <c r="DP63" s="26">
        <f t="array" ref="DP63">IFERROR(AVERAGE(IF(tblSalaries[Years of Experience]=Analysis!DP$60,IF(tblSalaries[Job Type]=Analysis!$C63,tblSalaries[Salary in USD]))),0)</f>
        <v>77030.289365842968</v>
      </c>
      <c r="DQ63" s="26">
        <f t="array" ref="DQ63">IFERROR(AVERAGE(IF(tblSalaries[Years of Experience]=Analysis!DQ$60,IF(tblSalaries[Job Type]=Analysis!$C63,tblSalaries[Salary in USD]))),0)</f>
        <v>61680.232832597329</v>
      </c>
      <c r="DR63" s="26">
        <f t="array" ref="DR63">IFERROR(AVERAGE(IF(tblSalaries[Years of Experience]=Analysis!DR$60,IF(tblSalaries[Job Type]=Analysis!$C63,tblSalaries[Salary in USD]))),0)</f>
        <v>10684.750012465542</v>
      </c>
      <c r="DS63" s="26">
        <f t="array" ref="DS63">IFERROR(MAX(IF(tblSalaries[Job Type]=Analysis!$C63,tblSalaries[Salary in USD])),0)</f>
        <v>250000</v>
      </c>
      <c r="DT63" s="26">
        <f t="array" ref="DT63">IFERROR(MAX(IF(tblSalaries[Region]=Analysis!DT$60,IF(tblSalaries[Job Type]=Analysis!$C63,tblSalaries[Salary in USD]))),0)</f>
        <v>173384.64158844808</v>
      </c>
      <c r="DU63" s="26">
        <f t="array" ref="DU63">IFERROR(MAX(IF(tblSalaries[Region]=Analysis!DU$60,IF(tblSalaries[Job Type]=Analysis!$C63,tblSalaries[Salary in USD]))),0)</f>
        <v>250000</v>
      </c>
      <c r="DV63" s="26">
        <f t="array" ref="DV63">IFERROR(MAX(IF(tblSalaries[Region]=Analysis!DV$60,IF(tblSalaries[Job Type]=Analysis!$C63,tblSalaries[Salary in USD]))),0)</f>
        <v>55068.245289698301</v>
      </c>
      <c r="DW63" s="26">
        <f t="array" ref="DW63">IFERROR(MAX(IF(tblSalaries[Region]=Analysis!DW$60,IF(tblSalaries[Job Type]=Analysis!$C63,tblSalaries[Salary in USD]))),0)</f>
        <v>126094.26176538273</v>
      </c>
      <c r="DX63" s="26">
        <f t="array" ref="DX63">IFERROR(MAX(IF(tblSalaries[Region]=Analysis!DX$60,IF(tblSalaries[Job Type]=Analysis!$C63,tblSalaries[Salary in USD]))),0)</f>
        <v>90198.36016840415</v>
      </c>
      <c r="DY63" s="26">
        <f t="array" ref="DY63">IFERROR(MAX(IF(tblSalaries[Region]=Analysis!DY$60,IF(tblSalaries[Job Type]=Analysis!$C63,tblSalaries[Salary in USD]))),0)</f>
        <v>82000</v>
      </c>
      <c r="DZ63" s="26">
        <f t="array" ref="DZ63">IFERROR(MAX(IF(tblSalaries[Region]=Analysis!DZ$60,IF(tblSalaries[Job Type]=Analysis!$C63,tblSalaries[Salary in USD]))),0)</f>
        <v>120000</v>
      </c>
      <c r="EA63" s="26">
        <f t="array" ref="EA63">IFERROR(MAX(IF(tblSalaries[Region]=Analysis!EA$60,IF(tblSalaries[Job Type]=Analysis!$C63,tblSalaries[Salary in USD]))),0)</f>
        <v>37500</v>
      </c>
      <c r="EB63" s="26">
        <f t="array" ref="EB63">IFERROR(MAX(IF(tblSalaries[Region]=Analysis!EB$60,IF(tblSalaries[Job Type]=Analysis!$C63,tblSalaries[Salary in USD]))),0)</f>
        <v>21228.177433598263</v>
      </c>
      <c r="EC63" s="26">
        <f t="array" ref="EC63">IFERROR(MAX(IF(tblSalaries[Work Hour per day on Excel]=Analysis!EC$60,IF(tblSalaries[Job Type]=Analysis!$C63,tblSalaries[Salary in USD]))),0)</f>
        <v>120000</v>
      </c>
      <c r="ED63" s="26">
        <f t="array" ref="ED63">IFERROR(MAX(IF(tblSalaries[Work Hour per day on Excel]=Analysis!ED$60,IF(tblSalaries[Job Type]=Analysis!$C63,tblSalaries[Salary in USD]))),0)</f>
        <v>173384.64158844808</v>
      </c>
      <c r="EE63" s="26">
        <f t="array" ref="EE63">IFERROR(MAX(IF(tblSalaries[Work Hour per day on Excel]=Analysis!EE$60,IF(tblSalaries[Job Type]=Analysis!$C63,tblSalaries[Salary in USD]))),0)</f>
        <v>126094.26176538273</v>
      </c>
      <c r="EF63" s="26">
        <f t="array" ref="EF63">IFERROR(MAX(IF(tblSalaries[Work Hour per day on Excel]=Analysis!EF$60,IF(tblSalaries[Job Type]=Analysis!$C63,tblSalaries[Salary in USD]))),0)</f>
        <v>250000</v>
      </c>
      <c r="EG63" s="26">
        <f t="array" ref="EG63">IFERROR(MAX(IF(tblSalaries[Years of Experience]=Analysis!EG$60,IF(tblSalaries[Job Type]=Analysis!$C63,tblSalaries[Salary in USD]))),0)</f>
        <v>120000</v>
      </c>
      <c r="EH63" s="26">
        <f t="array" ref="EH63">IFERROR(MAX(IF(tblSalaries[Years of Experience]=Analysis!EH$60,IF(tblSalaries[Job Type]=Analysis!$C63,tblSalaries[Salary in USD]))),0)</f>
        <v>173384.64158844808</v>
      </c>
      <c r="EI63" s="26">
        <f t="array" ref="EI63">IFERROR(MAX(IF(tblSalaries[Years of Experience]=Analysis!EI$60,IF(tblSalaries[Job Type]=Analysis!$C63,tblSalaries[Salary in USD]))),0)</f>
        <v>250000</v>
      </c>
      <c r="EJ63" s="26">
        <f t="array" ref="EJ63">IFERROR(MAX(IF(tblSalaries[Years of Experience]=Analysis!EJ$60,IF(tblSalaries[Job Type]=Analysis!$C63,tblSalaries[Salary in USD]))),0)</f>
        <v>101990.96564026357</v>
      </c>
      <c r="EK63" s="26">
        <f t="array" ref="EK63">IFERROR(MAX(IF(tblSalaries[Years of Experience]=Analysis!EK$60,IF(tblSalaries[Job Type]=Analysis!$C63,tblSalaries[Salary in USD]))),0)</f>
        <v>10684.750012465542</v>
      </c>
      <c r="EL63" s="26">
        <f t="array" ref="EL63">IFERROR(MIN(IF(tblSalaries[Job Type]=Analysis!$C63,tblSalaries[Salary in USD])),0)</f>
        <v>3000</v>
      </c>
      <c r="EM63" s="26">
        <f t="array" ref="EM63">IFERROR(MIN(IF(tblSalaries[Region]=Analysis!EM$60,IF(tblSalaries[Job Type]=Analysis!$C63,tblSalaries[Salary in USD]))),0)</f>
        <v>85672.4111378214</v>
      </c>
      <c r="EN63" s="26">
        <f t="array" ref="EN63">IFERROR(MIN(IF(tblSalaries[Region]=Analysis!EN$60,IF(tblSalaries[Job Type]=Analysis!$C63,tblSalaries[Salary in USD]))),0)</f>
        <v>41000</v>
      </c>
      <c r="EO63" s="26">
        <f t="array" ref="EO63">IFERROR(MIN(IF(tblSalaries[Region]=Analysis!EO$60,IF(tblSalaries[Job Type]=Analysis!$C63,tblSalaries[Salary in USD]))),0)</f>
        <v>55068.245289698301</v>
      </c>
      <c r="EP63" s="26">
        <f t="array" ref="EP63">IFERROR(MIN(IF(tblSalaries[Region]=Analysis!EP$60,IF(tblSalaries[Job Type]=Analysis!$C63,tblSalaries[Salary in USD]))),0)</f>
        <v>40980.635073749385</v>
      </c>
      <c r="EQ63" s="26">
        <f t="array" ref="EQ63">IFERROR(MIN(IF(tblSalaries[Region]=Analysis!EQ$60,IF(tblSalaries[Job Type]=Analysis!$C63,tblSalaries[Salary in USD]))),0)</f>
        <v>12000</v>
      </c>
      <c r="ER63" s="26">
        <f t="array" ref="ER63">IFERROR(MIN(IF(tblSalaries[Region]=Analysis!ER$60,IF(tblSalaries[Job Type]=Analysis!$C63,tblSalaries[Salary in USD]))),0)</f>
        <v>5000</v>
      </c>
      <c r="ES63" s="26">
        <f t="array" ref="ES63">IFERROR(MIN(IF(tblSalaries[Region]=Analysis!ES$60,IF(tblSalaries[Job Type]=Analysis!$C63,tblSalaries[Salary in USD]))),0)</f>
        <v>3000</v>
      </c>
      <c r="ET63" s="26">
        <f t="array" ref="ET63">IFERROR(MIN(IF(tblSalaries[Region]=Analysis!ET$60,IF(tblSalaries[Job Type]=Analysis!$C63,tblSalaries[Salary in USD]))),0)</f>
        <v>5342.3750062327708</v>
      </c>
      <c r="EU63" s="26">
        <f t="array" ref="EU63">IFERROR(MIN(IF(tblSalaries[Region]=Analysis!EU$60,IF(tblSalaries[Job Type]=Analysis!$C63,tblSalaries[Salary in USD]))),0)</f>
        <v>12000</v>
      </c>
      <c r="EV63" s="26">
        <f t="array" ref="EV63">IFERROR(MIN(IF(tblSalaries[Work Hour per day on Excel]=Analysis!EV$60,IF(tblSalaries[Job Type]=Analysis!$C63,tblSalaries[Salary in USD]))),0)</f>
        <v>5000</v>
      </c>
      <c r="EW63" s="26">
        <f t="array" ref="EW63">IFERROR(MIN(IF(tblSalaries[Work Hour per day on Excel]=Analysis!EW$60,IF(tblSalaries[Job Type]=Analysis!$C63,tblSalaries[Salary in USD]))),0)</f>
        <v>3000</v>
      </c>
      <c r="EX63" s="26">
        <f t="array" ref="EX63">IFERROR(MIN(IF(tblSalaries[Work Hour per day on Excel]=Analysis!EX$60,IF(tblSalaries[Job Type]=Analysis!$C63,tblSalaries[Salary in USD]))),0)</f>
        <v>7123.1666749770275</v>
      </c>
      <c r="EY63" s="26">
        <f t="array" ref="EY63">IFERROR(MIN(IF(tblSalaries[Work Hour per day on Excel]=Analysis!EY$60,IF(tblSalaries[Job Type]=Analysis!$C63,tblSalaries[Salary in USD]))),0)</f>
        <v>8369.7208430980063</v>
      </c>
      <c r="EZ63" s="26">
        <f t="array" ref="EZ63">IFERROR(MIN(IF(tblSalaries[Years of Experience]=Analysis!EZ$60,IF(tblSalaries[Job Type]=Analysis!$C63,tblSalaries[Salary in USD]))),0)</f>
        <v>3000</v>
      </c>
      <c r="FA63" s="26">
        <f t="array" ref="FA63">IFERROR(MIN(IF(tblSalaries[Years of Experience]=Analysis!FA$60,IF(tblSalaries[Job Type]=Analysis!$C63,tblSalaries[Salary in USD]))),0)</f>
        <v>12000</v>
      </c>
      <c r="FB63" s="26">
        <f t="array" ref="FB63">IFERROR(MIN(IF(tblSalaries[Years of Experience]=Analysis!FB$60,IF(tblSalaries[Job Type]=Analysis!$C63,tblSalaries[Salary in USD]))),0)</f>
        <v>5000</v>
      </c>
      <c r="FC63" s="26">
        <f t="array" ref="FC63">IFERROR(MIN(IF(tblSalaries[Years of Experience]=Analysis!FC$60,IF(tblSalaries[Job Type]=Analysis!$C63,tblSalaries[Salary in USD]))),0)</f>
        <v>21369.500024931083</v>
      </c>
      <c r="FD63" s="26">
        <f t="array" ref="FD63">IFERROR(MIN(IF(tblSalaries[Years of Experience]=Analysis!FD$60,IF(tblSalaries[Job Type]=Analysis!$C63,tblSalaries[Salary in USD]))),0)</f>
        <v>10684.750012465542</v>
      </c>
      <c r="FE63" s="26">
        <f t="array" ref="FE63">IFERROR(COUNT(IF(tblSalaries[Job Type]=Analysis!$C63,tblSalaries[Salary in USD])),0)</f>
        <v>58</v>
      </c>
      <c r="FF63" s="26">
        <f t="array" ref="FF63">IFERROR(COUNT(IF(tblSalaries[Region]=Analysis!FF$60,IF(tblSalaries[Job Type]=Analysis!$C63,tblSalaries[Salary in USD]))),0)</f>
        <v>6</v>
      </c>
      <c r="FG63" s="26">
        <f t="array" ref="FG63">IFERROR(COUNT(IF(tblSalaries[Region]=Analysis!FG$60,IF(tblSalaries[Job Type]=Analysis!$C63,tblSalaries[Salary in USD]))),0)</f>
        <v>8</v>
      </c>
      <c r="FH63" s="26">
        <f t="array" ref="FH63">IFERROR(COUNT(IF(tblSalaries[Region]=Analysis!FH$60,IF(tblSalaries[Job Type]=Analysis!$C63,tblSalaries[Salary in USD]))),0)</f>
        <v>1</v>
      </c>
      <c r="FI63" s="26">
        <f t="array" ref="FI63">IFERROR(COUNT(IF(tblSalaries[Region]=Analysis!FI$60,IF(tblSalaries[Job Type]=Analysis!$C63,tblSalaries[Salary in USD]))),0)</f>
        <v>7</v>
      </c>
      <c r="FJ63" s="26">
        <f t="array" ref="FJ63">IFERROR(COUNT(IF(tblSalaries[Region]=Analysis!FJ$60,IF(tblSalaries[Job Type]=Analysis!$C63,tblSalaries[Salary in USD]))),0)</f>
        <v>11</v>
      </c>
      <c r="FK63" s="26">
        <f t="array" ref="FK63">IFERROR(COUNT(IF(tblSalaries[Region]=Analysis!FK$60,IF(tblSalaries[Job Type]=Analysis!$C63,tblSalaries[Salary in USD]))),0)</f>
        <v>5</v>
      </c>
      <c r="FL63" s="26">
        <f t="array" ref="FL63">IFERROR(COUNT(IF(tblSalaries[Region]=Analysis!FL$60,IF(tblSalaries[Job Type]=Analysis!$C63,tblSalaries[Salary in USD]))),0)</f>
        <v>4</v>
      </c>
      <c r="FM63" s="26">
        <f t="array" ref="FM63">IFERROR(COUNT(IF(tblSalaries[Region]=Analysis!FM$60,IF(tblSalaries[Job Type]=Analysis!$C63,tblSalaries[Salary in USD]))),0)</f>
        <v>14</v>
      </c>
      <c r="FN63" s="26">
        <f t="array" ref="FN63">IFERROR(COUNT(IF(tblSalaries[Region]=Analysis!FN$60,IF(tblSalaries[Job Type]=Analysis!$C63,tblSalaries[Salary in USD]))),0)</f>
        <v>2</v>
      </c>
      <c r="FO63" s="26">
        <f t="array" ref="FO63">IFERROR(COUNT(IF(tblSalaries[Work Hour per day on Excel]=Analysis!FO$60,IF(tblSalaries[Job Type]=Analysis!$C63,tblSalaries[Salary in USD]))),0)</f>
        <v>7</v>
      </c>
      <c r="FP63" s="26">
        <f t="array" ref="FP63">IFERROR(COUNT(IF(tblSalaries[Work Hour per day on Excel]=Analysis!FP$60,IF(tblSalaries[Job Type]=Analysis!$C63,tblSalaries[Salary in USD]))),0)</f>
        <v>19</v>
      </c>
      <c r="FQ63" s="26">
        <f t="array" ref="FQ63">IFERROR(COUNT(IF(tblSalaries[Work Hour per day on Excel]=Analysis!FQ$60,IF(tblSalaries[Job Type]=Analysis!$C63,tblSalaries[Salary in USD]))),0)</f>
        <v>17</v>
      </c>
      <c r="FR63" s="26">
        <f t="array" ref="FR63">IFERROR(COUNT(IF(tblSalaries[Work Hour per day on Excel]=Analysis!FR$60,IF(tblSalaries[Job Type]=Analysis!$C63,tblSalaries[Salary in USD]))),0)</f>
        <v>15</v>
      </c>
      <c r="FS63" s="26">
        <f t="array" ref="FS63">IFERROR(COUNT(IF(tblSalaries[Years of Experience]=Analysis!FS$60,IF(tblSalaries[Job Type]=Analysis!$C63,tblSalaries[Salary in USD]))),0)</f>
        <v>21</v>
      </c>
      <c r="FT63" s="26">
        <f t="array" ref="FT63">IFERROR(COUNT(IF(tblSalaries[Years of Experience]=Analysis!FT$60,IF(tblSalaries[Job Type]=Analysis!$C63,tblSalaries[Salary in USD]))),0)</f>
        <v>19</v>
      </c>
      <c r="FU63" s="26">
        <f t="array" ref="FU63">IFERROR(COUNT(IF(tblSalaries[Years of Experience]=Analysis!FU$60,IF(tblSalaries[Job Type]=Analysis!$C63,tblSalaries[Salary in USD]))),0)</f>
        <v>15</v>
      </c>
      <c r="FV63" s="26">
        <f t="array" ref="FV63">IFERROR(COUNT(IF(tblSalaries[Years of Experience]=Analysis!FV$60,IF(tblSalaries[Job Type]=Analysis!$C63,tblSalaries[Salary in USD]))),0)</f>
        <v>2</v>
      </c>
      <c r="FW63" s="26">
        <f t="array" ref="FW63">IFERROR(COUNT(IF(tblSalaries[Years of Experience]=Analysis!FW$60,IF(tblSalaries[Job Type]=Analysis!$C63,tblSalaries[Salary in USD]))),0)</f>
        <v>1</v>
      </c>
    </row>
    <row r="64" spans="1:179" s="25" customFormat="1" ht="15" hidden="1" customHeight="1" x14ac:dyDescent="0.25">
      <c r="A64" s="29"/>
      <c r="B64" s="25">
        <f t="shared" si="127"/>
        <v>4</v>
      </c>
      <c r="C64" s="25" t="s">
        <v>14</v>
      </c>
      <c r="D64" s="26">
        <f t="shared" si="107"/>
        <v>49956.132944873774</v>
      </c>
      <c r="E64" s="26">
        <f t="shared" si="108"/>
        <v>94851.598045445135</v>
      </c>
      <c r="F64" s="26">
        <f t="shared" si="109"/>
        <v>51833.333333333336</v>
      </c>
      <c r="G64" s="26">
        <f t="shared" si="110"/>
        <v>0</v>
      </c>
      <c r="H64" s="26">
        <f t="shared" si="111"/>
        <v>61864.997178640901</v>
      </c>
      <c r="I64" s="26">
        <f t="shared" si="112"/>
        <v>88927.960729412545</v>
      </c>
      <c r="J64" s="26">
        <f t="shared" si="113"/>
        <v>28582.930269756427</v>
      </c>
      <c r="K64" s="26">
        <f t="shared" si="114"/>
        <v>8259.5</v>
      </c>
      <c r="L64" s="26">
        <f t="shared" si="115"/>
        <v>31759.895859303211</v>
      </c>
      <c r="M64" s="26">
        <f t="shared" si="116"/>
        <v>0</v>
      </c>
      <c r="N64" s="26">
        <f t="shared" si="117"/>
        <v>88927.960729412545</v>
      </c>
      <c r="O64" s="26">
        <f t="shared" si="118"/>
        <v>46459.159838796608</v>
      </c>
      <c r="P64" s="26">
        <f t="shared" si="119"/>
        <v>51862.582253856512</v>
      </c>
      <c r="Q64" s="26">
        <f t="shared" si="120"/>
        <v>45389.420754197869</v>
      </c>
      <c r="R64" s="26">
        <f t="shared" si="121"/>
        <v>63118.959014625842</v>
      </c>
      <c r="S64" s="26">
        <f t="shared" si="122"/>
        <v>33608.504646380854</v>
      </c>
      <c r="T64" s="26">
        <f t="shared" si="123"/>
        <v>63098.942935174477</v>
      </c>
      <c r="U64" s="26">
        <f t="shared" si="124"/>
        <v>62523.56544134568</v>
      </c>
      <c r="V64" s="26">
        <f t="shared" si="125"/>
        <v>0</v>
      </c>
      <c r="W64" s="25">
        <f t="shared" si="126"/>
        <v>5</v>
      </c>
      <c r="CZ64" s="26">
        <f t="array" ref="CZ64">IFERROR(AVERAGE(IF(tblSalaries[Job Type]=Analysis!$C64,tblSalaries[Salary in USD])),0)</f>
        <v>49956.132944873774</v>
      </c>
      <c r="DA64" s="26">
        <f t="array" ref="DA64">IFERROR(AVERAGE(IF(tblSalaries[Region]=Analysis!DA$60,IF(tblSalaries[Job Type]=Analysis!$C64,tblSalaries[Salary in USD]))),0)</f>
        <v>94851.598045445135</v>
      </c>
      <c r="DB64" s="26">
        <f t="array" ref="DB64">IFERROR(AVERAGE(IF(tblSalaries[Region]=Analysis!DB$60,IF(tblSalaries[Job Type]=Analysis!$C64,tblSalaries[Salary in USD]))),0)</f>
        <v>51833.333333333336</v>
      </c>
      <c r="DC64" s="26">
        <f t="array" ref="DC64">IFERROR(AVERAGE(IF(tblSalaries[Region]=Analysis!DC$60,IF(tblSalaries[Job Type]=Analysis!$C64,tblSalaries[Salary in USD]))),0)</f>
        <v>0</v>
      </c>
      <c r="DD64" s="26">
        <f t="array" ref="DD64">IFERROR(AVERAGE(IF(tblSalaries[Region]=Analysis!DD$60,IF(tblSalaries[Job Type]=Analysis!$C64,tblSalaries[Salary in USD]))),0)</f>
        <v>61864.997178640901</v>
      </c>
      <c r="DE64" s="26">
        <f t="array" ref="DE64">IFERROR(AVERAGE(IF(tblSalaries[Region]=Analysis!DE$60,IF(tblSalaries[Job Type]=Analysis!$C64,tblSalaries[Salary in USD]))),0)</f>
        <v>88927.960729412545</v>
      </c>
      <c r="DF64" s="26">
        <f t="array" ref="DF64">IFERROR(AVERAGE(IF(tblSalaries[Region]=Analysis!DF$60,IF(tblSalaries[Job Type]=Analysis!$C64,tblSalaries[Salary in USD]))),0)</f>
        <v>28582.930269756427</v>
      </c>
      <c r="DG64" s="26">
        <f t="array" ref="DG64">IFERROR(AVERAGE(IF(tblSalaries[Region]=Analysis!DG$60,IF(tblSalaries[Job Type]=Analysis!$C64,tblSalaries[Salary in USD]))),0)</f>
        <v>8259.5</v>
      </c>
      <c r="DH64" s="26">
        <f t="array" ref="DH64">IFERROR(AVERAGE(IF(tblSalaries[Region]=Analysis!DH$60,IF(tblSalaries[Job Type]=Analysis!$C64,tblSalaries[Salary in USD]))),0)</f>
        <v>31759.895859303211</v>
      </c>
      <c r="DI64" s="26">
        <f t="array" ref="DI64">IFERROR(AVERAGE(IF(tblSalaries[Region]=Analysis!DI$60,IF(tblSalaries[Job Type]=Analysis!$C64,tblSalaries[Salary in USD]))),0)</f>
        <v>0</v>
      </c>
      <c r="DJ64" s="26">
        <f t="array" ref="DJ64">IFERROR(AVERAGE(IF(tblSalaries[Work Hour per day on Excel]=Analysis!DJ$60,IF(tblSalaries[Job Type]=Analysis!$C64,tblSalaries[Salary in USD]))),0)</f>
        <v>88927.960729412545</v>
      </c>
      <c r="DK64" s="26">
        <f t="array" ref="DK64">IFERROR(AVERAGE(IF(tblSalaries[Work Hour per day on Excel]=Analysis!DK$60,IF(tblSalaries[Job Type]=Analysis!$C64,tblSalaries[Salary in USD]))),0)</f>
        <v>46459.159838796608</v>
      </c>
      <c r="DL64" s="26">
        <f t="array" ref="DL64">IFERROR(AVERAGE(IF(tblSalaries[Work Hour per day on Excel]=Analysis!DL$60,IF(tblSalaries[Job Type]=Analysis!$C64,tblSalaries[Salary in USD]))),0)</f>
        <v>51862.582253856512</v>
      </c>
      <c r="DM64" s="26">
        <f t="array" ref="DM64">IFERROR(AVERAGE(IF(tblSalaries[Work Hour per day on Excel]=Analysis!DM$60,IF(tblSalaries[Job Type]=Analysis!$C64,tblSalaries[Salary in USD]))),0)</f>
        <v>45389.420754197869</v>
      </c>
      <c r="DN64" s="26">
        <f t="array" ref="DN64">IFERROR(AVERAGE(IF(tblSalaries[Years of Experience]=Analysis!DN$60,IF(tblSalaries[Job Type]=Analysis!$C64,tblSalaries[Salary in USD]))),0)</f>
        <v>63118.959014625842</v>
      </c>
      <c r="DO64" s="26">
        <f t="array" ref="DO64">IFERROR(AVERAGE(IF(tblSalaries[Years of Experience]=Analysis!DO$60,IF(tblSalaries[Job Type]=Analysis!$C64,tblSalaries[Salary in USD]))),0)</f>
        <v>33608.504646380854</v>
      </c>
      <c r="DP64" s="26">
        <f t="array" ref="DP64">IFERROR(AVERAGE(IF(tblSalaries[Years of Experience]=Analysis!DP$60,IF(tblSalaries[Job Type]=Analysis!$C64,tblSalaries[Salary in USD]))),0)</f>
        <v>63098.942935174477</v>
      </c>
      <c r="DQ64" s="26">
        <f t="array" ref="DQ64">IFERROR(AVERAGE(IF(tblSalaries[Years of Experience]=Analysis!DQ$60,IF(tblSalaries[Job Type]=Analysis!$C64,tblSalaries[Salary in USD]))),0)</f>
        <v>62523.56544134568</v>
      </c>
      <c r="DR64" s="26">
        <f t="array" ref="DR64">IFERROR(AVERAGE(IF(tblSalaries[Years of Experience]=Analysis!DR$60,IF(tblSalaries[Job Type]=Analysis!$C64,tblSalaries[Salary in USD]))),0)</f>
        <v>0</v>
      </c>
      <c r="DS64" s="26">
        <f t="array" ref="DS64">IFERROR(MAX(IF(tblSalaries[Job Type]=Analysis!$C64,tblSalaries[Salary in USD])),0)</f>
        <v>108110.42357867939</v>
      </c>
      <c r="DT64" s="26">
        <f t="array" ref="DT64">IFERROR(MAX(IF(tblSalaries[Region]=Analysis!DT$60,IF(tblSalaries[Job Type]=Analysis!$C64,tblSalaries[Salary in USD]))),0)</f>
        <v>108110.42357867939</v>
      </c>
      <c r="DU64" s="26">
        <f t="array" ref="DU64">IFERROR(MAX(IF(tblSalaries[Region]=Analysis!DU$60,IF(tblSalaries[Job Type]=Analysis!$C64,tblSalaries[Salary in USD]))),0)</f>
        <v>80000</v>
      </c>
      <c r="DV64" s="26">
        <f t="array" ref="DV64">IFERROR(MAX(IF(tblSalaries[Region]=Analysis!DV$60,IF(tblSalaries[Job Type]=Analysis!$C64,tblSalaries[Salary in USD]))),0)</f>
        <v>0</v>
      </c>
      <c r="DW64" s="26">
        <f t="array" ref="DW64">IFERROR(MAX(IF(tblSalaries[Region]=Analysis!DW$60,IF(tblSalaries[Job Type]=Analysis!$C64,tblSalaries[Salary in USD]))),0)</f>
        <v>99299.231140238902</v>
      </c>
      <c r="DX64" s="26">
        <f t="array" ref="DX64">IFERROR(MAX(IF(tblSalaries[Region]=Analysis!DX$60,IF(tblSalaries[Job Type]=Analysis!$C64,tblSalaries[Salary in USD]))),0)</f>
        <v>88927.960729412545</v>
      </c>
      <c r="DY64" s="26">
        <f t="array" ref="DY64">IFERROR(MAX(IF(tblSalaries[Region]=Analysis!DY$60,IF(tblSalaries[Job Type]=Analysis!$C64,tblSalaries[Salary in USD]))),0)</f>
        <v>38666</v>
      </c>
      <c r="DZ64" s="26">
        <f t="array" ref="DZ64">IFERROR(MAX(IF(tblSalaries[Region]=Analysis!DZ$60,IF(tblSalaries[Job Type]=Analysis!$C64,tblSalaries[Salary in USD]))),0)</f>
        <v>12500</v>
      </c>
      <c r="EA64" s="26">
        <f t="array" ref="EA64">IFERROR(MAX(IF(tblSalaries[Region]=Analysis!EA$60,IF(tblSalaries[Job Type]=Analysis!$C64,tblSalaries[Salary in USD]))),0)</f>
        <v>71231.666749770273</v>
      </c>
      <c r="EB64" s="26">
        <f t="array" ref="EB64">IFERROR(MAX(IF(tblSalaries[Region]=Analysis!EB$60,IF(tblSalaries[Job Type]=Analysis!$C64,tblSalaries[Salary in USD]))),0)</f>
        <v>0</v>
      </c>
      <c r="EC64" s="26">
        <f t="array" ref="EC64">IFERROR(MAX(IF(tblSalaries[Work Hour per day on Excel]=Analysis!EC$60,IF(tblSalaries[Job Type]=Analysis!$C64,tblSalaries[Salary in USD]))),0)</f>
        <v>88927.960729412545</v>
      </c>
      <c r="ED64" s="26">
        <f t="array" ref="ED64">IFERROR(MAX(IF(tblSalaries[Work Hour per day on Excel]=Analysis!ED$60,IF(tblSalaries[Job Type]=Analysis!$C64,tblSalaries[Salary in USD]))),0)</f>
        <v>99299.231140238902</v>
      </c>
      <c r="EE64" s="26">
        <f t="array" ref="EE64">IFERROR(MAX(IF(tblSalaries[Work Hour per day on Excel]=Analysis!EE$60,IF(tblSalaries[Job Type]=Analysis!$C64,tblSalaries[Salary in USD]))),0)</f>
        <v>108110.42357867939</v>
      </c>
      <c r="EF64" s="26">
        <f t="array" ref="EF64">IFERROR(MAX(IF(tblSalaries[Work Hour per day on Excel]=Analysis!EF$60,IF(tblSalaries[Job Type]=Analysis!$C64,tblSalaries[Salary in USD]))),0)</f>
        <v>71231.666749770273</v>
      </c>
      <c r="EG64" s="26">
        <f t="array" ref="EG64">IFERROR(MAX(IF(tblSalaries[Years of Experience]=Analysis!EG$60,IF(tblSalaries[Job Type]=Analysis!$C64,tblSalaries[Salary in USD]))),0)</f>
        <v>99299.231140238902</v>
      </c>
      <c r="EH64" s="26">
        <f t="array" ref="EH64">IFERROR(MAX(IF(tblSalaries[Years of Experience]=Analysis!EH$60,IF(tblSalaries[Job Type]=Analysis!$C64,tblSalaries[Salary in USD]))),0)</f>
        <v>74000</v>
      </c>
      <c r="EI64" s="26">
        <f t="array" ref="EI64">IFERROR(MAX(IF(tblSalaries[Years of Experience]=Analysis!EI$60,IF(tblSalaries[Job Type]=Analysis!$C64,tblSalaries[Salary in USD]))),0)</f>
        <v>108110.42357867939</v>
      </c>
      <c r="EJ64" s="26">
        <f t="array" ref="EJ64">IFERROR(MAX(IF(tblSalaries[Years of Experience]=Analysis!EJ$60,IF(tblSalaries[Job Type]=Analysis!$C64,tblSalaries[Salary in USD]))),0)</f>
        <v>63047.130882691366</v>
      </c>
      <c r="EK64" s="26">
        <f t="array" ref="EK64">IFERROR(MAX(IF(tblSalaries[Years of Experience]=Analysis!EK$60,IF(tblSalaries[Job Type]=Analysis!$C64,tblSalaries[Salary in USD]))),0)</f>
        <v>0</v>
      </c>
      <c r="EL64" s="26">
        <f t="array" ref="EL64">IFERROR(MIN(IF(tblSalaries[Job Type]=Analysis!$C64,tblSalaries[Salary in USD])),0)</f>
        <v>4019</v>
      </c>
      <c r="EM64" s="26">
        <f t="array" ref="EM64">IFERROR(MIN(IF(tblSalaries[Region]=Analysis!EM$60,IF(tblSalaries[Job Type]=Analysis!$C64,tblSalaries[Salary in USD]))),0)</f>
        <v>81592.772512210868</v>
      </c>
      <c r="EN64" s="26">
        <f t="array" ref="EN64">IFERROR(MIN(IF(tblSalaries[Region]=Analysis!EN$60,IF(tblSalaries[Job Type]=Analysis!$C64,tblSalaries[Salary in USD]))),0)</f>
        <v>35000</v>
      </c>
      <c r="EO64" s="26">
        <f t="array" ref="EO64">IFERROR(MIN(IF(tblSalaries[Region]=Analysis!EO$60,IF(tblSalaries[Job Type]=Analysis!$C64,tblSalaries[Salary in USD]))),0)</f>
        <v>0</v>
      </c>
      <c r="EP64" s="26">
        <f t="array" ref="EP64">IFERROR(MIN(IF(tblSalaries[Region]=Analysis!EP$60,IF(tblSalaries[Job Type]=Analysis!$C64,tblSalaries[Salary in USD]))),0)</f>
        <v>37828.278529614821</v>
      </c>
      <c r="EQ64" s="26">
        <f t="array" ref="EQ64">IFERROR(MIN(IF(tblSalaries[Region]=Analysis!EQ$60,IF(tblSalaries[Job Type]=Analysis!$C64,tblSalaries[Salary in USD]))),0)</f>
        <v>88927.960729412545</v>
      </c>
      <c r="ER64" s="26">
        <f t="array" ref="ER64">IFERROR(MIN(IF(tblSalaries[Region]=Analysis!ER$60,IF(tblSalaries[Job Type]=Analysis!$C64,tblSalaries[Salary in USD]))),0)</f>
        <v>18499.860539512854</v>
      </c>
      <c r="ES64" s="26">
        <f t="array" ref="ES64">IFERROR(MIN(IF(tblSalaries[Region]=Analysis!ES$60,IF(tblSalaries[Job Type]=Analysis!$C64,tblSalaries[Salary in USD]))),0)</f>
        <v>4019</v>
      </c>
      <c r="ET64" s="26">
        <f t="array" ref="ET64">IFERROR(MIN(IF(tblSalaries[Region]=Analysis!ET$60,IF(tblSalaries[Job Type]=Analysis!$C64,tblSalaries[Salary in USD]))),0)</f>
        <v>17807.916687442568</v>
      </c>
      <c r="EU64" s="26">
        <f t="array" ref="EU64">IFERROR(MIN(IF(tblSalaries[Region]=Analysis!EU$60,IF(tblSalaries[Job Type]=Analysis!$C64,tblSalaries[Salary in USD]))),0)</f>
        <v>0</v>
      </c>
      <c r="EV64" s="26">
        <f t="array" ref="EV64">IFERROR(MIN(IF(tblSalaries[Work Hour per day on Excel]=Analysis!EV$60,IF(tblSalaries[Job Type]=Analysis!$C64,tblSalaries[Salary in USD]))),0)</f>
        <v>88927.960729412545</v>
      </c>
      <c r="EW64" s="26">
        <f t="array" ref="EW64">IFERROR(MIN(IF(tblSalaries[Work Hour per day on Excel]=Analysis!EW$60,IF(tblSalaries[Job Type]=Analysis!$C64,tblSalaries[Salary in USD]))),0)</f>
        <v>4019</v>
      </c>
      <c r="EX64" s="26">
        <f t="array" ref="EX64">IFERROR(MIN(IF(tblSalaries[Work Hour per day on Excel]=Analysis!EX$60,IF(tblSalaries[Job Type]=Analysis!$C64,tblSalaries[Salary in USD]))),0)</f>
        <v>18499.860539512854</v>
      </c>
      <c r="EY64" s="26">
        <f t="array" ref="EY64">IFERROR(MIN(IF(tblSalaries[Work Hour per day on Excel]=Analysis!EY$60,IF(tblSalaries[Job Type]=Analysis!$C64,tblSalaries[Salary in USD]))),0)</f>
        <v>18000</v>
      </c>
      <c r="EZ64" s="26">
        <f t="array" ref="EZ64">IFERROR(MIN(IF(tblSalaries[Years of Experience]=Analysis!EZ$60,IF(tblSalaries[Job Type]=Analysis!$C64,tblSalaries[Salary in USD]))),0)</f>
        <v>4019</v>
      </c>
      <c r="FA64" s="26">
        <f t="array" ref="FA64">IFERROR(MIN(IF(tblSalaries[Years of Experience]=Analysis!FA$60,IF(tblSalaries[Job Type]=Analysis!$C64,tblSalaries[Salary in USD]))),0)</f>
        <v>12500</v>
      </c>
      <c r="FB64" s="26">
        <f t="array" ref="FB64">IFERROR(MIN(IF(tblSalaries[Years of Experience]=Analysis!FB$60,IF(tblSalaries[Job Type]=Analysis!$C64,tblSalaries[Salary in USD]))),0)</f>
        <v>45000</v>
      </c>
      <c r="FC64" s="26">
        <f t="array" ref="FC64">IFERROR(MIN(IF(tblSalaries[Years of Experience]=Analysis!FC$60,IF(tblSalaries[Job Type]=Analysis!$C64,tblSalaries[Salary in USD]))),0)</f>
        <v>62000</v>
      </c>
      <c r="FD64" s="26">
        <f t="array" ref="FD64">IFERROR(MIN(IF(tblSalaries[Years of Experience]=Analysis!FD$60,IF(tblSalaries[Job Type]=Analysis!$C64,tblSalaries[Salary in USD]))),0)</f>
        <v>0</v>
      </c>
      <c r="FE64" s="26">
        <f t="array" ref="FE64">IFERROR(COUNT(IF(tblSalaries[Job Type]=Analysis!$C64,tblSalaries[Salary in USD])),0)</f>
        <v>27</v>
      </c>
      <c r="FF64" s="26">
        <f t="array" ref="FF64">IFERROR(COUNT(IF(tblSalaries[Region]=Analysis!FF$60,IF(tblSalaries[Job Type]=Analysis!$C64,tblSalaries[Salary in USD]))),0)</f>
        <v>2</v>
      </c>
      <c r="FG64" s="26">
        <f t="array" ref="FG64">IFERROR(COUNT(IF(tblSalaries[Region]=Analysis!FG$60,IF(tblSalaries[Job Type]=Analysis!$C64,tblSalaries[Salary in USD]))),0)</f>
        <v>12</v>
      </c>
      <c r="FH64" s="26">
        <f t="array" ref="FH64">IFERROR(COUNT(IF(tblSalaries[Region]=Analysis!FH$60,IF(tblSalaries[Job Type]=Analysis!$C64,tblSalaries[Salary in USD]))),0)</f>
        <v>0</v>
      </c>
      <c r="FI64" s="26">
        <f t="array" ref="FI64">IFERROR(COUNT(IF(tblSalaries[Region]=Analysis!FI$60,IF(tblSalaries[Job Type]=Analysis!$C64,tblSalaries[Salary in USD]))),0)</f>
        <v>4</v>
      </c>
      <c r="FJ64" s="26">
        <f t="array" ref="FJ64">IFERROR(COUNT(IF(tblSalaries[Region]=Analysis!FJ$60,IF(tblSalaries[Job Type]=Analysis!$C64,tblSalaries[Salary in USD]))),0)</f>
        <v>1</v>
      </c>
      <c r="FK64" s="26">
        <f t="array" ref="FK64">IFERROR(COUNT(IF(tblSalaries[Region]=Analysis!FK$60,IF(tblSalaries[Job Type]=Analysis!$C64,tblSalaries[Salary in USD]))),0)</f>
        <v>2</v>
      </c>
      <c r="FL64" s="26">
        <f t="array" ref="FL64">IFERROR(COUNT(IF(tblSalaries[Region]=Analysis!FL$60,IF(tblSalaries[Job Type]=Analysis!$C64,tblSalaries[Salary in USD]))),0)</f>
        <v>2</v>
      </c>
      <c r="FM64" s="26">
        <f t="array" ref="FM64">IFERROR(COUNT(IF(tblSalaries[Region]=Analysis!FM$60,IF(tblSalaries[Job Type]=Analysis!$C64,tblSalaries[Salary in USD]))),0)</f>
        <v>4</v>
      </c>
      <c r="FN64" s="26">
        <f t="array" ref="FN64">IFERROR(COUNT(IF(tblSalaries[Region]=Analysis!FN$60,IF(tblSalaries[Job Type]=Analysis!$C64,tblSalaries[Salary in USD]))),0)</f>
        <v>0</v>
      </c>
      <c r="FO64" s="26">
        <f t="array" ref="FO64">IFERROR(COUNT(IF(tblSalaries[Work Hour per day on Excel]=Analysis!FO$60,IF(tblSalaries[Job Type]=Analysis!$C64,tblSalaries[Salary in USD]))),0)</f>
        <v>1</v>
      </c>
      <c r="FP64" s="26">
        <f t="array" ref="FP64">IFERROR(COUNT(IF(tblSalaries[Work Hour per day on Excel]=Analysis!FP$60,IF(tblSalaries[Job Type]=Analysis!$C64,tblSalaries[Salary in USD]))),0)</f>
        <v>8</v>
      </c>
      <c r="FQ64" s="26">
        <f t="array" ref="FQ64">IFERROR(COUNT(IF(tblSalaries[Work Hour per day on Excel]=Analysis!FQ$60,IF(tblSalaries[Job Type]=Analysis!$C64,tblSalaries[Salary in USD]))),0)</f>
        <v>11</v>
      </c>
      <c r="FR64" s="26">
        <f t="array" ref="FR64">IFERROR(COUNT(IF(tblSalaries[Work Hour per day on Excel]=Analysis!FR$60,IF(tblSalaries[Job Type]=Analysis!$C64,tblSalaries[Salary in USD]))),0)</f>
        <v>7</v>
      </c>
      <c r="FS64" s="26">
        <f t="array" ref="FS64">IFERROR(COUNT(IF(tblSalaries[Years of Experience]=Analysis!FS$60,IF(tblSalaries[Job Type]=Analysis!$C64,tblSalaries[Salary in USD]))),0)</f>
        <v>9</v>
      </c>
      <c r="FT64" s="26">
        <f t="array" ref="FT64">IFERROR(COUNT(IF(tblSalaries[Years of Experience]=Analysis!FT$60,IF(tblSalaries[Job Type]=Analysis!$C64,tblSalaries[Salary in USD]))),0)</f>
        <v>12</v>
      </c>
      <c r="FU64" s="26">
        <f t="array" ref="FU64">IFERROR(COUNT(IF(tblSalaries[Years of Experience]=Analysis!FU$60,IF(tblSalaries[Job Type]=Analysis!$C64,tblSalaries[Salary in USD]))),0)</f>
        <v>4</v>
      </c>
      <c r="FV64" s="26">
        <f t="array" ref="FV64">IFERROR(COUNT(IF(tblSalaries[Years of Experience]=Analysis!FV$60,IF(tblSalaries[Job Type]=Analysis!$C64,tblSalaries[Salary in USD]))),0)</f>
        <v>2</v>
      </c>
      <c r="FW64" s="26">
        <f t="array" ref="FW64">IFERROR(COUNT(IF(tblSalaries[Years of Experience]=Analysis!FW$60,IF(tblSalaries[Job Type]=Analysis!$C64,tblSalaries[Salary in USD]))),0)</f>
        <v>0</v>
      </c>
    </row>
    <row r="65" spans="1:183" s="25" customFormat="1" ht="15" hidden="1" customHeight="1" x14ac:dyDescent="0.25">
      <c r="A65" s="29"/>
      <c r="B65" s="25">
        <f t="shared" si="127"/>
        <v>5</v>
      </c>
      <c r="C65" s="25" t="s">
        <v>29</v>
      </c>
      <c r="D65" s="26">
        <f t="shared" si="107"/>
        <v>48093.592487638009</v>
      </c>
      <c r="E65" s="26">
        <f t="shared" si="108"/>
        <v>163695.49985262303</v>
      </c>
      <c r="F65" s="26">
        <f t="shared" si="109"/>
        <v>65330</v>
      </c>
      <c r="G65" s="26">
        <f t="shared" si="110"/>
        <v>0</v>
      </c>
      <c r="H65" s="26">
        <f t="shared" si="111"/>
        <v>108826.17800937092</v>
      </c>
      <c r="I65" s="26">
        <f t="shared" si="112"/>
        <v>69545.926812526508</v>
      </c>
      <c r="J65" s="26">
        <f t="shared" si="113"/>
        <v>44571.13121359294</v>
      </c>
      <c r="K65" s="26">
        <f t="shared" si="114"/>
        <v>35468.273479146075</v>
      </c>
      <c r="L65" s="26">
        <f t="shared" si="115"/>
        <v>12724.546715414121</v>
      </c>
      <c r="M65" s="26">
        <f t="shared" si="116"/>
        <v>0</v>
      </c>
      <c r="N65" s="26">
        <f t="shared" si="117"/>
        <v>30129.591148040774</v>
      </c>
      <c r="O65" s="26">
        <f t="shared" si="118"/>
        <v>66213.99402730717</v>
      </c>
      <c r="P65" s="26">
        <f t="shared" si="119"/>
        <v>39413.12287140228</v>
      </c>
      <c r="Q65" s="26">
        <f t="shared" si="120"/>
        <v>30311.583337488515</v>
      </c>
      <c r="R65" s="26">
        <f t="shared" si="121"/>
        <v>25817.260633794831</v>
      </c>
      <c r="S65" s="26">
        <f t="shared" si="122"/>
        <v>48554.911172922439</v>
      </c>
      <c r="T65" s="26">
        <f t="shared" si="123"/>
        <v>88113.989099073457</v>
      </c>
      <c r="U65" s="26">
        <f t="shared" si="124"/>
        <v>68320</v>
      </c>
      <c r="V65" s="26">
        <f t="shared" si="125"/>
        <v>0</v>
      </c>
      <c r="W65" s="25">
        <f t="shared" si="126"/>
        <v>6</v>
      </c>
      <c r="CZ65" s="26">
        <f t="array" ref="CZ65">IFERROR(AVERAGE(IF(tblSalaries[Job Type]=Analysis!$C65,tblSalaries[Salary in USD])),0)</f>
        <v>48093.592487638009</v>
      </c>
      <c r="DA65" s="26">
        <f t="array" ref="DA65">IFERROR(AVERAGE(IF(tblSalaries[Region]=Analysis!DA$60,IF(tblSalaries[Job Type]=Analysis!$C65,tblSalaries[Salary in USD]))),0)</f>
        <v>163695.49985262303</v>
      </c>
      <c r="DB65" s="26">
        <f t="array" ref="DB65">IFERROR(AVERAGE(IF(tblSalaries[Region]=Analysis!DB$60,IF(tblSalaries[Job Type]=Analysis!$C65,tblSalaries[Salary in USD]))),0)</f>
        <v>65330</v>
      </c>
      <c r="DC65" s="26">
        <f t="array" ref="DC65">IFERROR(AVERAGE(IF(tblSalaries[Region]=Analysis!DC$60,IF(tblSalaries[Job Type]=Analysis!$C65,tblSalaries[Salary in USD]))),0)</f>
        <v>0</v>
      </c>
      <c r="DD65" s="26">
        <f t="array" ref="DD65">IFERROR(AVERAGE(IF(tblSalaries[Region]=Analysis!DD$60,IF(tblSalaries[Job Type]=Analysis!$C65,tblSalaries[Salary in USD]))),0)</f>
        <v>108826.17800937092</v>
      </c>
      <c r="DE65" s="26">
        <f t="array" ref="DE65">IFERROR(AVERAGE(IF(tblSalaries[Region]=Analysis!DE$60,IF(tblSalaries[Job Type]=Analysis!$C65,tblSalaries[Salary in USD]))),0)</f>
        <v>69545.926812526508</v>
      </c>
      <c r="DF65" s="26">
        <f t="array" ref="DF65">IFERROR(AVERAGE(IF(tblSalaries[Region]=Analysis!DF$60,IF(tblSalaries[Job Type]=Analysis!$C65,tblSalaries[Salary in USD]))),0)</f>
        <v>44571.13121359294</v>
      </c>
      <c r="DG65" s="26">
        <f t="array" ref="DG65">IFERROR(AVERAGE(IF(tblSalaries[Region]=Analysis!DG$60,IF(tblSalaries[Job Type]=Analysis!$C65,tblSalaries[Salary in USD]))),0)</f>
        <v>35468.273479146075</v>
      </c>
      <c r="DH65" s="26">
        <f t="array" ref="DH65">IFERROR(AVERAGE(IF(tblSalaries[Region]=Analysis!DH$60,IF(tblSalaries[Job Type]=Analysis!$C65,tblSalaries[Salary in USD]))),0)</f>
        <v>12724.546715414121</v>
      </c>
      <c r="DI65" s="26">
        <f t="array" ref="DI65">IFERROR(AVERAGE(IF(tblSalaries[Region]=Analysis!DI$60,IF(tblSalaries[Job Type]=Analysis!$C65,tblSalaries[Salary in USD]))),0)</f>
        <v>0</v>
      </c>
      <c r="DJ65" s="26">
        <f t="array" ref="DJ65">IFERROR(AVERAGE(IF(tblSalaries[Work Hour per day on Excel]=Analysis!DJ$60,IF(tblSalaries[Job Type]=Analysis!$C65,tblSalaries[Salary in USD]))),0)</f>
        <v>30129.591148040774</v>
      </c>
      <c r="DK65" s="26">
        <f t="array" ref="DK65">IFERROR(AVERAGE(IF(tblSalaries[Work Hour per day on Excel]=Analysis!DK$60,IF(tblSalaries[Job Type]=Analysis!$C65,tblSalaries[Salary in USD]))),0)</f>
        <v>66213.99402730717</v>
      </c>
      <c r="DL65" s="26">
        <f t="array" ref="DL65">IFERROR(AVERAGE(IF(tblSalaries[Work Hour per day on Excel]=Analysis!DL$60,IF(tblSalaries[Job Type]=Analysis!$C65,tblSalaries[Salary in USD]))),0)</f>
        <v>39413.12287140228</v>
      </c>
      <c r="DM65" s="26">
        <f t="array" ref="DM65">IFERROR(AVERAGE(IF(tblSalaries[Work Hour per day on Excel]=Analysis!DM$60,IF(tblSalaries[Job Type]=Analysis!$C65,tblSalaries[Salary in USD]))),0)</f>
        <v>30311.583337488515</v>
      </c>
      <c r="DN65" s="26">
        <f t="array" ref="DN65">IFERROR(AVERAGE(IF(tblSalaries[Years of Experience]=Analysis!DN$60,IF(tblSalaries[Job Type]=Analysis!$C65,tblSalaries[Salary in USD]))),0)</f>
        <v>25817.260633794831</v>
      </c>
      <c r="DO65" s="26">
        <f t="array" ref="DO65">IFERROR(AVERAGE(IF(tblSalaries[Years of Experience]=Analysis!DO$60,IF(tblSalaries[Job Type]=Analysis!$C65,tblSalaries[Salary in USD]))),0)</f>
        <v>48554.911172922439</v>
      </c>
      <c r="DP65" s="26">
        <f t="array" ref="DP65">IFERROR(AVERAGE(IF(tblSalaries[Years of Experience]=Analysis!DP$60,IF(tblSalaries[Job Type]=Analysis!$C65,tblSalaries[Salary in USD]))),0)</f>
        <v>88113.989099073457</v>
      </c>
      <c r="DQ65" s="26">
        <f t="array" ref="DQ65">IFERROR(AVERAGE(IF(tblSalaries[Years of Experience]=Analysis!DQ$60,IF(tblSalaries[Job Type]=Analysis!$C65,tblSalaries[Salary in USD]))),0)</f>
        <v>68320</v>
      </c>
      <c r="DR65" s="26">
        <f t="array" ref="DR65">IFERROR(AVERAGE(IF(tblSalaries[Years of Experience]=Analysis!DR$60,IF(tblSalaries[Job Type]=Analysis!$C65,tblSalaries[Salary in USD]))),0)</f>
        <v>0</v>
      </c>
      <c r="DS65" s="26">
        <f t="array" ref="DS65">IFERROR(MAX(IF(tblSalaries[Job Type]=Analysis!$C65,tblSalaries[Salary in USD])),0)</f>
        <v>231119.74856804207</v>
      </c>
      <c r="DT65" s="26">
        <f t="array" ref="DT65">IFERROR(MAX(IF(tblSalaries[Region]=Analysis!DT$60,IF(tblSalaries[Job Type]=Analysis!$C65,tblSalaries[Salary in USD]))),0)</f>
        <v>168285.09330643489</v>
      </c>
      <c r="DU65" s="26">
        <f t="array" ref="DU65">IFERROR(MAX(IF(tblSalaries[Region]=Analysis!DU$60,IF(tblSalaries[Job Type]=Analysis!$C65,tblSalaries[Salary in USD]))),0)</f>
        <v>95000</v>
      </c>
      <c r="DV65" s="26">
        <f t="array" ref="DV65">IFERROR(MAX(IF(tblSalaries[Region]=Analysis!DV$60,IF(tblSalaries[Job Type]=Analysis!$C65,tblSalaries[Salary in USD]))),0)</f>
        <v>0</v>
      </c>
      <c r="DW65" s="26">
        <f t="array" ref="DW65">IFERROR(MAX(IF(tblSalaries[Region]=Analysis!DW$60,IF(tblSalaries[Job Type]=Analysis!$C65,tblSalaries[Salary in USD]))),0)</f>
        <v>231119.74856804207</v>
      </c>
      <c r="DX65" s="26">
        <f t="array" ref="DX65">IFERROR(MAX(IF(tblSalaries[Region]=Analysis!DX$60,IF(tblSalaries[Job Type]=Analysis!$C65,tblSalaries[Salary in USD]))),0)</f>
        <v>102542.54233725216</v>
      </c>
      <c r="DY65" s="26">
        <f t="array" ref="DY65">IFERROR(MAX(IF(tblSalaries[Region]=Analysis!DY$60,IF(tblSalaries[Job Type]=Analysis!$C65,tblSalaries[Salary in USD]))),0)</f>
        <v>80000</v>
      </c>
      <c r="DZ65" s="26">
        <f t="array" ref="DZ65">IFERROR(MAX(IF(tblSalaries[Region]=Analysis!DZ$60,IF(tblSalaries[Job Type]=Analysis!$C65,tblSalaries[Salary in USD]))),0)</f>
        <v>50000</v>
      </c>
      <c r="EA65" s="26">
        <f t="array" ref="EA65">IFERROR(MAX(IF(tblSalaries[Region]=Analysis!EA$60,IF(tblSalaries[Job Type]=Analysis!$C65,tblSalaries[Salary in USD]))),0)</f>
        <v>40000</v>
      </c>
      <c r="EB65" s="26">
        <f t="array" ref="EB65">IFERROR(MAX(IF(tblSalaries[Region]=Analysis!EB$60,IF(tblSalaries[Job Type]=Analysis!$C65,tblSalaries[Salary in USD]))),0)</f>
        <v>0</v>
      </c>
      <c r="EC65" s="26">
        <f t="array" ref="EC65">IFERROR(MAX(IF(tblSalaries[Work Hour per day on Excel]=Analysis!EC$60,IF(tblSalaries[Job Type]=Analysis!$C65,tblSalaries[Salary in USD]))),0)</f>
        <v>80000</v>
      </c>
      <c r="ED65" s="26">
        <f t="array" ref="ED65">IFERROR(MAX(IF(tblSalaries[Work Hour per day on Excel]=Analysis!ED$60,IF(tblSalaries[Job Type]=Analysis!$C65,tblSalaries[Salary in USD]))),0)</f>
        <v>231119.74856804207</v>
      </c>
      <c r="EE65" s="26">
        <f t="array" ref="EE65">IFERROR(MAX(IF(tblSalaries[Work Hour per day on Excel]=Analysis!EE$60,IF(tblSalaries[Job Type]=Analysis!$C65,tblSalaries[Salary in USD]))),0)</f>
        <v>95000</v>
      </c>
      <c r="EF65" s="26">
        <f t="array" ref="EF65">IFERROR(MAX(IF(tblSalaries[Work Hour per day on Excel]=Analysis!EF$60,IF(tblSalaries[Job Type]=Analysis!$C65,tblSalaries[Salary in USD]))),0)</f>
        <v>78000</v>
      </c>
      <c r="EG65" s="26">
        <f t="array" ref="EG65">IFERROR(MAX(IF(tblSalaries[Years of Experience]=Analysis!EG$60,IF(tblSalaries[Job Type]=Analysis!$C65,tblSalaries[Salary in USD]))),0)</f>
        <v>78000</v>
      </c>
      <c r="EH65" s="26">
        <f t="array" ref="EH65">IFERROR(MAX(IF(tblSalaries[Years of Experience]=Analysis!EH$60,IF(tblSalaries[Job Type]=Analysis!$C65,tblSalaries[Salary in USD]))),0)</f>
        <v>231119.74856804207</v>
      </c>
      <c r="EI65" s="26">
        <f t="array" ref="EI65">IFERROR(MAX(IF(tblSalaries[Years of Experience]=Analysis!EI$60,IF(tblSalaries[Job Type]=Analysis!$C65,tblSalaries[Salary in USD]))),0)</f>
        <v>168285.09330643489</v>
      </c>
      <c r="EJ65" s="26">
        <f t="array" ref="EJ65">IFERROR(MAX(IF(tblSalaries[Years of Experience]=Analysis!EJ$60,IF(tblSalaries[Job Type]=Analysis!$C65,tblSalaries[Salary in USD]))),0)</f>
        <v>85000</v>
      </c>
      <c r="EK65" s="26">
        <f t="array" ref="EK65">IFERROR(MAX(IF(tblSalaries[Years of Experience]=Analysis!EK$60,IF(tblSalaries[Job Type]=Analysis!$C65,tblSalaries[Salary in USD]))),0)</f>
        <v>0</v>
      </c>
      <c r="EL65" s="26">
        <f t="array" ref="EL65">IFERROR(MIN(IF(tblSalaries[Job Type]=Analysis!$C65,tblSalaries[Salary in USD])),0)</f>
        <v>2671.1875031163854</v>
      </c>
      <c r="EM65" s="26">
        <f t="array" ref="EM65">IFERROR(MIN(IF(tblSalaries[Region]=Analysis!EM$60,IF(tblSalaries[Job Type]=Analysis!$C65,tblSalaries[Salary in USD]))),0)</f>
        <v>159105.90639881117</v>
      </c>
      <c r="EN65" s="26">
        <f t="array" ref="EN65">IFERROR(MIN(IF(tblSalaries[Region]=Analysis!EN$60,IF(tblSalaries[Job Type]=Analysis!$C65,tblSalaries[Salary in USD]))),0)</f>
        <v>29000</v>
      </c>
      <c r="EO65" s="26">
        <f t="array" ref="EO65">IFERROR(MIN(IF(tblSalaries[Region]=Analysis!EO$60,IF(tblSalaries[Job Type]=Analysis!$C65,tblSalaries[Salary in USD]))),0)</f>
        <v>0</v>
      </c>
      <c r="EP65" s="26">
        <f t="array" ref="EP65">IFERROR(MIN(IF(tblSalaries[Region]=Analysis!EP$60,IF(tblSalaries[Job Type]=Analysis!$C65,tblSalaries[Salary in USD]))),0)</f>
        <v>42556.81334581667</v>
      </c>
      <c r="EQ65" s="26">
        <f t="array" ref="EQ65">IFERROR(MIN(IF(tblSalaries[Region]=Analysis!EQ$60,IF(tblSalaries[Job Type]=Analysis!$C65,tblSalaries[Salary in USD]))),0)</f>
        <v>52086.37699865592</v>
      </c>
      <c r="ER65" s="26">
        <f t="array" ref="ER65">IFERROR(MIN(IF(tblSalaries[Region]=Analysis!ER$60,IF(tblSalaries[Job Type]=Analysis!$C65,tblSalaries[Salary in USD]))),0)</f>
        <v>9376.2513877177607</v>
      </c>
      <c r="ES65" s="26">
        <f t="array" ref="ES65">IFERROR(MIN(IF(tblSalaries[Region]=Analysis!ES$60,IF(tblSalaries[Job Type]=Analysis!$C65,tblSalaries[Salary in USD]))),0)</f>
        <v>11404.820437438224</v>
      </c>
      <c r="ET65" s="26">
        <f t="array" ref="ET65">IFERROR(MIN(IF(tblSalaries[Region]=Analysis!ET$60,IF(tblSalaries[Job Type]=Analysis!$C65,tblSalaries[Salary in USD]))),0)</f>
        <v>2671.1875031163854</v>
      </c>
      <c r="EU65" s="26">
        <f t="array" ref="EU65">IFERROR(MIN(IF(tblSalaries[Region]=Analysis!EU$60,IF(tblSalaries[Job Type]=Analysis!$C65,tblSalaries[Salary in USD]))),0)</f>
        <v>0</v>
      </c>
      <c r="EV65" s="26">
        <f t="array" ref="EV65">IFERROR(MIN(IF(tblSalaries[Work Hour per day on Excel]=Analysis!EV$60,IF(tblSalaries[Job Type]=Analysis!$C65,tblSalaries[Salary in USD]))),0)</f>
        <v>7123.1666749770275</v>
      </c>
      <c r="EW65" s="26">
        <f t="array" ref="EW65">IFERROR(MIN(IF(tblSalaries[Work Hour per day on Excel]=Analysis!EW$60,IF(tblSalaries[Job Type]=Analysis!$C65,tblSalaries[Salary in USD]))),0)</f>
        <v>2671.1875031163854</v>
      </c>
      <c r="EX65" s="26">
        <f t="array" ref="EX65">IFERROR(MIN(IF(tblSalaries[Work Hour per day on Excel]=Analysis!EX$60,IF(tblSalaries[Job Type]=Analysis!$C65,tblSalaries[Salary in USD]))),0)</f>
        <v>3917.7416712373652</v>
      </c>
      <c r="EY65" s="26">
        <f t="array" ref="EY65">IFERROR(MIN(IF(tblSalaries[Work Hour per day on Excel]=Analysis!EY$60,IF(tblSalaries[Job Type]=Analysis!$C65,tblSalaries[Salary in USD]))),0)</f>
        <v>5342.3750062327708</v>
      </c>
      <c r="EZ65" s="26">
        <f t="array" ref="EZ65">IFERROR(MIN(IF(tblSalaries[Years of Experience]=Analysis!EZ$60,IF(tblSalaries[Job Type]=Analysis!$C65,tblSalaries[Salary in USD]))),0)</f>
        <v>2671.1875031163854</v>
      </c>
      <c r="FA65" s="26">
        <f t="array" ref="FA65">IFERROR(MIN(IF(tblSalaries[Years of Experience]=Analysis!FA$60,IF(tblSalaries[Job Type]=Analysis!$C65,tblSalaries[Salary in USD]))),0)</f>
        <v>7123.1666749770275</v>
      </c>
      <c r="FB65" s="26">
        <f t="array" ref="FB65">IFERROR(MIN(IF(tblSalaries[Years of Experience]=Analysis!FB$60,IF(tblSalaries[Job Type]=Analysis!$C65,tblSalaries[Salary in USD]))),0)</f>
        <v>44000</v>
      </c>
      <c r="FC65" s="26">
        <f t="array" ref="FC65">IFERROR(MIN(IF(tblSalaries[Years of Experience]=Analysis!FC$60,IF(tblSalaries[Job Type]=Analysis!$C65,tblSalaries[Salary in USD]))),0)</f>
        <v>50000</v>
      </c>
      <c r="FD65" s="26">
        <f t="array" ref="FD65">IFERROR(MIN(IF(tblSalaries[Years of Experience]=Analysis!FD$60,IF(tblSalaries[Job Type]=Analysis!$C65,tblSalaries[Salary in USD]))),0)</f>
        <v>0</v>
      </c>
      <c r="FE65" s="26">
        <f t="array" ref="FE65">IFERROR(COUNT(IF(tblSalaries[Job Type]=Analysis!$C65,tblSalaries[Salary in USD])),0)</f>
        <v>49</v>
      </c>
      <c r="FF65" s="26">
        <f t="array" ref="FF65">IFERROR(COUNT(IF(tblSalaries[Region]=Analysis!FF$60,IF(tblSalaries[Job Type]=Analysis!$C65,tblSalaries[Salary in USD]))),0)</f>
        <v>2</v>
      </c>
      <c r="FG65" s="26">
        <f t="array" ref="FG65">IFERROR(COUNT(IF(tblSalaries[Region]=Analysis!FG$60,IF(tblSalaries[Job Type]=Analysis!$C65,tblSalaries[Salary in USD]))),0)</f>
        <v>12</v>
      </c>
      <c r="FH65" s="26">
        <f t="array" ref="FH65">IFERROR(COUNT(IF(tblSalaries[Region]=Analysis!FH$60,IF(tblSalaries[Job Type]=Analysis!$C65,tblSalaries[Salary in USD]))),0)</f>
        <v>0</v>
      </c>
      <c r="FI65" s="26">
        <f t="array" ref="FI65">IFERROR(COUNT(IF(tblSalaries[Region]=Analysis!FI$60,IF(tblSalaries[Job Type]=Analysis!$C65,tblSalaries[Salary in USD]))),0)</f>
        <v>3</v>
      </c>
      <c r="FJ65" s="26">
        <f t="array" ref="FJ65">IFERROR(COUNT(IF(tblSalaries[Region]=Analysis!FJ$60,IF(tblSalaries[Job Type]=Analysis!$C65,tblSalaries[Salary in USD]))),0)</f>
        <v>5</v>
      </c>
      <c r="FK65" s="26">
        <f t="array" ref="FK65">IFERROR(COUNT(IF(tblSalaries[Region]=Analysis!FK$60,IF(tblSalaries[Job Type]=Analysis!$C65,tblSalaries[Salary in USD]))),0)</f>
        <v>5</v>
      </c>
      <c r="FL65" s="26">
        <f t="array" ref="FL65">IFERROR(COUNT(IF(tblSalaries[Region]=Analysis!FL$60,IF(tblSalaries[Job Type]=Analysis!$C65,tblSalaries[Salary in USD]))),0)</f>
        <v>3</v>
      </c>
      <c r="FM65" s="26">
        <f t="array" ref="FM65">IFERROR(COUNT(IF(tblSalaries[Region]=Analysis!FM$60,IF(tblSalaries[Job Type]=Analysis!$C65,tblSalaries[Salary in USD]))),0)</f>
        <v>19</v>
      </c>
      <c r="FN65" s="26">
        <f t="array" ref="FN65">IFERROR(COUNT(IF(tblSalaries[Region]=Analysis!FN$60,IF(tblSalaries[Job Type]=Analysis!$C65,tblSalaries[Salary in USD]))),0)</f>
        <v>0</v>
      </c>
      <c r="FO65" s="26">
        <f t="array" ref="FO65">IFERROR(COUNT(IF(tblSalaries[Work Hour per day on Excel]=Analysis!FO$60,IF(tblSalaries[Job Type]=Analysis!$C65,tblSalaries[Salary in USD]))),0)</f>
        <v>8</v>
      </c>
      <c r="FP65" s="26">
        <f t="array" ref="FP65">IFERROR(COUNT(IF(tblSalaries[Work Hour per day on Excel]=Analysis!FP$60,IF(tblSalaries[Job Type]=Analysis!$C65,tblSalaries[Salary in USD]))),0)</f>
        <v>20</v>
      </c>
      <c r="FQ65" s="26">
        <f t="array" ref="FQ65">IFERROR(COUNT(IF(tblSalaries[Work Hour per day on Excel]=Analysis!FQ$60,IF(tblSalaries[Job Type]=Analysis!$C65,tblSalaries[Salary in USD]))),0)</f>
        <v>17</v>
      </c>
      <c r="FR65" s="26">
        <f t="array" ref="FR65">IFERROR(COUNT(IF(tblSalaries[Work Hour per day on Excel]=Analysis!FR$60,IF(tblSalaries[Job Type]=Analysis!$C65,tblSalaries[Salary in USD]))),0)</f>
        <v>4</v>
      </c>
      <c r="FS65" s="26">
        <f t="array" ref="FS65">IFERROR(COUNT(IF(tblSalaries[Years of Experience]=Analysis!FS$60,IF(tblSalaries[Job Type]=Analysis!$C65,tblSalaries[Salary in USD]))),0)</f>
        <v>21</v>
      </c>
      <c r="FT65" s="26">
        <f t="array" ref="FT65">IFERROR(COUNT(IF(tblSalaries[Years of Experience]=Analysis!FT$60,IF(tblSalaries[Job Type]=Analysis!$C65,tblSalaries[Salary in USD]))),0)</f>
        <v>15</v>
      </c>
      <c r="FU65" s="26">
        <f t="array" ref="FU65">IFERROR(COUNT(IF(tblSalaries[Years of Experience]=Analysis!FU$60,IF(tblSalaries[Job Type]=Analysis!$C65,tblSalaries[Salary in USD]))),0)</f>
        <v>10</v>
      </c>
      <c r="FV65" s="26">
        <f t="array" ref="FV65">IFERROR(COUNT(IF(tblSalaries[Years of Experience]=Analysis!FV$60,IF(tblSalaries[Job Type]=Analysis!$C65,tblSalaries[Salary in USD]))),0)</f>
        <v>3</v>
      </c>
      <c r="FW65" s="26">
        <f t="array" ref="FW65">IFERROR(COUNT(IF(tblSalaries[Years of Experience]=Analysis!FW$60,IF(tblSalaries[Job Type]=Analysis!$C65,tblSalaries[Salary in USD]))),0)</f>
        <v>0</v>
      </c>
    </row>
    <row r="66" spans="1:183" s="25" customFormat="1" ht="15" hidden="1" customHeight="1" x14ac:dyDescent="0.25">
      <c r="A66" s="29"/>
      <c r="B66" s="25">
        <f t="shared" si="127"/>
        <v>6</v>
      </c>
      <c r="C66" s="25" t="s">
        <v>3</v>
      </c>
      <c r="D66" s="26">
        <f t="shared" si="107"/>
        <v>43412.00862565812</v>
      </c>
      <c r="E66" s="26">
        <f t="shared" si="108"/>
        <v>87472.715305886188</v>
      </c>
      <c r="F66" s="26">
        <f t="shared" si="109"/>
        <v>62749.440476190473</v>
      </c>
      <c r="G66" s="26">
        <f t="shared" si="110"/>
        <v>67792.566688492036</v>
      </c>
      <c r="H66" s="26">
        <f t="shared" si="111"/>
        <v>51905.084421859567</v>
      </c>
      <c r="I66" s="26">
        <f t="shared" si="112"/>
        <v>54464.373248134965</v>
      </c>
      <c r="J66" s="26">
        <f t="shared" si="113"/>
        <v>39019.496884862878</v>
      </c>
      <c r="K66" s="26">
        <f t="shared" si="114"/>
        <v>23067.196447372138</v>
      </c>
      <c r="L66" s="26">
        <f t="shared" si="115"/>
        <v>10725.16857884118</v>
      </c>
      <c r="M66" s="26">
        <f t="shared" si="116"/>
        <v>14887</v>
      </c>
      <c r="N66" s="26">
        <f t="shared" si="117"/>
        <v>42292.68180043024</v>
      </c>
      <c r="O66" s="26">
        <f t="shared" si="118"/>
        <v>45612.81808700585</v>
      </c>
      <c r="P66" s="26">
        <f t="shared" si="119"/>
        <v>44026.566421713876</v>
      </c>
      <c r="Q66" s="26">
        <f t="shared" si="120"/>
        <v>41277.369425399294</v>
      </c>
      <c r="R66" s="26">
        <f t="shared" si="121"/>
        <v>34168.58537983102</v>
      </c>
      <c r="S66" s="26">
        <f t="shared" si="122"/>
        <v>46589.804529257839</v>
      </c>
      <c r="T66" s="26">
        <f t="shared" si="123"/>
        <v>59470.266950847887</v>
      </c>
      <c r="U66" s="26">
        <f t="shared" si="124"/>
        <v>59959.956368615771</v>
      </c>
      <c r="V66" s="26">
        <f t="shared" si="125"/>
        <v>108684.05553913918</v>
      </c>
      <c r="W66" s="25">
        <f t="shared" si="126"/>
        <v>7</v>
      </c>
      <c r="CZ66" s="26">
        <f t="array" ref="CZ66">IFERROR(AVERAGE(IF(tblSalaries[Job Type]=Analysis!$C66,tblSalaries[Salary in USD])),0)</f>
        <v>43412.00862565812</v>
      </c>
      <c r="DA66" s="26">
        <f t="array" ref="DA66">IFERROR(AVERAGE(IF(tblSalaries[Region]=Analysis!DA$60,IF(tblSalaries[Job Type]=Analysis!$C66,tblSalaries[Salary in USD]))),0)</f>
        <v>87472.715305886188</v>
      </c>
      <c r="DB66" s="26">
        <f t="array" ref="DB66">IFERROR(AVERAGE(IF(tblSalaries[Region]=Analysis!DB$60,IF(tblSalaries[Job Type]=Analysis!$C66,tblSalaries[Salary in USD]))),0)</f>
        <v>62749.440476190473</v>
      </c>
      <c r="DC66" s="26">
        <f t="array" ref="DC66">IFERROR(AVERAGE(IF(tblSalaries[Region]=Analysis!DC$60,IF(tblSalaries[Job Type]=Analysis!$C66,tblSalaries[Salary in USD]))),0)</f>
        <v>67792.566688492036</v>
      </c>
      <c r="DD66" s="26">
        <f t="array" ref="DD66">IFERROR(AVERAGE(IF(tblSalaries[Region]=Analysis!DD$60,IF(tblSalaries[Job Type]=Analysis!$C66,tblSalaries[Salary in USD]))),0)</f>
        <v>51905.084421859567</v>
      </c>
      <c r="DE66" s="26">
        <f t="array" ref="DE66">IFERROR(AVERAGE(IF(tblSalaries[Region]=Analysis!DE$60,IF(tblSalaries[Job Type]=Analysis!$C66,tblSalaries[Salary in USD]))),0)</f>
        <v>54464.373248134965</v>
      </c>
      <c r="DF66" s="26">
        <f t="array" ref="DF66">IFERROR(AVERAGE(IF(tblSalaries[Region]=Analysis!DF$60,IF(tblSalaries[Job Type]=Analysis!$C66,tblSalaries[Salary in USD]))),0)</f>
        <v>39019.496884862878</v>
      </c>
      <c r="DG66" s="26">
        <f t="array" ref="DG66">IFERROR(AVERAGE(IF(tblSalaries[Region]=Analysis!DG$60,IF(tblSalaries[Job Type]=Analysis!$C66,tblSalaries[Salary in USD]))),0)</f>
        <v>23067.196447372138</v>
      </c>
      <c r="DH66" s="26">
        <f t="array" ref="DH66">IFERROR(AVERAGE(IF(tblSalaries[Region]=Analysis!DH$60,IF(tblSalaries[Job Type]=Analysis!$C66,tblSalaries[Salary in USD]))),0)</f>
        <v>10725.16857884118</v>
      </c>
      <c r="DI66" s="26">
        <f t="array" ref="DI66">IFERROR(AVERAGE(IF(tblSalaries[Region]=Analysis!DI$60,IF(tblSalaries[Job Type]=Analysis!$C66,tblSalaries[Salary in USD]))),0)</f>
        <v>14887</v>
      </c>
      <c r="DJ66" s="26">
        <f t="array" ref="DJ66">IFERROR(AVERAGE(IF(tblSalaries[Work Hour per day on Excel]=Analysis!DJ$60,IF(tblSalaries[Job Type]=Analysis!$C66,tblSalaries[Salary in USD]))),0)</f>
        <v>42292.68180043024</v>
      </c>
      <c r="DK66" s="26">
        <f t="array" ref="DK66">IFERROR(AVERAGE(IF(tblSalaries[Work Hour per day on Excel]=Analysis!DK$60,IF(tblSalaries[Job Type]=Analysis!$C66,tblSalaries[Salary in USD]))),0)</f>
        <v>45612.81808700585</v>
      </c>
      <c r="DL66" s="26">
        <f t="array" ref="DL66">IFERROR(AVERAGE(IF(tblSalaries[Work Hour per day on Excel]=Analysis!DL$60,IF(tblSalaries[Job Type]=Analysis!$C66,tblSalaries[Salary in USD]))),0)</f>
        <v>44026.566421713876</v>
      </c>
      <c r="DM66" s="26">
        <f t="array" ref="DM66">IFERROR(AVERAGE(IF(tblSalaries[Work Hour per day on Excel]=Analysis!DM$60,IF(tblSalaries[Job Type]=Analysis!$C66,tblSalaries[Salary in USD]))),0)</f>
        <v>41277.369425399294</v>
      </c>
      <c r="DN66" s="26">
        <f t="array" ref="DN66">IFERROR(AVERAGE(IF(tblSalaries[Years of Experience]=Analysis!DN$60,IF(tblSalaries[Job Type]=Analysis!$C66,tblSalaries[Salary in USD]))),0)</f>
        <v>34168.58537983102</v>
      </c>
      <c r="DO66" s="26">
        <f t="array" ref="DO66">IFERROR(AVERAGE(IF(tblSalaries[Years of Experience]=Analysis!DO$60,IF(tblSalaries[Job Type]=Analysis!$C66,tblSalaries[Salary in USD]))),0)</f>
        <v>46589.804529257839</v>
      </c>
      <c r="DP66" s="26">
        <f t="array" ref="DP66">IFERROR(AVERAGE(IF(tblSalaries[Years of Experience]=Analysis!DP$60,IF(tblSalaries[Job Type]=Analysis!$C66,tblSalaries[Salary in USD]))),0)</f>
        <v>59470.266950847887</v>
      </c>
      <c r="DQ66" s="26">
        <f t="array" ref="DQ66">IFERROR(AVERAGE(IF(tblSalaries[Years of Experience]=Analysis!DQ$60,IF(tblSalaries[Job Type]=Analysis!$C66,tblSalaries[Salary in USD]))),0)</f>
        <v>59959.956368615771</v>
      </c>
      <c r="DR66" s="26">
        <f t="array" ref="DR66">IFERROR(AVERAGE(IF(tblSalaries[Years of Experience]=Analysis!DR$60,IF(tblSalaries[Job Type]=Analysis!$C66,tblSalaries[Salary in USD]))),0)</f>
        <v>108684.05553913918</v>
      </c>
      <c r="DS66" s="26">
        <f t="array" ref="DS66">IFERROR(MAX(IF(tblSalaries[Job Type]=Analysis!$C66,tblSalaries[Salary in USD])),0)</f>
        <v>245840.3807575817</v>
      </c>
      <c r="DT66" s="26">
        <f t="array" ref="DT66">IFERROR(MAX(IF(tblSalaries[Region]=Analysis!DT$60,IF(tblSalaries[Job Type]=Analysis!$C66,tblSalaries[Salary in USD]))),0)</f>
        <v>173384.64158844808</v>
      </c>
      <c r="DU66" s="26">
        <f t="array" ref="DU66">IFERROR(MAX(IF(tblSalaries[Region]=Analysis!DU$60,IF(tblSalaries[Job Type]=Analysis!$C66,tblSalaries[Salary in USD]))),0)</f>
        <v>160000</v>
      </c>
      <c r="DV66" s="26">
        <f t="array" ref="DV66">IFERROR(MAX(IF(tblSalaries[Region]=Analysis!DV$60,IF(tblSalaries[Job Type]=Analysis!$C66,tblSalaries[Salary in USD]))),0)</f>
        <v>245840.3807575817</v>
      </c>
      <c r="DW66" s="26">
        <f t="array" ref="DW66">IFERROR(MAX(IF(tblSalaries[Region]=Analysis!DW$60,IF(tblSalaries[Job Type]=Analysis!$C66,tblSalaries[Salary in USD]))),0)</f>
        <v>124518.08349331544</v>
      </c>
      <c r="DX66" s="26">
        <f t="array" ref="DX66">IFERROR(MAX(IF(tblSalaries[Region]=Analysis!DX$60,IF(tblSalaries[Job Type]=Analysis!$C66,tblSalaries[Salary in USD]))),0)</f>
        <v>150000</v>
      </c>
      <c r="DY66" s="26">
        <f t="array" ref="DY66">IFERROR(MAX(IF(tblSalaries[Region]=Analysis!DY$60,IF(tblSalaries[Job Type]=Analysis!$C66,tblSalaries[Salary in USD]))),0)</f>
        <v>148284.35006969364</v>
      </c>
      <c r="DZ66" s="26">
        <f t="array" ref="DZ66">IFERROR(MAX(IF(tblSalaries[Region]=Analysis!DZ$60,IF(tblSalaries[Job Type]=Analysis!$C66,tblSalaries[Salary in USD]))),0)</f>
        <v>86000</v>
      </c>
      <c r="EA66" s="26">
        <f t="array" ref="EA66">IFERROR(MAX(IF(tblSalaries[Region]=Analysis!EA$60,IF(tblSalaries[Job Type]=Analysis!$C66,tblSalaries[Salary in USD]))),0)</f>
        <v>57875.729234188344</v>
      </c>
      <c r="EB66" s="26">
        <f t="array" ref="EB66">IFERROR(MAX(IF(tblSalaries[Region]=Analysis!EB$60,IF(tblSalaries[Job Type]=Analysis!$C66,tblSalaries[Salary in USD]))),0)</f>
        <v>45000</v>
      </c>
      <c r="EC66" s="26">
        <f t="array" ref="EC66">IFERROR(MAX(IF(tblSalaries[Work Hour per day on Excel]=Analysis!EC$60,IF(tblSalaries[Job Type]=Analysis!$C66,tblSalaries[Salary in USD]))),0)</f>
        <v>152986.44846039536</v>
      </c>
      <c r="ED66" s="26">
        <f t="array" ref="ED66">IFERROR(MAX(IF(tblSalaries[Work Hour per day on Excel]=Analysis!ED$60,IF(tblSalaries[Job Type]=Analysis!$C66,tblSalaries[Salary in USD]))),0)</f>
        <v>152986.44846039536</v>
      </c>
      <c r="EE66" s="26">
        <f t="array" ref="EE66">IFERROR(MAX(IF(tblSalaries[Work Hour per day on Excel]=Analysis!EE$60,IF(tblSalaries[Job Type]=Analysis!$C66,tblSalaries[Salary in USD]))),0)</f>
        <v>245840.3807575817</v>
      </c>
      <c r="EF66" s="26">
        <f t="array" ref="EF66">IFERROR(MAX(IF(tblSalaries[Work Hour per day on Excel]=Analysis!EF$60,IF(tblSalaries[Job Type]=Analysis!$C66,tblSalaries[Salary in USD]))),0)</f>
        <v>173384.64158844808</v>
      </c>
      <c r="EG66" s="26">
        <f t="array" ref="EG66">IFERROR(MAX(IF(tblSalaries[Years of Experience]=Analysis!EG$60,IF(tblSalaries[Job Type]=Analysis!$C66,tblSalaries[Salary in USD]))),0)</f>
        <v>160000</v>
      </c>
      <c r="EH66" s="26">
        <f t="array" ref="EH66">IFERROR(MAX(IF(tblSalaries[Years of Experience]=Analysis!EH$60,IF(tblSalaries[Job Type]=Analysis!$C66,tblSalaries[Salary in USD]))),0)</f>
        <v>173384.64158844808</v>
      </c>
      <c r="EI66" s="26">
        <f t="array" ref="EI66">IFERROR(MAX(IF(tblSalaries[Years of Experience]=Analysis!EI$60,IF(tblSalaries[Job Type]=Analysis!$C66,tblSalaries[Salary in USD]))),0)</f>
        <v>150000</v>
      </c>
      <c r="EJ66" s="26">
        <f t="array" ref="EJ66">IFERROR(MAX(IF(tblSalaries[Years of Experience]=Analysis!EJ$60,IF(tblSalaries[Job Type]=Analysis!$C66,tblSalaries[Salary in USD]))),0)</f>
        <v>150000</v>
      </c>
      <c r="EK66" s="26">
        <f t="array" ref="EK66">IFERROR(MAX(IF(tblSalaries[Years of Experience]=Analysis!EK$60,IF(tblSalaries[Job Type]=Analysis!$C66,tblSalaries[Salary in USD]))),0)</f>
        <v>245840.3807575817</v>
      </c>
      <c r="EL66" s="26">
        <f t="array" ref="EL66">IFERROR(MIN(IF(tblSalaries[Job Type]=Analysis!$C66,tblSalaries[Salary in USD])),0)</f>
        <v>2136.9500024931081</v>
      </c>
      <c r="EM66" s="26">
        <f t="array" ref="EM66">IFERROR(MIN(IF(tblSalaries[Region]=Analysis!EM$60,IF(tblSalaries[Job Type]=Analysis!$C66,tblSalaries[Salary in USD]))),0)</f>
        <v>20000</v>
      </c>
      <c r="EN66" s="26">
        <f t="array" ref="EN66">IFERROR(MIN(IF(tblSalaries[Region]=Analysis!EN$60,IF(tblSalaries[Job Type]=Analysis!$C66,tblSalaries[Salary in USD]))),0)</f>
        <v>10000</v>
      </c>
      <c r="EO66" s="26">
        <f t="array" ref="EO66">IFERROR(MIN(IF(tblSalaries[Region]=Analysis!EO$60,IF(tblSalaries[Job Type]=Analysis!$C66,tblSalaries[Salary in USD]))),0)</f>
        <v>20000</v>
      </c>
      <c r="EP66" s="26">
        <f t="array" ref="EP66">IFERROR(MIN(IF(tblSalaries[Region]=Analysis!EP$60,IF(tblSalaries[Job Type]=Analysis!$C66,tblSalaries[Salary in USD]))),0)</f>
        <v>15761.782720672842</v>
      </c>
      <c r="EQ66" s="26">
        <f t="array" ref="EQ66">IFERROR(MIN(IF(tblSalaries[Region]=Analysis!EQ$60,IF(tblSalaries[Job Type]=Analysis!$C66,tblSalaries[Salary in USD]))),0)</f>
        <v>11518.711713336908</v>
      </c>
      <c r="ER66" s="26">
        <f t="array" ref="ER66">IFERROR(MIN(IF(tblSalaries[Region]=Analysis!ER$60,IF(tblSalaries[Job Type]=Analysis!$C66,tblSalaries[Salary in USD]))),0)</f>
        <v>7261.724659606657</v>
      </c>
      <c r="ES66" s="26">
        <f t="array" ref="ES66">IFERROR(MIN(IF(tblSalaries[Region]=Analysis!ES$60,IF(tblSalaries[Job Type]=Analysis!$C66,tblSalaries[Salary in USD]))),0)</f>
        <v>3000</v>
      </c>
      <c r="ET66" s="26">
        <f t="array" ref="ET66">IFERROR(MIN(IF(tblSalaries[Region]=Analysis!ET$60,IF(tblSalaries[Job Type]=Analysis!$C66,tblSalaries[Salary in USD]))),0)</f>
        <v>2136.9500024931081</v>
      </c>
      <c r="EU66" s="26">
        <f t="array" ref="EU66">IFERROR(MIN(IF(tblSalaries[Region]=Analysis!EU$60,IF(tblSalaries[Job Type]=Analysis!$C66,tblSalaries[Salary in USD]))),0)</f>
        <v>3000</v>
      </c>
      <c r="EV66" s="26">
        <f t="array" ref="EV66">IFERROR(MIN(IF(tblSalaries[Work Hour per day on Excel]=Analysis!EV$60,IF(tblSalaries[Job Type]=Analysis!$C66,tblSalaries[Salary in USD]))),0)</f>
        <v>2136.9500024931081</v>
      </c>
      <c r="EW66" s="26">
        <f t="array" ref="EW66">IFERROR(MIN(IF(tblSalaries[Work Hour per day on Excel]=Analysis!EW$60,IF(tblSalaries[Job Type]=Analysis!$C66,tblSalaries[Salary in USD]))),0)</f>
        <v>2136.9500024931081</v>
      </c>
      <c r="EX66" s="26">
        <f t="array" ref="EX66">IFERROR(MIN(IF(tblSalaries[Work Hour per day on Excel]=Analysis!EX$60,IF(tblSalaries[Job Type]=Analysis!$C66,tblSalaries[Salary in USD]))),0)</f>
        <v>2564.3400029917298</v>
      </c>
      <c r="EY66" s="26">
        <f t="array" ref="EY66">IFERROR(MIN(IF(tblSalaries[Work Hour per day on Excel]=Analysis!EY$60,IF(tblSalaries[Job Type]=Analysis!$C66,tblSalaries[Salary in USD]))),0)</f>
        <v>2564.3400029917298</v>
      </c>
      <c r="EZ66" s="26">
        <f t="array" ref="EZ66">IFERROR(MIN(IF(tblSalaries[Years of Experience]=Analysis!EZ$60,IF(tblSalaries[Job Type]=Analysis!$C66,tblSalaries[Salary in USD]))),0)</f>
        <v>2136.9500024931081</v>
      </c>
      <c r="FA66" s="26">
        <f t="array" ref="FA66">IFERROR(MIN(IF(tblSalaries[Years of Experience]=Analysis!FA$60,IF(tblSalaries[Job Type]=Analysis!$C66,tblSalaries[Salary in USD]))),0)</f>
        <v>3205.4250037396623</v>
      </c>
      <c r="FB66" s="26">
        <f t="array" ref="FB66">IFERROR(MIN(IF(tblSalaries[Years of Experience]=Analysis!FB$60,IF(tblSalaries[Job Type]=Analysis!$C66,tblSalaries[Salary in USD]))),0)</f>
        <v>3000</v>
      </c>
      <c r="FC66" s="26">
        <f t="array" ref="FC66">IFERROR(MIN(IF(tblSalaries[Years of Experience]=Analysis!FC$60,IF(tblSalaries[Job Type]=Analysis!$C66,tblSalaries[Salary in USD]))),0)</f>
        <v>8903.9583437212841</v>
      </c>
      <c r="FD66" s="26">
        <f t="array" ref="FD66">IFERROR(MIN(IF(tblSalaries[Years of Experience]=Analysis!FD$60,IF(tblSalaries[Job Type]=Analysis!$C66,tblSalaries[Salary in USD]))),0)</f>
        <v>24000</v>
      </c>
      <c r="FE66" s="26">
        <f t="array" ref="FE66">IFERROR(COUNT(IF(tblSalaries[Job Type]=Analysis!$C66,tblSalaries[Salary in USD])),0)</f>
        <v>526</v>
      </c>
      <c r="FF66" s="26">
        <f t="array" ref="FF66">IFERROR(COUNT(IF(tblSalaries[Region]=Analysis!FF$60,IF(tblSalaries[Job Type]=Analysis!$C66,tblSalaries[Salary in USD]))),0)</f>
        <v>35</v>
      </c>
      <c r="FG66" s="26">
        <f t="array" ref="FG66">IFERROR(COUNT(IF(tblSalaries[Region]=Analysis!FG$60,IF(tblSalaries[Job Type]=Analysis!$C66,tblSalaries[Salary in USD]))),0)</f>
        <v>168</v>
      </c>
      <c r="FH66" s="26">
        <f t="array" ref="FH66">IFERROR(COUNT(IF(tblSalaries[Region]=Analysis!FH$60,IF(tblSalaries[Job Type]=Analysis!$C66,tblSalaries[Salary in USD]))),0)</f>
        <v>16</v>
      </c>
      <c r="FI66" s="26">
        <f t="array" ref="FI66">IFERROR(COUNT(IF(tblSalaries[Region]=Analysis!FI$60,IF(tblSalaries[Job Type]=Analysis!$C66,tblSalaries[Salary in USD]))),0)</f>
        <v>45</v>
      </c>
      <c r="FJ66" s="26">
        <f t="array" ref="FJ66">IFERROR(COUNT(IF(tblSalaries[Region]=Analysis!FJ$60,IF(tblSalaries[Job Type]=Analysis!$C66,tblSalaries[Salary in USD]))),0)</f>
        <v>37</v>
      </c>
      <c r="FK66" s="26">
        <f t="array" ref="FK66">IFERROR(COUNT(IF(tblSalaries[Region]=Analysis!FK$60,IF(tblSalaries[Job Type]=Analysis!$C66,tblSalaries[Salary in USD]))),0)</f>
        <v>41</v>
      </c>
      <c r="FL66" s="26">
        <f t="array" ref="FL66">IFERROR(COUNT(IF(tblSalaries[Region]=Analysis!FL$60,IF(tblSalaries[Job Type]=Analysis!$C66,tblSalaries[Salary in USD]))),0)</f>
        <v>16</v>
      </c>
      <c r="FM66" s="26">
        <f t="array" ref="FM66">IFERROR(COUNT(IF(tblSalaries[Region]=Analysis!FM$60,IF(tblSalaries[Job Type]=Analysis!$C66,tblSalaries[Salary in USD]))),0)</f>
        <v>162</v>
      </c>
      <c r="FN66" s="26">
        <f t="array" ref="FN66">IFERROR(COUNT(IF(tblSalaries[Region]=Analysis!FN$60,IF(tblSalaries[Job Type]=Analysis!$C66,tblSalaries[Salary in USD]))),0)</f>
        <v>6</v>
      </c>
      <c r="FO66" s="26">
        <f t="array" ref="FO66">IFERROR(COUNT(IF(tblSalaries[Work Hour per day on Excel]=Analysis!FO$60,IF(tblSalaries[Job Type]=Analysis!$C66,tblSalaries[Salary in USD]))),0)</f>
        <v>41</v>
      </c>
      <c r="FP66" s="26">
        <f t="array" ref="FP66">IFERROR(COUNT(IF(tblSalaries[Work Hour per day on Excel]=Analysis!FP$60,IF(tblSalaries[Job Type]=Analysis!$C66,tblSalaries[Salary in USD]))),0)</f>
        <v>101</v>
      </c>
      <c r="FQ66" s="26">
        <f t="array" ref="FQ66">IFERROR(COUNT(IF(tblSalaries[Work Hour per day on Excel]=Analysis!FQ$60,IF(tblSalaries[Job Type]=Analysis!$C66,tblSalaries[Salary in USD]))),0)</f>
        <v>234</v>
      </c>
      <c r="FR66" s="26">
        <f t="array" ref="FR66">IFERROR(COUNT(IF(tblSalaries[Work Hour per day on Excel]=Analysis!FR$60,IF(tblSalaries[Job Type]=Analysis!$C66,tblSalaries[Salary in USD]))),0)</f>
        <v>150</v>
      </c>
      <c r="FS66" s="26">
        <f t="array" ref="FS66">IFERROR(COUNT(IF(tblSalaries[Years of Experience]=Analysis!FS$60,IF(tblSalaries[Job Type]=Analysis!$C66,tblSalaries[Salary in USD]))),0)</f>
        <v>264</v>
      </c>
      <c r="FT66" s="26">
        <f t="array" ref="FT66">IFERROR(COUNT(IF(tblSalaries[Years of Experience]=Analysis!FT$60,IF(tblSalaries[Job Type]=Analysis!$C66,tblSalaries[Salary in USD]))),0)</f>
        <v>153</v>
      </c>
      <c r="FU66" s="26">
        <f t="array" ref="FU66">IFERROR(COUNT(IF(tblSalaries[Years of Experience]=Analysis!FU$60,IF(tblSalaries[Job Type]=Analysis!$C66,tblSalaries[Salary in USD]))),0)</f>
        <v>91</v>
      </c>
      <c r="FV66" s="26">
        <f t="array" ref="FV66">IFERROR(COUNT(IF(tblSalaries[Years of Experience]=Analysis!FV$60,IF(tblSalaries[Job Type]=Analysis!$C66,tblSalaries[Salary in USD]))),0)</f>
        <v>14</v>
      </c>
      <c r="FW66" s="26">
        <f t="array" ref="FW66">IFERROR(COUNT(IF(tblSalaries[Years of Experience]=Analysis!FW$60,IF(tblSalaries[Job Type]=Analysis!$C66,tblSalaries[Salary in USD]))),0)</f>
        <v>4</v>
      </c>
    </row>
    <row r="67" spans="1:183" s="25" customFormat="1" ht="15" hidden="1" customHeight="1" x14ac:dyDescent="0.25">
      <c r="A67" s="29"/>
      <c r="B67" s="25">
        <f t="shared" si="127"/>
        <v>7</v>
      </c>
      <c r="C67" s="25" t="s">
        <v>31</v>
      </c>
      <c r="D67" s="26">
        <f t="shared" si="107"/>
        <v>42098.821874814974</v>
      </c>
      <c r="E67" s="26">
        <f t="shared" si="108"/>
        <v>92811.778732639854</v>
      </c>
      <c r="F67" s="26">
        <f t="shared" si="109"/>
        <v>64936.17391304348</v>
      </c>
      <c r="G67" s="26">
        <f t="shared" si="110"/>
        <v>131770.4440860638</v>
      </c>
      <c r="H67" s="26">
        <f t="shared" si="111"/>
        <v>55059.788269721044</v>
      </c>
      <c r="I67" s="26">
        <f t="shared" si="112"/>
        <v>43447.660813512979</v>
      </c>
      <c r="J67" s="26">
        <f t="shared" si="113"/>
        <v>41118.89009647302</v>
      </c>
      <c r="K67" s="26">
        <f t="shared" si="114"/>
        <v>21432.036041384017</v>
      </c>
      <c r="L67" s="26">
        <f t="shared" si="115"/>
        <v>8863.6591214067066</v>
      </c>
      <c r="M67" s="26">
        <f t="shared" si="116"/>
        <v>2101.9948825940269</v>
      </c>
      <c r="N67" s="26">
        <f t="shared" si="117"/>
        <v>21800.493274571108</v>
      </c>
      <c r="O67" s="26">
        <f t="shared" si="118"/>
        <v>34794.496249436103</v>
      </c>
      <c r="P67" s="26">
        <f t="shared" si="119"/>
        <v>48323.966108834989</v>
      </c>
      <c r="Q67" s="26">
        <f t="shared" si="120"/>
        <v>42997.280174175874</v>
      </c>
      <c r="R67" s="26">
        <f t="shared" si="121"/>
        <v>30167.186579547084</v>
      </c>
      <c r="S67" s="26">
        <f t="shared" si="122"/>
        <v>44925.583251103635</v>
      </c>
      <c r="T67" s="26">
        <f t="shared" si="123"/>
        <v>53332.66756094755</v>
      </c>
      <c r="U67" s="26">
        <f t="shared" si="124"/>
        <v>70596.085110780885</v>
      </c>
      <c r="V67" s="26">
        <f t="shared" si="125"/>
        <v>39404.456801682099</v>
      </c>
      <c r="W67" s="25">
        <f t="shared" si="126"/>
        <v>8</v>
      </c>
      <c r="CZ67" s="26">
        <f t="array" ref="CZ67">IFERROR(AVERAGE(IF(tblSalaries[Job Type]=Analysis!$C67,tblSalaries[Salary in USD])),0)</f>
        <v>42098.821874814974</v>
      </c>
      <c r="DA67" s="26">
        <f t="array" ref="DA67">IFERROR(AVERAGE(IF(tblSalaries[Region]=Analysis!DA$60,IF(tblSalaries[Job Type]=Analysis!$C67,tblSalaries[Salary in USD]))),0)</f>
        <v>92811.778732639854</v>
      </c>
      <c r="DB67" s="26">
        <f t="array" ref="DB67">IFERROR(AVERAGE(IF(tblSalaries[Region]=Analysis!DB$60,IF(tblSalaries[Job Type]=Analysis!$C67,tblSalaries[Salary in USD]))),0)</f>
        <v>64936.17391304348</v>
      </c>
      <c r="DC67" s="26">
        <f t="array" ref="DC67">IFERROR(AVERAGE(IF(tblSalaries[Region]=Analysis!DC$60,IF(tblSalaries[Job Type]=Analysis!$C67,tblSalaries[Salary in USD]))),0)</f>
        <v>131770.4440860638</v>
      </c>
      <c r="DD67" s="26">
        <f t="array" ref="DD67">IFERROR(AVERAGE(IF(tblSalaries[Region]=Analysis!DD$60,IF(tblSalaries[Job Type]=Analysis!$C67,tblSalaries[Salary in USD]))),0)</f>
        <v>55059.788269721044</v>
      </c>
      <c r="DE67" s="26">
        <f t="array" ref="DE67">IFERROR(AVERAGE(IF(tblSalaries[Region]=Analysis!DE$60,IF(tblSalaries[Job Type]=Analysis!$C67,tblSalaries[Salary in USD]))),0)</f>
        <v>43447.660813512979</v>
      </c>
      <c r="DF67" s="26">
        <f t="array" ref="DF67">IFERROR(AVERAGE(IF(tblSalaries[Region]=Analysis!DF$60,IF(tblSalaries[Job Type]=Analysis!$C67,tblSalaries[Salary in USD]))),0)</f>
        <v>41118.89009647302</v>
      </c>
      <c r="DG67" s="26">
        <f t="array" ref="DG67">IFERROR(AVERAGE(IF(tblSalaries[Region]=Analysis!DG$60,IF(tblSalaries[Job Type]=Analysis!$C67,tblSalaries[Salary in USD]))),0)</f>
        <v>21432.036041384017</v>
      </c>
      <c r="DH67" s="26">
        <f t="array" ref="DH67">IFERROR(AVERAGE(IF(tblSalaries[Region]=Analysis!DH$60,IF(tblSalaries[Job Type]=Analysis!$C67,tblSalaries[Salary in USD]))),0)</f>
        <v>8863.6591214067066</v>
      </c>
      <c r="DI67" s="26">
        <f t="array" ref="DI67">IFERROR(AVERAGE(IF(tblSalaries[Region]=Analysis!DI$60,IF(tblSalaries[Job Type]=Analysis!$C67,tblSalaries[Salary in USD]))),0)</f>
        <v>2101.9948825940269</v>
      </c>
      <c r="DJ67" s="26">
        <f t="array" ref="DJ67">IFERROR(AVERAGE(IF(tblSalaries[Work Hour per day on Excel]=Analysis!DJ$60,IF(tblSalaries[Job Type]=Analysis!$C67,tblSalaries[Salary in USD]))),0)</f>
        <v>21800.493274571108</v>
      </c>
      <c r="DK67" s="26">
        <f t="array" ref="DK67">IFERROR(AVERAGE(IF(tblSalaries[Work Hour per day on Excel]=Analysis!DK$60,IF(tblSalaries[Job Type]=Analysis!$C67,tblSalaries[Salary in USD]))),0)</f>
        <v>34794.496249436103</v>
      </c>
      <c r="DL67" s="26">
        <f t="array" ref="DL67">IFERROR(AVERAGE(IF(tblSalaries[Work Hour per day on Excel]=Analysis!DL$60,IF(tblSalaries[Job Type]=Analysis!$C67,tblSalaries[Salary in USD]))),0)</f>
        <v>48323.966108834989</v>
      </c>
      <c r="DM67" s="26">
        <f t="array" ref="DM67">IFERROR(AVERAGE(IF(tblSalaries[Work Hour per day on Excel]=Analysis!DM$60,IF(tblSalaries[Job Type]=Analysis!$C67,tblSalaries[Salary in USD]))),0)</f>
        <v>42997.280174175874</v>
      </c>
      <c r="DN67" s="26">
        <f t="array" ref="DN67">IFERROR(AVERAGE(IF(tblSalaries[Years of Experience]=Analysis!DN$60,IF(tblSalaries[Job Type]=Analysis!$C67,tblSalaries[Salary in USD]))),0)</f>
        <v>30167.186579547084</v>
      </c>
      <c r="DO67" s="26">
        <f t="array" ref="DO67">IFERROR(AVERAGE(IF(tblSalaries[Years of Experience]=Analysis!DO$60,IF(tblSalaries[Job Type]=Analysis!$C67,tblSalaries[Salary in USD]))),0)</f>
        <v>44925.583251103635</v>
      </c>
      <c r="DP67" s="26">
        <f t="array" ref="DP67">IFERROR(AVERAGE(IF(tblSalaries[Years of Experience]=Analysis!DP$60,IF(tblSalaries[Job Type]=Analysis!$C67,tblSalaries[Salary in USD]))),0)</f>
        <v>53332.66756094755</v>
      </c>
      <c r="DQ67" s="26">
        <f t="array" ref="DQ67">IFERROR(AVERAGE(IF(tblSalaries[Years of Experience]=Analysis!DQ$60,IF(tblSalaries[Job Type]=Analysis!$C67,tblSalaries[Salary in USD]))),0)</f>
        <v>70596.085110780885</v>
      </c>
      <c r="DR67" s="26">
        <f t="array" ref="DR67">IFERROR(AVERAGE(IF(tblSalaries[Years of Experience]=Analysis!DR$60,IF(tblSalaries[Job Type]=Analysis!$C67,tblSalaries[Salary in USD]))),0)</f>
        <v>39404.456801682099</v>
      </c>
      <c r="DS67" s="26">
        <f t="array" ref="DS67">IFERROR(MAX(IF(tblSalaries[Job Type]=Analysis!$C67,tblSalaries[Salary in USD])),0)</f>
        <v>177600</v>
      </c>
      <c r="DT67" s="26">
        <f t="array" ref="DT67">IFERROR(MAX(IF(tblSalaries[Region]=Analysis!DT$60,IF(tblSalaries[Job Type]=Analysis!$C67,tblSalaries[Salary in USD]))),0)</f>
        <v>132588.25533234264</v>
      </c>
      <c r="DU67" s="26">
        <f t="array" ref="DU67">IFERROR(MAX(IF(tblSalaries[Region]=Analysis!DU$60,IF(tblSalaries[Job Type]=Analysis!$C67,tblSalaries[Salary in USD]))),0)</f>
        <v>140000</v>
      </c>
      <c r="DV67" s="26">
        <f t="array" ref="DV67">IFERROR(MAX(IF(tblSalaries[Region]=Analysis!DV$60,IF(tblSalaries[Job Type]=Analysis!$C67,tblSalaries[Salary in USD]))),0)</f>
        <v>131770.4440860638</v>
      </c>
      <c r="DW67" s="26">
        <f t="array" ref="DW67">IFERROR(MAX(IF(tblSalaries[Region]=Analysis!DW$60,IF(tblSalaries[Job Type]=Analysis!$C67,tblSalaries[Salary in USD]))),0)</f>
        <v>126094.26176538273</v>
      </c>
      <c r="DX67" s="26">
        <f t="array" ref="DX67">IFERROR(MAX(IF(tblSalaries[Region]=Analysis!DX$60,IF(tblSalaries[Job Type]=Analysis!$C67,tblSalaries[Salary in USD]))),0)</f>
        <v>63519.971949580387</v>
      </c>
      <c r="DY67" s="26">
        <f t="array" ref="DY67">IFERROR(MAX(IF(tblSalaries[Region]=Analysis!DY$60,IF(tblSalaries[Job Type]=Analysis!$C67,tblSalaries[Salary in USD]))),0)</f>
        <v>177600</v>
      </c>
      <c r="DZ67" s="26">
        <f t="array" ref="DZ67">IFERROR(MAX(IF(tblSalaries[Region]=Analysis!DZ$60,IF(tblSalaries[Job Type]=Analysis!$C67,tblSalaries[Salary in USD]))),0)</f>
        <v>60000</v>
      </c>
      <c r="EA67" s="26">
        <f t="array" ref="EA67">IFERROR(MAX(IF(tblSalaries[Region]=Analysis!EA$60,IF(tblSalaries[Job Type]=Analysis!$C67,tblSalaries[Salary in USD]))),0)</f>
        <v>40067.812546745779</v>
      </c>
      <c r="EB67" s="26">
        <f t="array" ref="EB67">IFERROR(MAX(IF(tblSalaries[Region]=Analysis!EB$60,IF(tblSalaries[Job Type]=Analysis!$C67,tblSalaries[Salary in USD]))),0)</f>
        <v>2400</v>
      </c>
      <c r="EC67" s="26">
        <f t="array" ref="EC67">IFERROR(MAX(IF(tblSalaries[Work Hour per day on Excel]=Analysis!EC$60,IF(tblSalaries[Job Type]=Analysis!$C67,tblSalaries[Salary in USD]))),0)</f>
        <v>40067.812546745779</v>
      </c>
      <c r="ED67" s="26">
        <f t="array" ref="ED67">IFERROR(MAX(IF(tblSalaries[Work Hour per day on Excel]=Analysis!ED$60,IF(tblSalaries[Job Type]=Analysis!$C67,tblSalaries[Salary in USD]))),0)</f>
        <v>132588.25533234264</v>
      </c>
      <c r="EE67" s="26">
        <f t="array" ref="EE67">IFERROR(MAX(IF(tblSalaries[Work Hour per day on Excel]=Analysis!EE$60,IF(tblSalaries[Job Type]=Analysis!$C67,tblSalaries[Salary in USD]))),0)</f>
        <v>177600</v>
      </c>
      <c r="EF67" s="26">
        <f t="array" ref="EF67">IFERROR(MAX(IF(tblSalaries[Work Hour per day on Excel]=Analysis!EF$60,IF(tblSalaries[Job Type]=Analysis!$C67,tblSalaries[Salary in USD]))),0)</f>
        <v>131770.4440860638</v>
      </c>
      <c r="EG67" s="26">
        <f t="array" ref="EG67">IFERROR(MAX(IF(tblSalaries[Years of Experience]=Analysis!EG$60,IF(tblSalaries[Job Type]=Analysis!$C67,tblSalaries[Salary in USD]))),0)</f>
        <v>85000</v>
      </c>
      <c r="EH67" s="26">
        <f t="array" ref="EH67">IFERROR(MAX(IF(tblSalaries[Years of Experience]=Analysis!EH$60,IF(tblSalaries[Job Type]=Analysis!$C67,tblSalaries[Salary in USD]))),0)</f>
        <v>177600</v>
      </c>
      <c r="EI67" s="26">
        <f t="array" ref="EI67">IFERROR(MAX(IF(tblSalaries[Years of Experience]=Analysis!EI$60,IF(tblSalaries[Job Type]=Analysis!$C67,tblSalaries[Salary in USD]))),0)</f>
        <v>140000</v>
      </c>
      <c r="EJ67" s="26">
        <f t="array" ref="EJ67">IFERROR(MAX(IF(tblSalaries[Years of Experience]=Analysis!EJ$60,IF(tblSalaries[Job Type]=Analysis!$C67,tblSalaries[Salary in USD]))),0)</f>
        <v>132588.25533234264</v>
      </c>
      <c r="EK67" s="26">
        <f t="array" ref="EK67">IFERROR(MAX(IF(tblSalaries[Years of Experience]=Analysis!EK$60,IF(tblSalaries[Job Type]=Analysis!$C67,tblSalaries[Salary in USD]))),0)</f>
        <v>39404.456801682099</v>
      </c>
      <c r="EL67" s="26">
        <f t="array" ref="EL67">IFERROR(MIN(IF(tblSalaries[Job Type]=Analysis!$C67,tblSalaries[Salary in USD])),0)</f>
        <v>1783.166904422254</v>
      </c>
      <c r="EM67" s="26">
        <f t="array" ref="EM67">IFERROR(MIN(IF(tblSalaries[Region]=Analysis!EM$60,IF(tblSalaries[Job Type]=Analysis!$C67,tblSalaries[Salary in USD]))),0)</f>
        <v>64254.308353366054</v>
      </c>
      <c r="EN67" s="26">
        <f t="array" ref="EN67">IFERROR(MIN(IF(tblSalaries[Region]=Analysis!EN$60,IF(tblSalaries[Job Type]=Analysis!$C67,tblSalaries[Salary in USD]))),0)</f>
        <v>30232</v>
      </c>
      <c r="EO67" s="26">
        <f t="array" ref="EO67">IFERROR(MIN(IF(tblSalaries[Region]=Analysis!EO$60,IF(tblSalaries[Job Type]=Analysis!$C67,tblSalaries[Salary in USD]))),0)</f>
        <v>131770.4440860638</v>
      </c>
      <c r="EP67" s="26">
        <f t="array" ref="EP67">IFERROR(MIN(IF(tblSalaries[Region]=Analysis!EP$60,IF(tblSalaries[Job Type]=Analysis!$C67,tblSalaries[Salary in USD]))),0)</f>
        <v>19000</v>
      </c>
      <c r="EQ67" s="26">
        <f t="array" ref="EQ67">IFERROR(MIN(IF(tblSalaries[Region]=Analysis!EQ$60,IF(tblSalaries[Job Type]=Analysis!$C67,tblSalaries[Salary in USD]))),0)</f>
        <v>21342.710575059013</v>
      </c>
      <c r="ER67" s="26">
        <f t="array" ref="ER67">IFERROR(MIN(IF(tblSalaries[Region]=Analysis!ER$60,IF(tblSalaries[Job Type]=Analysis!$C67,tblSalaries[Salary in USD]))),0)</f>
        <v>6000</v>
      </c>
      <c r="ES67" s="26">
        <f t="array" ref="ES67">IFERROR(MIN(IF(tblSalaries[Region]=Analysis!ES$60,IF(tblSalaries[Job Type]=Analysis!$C67,tblSalaries[Salary in USD]))),0)</f>
        <v>3000</v>
      </c>
      <c r="ET67" s="26">
        <f t="array" ref="ET67">IFERROR(MIN(IF(tblSalaries[Region]=Analysis!ET$60,IF(tblSalaries[Job Type]=Analysis!$C67,tblSalaries[Salary in USD]))),0)</f>
        <v>2136.9500024931081</v>
      </c>
      <c r="EU67" s="26">
        <f t="array" ref="EU67">IFERROR(MIN(IF(tblSalaries[Region]=Analysis!EU$60,IF(tblSalaries[Job Type]=Analysis!$C67,tblSalaries[Salary in USD]))),0)</f>
        <v>1783.166904422254</v>
      </c>
      <c r="EV67" s="26">
        <f t="array" ref="EV67">IFERROR(MIN(IF(tblSalaries[Work Hour per day on Excel]=Analysis!EV$60,IF(tblSalaries[Job Type]=Analysis!$C67,tblSalaries[Salary in USD]))),0)</f>
        <v>4487.5950052355274</v>
      </c>
      <c r="EW67" s="26">
        <f t="array" ref="EW67">IFERROR(MIN(IF(tblSalaries[Work Hour per day on Excel]=Analysis!EW$60,IF(tblSalaries[Job Type]=Analysis!$C67,tblSalaries[Salary in USD]))),0)</f>
        <v>2122.8177433598262</v>
      </c>
      <c r="EX67" s="26">
        <f t="array" ref="EX67">IFERROR(MIN(IF(tblSalaries[Work Hour per day on Excel]=Analysis!EX$60,IF(tblSalaries[Job Type]=Analysis!$C67,tblSalaries[Salary in USD]))),0)</f>
        <v>1783.166904422254</v>
      </c>
      <c r="EY67" s="26">
        <f t="array" ref="EY67">IFERROR(MIN(IF(tblSalaries[Work Hour per day on Excel]=Analysis!EY$60,IF(tblSalaries[Job Type]=Analysis!$C67,tblSalaries[Salary in USD]))),0)</f>
        <v>3205.4250037396623</v>
      </c>
      <c r="EZ67" s="26">
        <f t="array" ref="EZ67">IFERROR(MIN(IF(tblSalaries[Years of Experience]=Analysis!EZ$60,IF(tblSalaries[Job Type]=Analysis!$C67,tblSalaries[Salary in USD]))),0)</f>
        <v>2122.8177433598262</v>
      </c>
      <c r="FA67" s="26">
        <f t="array" ref="FA67">IFERROR(MIN(IF(tblSalaries[Years of Experience]=Analysis!FA$60,IF(tblSalaries[Job Type]=Analysis!$C67,tblSalaries[Salary in USD]))),0)</f>
        <v>1783.166904422254</v>
      </c>
      <c r="FB67" s="26">
        <f t="array" ref="FB67">IFERROR(MIN(IF(tblSalaries[Years of Experience]=Analysis!FB$60,IF(tblSalaries[Job Type]=Analysis!$C67,tblSalaries[Salary in USD]))),0)</f>
        <v>2400</v>
      </c>
      <c r="FC67" s="26">
        <f t="array" ref="FC67">IFERROR(MIN(IF(tblSalaries[Years of Experience]=Analysis!FC$60,IF(tblSalaries[Job Type]=Analysis!$C67,tblSalaries[Salary in USD]))),0)</f>
        <v>30000</v>
      </c>
      <c r="FD67" s="26">
        <f t="array" ref="FD67">IFERROR(MIN(IF(tblSalaries[Years of Experience]=Analysis!FD$60,IF(tblSalaries[Job Type]=Analysis!$C67,tblSalaries[Salary in USD]))),0)</f>
        <v>39404.456801682099</v>
      </c>
      <c r="FE67" s="26">
        <f t="array" ref="FE67">IFERROR(COUNT(IF(tblSalaries[Job Type]=Analysis!$C67,tblSalaries[Salary in USD])),0)</f>
        <v>101</v>
      </c>
      <c r="FF67" s="26">
        <f t="array" ref="FF67">IFERROR(COUNT(IF(tblSalaries[Region]=Analysis!FF$60,IF(tblSalaries[Job Type]=Analysis!$C67,tblSalaries[Salary in USD]))),0)</f>
        <v>6</v>
      </c>
      <c r="FG67" s="26">
        <f t="array" ref="FG67">IFERROR(COUNT(IF(tblSalaries[Region]=Analysis!FG$60,IF(tblSalaries[Job Type]=Analysis!$C67,tblSalaries[Salary in USD]))),0)</f>
        <v>23</v>
      </c>
      <c r="FH67" s="26">
        <f t="array" ref="FH67">IFERROR(COUNT(IF(tblSalaries[Region]=Analysis!FH$60,IF(tblSalaries[Job Type]=Analysis!$C67,tblSalaries[Salary in USD]))),0)</f>
        <v>1</v>
      </c>
      <c r="FI67" s="26">
        <f t="array" ref="FI67">IFERROR(COUNT(IF(tblSalaries[Region]=Analysis!FI$60,IF(tblSalaries[Job Type]=Analysis!$C67,tblSalaries[Salary in USD]))),0)</f>
        <v>14</v>
      </c>
      <c r="FJ67" s="26">
        <f t="array" ref="FJ67">IFERROR(COUNT(IF(tblSalaries[Region]=Analysis!FJ$60,IF(tblSalaries[Job Type]=Analysis!$C67,tblSalaries[Salary in USD]))),0)</f>
        <v>4</v>
      </c>
      <c r="FK67" s="26">
        <f t="array" ref="FK67">IFERROR(COUNT(IF(tblSalaries[Region]=Analysis!FK$60,IF(tblSalaries[Job Type]=Analysis!$C67,tblSalaries[Salary in USD]))),0)</f>
        <v>19</v>
      </c>
      <c r="FL67" s="26">
        <f t="array" ref="FL67">IFERROR(COUNT(IF(tblSalaries[Region]=Analysis!FL$60,IF(tblSalaries[Job Type]=Analysis!$C67,tblSalaries[Salary in USD]))),0)</f>
        <v>5</v>
      </c>
      <c r="FM67" s="26">
        <f t="array" ref="FM67">IFERROR(COUNT(IF(tblSalaries[Region]=Analysis!FM$60,IF(tblSalaries[Job Type]=Analysis!$C67,tblSalaries[Salary in USD]))),0)</f>
        <v>26</v>
      </c>
      <c r="FN67" s="26">
        <f t="array" ref="FN67">IFERROR(COUNT(IF(tblSalaries[Region]=Analysis!FN$60,IF(tblSalaries[Job Type]=Analysis!$C67,tblSalaries[Salary in USD]))),0)</f>
        <v>3</v>
      </c>
      <c r="FO67" s="26">
        <f t="array" ref="FO67">IFERROR(COUNT(IF(tblSalaries[Work Hour per day on Excel]=Analysis!FO$60,IF(tblSalaries[Job Type]=Analysis!$C67,tblSalaries[Salary in USD]))),0)</f>
        <v>4</v>
      </c>
      <c r="FP67" s="26">
        <f t="array" ref="FP67">IFERROR(COUNT(IF(tblSalaries[Work Hour per day on Excel]=Analysis!FP$60,IF(tblSalaries[Job Type]=Analysis!$C67,tblSalaries[Salary in USD]))),0)</f>
        <v>28</v>
      </c>
      <c r="FQ67" s="26">
        <f t="array" ref="FQ67">IFERROR(COUNT(IF(tblSalaries[Work Hour per day on Excel]=Analysis!FQ$60,IF(tblSalaries[Job Type]=Analysis!$C67,tblSalaries[Salary in USD]))),0)</f>
        <v>42</v>
      </c>
      <c r="FR67" s="26">
        <f t="array" ref="FR67">IFERROR(COUNT(IF(tblSalaries[Work Hour per day on Excel]=Analysis!FR$60,IF(tblSalaries[Job Type]=Analysis!$C67,tblSalaries[Salary in USD]))),0)</f>
        <v>27</v>
      </c>
      <c r="FS67" s="26">
        <f t="array" ref="FS67">IFERROR(COUNT(IF(tblSalaries[Years of Experience]=Analysis!FS$60,IF(tblSalaries[Job Type]=Analysis!$C67,tblSalaries[Salary in USD]))),0)</f>
        <v>39</v>
      </c>
      <c r="FT67" s="26">
        <f t="array" ref="FT67">IFERROR(COUNT(IF(tblSalaries[Years of Experience]=Analysis!FT$60,IF(tblSalaries[Job Type]=Analysis!$C67,tblSalaries[Salary in USD]))),0)</f>
        <v>32</v>
      </c>
      <c r="FU67" s="26">
        <f t="array" ref="FU67">IFERROR(COUNT(IF(tblSalaries[Years of Experience]=Analysis!FU$60,IF(tblSalaries[Job Type]=Analysis!$C67,tblSalaries[Salary in USD]))),0)</f>
        <v>26</v>
      </c>
      <c r="FV67" s="26">
        <f t="array" ref="FV67">IFERROR(COUNT(IF(tblSalaries[Years of Experience]=Analysis!FV$60,IF(tblSalaries[Job Type]=Analysis!$C67,tblSalaries[Salary in USD]))),0)</f>
        <v>3</v>
      </c>
      <c r="FW67" s="26">
        <f t="array" ref="FW67">IFERROR(COUNT(IF(tblSalaries[Years of Experience]=Analysis!FW$60,IF(tblSalaries[Job Type]=Analysis!$C67,tblSalaries[Salary in USD]))),0)</f>
        <v>1</v>
      </c>
    </row>
    <row r="68" spans="1:183" s="25" customFormat="1" ht="15" hidden="1" customHeight="1" x14ac:dyDescent="0.25">
      <c r="A68" s="29"/>
      <c r="B68" s="25">
        <f t="shared" si="127"/>
        <v>8</v>
      </c>
      <c r="C68" s="25" t="s">
        <v>11</v>
      </c>
      <c r="D68" s="26">
        <f t="shared" si="107"/>
        <v>41919.457113506971</v>
      </c>
      <c r="E68" s="26">
        <f t="shared" si="108"/>
        <v>95277.699924673987</v>
      </c>
      <c r="F68" s="26">
        <f t="shared" si="109"/>
        <v>80467.578947368427</v>
      </c>
      <c r="G68" s="26">
        <f t="shared" si="110"/>
        <v>65267.907013334378</v>
      </c>
      <c r="H68" s="26">
        <f t="shared" si="111"/>
        <v>67841.549950665634</v>
      </c>
      <c r="I68" s="26">
        <f t="shared" si="112"/>
        <v>64887.492338211661</v>
      </c>
      <c r="J68" s="26">
        <f t="shared" si="113"/>
        <v>42342.530832159857</v>
      </c>
      <c r="K68" s="26">
        <f t="shared" si="114"/>
        <v>27543.141511940754</v>
      </c>
      <c r="L68" s="26">
        <f t="shared" si="115"/>
        <v>15529.153395511199</v>
      </c>
      <c r="M68" s="26">
        <f t="shared" si="116"/>
        <v>10382.341810335902</v>
      </c>
      <c r="N68" s="26">
        <f t="shared" si="117"/>
        <v>52197.844195328391</v>
      </c>
      <c r="O68" s="26">
        <f t="shared" si="118"/>
        <v>42752.714103272134</v>
      </c>
      <c r="P68" s="26">
        <f t="shared" si="119"/>
        <v>44497.816481050722</v>
      </c>
      <c r="Q68" s="26">
        <f t="shared" si="120"/>
        <v>30285.389626617656</v>
      </c>
      <c r="R68" s="26">
        <f t="shared" si="121"/>
        <v>26475.229449341135</v>
      </c>
      <c r="S68" s="26">
        <f t="shared" si="122"/>
        <v>43280.98217341405</v>
      </c>
      <c r="T68" s="26">
        <f t="shared" si="123"/>
        <v>53803.971452740712</v>
      </c>
      <c r="U68" s="26">
        <f t="shared" si="124"/>
        <v>64194.670318435397</v>
      </c>
      <c r="V68" s="26">
        <f t="shared" si="125"/>
        <v>109130.33323508203</v>
      </c>
      <c r="W68" s="25">
        <f t="shared" si="126"/>
        <v>9</v>
      </c>
      <c r="CZ68" s="26">
        <f t="array" ref="CZ68">IFERROR(AVERAGE(IF(tblSalaries[Job Type]=Analysis!$C68,tblSalaries[Salary in USD])),0)</f>
        <v>41919.457113506971</v>
      </c>
      <c r="DA68" s="26">
        <f t="array" ref="DA68">IFERROR(AVERAGE(IF(tblSalaries[Region]=Analysis!DA$60,IF(tblSalaries[Job Type]=Analysis!$C68,tblSalaries[Salary in USD]))),0)</f>
        <v>95277.699924673987</v>
      </c>
      <c r="DB68" s="26">
        <f t="array" ref="DB68">IFERROR(AVERAGE(IF(tblSalaries[Region]=Analysis!DB$60,IF(tblSalaries[Job Type]=Analysis!$C68,tblSalaries[Salary in USD]))),0)</f>
        <v>80467.578947368427</v>
      </c>
      <c r="DC68" s="26">
        <f t="array" ref="DC68">IFERROR(AVERAGE(IF(tblSalaries[Region]=Analysis!DC$60,IF(tblSalaries[Job Type]=Analysis!$C68,tblSalaries[Salary in USD]))),0)</f>
        <v>65267.907013334378</v>
      </c>
      <c r="DD68" s="26">
        <f t="array" ref="DD68">IFERROR(AVERAGE(IF(tblSalaries[Region]=Analysis!DD$60,IF(tblSalaries[Job Type]=Analysis!$C68,tblSalaries[Salary in USD]))),0)</f>
        <v>67841.549950665634</v>
      </c>
      <c r="DE68" s="26">
        <f t="array" ref="DE68">IFERROR(AVERAGE(IF(tblSalaries[Region]=Analysis!DE$60,IF(tblSalaries[Job Type]=Analysis!$C68,tblSalaries[Salary in USD]))),0)</f>
        <v>64887.492338211661</v>
      </c>
      <c r="DF68" s="26">
        <f t="array" ref="DF68">IFERROR(AVERAGE(IF(tblSalaries[Region]=Analysis!DF$60,IF(tblSalaries[Job Type]=Analysis!$C68,tblSalaries[Salary in USD]))),0)</f>
        <v>42342.530832159857</v>
      </c>
      <c r="DG68" s="26">
        <f t="array" ref="DG68">IFERROR(AVERAGE(IF(tblSalaries[Region]=Analysis!DG$60,IF(tblSalaries[Job Type]=Analysis!$C68,tblSalaries[Salary in USD]))),0)</f>
        <v>27543.141511940754</v>
      </c>
      <c r="DH68" s="26">
        <f t="array" ref="DH68">IFERROR(AVERAGE(IF(tblSalaries[Region]=Analysis!DH$60,IF(tblSalaries[Job Type]=Analysis!$C68,tblSalaries[Salary in USD]))),0)</f>
        <v>15529.153395511199</v>
      </c>
      <c r="DI68" s="26">
        <f t="array" ref="DI68">IFERROR(AVERAGE(IF(tblSalaries[Region]=Analysis!DI$60,IF(tblSalaries[Job Type]=Analysis!$C68,tblSalaries[Salary in USD]))),0)</f>
        <v>10382.341810335902</v>
      </c>
      <c r="DJ68" s="26">
        <f t="array" ref="DJ68">IFERROR(AVERAGE(IF(tblSalaries[Work Hour per day on Excel]=Analysis!DJ$60,IF(tblSalaries[Job Type]=Analysis!$C68,tblSalaries[Salary in USD]))),0)</f>
        <v>52197.844195328391</v>
      </c>
      <c r="DK68" s="26">
        <f t="array" ref="DK68">IFERROR(AVERAGE(IF(tblSalaries[Work Hour per day on Excel]=Analysis!DK$60,IF(tblSalaries[Job Type]=Analysis!$C68,tblSalaries[Salary in USD]))),0)</f>
        <v>42752.714103272134</v>
      </c>
      <c r="DL68" s="26">
        <f t="array" ref="DL68">IFERROR(AVERAGE(IF(tblSalaries[Work Hour per day on Excel]=Analysis!DL$60,IF(tblSalaries[Job Type]=Analysis!$C68,tblSalaries[Salary in USD]))),0)</f>
        <v>44497.816481050722</v>
      </c>
      <c r="DM68" s="26">
        <f t="array" ref="DM68">IFERROR(AVERAGE(IF(tblSalaries[Work Hour per day on Excel]=Analysis!DM$60,IF(tblSalaries[Job Type]=Analysis!$C68,tblSalaries[Salary in USD]))),0)</f>
        <v>30285.389626617656</v>
      </c>
      <c r="DN68" s="26">
        <f t="array" ref="DN68">IFERROR(AVERAGE(IF(tblSalaries[Years of Experience]=Analysis!DN$60,IF(tblSalaries[Job Type]=Analysis!$C68,tblSalaries[Salary in USD]))),0)</f>
        <v>26475.229449341135</v>
      </c>
      <c r="DO68" s="26">
        <f t="array" ref="DO68">IFERROR(AVERAGE(IF(tblSalaries[Years of Experience]=Analysis!DO$60,IF(tblSalaries[Job Type]=Analysis!$C68,tblSalaries[Salary in USD]))),0)</f>
        <v>43280.98217341405</v>
      </c>
      <c r="DP68" s="26">
        <f t="array" ref="DP68">IFERROR(AVERAGE(IF(tblSalaries[Years of Experience]=Analysis!DP$60,IF(tblSalaries[Job Type]=Analysis!$C68,tblSalaries[Salary in USD]))),0)</f>
        <v>53803.971452740712</v>
      </c>
      <c r="DQ68" s="26">
        <f t="array" ref="DQ68">IFERROR(AVERAGE(IF(tblSalaries[Years of Experience]=Analysis!DQ$60,IF(tblSalaries[Job Type]=Analysis!$C68,tblSalaries[Salary in USD]))),0)</f>
        <v>64194.670318435397</v>
      </c>
      <c r="DR68" s="26">
        <f t="array" ref="DR68">IFERROR(AVERAGE(IF(tblSalaries[Years of Experience]=Analysis!DR$60,IF(tblSalaries[Job Type]=Analysis!$C68,tblSalaries[Salary in USD]))),0)</f>
        <v>109130.33323508203</v>
      </c>
      <c r="DS68" s="26">
        <f t="array" ref="DS68">IFERROR(MAX(IF(tblSalaries[Job Type]=Analysis!$C68,tblSalaries[Salary in USD])),0)</f>
        <v>203981.93128052715</v>
      </c>
      <c r="DT68" s="26">
        <f t="array" ref="DT68">IFERROR(MAX(IF(tblSalaries[Region]=Analysis!DT$60,IF(tblSalaries[Job Type]=Analysis!$C68,tblSalaries[Salary in USD]))),0)</f>
        <v>203981.93128052715</v>
      </c>
      <c r="DU68" s="26">
        <f t="array" ref="DU68">IFERROR(MAX(IF(tblSalaries[Region]=Analysis!DU$60,IF(tblSalaries[Job Type]=Analysis!$C68,tblSalaries[Salary in USD]))),0)</f>
        <v>155000</v>
      </c>
      <c r="DV68" s="26">
        <f t="array" ref="DV68">IFERROR(MAX(IF(tblSalaries[Region]=Analysis!DV$60,IF(tblSalaries[Job Type]=Analysis!$C68,tblSalaries[Salary in USD]))),0)</f>
        <v>98336.152303032693</v>
      </c>
      <c r="DW68" s="26">
        <f t="array" ref="DW68">IFERROR(MAX(IF(tblSalaries[Region]=Analysis!DW$60,IF(tblSalaries[Job Type]=Analysis!$C68,tblSalaries[Salary in USD]))),0)</f>
        <v>118213.37040504631</v>
      </c>
      <c r="DX68" s="26">
        <f t="array" ref="DX68">IFERROR(MAX(IF(tblSalaries[Region]=Analysis!DX$60,IF(tblSalaries[Job Type]=Analysis!$C68,tblSalaries[Salary in USD]))),0)</f>
        <v>176585.52201983347</v>
      </c>
      <c r="DY68" s="26">
        <f t="array" ref="DY68">IFERROR(MAX(IF(tblSalaries[Region]=Analysis!DY$60,IF(tblSalaries[Job Type]=Analysis!$C68,tblSalaries[Salary in USD]))),0)</f>
        <v>143565.85684888897</v>
      </c>
      <c r="DZ68" s="26">
        <f t="array" ref="DZ68">IFERROR(MAX(IF(tblSalaries[Region]=Analysis!DZ$60,IF(tblSalaries[Job Type]=Analysis!$C68,tblSalaries[Salary in USD]))),0)</f>
        <v>98000</v>
      </c>
      <c r="EA68" s="26">
        <f t="array" ref="EA68">IFERROR(MAX(IF(tblSalaries[Region]=Analysis!EA$60,IF(tblSalaries[Job Type]=Analysis!$C68,tblSalaries[Salary in USD]))),0)</f>
        <v>186983.12521814698</v>
      </c>
      <c r="EB68" s="26">
        <f t="array" ref="EB68">IFERROR(MAX(IF(tblSalaries[Region]=Analysis!EB$60,IF(tblSalaries[Job Type]=Analysis!$C68,tblSalaries[Salary in USD]))),0)</f>
        <v>40000</v>
      </c>
      <c r="EC68" s="26">
        <f t="array" ref="EC68">IFERROR(MAX(IF(tblSalaries[Work Hour per day on Excel]=Analysis!EC$60,IF(tblSalaries[Job Type]=Analysis!$C68,tblSalaries[Salary in USD]))),0)</f>
        <v>176585.52201983347</v>
      </c>
      <c r="ED68" s="26">
        <f t="array" ref="ED68">IFERROR(MAX(IF(tblSalaries[Work Hour per day on Excel]=Analysis!ED$60,IF(tblSalaries[Job Type]=Analysis!$C68,tblSalaries[Salary in USD]))),0)</f>
        <v>186983.12521814698</v>
      </c>
      <c r="EE68" s="26">
        <f t="array" ref="EE68">IFERROR(MAX(IF(tblSalaries[Work Hour per day on Excel]=Analysis!EE$60,IF(tblSalaries[Job Type]=Analysis!$C68,tblSalaries[Salary in USD]))),0)</f>
        <v>203981.93128052715</v>
      </c>
      <c r="EF68" s="26">
        <f t="array" ref="EF68">IFERROR(MAX(IF(tblSalaries[Work Hour per day on Excel]=Analysis!EF$60,IF(tblSalaries[Job Type]=Analysis!$C68,tblSalaries[Salary in USD]))),0)</f>
        <v>135000</v>
      </c>
      <c r="EG68" s="26">
        <f t="array" ref="EG68">IFERROR(MAX(IF(tblSalaries[Years of Experience]=Analysis!EG$60,IF(tblSalaries[Job Type]=Analysis!$C68,tblSalaries[Salary in USD]))),0)</f>
        <v>130000</v>
      </c>
      <c r="EH68" s="26">
        <f t="array" ref="EH68">IFERROR(MAX(IF(tblSalaries[Years of Experience]=Analysis!EH$60,IF(tblSalaries[Job Type]=Analysis!$C68,tblSalaries[Salary in USD]))),0)</f>
        <v>186983.12521814698</v>
      </c>
      <c r="EI68" s="26">
        <f t="array" ref="EI68">IFERROR(MAX(IF(tblSalaries[Years of Experience]=Analysis!EI$60,IF(tblSalaries[Job Type]=Analysis!$C68,tblSalaries[Salary in USD]))),0)</f>
        <v>203981.93128052715</v>
      </c>
      <c r="EJ68" s="26">
        <f t="array" ref="EJ68">IFERROR(MAX(IF(tblSalaries[Years of Experience]=Analysis!EJ$60,IF(tblSalaries[Job Type]=Analysis!$C68,tblSalaries[Salary in USD]))),0)</f>
        <v>176585.52201983347</v>
      </c>
      <c r="EK68" s="26">
        <f t="array" ref="EK68">IFERROR(MAX(IF(tblSalaries[Years of Experience]=Analysis!EK$60,IF(tblSalaries[Job Type]=Analysis!$C68,tblSalaries[Salary in USD]))),0)</f>
        <v>109130.33323508203</v>
      </c>
      <c r="EL68" s="26">
        <f t="array" ref="EL68">IFERROR(MIN(IF(tblSalaries[Job Type]=Analysis!$C68,tblSalaries[Salary in USD])),0)</f>
        <v>1805.7739622442759</v>
      </c>
      <c r="EM68" s="26">
        <f t="array" ref="EM68">IFERROR(MIN(IF(tblSalaries[Region]=Analysis!EM$60,IF(tblSalaries[Job Type]=Analysis!$C68,tblSalaries[Salary in USD]))),0)</f>
        <v>36000</v>
      </c>
      <c r="EN68" s="26">
        <f t="array" ref="EN68">IFERROR(MIN(IF(tblSalaries[Region]=Analysis!EN$60,IF(tblSalaries[Job Type]=Analysis!$C68,tblSalaries[Salary in USD]))),0)</f>
        <v>22000</v>
      </c>
      <c r="EO68" s="26">
        <f t="array" ref="EO68">IFERROR(MIN(IF(tblSalaries[Region]=Analysis!EO$60,IF(tblSalaries[Job Type]=Analysis!$C68,tblSalaries[Salary in USD]))),0)</f>
        <v>50000</v>
      </c>
      <c r="EP68" s="26">
        <f t="array" ref="EP68">IFERROR(MIN(IF(tblSalaries[Region]=Analysis!EP$60,IF(tblSalaries[Job Type]=Analysis!$C68,tblSalaries[Salary in USD]))),0)</f>
        <v>34675.92198548025</v>
      </c>
      <c r="EQ68" s="26">
        <f t="array" ref="EQ68">IFERROR(MIN(IF(tblSalaries[Region]=Analysis!EQ$60,IF(tblSalaries[Job Type]=Analysis!$C68,tblSalaries[Salary in USD]))),0)</f>
        <v>11000</v>
      </c>
      <c r="ER68" s="26">
        <f t="array" ref="ER68">IFERROR(MIN(IF(tblSalaries[Region]=Analysis!ER$60,IF(tblSalaries[Job Type]=Analysis!$C68,tblSalaries[Salary in USD]))),0)</f>
        <v>4400</v>
      </c>
      <c r="ES68" s="26">
        <f t="array" ref="ES68">IFERROR(MIN(IF(tblSalaries[Region]=Analysis!ES$60,IF(tblSalaries[Job Type]=Analysis!$C68,tblSalaries[Salary in USD]))),0)</f>
        <v>1805.7739622442759</v>
      </c>
      <c r="ET68" s="26">
        <f t="array" ref="ET68">IFERROR(MIN(IF(tblSalaries[Region]=Analysis!ET$60,IF(tblSalaries[Job Type]=Analysis!$C68,tblSalaries[Salary in USD]))),0)</f>
        <v>2136.9500024931081</v>
      </c>
      <c r="EU68" s="26">
        <f t="array" ref="EU68">IFERROR(MIN(IF(tblSalaries[Region]=Analysis!EU$60,IF(tblSalaries[Job Type]=Analysis!$C68,tblSalaries[Salary in USD]))),0)</f>
        <v>2165.2740982270229</v>
      </c>
      <c r="EV68" s="26">
        <f t="array" ref="EV68">IFERROR(MIN(IF(tblSalaries[Work Hour per day on Excel]=Analysis!EV$60,IF(tblSalaries[Job Type]=Analysis!$C68,tblSalaries[Salary in USD]))),0)</f>
        <v>4451.9791718606421</v>
      </c>
      <c r="EW68" s="26">
        <f t="array" ref="EW68">IFERROR(MIN(IF(tblSalaries[Work Hour per day on Excel]=Analysis!EW$60,IF(tblSalaries[Job Type]=Analysis!$C68,tblSalaries[Salary in USD]))),0)</f>
        <v>2564.3400029917298</v>
      </c>
      <c r="EX68" s="26">
        <f t="array" ref="EX68">IFERROR(MIN(IF(tblSalaries[Work Hour per day on Excel]=Analysis!EX$60,IF(tblSalaries[Job Type]=Analysis!$C68,tblSalaries[Salary in USD]))),0)</f>
        <v>1805.7739622442759</v>
      </c>
      <c r="EY68" s="26">
        <f t="array" ref="EY68">IFERROR(MIN(IF(tblSalaries[Work Hour per day on Excel]=Analysis!EY$60,IF(tblSalaries[Job Type]=Analysis!$C68,tblSalaries[Salary in USD]))),0)</f>
        <v>2165.2740982270229</v>
      </c>
      <c r="EZ68" s="26">
        <f t="array" ref="EZ68">IFERROR(MIN(IF(tblSalaries[Years of Experience]=Analysis!EZ$60,IF(tblSalaries[Job Type]=Analysis!$C68,tblSalaries[Salary in USD]))),0)</f>
        <v>1805.7739622442759</v>
      </c>
      <c r="FA68" s="26">
        <f t="array" ref="FA68">IFERROR(MIN(IF(tblSalaries[Years of Experience]=Analysis!FA$60,IF(tblSalaries[Job Type]=Analysis!$C68,tblSalaries[Salary in USD]))),0)</f>
        <v>2564.3400029917298</v>
      </c>
      <c r="FB68" s="26">
        <f t="array" ref="FB68">IFERROR(MIN(IF(tblSalaries[Years of Experience]=Analysis!FB$60,IF(tblSalaries[Job Type]=Analysis!$C68,tblSalaries[Salary in USD]))),0)</f>
        <v>2938.3062534280239</v>
      </c>
      <c r="FC68" s="26">
        <f t="array" ref="FC68">IFERROR(MIN(IF(tblSalaries[Years of Experience]=Analysis!FC$60,IF(tblSalaries[Job Type]=Analysis!$C68,tblSalaries[Salary in USD]))),0)</f>
        <v>6232.7708406048987</v>
      </c>
      <c r="FD68" s="26">
        <f t="array" ref="FD68">IFERROR(MIN(IF(tblSalaries[Years of Experience]=Analysis!FD$60,IF(tblSalaries[Job Type]=Analysis!$C68,tblSalaries[Salary in USD]))),0)</f>
        <v>109130.33323508203</v>
      </c>
      <c r="FE68" s="26">
        <f t="array" ref="FE68">IFERROR(COUNT(IF(tblSalaries[Job Type]=Analysis!$C68,tblSalaries[Salary in USD])),0)</f>
        <v>392</v>
      </c>
      <c r="FF68" s="26">
        <f t="array" ref="FF68">IFERROR(COUNT(IF(tblSalaries[Region]=Analysis!FF$60,IF(tblSalaries[Job Type]=Analysis!$C68,tblSalaries[Salary in USD]))),0)</f>
        <v>18</v>
      </c>
      <c r="FG68" s="26">
        <f t="array" ref="FG68">IFERROR(COUNT(IF(tblSalaries[Region]=Analysis!FG$60,IF(tblSalaries[Job Type]=Analysis!$C68,tblSalaries[Salary in USD]))),0)</f>
        <v>76</v>
      </c>
      <c r="FH68" s="26">
        <f t="array" ref="FH68">IFERROR(COUNT(IF(tblSalaries[Region]=Analysis!FH$60,IF(tblSalaries[Job Type]=Analysis!$C68,tblSalaries[Salary in USD]))),0)</f>
        <v>5</v>
      </c>
      <c r="FI68" s="26">
        <f t="array" ref="FI68">IFERROR(COUNT(IF(tblSalaries[Region]=Analysis!FI$60,IF(tblSalaries[Job Type]=Analysis!$C68,tblSalaries[Salary in USD]))),0)</f>
        <v>25</v>
      </c>
      <c r="FJ68" s="26">
        <f t="array" ref="FJ68">IFERROR(COUNT(IF(tblSalaries[Region]=Analysis!FJ$60,IF(tblSalaries[Job Type]=Analysis!$C68,tblSalaries[Salary in USD]))),0)</f>
        <v>27</v>
      </c>
      <c r="FK68" s="26">
        <f t="array" ref="FK68">IFERROR(COUNT(IF(tblSalaries[Region]=Analysis!FK$60,IF(tblSalaries[Job Type]=Analysis!$C68,tblSalaries[Salary in USD]))),0)</f>
        <v>34</v>
      </c>
      <c r="FL68" s="26">
        <f t="array" ref="FL68">IFERROR(COUNT(IF(tblSalaries[Region]=Analysis!FL$60,IF(tblSalaries[Job Type]=Analysis!$C68,tblSalaries[Salary in USD]))),0)</f>
        <v>20</v>
      </c>
      <c r="FM68" s="26">
        <f t="array" ref="FM68">IFERROR(COUNT(IF(tblSalaries[Region]=Analysis!FM$60,IF(tblSalaries[Job Type]=Analysis!$C68,tblSalaries[Salary in USD]))),0)</f>
        <v>174</v>
      </c>
      <c r="FN68" s="26">
        <f t="array" ref="FN68">IFERROR(COUNT(IF(tblSalaries[Region]=Analysis!FN$60,IF(tblSalaries[Job Type]=Analysis!$C68,tblSalaries[Salary in USD]))),0)</f>
        <v>13</v>
      </c>
      <c r="FO68" s="26">
        <f t="array" ref="FO68">IFERROR(COUNT(IF(tblSalaries[Work Hour per day on Excel]=Analysis!FO$60,IF(tblSalaries[Job Type]=Analysis!$C68,tblSalaries[Salary in USD]))),0)</f>
        <v>48</v>
      </c>
      <c r="FP68" s="26">
        <f t="array" ref="FP68">IFERROR(COUNT(IF(tblSalaries[Work Hour per day on Excel]=Analysis!FP$60,IF(tblSalaries[Job Type]=Analysis!$C68,tblSalaries[Salary in USD]))),0)</f>
        <v>115</v>
      </c>
      <c r="FQ68" s="26">
        <f t="array" ref="FQ68">IFERROR(COUNT(IF(tblSalaries[Work Hour per day on Excel]=Analysis!FQ$60,IF(tblSalaries[Job Type]=Analysis!$C68,tblSalaries[Salary in USD]))),0)</f>
        <v>146</v>
      </c>
      <c r="FR68" s="26">
        <f t="array" ref="FR68">IFERROR(COUNT(IF(tblSalaries[Work Hour per day on Excel]=Analysis!FR$60,IF(tblSalaries[Job Type]=Analysis!$C68,tblSalaries[Salary in USD]))),0)</f>
        <v>83</v>
      </c>
      <c r="FS68" s="26">
        <f t="array" ref="FS68">IFERROR(COUNT(IF(tblSalaries[Years of Experience]=Analysis!FS$60,IF(tblSalaries[Job Type]=Analysis!$C68,tblSalaries[Salary in USD]))),0)</f>
        <v>140</v>
      </c>
      <c r="FT68" s="26">
        <f t="array" ref="FT68">IFERROR(COUNT(IF(tblSalaries[Years of Experience]=Analysis!FT$60,IF(tblSalaries[Job Type]=Analysis!$C68,tblSalaries[Salary in USD]))),0)</f>
        <v>115</v>
      </c>
      <c r="FU68" s="26">
        <f t="array" ref="FU68">IFERROR(COUNT(IF(tblSalaries[Years of Experience]=Analysis!FU$60,IF(tblSalaries[Job Type]=Analysis!$C68,tblSalaries[Salary in USD]))),0)</f>
        <v>105</v>
      </c>
      <c r="FV68" s="26">
        <f t="array" ref="FV68">IFERROR(COUNT(IF(tblSalaries[Years of Experience]=Analysis!FV$60,IF(tblSalaries[Job Type]=Analysis!$C68,tblSalaries[Salary in USD]))),0)</f>
        <v>31</v>
      </c>
      <c r="FW68" s="26">
        <f t="array" ref="FW68">IFERROR(COUNT(IF(tblSalaries[Years of Experience]=Analysis!FW$60,IF(tblSalaries[Job Type]=Analysis!$C68,tblSalaries[Salary in USD]))),0)</f>
        <v>1</v>
      </c>
    </row>
    <row r="69" spans="1:183" s="25" customFormat="1" ht="15" hidden="1" customHeight="1" x14ac:dyDescent="0.25">
      <c r="A69" s="29"/>
      <c r="B69" s="25">
        <f t="shared" si="127"/>
        <v>9</v>
      </c>
      <c r="C69" s="25" t="s">
        <v>1438</v>
      </c>
      <c r="D69" s="26">
        <f t="shared" si="107"/>
        <v>38611.056587623265</v>
      </c>
      <c r="E69" s="26">
        <f t="shared" si="108"/>
        <v>0</v>
      </c>
      <c r="F69" s="26">
        <f t="shared" si="109"/>
        <v>80730.5</v>
      </c>
      <c r="G69" s="26">
        <f t="shared" si="110"/>
        <v>0</v>
      </c>
      <c r="H69" s="26">
        <f t="shared" si="111"/>
        <v>0</v>
      </c>
      <c r="I69" s="26">
        <f t="shared" si="112"/>
        <v>0</v>
      </c>
      <c r="J69" s="26">
        <f t="shared" si="113"/>
        <v>0</v>
      </c>
      <c r="K69" s="26">
        <f t="shared" si="114"/>
        <v>0</v>
      </c>
      <c r="L69" s="26">
        <f t="shared" si="115"/>
        <v>17551.33488143489</v>
      </c>
      <c r="M69" s="26">
        <f t="shared" si="116"/>
        <v>0</v>
      </c>
      <c r="N69" s="26">
        <f t="shared" si="117"/>
        <v>74461</v>
      </c>
      <c r="O69" s="26">
        <f t="shared" si="118"/>
        <v>41712.231189497601</v>
      </c>
      <c r="P69" s="26">
        <f t="shared" si="119"/>
        <v>31497.70277874732</v>
      </c>
      <c r="Q69" s="26">
        <f t="shared" si="120"/>
        <v>21000</v>
      </c>
      <c r="R69" s="26">
        <f t="shared" si="121"/>
        <v>28873.27708406049</v>
      </c>
      <c r="S69" s="26">
        <f t="shared" si="122"/>
        <v>74461</v>
      </c>
      <c r="T69" s="26">
        <f t="shared" si="123"/>
        <v>41712.231189497601</v>
      </c>
      <c r="U69" s="26">
        <f t="shared" si="124"/>
        <v>0</v>
      </c>
      <c r="V69" s="26">
        <f t="shared" si="125"/>
        <v>0</v>
      </c>
      <c r="W69" s="25">
        <f t="shared" si="126"/>
        <v>10</v>
      </c>
      <c r="CZ69" s="26">
        <f t="array" ref="CZ69">IFERROR(AVERAGE(IF(tblSalaries[Job Type]=Analysis!$C69,tblSalaries[Salary in USD])),0)</f>
        <v>38611.056587623265</v>
      </c>
      <c r="DA69" s="26">
        <f t="array" ref="DA69">IFERROR(AVERAGE(IF(tblSalaries[Region]=Analysis!DA$60,IF(tblSalaries[Job Type]=Analysis!$C69,tblSalaries[Salary in USD]))),0)</f>
        <v>0</v>
      </c>
      <c r="DB69" s="26">
        <f t="array" ref="DB69">IFERROR(AVERAGE(IF(tblSalaries[Region]=Analysis!DB$60,IF(tblSalaries[Job Type]=Analysis!$C69,tblSalaries[Salary in USD]))),0)</f>
        <v>80730.5</v>
      </c>
      <c r="DC69" s="26">
        <f t="array" ref="DC69">IFERROR(AVERAGE(IF(tblSalaries[Region]=Analysis!DC$60,IF(tblSalaries[Job Type]=Analysis!$C69,tblSalaries[Salary in USD]))),0)</f>
        <v>0</v>
      </c>
      <c r="DD69" s="26">
        <f t="array" ref="DD69">IFERROR(AVERAGE(IF(tblSalaries[Region]=Analysis!DD$60,IF(tblSalaries[Job Type]=Analysis!$C69,tblSalaries[Salary in USD]))),0)</f>
        <v>0</v>
      </c>
      <c r="DE69" s="26">
        <f t="array" ref="DE69">IFERROR(AVERAGE(IF(tblSalaries[Region]=Analysis!DE$60,IF(tblSalaries[Job Type]=Analysis!$C69,tblSalaries[Salary in USD]))),0)</f>
        <v>0</v>
      </c>
      <c r="DF69" s="26">
        <f t="array" ref="DF69">IFERROR(AVERAGE(IF(tblSalaries[Region]=Analysis!DF$60,IF(tblSalaries[Job Type]=Analysis!$C69,tblSalaries[Salary in USD]))),0)</f>
        <v>0</v>
      </c>
      <c r="DG69" s="26">
        <f t="array" ref="DG69">IFERROR(AVERAGE(IF(tblSalaries[Region]=Analysis!DG$60,IF(tblSalaries[Job Type]=Analysis!$C69,tblSalaries[Salary in USD]))),0)</f>
        <v>0</v>
      </c>
      <c r="DH69" s="26">
        <f t="array" ref="DH69">IFERROR(AVERAGE(IF(tblSalaries[Region]=Analysis!DH$60,IF(tblSalaries[Job Type]=Analysis!$C69,tblSalaries[Salary in USD]))),0)</f>
        <v>17551.33488143489</v>
      </c>
      <c r="DI69" s="26">
        <f t="array" ref="DI69">IFERROR(AVERAGE(IF(tblSalaries[Region]=Analysis!DI$60,IF(tblSalaries[Job Type]=Analysis!$C69,tblSalaries[Salary in USD]))),0)</f>
        <v>0</v>
      </c>
      <c r="DJ69" s="26">
        <f t="array" ref="DJ69">IFERROR(AVERAGE(IF(tblSalaries[Work Hour per day on Excel]=Analysis!DJ$60,IF(tblSalaries[Job Type]=Analysis!$C69,tblSalaries[Salary in USD]))),0)</f>
        <v>74461</v>
      </c>
      <c r="DK69" s="26">
        <f t="array" ref="DK69">IFERROR(AVERAGE(IF(tblSalaries[Work Hour per day on Excel]=Analysis!DK$60,IF(tblSalaries[Job Type]=Analysis!$C69,tblSalaries[Salary in USD]))),0)</f>
        <v>41712.231189497601</v>
      </c>
      <c r="DL69" s="26">
        <f t="array" ref="DL69">IFERROR(AVERAGE(IF(tblSalaries[Work Hour per day on Excel]=Analysis!DL$60,IF(tblSalaries[Job Type]=Analysis!$C69,tblSalaries[Salary in USD]))),0)</f>
        <v>31497.70277874732</v>
      </c>
      <c r="DM69" s="26">
        <f t="array" ref="DM69">IFERROR(AVERAGE(IF(tblSalaries[Work Hour per day on Excel]=Analysis!DM$60,IF(tblSalaries[Job Type]=Analysis!$C69,tblSalaries[Salary in USD]))),0)</f>
        <v>21000</v>
      </c>
      <c r="DN69" s="26">
        <f t="array" ref="DN69">IFERROR(AVERAGE(IF(tblSalaries[Years of Experience]=Analysis!DN$60,IF(tblSalaries[Job Type]=Analysis!$C69,tblSalaries[Salary in USD]))),0)</f>
        <v>28873.27708406049</v>
      </c>
      <c r="DO69" s="26">
        <f t="array" ref="DO69">IFERROR(AVERAGE(IF(tblSalaries[Years of Experience]=Analysis!DO$60,IF(tblSalaries[Job Type]=Analysis!$C69,tblSalaries[Salary in USD]))),0)</f>
        <v>74461</v>
      </c>
      <c r="DP69" s="26">
        <f t="array" ref="DP69">IFERROR(AVERAGE(IF(tblSalaries[Years of Experience]=Analysis!DP$60,IF(tblSalaries[Job Type]=Analysis!$C69,tblSalaries[Salary in USD]))),0)</f>
        <v>41712.231189497601</v>
      </c>
      <c r="DQ69" s="26">
        <f t="array" ref="DQ69">IFERROR(AVERAGE(IF(tblSalaries[Years of Experience]=Analysis!DQ$60,IF(tblSalaries[Job Type]=Analysis!$C69,tblSalaries[Salary in USD]))),0)</f>
        <v>0</v>
      </c>
      <c r="DR69" s="26">
        <f t="array" ref="DR69">IFERROR(AVERAGE(IF(tblSalaries[Years of Experience]=Analysis!DR$60,IF(tblSalaries[Job Type]=Analysis!$C69,tblSalaries[Salary in USD]))),0)</f>
        <v>0</v>
      </c>
      <c r="DS69" s="26">
        <f t="array" ref="DS69">IFERROR(MAX(IF(tblSalaries[Job Type]=Analysis!$C69,tblSalaries[Salary in USD])),0)</f>
        <v>87000</v>
      </c>
      <c r="DT69" s="26">
        <f t="array" ref="DT69">IFERROR(MAX(IF(tblSalaries[Region]=Analysis!DT$60,IF(tblSalaries[Job Type]=Analysis!$C69,tblSalaries[Salary in USD]))),0)</f>
        <v>0</v>
      </c>
      <c r="DU69" s="26">
        <f t="array" ref="DU69">IFERROR(MAX(IF(tblSalaries[Region]=Analysis!DU$60,IF(tblSalaries[Job Type]=Analysis!$C69,tblSalaries[Salary in USD]))),0)</f>
        <v>87000</v>
      </c>
      <c r="DV69" s="26">
        <f t="array" ref="DV69">IFERROR(MAX(IF(tblSalaries[Region]=Analysis!DV$60,IF(tblSalaries[Job Type]=Analysis!$C69,tblSalaries[Salary in USD]))),0)</f>
        <v>0</v>
      </c>
      <c r="DW69" s="26">
        <f t="array" ref="DW69">IFERROR(MAX(IF(tblSalaries[Region]=Analysis!DW$60,IF(tblSalaries[Job Type]=Analysis!$C69,tblSalaries[Salary in USD]))),0)</f>
        <v>0</v>
      </c>
      <c r="DX69" s="26">
        <f t="array" ref="DX69">IFERROR(MAX(IF(tblSalaries[Region]=Analysis!DX$60,IF(tblSalaries[Job Type]=Analysis!$C69,tblSalaries[Salary in USD]))),0)</f>
        <v>0</v>
      </c>
      <c r="DY69" s="26">
        <f t="array" ref="DY69">IFERROR(MAX(IF(tblSalaries[Region]=Analysis!DY$60,IF(tblSalaries[Job Type]=Analysis!$C69,tblSalaries[Salary in USD]))),0)</f>
        <v>0</v>
      </c>
      <c r="DZ69" s="26">
        <f t="array" ref="DZ69">IFERROR(MAX(IF(tblSalaries[Region]=Analysis!DZ$60,IF(tblSalaries[Job Type]=Analysis!$C69,tblSalaries[Salary in USD]))),0)</f>
        <v>0</v>
      </c>
      <c r="EA69" s="26">
        <f t="array" ref="EA69">IFERROR(MAX(IF(tblSalaries[Region]=Analysis!EA$60,IF(tblSalaries[Job Type]=Analysis!$C69,tblSalaries[Salary in USD]))),0)</f>
        <v>41712.231189497601</v>
      </c>
      <c r="EB69" s="26">
        <f t="array" ref="EB69">IFERROR(MAX(IF(tblSalaries[Region]=Analysis!EB$60,IF(tblSalaries[Job Type]=Analysis!$C69,tblSalaries[Salary in USD]))),0)</f>
        <v>0</v>
      </c>
      <c r="EC69" s="26">
        <f t="array" ref="EC69">IFERROR(MAX(IF(tblSalaries[Work Hour per day on Excel]=Analysis!EC$60,IF(tblSalaries[Job Type]=Analysis!$C69,tblSalaries[Salary in USD]))),0)</f>
        <v>74461</v>
      </c>
      <c r="ED69" s="26">
        <f t="array" ref="ED69">IFERROR(MAX(IF(tblSalaries[Work Hour per day on Excel]=Analysis!ED$60,IF(tblSalaries[Job Type]=Analysis!$C69,tblSalaries[Salary in USD]))),0)</f>
        <v>41712.231189497601</v>
      </c>
      <c r="EE69" s="26">
        <f t="array" ref="EE69">IFERROR(MAX(IF(tblSalaries[Work Hour per day on Excel]=Analysis!EE$60,IF(tblSalaries[Job Type]=Analysis!$C69,tblSalaries[Salary in USD]))),0)</f>
        <v>87000</v>
      </c>
      <c r="EF69" s="26">
        <f t="array" ref="EF69">IFERROR(MAX(IF(tblSalaries[Work Hour per day on Excel]=Analysis!EF$60,IF(tblSalaries[Job Type]=Analysis!$C69,tblSalaries[Salary in USD]))),0)</f>
        <v>21000</v>
      </c>
      <c r="EG69" s="26">
        <f t="array" ref="EG69">IFERROR(MAX(IF(tblSalaries[Years of Experience]=Analysis!EG$60,IF(tblSalaries[Job Type]=Analysis!$C69,tblSalaries[Salary in USD]))),0)</f>
        <v>87000</v>
      </c>
      <c r="EH69" s="26">
        <f t="array" ref="EH69">IFERROR(MAX(IF(tblSalaries[Years of Experience]=Analysis!EH$60,IF(tblSalaries[Job Type]=Analysis!$C69,tblSalaries[Salary in USD]))),0)</f>
        <v>74461</v>
      </c>
      <c r="EI69" s="26">
        <f t="array" ref="EI69">IFERROR(MAX(IF(tblSalaries[Years of Experience]=Analysis!EI$60,IF(tblSalaries[Job Type]=Analysis!$C69,tblSalaries[Salary in USD]))),0)</f>
        <v>41712.231189497601</v>
      </c>
      <c r="EJ69" s="26">
        <f t="array" ref="EJ69">IFERROR(MAX(IF(tblSalaries[Years of Experience]=Analysis!EJ$60,IF(tblSalaries[Job Type]=Analysis!$C69,tblSalaries[Salary in USD]))),0)</f>
        <v>0</v>
      </c>
      <c r="EK69" s="26">
        <f t="array" ref="EK69">IFERROR(MAX(IF(tblSalaries[Years of Experience]=Analysis!EK$60,IF(tblSalaries[Job Type]=Analysis!$C69,tblSalaries[Salary in USD]))),0)</f>
        <v>0</v>
      </c>
      <c r="EL69" s="26">
        <f t="array" ref="EL69">IFERROR(MIN(IF(tblSalaries[Job Type]=Analysis!$C69,tblSalaries[Salary in USD])),0)</f>
        <v>2493.1083362419595</v>
      </c>
      <c r="EM69" s="26">
        <f t="array" ref="EM69">IFERROR(MIN(IF(tblSalaries[Region]=Analysis!EM$60,IF(tblSalaries[Job Type]=Analysis!$C69,tblSalaries[Salary in USD]))),0)</f>
        <v>0</v>
      </c>
      <c r="EN69" s="26">
        <f t="array" ref="EN69">IFERROR(MIN(IF(tblSalaries[Region]=Analysis!EN$60,IF(tblSalaries[Job Type]=Analysis!$C69,tblSalaries[Salary in USD]))),0)</f>
        <v>74461</v>
      </c>
      <c r="EO69" s="26">
        <f t="array" ref="EO69">IFERROR(MIN(IF(tblSalaries[Region]=Analysis!EO$60,IF(tblSalaries[Job Type]=Analysis!$C69,tblSalaries[Salary in USD]))),0)</f>
        <v>0</v>
      </c>
      <c r="EP69" s="26">
        <f t="array" ref="EP69">IFERROR(MIN(IF(tblSalaries[Region]=Analysis!EP$60,IF(tblSalaries[Job Type]=Analysis!$C69,tblSalaries[Salary in USD]))),0)</f>
        <v>0</v>
      </c>
      <c r="EQ69" s="26">
        <f t="array" ref="EQ69">IFERROR(MIN(IF(tblSalaries[Region]=Analysis!EQ$60,IF(tblSalaries[Job Type]=Analysis!$C69,tblSalaries[Salary in USD]))),0)</f>
        <v>0</v>
      </c>
      <c r="ER69" s="26">
        <f t="array" ref="ER69">IFERROR(MIN(IF(tblSalaries[Region]=Analysis!ER$60,IF(tblSalaries[Job Type]=Analysis!$C69,tblSalaries[Salary in USD]))),0)</f>
        <v>0</v>
      </c>
      <c r="ES69" s="26">
        <f t="array" ref="ES69">IFERROR(MIN(IF(tblSalaries[Region]=Analysis!ES$60,IF(tblSalaries[Job Type]=Analysis!$C69,tblSalaries[Salary in USD]))),0)</f>
        <v>0</v>
      </c>
      <c r="ET69" s="26">
        <f t="array" ref="ET69">IFERROR(MIN(IF(tblSalaries[Region]=Analysis!ET$60,IF(tblSalaries[Job Type]=Analysis!$C69,tblSalaries[Salary in USD]))),0)</f>
        <v>2493.1083362419595</v>
      </c>
      <c r="EU69" s="26">
        <f t="array" ref="EU69">IFERROR(MIN(IF(tblSalaries[Region]=Analysis!EU$60,IF(tblSalaries[Job Type]=Analysis!$C69,tblSalaries[Salary in USD]))),0)</f>
        <v>0</v>
      </c>
      <c r="EV69" s="26">
        <f t="array" ref="EV69">IFERROR(MIN(IF(tblSalaries[Work Hour per day on Excel]=Analysis!EV$60,IF(tblSalaries[Job Type]=Analysis!$C69,tblSalaries[Salary in USD]))),0)</f>
        <v>74461</v>
      </c>
      <c r="EW69" s="26">
        <f t="array" ref="EW69">IFERROR(MIN(IF(tblSalaries[Work Hour per day on Excel]=Analysis!EW$60,IF(tblSalaries[Job Type]=Analysis!$C69,tblSalaries[Salary in USD]))),0)</f>
        <v>41712.231189497601</v>
      </c>
      <c r="EX69" s="26">
        <f t="array" ref="EX69">IFERROR(MIN(IF(tblSalaries[Work Hour per day on Excel]=Analysis!EX$60,IF(tblSalaries[Job Type]=Analysis!$C69,tblSalaries[Salary in USD]))),0)</f>
        <v>2493.1083362419595</v>
      </c>
      <c r="EY69" s="26">
        <f t="array" ref="EY69">IFERROR(MIN(IF(tblSalaries[Work Hour per day on Excel]=Analysis!EY$60,IF(tblSalaries[Job Type]=Analysis!$C69,tblSalaries[Salary in USD]))),0)</f>
        <v>21000</v>
      </c>
      <c r="EZ69" s="26">
        <f t="array" ref="EZ69">IFERROR(MIN(IF(tblSalaries[Years of Experience]=Analysis!EZ$60,IF(tblSalaries[Job Type]=Analysis!$C69,tblSalaries[Salary in USD]))),0)</f>
        <v>2493.1083362419595</v>
      </c>
      <c r="FA69" s="26">
        <f t="array" ref="FA69">IFERROR(MIN(IF(tblSalaries[Years of Experience]=Analysis!FA$60,IF(tblSalaries[Job Type]=Analysis!$C69,tblSalaries[Salary in USD]))),0)</f>
        <v>74461</v>
      </c>
      <c r="FB69" s="26">
        <f t="array" ref="FB69">IFERROR(MIN(IF(tblSalaries[Years of Experience]=Analysis!FB$60,IF(tblSalaries[Job Type]=Analysis!$C69,tblSalaries[Salary in USD]))),0)</f>
        <v>41712.231189497601</v>
      </c>
      <c r="FC69" s="26">
        <f t="array" ref="FC69">IFERROR(MIN(IF(tblSalaries[Years of Experience]=Analysis!FC$60,IF(tblSalaries[Job Type]=Analysis!$C69,tblSalaries[Salary in USD]))),0)</f>
        <v>0</v>
      </c>
      <c r="FD69" s="26">
        <f t="array" ref="FD69">IFERROR(MIN(IF(tblSalaries[Years of Experience]=Analysis!FD$60,IF(tblSalaries[Job Type]=Analysis!$C69,tblSalaries[Salary in USD]))),0)</f>
        <v>0</v>
      </c>
      <c r="FE69" s="26">
        <f t="array" ref="FE69">IFERROR(COUNT(IF(tblSalaries[Job Type]=Analysis!$C69,tblSalaries[Salary in USD])),0)</f>
        <v>6</v>
      </c>
      <c r="FF69" s="26">
        <f t="array" ref="FF69">IFERROR(COUNT(IF(tblSalaries[Region]=Analysis!FF$60,IF(tblSalaries[Job Type]=Analysis!$C69,tblSalaries[Salary in USD]))),0)</f>
        <v>0</v>
      </c>
      <c r="FG69" s="26">
        <f t="array" ref="FG69">IFERROR(COUNT(IF(tblSalaries[Region]=Analysis!FG$60,IF(tblSalaries[Job Type]=Analysis!$C69,tblSalaries[Salary in USD]))),0)</f>
        <v>2</v>
      </c>
      <c r="FH69" s="26">
        <f t="array" ref="FH69">IFERROR(COUNT(IF(tblSalaries[Region]=Analysis!FH$60,IF(tblSalaries[Job Type]=Analysis!$C69,tblSalaries[Salary in USD]))),0)</f>
        <v>0</v>
      </c>
      <c r="FI69" s="26">
        <f t="array" ref="FI69">IFERROR(COUNT(IF(tblSalaries[Region]=Analysis!FI$60,IF(tblSalaries[Job Type]=Analysis!$C69,tblSalaries[Salary in USD]))),0)</f>
        <v>0</v>
      </c>
      <c r="FJ69" s="26">
        <f t="array" ref="FJ69">IFERROR(COUNT(IF(tblSalaries[Region]=Analysis!FJ$60,IF(tblSalaries[Job Type]=Analysis!$C69,tblSalaries[Salary in USD]))),0)</f>
        <v>0</v>
      </c>
      <c r="FK69" s="26">
        <f t="array" ref="FK69">IFERROR(COUNT(IF(tblSalaries[Region]=Analysis!FK$60,IF(tblSalaries[Job Type]=Analysis!$C69,tblSalaries[Salary in USD]))),0)</f>
        <v>0</v>
      </c>
      <c r="FL69" s="26">
        <f t="array" ref="FL69">IFERROR(COUNT(IF(tblSalaries[Region]=Analysis!FL$60,IF(tblSalaries[Job Type]=Analysis!$C69,tblSalaries[Salary in USD]))),0)</f>
        <v>0</v>
      </c>
      <c r="FM69" s="26">
        <f t="array" ref="FM69">IFERROR(COUNT(IF(tblSalaries[Region]=Analysis!FM$60,IF(tblSalaries[Job Type]=Analysis!$C69,tblSalaries[Salary in USD]))),0)</f>
        <v>4</v>
      </c>
      <c r="FN69" s="26">
        <f t="array" ref="FN69">IFERROR(COUNT(IF(tblSalaries[Region]=Analysis!FN$60,IF(tblSalaries[Job Type]=Analysis!$C69,tblSalaries[Salary in USD]))),0)</f>
        <v>0</v>
      </c>
      <c r="FO69" s="26">
        <f t="array" ref="FO69">IFERROR(COUNT(IF(tblSalaries[Work Hour per day on Excel]=Analysis!FO$60,IF(tblSalaries[Job Type]=Analysis!$C69,tblSalaries[Salary in USD]))),0)</f>
        <v>1</v>
      </c>
      <c r="FP69" s="26">
        <f t="array" ref="FP69">IFERROR(COUNT(IF(tblSalaries[Work Hour per day on Excel]=Analysis!FP$60,IF(tblSalaries[Job Type]=Analysis!$C69,tblSalaries[Salary in USD]))),0)</f>
        <v>1</v>
      </c>
      <c r="FQ69" s="26">
        <f t="array" ref="FQ69">IFERROR(COUNT(IF(tblSalaries[Work Hour per day on Excel]=Analysis!FQ$60,IF(tblSalaries[Job Type]=Analysis!$C69,tblSalaries[Salary in USD]))),0)</f>
        <v>3</v>
      </c>
      <c r="FR69" s="26">
        <f t="array" ref="FR69">IFERROR(COUNT(IF(tblSalaries[Work Hour per day on Excel]=Analysis!FR$60,IF(tblSalaries[Job Type]=Analysis!$C69,tblSalaries[Salary in USD]))),0)</f>
        <v>1</v>
      </c>
      <c r="FS69" s="26">
        <f t="array" ref="FS69">IFERROR(COUNT(IF(tblSalaries[Years of Experience]=Analysis!FS$60,IF(tblSalaries[Job Type]=Analysis!$C69,tblSalaries[Salary in USD]))),0)</f>
        <v>4</v>
      </c>
      <c r="FT69" s="26">
        <f t="array" ref="FT69">IFERROR(COUNT(IF(tblSalaries[Years of Experience]=Analysis!FT$60,IF(tblSalaries[Job Type]=Analysis!$C69,tblSalaries[Salary in USD]))),0)</f>
        <v>1</v>
      </c>
      <c r="FU69" s="26">
        <f t="array" ref="FU69">IFERROR(COUNT(IF(tblSalaries[Years of Experience]=Analysis!FU$60,IF(tblSalaries[Job Type]=Analysis!$C69,tblSalaries[Salary in USD]))),0)</f>
        <v>1</v>
      </c>
      <c r="FV69" s="26">
        <f t="array" ref="FV69">IFERROR(COUNT(IF(tblSalaries[Years of Experience]=Analysis!FV$60,IF(tblSalaries[Job Type]=Analysis!$C69,tblSalaries[Salary in USD]))),0)</f>
        <v>0</v>
      </c>
      <c r="FW69" s="26">
        <f t="array" ref="FW69">IFERROR(COUNT(IF(tblSalaries[Years of Experience]=Analysis!FW$60,IF(tblSalaries[Job Type]=Analysis!$C69,tblSalaries[Salary in USD]))),0)</f>
        <v>0</v>
      </c>
    </row>
    <row r="70" spans="1:183" s="25" customFormat="1" ht="15" hidden="1" customHeight="1" x14ac:dyDescent="0.25">
      <c r="A70" s="29"/>
      <c r="B70" s="25">
        <f t="shared" si="127"/>
        <v>10</v>
      </c>
      <c r="C70" s="25" t="s">
        <v>1437</v>
      </c>
      <c r="D70" s="26">
        <f t="shared" si="107"/>
        <v>16478.624035917248</v>
      </c>
      <c r="E70" s="26">
        <f t="shared" si="108"/>
        <v>85000</v>
      </c>
      <c r="F70" s="26">
        <f t="shared" si="109"/>
        <v>61500</v>
      </c>
      <c r="G70" s="26">
        <f t="shared" si="110"/>
        <v>0</v>
      </c>
      <c r="H70" s="26">
        <f t="shared" si="111"/>
        <v>31939.07519316065</v>
      </c>
      <c r="I70" s="26">
        <f t="shared" si="112"/>
        <v>0</v>
      </c>
      <c r="J70" s="26">
        <f t="shared" si="113"/>
        <v>23030.76923076923</v>
      </c>
      <c r="K70" s="26">
        <f t="shared" si="114"/>
        <v>18060</v>
      </c>
      <c r="L70" s="26">
        <f t="shared" si="115"/>
        <v>10474.5749755384</v>
      </c>
      <c r="M70" s="26">
        <f t="shared" si="116"/>
        <v>1910.5359690238436</v>
      </c>
      <c r="N70" s="26">
        <f t="shared" si="117"/>
        <v>7429.1541714451232</v>
      </c>
      <c r="O70" s="26">
        <f t="shared" si="118"/>
        <v>30813.70939768483</v>
      </c>
      <c r="P70" s="26">
        <f t="shared" si="119"/>
        <v>20360.353993236295</v>
      </c>
      <c r="Q70" s="26">
        <f t="shared" si="120"/>
        <v>10588.23907786927</v>
      </c>
      <c r="R70" s="26">
        <f t="shared" si="121"/>
        <v>8370.4236729334207</v>
      </c>
      <c r="S70" s="26">
        <f t="shared" si="122"/>
        <v>24768.972599873727</v>
      </c>
      <c r="T70" s="26">
        <f t="shared" si="123"/>
        <v>46742.29247248781</v>
      </c>
      <c r="U70" s="26">
        <f t="shared" si="124"/>
        <v>37000</v>
      </c>
      <c r="V70" s="26">
        <f t="shared" si="125"/>
        <v>0</v>
      </c>
      <c r="W70" s="25">
        <f t="shared" si="126"/>
        <v>11</v>
      </c>
      <c r="CZ70" s="26">
        <f t="array" ref="CZ70">IFERROR(AVERAGE(IF(tblSalaries[Job Type]=Analysis!$C70,tblSalaries[Salary in USD])),0)</f>
        <v>16478.624035917248</v>
      </c>
      <c r="DA70" s="26">
        <f t="array" ref="DA70">IFERROR(AVERAGE(IF(tblSalaries[Region]=Analysis!DA$60,IF(tblSalaries[Job Type]=Analysis!$C70,tblSalaries[Salary in USD]))),0)</f>
        <v>85000</v>
      </c>
      <c r="DB70" s="26">
        <f t="array" ref="DB70">IFERROR(AVERAGE(IF(tblSalaries[Region]=Analysis!DB$60,IF(tblSalaries[Job Type]=Analysis!$C70,tblSalaries[Salary in USD]))),0)</f>
        <v>61500</v>
      </c>
      <c r="DC70" s="26">
        <f t="array" ref="DC70">IFERROR(AVERAGE(IF(tblSalaries[Region]=Analysis!DC$60,IF(tblSalaries[Job Type]=Analysis!$C70,tblSalaries[Salary in USD]))),0)</f>
        <v>0</v>
      </c>
      <c r="DD70" s="26">
        <f t="array" ref="DD70">IFERROR(AVERAGE(IF(tblSalaries[Region]=Analysis!DD$60,IF(tblSalaries[Job Type]=Analysis!$C70,tblSalaries[Salary in USD]))),0)</f>
        <v>31939.07519316065</v>
      </c>
      <c r="DE70" s="26">
        <f t="array" ref="DE70">IFERROR(AVERAGE(IF(tblSalaries[Region]=Analysis!DE$60,IF(tblSalaries[Job Type]=Analysis!$C70,tblSalaries[Salary in USD]))),0)</f>
        <v>0</v>
      </c>
      <c r="DF70" s="26">
        <f t="array" ref="DF70">IFERROR(AVERAGE(IF(tblSalaries[Region]=Analysis!DF$60,IF(tblSalaries[Job Type]=Analysis!$C70,tblSalaries[Salary in USD]))),0)</f>
        <v>23030.76923076923</v>
      </c>
      <c r="DG70" s="26">
        <f t="array" ref="DG70">IFERROR(AVERAGE(IF(tblSalaries[Region]=Analysis!DG$60,IF(tblSalaries[Job Type]=Analysis!$C70,tblSalaries[Salary in USD]))),0)</f>
        <v>18060</v>
      </c>
      <c r="DH70" s="26">
        <f t="array" ref="DH70">IFERROR(AVERAGE(IF(tblSalaries[Region]=Analysis!DH$60,IF(tblSalaries[Job Type]=Analysis!$C70,tblSalaries[Salary in USD]))),0)</f>
        <v>10474.5749755384</v>
      </c>
      <c r="DI70" s="26">
        <f t="array" ref="DI70">IFERROR(AVERAGE(IF(tblSalaries[Region]=Analysis!DI$60,IF(tblSalaries[Job Type]=Analysis!$C70,tblSalaries[Salary in USD]))),0)</f>
        <v>1910.5359690238436</v>
      </c>
      <c r="DJ70" s="26">
        <f t="array" ref="DJ70">IFERROR(AVERAGE(IF(tblSalaries[Work Hour per day on Excel]=Analysis!DJ$60,IF(tblSalaries[Job Type]=Analysis!$C70,tblSalaries[Salary in USD]))),0)</f>
        <v>7429.1541714451232</v>
      </c>
      <c r="DK70" s="26">
        <f t="array" ref="DK70">IFERROR(AVERAGE(IF(tblSalaries[Work Hour per day on Excel]=Analysis!DK$60,IF(tblSalaries[Job Type]=Analysis!$C70,tblSalaries[Salary in USD]))),0)</f>
        <v>30813.70939768483</v>
      </c>
      <c r="DL70" s="26">
        <f t="array" ref="DL70">IFERROR(AVERAGE(IF(tblSalaries[Work Hour per day on Excel]=Analysis!DL$60,IF(tblSalaries[Job Type]=Analysis!$C70,tblSalaries[Salary in USD]))),0)</f>
        <v>20360.353993236295</v>
      </c>
      <c r="DM70" s="26">
        <f t="array" ref="DM70">IFERROR(AVERAGE(IF(tblSalaries[Work Hour per day on Excel]=Analysis!DM$60,IF(tblSalaries[Job Type]=Analysis!$C70,tblSalaries[Salary in USD]))),0)</f>
        <v>10588.23907786927</v>
      </c>
      <c r="DN70" s="26">
        <f t="array" ref="DN70">IFERROR(AVERAGE(IF(tblSalaries[Years of Experience]=Analysis!DN$60,IF(tblSalaries[Job Type]=Analysis!$C70,tblSalaries[Salary in USD]))),0)</f>
        <v>8370.4236729334207</v>
      </c>
      <c r="DO70" s="26">
        <f t="array" ref="DO70">IFERROR(AVERAGE(IF(tblSalaries[Years of Experience]=Analysis!DO$60,IF(tblSalaries[Job Type]=Analysis!$C70,tblSalaries[Salary in USD]))),0)</f>
        <v>24768.972599873727</v>
      </c>
      <c r="DP70" s="26">
        <f t="array" ref="DP70">IFERROR(AVERAGE(IF(tblSalaries[Years of Experience]=Analysis!DP$60,IF(tblSalaries[Job Type]=Analysis!$C70,tblSalaries[Salary in USD]))),0)</f>
        <v>46742.29247248781</v>
      </c>
      <c r="DQ70" s="26">
        <f t="array" ref="DQ70">IFERROR(AVERAGE(IF(tblSalaries[Years of Experience]=Analysis!DQ$60,IF(tblSalaries[Job Type]=Analysis!$C70,tblSalaries[Salary in USD]))),0)</f>
        <v>37000</v>
      </c>
      <c r="DR70" s="26">
        <f t="array" ref="DR70">IFERROR(AVERAGE(IF(tblSalaries[Years of Experience]=Analysis!DR$60,IF(tblSalaries[Job Type]=Analysis!$C70,tblSalaries[Salary in USD]))),0)</f>
        <v>0</v>
      </c>
      <c r="DS70" s="26">
        <f t="array" ref="DS70">IFERROR(MAX(IF(tblSalaries[Job Type]=Analysis!$C70,tblSalaries[Salary in USD])),0)</f>
        <v>100614.72928405051</v>
      </c>
      <c r="DT70" s="26">
        <f t="array" ref="DT70">IFERROR(MAX(IF(tblSalaries[Region]=Analysis!DT$60,IF(tblSalaries[Job Type]=Analysis!$C70,tblSalaries[Salary in USD]))),0)</f>
        <v>85000</v>
      </c>
      <c r="DU70" s="26">
        <f t="array" ref="DU70">IFERROR(MAX(IF(tblSalaries[Region]=Analysis!DU$60,IF(tblSalaries[Job Type]=Analysis!$C70,tblSalaries[Salary in USD]))),0)</f>
        <v>92000</v>
      </c>
      <c r="DV70" s="26">
        <f t="array" ref="DV70">IFERROR(MAX(IF(tblSalaries[Region]=Analysis!DV$60,IF(tblSalaries[Job Type]=Analysis!$C70,tblSalaries[Salary in USD]))),0)</f>
        <v>0</v>
      </c>
      <c r="DW70" s="26">
        <f t="array" ref="DW70">IFERROR(MAX(IF(tblSalaries[Region]=Analysis!DW$60,IF(tblSalaries[Job Type]=Analysis!$C70,tblSalaries[Salary in USD]))),0)</f>
        <v>45709.169889951241</v>
      </c>
      <c r="DX70" s="26">
        <f t="array" ref="DX70">IFERROR(MAX(IF(tblSalaries[Region]=Analysis!DX$60,IF(tblSalaries[Job Type]=Analysis!$C70,tblSalaries[Salary in USD]))),0)</f>
        <v>0</v>
      </c>
      <c r="DY70" s="26">
        <f t="array" ref="DY70">IFERROR(MAX(IF(tblSalaries[Region]=Analysis!DY$60,IF(tblSalaries[Job Type]=Analysis!$C70,tblSalaries[Salary in USD]))),0)</f>
        <v>55000</v>
      </c>
      <c r="DZ70" s="26">
        <f t="array" ref="DZ70">IFERROR(MAX(IF(tblSalaries[Region]=Analysis!DZ$60,IF(tblSalaries[Job Type]=Analysis!$C70,tblSalaries[Salary in USD]))),0)</f>
        <v>18060</v>
      </c>
      <c r="EA70" s="26">
        <f t="array" ref="EA70">IFERROR(MAX(IF(tblSalaries[Region]=Analysis!EA$60,IF(tblSalaries[Job Type]=Analysis!$C70,tblSalaries[Salary in USD]))),0)</f>
        <v>100614.72928405051</v>
      </c>
      <c r="EB70" s="26">
        <f t="array" ref="EB70">IFERROR(MAX(IF(tblSalaries[Region]=Analysis!EB$60,IF(tblSalaries[Job Type]=Analysis!$C70,tblSalaries[Salary in USD]))),0)</f>
        <v>1910.5359690238436</v>
      </c>
      <c r="EC70" s="26">
        <f t="array" ref="EC70">IFERROR(MAX(IF(tblSalaries[Work Hour per day on Excel]=Analysis!EC$60,IF(tblSalaries[Job Type]=Analysis!$C70,tblSalaries[Salary in USD]))),0)</f>
        <v>10000</v>
      </c>
      <c r="ED70" s="26">
        <f t="array" ref="ED70">IFERROR(MAX(IF(tblSalaries[Work Hour per day on Excel]=Analysis!ED$60,IF(tblSalaries[Job Type]=Analysis!$C70,tblSalaries[Salary in USD]))),0)</f>
        <v>100614.72928405051</v>
      </c>
      <c r="EE70" s="26">
        <f t="array" ref="EE70">IFERROR(MAX(IF(tblSalaries[Work Hour per day on Excel]=Analysis!EE$60,IF(tblSalaries[Job Type]=Analysis!$C70,tblSalaries[Salary in USD]))),0)</f>
        <v>85000</v>
      </c>
      <c r="EF70" s="26">
        <f t="array" ref="EF70">IFERROR(MAX(IF(tblSalaries[Work Hour per day on Excel]=Analysis!EF$60,IF(tblSalaries[Job Type]=Analysis!$C70,tblSalaries[Salary in USD]))),0)</f>
        <v>96000</v>
      </c>
      <c r="EG70" s="26">
        <f t="array" ref="EG70">IFERROR(MAX(IF(tblSalaries[Years of Experience]=Analysis!EG$60,IF(tblSalaries[Job Type]=Analysis!$C70,tblSalaries[Salary in USD]))),0)</f>
        <v>39404.456801682099</v>
      </c>
      <c r="EH70" s="26">
        <f t="array" ref="EH70">IFERROR(MAX(IF(tblSalaries[Years of Experience]=Analysis!EH$60,IF(tblSalaries[Job Type]=Analysis!$C70,tblSalaries[Salary in USD]))),0)</f>
        <v>100614.72928405051</v>
      </c>
      <c r="EI70" s="26">
        <f t="array" ref="EI70">IFERROR(MAX(IF(tblSalaries[Years of Experience]=Analysis!EI$60,IF(tblSalaries[Job Type]=Analysis!$C70,tblSalaries[Salary in USD]))),0)</f>
        <v>92000</v>
      </c>
      <c r="EJ70" s="26">
        <f t="array" ref="EJ70">IFERROR(MAX(IF(tblSalaries[Years of Experience]=Analysis!EJ$60,IF(tblSalaries[Job Type]=Analysis!$C70,tblSalaries[Salary in USD]))),0)</f>
        <v>37000</v>
      </c>
      <c r="EK70" s="26">
        <f t="array" ref="EK70">IFERROR(MAX(IF(tblSalaries[Years of Experience]=Analysis!EK$60,IF(tblSalaries[Job Type]=Analysis!$C70,tblSalaries[Salary in USD]))),0)</f>
        <v>0</v>
      </c>
      <c r="EL70" s="26">
        <f t="array" ref="EL70">IFERROR(MIN(IF(tblSalaries[Job Type]=Analysis!$C70,tblSalaries[Salary in USD])),0)</f>
        <v>1910.5359690238436</v>
      </c>
      <c r="EM70" s="26">
        <f t="array" ref="EM70">IFERROR(MIN(IF(tblSalaries[Region]=Analysis!EM$60,IF(tblSalaries[Job Type]=Analysis!$C70,tblSalaries[Salary in USD]))),0)</f>
        <v>85000</v>
      </c>
      <c r="EN70" s="26">
        <f t="array" ref="EN70">IFERROR(MIN(IF(tblSalaries[Region]=Analysis!EN$60,IF(tblSalaries[Job Type]=Analysis!$C70,tblSalaries[Salary in USD]))),0)</f>
        <v>32000</v>
      </c>
      <c r="EO70" s="26">
        <f t="array" ref="EO70">IFERROR(MIN(IF(tblSalaries[Region]=Analysis!EO$60,IF(tblSalaries[Job Type]=Analysis!$C70,tblSalaries[Salary in USD]))),0)</f>
        <v>0</v>
      </c>
      <c r="EP70" s="26">
        <f t="array" ref="EP70">IFERROR(MIN(IF(tblSalaries[Region]=Analysis!EP$60,IF(tblSalaries[Job Type]=Analysis!$C70,tblSalaries[Salary in USD]))),0)</f>
        <v>19000</v>
      </c>
      <c r="EQ70" s="26">
        <f t="array" ref="EQ70">IFERROR(MIN(IF(tblSalaries[Region]=Analysis!EQ$60,IF(tblSalaries[Job Type]=Analysis!$C70,tblSalaries[Salary in USD]))),0)</f>
        <v>0</v>
      </c>
      <c r="ER70" s="26">
        <f t="array" ref="ER70">IFERROR(MIN(IF(tblSalaries[Region]=Analysis!ER$60,IF(tblSalaries[Job Type]=Analysis!$C70,tblSalaries[Salary in USD]))),0)</f>
        <v>2953.8461538461538</v>
      </c>
      <c r="ES70" s="26">
        <f t="array" ref="ES70">IFERROR(MIN(IF(tblSalaries[Region]=Analysis!ES$60,IF(tblSalaries[Job Type]=Analysis!$C70,tblSalaries[Salary in USD]))),0)</f>
        <v>18060</v>
      </c>
      <c r="ET70" s="26">
        <f t="array" ref="ET70">IFERROR(MIN(IF(tblSalaries[Region]=Analysis!ET$60,IF(tblSalaries[Job Type]=Analysis!$C70,tblSalaries[Salary in USD]))),0)</f>
        <v>2671.1875031163854</v>
      </c>
      <c r="EU70" s="26">
        <f t="array" ref="EU70">IFERROR(MIN(IF(tblSalaries[Region]=Analysis!EU$60,IF(tblSalaries[Job Type]=Analysis!$C70,tblSalaries[Salary in USD]))),0)</f>
        <v>1910.5359690238436</v>
      </c>
      <c r="EV70" s="26">
        <f t="array" ref="EV70">IFERROR(MIN(IF(tblSalaries[Work Hour per day on Excel]=Analysis!EV$60,IF(tblSalaries[Job Type]=Analysis!$C70,tblSalaries[Salary in USD]))),0)</f>
        <v>3739.6625043629392</v>
      </c>
      <c r="EW70" s="26">
        <f t="array" ref="EW70">IFERROR(MIN(IF(tblSalaries[Work Hour per day on Excel]=Analysis!EW$60,IF(tblSalaries[Job Type]=Analysis!$C70,tblSalaries[Salary in USD]))),0)</f>
        <v>3561.5833374885137</v>
      </c>
      <c r="EX70" s="26">
        <f t="array" ref="EX70">IFERROR(MIN(IF(tblSalaries[Work Hour per day on Excel]=Analysis!EX$60,IF(tblSalaries[Job Type]=Analysis!$C70,tblSalaries[Salary in USD]))),0)</f>
        <v>2953.8461538461538</v>
      </c>
      <c r="EY70" s="26">
        <f t="array" ref="EY70">IFERROR(MIN(IF(tblSalaries[Work Hour per day on Excel]=Analysis!EY$60,IF(tblSalaries[Job Type]=Analysis!$C70,tblSalaries[Salary in USD]))),0)</f>
        <v>1910.5359690238436</v>
      </c>
      <c r="EZ70" s="26">
        <f t="array" ref="EZ70">IFERROR(MIN(IF(tblSalaries[Years of Experience]=Analysis!EZ$60,IF(tblSalaries[Job Type]=Analysis!$C70,tblSalaries[Salary in USD]))),0)</f>
        <v>2671.1875031163854</v>
      </c>
      <c r="FA70" s="26">
        <f t="array" ref="FA70">IFERROR(MIN(IF(tblSalaries[Years of Experience]=Analysis!FA$60,IF(tblSalaries[Job Type]=Analysis!$C70,tblSalaries[Salary in USD]))),0)</f>
        <v>1910.5359690238436</v>
      </c>
      <c r="FB70" s="26">
        <f t="array" ref="FB70">IFERROR(MIN(IF(tblSalaries[Years of Experience]=Analysis!FB$60,IF(tblSalaries[Job Type]=Analysis!$C70,tblSalaries[Salary in USD]))),0)</f>
        <v>18060</v>
      </c>
      <c r="FC70" s="26">
        <f t="array" ref="FC70">IFERROR(MIN(IF(tblSalaries[Years of Experience]=Analysis!FC$60,IF(tblSalaries[Job Type]=Analysis!$C70,tblSalaries[Salary in USD]))),0)</f>
        <v>37000</v>
      </c>
      <c r="FD70" s="26">
        <f t="array" ref="FD70">IFERROR(MIN(IF(tblSalaries[Years of Experience]=Analysis!FD$60,IF(tblSalaries[Job Type]=Analysis!$C70,tblSalaries[Salary in USD]))),0)</f>
        <v>0</v>
      </c>
      <c r="FE70" s="26">
        <f t="array" ref="FE70">IFERROR(COUNT(IF(tblSalaries[Job Type]=Analysis!$C70,tblSalaries[Salary in USD])),0)</f>
        <v>71</v>
      </c>
      <c r="FF70" s="26">
        <f t="array" ref="FF70">IFERROR(COUNT(IF(tblSalaries[Region]=Analysis!FF$60,IF(tblSalaries[Job Type]=Analysis!$C70,tblSalaries[Salary in USD]))),0)</f>
        <v>1</v>
      </c>
      <c r="FG70" s="26">
        <f t="array" ref="FG70">IFERROR(COUNT(IF(tblSalaries[Region]=Analysis!FG$60,IF(tblSalaries[Job Type]=Analysis!$C70,tblSalaries[Salary in USD]))),0)</f>
        <v>4</v>
      </c>
      <c r="FH70" s="26">
        <f t="array" ref="FH70">IFERROR(COUNT(IF(tblSalaries[Region]=Analysis!FH$60,IF(tblSalaries[Job Type]=Analysis!$C70,tblSalaries[Salary in USD]))),0)</f>
        <v>0</v>
      </c>
      <c r="FI70" s="26">
        <f t="array" ref="FI70">IFERROR(COUNT(IF(tblSalaries[Region]=Analysis!FI$60,IF(tblSalaries[Job Type]=Analysis!$C70,tblSalaries[Salary in USD]))),0)</f>
        <v>4</v>
      </c>
      <c r="FJ70" s="26">
        <f t="array" ref="FJ70">IFERROR(COUNT(IF(tblSalaries[Region]=Analysis!FJ$60,IF(tblSalaries[Job Type]=Analysis!$C70,tblSalaries[Salary in USD]))),0)</f>
        <v>0</v>
      </c>
      <c r="FK70" s="26">
        <f t="array" ref="FK70">IFERROR(COUNT(IF(tblSalaries[Region]=Analysis!FK$60,IF(tblSalaries[Job Type]=Analysis!$C70,tblSalaries[Salary in USD]))),0)</f>
        <v>5</v>
      </c>
      <c r="FL70" s="26">
        <f t="array" ref="FL70">IFERROR(COUNT(IF(tblSalaries[Region]=Analysis!FL$60,IF(tblSalaries[Job Type]=Analysis!$C70,tblSalaries[Salary in USD]))),0)</f>
        <v>1</v>
      </c>
      <c r="FM70" s="26">
        <f t="array" ref="FM70">IFERROR(COUNT(IF(tblSalaries[Region]=Analysis!FM$60,IF(tblSalaries[Job Type]=Analysis!$C70,tblSalaries[Salary in USD]))),0)</f>
        <v>55</v>
      </c>
      <c r="FN70" s="26">
        <f t="array" ref="FN70">IFERROR(COUNT(IF(tblSalaries[Region]=Analysis!FN$60,IF(tblSalaries[Job Type]=Analysis!$C70,tblSalaries[Salary in USD]))),0)</f>
        <v>1</v>
      </c>
      <c r="FO70" s="26">
        <f t="array" ref="FO70">IFERROR(COUNT(IF(tblSalaries[Work Hour per day on Excel]=Analysis!FO$60,IF(tblSalaries[Job Type]=Analysis!$C70,tblSalaries[Salary in USD]))),0)</f>
        <v>3</v>
      </c>
      <c r="FP70" s="26">
        <f t="array" ref="FP70">IFERROR(COUNT(IF(tblSalaries[Work Hour per day on Excel]=Analysis!FP$60,IF(tblSalaries[Job Type]=Analysis!$C70,tblSalaries[Salary in USD]))),0)</f>
        <v>11</v>
      </c>
      <c r="FQ70" s="26">
        <f t="array" ref="FQ70">IFERROR(COUNT(IF(tblSalaries[Work Hour per day on Excel]=Analysis!FQ$60,IF(tblSalaries[Job Type]=Analysis!$C70,tblSalaries[Salary in USD]))),0)</f>
        <v>21</v>
      </c>
      <c r="FR70" s="26">
        <f t="array" ref="FR70">IFERROR(COUNT(IF(tblSalaries[Work Hour per day on Excel]=Analysis!FR$60,IF(tblSalaries[Job Type]=Analysis!$C70,tblSalaries[Salary in USD]))),0)</f>
        <v>36</v>
      </c>
      <c r="FS70" s="26">
        <f t="array" ref="FS70">IFERROR(COUNT(IF(tblSalaries[Years of Experience]=Analysis!FS$60,IF(tblSalaries[Job Type]=Analysis!$C70,tblSalaries[Salary in USD]))),0)</f>
        <v>42</v>
      </c>
      <c r="FT70" s="26">
        <f t="array" ref="FT70">IFERROR(COUNT(IF(tblSalaries[Years of Experience]=Analysis!FT$60,IF(tblSalaries[Job Type]=Analysis!$C70,tblSalaries[Salary in USD]))),0)</f>
        <v>24</v>
      </c>
      <c r="FU70" s="26">
        <f t="array" ref="FU70">IFERROR(COUNT(IF(tblSalaries[Years of Experience]=Analysis!FU$60,IF(tblSalaries[Job Type]=Analysis!$C70,tblSalaries[Salary in USD]))),0)</f>
        <v>4</v>
      </c>
      <c r="FV70" s="26">
        <f t="array" ref="FV70">IFERROR(COUNT(IF(tblSalaries[Years of Experience]=Analysis!FV$60,IF(tblSalaries[Job Type]=Analysis!$C70,tblSalaries[Salary in USD]))),0)</f>
        <v>1</v>
      </c>
      <c r="FW70" s="26">
        <f t="array" ref="FW70">IFERROR(COUNT(IF(tblSalaries[Years of Experience]=Analysis!FW$60,IF(tblSalaries[Job Type]=Analysis!$C70,tblSalaries[Salary in USD]))),0)</f>
        <v>0</v>
      </c>
    </row>
    <row r="71" spans="1:183" s="25" customFormat="1" ht="15" hidden="1" customHeight="1" x14ac:dyDescent="0.25">
      <c r="B71" s="25">
        <f t="shared" si="127"/>
        <v>11</v>
      </c>
      <c r="C71" s="26">
        <v>1</v>
      </c>
      <c r="D71" s="29">
        <f>C71+1</f>
        <v>2</v>
      </c>
      <c r="E71" s="29">
        <f t="shared" ref="E71:W71" si="128">D71+1</f>
        <v>3</v>
      </c>
      <c r="F71" s="29">
        <f t="shared" si="128"/>
        <v>4</v>
      </c>
      <c r="G71" s="29">
        <f t="shared" si="128"/>
        <v>5</v>
      </c>
      <c r="H71" s="29">
        <f t="shared" si="128"/>
        <v>6</v>
      </c>
      <c r="I71" s="29">
        <f t="shared" si="128"/>
        <v>7</v>
      </c>
      <c r="J71" s="29">
        <f t="shared" si="128"/>
        <v>8</v>
      </c>
      <c r="K71" s="29">
        <f t="shared" si="128"/>
        <v>9</v>
      </c>
      <c r="L71" s="29">
        <f t="shared" si="128"/>
        <v>10</v>
      </c>
      <c r="M71" s="29">
        <f t="shared" si="128"/>
        <v>11</v>
      </c>
      <c r="N71" s="29">
        <f t="shared" si="128"/>
        <v>12</v>
      </c>
      <c r="O71" s="29">
        <f t="shared" si="128"/>
        <v>13</v>
      </c>
      <c r="P71" s="29">
        <f t="shared" si="128"/>
        <v>14</v>
      </c>
      <c r="Q71" s="29">
        <f t="shared" si="128"/>
        <v>15</v>
      </c>
      <c r="R71" s="29">
        <f t="shared" si="128"/>
        <v>16</v>
      </c>
      <c r="S71" s="29">
        <f t="shared" si="128"/>
        <v>17</v>
      </c>
      <c r="T71" s="29">
        <f t="shared" si="128"/>
        <v>18</v>
      </c>
      <c r="U71" s="29">
        <f t="shared" si="128"/>
        <v>19</v>
      </c>
      <c r="V71" s="29">
        <f t="shared" si="128"/>
        <v>20</v>
      </c>
      <c r="W71" s="29">
        <f t="shared" si="128"/>
        <v>21</v>
      </c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</row>
    <row r="72" spans="1:183" s="25" customFormat="1" ht="15" hidden="1" customHeight="1" x14ac:dyDescent="0.25">
      <c r="B72" s="25">
        <f t="shared" si="127"/>
        <v>12</v>
      </c>
      <c r="C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</row>
    <row r="73" spans="1:183" s="25" customFormat="1" ht="15" hidden="1" customHeight="1" x14ac:dyDescent="0.25">
      <c r="B73" s="25">
        <f t="shared" si="127"/>
        <v>13</v>
      </c>
      <c r="C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</row>
    <row r="74" spans="1:183" s="25" customFormat="1" ht="15" hidden="1" customHeight="1" x14ac:dyDescent="0.25">
      <c r="B74" s="25">
        <f t="shared" si="127"/>
        <v>14</v>
      </c>
      <c r="C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</row>
    <row r="75" spans="1:183" s="25" customFormat="1" ht="15" hidden="1" customHeight="1" x14ac:dyDescent="0.25">
      <c r="B75" s="25">
        <f t="shared" si="127"/>
        <v>15</v>
      </c>
      <c r="C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</row>
    <row r="76" spans="1:183" s="25" customFormat="1" ht="15" hidden="1" customHeight="1" x14ac:dyDescent="0.25">
      <c r="B76" s="25">
        <f t="shared" si="127"/>
        <v>16</v>
      </c>
      <c r="C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</row>
    <row r="77" spans="1:183" s="25" customFormat="1" ht="15" hidden="1" customHeight="1" x14ac:dyDescent="0.25">
      <c r="B77" s="25">
        <f t="shared" si="127"/>
        <v>17</v>
      </c>
      <c r="C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</row>
    <row r="78" spans="1:183" s="25" customFormat="1" ht="15" hidden="1" customHeight="1" x14ac:dyDescent="0.25">
      <c r="C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</row>
    <row r="79" spans="1:183" s="25" customFormat="1" ht="15" hidden="1" customHeight="1" x14ac:dyDescent="0.25">
      <c r="C79" s="26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CZ79" s="38" t="s">
        <v>1466</v>
      </c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 t="s">
        <v>1465</v>
      </c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 t="s">
        <v>1464</v>
      </c>
      <c r="EO79" s="38"/>
      <c r="EP79" s="38"/>
      <c r="EQ79" s="38"/>
      <c r="ER79" s="38"/>
      <c r="ES79" s="38"/>
      <c r="ET79" s="38"/>
      <c r="EU79" s="38"/>
      <c r="EV79" s="38"/>
      <c r="EW79" s="38"/>
      <c r="EX79" s="38"/>
      <c r="EY79" s="38"/>
      <c r="EZ79" s="38"/>
      <c r="FA79" s="38"/>
      <c r="FB79" s="38"/>
      <c r="FC79" s="38"/>
      <c r="FD79" s="38"/>
      <c r="FE79" s="38"/>
      <c r="FF79" s="38"/>
      <c r="FG79" s="38"/>
      <c r="FH79" s="38" t="s">
        <v>1467</v>
      </c>
      <c r="FI79" s="38"/>
      <c r="FJ79" s="38"/>
      <c r="FK79" s="38"/>
      <c r="FL79" s="38"/>
      <c r="FM79" s="38"/>
      <c r="FN79" s="38"/>
      <c r="FO79" s="38"/>
      <c r="FP79" s="38"/>
      <c r="FQ79" s="38"/>
      <c r="FR79" s="38"/>
      <c r="FS79" s="38"/>
      <c r="FT79" s="38"/>
      <c r="FU79" s="38"/>
      <c r="FV79" s="38"/>
      <c r="FW79" s="38"/>
      <c r="FX79" s="38"/>
      <c r="FY79" s="38"/>
      <c r="FZ79" s="38"/>
      <c r="GA79" s="38"/>
    </row>
    <row r="80" spans="1:183" s="25" customFormat="1" ht="15" hidden="1" customHeight="1" x14ac:dyDescent="0.25">
      <c r="E80" s="25" t="s">
        <v>1436</v>
      </c>
      <c r="O80" s="25" t="s">
        <v>1456</v>
      </c>
      <c r="S80" s="25" t="s">
        <v>1435</v>
      </c>
      <c r="DA80" s="25" t="s">
        <v>1436</v>
      </c>
      <c r="DK80" s="25" t="s">
        <v>1456</v>
      </c>
      <c r="DO80" s="25" t="s">
        <v>1435</v>
      </c>
      <c r="DU80" s="25" t="s">
        <v>1436</v>
      </c>
      <c r="EE80" s="25" t="s">
        <v>1456</v>
      </c>
      <c r="EI80" s="25" t="s">
        <v>1435</v>
      </c>
      <c r="EO80" s="25" t="s">
        <v>1436</v>
      </c>
      <c r="EY80" s="25" t="s">
        <v>1456</v>
      </c>
      <c r="FC80" s="25" t="s">
        <v>1435</v>
      </c>
      <c r="FI80" s="25" t="s">
        <v>1436</v>
      </c>
      <c r="FS80" s="25" t="s">
        <v>1456</v>
      </c>
      <c r="FW80" s="25" t="s">
        <v>1435</v>
      </c>
    </row>
    <row r="81" spans="2:183" s="25" customFormat="1" ht="15" hidden="1" customHeight="1" x14ac:dyDescent="0.25">
      <c r="C81" s="28" t="s">
        <v>1452</v>
      </c>
      <c r="D81" s="28" t="s">
        <v>1462</v>
      </c>
      <c r="E81" s="25" t="s">
        <v>1439</v>
      </c>
      <c r="F81" s="25" t="s">
        <v>38</v>
      </c>
      <c r="G81" s="25" t="s">
        <v>33</v>
      </c>
      <c r="H81" s="25" t="s">
        <v>14</v>
      </c>
      <c r="I81" s="25" t="s">
        <v>29</v>
      </c>
      <c r="J81" s="25" t="s">
        <v>3</v>
      </c>
      <c r="K81" s="25" t="s">
        <v>31</v>
      </c>
      <c r="L81" s="25" t="s">
        <v>11</v>
      </c>
      <c r="M81" s="25" t="s">
        <v>1438</v>
      </c>
      <c r="N81" s="25" t="s">
        <v>1437</v>
      </c>
      <c r="O81" s="25" t="s">
        <v>1442</v>
      </c>
      <c r="P81" s="25" t="s">
        <v>1443</v>
      </c>
      <c r="Q81" s="25" t="s">
        <v>1441</v>
      </c>
      <c r="R81" s="25" t="s">
        <v>1440</v>
      </c>
      <c r="S81" s="25" t="s">
        <v>1445</v>
      </c>
      <c r="T81" s="25" t="s">
        <v>1447</v>
      </c>
      <c r="U81" s="25" t="s">
        <v>1446</v>
      </c>
      <c r="V81" s="25" t="s">
        <v>1448</v>
      </c>
      <c r="W81" s="25" t="s">
        <v>1449</v>
      </c>
      <c r="CZ81" s="28" t="s">
        <v>1462</v>
      </c>
      <c r="DA81" s="25" t="s">
        <v>1439</v>
      </c>
      <c r="DB81" s="25" t="s">
        <v>38</v>
      </c>
      <c r="DC81" s="25" t="s">
        <v>33</v>
      </c>
      <c r="DD81" s="25" t="s">
        <v>14</v>
      </c>
      <c r="DE81" s="25" t="s">
        <v>29</v>
      </c>
      <c r="DF81" s="25" t="s">
        <v>3</v>
      </c>
      <c r="DG81" s="25" t="s">
        <v>31</v>
      </c>
      <c r="DH81" s="25" t="s">
        <v>11</v>
      </c>
      <c r="DI81" s="25" t="s">
        <v>1438</v>
      </c>
      <c r="DJ81" s="25" t="s">
        <v>1437</v>
      </c>
      <c r="DK81" s="25" t="s">
        <v>1442</v>
      </c>
      <c r="DL81" s="25" t="s">
        <v>1443</v>
      </c>
      <c r="DM81" s="25" t="s">
        <v>1441</v>
      </c>
      <c r="DN81" s="25" t="s">
        <v>1440</v>
      </c>
      <c r="DO81" s="25" t="s">
        <v>1445</v>
      </c>
      <c r="DP81" s="25" t="s">
        <v>1447</v>
      </c>
      <c r="DQ81" s="25" t="s">
        <v>1446</v>
      </c>
      <c r="DR81" s="25" t="s">
        <v>1448</v>
      </c>
      <c r="DS81" s="25" t="s">
        <v>1449</v>
      </c>
      <c r="DT81" s="28" t="s">
        <v>1462</v>
      </c>
      <c r="DU81" s="25" t="s">
        <v>1439</v>
      </c>
      <c r="DV81" s="25" t="s">
        <v>38</v>
      </c>
      <c r="DW81" s="25" t="s">
        <v>33</v>
      </c>
      <c r="DX81" s="25" t="s">
        <v>14</v>
      </c>
      <c r="DY81" s="25" t="s">
        <v>29</v>
      </c>
      <c r="DZ81" s="25" t="s">
        <v>3</v>
      </c>
      <c r="EA81" s="25" t="s">
        <v>31</v>
      </c>
      <c r="EB81" s="25" t="s">
        <v>11</v>
      </c>
      <c r="EC81" s="25" t="s">
        <v>1438</v>
      </c>
      <c r="ED81" s="25" t="s">
        <v>1437</v>
      </c>
      <c r="EE81" s="25" t="s">
        <v>1442</v>
      </c>
      <c r="EF81" s="25" t="s">
        <v>1443</v>
      </c>
      <c r="EG81" s="25" t="s">
        <v>1441</v>
      </c>
      <c r="EH81" s="25" t="s">
        <v>1440</v>
      </c>
      <c r="EI81" s="25" t="s">
        <v>1445</v>
      </c>
      <c r="EJ81" s="25" t="s">
        <v>1447</v>
      </c>
      <c r="EK81" s="25" t="s">
        <v>1446</v>
      </c>
      <c r="EL81" s="25" t="s">
        <v>1448</v>
      </c>
      <c r="EM81" s="25" t="s">
        <v>1449</v>
      </c>
      <c r="EN81" s="28" t="s">
        <v>1462</v>
      </c>
      <c r="EO81" s="25" t="s">
        <v>1439</v>
      </c>
      <c r="EP81" s="25" t="s">
        <v>38</v>
      </c>
      <c r="EQ81" s="25" t="s">
        <v>33</v>
      </c>
      <c r="ER81" s="25" t="s">
        <v>14</v>
      </c>
      <c r="ES81" s="25" t="s">
        <v>29</v>
      </c>
      <c r="ET81" s="25" t="s">
        <v>3</v>
      </c>
      <c r="EU81" s="25" t="s">
        <v>31</v>
      </c>
      <c r="EV81" s="25" t="s">
        <v>11</v>
      </c>
      <c r="EW81" s="25" t="s">
        <v>1438</v>
      </c>
      <c r="EX81" s="25" t="s">
        <v>1437</v>
      </c>
      <c r="EY81" s="25" t="s">
        <v>1442</v>
      </c>
      <c r="EZ81" s="25" t="s">
        <v>1443</v>
      </c>
      <c r="FA81" s="25" t="s">
        <v>1441</v>
      </c>
      <c r="FB81" s="25" t="s">
        <v>1440</v>
      </c>
      <c r="FC81" s="25" t="s">
        <v>1445</v>
      </c>
      <c r="FD81" s="25" t="s">
        <v>1447</v>
      </c>
      <c r="FE81" s="25" t="s">
        <v>1446</v>
      </c>
      <c r="FF81" s="25" t="s">
        <v>1448</v>
      </c>
      <c r="FG81" s="25" t="s">
        <v>1449</v>
      </c>
      <c r="FH81" s="28" t="s">
        <v>1462</v>
      </c>
      <c r="FI81" s="25" t="s">
        <v>1439</v>
      </c>
      <c r="FJ81" s="25" t="s">
        <v>38</v>
      </c>
      <c r="FK81" s="25" t="s">
        <v>33</v>
      </c>
      <c r="FL81" s="25" t="s">
        <v>14</v>
      </c>
      <c r="FM81" s="25" t="s">
        <v>29</v>
      </c>
      <c r="FN81" s="25" t="s">
        <v>3</v>
      </c>
      <c r="FO81" s="25" t="s">
        <v>31</v>
      </c>
      <c r="FP81" s="25" t="s">
        <v>11</v>
      </c>
      <c r="FQ81" s="25" t="s">
        <v>1438</v>
      </c>
      <c r="FR81" s="25" t="s">
        <v>1437</v>
      </c>
      <c r="FS81" s="25" t="s">
        <v>1442</v>
      </c>
      <c r="FT81" s="25" t="s">
        <v>1443</v>
      </c>
      <c r="FU81" s="25" t="s">
        <v>1441</v>
      </c>
      <c r="FV81" s="25" t="s">
        <v>1440</v>
      </c>
      <c r="FW81" s="25" t="s">
        <v>1445</v>
      </c>
      <c r="FX81" s="25" t="s">
        <v>1447</v>
      </c>
      <c r="FY81" s="25" t="s">
        <v>1446</v>
      </c>
      <c r="FZ81" s="25" t="s">
        <v>1448</v>
      </c>
      <c r="GA81" s="25" t="s">
        <v>1449</v>
      </c>
    </row>
    <row r="82" spans="2:183" s="25" customFormat="1" ht="15" hidden="1" customHeight="1" x14ac:dyDescent="0.25">
      <c r="B82" s="25">
        <v>1</v>
      </c>
      <c r="C82" s="25" t="s">
        <v>18</v>
      </c>
      <c r="D82" s="26">
        <f t="shared" ref="D82:D90" si="129">CHOOSE($C$141,CZ82,DT82,EN82)</f>
        <v>93799.614828588878</v>
      </c>
      <c r="E82" s="26">
        <f t="shared" ref="E82:E90" si="130">CHOOSE($C$141,DA82,DU82,EO82)</f>
        <v>99441.191499256995</v>
      </c>
      <c r="F82" s="26">
        <f t="shared" ref="F82:F90" si="131">CHOOSE($C$141,DB82,DV82,EP82)</f>
        <v>82952.652054081045</v>
      </c>
      <c r="G82" s="26">
        <f t="shared" ref="G82:G90" si="132">CHOOSE($C$141,DC82,DW82,EQ82)</f>
        <v>108620.3784068807</v>
      </c>
      <c r="H82" s="26">
        <f t="shared" ref="H82:H90" si="133">CHOOSE($C$141,DD82,DX82,ER82)</f>
        <v>94851.598045445135</v>
      </c>
      <c r="I82" s="26">
        <f t="shared" ref="I82:I90" si="134">CHOOSE($C$141,DE82,DY82,ES82)</f>
        <v>163695.49985262303</v>
      </c>
      <c r="J82" s="26">
        <f t="shared" ref="J82:J90" si="135">CHOOSE($C$141,DF82,DZ82,ET82)</f>
        <v>87472.715305886188</v>
      </c>
      <c r="K82" s="26">
        <f t="shared" ref="K82:K90" si="136">CHOOSE($C$141,DG82,EA82,EU82)</f>
        <v>92811.778732639854</v>
      </c>
      <c r="L82" s="26">
        <f t="shared" ref="L82:L90" si="137">CHOOSE($C$141,DH82,EB82,EV82)</f>
        <v>95277.699924673987</v>
      </c>
      <c r="M82" s="26">
        <f t="shared" ref="M82:M90" si="138">CHOOSE($C$141,DI82,EC82,EW82)</f>
        <v>0</v>
      </c>
      <c r="N82" s="26">
        <f t="shared" ref="N82:N90" si="139">CHOOSE($C$141,DJ82,ED82,EX82)</f>
        <v>85000</v>
      </c>
      <c r="O82" s="26">
        <f t="shared" ref="O82:O90" si="140">CHOOSE($C$141,DK82,EE82,EY82)</f>
        <v>95361.552873646448</v>
      </c>
      <c r="P82" s="26">
        <f t="shared" ref="P82:P90" si="141">CHOOSE($C$141,DL82,EF82,EZ82)</f>
        <v>98922.94108066168</v>
      </c>
      <c r="Q82" s="26">
        <f t="shared" ref="Q82:Q90" si="142">CHOOSE($C$141,DM82,EG82,FA82)</f>
        <v>92138.260501442186</v>
      </c>
      <c r="R82" s="26">
        <f t="shared" ref="R82:R90" si="143">CHOOSE($C$141,DN82,EH82,FB82)</f>
        <v>86349.260273434076</v>
      </c>
      <c r="S82" s="26">
        <f t="shared" ref="S82:S90" si="144">CHOOSE($C$141,DO82,EI82,FC82)</f>
        <v>74011.127544510673</v>
      </c>
      <c r="T82" s="26">
        <f t="shared" ref="T82:T90" si="145">CHOOSE($C$141,DP82,EJ82,FD82)</f>
        <v>104354.13277591871</v>
      </c>
      <c r="U82" s="26">
        <f t="shared" ref="U82:U90" si="146">CHOOSE($C$141,DQ82,EK82,FE82)</f>
        <v>110171.74593817336</v>
      </c>
      <c r="V82" s="26">
        <f t="shared" ref="V82:V90" si="147">CHOOSE($C$141,DR82,EL82,FF82)</f>
        <v>90567.977488554054</v>
      </c>
      <c r="W82" s="26">
        <f t="shared" ref="W82:W90" si="148">CHOOSE($C$141,DS82,EM82,FG82)</f>
        <v>109130.33323508203</v>
      </c>
      <c r="CZ82" s="26">
        <f t="array" ref="CZ82">IFERROR(AVERAGE(IF(tblSalaries[Region]=Analysis!$C82,tblSalaries[Salary in USD])),0)</f>
        <v>93799.614828588878</v>
      </c>
      <c r="DA82" s="26">
        <f t="array" ref="DA82">IFERROR(AVERAGE(IF(tblSalaries[Job Type]=Analysis!DA$81,IF(tblSalaries[Region]=Analysis!$C82,tblSalaries[Salary in USD]))),0)</f>
        <v>99441.191499256995</v>
      </c>
      <c r="DB82" s="26">
        <f t="array" ref="DB82">IFERROR(AVERAGE(IF(tblSalaries[Job Type]=Analysis!DB$81,IF(tblSalaries[Region]=Analysis!$C82,tblSalaries[Salary in USD]))),0)</f>
        <v>82952.652054081045</v>
      </c>
      <c r="DC82" s="26">
        <f t="array" ref="DC82">IFERROR(AVERAGE(IF(tblSalaries[Job Type]=Analysis!DC$81,IF(tblSalaries[Region]=Analysis!$C82,tblSalaries[Salary in USD]))),0)</f>
        <v>108620.3784068807</v>
      </c>
      <c r="DD82" s="26">
        <f t="array" ref="DD82">IFERROR(AVERAGE(IF(tblSalaries[Job Type]=Analysis!DD$81,IF(tblSalaries[Region]=Analysis!$C82,tblSalaries[Salary in USD]))),0)</f>
        <v>94851.598045445135</v>
      </c>
      <c r="DE82" s="26">
        <f t="array" ref="DE82">IFERROR(AVERAGE(IF(tblSalaries[Job Type]=Analysis!DE$81,IF(tblSalaries[Region]=Analysis!$C82,tblSalaries[Salary in USD]))),0)</f>
        <v>163695.49985262303</v>
      </c>
      <c r="DF82" s="26">
        <f t="array" ref="DF82">IFERROR(AVERAGE(IF(tblSalaries[Job Type]=Analysis!DF$81,IF(tblSalaries[Region]=Analysis!$C82,tblSalaries[Salary in USD]))),0)</f>
        <v>87472.715305886188</v>
      </c>
      <c r="DG82" s="26">
        <f t="array" ref="DG82">IFERROR(AVERAGE(IF(tblSalaries[Job Type]=Analysis!DG$81,IF(tblSalaries[Region]=Analysis!$C82,tblSalaries[Salary in USD]))),0)</f>
        <v>92811.778732639854</v>
      </c>
      <c r="DH82" s="26">
        <f t="array" ref="DH82">IFERROR(AVERAGE(IF(tblSalaries[Job Type]=Analysis!DH$81,IF(tblSalaries[Region]=Analysis!$C82,tblSalaries[Salary in USD]))),0)</f>
        <v>95277.699924673987</v>
      </c>
      <c r="DI82" s="26">
        <f t="array" ref="DI82">IFERROR(AVERAGE(IF(tblSalaries[Job Type]=Analysis!DI$81,IF(tblSalaries[Region]=Analysis!$C82,tblSalaries[Salary in USD]))),0)</f>
        <v>0</v>
      </c>
      <c r="DJ82" s="26">
        <f t="array" ref="DJ82">IFERROR(AVERAGE(IF(tblSalaries[Job Type]=Analysis!DJ$81,IF(tblSalaries[Region]=Analysis!$C82,tblSalaries[Salary in USD]))),0)</f>
        <v>85000</v>
      </c>
      <c r="DK82" s="26">
        <f t="array" ref="DK82">IFERROR(AVERAGE(IF(tblSalaries[Work Hour per day on Excel]=Analysis!DK$81,IF(tblSalaries[Region]=Analysis!$C82,tblSalaries[Salary in USD]))),0)</f>
        <v>95361.552873646448</v>
      </c>
      <c r="DL82" s="26">
        <f t="array" ref="DL82">IFERROR(AVERAGE(IF(tblSalaries[Work Hour per day on Excel]=Analysis!DL$81,IF(tblSalaries[Region]=Analysis!$C82,tblSalaries[Salary in USD]))),0)</f>
        <v>98922.94108066168</v>
      </c>
      <c r="DM82" s="26">
        <f t="array" ref="DM82">IFERROR(AVERAGE(IF(tblSalaries[Work Hour per day on Excel]=Analysis!DM$81,IF(tblSalaries[Region]=Analysis!$C82,tblSalaries[Salary in USD]))),0)</f>
        <v>92138.260501442186</v>
      </c>
      <c r="DN82" s="26">
        <f t="array" ref="DN82">IFERROR(AVERAGE(IF(tblSalaries[Work Hour per day on Excel]=Analysis!DN$81,IF(tblSalaries[Region]=Analysis!$C82,tblSalaries[Salary in USD]))),0)</f>
        <v>86349.260273434076</v>
      </c>
      <c r="DO82" s="26">
        <f t="array" ref="DO82">IFERROR(AVERAGE(IF(tblSalaries[Years of Experience]=Analysis!DO$81,IF(tblSalaries[Region]=Analysis!$C82,tblSalaries[Salary in USD]))),0)</f>
        <v>74011.127544510673</v>
      </c>
      <c r="DP82" s="26">
        <f t="array" ref="DP82">IFERROR(AVERAGE(IF(tblSalaries[Years of Experience]=Analysis!DP$81,IF(tblSalaries[Region]=Analysis!$C82,tblSalaries[Salary in USD]))),0)</f>
        <v>104354.13277591871</v>
      </c>
      <c r="DQ82" s="26">
        <f t="array" ref="DQ82">IFERROR(AVERAGE(IF(tblSalaries[Years of Experience]=Analysis!DQ$81,IF(tblSalaries[Region]=Analysis!$C82,tblSalaries[Salary in USD]))),0)</f>
        <v>110171.74593817336</v>
      </c>
      <c r="DR82" s="26">
        <f t="array" ref="DR82">IFERROR(AVERAGE(IF(tblSalaries[Years of Experience]=Analysis!DR$81,IF(tblSalaries[Region]=Analysis!$C82,tblSalaries[Salary in USD]))),0)</f>
        <v>90567.977488554054</v>
      </c>
      <c r="DS82" s="26">
        <f t="array" ref="DS82">IFERROR(AVERAGE(IF(tblSalaries[Years of Experience]=Analysis!DS$81,IF(tblSalaries[Region]=Analysis!$C82,tblSalaries[Salary in USD]))),0)</f>
        <v>109130.33323508203</v>
      </c>
      <c r="DT82" s="26">
        <f t="array" ref="DT82">IFERROR(MAX(IF(tblSalaries[Region]=Analysis!$C82,tblSalaries[Salary in USD])),0)</f>
        <v>203981.93128052715</v>
      </c>
      <c r="DU82" s="26">
        <f t="array" ref="DU82">IFERROR(MAX(IF(tblSalaries[Job Type]=Analysis!DU$81,IF(tblSalaries[Region]=Analysis!$C82,tblSalaries[Salary in USD]))),0)</f>
        <v>127488.70705032947</v>
      </c>
      <c r="DV82" s="26">
        <f t="array" ref="DV82">IFERROR(MAX(IF(tblSalaries[Job Type]=Analysis!DV$81,IF(tblSalaries[Region]=Analysis!$C82,tblSalaries[Salary in USD]))),0)</f>
        <v>147886.90017838217</v>
      </c>
      <c r="DW82" s="26">
        <f t="array" ref="DW82">IFERROR(MAX(IF(tblSalaries[Job Type]=Analysis!DW$81,IF(tblSalaries[Region]=Analysis!$C82,tblSalaries[Salary in USD]))),0)</f>
        <v>173384.64158844808</v>
      </c>
      <c r="DX82" s="26">
        <f t="array" ref="DX82">IFERROR(MAX(IF(tblSalaries[Job Type]=Analysis!DX$81,IF(tblSalaries[Region]=Analysis!$C82,tblSalaries[Salary in USD]))),0)</f>
        <v>108110.42357867939</v>
      </c>
      <c r="DY82" s="26">
        <f t="array" ref="DY82">IFERROR(MAX(IF(tblSalaries[Job Type]=Analysis!DY$81,IF(tblSalaries[Region]=Analysis!$C82,tblSalaries[Salary in USD]))),0)</f>
        <v>168285.09330643489</v>
      </c>
      <c r="DZ82" s="26">
        <f t="array" ref="DZ82">IFERROR(MAX(IF(tblSalaries[Job Type]=Analysis!DZ$81,IF(tblSalaries[Region]=Analysis!$C82,tblSalaries[Salary in USD]))),0)</f>
        <v>173384.64158844808</v>
      </c>
      <c r="EA82" s="26">
        <f t="array" ref="EA82">IFERROR(MAX(IF(tblSalaries[Job Type]=Analysis!EA$81,IF(tblSalaries[Region]=Analysis!$C82,tblSalaries[Salary in USD]))),0)</f>
        <v>132588.25533234264</v>
      </c>
      <c r="EB82" s="26">
        <f t="array" ref="EB82">IFERROR(MAX(IF(tblSalaries[Job Type]=Analysis!EB$81,IF(tblSalaries[Region]=Analysis!$C82,tblSalaries[Salary in USD]))),0)</f>
        <v>203981.93128052715</v>
      </c>
      <c r="EC82" s="26">
        <f t="array" ref="EC82">IFERROR(MAX(IF(tblSalaries[Job Type]=Analysis!EC$81,IF(tblSalaries[Region]=Analysis!$C82,tblSalaries[Salary in USD]))),0)</f>
        <v>0</v>
      </c>
      <c r="ED82" s="26">
        <f t="array" ref="ED82">IFERROR(MAX(IF(tblSalaries[Job Type]=Analysis!ED$81,IF(tblSalaries[Region]=Analysis!$C82,tblSalaries[Salary in USD]))),0)</f>
        <v>85000</v>
      </c>
      <c r="EE82" s="26">
        <f t="array" ref="EE82">IFERROR(MAX(IF(tblSalaries[Work Hour per day on Excel]=Analysis!EE$81,IF(tblSalaries[Region]=Analysis!$C82,tblSalaries[Salary in USD]))),0)</f>
        <v>152986.44846039536</v>
      </c>
      <c r="EF82" s="26">
        <f t="array" ref="EF82">IFERROR(MAX(IF(tblSalaries[Work Hour per day on Excel]=Analysis!EF$81,IF(tblSalaries[Region]=Analysis!$C82,tblSalaries[Salary in USD]))),0)</f>
        <v>173384.64158844808</v>
      </c>
      <c r="EG82" s="26">
        <f t="array" ref="EG82">IFERROR(MAX(IF(tblSalaries[Work Hour per day on Excel]=Analysis!EG$81,IF(tblSalaries[Region]=Analysis!$C82,tblSalaries[Salary in USD]))),0)</f>
        <v>203981.93128052715</v>
      </c>
      <c r="EH82" s="26">
        <f t="array" ref="EH82">IFERROR(MAX(IF(tblSalaries[Work Hour per day on Excel]=Analysis!EH$81,IF(tblSalaries[Region]=Analysis!$C82,tblSalaries[Salary in USD]))),0)</f>
        <v>173384.64158844808</v>
      </c>
      <c r="EI82" s="26">
        <f t="array" ref="EI82">IFERROR(MAX(IF(tblSalaries[Years of Experience]=Analysis!EI$81,IF(tblSalaries[Region]=Analysis!$C82,tblSalaries[Salary in USD]))),0)</f>
        <v>130000</v>
      </c>
      <c r="EJ82" s="26">
        <f t="array" ref="EJ82">IFERROR(MAX(IF(tblSalaries[Years of Experience]=Analysis!EJ$81,IF(tblSalaries[Region]=Analysis!$C82,tblSalaries[Salary in USD]))),0)</f>
        <v>173384.64158844808</v>
      </c>
      <c r="EK82" s="26">
        <f t="array" ref="EK82">IFERROR(MAX(IF(tblSalaries[Years of Experience]=Analysis!EK$81,IF(tblSalaries[Region]=Analysis!$C82,tblSalaries[Salary in USD]))),0)</f>
        <v>203981.93128052715</v>
      </c>
      <c r="EL82" s="26">
        <f t="array" ref="EL82">IFERROR(MAX(IF(tblSalaries[Years of Experience]=Analysis!EL$81,IF(tblSalaries[Region]=Analysis!$C82,tblSalaries[Salary in USD]))),0)</f>
        <v>132588.25533234264</v>
      </c>
      <c r="EM82" s="26">
        <f t="array" ref="EM82">IFERROR(MAX(IF(tblSalaries[Years of Experience]=Analysis!EM$81,IF(tblSalaries[Region]=Analysis!$C82,tblSalaries[Salary in USD]))),0)</f>
        <v>109130.33323508203</v>
      </c>
      <c r="EN82" s="26">
        <f t="array" ref="EN82">IFERROR(MIN(IF(tblSalaries[Region]=Analysis!$C82,tblSalaries[Salary in USD])),0)</f>
        <v>20000</v>
      </c>
      <c r="EO82" s="26">
        <f t="array" ref="EO82">IFERROR(MIN(IF(tblSalaries[Job Type]=Analysis!EO$81,IF(tblSalaries[Region]=Analysis!$C82,tblSalaries[Salary in USD]))),0)</f>
        <v>71393.675948184507</v>
      </c>
      <c r="EP82" s="26">
        <f t="array" ref="EP82">IFERROR(MIN(IF(tblSalaries[Job Type]=Analysis!EP$81,IF(tblSalaries[Region]=Analysis!$C82,tblSalaries[Salary in USD]))),0)</f>
        <v>49975.573163729154</v>
      </c>
      <c r="EQ82" s="26">
        <f t="array" ref="EQ82">IFERROR(MIN(IF(tblSalaries[Job Type]=Analysis!EQ$81,IF(tblSalaries[Region]=Analysis!$C82,tblSalaries[Salary in USD]))),0)</f>
        <v>85672.4111378214</v>
      </c>
      <c r="ER82" s="26">
        <f t="array" ref="ER82">IFERROR(MIN(IF(tblSalaries[Job Type]=Analysis!ER$81,IF(tblSalaries[Region]=Analysis!$C82,tblSalaries[Salary in USD]))),0)</f>
        <v>81592.772512210868</v>
      </c>
      <c r="ES82" s="26">
        <f t="array" ref="ES82">IFERROR(MIN(IF(tblSalaries[Job Type]=Analysis!ES$81,IF(tblSalaries[Region]=Analysis!$C82,tblSalaries[Salary in USD]))),0)</f>
        <v>159105.90639881117</v>
      </c>
      <c r="ET82" s="26">
        <f t="array" ref="ET82">IFERROR(MIN(IF(tblSalaries[Job Type]=Analysis!ET$81,IF(tblSalaries[Region]=Analysis!$C82,tblSalaries[Salary in USD]))),0)</f>
        <v>20000</v>
      </c>
      <c r="EU82" s="26">
        <f t="array" ref="EU82">IFERROR(MIN(IF(tblSalaries[Job Type]=Analysis!EU$81,IF(tblSalaries[Region]=Analysis!$C82,tblSalaries[Salary in USD]))),0)</f>
        <v>64254.308353366054</v>
      </c>
      <c r="EV82" s="26">
        <f t="array" ref="EV82">IFERROR(MIN(IF(tblSalaries[Job Type]=Analysis!EV$81,IF(tblSalaries[Region]=Analysis!$C82,tblSalaries[Salary in USD]))),0)</f>
        <v>36000</v>
      </c>
      <c r="EW82" s="26">
        <f t="array" ref="EW82">IFERROR(MIN(IF(tblSalaries[Job Type]=Analysis!EW$81,IF(tblSalaries[Region]=Analysis!$C82,tblSalaries[Salary in USD]))),0)</f>
        <v>0</v>
      </c>
      <c r="EX82" s="26">
        <f t="array" ref="EX82">IFERROR(MIN(IF(tblSalaries[Job Type]=Analysis!EX$81,IF(tblSalaries[Region]=Analysis!$C82,tblSalaries[Salary in USD]))),0)</f>
        <v>85000</v>
      </c>
      <c r="EY82" s="26">
        <f t="array" ref="EY82">IFERROR(MIN(IF(tblSalaries[Work Hour per day on Excel]=Analysis!EY$81,IF(tblSalaries[Region]=Analysis!$C82,tblSalaries[Salary in USD]))),0)</f>
        <v>48955.663507326513</v>
      </c>
      <c r="EZ82" s="26">
        <f t="array" ref="EZ82">IFERROR(MIN(IF(tblSalaries[Work Hour per day on Excel]=Analysis!EZ$81,IF(tblSalaries[Region]=Analysis!$C82,tblSalaries[Salary in USD]))),0)</f>
        <v>20000</v>
      </c>
      <c r="FA82" s="26">
        <f t="array" ref="FA82">IFERROR(MIN(IF(tblSalaries[Work Hour per day on Excel]=Analysis!FA$81,IF(tblSalaries[Region]=Analysis!$C82,tblSalaries[Salary in USD]))),0)</f>
        <v>22438.012440857987</v>
      </c>
      <c r="FB82" s="26">
        <f t="array" ref="FB82">IFERROR(MIN(IF(tblSalaries[Work Hour per day on Excel]=Analysis!FB$81,IF(tblSalaries[Region]=Analysis!$C82,tblSalaries[Salary in USD]))),0)</f>
        <v>43856.11522531334</v>
      </c>
      <c r="FC82" s="26">
        <f t="array" ref="FC82">IFERROR(MIN(IF(tblSalaries[Years of Experience]=Analysis!FC$81,IF(tblSalaries[Region]=Analysis!$C82,tblSalaries[Salary in USD]))),0)</f>
        <v>20000</v>
      </c>
      <c r="FD82" s="26">
        <f t="array" ref="FD82">IFERROR(MIN(IF(tblSalaries[Years of Experience]=Analysis!FD$81,IF(tblSalaries[Region]=Analysis!$C82,tblSalaries[Salary in USD]))),0)</f>
        <v>22438.012440857987</v>
      </c>
      <c r="FE82" s="26">
        <f t="array" ref="FE82">IFERROR(MIN(IF(tblSalaries[Years of Experience]=Analysis!FE$81,IF(tblSalaries[Region]=Analysis!$C82,tblSalaries[Salary in USD]))),0)</f>
        <v>36000</v>
      </c>
      <c r="FF82" s="26">
        <f t="array" ref="FF82">IFERROR(MIN(IF(tblSalaries[Years of Experience]=Analysis!FF$81,IF(tblSalaries[Region]=Analysis!$C82,tblSalaries[Salary in USD]))),0)</f>
        <v>49975.573163729154</v>
      </c>
      <c r="FG82" s="26">
        <f t="array" ref="FG82">IFERROR(MIN(IF(tblSalaries[Years of Experience]=Analysis!FG$81,IF(tblSalaries[Region]=Analysis!$C82,tblSalaries[Salary in USD]))),0)</f>
        <v>109130.33323508203</v>
      </c>
      <c r="FH82" s="26">
        <f t="array" ref="FH82">IFERROR(COUNT(IF(tblSalaries[Region]=Analysis!$C82,tblSalaries[Salary in USD])),0)</f>
        <v>75</v>
      </c>
      <c r="FI82" s="26">
        <f t="array" ref="FI82">IFERROR(COUNT(IF(tblSalaries[Job Type]=Analysis!FI$81,IF(tblSalaries[Region]=Analysis!$C82,tblSalaries[Salary in USD]))),0)</f>
        <v>2</v>
      </c>
      <c r="FJ82" s="26">
        <f t="array" ref="FJ82">IFERROR(COUNT(IF(tblSalaries[Job Type]=Analysis!FJ$81,IF(tblSalaries[Region]=Analysis!$C82,tblSalaries[Salary in USD]))),0)</f>
        <v>3</v>
      </c>
      <c r="FK82" s="26">
        <f t="array" ref="FK82">IFERROR(COUNT(IF(tblSalaries[Job Type]=Analysis!FK$81,IF(tblSalaries[Region]=Analysis!$C82,tblSalaries[Salary in USD]))),0)</f>
        <v>6</v>
      </c>
      <c r="FL82" s="26">
        <f t="array" ref="FL82">IFERROR(COUNT(IF(tblSalaries[Job Type]=Analysis!FL$81,IF(tblSalaries[Region]=Analysis!$C82,tblSalaries[Salary in USD]))),0)</f>
        <v>2</v>
      </c>
      <c r="FM82" s="26">
        <f t="array" ref="FM82">IFERROR(COUNT(IF(tblSalaries[Job Type]=Analysis!FM$81,IF(tblSalaries[Region]=Analysis!$C82,tblSalaries[Salary in USD]))),0)</f>
        <v>2</v>
      </c>
      <c r="FN82" s="26">
        <f t="array" ref="FN82">IFERROR(COUNT(IF(tblSalaries[Job Type]=Analysis!FN$81,IF(tblSalaries[Region]=Analysis!$C82,tblSalaries[Salary in USD]))),0)</f>
        <v>35</v>
      </c>
      <c r="FO82" s="26">
        <f t="array" ref="FO82">IFERROR(COUNT(IF(tblSalaries[Job Type]=Analysis!FO$81,IF(tblSalaries[Region]=Analysis!$C82,tblSalaries[Salary in USD]))),0)</f>
        <v>6</v>
      </c>
      <c r="FP82" s="26">
        <f t="array" ref="FP82">IFERROR(COUNT(IF(tblSalaries[Job Type]=Analysis!FP$81,IF(tblSalaries[Region]=Analysis!$C82,tblSalaries[Salary in USD]))),0)</f>
        <v>18</v>
      </c>
      <c r="FQ82" s="26">
        <f t="array" ref="FQ82">IFERROR(COUNT(IF(tblSalaries[Job Type]=Analysis!FQ$81,IF(tblSalaries[Region]=Analysis!$C82,tblSalaries[Salary in USD]))),0)</f>
        <v>0</v>
      </c>
      <c r="FR82" s="26">
        <f t="array" ref="FR82">IFERROR(COUNT(IF(tblSalaries[Job Type]=Analysis!FR$81,IF(tblSalaries[Region]=Analysis!$C82,tblSalaries[Salary in USD]))),0)</f>
        <v>1</v>
      </c>
      <c r="FS82" s="26">
        <f t="array" ref="FS82">IFERROR(COUNT(IF(tblSalaries[Work Hour per day on Excel]=Analysis!FS$81,IF(tblSalaries[Region]=Analysis!$C82,tblSalaries[Salary in USD]))),0)</f>
        <v>10</v>
      </c>
      <c r="FT82" s="26">
        <f t="array" ref="FT82">IFERROR(COUNT(IF(tblSalaries[Work Hour per day on Excel]=Analysis!FT$81,IF(tblSalaries[Region]=Analysis!$C82,tblSalaries[Salary in USD]))),0)</f>
        <v>23</v>
      </c>
      <c r="FU82" s="26">
        <f t="array" ref="FU82">IFERROR(COUNT(IF(tblSalaries[Work Hour per day on Excel]=Analysis!FU$81,IF(tblSalaries[Region]=Analysis!$C82,tblSalaries[Salary in USD]))),0)</f>
        <v>31</v>
      </c>
      <c r="FV82" s="26">
        <f t="array" ref="FV82">IFERROR(COUNT(IF(tblSalaries[Work Hour per day on Excel]=Analysis!FV$81,IF(tblSalaries[Region]=Analysis!$C82,tblSalaries[Salary in USD]))),0)</f>
        <v>11</v>
      </c>
      <c r="FW82" s="26">
        <f t="array" ref="FW82">IFERROR(COUNT(IF(tblSalaries[Years of Experience]=Analysis!FW$81,IF(tblSalaries[Region]=Analysis!$C82,tblSalaries[Salary in USD]))),0)</f>
        <v>28</v>
      </c>
      <c r="FX82" s="26">
        <f t="array" ref="FX82">IFERROR(COUNT(IF(tblSalaries[Years of Experience]=Analysis!FX$81,IF(tblSalaries[Region]=Analysis!$C82,tblSalaries[Salary in USD]))),0)</f>
        <v>20</v>
      </c>
      <c r="FY82" s="26">
        <f t="array" ref="FY82">IFERROR(COUNT(IF(tblSalaries[Years of Experience]=Analysis!FY$81,IF(tblSalaries[Region]=Analysis!$C82,tblSalaries[Salary in USD]))),0)</f>
        <v>21</v>
      </c>
      <c r="FZ82" s="26">
        <f t="array" ref="FZ82">IFERROR(COUNT(IF(tblSalaries[Years of Experience]=Analysis!FZ$81,IF(tblSalaries[Region]=Analysis!$C82,tblSalaries[Salary in USD]))),0)</f>
        <v>5</v>
      </c>
      <c r="GA82" s="26">
        <f t="array" ref="GA82">IFERROR(COUNT(IF(tblSalaries[Years of Experience]=Analysis!GA$81,IF(tblSalaries[Region]=Analysis!$C82,tblSalaries[Salary in USD]))),0)</f>
        <v>1</v>
      </c>
    </row>
    <row r="83" spans="2:183" s="25" customFormat="1" ht="15" hidden="1" customHeight="1" x14ac:dyDescent="0.25">
      <c r="B83" s="25">
        <f>B82+1</f>
        <v>2</v>
      </c>
      <c r="C83" s="25" t="s">
        <v>1</v>
      </c>
      <c r="D83" s="26">
        <f t="shared" si="129"/>
        <v>73184.08284023669</v>
      </c>
      <c r="E83" s="26">
        <f t="shared" si="130"/>
        <v>139710.52631578947</v>
      </c>
      <c r="F83" s="26">
        <f t="shared" si="131"/>
        <v>88308.928571428565</v>
      </c>
      <c r="G83" s="26">
        <f t="shared" si="132"/>
        <v>110125</v>
      </c>
      <c r="H83" s="26">
        <f t="shared" si="133"/>
        <v>51833.333333333336</v>
      </c>
      <c r="I83" s="26">
        <f t="shared" si="134"/>
        <v>65330</v>
      </c>
      <c r="J83" s="26">
        <f t="shared" si="135"/>
        <v>62749.440476190473</v>
      </c>
      <c r="K83" s="26">
        <f t="shared" si="136"/>
        <v>64936.17391304348</v>
      </c>
      <c r="L83" s="26">
        <f t="shared" si="137"/>
        <v>80467.578947368427</v>
      </c>
      <c r="M83" s="26">
        <f t="shared" si="138"/>
        <v>80730.5</v>
      </c>
      <c r="N83" s="26">
        <f t="shared" si="139"/>
        <v>61500</v>
      </c>
      <c r="O83" s="26">
        <f t="shared" si="140"/>
        <v>78138.44</v>
      </c>
      <c r="P83" s="26">
        <f t="shared" si="141"/>
        <v>77204.19767441861</v>
      </c>
      <c r="Q83" s="26">
        <f t="shared" si="142"/>
        <v>71369.651898734184</v>
      </c>
      <c r="R83" s="26">
        <f t="shared" si="143"/>
        <v>70533.231884057968</v>
      </c>
      <c r="S83" s="26">
        <f t="shared" si="144"/>
        <v>56929.66972477064</v>
      </c>
      <c r="T83" s="26">
        <f t="shared" si="145"/>
        <v>75096.622448979586</v>
      </c>
      <c r="U83" s="26">
        <f t="shared" si="146"/>
        <v>80630.431372549021</v>
      </c>
      <c r="V83" s="26">
        <f t="shared" si="147"/>
        <v>104396.89285714286</v>
      </c>
      <c r="W83" s="26">
        <f t="shared" si="148"/>
        <v>24000</v>
      </c>
      <c r="CZ83" s="26">
        <f t="array" ref="CZ83">IFERROR(AVERAGE(IF(tblSalaries[Region]=Analysis!$C83,tblSalaries[Salary in USD])),0)</f>
        <v>73184.08284023669</v>
      </c>
      <c r="DA83" s="26">
        <f t="array" ref="DA83">IFERROR(AVERAGE(IF(tblSalaries[Job Type]=Analysis!DA$81,IF(tblSalaries[Region]=Analysis!$C83,tblSalaries[Salary in USD]))),0)</f>
        <v>139710.52631578947</v>
      </c>
      <c r="DB83" s="26">
        <f t="array" ref="DB83">IFERROR(AVERAGE(IF(tblSalaries[Job Type]=Analysis!DB$81,IF(tblSalaries[Region]=Analysis!$C83,tblSalaries[Salary in USD]))),0)</f>
        <v>88308.928571428565</v>
      </c>
      <c r="DC83" s="26">
        <f t="array" ref="DC83">IFERROR(AVERAGE(IF(tblSalaries[Job Type]=Analysis!DC$81,IF(tblSalaries[Region]=Analysis!$C83,tblSalaries[Salary in USD]))),0)</f>
        <v>110125</v>
      </c>
      <c r="DD83" s="26">
        <f t="array" ref="DD83">IFERROR(AVERAGE(IF(tblSalaries[Job Type]=Analysis!DD$81,IF(tblSalaries[Region]=Analysis!$C83,tblSalaries[Salary in USD]))),0)</f>
        <v>51833.333333333336</v>
      </c>
      <c r="DE83" s="26">
        <f t="array" ref="DE83">IFERROR(AVERAGE(IF(tblSalaries[Job Type]=Analysis!DE$81,IF(tblSalaries[Region]=Analysis!$C83,tblSalaries[Salary in USD]))),0)</f>
        <v>65330</v>
      </c>
      <c r="DF83" s="26">
        <f t="array" ref="DF83">IFERROR(AVERAGE(IF(tblSalaries[Job Type]=Analysis!DF$81,IF(tblSalaries[Region]=Analysis!$C83,tblSalaries[Salary in USD]))),0)</f>
        <v>62749.440476190473</v>
      </c>
      <c r="DG83" s="26">
        <f t="array" ref="DG83">IFERROR(AVERAGE(IF(tblSalaries[Job Type]=Analysis!DG$81,IF(tblSalaries[Region]=Analysis!$C83,tblSalaries[Salary in USD]))),0)</f>
        <v>64936.17391304348</v>
      </c>
      <c r="DH83" s="26">
        <f t="array" ref="DH83">IFERROR(AVERAGE(IF(tblSalaries[Job Type]=Analysis!DH$81,IF(tblSalaries[Region]=Analysis!$C83,tblSalaries[Salary in USD]))),0)</f>
        <v>80467.578947368427</v>
      </c>
      <c r="DI83" s="26">
        <f t="array" ref="DI83">IFERROR(AVERAGE(IF(tblSalaries[Job Type]=Analysis!DI$81,IF(tblSalaries[Region]=Analysis!$C83,tblSalaries[Salary in USD]))),0)</f>
        <v>80730.5</v>
      </c>
      <c r="DJ83" s="26">
        <f t="array" ref="DJ83">IFERROR(AVERAGE(IF(tblSalaries[Job Type]=Analysis!DJ$81,IF(tblSalaries[Region]=Analysis!$C83,tblSalaries[Salary in USD]))),0)</f>
        <v>61500</v>
      </c>
      <c r="DK83" s="26">
        <f t="array" ref="DK83">IFERROR(AVERAGE(IF(tblSalaries[Work Hour per day on Excel]=Analysis!DK$81,IF(tblSalaries[Region]=Analysis!$C83,tblSalaries[Salary in USD]))),0)</f>
        <v>78138.44</v>
      </c>
      <c r="DL83" s="26">
        <f t="array" ref="DL83">IFERROR(AVERAGE(IF(tblSalaries[Work Hour per day on Excel]=Analysis!DL$81,IF(tblSalaries[Region]=Analysis!$C83,tblSalaries[Salary in USD]))),0)</f>
        <v>77204.19767441861</v>
      </c>
      <c r="DM83" s="26">
        <f t="array" ref="DM83">IFERROR(AVERAGE(IF(tblSalaries[Work Hour per day on Excel]=Analysis!DM$81,IF(tblSalaries[Region]=Analysis!$C83,tblSalaries[Salary in USD]))),0)</f>
        <v>71369.651898734184</v>
      </c>
      <c r="DN83" s="26">
        <f t="array" ref="DN83">IFERROR(AVERAGE(IF(tblSalaries[Work Hour per day on Excel]=Analysis!DN$81,IF(tblSalaries[Region]=Analysis!$C83,tblSalaries[Salary in USD]))),0)</f>
        <v>70533.231884057968</v>
      </c>
      <c r="DO83" s="26">
        <f t="array" ref="DO83">IFERROR(AVERAGE(IF(tblSalaries[Years of Experience]=Analysis!DO$81,IF(tblSalaries[Region]=Analysis!$C83,tblSalaries[Salary in USD]))),0)</f>
        <v>56929.66972477064</v>
      </c>
      <c r="DP83" s="26">
        <f t="array" ref="DP83">IFERROR(AVERAGE(IF(tblSalaries[Years of Experience]=Analysis!DP$81,IF(tblSalaries[Region]=Analysis!$C83,tblSalaries[Salary in USD]))),0)</f>
        <v>75096.622448979586</v>
      </c>
      <c r="DQ83" s="26">
        <f t="array" ref="DQ83">IFERROR(AVERAGE(IF(tblSalaries[Years of Experience]=Analysis!DQ$81,IF(tblSalaries[Region]=Analysis!$C83,tblSalaries[Salary in USD]))),0)</f>
        <v>80630.431372549021</v>
      </c>
      <c r="DR83" s="26">
        <f t="array" ref="DR83">IFERROR(AVERAGE(IF(tblSalaries[Years of Experience]=Analysis!DR$81,IF(tblSalaries[Region]=Analysis!$C83,tblSalaries[Salary in USD]))),0)</f>
        <v>104396.89285714286</v>
      </c>
      <c r="DS83" s="26">
        <f t="array" ref="DS83">IFERROR(AVERAGE(IF(tblSalaries[Years of Experience]=Analysis!DS$81,IF(tblSalaries[Region]=Analysis!$C83,tblSalaries[Salary in USD]))),0)</f>
        <v>24000</v>
      </c>
      <c r="DT83" s="26">
        <f t="array" ref="DT83">IFERROR(MAX(IF(tblSalaries[Region]=Analysis!$C83,tblSalaries[Salary in USD])),0)</f>
        <v>300000</v>
      </c>
      <c r="DU83" s="26">
        <f t="array" ref="DU83">IFERROR(MAX(IF(tblSalaries[Job Type]=Analysis!DU$81,IF(tblSalaries[Region]=Analysis!$C83,tblSalaries[Salary in USD]))),0)</f>
        <v>300000</v>
      </c>
      <c r="DV83" s="26">
        <f t="array" ref="DV83">IFERROR(MAX(IF(tblSalaries[Job Type]=Analysis!DV$81,IF(tblSalaries[Region]=Analysis!$C83,tblSalaries[Salary in USD]))),0)</f>
        <v>214000</v>
      </c>
      <c r="DW83" s="26">
        <f t="array" ref="DW83">IFERROR(MAX(IF(tblSalaries[Job Type]=Analysis!DW$81,IF(tblSalaries[Region]=Analysis!$C83,tblSalaries[Salary in USD]))),0)</f>
        <v>250000</v>
      </c>
      <c r="DX83" s="26">
        <f t="array" ref="DX83">IFERROR(MAX(IF(tblSalaries[Job Type]=Analysis!DX$81,IF(tblSalaries[Region]=Analysis!$C83,tblSalaries[Salary in USD]))),0)</f>
        <v>80000</v>
      </c>
      <c r="DY83" s="26">
        <f t="array" ref="DY83">IFERROR(MAX(IF(tblSalaries[Job Type]=Analysis!DY$81,IF(tblSalaries[Region]=Analysis!$C83,tblSalaries[Salary in USD]))),0)</f>
        <v>95000</v>
      </c>
      <c r="DZ83" s="26">
        <f t="array" ref="DZ83">IFERROR(MAX(IF(tblSalaries[Job Type]=Analysis!DZ$81,IF(tblSalaries[Region]=Analysis!$C83,tblSalaries[Salary in USD]))),0)</f>
        <v>160000</v>
      </c>
      <c r="EA83" s="26">
        <f t="array" ref="EA83">IFERROR(MAX(IF(tblSalaries[Job Type]=Analysis!EA$81,IF(tblSalaries[Region]=Analysis!$C83,tblSalaries[Salary in USD]))),0)</f>
        <v>140000</v>
      </c>
      <c r="EB83" s="26">
        <f t="array" ref="EB83">IFERROR(MAX(IF(tblSalaries[Job Type]=Analysis!EB$81,IF(tblSalaries[Region]=Analysis!$C83,tblSalaries[Salary in USD]))),0)</f>
        <v>155000</v>
      </c>
      <c r="EC83" s="26">
        <f t="array" ref="EC83">IFERROR(MAX(IF(tblSalaries[Job Type]=Analysis!EC$81,IF(tblSalaries[Region]=Analysis!$C83,tblSalaries[Salary in USD]))),0)</f>
        <v>87000</v>
      </c>
      <c r="ED83" s="26">
        <f t="array" ref="ED83">IFERROR(MAX(IF(tblSalaries[Job Type]=Analysis!ED$81,IF(tblSalaries[Region]=Analysis!$C83,tblSalaries[Salary in USD]))),0)</f>
        <v>92000</v>
      </c>
      <c r="EE83" s="26">
        <f t="array" ref="EE83">IFERROR(MAX(IF(tblSalaries[Work Hour per day on Excel]=Analysis!EE$81,IF(tblSalaries[Region]=Analysis!$C83,tblSalaries[Salary in USD]))),0)</f>
        <v>188000</v>
      </c>
      <c r="EF83" s="26">
        <f t="array" ref="EF83">IFERROR(MAX(IF(tblSalaries[Work Hour per day on Excel]=Analysis!EF$81,IF(tblSalaries[Region]=Analysis!$C83,tblSalaries[Salary in USD]))),0)</f>
        <v>300000</v>
      </c>
      <c r="EG83" s="26">
        <f t="array" ref="EG83">IFERROR(MAX(IF(tblSalaries[Work Hour per day on Excel]=Analysis!EG$81,IF(tblSalaries[Region]=Analysis!$C83,tblSalaries[Salary in USD]))),0)</f>
        <v>225000</v>
      </c>
      <c r="EH83" s="26">
        <f t="array" ref="EH83">IFERROR(MAX(IF(tblSalaries[Work Hour per day on Excel]=Analysis!EH$81,IF(tblSalaries[Region]=Analysis!$C83,tblSalaries[Salary in USD]))),0)</f>
        <v>250000</v>
      </c>
      <c r="EI83" s="26">
        <f t="array" ref="EI83">IFERROR(MAX(IF(tblSalaries[Years of Experience]=Analysis!EI$81,IF(tblSalaries[Region]=Analysis!$C83,tblSalaries[Salary in USD]))),0)</f>
        <v>160000</v>
      </c>
      <c r="EJ83" s="26">
        <f t="array" ref="EJ83">IFERROR(MAX(IF(tblSalaries[Years of Experience]=Analysis!EJ$81,IF(tblSalaries[Region]=Analysis!$C83,tblSalaries[Salary in USD]))),0)</f>
        <v>260000</v>
      </c>
      <c r="EK83" s="26">
        <f t="array" ref="EK83">IFERROR(MAX(IF(tblSalaries[Years of Experience]=Analysis!EK$81,IF(tblSalaries[Region]=Analysis!$C83,tblSalaries[Salary in USD]))),0)</f>
        <v>250000</v>
      </c>
      <c r="EL83" s="26">
        <f t="array" ref="EL83">IFERROR(MAX(IF(tblSalaries[Years of Experience]=Analysis!EL$81,IF(tblSalaries[Region]=Analysis!$C83,tblSalaries[Salary in USD]))),0)</f>
        <v>300000</v>
      </c>
      <c r="EM83" s="26">
        <f t="array" ref="EM83">IFERROR(MAX(IF(tblSalaries[Years of Experience]=Analysis!EM$81,IF(tblSalaries[Region]=Analysis!$C83,tblSalaries[Salary in USD]))),0)</f>
        <v>24000</v>
      </c>
      <c r="EN83" s="26">
        <f t="array" ref="EN83">IFERROR(MIN(IF(tblSalaries[Region]=Analysis!$C83,tblSalaries[Salary in USD])),0)</f>
        <v>10000</v>
      </c>
      <c r="EO83" s="26">
        <f t="array" ref="EO83">IFERROR(MIN(IF(tblSalaries[Job Type]=Analysis!EO$81,IF(tblSalaries[Region]=Analysis!$C83,tblSalaries[Salary in USD]))),0)</f>
        <v>50000</v>
      </c>
      <c r="EP83" s="26">
        <f t="array" ref="EP83">IFERROR(MIN(IF(tblSalaries[Job Type]=Analysis!EP$81,IF(tblSalaries[Region]=Analysis!$C83,tblSalaries[Salary in USD]))),0)</f>
        <v>24000</v>
      </c>
      <c r="EQ83" s="26">
        <f t="array" ref="EQ83">IFERROR(MIN(IF(tblSalaries[Job Type]=Analysis!EQ$81,IF(tblSalaries[Region]=Analysis!$C83,tblSalaries[Salary in USD]))),0)</f>
        <v>41000</v>
      </c>
      <c r="ER83" s="26">
        <f t="array" ref="ER83">IFERROR(MIN(IF(tblSalaries[Job Type]=Analysis!ER$81,IF(tblSalaries[Region]=Analysis!$C83,tblSalaries[Salary in USD]))),0)</f>
        <v>35000</v>
      </c>
      <c r="ES83" s="26">
        <f t="array" ref="ES83">IFERROR(MIN(IF(tblSalaries[Job Type]=Analysis!ES$81,IF(tblSalaries[Region]=Analysis!$C83,tblSalaries[Salary in USD]))),0)</f>
        <v>29000</v>
      </c>
      <c r="ET83" s="26">
        <f t="array" ref="ET83">IFERROR(MIN(IF(tblSalaries[Job Type]=Analysis!ET$81,IF(tblSalaries[Region]=Analysis!$C83,tblSalaries[Salary in USD]))),0)</f>
        <v>10000</v>
      </c>
      <c r="EU83" s="26">
        <f t="array" ref="EU83">IFERROR(MIN(IF(tblSalaries[Job Type]=Analysis!EU$81,IF(tblSalaries[Region]=Analysis!$C83,tblSalaries[Salary in USD]))),0)</f>
        <v>30232</v>
      </c>
      <c r="EV83" s="26">
        <f t="array" ref="EV83">IFERROR(MIN(IF(tblSalaries[Job Type]=Analysis!EV$81,IF(tblSalaries[Region]=Analysis!$C83,tblSalaries[Salary in USD]))),0)</f>
        <v>22000</v>
      </c>
      <c r="EW83" s="26">
        <f t="array" ref="EW83">IFERROR(MIN(IF(tblSalaries[Job Type]=Analysis!EW$81,IF(tblSalaries[Region]=Analysis!$C83,tblSalaries[Salary in USD]))),0)</f>
        <v>74461</v>
      </c>
      <c r="EX83" s="26">
        <f t="array" ref="EX83">IFERROR(MIN(IF(tblSalaries[Job Type]=Analysis!EX$81,IF(tblSalaries[Region]=Analysis!$C83,tblSalaries[Salary in USD]))),0)</f>
        <v>32000</v>
      </c>
      <c r="EY83" s="26">
        <f t="array" ref="EY83">IFERROR(MIN(IF(tblSalaries[Work Hour per day on Excel]=Analysis!EY$81,IF(tblSalaries[Region]=Analysis!$C83,tblSalaries[Salary in USD]))),0)</f>
        <v>24000</v>
      </c>
      <c r="EZ83" s="26">
        <f t="array" ref="EZ83">IFERROR(MIN(IF(tblSalaries[Work Hour per day on Excel]=Analysis!EZ$81,IF(tblSalaries[Region]=Analysis!$C83,tblSalaries[Salary in USD]))),0)</f>
        <v>12000</v>
      </c>
      <c r="FA83" s="26">
        <f t="array" ref="FA83">IFERROR(MIN(IF(tblSalaries[Work Hour per day on Excel]=Analysis!FA$81,IF(tblSalaries[Region]=Analysis!$C83,tblSalaries[Salary in USD]))),0)</f>
        <v>10000</v>
      </c>
      <c r="FB83" s="26">
        <f t="array" ref="FB83">IFERROR(MIN(IF(tblSalaries[Work Hour per day on Excel]=Analysis!FB$81,IF(tblSalaries[Region]=Analysis!$C83,tblSalaries[Salary in USD]))),0)</f>
        <v>15000</v>
      </c>
      <c r="FC83" s="26">
        <f t="array" ref="FC83">IFERROR(MIN(IF(tblSalaries[Years of Experience]=Analysis!FC$81,IF(tblSalaries[Region]=Analysis!$C83,tblSalaries[Salary in USD]))),0)</f>
        <v>10000</v>
      </c>
      <c r="FD83" s="26">
        <f t="array" ref="FD83">IFERROR(MIN(IF(tblSalaries[Years of Experience]=Analysis!FD$81,IF(tblSalaries[Region]=Analysis!$C83,tblSalaries[Salary in USD]))),0)</f>
        <v>15000</v>
      </c>
      <c r="FE83" s="26">
        <f t="array" ref="FE83">IFERROR(MIN(IF(tblSalaries[Years of Experience]=Analysis!FE$81,IF(tblSalaries[Region]=Analysis!$C83,tblSalaries[Salary in USD]))),0)</f>
        <v>31200</v>
      </c>
      <c r="FF83" s="26">
        <f t="array" ref="FF83">IFERROR(MIN(IF(tblSalaries[Years of Experience]=Analysis!FF$81,IF(tblSalaries[Region]=Analysis!$C83,tblSalaries[Salary in USD]))),0)</f>
        <v>37000</v>
      </c>
      <c r="FG83" s="26">
        <f t="array" ref="FG83">IFERROR(MIN(IF(tblSalaries[Years of Experience]=Analysis!FG$81,IF(tblSalaries[Region]=Analysis!$C83,tblSalaries[Salary in USD]))),0)</f>
        <v>24000</v>
      </c>
      <c r="FH83" s="26">
        <f t="array" ref="FH83">IFERROR(COUNT(IF(tblSalaries[Region]=Analysis!$C83,tblSalaries[Salary in USD])),0)</f>
        <v>338</v>
      </c>
      <c r="FI83" s="26">
        <f t="array" ref="FI83">IFERROR(COUNT(IF(tblSalaries[Job Type]=Analysis!FI$81,IF(tblSalaries[Region]=Analysis!$C83,tblSalaries[Salary in USD]))),0)</f>
        <v>19</v>
      </c>
      <c r="FJ83" s="26">
        <f t="array" ref="FJ83">IFERROR(COUNT(IF(tblSalaries[Job Type]=Analysis!FJ$81,IF(tblSalaries[Region]=Analysis!$C83,tblSalaries[Salary in USD]))),0)</f>
        <v>14</v>
      </c>
      <c r="FK83" s="26">
        <f t="array" ref="FK83">IFERROR(COUNT(IF(tblSalaries[Job Type]=Analysis!FK$81,IF(tblSalaries[Region]=Analysis!$C83,tblSalaries[Salary in USD]))),0)</f>
        <v>8</v>
      </c>
      <c r="FL83" s="26">
        <f t="array" ref="FL83">IFERROR(COUNT(IF(tblSalaries[Job Type]=Analysis!FL$81,IF(tblSalaries[Region]=Analysis!$C83,tblSalaries[Salary in USD]))),0)</f>
        <v>12</v>
      </c>
      <c r="FM83" s="26">
        <f t="array" ref="FM83">IFERROR(COUNT(IF(tblSalaries[Job Type]=Analysis!FM$81,IF(tblSalaries[Region]=Analysis!$C83,tblSalaries[Salary in USD]))),0)</f>
        <v>12</v>
      </c>
      <c r="FN83" s="26">
        <f t="array" ref="FN83">IFERROR(COUNT(IF(tblSalaries[Job Type]=Analysis!FN$81,IF(tblSalaries[Region]=Analysis!$C83,tblSalaries[Salary in USD]))),0)</f>
        <v>168</v>
      </c>
      <c r="FO83" s="26">
        <f t="array" ref="FO83">IFERROR(COUNT(IF(tblSalaries[Job Type]=Analysis!FO$81,IF(tblSalaries[Region]=Analysis!$C83,tblSalaries[Salary in USD]))),0)</f>
        <v>23</v>
      </c>
      <c r="FP83" s="26">
        <f t="array" ref="FP83">IFERROR(COUNT(IF(tblSalaries[Job Type]=Analysis!FP$81,IF(tblSalaries[Region]=Analysis!$C83,tblSalaries[Salary in USD]))),0)</f>
        <v>76</v>
      </c>
      <c r="FQ83" s="26">
        <f t="array" ref="FQ83">IFERROR(COUNT(IF(tblSalaries[Job Type]=Analysis!FQ$81,IF(tblSalaries[Region]=Analysis!$C83,tblSalaries[Salary in USD]))),0)</f>
        <v>2</v>
      </c>
      <c r="FR83" s="26">
        <f t="array" ref="FR83">IFERROR(COUNT(IF(tblSalaries[Job Type]=Analysis!FR$81,IF(tblSalaries[Region]=Analysis!$C83,tblSalaries[Salary in USD]))),0)</f>
        <v>4</v>
      </c>
      <c r="FS83" s="26">
        <f t="array" ref="FS83">IFERROR(COUNT(IF(tblSalaries[Work Hour per day on Excel]=Analysis!FS$81,IF(tblSalaries[Region]=Analysis!$C83,tblSalaries[Salary in USD]))),0)</f>
        <v>25</v>
      </c>
      <c r="FT83" s="26">
        <f t="array" ref="FT83">IFERROR(COUNT(IF(tblSalaries[Work Hour per day on Excel]=Analysis!FT$81,IF(tblSalaries[Region]=Analysis!$C83,tblSalaries[Salary in USD]))),0)</f>
        <v>86</v>
      </c>
      <c r="FU83" s="26">
        <f t="array" ref="FU83">IFERROR(COUNT(IF(tblSalaries[Work Hour per day on Excel]=Analysis!FU$81,IF(tblSalaries[Region]=Analysis!$C83,tblSalaries[Salary in USD]))),0)</f>
        <v>158</v>
      </c>
      <c r="FV83" s="26">
        <f t="array" ref="FV83">IFERROR(COUNT(IF(tblSalaries[Work Hour per day on Excel]=Analysis!FV$81,IF(tblSalaries[Region]=Analysis!$C83,tblSalaries[Salary in USD]))),0)</f>
        <v>69</v>
      </c>
      <c r="FW83" s="26">
        <f t="array" ref="FW83">IFERROR(COUNT(IF(tblSalaries[Years of Experience]=Analysis!FW$81,IF(tblSalaries[Region]=Analysis!$C83,tblSalaries[Salary in USD]))),0)</f>
        <v>109</v>
      </c>
      <c r="FX83" s="26">
        <f t="array" ref="FX83">IFERROR(COUNT(IF(tblSalaries[Years of Experience]=Analysis!FX$81,IF(tblSalaries[Region]=Analysis!$C83,tblSalaries[Salary in USD]))),0)</f>
        <v>98</v>
      </c>
      <c r="FY83" s="26">
        <f t="array" ref="FY83">IFERROR(COUNT(IF(tblSalaries[Years of Experience]=Analysis!FY$81,IF(tblSalaries[Region]=Analysis!$C83,tblSalaries[Salary in USD]))),0)</f>
        <v>102</v>
      </c>
      <c r="FZ83" s="26">
        <f t="array" ref="FZ83">IFERROR(COUNT(IF(tblSalaries[Years of Experience]=Analysis!FZ$81,IF(tblSalaries[Region]=Analysis!$C83,tblSalaries[Salary in USD]))),0)</f>
        <v>28</v>
      </c>
      <c r="GA83" s="26">
        <f t="array" ref="GA83">IFERROR(COUNT(IF(tblSalaries[Years of Experience]=Analysis!GA$81,IF(tblSalaries[Region]=Analysis!$C83,tblSalaries[Salary in USD]))),0)</f>
        <v>1</v>
      </c>
    </row>
    <row r="84" spans="2:183" s="25" customFormat="1" ht="15" hidden="1" customHeight="1" x14ac:dyDescent="0.25">
      <c r="B84" s="25">
        <f t="shared" ref="B84:B98" si="149">B83+1</f>
        <v>3</v>
      </c>
      <c r="C84" s="25" t="s">
        <v>19</v>
      </c>
      <c r="D84" s="26">
        <f t="shared" si="129"/>
        <v>70674.810156722466</v>
      </c>
      <c r="E84" s="26">
        <f t="shared" si="130"/>
        <v>98336.152303032693</v>
      </c>
      <c r="F84" s="26">
        <f t="shared" si="131"/>
        <v>0</v>
      </c>
      <c r="G84" s="26">
        <f t="shared" si="132"/>
        <v>55068.245289698301</v>
      </c>
      <c r="H84" s="26">
        <f t="shared" si="133"/>
        <v>0</v>
      </c>
      <c r="I84" s="26">
        <f t="shared" si="134"/>
        <v>0</v>
      </c>
      <c r="J84" s="26">
        <f t="shared" si="135"/>
        <v>67792.566688492036</v>
      </c>
      <c r="K84" s="26">
        <f t="shared" si="136"/>
        <v>131770.4440860638</v>
      </c>
      <c r="L84" s="26">
        <f t="shared" si="137"/>
        <v>65267.907013334378</v>
      </c>
      <c r="M84" s="26">
        <f t="shared" si="138"/>
        <v>0</v>
      </c>
      <c r="N84" s="26">
        <f t="shared" si="139"/>
        <v>0</v>
      </c>
      <c r="O84" s="26">
        <f t="shared" si="140"/>
        <v>44667.230460606537</v>
      </c>
      <c r="P84" s="26">
        <f t="shared" si="141"/>
        <v>61431.302364001094</v>
      </c>
      <c r="Q84" s="26">
        <f t="shared" si="142"/>
        <v>81591.782554610647</v>
      </c>
      <c r="R84" s="26">
        <f t="shared" si="143"/>
        <v>67032.477153233951</v>
      </c>
      <c r="S84" s="26">
        <f t="shared" si="144"/>
        <v>52543.005677273854</v>
      </c>
      <c r="T84" s="26">
        <f t="shared" si="145"/>
        <v>68721.615379410578</v>
      </c>
      <c r="U84" s="26">
        <f t="shared" si="146"/>
        <v>81501.860520001574</v>
      </c>
      <c r="V84" s="26">
        <f t="shared" si="147"/>
        <v>0</v>
      </c>
      <c r="W84" s="26">
        <f t="shared" si="148"/>
        <v>245840.3807575817</v>
      </c>
      <c r="CZ84" s="26">
        <f t="array" ref="CZ84">IFERROR(AVERAGE(IF(tblSalaries[Region]=Analysis!$C84,tblSalaries[Salary in USD])),0)</f>
        <v>70674.810156722466</v>
      </c>
      <c r="DA84" s="26">
        <f t="array" ref="DA84">IFERROR(AVERAGE(IF(tblSalaries[Job Type]=Analysis!DA$81,IF(tblSalaries[Region]=Analysis!$C84,tblSalaries[Salary in USD]))),0)</f>
        <v>98336.152303032693</v>
      </c>
      <c r="DB84" s="26">
        <f t="array" ref="DB84">IFERROR(AVERAGE(IF(tblSalaries[Job Type]=Analysis!DB$81,IF(tblSalaries[Region]=Analysis!$C84,tblSalaries[Salary in USD]))),0)</f>
        <v>0</v>
      </c>
      <c r="DC84" s="26">
        <f t="array" ref="DC84">IFERROR(AVERAGE(IF(tblSalaries[Job Type]=Analysis!DC$81,IF(tblSalaries[Region]=Analysis!$C84,tblSalaries[Salary in USD]))),0)</f>
        <v>55068.245289698301</v>
      </c>
      <c r="DD84" s="26">
        <f t="array" ref="DD84">IFERROR(AVERAGE(IF(tblSalaries[Job Type]=Analysis!DD$81,IF(tblSalaries[Region]=Analysis!$C84,tblSalaries[Salary in USD]))),0)</f>
        <v>0</v>
      </c>
      <c r="DE84" s="26">
        <f t="array" ref="DE84">IFERROR(AVERAGE(IF(tblSalaries[Job Type]=Analysis!DE$81,IF(tblSalaries[Region]=Analysis!$C84,tblSalaries[Salary in USD]))),0)</f>
        <v>0</v>
      </c>
      <c r="DF84" s="26">
        <f t="array" ref="DF84">IFERROR(AVERAGE(IF(tblSalaries[Job Type]=Analysis!DF$81,IF(tblSalaries[Region]=Analysis!$C84,tblSalaries[Salary in USD]))),0)</f>
        <v>67792.566688492036</v>
      </c>
      <c r="DG84" s="26">
        <f t="array" ref="DG84">IFERROR(AVERAGE(IF(tblSalaries[Job Type]=Analysis!DG$81,IF(tblSalaries[Region]=Analysis!$C84,tblSalaries[Salary in USD]))),0)</f>
        <v>131770.4440860638</v>
      </c>
      <c r="DH84" s="26">
        <f t="array" ref="DH84">IFERROR(AVERAGE(IF(tblSalaries[Job Type]=Analysis!DH$81,IF(tblSalaries[Region]=Analysis!$C84,tblSalaries[Salary in USD]))),0)</f>
        <v>65267.907013334378</v>
      </c>
      <c r="DI84" s="26">
        <f t="array" ref="DI84">IFERROR(AVERAGE(IF(tblSalaries[Job Type]=Analysis!DI$81,IF(tblSalaries[Region]=Analysis!$C84,tblSalaries[Salary in USD]))),0)</f>
        <v>0</v>
      </c>
      <c r="DJ84" s="26">
        <f t="array" ref="DJ84">IFERROR(AVERAGE(IF(tblSalaries[Job Type]=Analysis!DJ$81,IF(tblSalaries[Region]=Analysis!$C84,tblSalaries[Salary in USD]))),0)</f>
        <v>0</v>
      </c>
      <c r="DK84" s="26">
        <f t="array" ref="DK84">IFERROR(AVERAGE(IF(tblSalaries[Work Hour per day on Excel]=Analysis!DK$81,IF(tblSalaries[Region]=Analysis!$C84,tblSalaries[Salary in USD]))),0)</f>
        <v>44667.230460606537</v>
      </c>
      <c r="DL84" s="26">
        <f t="array" ref="DL84">IFERROR(AVERAGE(IF(tblSalaries[Work Hour per day on Excel]=Analysis!DL$81,IF(tblSalaries[Region]=Analysis!$C84,tblSalaries[Salary in USD]))),0)</f>
        <v>61431.302364001094</v>
      </c>
      <c r="DM84" s="26">
        <f t="array" ref="DM84">IFERROR(AVERAGE(IF(tblSalaries[Work Hour per day on Excel]=Analysis!DM$81,IF(tblSalaries[Region]=Analysis!$C84,tblSalaries[Salary in USD]))),0)</f>
        <v>81591.782554610647</v>
      </c>
      <c r="DN84" s="26">
        <f t="array" ref="DN84">IFERROR(AVERAGE(IF(tblSalaries[Work Hour per day on Excel]=Analysis!DN$81,IF(tblSalaries[Region]=Analysis!$C84,tblSalaries[Salary in USD]))),0)</f>
        <v>67032.477153233951</v>
      </c>
      <c r="DO84" s="26">
        <f t="array" ref="DO84">IFERROR(AVERAGE(IF(tblSalaries[Years of Experience]=Analysis!DO$81,IF(tblSalaries[Region]=Analysis!$C84,tblSalaries[Salary in USD]))),0)</f>
        <v>52543.005677273854</v>
      </c>
      <c r="DP84" s="26">
        <f t="array" ref="DP84">IFERROR(AVERAGE(IF(tblSalaries[Years of Experience]=Analysis!DP$81,IF(tblSalaries[Region]=Analysis!$C84,tblSalaries[Salary in USD]))),0)</f>
        <v>68721.615379410578</v>
      </c>
      <c r="DQ84" s="26">
        <f t="array" ref="DQ84">IFERROR(AVERAGE(IF(tblSalaries[Years of Experience]=Analysis!DQ$81,IF(tblSalaries[Region]=Analysis!$C84,tblSalaries[Salary in USD]))),0)</f>
        <v>81501.860520001574</v>
      </c>
      <c r="DR84" s="26">
        <f t="array" ref="DR84">IFERROR(AVERAGE(IF(tblSalaries[Years of Experience]=Analysis!DR$81,IF(tblSalaries[Region]=Analysis!$C84,tblSalaries[Salary in USD]))),0)</f>
        <v>0</v>
      </c>
      <c r="DS84" s="26">
        <f t="array" ref="DS84">IFERROR(AVERAGE(IF(tblSalaries[Years of Experience]=Analysis!DS$81,IF(tblSalaries[Region]=Analysis!$C84,tblSalaries[Salary in USD]))),0)</f>
        <v>245840.3807575817</v>
      </c>
      <c r="DT84" s="26">
        <f t="array" ref="DT84">IFERROR(MAX(IF(tblSalaries[Region]=Analysis!$C84,tblSalaries[Salary in USD])),0)</f>
        <v>245840.3807575817</v>
      </c>
      <c r="DU84" s="26">
        <f t="array" ref="DU84">IFERROR(MAX(IF(tblSalaries[Job Type]=Analysis!DU$81,IF(tblSalaries[Region]=Analysis!$C84,tblSalaries[Salary in USD]))),0)</f>
        <v>98336.152303032693</v>
      </c>
      <c r="DV84" s="26">
        <f t="array" ref="DV84">IFERROR(MAX(IF(tblSalaries[Job Type]=Analysis!DV$81,IF(tblSalaries[Region]=Analysis!$C84,tblSalaries[Salary in USD]))),0)</f>
        <v>0</v>
      </c>
      <c r="DW84" s="26">
        <f t="array" ref="DW84">IFERROR(MAX(IF(tblSalaries[Job Type]=Analysis!DW$81,IF(tblSalaries[Region]=Analysis!$C84,tblSalaries[Salary in USD]))),0)</f>
        <v>55068.245289698301</v>
      </c>
      <c r="DX84" s="26">
        <f t="array" ref="DX84">IFERROR(MAX(IF(tblSalaries[Job Type]=Analysis!DX$81,IF(tblSalaries[Region]=Analysis!$C84,tblSalaries[Salary in USD]))),0)</f>
        <v>0</v>
      </c>
      <c r="DY84" s="26">
        <f t="array" ref="DY84">IFERROR(MAX(IF(tblSalaries[Job Type]=Analysis!DY$81,IF(tblSalaries[Region]=Analysis!$C84,tblSalaries[Salary in USD]))),0)</f>
        <v>0</v>
      </c>
      <c r="DZ84" s="26">
        <f t="array" ref="DZ84">IFERROR(MAX(IF(tblSalaries[Job Type]=Analysis!DZ$81,IF(tblSalaries[Region]=Analysis!$C84,tblSalaries[Salary in USD]))),0)</f>
        <v>245840.3807575817</v>
      </c>
      <c r="EA84" s="26">
        <f t="array" ref="EA84">IFERROR(MAX(IF(tblSalaries[Job Type]=Analysis!EA$81,IF(tblSalaries[Region]=Analysis!$C84,tblSalaries[Salary in USD]))),0)</f>
        <v>131770.4440860638</v>
      </c>
      <c r="EB84" s="26">
        <f t="array" ref="EB84">IFERROR(MAX(IF(tblSalaries[Job Type]=Analysis!EB$81,IF(tblSalaries[Region]=Analysis!$C84,tblSalaries[Salary in USD]))),0)</f>
        <v>98336.152303032693</v>
      </c>
      <c r="EC84" s="26">
        <f t="array" ref="EC84">IFERROR(MAX(IF(tblSalaries[Job Type]=Analysis!EC$81,IF(tblSalaries[Region]=Analysis!$C84,tblSalaries[Salary in USD]))),0)</f>
        <v>0</v>
      </c>
      <c r="ED84" s="26">
        <f t="array" ref="ED84">IFERROR(MAX(IF(tblSalaries[Job Type]=Analysis!ED$81,IF(tblSalaries[Region]=Analysis!$C84,tblSalaries[Salary in USD]))),0)</f>
        <v>0</v>
      </c>
      <c r="EE84" s="26">
        <f t="array" ref="EE84">IFERROR(MAX(IF(tblSalaries[Work Hour per day on Excel]=Analysis!EE$81,IF(tblSalaries[Region]=Analysis!$C84,tblSalaries[Salary in USD]))),0)</f>
        <v>50000</v>
      </c>
      <c r="EF84" s="26">
        <f t="array" ref="EF84">IFERROR(MAX(IF(tblSalaries[Work Hour per day on Excel]=Analysis!EF$81,IF(tblSalaries[Region]=Analysis!$C84,tblSalaries[Salary in USD]))),0)</f>
        <v>98336.152303032693</v>
      </c>
      <c r="EG84" s="26">
        <f t="array" ref="EG84">IFERROR(MAX(IF(tblSalaries[Work Hour per day on Excel]=Analysis!EG$81,IF(tblSalaries[Region]=Analysis!$C84,tblSalaries[Salary in USD]))),0)</f>
        <v>245840.3807575817</v>
      </c>
      <c r="EH84" s="26">
        <f t="array" ref="EH84">IFERROR(MAX(IF(tblSalaries[Work Hour per day on Excel]=Analysis!EH$81,IF(tblSalaries[Region]=Analysis!$C84,tblSalaries[Salary in USD]))),0)</f>
        <v>131770.4440860638</v>
      </c>
      <c r="EI84" s="26">
        <f t="array" ref="EI84">IFERROR(MAX(IF(tblSalaries[Years of Experience]=Analysis!EI$81,IF(tblSalaries[Region]=Analysis!$C84,tblSalaries[Salary in USD]))),0)</f>
        <v>98336.152303032693</v>
      </c>
      <c r="EJ84" s="26">
        <f t="array" ref="EJ84">IFERROR(MAX(IF(tblSalaries[Years of Experience]=Analysis!EJ$81,IF(tblSalaries[Region]=Analysis!$C84,tblSalaries[Salary in USD]))),0)</f>
        <v>98336.152303032693</v>
      </c>
      <c r="EK84" s="26">
        <f t="array" ref="EK84">IFERROR(MAX(IF(tblSalaries[Years of Experience]=Analysis!EK$81,IF(tblSalaries[Region]=Analysis!$C84,tblSalaries[Salary in USD]))),0)</f>
        <v>131770.4440860638</v>
      </c>
      <c r="EL84" s="26">
        <f t="array" ref="EL84">IFERROR(MAX(IF(tblSalaries[Years of Experience]=Analysis!EL$81,IF(tblSalaries[Region]=Analysis!$C84,tblSalaries[Salary in USD]))),0)</f>
        <v>0</v>
      </c>
      <c r="EM84" s="26">
        <f t="array" ref="EM84">IFERROR(MAX(IF(tblSalaries[Years of Experience]=Analysis!EM$81,IF(tblSalaries[Region]=Analysis!$C84,tblSalaries[Salary in USD]))),0)</f>
        <v>245840.3807575817</v>
      </c>
      <c r="EN84" s="26">
        <f t="array" ref="EN84">IFERROR(MIN(IF(tblSalaries[Region]=Analysis!$C84,tblSalaries[Salary in USD])),0)</f>
        <v>20000</v>
      </c>
      <c r="EO84" s="26">
        <f t="array" ref="EO84">IFERROR(MIN(IF(tblSalaries[Job Type]=Analysis!EO$81,IF(tblSalaries[Region]=Analysis!$C84,tblSalaries[Salary in USD]))),0)</f>
        <v>98336.152303032693</v>
      </c>
      <c r="EP84" s="26">
        <f t="array" ref="EP84">IFERROR(MIN(IF(tblSalaries[Job Type]=Analysis!EP$81,IF(tblSalaries[Region]=Analysis!$C84,tblSalaries[Salary in USD]))),0)</f>
        <v>0</v>
      </c>
      <c r="EQ84" s="26">
        <f t="array" ref="EQ84">IFERROR(MIN(IF(tblSalaries[Job Type]=Analysis!EQ$81,IF(tblSalaries[Region]=Analysis!$C84,tblSalaries[Salary in USD]))),0)</f>
        <v>55068.245289698301</v>
      </c>
      <c r="ER84" s="26">
        <f t="array" ref="ER84">IFERROR(MIN(IF(tblSalaries[Job Type]=Analysis!ER$81,IF(tblSalaries[Region]=Analysis!$C84,tblSalaries[Salary in USD]))),0)</f>
        <v>0</v>
      </c>
      <c r="ES84" s="26">
        <f t="array" ref="ES84">IFERROR(MIN(IF(tblSalaries[Job Type]=Analysis!ES$81,IF(tblSalaries[Region]=Analysis!$C84,tblSalaries[Salary in USD]))),0)</f>
        <v>0</v>
      </c>
      <c r="ET84" s="26">
        <f t="array" ref="ET84">IFERROR(MIN(IF(tblSalaries[Job Type]=Analysis!ET$81,IF(tblSalaries[Region]=Analysis!$C84,tblSalaries[Salary in USD]))),0)</f>
        <v>20000</v>
      </c>
      <c r="EU84" s="26">
        <f t="array" ref="EU84">IFERROR(MIN(IF(tblSalaries[Job Type]=Analysis!EU$81,IF(tblSalaries[Region]=Analysis!$C84,tblSalaries[Salary in USD]))),0)</f>
        <v>131770.4440860638</v>
      </c>
      <c r="EV84" s="26">
        <f t="array" ref="EV84">IFERROR(MIN(IF(tblSalaries[Job Type]=Analysis!EV$81,IF(tblSalaries[Region]=Analysis!$C84,tblSalaries[Salary in USD]))),0)</f>
        <v>50000</v>
      </c>
      <c r="EW84" s="26">
        <f t="array" ref="EW84">IFERROR(MIN(IF(tblSalaries[Job Type]=Analysis!EW$81,IF(tblSalaries[Region]=Analysis!$C84,tblSalaries[Salary in USD]))),0)</f>
        <v>0</v>
      </c>
      <c r="EX84" s="26">
        <f t="array" ref="EX84">IFERROR(MIN(IF(tblSalaries[Job Type]=Analysis!EX$81,IF(tblSalaries[Region]=Analysis!$C84,tblSalaries[Salary in USD]))),0)</f>
        <v>0</v>
      </c>
      <c r="EY84" s="26">
        <f t="array" ref="EY84">IFERROR(MIN(IF(tblSalaries[Work Hour per day on Excel]=Analysis!EY$81,IF(tblSalaries[Region]=Analysis!$C84,tblSalaries[Salary in USD]))),0)</f>
        <v>39334.460921213074</v>
      </c>
      <c r="EZ84" s="26">
        <f t="array" ref="EZ84">IFERROR(MIN(IF(tblSalaries[Work Hour per day on Excel]=Analysis!EZ$81,IF(tblSalaries[Region]=Analysis!$C84,tblSalaries[Salary in USD]))),0)</f>
        <v>20000</v>
      </c>
      <c r="FA84" s="26">
        <f t="array" ref="FA84">IFERROR(MIN(IF(tblSalaries[Work Hour per day on Excel]=Analysis!FA$81,IF(tblSalaries[Region]=Analysis!$C84,tblSalaries[Salary in USD]))),0)</f>
        <v>49168.076151516347</v>
      </c>
      <c r="FB84" s="26">
        <f t="array" ref="FB84">IFERROR(MIN(IF(tblSalaries[Work Hour per day on Excel]=Analysis!FB$81,IF(tblSalaries[Region]=Analysis!$C84,tblSalaries[Salary in USD]))),0)</f>
        <v>34417.653306061438</v>
      </c>
      <c r="FC84" s="26">
        <f t="array" ref="FC84">IFERROR(MIN(IF(tblSalaries[Years of Experience]=Analysis!FC$81,IF(tblSalaries[Region]=Analysis!$C84,tblSalaries[Salary in USD]))),0)</f>
        <v>20000</v>
      </c>
      <c r="FD84" s="26">
        <f t="array" ref="FD84">IFERROR(MIN(IF(tblSalaries[Years of Experience]=Analysis!FD$81,IF(tblSalaries[Region]=Analysis!$C84,tblSalaries[Salary in USD]))),0)</f>
        <v>50437.70470615309</v>
      </c>
      <c r="FE84" s="26">
        <f t="array" ref="FE84">IFERROR(MIN(IF(tblSalaries[Years of Experience]=Analysis!FE$81,IF(tblSalaries[Region]=Analysis!$C84,tblSalaries[Salary in USD]))),0)</f>
        <v>63918.498996971248</v>
      </c>
      <c r="FF84" s="26">
        <f t="array" ref="FF84">IFERROR(MIN(IF(tblSalaries[Years of Experience]=Analysis!FF$81,IF(tblSalaries[Region]=Analysis!$C84,tblSalaries[Salary in USD]))),0)</f>
        <v>0</v>
      </c>
      <c r="FG84" s="26">
        <f t="array" ref="FG84">IFERROR(MIN(IF(tblSalaries[Years of Experience]=Analysis!FG$81,IF(tblSalaries[Region]=Analysis!$C84,tblSalaries[Salary in USD]))),0)</f>
        <v>245840.3807575817</v>
      </c>
      <c r="FH84" s="26">
        <f t="array" ref="FH84">IFERROR(COUNT(IF(tblSalaries[Region]=Analysis!$C84,tblSalaries[Salary in USD])),0)</f>
        <v>24</v>
      </c>
      <c r="FI84" s="26">
        <f t="array" ref="FI84">IFERROR(COUNT(IF(tblSalaries[Job Type]=Analysis!FI$81,IF(tblSalaries[Region]=Analysis!$C84,tblSalaries[Salary in USD]))),0)</f>
        <v>1</v>
      </c>
      <c r="FJ84" s="26">
        <f t="array" ref="FJ84">IFERROR(COUNT(IF(tblSalaries[Job Type]=Analysis!FJ$81,IF(tblSalaries[Region]=Analysis!$C84,tblSalaries[Salary in USD]))),0)</f>
        <v>0</v>
      </c>
      <c r="FK84" s="26">
        <f t="array" ref="FK84">IFERROR(COUNT(IF(tblSalaries[Job Type]=Analysis!FK$81,IF(tblSalaries[Region]=Analysis!$C84,tblSalaries[Salary in USD]))),0)</f>
        <v>1</v>
      </c>
      <c r="FL84" s="26">
        <f t="array" ref="FL84">IFERROR(COUNT(IF(tblSalaries[Job Type]=Analysis!FL$81,IF(tblSalaries[Region]=Analysis!$C84,tblSalaries[Salary in USD]))),0)</f>
        <v>0</v>
      </c>
      <c r="FM84" s="26">
        <f t="array" ref="FM84">IFERROR(COUNT(IF(tblSalaries[Job Type]=Analysis!FM$81,IF(tblSalaries[Region]=Analysis!$C84,tblSalaries[Salary in USD]))),0)</f>
        <v>0</v>
      </c>
      <c r="FN84" s="26">
        <f t="array" ref="FN84">IFERROR(COUNT(IF(tblSalaries[Job Type]=Analysis!FN$81,IF(tblSalaries[Region]=Analysis!$C84,tblSalaries[Salary in USD]))),0)</f>
        <v>16</v>
      </c>
      <c r="FO84" s="26">
        <f t="array" ref="FO84">IFERROR(COUNT(IF(tblSalaries[Job Type]=Analysis!FO$81,IF(tblSalaries[Region]=Analysis!$C84,tblSalaries[Salary in USD]))),0)</f>
        <v>1</v>
      </c>
      <c r="FP84" s="26">
        <f t="array" ref="FP84">IFERROR(COUNT(IF(tblSalaries[Job Type]=Analysis!FP$81,IF(tblSalaries[Region]=Analysis!$C84,tblSalaries[Salary in USD]))),0)</f>
        <v>5</v>
      </c>
      <c r="FQ84" s="26">
        <f t="array" ref="FQ84">IFERROR(COUNT(IF(tblSalaries[Job Type]=Analysis!FQ$81,IF(tblSalaries[Region]=Analysis!$C84,tblSalaries[Salary in USD]))),0)</f>
        <v>0</v>
      </c>
      <c r="FR84" s="26">
        <f t="array" ref="FR84">IFERROR(COUNT(IF(tblSalaries[Job Type]=Analysis!FR$81,IF(tblSalaries[Region]=Analysis!$C84,tblSalaries[Salary in USD]))),0)</f>
        <v>0</v>
      </c>
      <c r="FS84" s="26">
        <f t="array" ref="FS84">IFERROR(COUNT(IF(tblSalaries[Work Hour per day on Excel]=Analysis!FS$81,IF(tblSalaries[Region]=Analysis!$C84,tblSalaries[Salary in USD]))),0)</f>
        <v>2</v>
      </c>
      <c r="FT84" s="26">
        <f t="array" ref="FT84">IFERROR(COUNT(IF(tblSalaries[Work Hour per day on Excel]=Analysis!FT$81,IF(tblSalaries[Region]=Analysis!$C84,tblSalaries[Salary in USD]))),0)</f>
        <v>5</v>
      </c>
      <c r="FU84" s="26">
        <f t="array" ref="FU84">IFERROR(COUNT(IF(tblSalaries[Work Hour per day on Excel]=Analysis!FU$81,IF(tblSalaries[Region]=Analysis!$C84,tblSalaries[Salary in USD]))),0)</f>
        <v>11</v>
      </c>
      <c r="FV84" s="26">
        <f t="array" ref="FV84">IFERROR(COUNT(IF(tblSalaries[Work Hour per day on Excel]=Analysis!FV$81,IF(tblSalaries[Region]=Analysis!$C84,tblSalaries[Salary in USD]))),0)</f>
        <v>6</v>
      </c>
      <c r="FW84" s="26">
        <f t="array" ref="FW84">IFERROR(COUNT(IF(tblSalaries[Years of Experience]=Analysis!FW$81,IF(tblSalaries[Region]=Analysis!$C84,tblSalaries[Salary in USD]))),0)</f>
        <v>12</v>
      </c>
      <c r="FX84" s="26">
        <f t="array" ref="FX84">IFERROR(COUNT(IF(tblSalaries[Years of Experience]=Analysis!FX$81,IF(tblSalaries[Region]=Analysis!$C84,tblSalaries[Salary in USD]))),0)</f>
        <v>6</v>
      </c>
      <c r="FY84" s="26">
        <f t="array" ref="FY84">IFERROR(COUNT(IF(tblSalaries[Years of Experience]=Analysis!FY$81,IF(tblSalaries[Region]=Analysis!$C84,tblSalaries[Salary in USD]))),0)</f>
        <v>5</v>
      </c>
      <c r="FZ84" s="26">
        <f t="array" ref="FZ84">IFERROR(COUNT(IF(tblSalaries[Years of Experience]=Analysis!FZ$81,IF(tblSalaries[Region]=Analysis!$C84,tblSalaries[Salary in USD]))),0)</f>
        <v>0</v>
      </c>
      <c r="GA84" s="26">
        <f t="array" ref="GA84">IFERROR(COUNT(IF(tblSalaries[Years of Experience]=Analysis!GA$81,IF(tblSalaries[Region]=Analysis!$C84,tblSalaries[Salary in USD]))),0)</f>
        <v>1</v>
      </c>
    </row>
    <row r="85" spans="2:183" s="25" customFormat="1" ht="15" hidden="1" customHeight="1" x14ac:dyDescent="0.25">
      <c r="B85" s="25">
        <f t="shared" si="149"/>
        <v>4</v>
      </c>
      <c r="C85" s="25" t="s">
        <v>15</v>
      </c>
      <c r="D85" s="26">
        <f t="shared" si="129"/>
        <v>62818.382566752676</v>
      </c>
      <c r="E85" s="26">
        <f t="shared" si="130"/>
        <v>72898.245083111891</v>
      </c>
      <c r="F85" s="26">
        <f t="shared" si="131"/>
        <v>110647.71469912333</v>
      </c>
      <c r="G85" s="26">
        <f t="shared" si="132"/>
        <v>89101.357719963562</v>
      </c>
      <c r="H85" s="26">
        <f t="shared" si="133"/>
        <v>61864.997178640901</v>
      </c>
      <c r="I85" s="26">
        <f t="shared" si="134"/>
        <v>108826.17800937092</v>
      </c>
      <c r="J85" s="26">
        <f t="shared" si="135"/>
        <v>51905.084421859567</v>
      </c>
      <c r="K85" s="26">
        <f t="shared" si="136"/>
        <v>55059.788269721044</v>
      </c>
      <c r="L85" s="26">
        <f t="shared" si="137"/>
        <v>67841.549950665634</v>
      </c>
      <c r="M85" s="26">
        <f t="shared" si="138"/>
        <v>0</v>
      </c>
      <c r="N85" s="26">
        <f t="shared" si="139"/>
        <v>31939.07519316065</v>
      </c>
      <c r="O85" s="26">
        <f t="shared" si="140"/>
        <v>66790.554278851167</v>
      </c>
      <c r="P85" s="26">
        <f t="shared" si="141"/>
        <v>72791.064960611329</v>
      </c>
      <c r="Q85" s="26">
        <f t="shared" si="142"/>
        <v>64090.816412750522</v>
      </c>
      <c r="R85" s="26">
        <f t="shared" si="143"/>
        <v>49960.599708812326</v>
      </c>
      <c r="S85" s="26">
        <f t="shared" si="144"/>
        <v>51251.089100846541</v>
      </c>
      <c r="T85" s="26">
        <f t="shared" si="145"/>
        <v>67065.59621645161</v>
      </c>
      <c r="U85" s="26">
        <f t="shared" si="146"/>
        <v>73442.541508111302</v>
      </c>
      <c r="V85" s="26">
        <f t="shared" si="147"/>
        <v>63106.237567893892</v>
      </c>
      <c r="W85" s="26">
        <f t="shared" si="148"/>
        <v>47285.348162018519</v>
      </c>
      <c r="CZ85" s="26">
        <f t="array" ref="CZ85">IFERROR(AVERAGE(IF(tblSalaries[Region]=Analysis!$C85,tblSalaries[Salary in USD])),0)</f>
        <v>62818.382566752676</v>
      </c>
      <c r="DA85" s="26">
        <f t="array" ref="DA85">IFERROR(AVERAGE(IF(tblSalaries[Job Type]=Analysis!DA$81,IF(tblSalaries[Region]=Analysis!$C85,tblSalaries[Salary in USD]))),0)</f>
        <v>72898.245083111891</v>
      </c>
      <c r="DB85" s="26">
        <f t="array" ref="DB85">IFERROR(AVERAGE(IF(tblSalaries[Job Type]=Analysis!DB$81,IF(tblSalaries[Region]=Analysis!$C85,tblSalaries[Salary in USD]))),0)</f>
        <v>110647.71469912333</v>
      </c>
      <c r="DC85" s="26">
        <f t="array" ref="DC85">IFERROR(AVERAGE(IF(tblSalaries[Job Type]=Analysis!DC$81,IF(tblSalaries[Region]=Analysis!$C85,tblSalaries[Salary in USD]))),0)</f>
        <v>89101.357719963562</v>
      </c>
      <c r="DD85" s="26">
        <f t="array" ref="DD85">IFERROR(AVERAGE(IF(tblSalaries[Job Type]=Analysis!DD$81,IF(tblSalaries[Region]=Analysis!$C85,tblSalaries[Salary in USD]))),0)</f>
        <v>61864.997178640901</v>
      </c>
      <c r="DE85" s="26">
        <f t="array" ref="DE85">IFERROR(AVERAGE(IF(tblSalaries[Job Type]=Analysis!DE$81,IF(tblSalaries[Region]=Analysis!$C85,tblSalaries[Salary in USD]))),0)</f>
        <v>108826.17800937092</v>
      </c>
      <c r="DF85" s="26">
        <f t="array" ref="DF85">IFERROR(AVERAGE(IF(tblSalaries[Job Type]=Analysis!DF$81,IF(tblSalaries[Region]=Analysis!$C85,tblSalaries[Salary in USD]))),0)</f>
        <v>51905.084421859567</v>
      </c>
      <c r="DG85" s="26">
        <f t="array" ref="DG85">IFERROR(AVERAGE(IF(tblSalaries[Job Type]=Analysis!DG$81,IF(tblSalaries[Region]=Analysis!$C85,tblSalaries[Salary in USD]))),0)</f>
        <v>55059.788269721044</v>
      </c>
      <c r="DH85" s="26">
        <f t="array" ref="DH85">IFERROR(AVERAGE(IF(tblSalaries[Job Type]=Analysis!DH$81,IF(tblSalaries[Region]=Analysis!$C85,tblSalaries[Salary in USD]))),0)</f>
        <v>67841.549950665634</v>
      </c>
      <c r="DI85" s="26">
        <f t="array" ref="DI85">IFERROR(AVERAGE(IF(tblSalaries[Job Type]=Analysis!DI$81,IF(tblSalaries[Region]=Analysis!$C85,tblSalaries[Salary in USD]))),0)</f>
        <v>0</v>
      </c>
      <c r="DJ85" s="26">
        <f t="array" ref="DJ85">IFERROR(AVERAGE(IF(tblSalaries[Job Type]=Analysis!DJ$81,IF(tblSalaries[Region]=Analysis!$C85,tblSalaries[Salary in USD]))),0)</f>
        <v>31939.07519316065</v>
      </c>
      <c r="DK85" s="26">
        <f t="array" ref="DK85">IFERROR(AVERAGE(IF(tblSalaries[Work Hour per day on Excel]=Analysis!DK$81,IF(tblSalaries[Region]=Analysis!$C85,tblSalaries[Salary in USD]))),0)</f>
        <v>66790.554278851167</v>
      </c>
      <c r="DL85" s="26">
        <f t="array" ref="DL85">IFERROR(AVERAGE(IF(tblSalaries[Work Hour per day on Excel]=Analysis!DL$81,IF(tblSalaries[Region]=Analysis!$C85,tblSalaries[Salary in USD]))),0)</f>
        <v>72791.064960611329</v>
      </c>
      <c r="DM85" s="26">
        <f t="array" ref="DM85">IFERROR(AVERAGE(IF(tblSalaries[Work Hour per day on Excel]=Analysis!DM$81,IF(tblSalaries[Region]=Analysis!$C85,tblSalaries[Salary in USD]))),0)</f>
        <v>64090.816412750522</v>
      </c>
      <c r="DN85" s="26">
        <f t="array" ref="DN85">IFERROR(AVERAGE(IF(tblSalaries[Work Hour per day on Excel]=Analysis!DN$81,IF(tblSalaries[Region]=Analysis!$C85,tblSalaries[Salary in USD]))),0)</f>
        <v>49960.599708812326</v>
      </c>
      <c r="DO85" s="26">
        <f t="array" ref="DO85">IFERROR(AVERAGE(IF(tblSalaries[Years of Experience]=Analysis!DO$81,IF(tblSalaries[Region]=Analysis!$C85,tblSalaries[Salary in USD]))),0)</f>
        <v>51251.089100846541</v>
      </c>
      <c r="DP85" s="26">
        <f t="array" ref="DP85">IFERROR(AVERAGE(IF(tblSalaries[Years of Experience]=Analysis!DP$81,IF(tblSalaries[Region]=Analysis!$C85,tblSalaries[Salary in USD]))),0)</f>
        <v>67065.59621645161</v>
      </c>
      <c r="DQ85" s="26">
        <f t="array" ref="DQ85">IFERROR(AVERAGE(IF(tblSalaries[Years of Experience]=Analysis!DQ$81,IF(tblSalaries[Region]=Analysis!$C85,tblSalaries[Salary in USD]))),0)</f>
        <v>73442.541508111302</v>
      </c>
      <c r="DR85" s="26">
        <f t="array" ref="DR85">IFERROR(AVERAGE(IF(tblSalaries[Years of Experience]=Analysis!DR$81,IF(tblSalaries[Region]=Analysis!$C85,tblSalaries[Salary in USD]))),0)</f>
        <v>63106.237567893892</v>
      </c>
      <c r="DS85" s="26">
        <f t="array" ref="DS85">IFERROR(AVERAGE(IF(tblSalaries[Years of Experience]=Analysis!DS$81,IF(tblSalaries[Region]=Analysis!$C85,tblSalaries[Salary in USD]))),0)</f>
        <v>47285.348162018519</v>
      </c>
      <c r="DT85" s="26">
        <f t="array" ref="DT85">IFERROR(MAX(IF(tblSalaries[Region]=Analysis!$C85,tblSalaries[Salary in USD])),0)</f>
        <v>231119.74856804207</v>
      </c>
      <c r="DU85" s="26">
        <f t="array" ref="DU85">IFERROR(MAX(IF(tblSalaries[Job Type]=Analysis!DU$81,IF(tblSalaries[Region]=Analysis!$C85,tblSalaries[Salary in USD]))),0)</f>
        <v>86689.804963700633</v>
      </c>
      <c r="DV85" s="26">
        <f t="array" ref="DV85">IFERROR(MAX(IF(tblSalaries[Job Type]=Analysis!DV$81,IF(tblSalaries[Region]=Analysis!$C85,tblSalaries[Salary in USD]))),0)</f>
        <v>157617.8272067284</v>
      </c>
      <c r="DW85" s="26">
        <f t="array" ref="DW85">IFERROR(MAX(IF(tblSalaries[Job Type]=Analysis!DW$81,IF(tblSalaries[Region]=Analysis!$C85,tblSalaries[Salary in USD]))),0)</f>
        <v>126094.26176538273</v>
      </c>
      <c r="DX85" s="26">
        <f t="array" ref="DX85">IFERROR(MAX(IF(tblSalaries[Job Type]=Analysis!DX$81,IF(tblSalaries[Region]=Analysis!$C85,tblSalaries[Salary in USD]))),0)</f>
        <v>99299.231140238902</v>
      </c>
      <c r="DY85" s="26">
        <f t="array" ref="DY85">IFERROR(MAX(IF(tblSalaries[Job Type]=Analysis!DY$81,IF(tblSalaries[Region]=Analysis!$C85,tblSalaries[Salary in USD]))),0)</f>
        <v>231119.74856804207</v>
      </c>
      <c r="DZ85" s="26">
        <f t="array" ref="DZ85">IFERROR(MAX(IF(tblSalaries[Job Type]=Analysis!DZ$81,IF(tblSalaries[Region]=Analysis!$C85,tblSalaries[Salary in USD]))),0)</f>
        <v>124518.08349331544</v>
      </c>
      <c r="EA85" s="26">
        <f t="array" ref="EA85">IFERROR(MAX(IF(tblSalaries[Job Type]=Analysis!EA$81,IF(tblSalaries[Region]=Analysis!$C85,tblSalaries[Salary in USD]))),0)</f>
        <v>126094.26176538273</v>
      </c>
      <c r="EB85" s="26">
        <f t="array" ref="EB85">IFERROR(MAX(IF(tblSalaries[Job Type]=Analysis!EB$81,IF(tblSalaries[Region]=Analysis!$C85,tblSalaries[Salary in USD]))),0)</f>
        <v>118213.37040504631</v>
      </c>
      <c r="EC85" s="26">
        <f t="array" ref="EC85">IFERROR(MAX(IF(tblSalaries[Job Type]=Analysis!EC$81,IF(tblSalaries[Region]=Analysis!$C85,tblSalaries[Salary in USD]))),0)</f>
        <v>0</v>
      </c>
      <c r="ED85" s="26">
        <f t="array" ref="ED85">IFERROR(MAX(IF(tblSalaries[Job Type]=Analysis!ED$81,IF(tblSalaries[Region]=Analysis!$C85,tblSalaries[Salary in USD]))),0)</f>
        <v>45709.169889951241</v>
      </c>
      <c r="EE85" s="26">
        <f t="array" ref="EE85">IFERROR(MAX(IF(tblSalaries[Work Hour per day on Excel]=Analysis!EE$81,IF(tblSalaries[Region]=Analysis!$C85,tblSalaries[Salary in USD]))),0)</f>
        <v>102451.58768437347</v>
      </c>
      <c r="EF85" s="26">
        <f t="array" ref="EF85">IFERROR(MAX(IF(tblSalaries[Work Hour per day on Excel]=Analysis!EF$81,IF(tblSalaries[Region]=Analysis!$C85,tblSalaries[Salary in USD]))),0)</f>
        <v>231119.74856804207</v>
      </c>
      <c r="EG85" s="26">
        <f t="array" ref="EG85">IFERROR(MAX(IF(tblSalaries[Work Hour per day on Excel]=Analysis!EG$81,IF(tblSalaries[Region]=Analysis!$C85,tblSalaries[Salary in USD]))),0)</f>
        <v>126094.26176538273</v>
      </c>
      <c r="EH85" s="26">
        <f t="array" ref="EH85">IFERROR(MAX(IF(tblSalaries[Work Hour per day on Excel]=Analysis!EH$81,IF(tblSalaries[Region]=Analysis!$C85,tblSalaries[Salary in USD]))),0)</f>
        <v>91418.339779902482</v>
      </c>
      <c r="EI85" s="26">
        <f t="array" ref="EI85">IFERROR(MAX(IF(tblSalaries[Years of Experience]=Analysis!EI$81,IF(tblSalaries[Region]=Analysis!$C85,tblSalaries[Salary in USD]))),0)</f>
        <v>116637.19213297902</v>
      </c>
      <c r="EJ85" s="26">
        <f t="array" ref="EJ85">IFERROR(MAX(IF(tblSalaries[Years of Experience]=Analysis!EJ$81,IF(tblSalaries[Region]=Analysis!$C85,tblSalaries[Salary in USD]))),0)</f>
        <v>231119.74856804207</v>
      </c>
      <c r="EK85" s="26">
        <f t="array" ref="EK85">IFERROR(MAX(IF(tblSalaries[Years of Experience]=Analysis!EK$81,IF(tblSalaries[Region]=Analysis!$C85,tblSalaries[Salary in USD]))),0)</f>
        <v>157617.8272067284</v>
      </c>
      <c r="EL85" s="26">
        <f t="array" ref="EL85">IFERROR(MAX(IF(tblSalaries[Years of Experience]=Analysis!EL$81,IF(tblSalaries[Region]=Analysis!$C85,tblSalaries[Salary in USD]))),0)</f>
        <v>86689.804963700633</v>
      </c>
      <c r="EM85" s="26">
        <f t="array" ref="EM85">IFERROR(MAX(IF(tblSalaries[Years of Experience]=Analysis!EM$81,IF(tblSalaries[Region]=Analysis!$C85,tblSalaries[Salary in USD]))),0)</f>
        <v>55166.239522354947</v>
      </c>
      <c r="EN85" s="26">
        <f t="array" ref="EN85">IFERROR(MIN(IF(tblSalaries[Region]=Analysis!$C85,tblSalaries[Salary in USD])),0)</f>
        <v>15761.782720672842</v>
      </c>
      <c r="EO85" s="26">
        <f t="array" ref="EO85">IFERROR(MIN(IF(tblSalaries[Job Type]=Analysis!EO$81,IF(tblSalaries[Region]=Analysis!$C85,tblSalaries[Salary in USD]))),0)</f>
        <v>55166.239522354947</v>
      </c>
      <c r="EP85" s="26">
        <f t="array" ref="EP85">IFERROR(MIN(IF(tblSalaries[Job Type]=Analysis!EP$81,IF(tblSalaries[Region]=Analysis!$C85,tblSalaries[Salary in USD]))),0)</f>
        <v>67775.665698893223</v>
      </c>
      <c r="EQ85" s="26">
        <f t="array" ref="EQ85">IFERROR(MIN(IF(tblSalaries[Job Type]=Analysis!EQ$81,IF(tblSalaries[Region]=Analysis!$C85,tblSalaries[Salary in USD]))),0)</f>
        <v>40980.635073749385</v>
      </c>
      <c r="ER85" s="26">
        <f t="array" ref="ER85">IFERROR(MIN(IF(tblSalaries[Job Type]=Analysis!ER$81,IF(tblSalaries[Region]=Analysis!$C85,tblSalaries[Salary in USD]))),0)</f>
        <v>37828.278529614821</v>
      </c>
      <c r="ES85" s="26">
        <f t="array" ref="ES85">IFERROR(MIN(IF(tblSalaries[Job Type]=Analysis!ES$81,IF(tblSalaries[Region]=Analysis!$C85,tblSalaries[Salary in USD]))),0)</f>
        <v>42556.81334581667</v>
      </c>
      <c r="ET85" s="26">
        <f t="array" ref="ET85">IFERROR(MIN(IF(tblSalaries[Job Type]=Analysis!ET$81,IF(tblSalaries[Region]=Analysis!$C85,tblSalaries[Salary in USD]))),0)</f>
        <v>15761.782720672842</v>
      </c>
      <c r="EU85" s="26">
        <f t="array" ref="EU85">IFERROR(MIN(IF(tblSalaries[Job Type]=Analysis!EU$81,IF(tblSalaries[Region]=Analysis!$C85,tblSalaries[Salary in USD]))),0)</f>
        <v>19000</v>
      </c>
      <c r="EV85" s="26">
        <f t="array" ref="EV85">IFERROR(MIN(IF(tblSalaries[Job Type]=Analysis!EV$81,IF(tblSalaries[Region]=Analysis!$C85,tblSalaries[Salary in USD]))),0)</f>
        <v>34675.92198548025</v>
      </c>
      <c r="EW85" s="26">
        <f t="array" ref="EW85">IFERROR(MIN(IF(tblSalaries[Job Type]=Analysis!EW$81,IF(tblSalaries[Region]=Analysis!$C85,tblSalaries[Salary in USD]))),0)</f>
        <v>0</v>
      </c>
      <c r="EX85" s="26">
        <f t="array" ref="EX85">IFERROR(MIN(IF(tblSalaries[Job Type]=Analysis!EX$81,IF(tblSalaries[Region]=Analysis!$C85,tblSalaries[Salary in USD]))),0)</f>
        <v>19000</v>
      </c>
      <c r="EY85" s="26">
        <f t="array" ref="EY85">IFERROR(MIN(IF(tblSalaries[Work Hour per day on Excel]=Analysis!EY$81,IF(tblSalaries[Region]=Analysis!$C85,tblSalaries[Salary in USD]))),0)</f>
        <v>44921.080753917595</v>
      </c>
      <c r="EZ85" s="26">
        <f t="array" ref="EZ85">IFERROR(MIN(IF(tblSalaries[Work Hour per day on Excel]=Analysis!EZ$81,IF(tblSalaries[Region]=Analysis!$C85,tblSalaries[Salary in USD]))),0)</f>
        <v>15761.782720672842</v>
      </c>
      <c r="FA85" s="26">
        <f t="array" ref="FA85">IFERROR(MIN(IF(tblSalaries[Work Hour per day on Excel]=Analysis!FA$81,IF(tblSalaries[Region]=Analysis!$C85,tblSalaries[Salary in USD]))),0)</f>
        <v>19000</v>
      </c>
      <c r="FB85" s="26">
        <f t="array" ref="FB85">IFERROR(MIN(IF(tblSalaries[Work Hour per day on Excel]=Analysis!FB$81,IF(tblSalaries[Region]=Analysis!$C85,tblSalaries[Salary in USD]))),0)</f>
        <v>19000</v>
      </c>
      <c r="FC85" s="26">
        <f t="array" ref="FC85">IFERROR(MIN(IF(tblSalaries[Years of Experience]=Analysis!FC$81,IF(tblSalaries[Region]=Analysis!$C85,tblSalaries[Salary in USD]))),0)</f>
        <v>23642.674081009263</v>
      </c>
      <c r="FD85" s="26">
        <f t="array" ref="FD85">IFERROR(MIN(IF(tblSalaries[Years of Experience]=Analysis!FD$81,IF(tblSalaries[Region]=Analysis!$C85,tblSalaries[Salary in USD]))),0)</f>
        <v>15761.782720672842</v>
      </c>
      <c r="FE85" s="26">
        <f t="array" ref="FE85">IFERROR(MIN(IF(tblSalaries[Years of Experience]=Analysis!FE$81,IF(tblSalaries[Region]=Analysis!$C85,tblSalaries[Salary in USD]))),0)</f>
        <v>19000</v>
      </c>
      <c r="FF85" s="26">
        <f t="array" ref="FF85">IFERROR(MIN(IF(tblSalaries[Years of Experience]=Analysis!FF$81,IF(tblSalaries[Region]=Analysis!$C85,tblSalaries[Salary in USD]))),0)</f>
        <v>45393.934235537781</v>
      </c>
      <c r="FG85" s="26">
        <f t="array" ref="FG85">IFERROR(MIN(IF(tblSalaries[Years of Experience]=Analysis!FG$81,IF(tblSalaries[Region]=Analysis!$C85,tblSalaries[Salary in USD]))),0)</f>
        <v>39404.456801682099</v>
      </c>
      <c r="FH85" s="26">
        <f t="array" ref="FH85">IFERROR(COUNT(IF(tblSalaries[Region]=Analysis!$C85,tblSalaries[Salary in USD])),0)</f>
        <v>111</v>
      </c>
      <c r="FI85" s="26">
        <f t="array" ref="FI85">IFERROR(COUNT(IF(tblSalaries[Job Type]=Analysis!FI$81,IF(tblSalaries[Region]=Analysis!$C85,tblSalaries[Salary in USD]))),0)</f>
        <v>4</v>
      </c>
      <c r="FJ85" s="26">
        <f t="array" ref="FJ85">IFERROR(COUNT(IF(tblSalaries[Job Type]=Analysis!FJ$81,IF(tblSalaries[Region]=Analysis!$C85,tblSalaries[Salary in USD]))),0)</f>
        <v>5</v>
      </c>
      <c r="FK85" s="26">
        <f t="array" ref="FK85">IFERROR(COUNT(IF(tblSalaries[Job Type]=Analysis!FK$81,IF(tblSalaries[Region]=Analysis!$C85,tblSalaries[Salary in USD]))),0)</f>
        <v>7</v>
      </c>
      <c r="FL85" s="26">
        <f t="array" ref="FL85">IFERROR(COUNT(IF(tblSalaries[Job Type]=Analysis!FL$81,IF(tblSalaries[Region]=Analysis!$C85,tblSalaries[Salary in USD]))),0)</f>
        <v>4</v>
      </c>
      <c r="FM85" s="26">
        <f t="array" ref="FM85">IFERROR(COUNT(IF(tblSalaries[Job Type]=Analysis!FM$81,IF(tblSalaries[Region]=Analysis!$C85,tblSalaries[Salary in USD]))),0)</f>
        <v>3</v>
      </c>
      <c r="FN85" s="26">
        <f t="array" ref="FN85">IFERROR(COUNT(IF(tblSalaries[Job Type]=Analysis!FN$81,IF(tblSalaries[Region]=Analysis!$C85,tblSalaries[Salary in USD]))),0)</f>
        <v>45</v>
      </c>
      <c r="FO85" s="26">
        <f t="array" ref="FO85">IFERROR(COUNT(IF(tblSalaries[Job Type]=Analysis!FO$81,IF(tblSalaries[Region]=Analysis!$C85,tblSalaries[Salary in USD]))),0)</f>
        <v>14</v>
      </c>
      <c r="FP85" s="26">
        <f t="array" ref="FP85">IFERROR(COUNT(IF(tblSalaries[Job Type]=Analysis!FP$81,IF(tblSalaries[Region]=Analysis!$C85,tblSalaries[Salary in USD]))),0)</f>
        <v>25</v>
      </c>
      <c r="FQ85" s="26">
        <f t="array" ref="FQ85">IFERROR(COUNT(IF(tblSalaries[Job Type]=Analysis!FQ$81,IF(tblSalaries[Region]=Analysis!$C85,tblSalaries[Salary in USD]))),0)</f>
        <v>0</v>
      </c>
      <c r="FR85" s="26">
        <f t="array" ref="FR85">IFERROR(COUNT(IF(tblSalaries[Job Type]=Analysis!FR$81,IF(tblSalaries[Region]=Analysis!$C85,tblSalaries[Salary in USD]))),0)</f>
        <v>4</v>
      </c>
      <c r="FS85" s="26">
        <f t="array" ref="FS85">IFERROR(COUNT(IF(tblSalaries[Work Hour per day on Excel]=Analysis!FS$81,IF(tblSalaries[Region]=Analysis!$C85,tblSalaries[Salary in USD]))),0)</f>
        <v>4</v>
      </c>
      <c r="FT85" s="26">
        <f t="array" ref="FT85">IFERROR(COUNT(IF(tblSalaries[Work Hour per day on Excel]=Analysis!FT$81,IF(tblSalaries[Region]=Analysis!$C85,tblSalaries[Salary in USD]))),0)</f>
        <v>28</v>
      </c>
      <c r="FU85" s="26">
        <f t="array" ref="FU85">IFERROR(COUNT(IF(tblSalaries[Work Hour per day on Excel]=Analysis!FU$81,IF(tblSalaries[Region]=Analysis!$C85,tblSalaries[Salary in USD]))),0)</f>
        <v>51</v>
      </c>
      <c r="FV85" s="26">
        <f t="array" ref="FV85">IFERROR(COUNT(IF(tblSalaries[Work Hour per day on Excel]=Analysis!FV$81,IF(tblSalaries[Region]=Analysis!$C85,tblSalaries[Salary in USD]))),0)</f>
        <v>28</v>
      </c>
      <c r="FW85" s="26">
        <f t="array" ref="FW85">IFERROR(COUNT(IF(tblSalaries[Years of Experience]=Analysis!FW$81,IF(tblSalaries[Region]=Analysis!$C85,tblSalaries[Salary in USD]))),0)</f>
        <v>37</v>
      </c>
      <c r="FX85" s="26">
        <f t="array" ref="FX85">IFERROR(COUNT(IF(tblSalaries[Years of Experience]=Analysis!FX$81,IF(tblSalaries[Region]=Analysis!$C85,tblSalaries[Salary in USD]))),0)</f>
        <v>35</v>
      </c>
      <c r="FY85" s="26">
        <f t="array" ref="FY85">IFERROR(COUNT(IF(tblSalaries[Years of Experience]=Analysis!FY$81,IF(tblSalaries[Region]=Analysis!$C85,tblSalaries[Salary in USD]))),0)</f>
        <v>29</v>
      </c>
      <c r="FZ85" s="26">
        <f t="array" ref="FZ85">IFERROR(COUNT(IF(tblSalaries[Years of Experience]=Analysis!FZ$81,IF(tblSalaries[Region]=Analysis!$C85,tblSalaries[Salary in USD]))),0)</f>
        <v>8</v>
      </c>
      <c r="GA85" s="26">
        <f t="array" ref="GA85">IFERROR(COUNT(IF(tblSalaries[Years of Experience]=Analysis!GA$81,IF(tblSalaries[Region]=Analysis!$C85,tblSalaries[Salary in USD]))),0)</f>
        <v>2</v>
      </c>
    </row>
    <row r="86" spans="2:183" s="25" customFormat="1" ht="15" hidden="1" customHeight="1" x14ac:dyDescent="0.25">
      <c r="B86" s="25">
        <f t="shared" si="149"/>
        <v>5</v>
      </c>
      <c r="C86" s="25" t="s">
        <v>1453</v>
      </c>
      <c r="D86" s="26">
        <f t="shared" si="129"/>
        <v>62110.074071724099</v>
      </c>
      <c r="E86" s="26">
        <f t="shared" si="130"/>
        <v>86469.803299439722</v>
      </c>
      <c r="F86" s="26">
        <f t="shared" si="131"/>
        <v>73917.823093112995</v>
      </c>
      <c r="G86" s="26">
        <f t="shared" si="132"/>
        <v>53663.372097454878</v>
      </c>
      <c r="H86" s="26">
        <f t="shared" si="133"/>
        <v>88927.960729412545</v>
      </c>
      <c r="I86" s="26">
        <f t="shared" si="134"/>
        <v>69545.926812526508</v>
      </c>
      <c r="J86" s="26">
        <f t="shared" si="135"/>
        <v>54464.373248134965</v>
      </c>
      <c r="K86" s="26">
        <f t="shared" si="136"/>
        <v>43447.660813512979</v>
      </c>
      <c r="L86" s="26">
        <f t="shared" si="137"/>
        <v>64887.492338211661</v>
      </c>
      <c r="M86" s="26">
        <f t="shared" si="138"/>
        <v>0</v>
      </c>
      <c r="N86" s="26">
        <f t="shared" si="139"/>
        <v>0</v>
      </c>
      <c r="O86" s="26">
        <f t="shared" si="140"/>
        <v>79686.711875948036</v>
      </c>
      <c r="P86" s="26">
        <f t="shared" si="141"/>
        <v>59788.024068658997</v>
      </c>
      <c r="Q86" s="26">
        <f t="shared" si="142"/>
        <v>58549.789585502389</v>
      </c>
      <c r="R86" s="26">
        <f t="shared" si="143"/>
        <v>58660.128753548415</v>
      </c>
      <c r="S86" s="26">
        <f t="shared" si="144"/>
        <v>51537.186582938724</v>
      </c>
      <c r="T86" s="26">
        <f t="shared" si="145"/>
        <v>58577.958542700821</v>
      </c>
      <c r="U86" s="26">
        <f t="shared" si="146"/>
        <v>68692.097611196004</v>
      </c>
      <c r="V86" s="26">
        <f t="shared" si="147"/>
        <v>129191.14142837211</v>
      </c>
      <c r="W86" s="26">
        <f t="shared" si="148"/>
        <v>0</v>
      </c>
      <c r="CZ86" s="26">
        <f t="array" ref="CZ86">IFERROR(AVERAGE(IF(tblSalaries[Region]=Analysis!$C86,tblSalaries[Salary in USD])),0)</f>
        <v>62110.074071724099</v>
      </c>
      <c r="DA86" s="26">
        <f t="array" ref="DA86">IFERROR(AVERAGE(IF(tblSalaries[Job Type]=Analysis!DA$81,IF(tblSalaries[Region]=Analysis!$C86,tblSalaries[Salary in USD]))),0)</f>
        <v>86469.803299439722</v>
      </c>
      <c r="DB86" s="26">
        <f t="array" ref="DB86">IFERROR(AVERAGE(IF(tblSalaries[Job Type]=Analysis!DB$81,IF(tblSalaries[Region]=Analysis!$C86,tblSalaries[Salary in USD]))),0)</f>
        <v>73917.823093112995</v>
      </c>
      <c r="DC86" s="26">
        <f t="array" ref="DC86">IFERROR(AVERAGE(IF(tblSalaries[Job Type]=Analysis!DC$81,IF(tblSalaries[Region]=Analysis!$C86,tblSalaries[Salary in USD]))),0)</f>
        <v>53663.372097454878</v>
      </c>
      <c r="DD86" s="26">
        <f t="array" ref="DD86">IFERROR(AVERAGE(IF(tblSalaries[Job Type]=Analysis!DD$81,IF(tblSalaries[Region]=Analysis!$C86,tblSalaries[Salary in USD]))),0)</f>
        <v>88927.960729412545</v>
      </c>
      <c r="DE86" s="26">
        <f t="array" ref="DE86">IFERROR(AVERAGE(IF(tblSalaries[Job Type]=Analysis!DE$81,IF(tblSalaries[Region]=Analysis!$C86,tblSalaries[Salary in USD]))),0)</f>
        <v>69545.926812526508</v>
      </c>
      <c r="DF86" s="26">
        <f t="array" ref="DF86">IFERROR(AVERAGE(IF(tblSalaries[Job Type]=Analysis!DF$81,IF(tblSalaries[Region]=Analysis!$C86,tblSalaries[Salary in USD]))),0)</f>
        <v>54464.373248134965</v>
      </c>
      <c r="DG86" s="26">
        <f t="array" ref="DG86">IFERROR(AVERAGE(IF(tblSalaries[Job Type]=Analysis!DG$81,IF(tblSalaries[Region]=Analysis!$C86,tblSalaries[Salary in USD]))),0)</f>
        <v>43447.660813512979</v>
      </c>
      <c r="DH86" s="26">
        <f t="array" ref="DH86">IFERROR(AVERAGE(IF(tblSalaries[Job Type]=Analysis!DH$81,IF(tblSalaries[Region]=Analysis!$C86,tblSalaries[Salary in USD]))),0)</f>
        <v>64887.492338211661</v>
      </c>
      <c r="DI86" s="26">
        <f t="array" ref="DI86">IFERROR(AVERAGE(IF(tblSalaries[Job Type]=Analysis!DI$81,IF(tblSalaries[Region]=Analysis!$C86,tblSalaries[Salary in USD]))),0)</f>
        <v>0</v>
      </c>
      <c r="DJ86" s="26">
        <f t="array" ref="DJ86">IFERROR(AVERAGE(IF(tblSalaries[Job Type]=Analysis!DJ$81,IF(tblSalaries[Region]=Analysis!$C86,tblSalaries[Salary in USD]))),0)</f>
        <v>0</v>
      </c>
      <c r="DK86" s="26">
        <f t="array" ref="DK86">IFERROR(AVERAGE(IF(tblSalaries[Work Hour per day on Excel]=Analysis!DK$81,IF(tblSalaries[Region]=Analysis!$C86,tblSalaries[Salary in USD]))),0)</f>
        <v>79686.711875948036</v>
      </c>
      <c r="DL86" s="26">
        <f t="array" ref="DL86">IFERROR(AVERAGE(IF(tblSalaries[Work Hour per day on Excel]=Analysis!DL$81,IF(tblSalaries[Region]=Analysis!$C86,tblSalaries[Salary in USD]))),0)</f>
        <v>59788.024068658997</v>
      </c>
      <c r="DM86" s="26">
        <f t="array" ref="DM86">IFERROR(AVERAGE(IF(tblSalaries[Work Hour per day on Excel]=Analysis!DM$81,IF(tblSalaries[Region]=Analysis!$C86,tblSalaries[Salary in USD]))),0)</f>
        <v>58549.789585502389</v>
      </c>
      <c r="DN86" s="26">
        <f t="array" ref="DN86">IFERROR(AVERAGE(IF(tblSalaries[Work Hour per day on Excel]=Analysis!DN$81,IF(tblSalaries[Region]=Analysis!$C86,tblSalaries[Salary in USD]))),0)</f>
        <v>58660.128753548415</v>
      </c>
      <c r="DO86" s="26">
        <f t="array" ref="DO86">IFERROR(AVERAGE(IF(tblSalaries[Years of Experience]=Analysis!DO$81,IF(tblSalaries[Region]=Analysis!$C86,tblSalaries[Salary in USD]))),0)</f>
        <v>51537.186582938724</v>
      </c>
      <c r="DP86" s="26">
        <f t="array" ref="DP86">IFERROR(AVERAGE(IF(tblSalaries[Years of Experience]=Analysis!DP$81,IF(tblSalaries[Region]=Analysis!$C86,tblSalaries[Salary in USD]))),0)</f>
        <v>58577.958542700821</v>
      </c>
      <c r="DQ86" s="26">
        <f t="array" ref="DQ86">IFERROR(AVERAGE(IF(tblSalaries[Years of Experience]=Analysis!DQ$81,IF(tblSalaries[Region]=Analysis!$C86,tblSalaries[Salary in USD]))),0)</f>
        <v>68692.097611196004</v>
      </c>
      <c r="DR86" s="26">
        <f t="array" ref="DR86">IFERROR(AVERAGE(IF(tblSalaries[Years of Experience]=Analysis!DR$81,IF(tblSalaries[Region]=Analysis!$C86,tblSalaries[Salary in USD]))),0)</f>
        <v>129191.14142837211</v>
      </c>
      <c r="DS86" s="26">
        <f t="array" ref="DS86">IFERROR(AVERAGE(IF(tblSalaries[Years of Experience]=Analysis!DS$81,IF(tblSalaries[Region]=Analysis!$C86,tblSalaries[Salary in USD]))),0)</f>
        <v>0</v>
      </c>
      <c r="DT86" s="26">
        <f t="array" ref="DT86">IFERROR(MAX(IF(tblSalaries[Region]=Analysis!$C86,tblSalaries[Salary in USD])),0)</f>
        <v>228671.89901848941</v>
      </c>
      <c r="DU86" s="26">
        <f t="array" ref="DU86">IFERROR(MAX(IF(tblSalaries[Job Type]=Analysis!DU$81,IF(tblSalaries[Region]=Analysis!$C86,tblSalaries[Salary in USD]))),0)</f>
        <v>127039.94389916077</v>
      </c>
      <c r="DV86" s="26">
        <f t="array" ref="DV86">IFERROR(MAX(IF(tblSalaries[Job Type]=Analysis!DV$81,IF(tblSalaries[Region]=Analysis!$C86,tblSalaries[Salary in USD]))),0)</f>
        <v>228671.89901848941</v>
      </c>
      <c r="DW86" s="26">
        <f t="array" ref="DW86">IFERROR(MAX(IF(tblSalaries[Job Type]=Analysis!DW$81,IF(tblSalaries[Region]=Analysis!$C86,tblSalaries[Salary in USD]))),0)</f>
        <v>90198.36016840415</v>
      </c>
      <c r="DX86" s="26">
        <f t="array" ref="DX86">IFERROR(MAX(IF(tblSalaries[Job Type]=Analysis!DX$81,IF(tblSalaries[Region]=Analysis!$C86,tblSalaries[Salary in USD]))),0)</f>
        <v>88927.960729412545</v>
      </c>
      <c r="DY86" s="26">
        <f t="array" ref="DY86">IFERROR(MAX(IF(tblSalaries[Job Type]=Analysis!DY$81,IF(tblSalaries[Region]=Analysis!$C86,tblSalaries[Salary in USD]))),0)</f>
        <v>102542.54233725216</v>
      </c>
      <c r="DZ86" s="26">
        <f t="array" ref="DZ86">IFERROR(MAX(IF(tblSalaries[Job Type]=Analysis!DZ$81,IF(tblSalaries[Region]=Analysis!$C86,tblSalaries[Salary in USD]))),0)</f>
        <v>150000</v>
      </c>
      <c r="EA86" s="26">
        <f t="array" ref="EA86">IFERROR(MAX(IF(tblSalaries[Job Type]=Analysis!EA$81,IF(tblSalaries[Region]=Analysis!$C86,tblSalaries[Salary in USD]))),0)</f>
        <v>63519.971949580387</v>
      </c>
      <c r="EB86" s="26">
        <f t="array" ref="EB86">IFERROR(MAX(IF(tblSalaries[Job Type]=Analysis!EB$81,IF(tblSalaries[Region]=Analysis!$C86,tblSalaries[Salary in USD]))),0)</f>
        <v>176585.52201983347</v>
      </c>
      <c r="EC86" s="26">
        <f t="array" ref="EC86">IFERROR(MAX(IF(tblSalaries[Job Type]=Analysis!EC$81,IF(tblSalaries[Region]=Analysis!$C86,tblSalaries[Salary in USD]))),0)</f>
        <v>0</v>
      </c>
      <c r="ED86" s="26">
        <f t="array" ref="ED86">IFERROR(MAX(IF(tblSalaries[Job Type]=Analysis!ED$81,IF(tblSalaries[Region]=Analysis!$C86,tblSalaries[Salary in USD]))),0)</f>
        <v>0</v>
      </c>
      <c r="EE86" s="26">
        <f t="array" ref="EE86">IFERROR(MAX(IF(tblSalaries[Work Hour per day on Excel]=Analysis!EE$81,IF(tblSalaries[Region]=Analysis!$C86,tblSalaries[Salary in USD]))),0)</f>
        <v>176585.52201983347</v>
      </c>
      <c r="EF86" s="26">
        <f t="array" ref="EF86">IFERROR(MAX(IF(tblSalaries[Work Hour per day on Excel]=Analysis!EF$81,IF(tblSalaries[Region]=Analysis!$C86,tblSalaries[Salary in USD]))),0)</f>
        <v>148102.22862117883</v>
      </c>
      <c r="EG86" s="26">
        <f t="array" ref="EG86">IFERROR(MAX(IF(tblSalaries[Work Hour per day on Excel]=Analysis!EG$81,IF(tblSalaries[Region]=Analysis!$C86,tblSalaries[Salary in USD]))),0)</f>
        <v>228671.89901848941</v>
      </c>
      <c r="EH86" s="26">
        <f t="array" ref="EH86">IFERROR(MAX(IF(tblSalaries[Work Hour per day on Excel]=Analysis!EH$81,IF(tblSalaries[Region]=Analysis!$C86,tblSalaries[Salary in USD]))),0)</f>
        <v>110000</v>
      </c>
      <c r="EI86" s="26">
        <f t="array" ref="EI86">IFERROR(MAX(IF(tblSalaries[Years of Experience]=Analysis!EI$81,IF(tblSalaries[Region]=Analysis!$C86,tblSalaries[Salary in USD]))),0)</f>
        <v>110000</v>
      </c>
      <c r="EJ86" s="26">
        <f t="array" ref="EJ86">IFERROR(MAX(IF(tblSalaries[Years of Experience]=Analysis!EJ$81,IF(tblSalaries[Region]=Analysis!$C86,tblSalaries[Salary in USD]))),0)</f>
        <v>149907.13380100971</v>
      </c>
      <c r="EK86" s="26">
        <f t="array" ref="EK86">IFERROR(MAX(IF(tblSalaries[Years of Experience]=Analysis!EK$81,IF(tblSalaries[Region]=Analysis!$C86,tblSalaries[Salary in USD]))),0)</f>
        <v>228671.89901848941</v>
      </c>
      <c r="EL86" s="26">
        <f t="array" ref="EL86">IFERROR(MAX(IF(tblSalaries[Years of Experience]=Analysis!EL$81,IF(tblSalaries[Region]=Analysis!$C86,tblSalaries[Salary in USD]))),0)</f>
        <v>176585.52201983347</v>
      </c>
      <c r="EM86" s="26">
        <f t="array" ref="EM86">IFERROR(MAX(IF(tblSalaries[Years of Experience]=Analysis!EM$81,IF(tblSalaries[Region]=Analysis!$C86,tblSalaries[Salary in USD]))),0)</f>
        <v>0</v>
      </c>
      <c r="EN86" s="26">
        <f t="array" ref="EN86">IFERROR(MIN(IF(tblSalaries[Region]=Analysis!$C86,tblSalaries[Salary in USD])),0)</f>
        <v>11000</v>
      </c>
      <c r="EO86" s="26">
        <f t="array" ref="EO86">IFERROR(MIN(IF(tblSalaries[Job Type]=Analysis!EO$81,IF(tblSalaries[Region]=Analysis!$C86,tblSalaries[Salary in USD]))),0)</f>
        <v>45000</v>
      </c>
      <c r="EP86" s="26">
        <f t="array" ref="EP86">IFERROR(MIN(IF(tblSalaries[Job Type]=Analysis!EP$81,IF(tblSalaries[Region]=Analysis!$C86,tblSalaries[Salary in USD]))),0)</f>
        <v>19818.231248269083</v>
      </c>
      <c r="EQ86" s="26">
        <f t="array" ref="EQ86">IFERROR(MIN(IF(tblSalaries[Job Type]=Analysis!EQ$81,IF(tblSalaries[Region]=Analysis!$C86,tblSalaries[Salary in USD]))),0)</f>
        <v>12000</v>
      </c>
      <c r="ER86" s="26">
        <f t="array" ref="ER86">IFERROR(MIN(IF(tblSalaries[Job Type]=Analysis!ER$81,IF(tblSalaries[Region]=Analysis!$C86,tblSalaries[Salary in USD]))),0)</f>
        <v>88927.960729412545</v>
      </c>
      <c r="ES86" s="26">
        <f t="array" ref="ES86">IFERROR(MIN(IF(tblSalaries[Job Type]=Analysis!ES$81,IF(tblSalaries[Region]=Analysis!$C86,tblSalaries[Salary in USD]))),0)</f>
        <v>52086.37699865592</v>
      </c>
      <c r="ET86" s="26">
        <f t="array" ref="ET86">IFERROR(MIN(IF(tblSalaries[Job Type]=Analysis!ET$81,IF(tblSalaries[Region]=Analysis!$C86,tblSalaries[Salary in USD]))),0)</f>
        <v>11518.711713336908</v>
      </c>
      <c r="EU86" s="26">
        <f t="array" ref="EU86">IFERROR(MIN(IF(tblSalaries[Job Type]=Analysis!EU$81,IF(tblSalaries[Region]=Analysis!$C86,tblSalaries[Salary in USD]))),0)</f>
        <v>21342.710575059013</v>
      </c>
      <c r="EV86" s="26">
        <f t="array" ref="EV86">IFERROR(MIN(IF(tblSalaries[Job Type]=Analysis!EV$81,IF(tblSalaries[Region]=Analysis!$C86,tblSalaries[Salary in USD]))),0)</f>
        <v>11000</v>
      </c>
      <c r="EW86" s="26">
        <f t="array" ref="EW86">IFERROR(MIN(IF(tblSalaries[Job Type]=Analysis!EW$81,IF(tblSalaries[Region]=Analysis!$C86,tblSalaries[Salary in USD]))),0)</f>
        <v>0</v>
      </c>
      <c r="EX86" s="26">
        <f t="array" ref="EX86">IFERROR(MIN(IF(tblSalaries[Job Type]=Analysis!EX$81,IF(tblSalaries[Region]=Analysis!$C86,tblSalaries[Salary in USD]))),0)</f>
        <v>0</v>
      </c>
      <c r="EY86" s="26">
        <f t="array" ref="EY86">IFERROR(MIN(IF(tblSalaries[Work Hour per day on Excel]=Analysis!EY$81,IF(tblSalaries[Region]=Analysis!$C86,tblSalaries[Salary in USD]))),0)</f>
        <v>25407.988779832154</v>
      </c>
      <c r="EZ86" s="26">
        <f t="array" ref="EZ86">IFERROR(MIN(IF(tblSalaries[Work Hour per day on Excel]=Analysis!EZ$81,IF(tblSalaries[Region]=Analysis!$C86,tblSalaries[Salary in USD]))),0)</f>
        <v>11518.711713336908</v>
      </c>
      <c r="FA86" s="26">
        <f t="array" ref="FA86">IFERROR(MIN(IF(tblSalaries[Work Hour per day on Excel]=Analysis!FA$81,IF(tblSalaries[Region]=Analysis!$C86,tblSalaries[Salary in USD]))),0)</f>
        <v>11000</v>
      </c>
      <c r="FB86" s="26">
        <f t="array" ref="FB86">IFERROR(MIN(IF(tblSalaries[Work Hour per day on Excel]=Analysis!FB$81,IF(tblSalaries[Region]=Analysis!$C86,tblSalaries[Salary in USD]))),0)</f>
        <v>13000</v>
      </c>
      <c r="FC86" s="26">
        <f t="array" ref="FC86">IFERROR(MIN(IF(tblSalaries[Years of Experience]=Analysis!FC$81,IF(tblSalaries[Region]=Analysis!$C86,tblSalaries[Salary in USD]))),0)</f>
        <v>11000</v>
      </c>
      <c r="FD86" s="26">
        <f t="array" ref="FD86">IFERROR(MIN(IF(tblSalaries[Years of Experience]=Analysis!FD$81,IF(tblSalaries[Region]=Analysis!$C86,tblSalaries[Salary in USD]))),0)</f>
        <v>13000</v>
      </c>
      <c r="FE86" s="26">
        <f t="array" ref="FE86">IFERROR(MIN(IF(tblSalaries[Years of Experience]=Analysis!FE$81,IF(tblSalaries[Region]=Analysis!$C86,tblSalaries[Salary in USD]))),0)</f>
        <v>12000</v>
      </c>
      <c r="FF86" s="26">
        <f t="array" ref="FF86">IFERROR(MIN(IF(tblSalaries[Years of Experience]=Analysis!FF$81,IF(tblSalaries[Region]=Analysis!$C86,tblSalaries[Salary in USD]))),0)</f>
        <v>104172.75399731184</v>
      </c>
      <c r="FG86" s="26">
        <f t="array" ref="FG86">IFERROR(MIN(IF(tblSalaries[Years of Experience]=Analysis!FG$81,IF(tblSalaries[Region]=Analysis!$C86,tblSalaries[Salary in USD]))),0)</f>
        <v>0</v>
      </c>
      <c r="FH86" s="26">
        <f t="array" ref="FH86">IFERROR(COUNT(IF(tblSalaries[Region]=Analysis!$C86,tblSalaries[Salary in USD])),0)</f>
        <v>105</v>
      </c>
      <c r="FI86" s="26">
        <f t="array" ref="FI86">IFERROR(COUNT(IF(tblSalaries[Job Type]=Analysis!FI$81,IF(tblSalaries[Region]=Analysis!$C86,tblSalaries[Salary in USD]))),0)</f>
        <v>6</v>
      </c>
      <c r="FJ86" s="26">
        <f t="array" ref="FJ86">IFERROR(COUNT(IF(tblSalaries[Job Type]=Analysis!FJ$81,IF(tblSalaries[Region]=Analysis!$C86,tblSalaries[Salary in USD]))),0)</f>
        <v>14</v>
      </c>
      <c r="FK86" s="26">
        <f t="array" ref="FK86">IFERROR(COUNT(IF(tblSalaries[Job Type]=Analysis!FK$81,IF(tblSalaries[Region]=Analysis!$C86,tblSalaries[Salary in USD]))),0)</f>
        <v>11</v>
      </c>
      <c r="FL86" s="26">
        <f t="array" ref="FL86">IFERROR(COUNT(IF(tblSalaries[Job Type]=Analysis!FL$81,IF(tblSalaries[Region]=Analysis!$C86,tblSalaries[Salary in USD]))),0)</f>
        <v>1</v>
      </c>
      <c r="FM86" s="26">
        <f t="array" ref="FM86">IFERROR(COUNT(IF(tblSalaries[Job Type]=Analysis!FM$81,IF(tblSalaries[Region]=Analysis!$C86,tblSalaries[Salary in USD]))),0)</f>
        <v>5</v>
      </c>
      <c r="FN86" s="26">
        <f t="array" ref="FN86">IFERROR(COUNT(IF(tblSalaries[Job Type]=Analysis!FN$81,IF(tblSalaries[Region]=Analysis!$C86,tblSalaries[Salary in USD]))),0)</f>
        <v>37</v>
      </c>
      <c r="FO86" s="26">
        <f t="array" ref="FO86">IFERROR(COUNT(IF(tblSalaries[Job Type]=Analysis!FO$81,IF(tblSalaries[Region]=Analysis!$C86,tblSalaries[Salary in USD]))),0)</f>
        <v>4</v>
      </c>
      <c r="FP86" s="26">
        <f t="array" ref="FP86">IFERROR(COUNT(IF(tblSalaries[Job Type]=Analysis!FP$81,IF(tblSalaries[Region]=Analysis!$C86,tblSalaries[Salary in USD]))),0)</f>
        <v>27</v>
      </c>
      <c r="FQ86" s="26">
        <f t="array" ref="FQ86">IFERROR(COUNT(IF(tblSalaries[Job Type]=Analysis!FQ$81,IF(tblSalaries[Region]=Analysis!$C86,tblSalaries[Salary in USD]))),0)</f>
        <v>0</v>
      </c>
      <c r="FR86" s="26">
        <f t="array" ref="FR86">IFERROR(COUNT(IF(tblSalaries[Job Type]=Analysis!FR$81,IF(tblSalaries[Region]=Analysis!$C86,tblSalaries[Salary in USD]))),0)</f>
        <v>0</v>
      </c>
      <c r="FS86" s="26">
        <f t="array" ref="FS86">IFERROR(COUNT(IF(tblSalaries[Work Hour per day on Excel]=Analysis!FS$81,IF(tblSalaries[Region]=Analysis!$C86,tblSalaries[Salary in USD]))),0)</f>
        <v>16</v>
      </c>
      <c r="FT86" s="26">
        <f t="array" ref="FT86">IFERROR(COUNT(IF(tblSalaries[Work Hour per day on Excel]=Analysis!FT$81,IF(tblSalaries[Region]=Analysis!$C86,tblSalaries[Salary in USD]))),0)</f>
        <v>27</v>
      </c>
      <c r="FU86" s="26">
        <f t="array" ref="FU86">IFERROR(COUNT(IF(tblSalaries[Work Hour per day on Excel]=Analysis!FU$81,IF(tblSalaries[Region]=Analysis!$C86,tblSalaries[Salary in USD]))),0)</f>
        <v>42</v>
      </c>
      <c r="FV86" s="26">
        <f t="array" ref="FV86">IFERROR(COUNT(IF(tblSalaries[Work Hour per day on Excel]=Analysis!FV$81,IF(tblSalaries[Region]=Analysis!$C86,tblSalaries[Salary in USD]))),0)</f>
        <v>20</v>
      </c>
      <c r="FW86" s="26">
        <f t="array" ref="FW86">IFERROR(COUNT(IF(tblSalaries[Years of Experience]=Analysis!FW$81,IF(tblSalaries[Region]=Analysis!$C86,tblSalaries[Salary in USD]))),0)</f>
        <v>32</v>
      </c>
      <c r="FX86" s="26">
        <f t="array" ref="FX86">IFERROR(COUNT(IF(tblSalaries[Years of Experience]=Analysis!FX$81,IF(tblSalaries[Region]=Analysis!$C86,tblSalaries[Salary in USD]))),0)</f>
        <v>32</v>
      </c>
      <c r="FY86" s="26">
        <f t="array" ref="FY86">IFERROR(COUNT(IF(tblSalaries[Years of Experience]=Analysis!FY$81,IF(tblSalaries[Region]=Analysis!$C86,tblSalaries[Salary in USD]))),0)</f>
        <v>38</v>
      </c>
      <c r="FZ86" s="26">
        <f t="array" ref="FZ86">IFERROR(COUNT(IF(tblSalaries[Years of Experience]=Analysis!FZ$81,IF(tblSalaries[Region]=Analysis!$C86,tblSalaries[Salary in USD]))),0)</f>
        <v>3</v>
      </c>
      <c r="GA86" s="26">
        <f t="array" ref="GA86">IFERROR(COUNT(IF(tblSalaries[Years of Experience]=Analysis!GA$81,IF(tblSalaries[Region]=Analysis!$C86,tblSalaries[Salary in USD]))),0)</f>
        <v>0</v>
      </c>
    </row>
    <row r="87" spans="2:183" s="25" customFormat="1" ht="15" hidden="1" customHeight="1" x14ac:dyDescent="0.25">
      <c r="B87" s="25">
        <f t="shared" si="149"/>
        <v>6</v>
      </c>
      <c r="C87" s="25" t="s">
        <v>1451</v>
      </c>
      <c r="D87" s="26">
        <f t="shared" si="129"/>
        <v>39542.717032639805</v>
      </c>
      <c r="E87" s="26">
        <f t="shared" si="130"/>
        <v>65250.403395887333</v>
      </c>
      <c r="F87" s="26">
        <f t="shared" si="131"/>
        <v>21712.844810740113</v>
      </c>
      <c r="G87" s="26">
        <f t="shared" si="132"/>
        <v>46200</v>
      </c>
      <c r="H87" s="26">
        <f t="shared" si="133"/>
        <v>28582.930269756427</v>
      </c>
      <c r="I87" s="26">
        <f t="shared" si="134"/>
        <v>44571.13121359294</v>
      </c>
      <c r="J87" s="26">
        <f t="shared" si="135"/>
        <v>39019.496884862878</v>
      </c>
      <c r="K87" s="26">
        <f t="shared" si="136"/>
        <v>41118.89009647302</v>
      </c>
      <c r="L87" s="26">
        <f t="shared" si="137"/>
        <v>42342.530832159857</v>
      </c>
      <c r="M87" s="26">
        <f t="shared" si="138"/>
        <v>0</v>
      </c>
      <c r="N87" s="26">
        <f t="shared" si="139"/>
        <v>23030.76923076923</v>
      </c>
      <c r="O87" s="26">
        <f t="shared" si="140"/>
        <v>30879.718569855999</v>
      </c>
      <c r="P87" s="26">
        <f t="shared" si="141"/>
        <v>42479.347745501567</v>
      </c>
      <c r="Q87" s="26">
        <f t="shared" si="142"/>
        <v>43399.211165112487</v>
      </c>
      <c r="R87" s="26">
        <f t="shared" si="143"/>
        <v>35035.20969366264</v>
      </c>
      <c r="S87" s="26">
        <f t="shared" si="144"/>
        <v>27688.069165943965</v>
      </c>
      <c r="T87" s="26">
        <f t="shared" si="145"/>
        <v>43460.736132568221</v>
      </c>
      <c r="U87" s="26">
        <f t="shared" si="146"/>
        <v>44246.479762674964</v>
      </c>
      <c r="V87" s="26">
        <f t="shared" si="147"/>
        <v>55296.129191040578</v>
      </c>
      <c r="W87" s="26">
        <f t="shared" si="148"/>
        <v>109729.60187662003</v>
      </c>
      <c r="CZ87" s="26">
        <f t="array" ref="CZ87">IFERROR(AVERAGE(IF(tblSalaries[Region]=Analysis!$C87,tblSalaries[Salary in USD])),0)</f>
        <v>39542.717032639805</v>
      </c>
      <c r="DA87" s="26">
        <f t="array" ref="DA87">IFERROR(AVERAGE(IF(tblSalaries[Job Type]=Analysis!DA$81,IF(tblSalaries[Region]=Analysis!$C87,tblSalaries[Salary in USD]))),0)</f>
        <v>65250.403395887333</v>
      </c>
      <c r="DB87" s="26">
        <f t="array" ref="DB87">IFERROR(AVERAGE(IF(tblSalaries[Job Type]=Analysis!DB$81,IF(tblSalaries[Region]=Analysis!$C87,tblSalaries[Salary in USD]))),0)</f>
        <v>21712.844810740113</v>
      </c>
      <c r="DC87" s="26">
        <f t="array" ref="DC87">IFERROR(AVERAGE(IF(tblSalaries[Job Type]=Analysis!DC$81,IF(tblSalaries[Region]=Analysis!$C87,tblSalaries[Salary in USD]))),0)</f>
        <v>46200</v>
      </c>
      <c r="DD87" s="26">
        <f t="array" ref="DD87">IFERROR(AVERAGE(IF(tblSalaries[Job Type]=Analysis!DD$81,IF(tblSalaries[Region]=Analysis!$C87,tblSalaries[Salary in USD]))),0)</f>
        <v>28582.930269756427</v>
      </c>
      <c r="DE87" s="26">
        <f t="array" ref="DE87">IFERROR(AVERAGE(IF(tblSalaries[Job Type]=Analysis!DE$81,IF(tblSalaries[Region]=Analysis!$C87,tblSalaries[Salary in USD]))),0)</f>
        <v>44571.13121359294</v>
      </c>
      <c r="DF87" s="26">
        <f t="array" ref="DF87">IFERROR(AVERAGE(IF(tblSalaries[Job Type]=Analysis!DF$81,IF(tblSalaries[Region]=Analysis!$C87,tblSalaries[Salary in USD]))),0)</f>
        <v>39019.496884862878</v>
      </c>
      <c r="DG87" s="26">
        <f t="array" ref="DG87">IFERROR(AVERAGE(IF(tblSalaries[Job Type]=Analysis!DG$81,IF(tblSalaries[Region]=Analysis!$C87,tblSalaries[Salary in USD]))),0)</f>
        <v>41118.89009647302</v>
      </c>
      <c r="DH87" s="26">
        <f t="array" ref="DH87">IFERROR(AVERAGE(IF(tblSalaries[Job Type]=Analysis!DH$81,IF(tblSalaries[Region]=Analysis!$C87,tblSalaries[Salary in USD]))),0)</f>
        <v>42342.530832159857</v>
      </c>
      <c r="DI87" s="26">
        <f t="array" ref="DI87">IFERROR(AVERAGE(IF(tblSalaries[Job Type]=Analysis!DI$81,IF(tblSalaries[Region]=Analysis!$C87,tblSalaries[Salary in USD]))),0)</f>
        <v>0</v>
      </c>
      <c r="DJ87" s="26">
        <f t="array" ref="DJ87">IFERROR(AVERAGE(IF(tblSalaries[Job Type]=Analysis!DJ$81,IF(tblSalaries[Region]=Analysis!$C87,tblSalaries[Salary in USD]))),0)</f>
        <v>23030.76923076923</v>
      </c>
      <c r="DK87" s="26">
        <f t="array" ref="DK87">IFERROR(AVERAGE(IF(tblSalaries[Work Hour per day on Excel]=Analysis!DK$81,IF(tblSalaries[Region]=Analysis!$C87,tblSalaries[Salary in USD]))),0)</f>
        <v>30879.718569855999</v>
      </c>
      <c r="DL87" s="26">
        <f t="array" ref="DL87">IFERROR(AVERAGE(IF(tblSalaries[Work Hour per day on Excel]=Analysis!DL$81,IF(tblSalaries[Region]=Analysis!$C87,tblSalaries[Salary in USD]))),0)</f>
        <v>42479.347745501567</v>
      </c>
      <c r="DM87" s="26">
        <f t="array" ref="DM87">IFERROR(AVERAGE(IF(tblSalaries[Work Hour per day on Excel]=Analysis!DM$81,IF(tblSalaries[Region]=Analysis!$C87,tblSalaries[Salary in USD]))),0)</f>
        <v>43399.211165112487</v>
      </c>
      <c r="DN87" s="26">
        <f t="array" ref="DN87">IFERROR(AVERAGE(IF(tblSalaries[Work Hour per day on Excel]=Analysis!DN$81,IF(tblSalaries[Region]=Analysis!$C87,tblSalaries[Salary in USD]))),0)</f>
        <v>35035.20969366264</v>
      </c>
      <c r="DO87" s="26">
        <f t="array" ref="DO87">IFERROR(AVERAGE(IF(tblSalaries[Years of Experience]=Analysis!DO$81,IF(tblSalaries[Region]=Analysis!$C87,tblSalaries[Salary in USD]))),0)</f>
        <v>27688.069165943965</v>
      </c>
      <c r="DP87" s="26">
        <f t="array" ref="DP87">IFERROR(AVERAGE(IF(tblSalaries[Years of Experience]=Analysis!DP$81,IF(tblSalaries[Region]=Analysis!$C87,tblSalaries[Salary in USD]))),0)</f>
        <v>43460.736132568221</v>
      </c>
      <c r="DQ87" s="26">
        <f t="array" ref="DQ87">IFERROR(AVERAGE(IF(tblSalaries[Years of Experience]=Analysis!DQ$81,IF(tblSalaries[Region]=Analysis!$C87,tblSalaries[Salary in USD]))),0)</f>
        <v>44246.479762674964</v>
      </c>
      <c r="DR87" s="26">
        <f t="array" ref="DR87">IFERROR(AVERAGE(IF(tblSalaries[Years of Experience]=Analysis!DR$81,IF(tblSalaries[Region]=Analysis!$C87,tblSalaries[Salary in USD]))),0)</f>
        <v>55296.129191040578</v>
      </c>
      <c r="DS87" s="26">
        <f t="array" ref="DS87">IFERROR(AVERAGE(IF(tblSalaries[Years of Experience]=Analysis!DS$81,IF(tblSalaries[Region]=Analysis!$C87,tblSalaries[Salary in USD]))),0)</f>
        <v>109729.60187662003</v>
      </c>
      <c r="DT87" s="26">
        <f t="array" ref="DT87">IFERROR(MAX(IF(tblSalaries[Region]=Analysis!$C87,tblSalaries[Salary in USD])),0)</f>
        <v>177600</v>
      </c>
      <c r="DU87" s="26">
        <f t="array" ref="DU87">IFERROR(MAX(IF(tblSalaries[Job Type]=Analysis!DU$81,IF(tblSalaries[Region]=Analysis!$C87,tblSalaries[Salary in USD]))),0)</f>
        <v>125000</v>
      </c>
      <c r="DV87" s="26">
        <f t="array" ref="DV87">IFERROR(MAX(IF(tblSalaries[Job Type]=Analysis!DV$81,IF(tblSalaries[Region]=Analysis!$C87,tblSalaries[Salary in USD]))),0)</f>
        <v>48000</v>
      </c>
      <c r="DW87" s="26">
        <f t="array" ref="DW87">IFERROR(MAX(IF(tblSalaries[Job Type]=Analysis!DW$81,IF(tblSalaries[Region]=Analysis!$C87,tblSalaries[Salary in USD]))),0)</f>
        <v>82000</v>
      </c>
      <c r="DX87" s="26">
        <f t="array" ref="DX87">IFERROR(MAX(IF(tblSalaries[Job Type]=Analysis!DX$81,IF(tblSalaries[Region]=Analysis!$C87,tblSalaries[Salary in USD]))),0)</f>
        <v>38666</v>
      </c>
      <c r="DY87" s="26">
        <f t="array" ref="DY87">IFERROR(MAX(IF(tblSalaries[Job Type]=Analysis!DY$81,IF(tblSalaries[Region]=Analysis!$C87,tblSalaries[Salary in USD]))),0)</f>
        <v>80000</v>
      </c>
      <c r="DZ87" s="26">
        <f t="array" ref="DZ87">IFERROR(MAX(IF(tblSalaries[Job Type]=Analysis!DZ$81,IF(tblSalaries[Region]=Analysis!$C87,tblSalaries[Salary in USD]))),0)</f>
        <v>148284.35006969364</v>
      </c>
      <c r="EA87" s="26">
        <f t="array" ref="EA87">IFERROR(MAX(IF(tblSalaries[Job Type]=Analysis!EA$81,IF(tblSalaries[Region]=Analysis!$C87,tblSalaries[Salary in USD]))),0)</f>
        <v>177600</v>
      </c>
      <c r="EB87" s="26">
        <f t="array" ref="EB87">IFERROR(MAX(IF(tblSalaries[Job Type]=Analysis!EB$81,IF(tblSalaries[Region]=Analysis!$C87,tblSalaries[Salary in USD]))),0)</f>
        <v>143565.85684888897</v>
      </c>
      <c r="EC87" s="26">
        <f t="array" ref="EC87">IFERROR(MAX(IF(tblSalaries[Job Type]=Analysis!EC$81,IF(tblSalaries[Region]=Analysis!$C87,tblSalaries[Salary in USD]))),0)</f>
        <v>0</v>
      </c>
      <c r="ED87" s="26">
        <f t="array" ref="ED87">IFERROR(MAX(IF(tblSalaries[Job Type]=Analysis!ED$81,IF(tblSalaries[Region]=Analysis!$C87,tblSalaries[Salary in USD]))),0)</f>
        <v>55000</v>
      </c>
      <c r="EE87" s="26">
        <f t="array" ref="EE87">IFERROR(MAX(IF(tblSalaries[Work Hour per day on Excel]=Analysis!EE$81,IF(tblSalaries[Region]=Analysis!$C87,tblSalaries[Salary in USD]))),0)</f>
        <v>80000</v>
      </c>
      <c r="EF87" s="26">
        <f t="array" ref="EF87">IFERROR(MAX(IF(tblSalaries[Work Hour per day on Excel]=Analysis!EF$81,IF(tblSalaries[Region]=Analysis!$C87,tblSalaries[Salary in USD]))),0)</f>
        <v>114335.9495092447</v>
      </c>
      <c r="EG87" s="26">
        <f t="array" ref="EG87">IFERROR(MAX(IF(tblSalaries[Work Hour per day on Excel]=Analysis!EG$81,IF(tblSalaries[Region]=Analysis!$C87,tblSalaries[Salary in USD]))),0)</f>
        <v>177600</v>
      </c>
      <c r="EH87" s="26">
        <f t="array" ref="EH87">IFERROR(MAX(IF(tblSalaries[Work Hour per day on Excel]=Analysis!EH$81,IF(tblSalaries[Region]=Analysis!$C87,tblSalaries[Salary in USD]))),0)</f>
        <v>148284.35006969364</v>
      </c>
      <c r="EI87" s="26">
        <f t="array" ref="EI87">IFERROR(MAX(IF(tblSalaries[Years of Experience]=Analysis!EI$81,IF(tblSalaries[Region]=Analysis!$C87,tblSalaries[Salary in USD]))),0)</f>
        <v>148284.35006969364</v>
      </c>
      <c r="EJ87" s="26">
        <f t="array" ref="EJ87">IFERROR(MAX(IF(tblSalaries[Years of Experience]=Analysis!EJ$81,IF(tblSalaries[Region]=Analysis!$C87,tblSalaries[Salary in USD]))),0)</f>
        <v>177600</v>
      </c>
      <c r="EK87" s="26">
        <f t="array" ref="EK87">IFERROR(MAX(IF(tblSalaries[Years of Experience]=Analysis!EK$81,IF(tblSalaries[Region]=Analysis!$C87,tblSalaries[Salary in USD]))),0)</f>
        <v>125000</v>
      </c>
      <c r="EL87" s="26">
        <f t="array" ref="EL87">IFERROR(MAX(IF(tblSalaries[Years of Experience]=Analysis!EL$81,IF(tblSalaries[Region]=Analysis!$C87,tblSalaries[Salary in USD]))),0)</f>
        <v>143565.85684888897</v>
      </c>
      <c r="EM87" s="26">
        <f t="array" ref="EM87">IFERROR(MAX(IF(tblSalaries[Years of Experience]=Analysis!EM$81,IF(tblSalaries[Region]=Analysis!$C87,tblSalaries[Salary in USD]))),0)</f>
        <v>109729.60187662003</v>
      </c>
      <c r="EN87" s="26">
        <f t="array" ref="EN87">IFERROR(MIN(IF(tblSalaries[Region]=Analysis!$C87,tblSalaries[Salary in USD])),0)</f>
        <v>2953.8461538461538</v>
      </c>
      <c r="EO87" s="26">
        <f t="array" ref="EO87">IFERROR(MIN(IF(tblSalaries[Job Type]=Analysis!EO$81,IF(tblSalaries[Region]=Analysis!$C87,tblSalaries[Salary in USD]))),0)</f>
        <v>14630.613583549337</v>
      </c>
      <c r="EP87" s="26">
        <f t="array" ref="EP87">IFERROR(MIN(IF(tblSalaries[Job Type]=Analysis!EP$81,IF(tblSalaries[Region]=Analysis!$C87,tblSalaries[Salary in USD]))),0)</f>
        <v>9509.8988293070688</v>
      </c>
      <c r="EQ87" s="26">
        <f t="array" ref="EQ87">IFERROR(MIN(IF(tblSalaries[Job Type]=Analysis!EQ$81,IF(tblSalaries[Region]=Analysis!$C87,tblSalaries[Salary in USD]))),0)</f>
        <v>5000</v>
      </c>
      <c r="ER87" s="26">
        <f t="array" ref="ER87">IFERROR(MIN(IF(tblSalaries[Job Type]=Analysis!ER$81,IF(tblSalaries[Region]=Analysis!$C87,tblSalaries[Salary in USD]))),0)</f>
        <v>18499.860539512854</v>
      </c>
      <c r="ES87" s="26">
        <f t="array" ref="ES87">IFERROR(MIN(IF(tblSalaries[Job Type]=Analysis!ES$81,IF(tblSalaries[Region]=Analysis!$C87,tblSalaries[Salary in USD]))),0)</f>
        <v>9376.2513877177607</v>
      </c>
      <c r="ET87" s="26">
        <f t="array" ref="ET87">IFERROR(MIN(IF(tblSalaries[Job Type]=Analysis!ET$81,IF(tblSalaries[Region]=Analysis!$C87,tblSalaries[Salary in USD]))),0)</f>
        <v>7261.724659606657</v>
      </c>
      <c r="EU87" s="26">
        <f t="array" ref="EU87">IFERROR(MIN(IF(tblSalaries[Job Type]=Analysis!EU$81,IF(tblSalaries[Region]=Analysis!$C87,tblSalaries[Salary in USD]))),0)</f>
        <v>6000</v>
      </c>
      <c r="EV87" s="26">
        <f t="array" ref="EV87">IFERROR(MIN(IF(tblSalaries[Job Type]=Analysis!EV$81,IF(tblSalaries[Region]=Analysis!$C87,tblSalaries[Salary in USD]))),0)</f>
        <v>4400</v>
      </c>
      <c r="EW87" s="26">
        <f t="array" ref="EW87">IFERROR(MIN(IF(tblSalaries[Job Type]=Analysis!EW$81,IF(tblSalaries[Region]=Analysis!$C87,tblSalaries[Salary in USD]))),0)</f>
        <v>0</v>
      </c>
      <c r="EX87" s="26">
        <f t="array" ref="EX87">IFERROR(MIN(IF(tblSalaries[Job Type]=Analysis!EX$81,IF(tblSalaries[Region]=Analysis!$C87,tblSalaries[Salary in USD]))),0)</f>
        <v>2953.8461538461538</v>
      </c>
      <c r="EY87" s="26">
        <f t="array" ref="EY87">IFERROR(MIN(IF(tblSalaries[Work Hour per day on Excel]=Analysis!EY$81,IF(tblSalaries[Region]=Analysis!$C87,tblSalaries[Salary in USD]))),0)</f>
        <v>5000</v>
      </c>
      <c r="EZ87" s="26">
        <f t="array" ref="EZ87">IFERROR(MIN(IF(tblSalaries[Work Hour per day on Excel]=Analysis!EZ$81,IF(tblSalaries[Region]=Analysis!$C87,tblSalaries[Salary in USD]))),0)</f>
        <v>4400</v>
      </c>
      <c r="FA87" s="26">
        <f t="array" ref="FA87">IFERROR(MIN(IF(tblSalaries[Work Hour per day on Excel]=Analysis!FA$81,IF(tblSalaries[Region]=Analysis!$C87,tblSalaries[Salary in USD]))),0)</f>
        <v>2953.8461538461538</v>
      </c>
      <c r="FB87" s="26">
        <f t="array" ref="FB87">IFERROR(MIN(IF(tblSalaries[Work Hour per day on Excel]=Analysis!FB$81,IF(tblSalaries[Region]=Analysis!$C87,tblSalaries[Salary in USD]))),0)</f>
        <v>6000</v>
      </c>
      <c r="FC87" s="26">
        <f t="array" ref="FC87">IFERROR(MIN(IF(tblSalaries[Years of Experience]=Analysis!FC$81,IF(tblSalaries[Region]=Analysis!$C87,tblSalaries[Salary in USD]))),0)</f>
        <v>2953.8461538461538</v>
      </c>
      <c r="FD87" s="26">
        <f t="array" ref="FD87">IFERROR(MIN(IF(tblSalaries[Years of Experience]=Analysis!FD$81,IF(tblSalaries[Region]=Analysis!$C87,tblSalaries[Salary in USD]))),0)</f>
        <v>9146.5655463031271</v>
      </c>
      <c r="FE87" s="26">
        <f t="array" ref="FE87">IFERROR(MIN(IF(tblSalaries[Years of Experience]=Analysis!FE$81,IF(tblSalaries[Region]=Analysis!$C87,tblSalaries[Salary in USD]))),0)</f>
        <v>5000</v>
      </c>
      <c r="FF87" s="26">
        <f t="array" ref="FF87">IFERROR(MIN(IF(tblSalaries[Years of Experience]=Analysis!FF$81,IF(tblSalaries[Region]=Analysis!$C87,tblSalaries[Salary in USD]))),0)</f>
        <v>24000</v>
      </c>
      <c r="FG87" s="26">
        <f t="array" ref="FG87">IFERROR(MIN(IF(tblSalaries[Years of Experience]=Analysis!FG$81,IF(tblSalaries[Region]=Analysis!$C87,tblSalaries[Salary in USD]))),0)</f>
        <v>109729.60187662003</v>
      </c>
      <c r="FH87" s="26">
        <f t="array" ref="FH87">IFERROR(COUNT(IF(tblSalaries[Region]=Analysis!$C87,tblSalaries[Salary in USD])),0)</f>
        <v>124</v>
      </c>
      <c r="FI87" s="26">
        <f t="array" ref="FI87">IFERROR(COUNT(IF(tblSalaries[Job Type]=Analysis!FI$81,IF(tblSalaries[Region]=Analysis!$C87,tblSalaries[Salary in USD]))),0)</f>
        <v>4</v>
      </c>
      <c r="FJ87" s="26">
        <f t="array" ref="FJ87">IFERROR(COUNT(IF(tblSalaries[Job Type]=Analysis!FJ$81,IF(tblSalaries[Region]=Analysis!$C87,tblSalaries[Salary in USD]))),0)</f>
        <v>9</v>
      </c>
      <c r="FK87" s="26">
        <f t="array" ref="FK87">IFERROR(COUNT(IF(tblSalaries[Job Type]=Analysis!FK$81,IF(tblSalaries[Region]=Analysis!$C87,tblSalaries[Salary in USD]))),0)</f>
        <v>5</v>
      </c>
      <c r="FL87" s="26">
        <f t="array" ref="FL87">IFERROR(COUNT(IF(tblSalaries[Job Type]=Analysis!FL$81,IF(tblSalaries[Region]=Analysis!$C87,tblSalaries[Salary in USD]))),0)</f>
        <v>2</v>
      </c>
      <c r="FM87" s="26">
        <f t="array" ref="FM87">IFERROR(COUNT(IF(tblSalaries[Job Type]=Analysis!FM$81,IF(tblSalaries[Region]=Analysis!$C87,tblSalaries[Salary in USD]))),0)</f>
        <v>5</v>
      </c>
      <c r="FN87" s="26">
        <f t="array" ref="FN87">IFERROR(COUNT(IF(tblSalaries[Job Type]=Analysis!FN$81,IF(tblSalaries[Region]=Analysis!$C87,tblSalaries[Salary in USD]))),0)</f>
        <v>41</v>
      </c>
      <c r="FO87" s="26">
        <f t="array" ref="FO87">IFERROR(COUNT(IF(tblSalaries[Job Type]=Analysis!FO$81,IF(tblSalaries[Region]=Analysis!$C87,tblSalaries[Salary in USD]))),0)</f>
        <v>19</v>
      </c>
      <c r="FP87" s="26">
        <f t="array" ref="FP87">IFERROR(COUNT(IF(tblSalaries[Job Type]=Analysis!FP$81,IF(tblSalaries[Region]=Analysis!$C87,tblSalaries[Salary in USD]))),0)</f>
        <v>34</v>
      </c>
      <c r="FQ87" s="26">
        <f t="array" ref="FQ87">IFERROR(COUNT(IF(tblSalaries[Job Type]=Analysis!FQ$81,IF(tblSalaries[Region]=Analysis!$C87,tblSalaries[Salary in USD]))),0)</f>
        <v>0</v>
      </c>
      <c r="FR87" s="26">
        <f t="array" ref="FR87">IFERROR(COUNT(IF(tblSalaries[Job Type]=Analysis!FR$81,IF(tblSalaries[Region]=Analysis!$C87,tblSalaries[Salary in USD]))),0)</f>
        <v>5</v>
      </c>
      <c r="FS87" s="26">
        <f t="array" ref="FS87">IFERROR(COUNT(IF(tblSalaries[Work Hour per day on Excel]=Analysis!FS$81,IF(tblSalaries[Region]=Analysis!$C87,tblSalaries[Salary in USD]))),0)</f>
        <v>8</v>
      </c>
      <c r="FT87" s="26">
        <f t="array" ref="FT87">IFERROR(COUNT(IF(tblSalaries[Work Hour per day on Excel]=Analysis!FT$81,IF(tblSalaries[Region]=Analysis!$C87,tblSalaries[Salary in USD]))),0)</f>
        <v>20</v>
      </c>
      <c r="FU87" s="26">
        <f t="array" ref="FU87">IFERROR(COUNT(IF(tblSalaries[Work Hour per day on Excel]=Analysis!FU$81,IF(tblSalaries[Region]=Analysis!$C87,tblSalaries[Salary in USD]))),0)</f>
        <v>53</v>
      </c>
      <c r="FV87" s="26">
        <f t="array" ref="FV87">IFERROR(COUNT(IF(tblSalaries[Work Hour per day on Excel]=Analysis!FV$81,IF(tblSalaries[Region]=Analysis!$C87,tblSalaries[Salary in USD]))),0)</f>
        <v>43</v>
      </c>
      <c r="FW87" s="26">
        <f t="array" ref="FW87">IFERROR(COUNT(IF(tblSalaries[Years of Experience]=Analysis!FW$81,IF(tblSalaries[Region]=Analysis!$C87,tblSalaries[Salary in USD]))),0)</f>
        <v>42</v>
      </c>
      <c r="FX87" s="26">
        <f t="array" ref="FX87">IFERROR(COUNT(IF(tblSalaries[Years of Experience]=Analysis!FX$81,IF(tblSalaries[Region]=Analysis!$C87,tblSalaries[Salary in USD]))),0)</f>
        <v>39</v>
      </c>
      <c r="FY87" s="26">
        <f t="array" ref="FY87">IFERROR(COUNT(IF(tblSalaries[Years of Experience]=Analysis!FY$81,IF(tblSalaries[Region]=Analysis!$C87,tblSalaries[Salary in USD]))),0)</f>
        <v>35</v>
      </c>
      <c r="FZ87" s="26">
        <f t="array" ref="FZ87">IFERROR(COUNT(IF(tblSalaries[Years of Experience]=Analysis!FZ$81,IF(tblSalaries[Region]=Analysis!$C87,tblSalaries[Salary in USD]))),0)</f>
        <v>7</v>
      </c>
      <c r="GA87" s="26">
        <f t="array" ref="GA87">IFERROR(COUNT(IF(tblSalaries[Years of Experience]=Analysis!GA$81,IF(tblSalaries[Region]=Analysis!$C87,tblSalaries[Salary in USD]))),0)</f>
        <v>1</v>
      </c>
    </row>
    <row r="88" spans="2:183" s="25" customFormat="1" ht="15" hidden="1" customHeight="1" x14ac:dyDescent="0.25">
      <c r="B88" s="25">
        <f t="shared" si="149"/>
        <v>7</v>
      </c>
      <c r="C88" s="25" t="s">
        <v>1454</v>
      </c>
      <c r="D88" s="26">
        <f t="shared" si="129"/>
        <v>27001.49043711141</v>
      </c>
      <c r="E88" s="26">
        <f t="shared" si="130"/>
        <v>35000</v>
      </c>
      <c r="F88" s="26">
        <f t="shared" si="131"/>
        <v>17000</v>
      </c>
      <c r="G88" s="26">
        <f t="shared" si="132"/>
        <v>57750</v>
      </c>
      <c r="H88" s="26">
        <f t="shared" si="133"/>
        <v>8259.5</v>
      </c>
      <c r="I88" s="26">
        <f t="shared" si="134"/>
        <v>35468.273479146075</v>
      </c>
      <c r="J88" s="26">
        <f t="shared" si="135"/>
        <v>23067.196447372138</v>
      </c>
      <c r="K88" s="26">
        <f t="shared" si="136"/>
        <v>21432.036041384017</v>
      </c>
      <c r="L88" s="26">
        <f t="shared" si="137"/>
        <v>27543.141511940754</v>
      </c>
      <c r="M88" s="26">
        <f t="shared" si="138"/>
        <v>0</v>
      </c>
      <c r="N88" s="26">
        <f t="shared" si="139"/>
        <v>18060</v>
      </c>
      <c r="O88" s="26">
        <f t="shared" si="140"/>
        <v>35609.188264293989</v>
      </c>
      <c r="P88" s="26">
        <f t="shared" si="141"/>
        <v>29579.331891794751</v>
      </c>
      <c r="Q88" s="26">
        <f t="shared" si="142"/>
        <v>14512.583006971998</v>
      </c>
      <c r="R88" s="26">
        <f t="shared" si="143"/>
        <v>39996.138669181193</v>
      </c>
      <c r="S88" s="26">
        <f t="shared" si="144"/>
        <v>23918.038569567601</v>
      </c>
      <c r="T88" s="26">
        <f t="shared" si="145"/>
        <v>26490.151107455706</v>
      </c>
      <c r="U88" s="26">
        <f t="shared" si="146"/>
        <v>32661.888837580569</v>
      </c>
      <c r="V88" s="26">
        <f t="shared" si="147"/>
        <v>50000</v>
      </c>
      <c r="W88" s="26">
        <f t="shared" si="148"/>
        <v>0</v>
      </c>
      <c r="CZ88" s="26">
        <f t="array" ref="CZ88">IFERROR(AVERAGE(IF(tblSalaries[Region]=Analysis!$C88,tblSalaries[Salary in USD])),0)</f>
        <v>27001.49043711141</v>
      </c>
      <c r="DA88" s="26">
        <f t="array" ref="DA88">IFERROR(AVERAGE(IF(tblSalaries[Job Type]=Analysis!DA$81,IF(tblSalaries[Region]=Analysis!$C88,tblSalaries[Salary in USD]))),0)</f>
        <v>35000</v>
      </c>
      <c r="DB88" s="26">
        <f t="array" ref="DB88">IFERROR(AVERAGE(IF(tblSalaries[Job Type]=Analysis!DB$81,IF(tblSalaries[Region]=Analysis!$C88,tblSalaries[Salary in USD]))),0)</f>
        <v>17000</v>
      </c>
      <c r="DC88" s="26">
        <f t="array" ref="DC88">IFERROR(AVERAGE(IF(tblSalaries[Job Type]=Analysis!DC$81,IF(tblSalaries[Region]=Analysis!$C88,tblSalaries[Salary in USD]))),0)</f>
        <v>57750</v>
      </c>
      <c r="DD88" s="26">
        <f t="array" ref="DD88">IFERROR(AVERAGE(IF(tblSalaries[Job Type]=Analysis!DD$81,IF(tblSalaries[Region]=Analysis!$C88,tblSalaries[Salary in USD]))),0)</f>
        <v>8259.5</v>
      </c>
      <c r="DE88" s="26">
        <f t="array" ref="DE88">IFERROR(AVERAGE(IF(tblSalaries[Job Type]=Analysis!DE$81,IF(tblSalaries[Region]=Analysis!$C88,tblSalaries[Salary in USD]))),0)</f>
        <v>35468.273479146075</v>
      </c>
      <c r="DF88" s="26">
        <f t="array" ref="DF88">IFERROR(AVERAGE(IF(tblSalaries[Job Type]=Analysis!DF$81,IF(tblSalaries[Region]=Analysis!$C88,tblSalaries[Salary in USD]))),0)</f>
        <v>23067.196447372138</v>
      </c>
      <c r="DG88" s="26">
        <f t="array" ref="DG88">IFERROR(AVERAGE(IF(tblSalaries[Job Type]=Analysis!DG$81,IF(tblSalaries[Region]=Analysis!$C88,tblSalaries[Salary in USD]))),0)</f>
        <v>21432.036041384017</v>
      </c>
      <c r="DH88" s="26">
        <f t="array" ref="DH88">IFERROR(AVERAGE(IF(tblSalaries[Job Type]=Analysis!DH$81,IF(tblSalaries[Region]=Analysis!$C88,tblSalaries[Salary in USD]))),0)</f>
        <v>27543.141511940754</v>
      </c>
      <c r="DI88" s="26">
        <f t="array" ref="DI88">IFERROR(AVERAGE(IF(tblSalaries[Job Type]=Analysis!DI$81,IF(tblSalaries[Region]=Analysis!$C88,tblSalaries[Salary in USD]))),0)</f>
        <v>0</v>
      </c>
      <c r="DJ88" s="26">
        <f t="array" ref="DJ88">IFERROR(AVERAGE(IF(tblSalaries[Job Type]=Analysis!DJ$81,IF(tblSalaries[Region]=Analysis!$C88,tblSalaries[Salary in USD]))),0)</f>
        <v>18060</v>
      </c>
      <c r="DK88" s="26">
        <f t="array" ref="DK88">IFERROR(AVERAGE(IF(tblSalaries[Work Hour per day on Excel]=Analysis!DK$81,IF(tblSalaries[Region]=Analysis!$C88,tblSalaries[Salary in USD]))),0)</f>
        <v>35609.188264293989</v>
      </c>
      <c r="DL88" s="26">
        <f t="array" ref="DL88">IFERROR(AVERAGE(IF(tblSalaries[Work Hour per day on Excel]=Analysis!DL$81,IF(tblSalaries[Region]=Analysis!$C88,tblSalaries[Salary in USD]))),0)</f>
        <v>29579.331891794751</v>
      </c>
      <c r="DM88" s="26">
        <f t="array" ref="DM88">IFERROR(AVERAGE(IF(tblSalaries[Work Hour per day on Excel]=Analysis!DM$81,IF(tblSalaries[Region]=Analysis!$C88,tblSalaries[Salary in USD]))),0)</f>
        <v>14512.583006971998</v>
      </c>
      <c r="DN88" s="26">
        <f t="array" ref="DN88">IFERROR(AVERAGE(IF(tblSalaries[Work Hour per day on Excel]=Analysis!DN$81,IF(tblSalaries[Region]=Analysis!$C88,tblSalaries[Salary in USD]))),0)</f>
        <v>39996.138669181193</v>
      </c>
      <c r="DO88" s="26">
        <f t="array" ref="DO88">IFERROR(AVERAGE(IF(tblSalaries[Years of Experience]=Analysis!DO$81,IF(tblSalaries[Region]=Analysis!$C88,tblSalaries[Salary in USD]))),0)</f>
        <v>23918.038569567601</v>
      </c>
      <c r="DP88" s="26">
        <f t="array" ref="DP88">IFERROR(AVERAGE(IF(tblSalaries[Years of Experience]=Analysis!DP$81,IF(tblSalaries[Region]=Analysis!$C88,tblSalaries[Salary in USD]))),0)</f>
        <v>26490.151107455706</v>
      </c>
      <c r="DQ88" s="26">
        <f t="array" ref="DQ88">IFERROR(AVERAGE(IF(tblSalaries[Years of Experience]=Analysis!DQ$81,IF(tblSalaries[Region]=Analysis!$C88,tblSalaries[Salary in USD]))),0)</f>
        <v>32661.888837580569</v>
      </c>
      <c r="DR88" s="26">
        <f t="array" ref="DR88">IFERROR(AVERAGE(IF(tblSalaries[Years of Experience]=Analysis!DR$81,IF(tblSalaries[Region]=Analysis!$C88,tblSalaries[Salary in USD]))),0)</f>
        <v>50000</v>
      </c>
      <c r="DS88" s="26">
        <f t="array" ref="DS88">IFERROR(AVERAGE(IF(tblSalaries[Years of Experience]=Analysis!DS$81,IF(tblSalaries[Region]=Analysis!$C88,tblSalaries[Salary in USD]))),0)</f>
        <v>0</v>
      </c>
      <c r="DT88" s="26">
        <f t="array" ref="DT88">IFERROR(MAX(IF(tblSalaries[Region]=Analysis!$C88,tblSalaries[Salary in USD])),0)</f>
        <v>120000</v>
      </c>
      <c r="DU88" s="26">
        <f t="array" ref="DU88">IFERROR(MAX(IF(tblSalaries[Job Type]=Analysis!DU$81,IF(tblSalaries[Region]=Analysis!$C88,tblSalaries[Salary in USD]))),0)</f>
        <v>35000</v>
      </c>
      <c r="DV88" s="26">
        <f t="array" ref="DV88">IFERROR(MAX(IF(tblSalaries[Job Type]=Analysis!DV$81,IF(tblSalaries[Region]=Analysis!$C88,tblSalaries[Salary in USD]))),0)</f>
        <v>30000</v>
      </c>
      <c r="DW88" s="26">
        <f t="array" ref="DW88">IFERROR(MAX(IF(tblSalaries[Job Type]=Analysis!DW$81,IF(tblSalaries[Region]=Analysis!$C88,tblSalaries[Salary in USD]))),0)</f>
        <v>120000</v>
      </c>
      <c r="DX88" s="26">
        <f t="array" ref="DX88">IFERROR(MAX(IF(tblSalaries[Job Type]=Analysis!DX$81,IF(tblSalaries[Region]=Analysis!$C88,tblSalaries[Salary in USD]))),0)</f>
        <v>12500</v>
      </c>
      <c r="DY88" s="26">
        <f t="array" ref="DY88">IFERROR(MAX(IF(tblSalaries[Job Type]=Analysis!DY$81,IF(tblSalaries[Region]=Analysis!$C88,tblSalaries[Salary in USD]))),0)</f>
        <v>50000</v>
      </c>
      <c r="DZ88" s="26">
        <f t="array" ref="DZ88">IFERROR(MAX(IF(tblSalaries[Job Type]=Analysis!DZ$81,IF(tblSalaries[Region]=Analysis!$C88,tblSalaries[Salary in USD]))),0)</f>
        <v>86000</v>
      </c>
      <c r="EA88" s="26">
        <f t="array" ref="EA88">IFERROR(MAX(IF(tblSalaries[Job Type]=Analysis!EA$81,IF(tblSalaries[Region]=Analysis!$C88,tblSalaries[Salary in USD]))),0)</f>
        <v>60000</v>
      </c>
      <c r="EB88" s="26">
        <f t="array" ref="EB88">IFERROR(MAX(IF(tblSalaries[Job Type]=Analysis!EB$81,IF(tblSalaries[Region]=Analysis!$C88,tblSalaries[Salary in USD]))),0)</f>
        <v>98000</v>
      </c>
      <c r="EC88" s="26">
        <f t="array" ref="EC88">IFERROR(MAX(IF(tblSalaries[Job Type]=Analysis!EC$81,IF(tblSalaries[Region]=Analysis!$C88,tblSalaries[Salary in USD]))),0)</f>
        <v>0</v>
      </c>
      <c r="ED88" s="26">
        <f t="array" ref="ED88">IFERROR(MAX(IF(tblSalaries[Job Type]=Analysis!ED$81,IF(tblSalaries[Region]=Analysis!$C88,tblSalaries[Salary in USD]))),0)</f>
        <v>18060</v>
      </c>
      <c r="EE88" s="26">
        <f t="array" ref="EE88">IFERROR(MAX(IF(tblSalaries[Work Hour per day on Excel]=Analysis!EE$81,IF(tblSalaries[Region]=Analysis!$C88,tblSalaries[Salary in USD]))),0)</f>
        <v>120000</v>
      </c>
      <c r="EF88" s="26">
        <f t="array" ref="EF88">IFERROR(MAX(IF(tblSalaries[Work Hour per day on Excel]=Analysis!EF$81,IF(tblSalaries[Region]=Analysis!$C88,tblSalaries[Salary in USD]))),0)</f>
        <v>98000</v>
      </c>
      <c r="EG88" s="26">
        <f t="array" ref="EG88">IFERROR(MAX(IF(tblSalaries[Work Hour per day on Excel]=Analysis!EG$81,IF(tblSalaries[Region]=Analysis!$C88,tblSalaries[Salary in USD]))),0)</f>
        <v>60000</v>
      </c>
      <c r="EH88" s="26">
        <f t="array" ref="EH88">IFERROR(MAX(IF(tblSalaries[Work Hour per day on Excel]=Analysis!EH$81,IF(tblSalaries[Region]=Analysis!$C88,tblSalaries[Salary in USD]))),0)</f>
        <v>86000</v>
      </c>
      <c r="EI88" s="26">
        <f t="array" ref="EI88">IFERROR(MAX(IF(tblSalaries[Years of Experience]=Analysis!EI$81,IF(tblSalaries[Region]=Analysis!$C88,tblSalaries[Salary in USD]))),0)</f>
        <v>120000</v>
      </c>
      <c r="EJ88" s="26">
        <f t="array" ref="EJ88">IFERROR(MAX(IF(tblSalaries[Years of Experience]=Analysis!EJ$81,IF(tblSalaries[Region]=Analysis!$C88,tblSalaries[Salary in USD]))),0)</f>
        <v>85000</v>
      </c>
      <c r="EK88" s="26">
        <f t="array" ref="EK88">IFERROR(MAX(IF(tblSalaries[Years of Experience]=Analysis!EK$81,IF(tblSalaries[Region]=Analysis!$C88,tblSalaries[Salary in USD]))),0)</f>
        <v>98000</v>
      </c>
      <c r="EL88" s="26">
        <f t="array" ref="EL88">IFERROR(MAX(IF(tblSalaries[Years of Experience]=Analysis!EL$81,IF(tblSalaries[Region]=Analysis!$C88,tblSalaries[Salary in USD]))),0)</f>
        <v>50000</v>
      </c>
      <c r="EM88" s="26">
        <f t="array" ref="EM88">IFERROR(MAX(IF(tblSalaries[Years of Experience]=Analysis!EM$81,IF(tblSalaries[Region]=Analysis!$C88,tblSalaries[Salary in USD]))),0)</f>
        <v>0</v>
      </c>
      <c r="EN88" s="26">
        <f t="array" ref="EN88">IFERROR(MIN(IF(tblSalaries[Region]=Analysis!$C88,tblSalaries[Salary in USD])),0)</f>
        <v>1805.7739622442759</v>
      </c>
      <c r="EO88" s="26">
        <f t="array" ref="EO88">IFERROR(MIN(IF(tblSalaries[Job Type]=Analysis!EO$81,IF(tblSalaries[Region]=Analysis!$C88,tblSalaries[Salary in USD]))),0)</f>
        <v>35000</v>
      </c>
      <c r="EP88" s="26">
        <f t="array" ref="EP88">IFERROR(MIN(IF(tblSalaries[Job Type]=Analysis!EP$81,IF(tblSalaries[Region]=Analysis!$C88,tblSalaries[Salary in USD]))),0)</f>
        <v>7200</v>
      </c>
      <c r="EQ88" s="26">
        <f t="array" ref="EQ88">IFERROR(MIN(IF(tblSalaries[Job Type]=Analysis!EQ$81,IF(tblSalaries[Region]=Analysis!$C88,tblSalaries[Salary in USD]))),0)</f>
        <v>3000</v>
      </c>
      <c r="ER88" s="26">
        <f t="array" ref="ER88">IFERROR(MIN(IF(tblSalaries[Job Type]=Analysis!ER$81,IF(tblSalaries[Region]=Analysis!$C88,tblSalaries[Salary in USD]))),0)</f>
        <v>4019</v>
      </c>
      <c r="ES88" s="26">
        <f t="array" ref="ES88">IFERROR(MIN(IF(tblSalaries[Job Type]=Analysis!ES$81,IF(tblSalaries[Region]=Analysis!$C88,tblSalaries[Salary in USD]))),0)</f>
        <v>11404.820437438224</v>
      </c>
      <c r="ET88" s="26">
        <f t="array" ref="ET88">IFERROR(MIN(IF(tblSalaries[Job Type]=Analysis!ET$81,IF(tblSalaries[Region]=Analysis!$C88,tblSalaries[Salary in USD]))),0)</f>
        <v>3000</v>
      </c>
      <c r="EU88" s="26">
        <f t="array" ref="EU88">IFERROR(MIN(IF(tblSalaries[Job Type]=Analysis!EU$81,IF(tblSalaries[Region]=Analysis!$C88,tblSalaries[Salary in USD]))),0)</f>
        <v>3000</v>
      </c>
      <c r="EV88" s="26">
        <f t="array" ref="EV88">IFERROR(MIN(IF(tblSalaries[Job Type]=Analysis!EV$81,IF(tblSalaries[Region]=Analysis!$C88,tblSalaries[Salary in USD]))),0)</f>
        <v>1805.7739622442759</v>
      </c>
      <c r="EW88" s="26">
        <f t="array" ref="EW88">IFERROR(MIN(IF(tblSalaries[Job Type]=Analysis!EW$81,IF(tblSalaries[Region]=Analysis!$C88,tblSalaries[Salary in USD]))),0)</f>
        <v>0</v>
      </c>
      <c r="EX88" s="26">
        <f t="array" ref="EX88">IFERROR(MIN(IF(tblSalaries[Job Type]=Analysis!EX$81,IF(tblSalaries[Region]=Analysis!$C88,tblSalaries[Salary in USD]))),0)</f>
        <v>18060</v>
      </c>
      <c r="EY88" s="26">
        <f t="array" ref="EY88">IFERROR(MIN(IF(tblSalaries[Work Hour per day on Excel]=Analysis!EY$81,IF(tblSalaries[Region]=Analysis!$C88,tblSalaries[Salary in USD]))),0)</f>
        <v>3000</v>
      </c>
      <c r="EZ88" s="26">
        <f t="array" ref="EZ88">IFERROR(MIN(IF(tblSalaries[Work Hour per day on Excel]=Analysis!EZ$81,IF(tblSalaries[Region]=Analysis!$C88,tblSalaries[Salary in USD]))),0)</f>
        <v>3000</v>
      </c>
      <c r="FA88" s="26">
        <f t="array" ref="FA88">IFERROR(MIN(IF(tblSalaries[Work Hour per day on Excel]=Analysis!FA$81,IF(tblSalaries[Region]=Analysis!$C88,tblSalaries[Salary in USD]))),0)</f>
        <v>1805.7739622442759</v>
      </c>
      <c r="FB88" s="26">
        <f t="array" ref="FB88">IFERROR(MIN(IF(tblSalaries[Work Hour per day on Excel]=Analysis!FB$81,IF(tblSalaries[Region]=Analysis!$C88,tblSalaries[Salary in USD]))),0)</f>
        <v>8000</v>
      </c>
      <c r="FC88" s="26">
        <f t="array" ref="FC88">IFERROR(MIN(IF(tblSalaries[Years of Experience]=Analysis!FC$81,IF(tblSalaries[Region]=Analysis!$C88,tblSalaries[Salary in USD]))),0)</f>
        <v>1805.7739622442759</v>
      </c>
      <c r="FD88" s="26">
        <f t="array" ref="FD88">IFERROR(MIN(IF(tblSalaries[Years of Experience]=Analysis!FD$81,IF(tblSalaries[Region]=Analysis!$C88,tblSalaries[Salary in USD]))),0)</f>
        <v>3982.448779308334</v>
      </c>
      <c r="FE88" s="26">
        <f t="array" ref="FE88">IFERROR(MIN(IF(tblSalaries[Years of Experience]=Analysis!FE$81,IF(tblSalaries[Region]=Analysis!$C88,tblSalaries[Salary in USD]))),0)</f>
        <v>3000</v>
      </c>
      <c r="FF88" s="26">
        <f t="array" ref="FF88">IFERROR(MIN(IF(tblSalaries[Years of Experience]=Analysis!FF$81,IF(tblSalaries[Region]=Analysis!$C88,tblSalaries[Salary in USD]))),0)</f>
        <v>50000</v>
      </c>
      <c r="FG88" s="26">
        <f t="array" ref="FG88">IFERROR(MIN(IF(tblSalaries[Years of Experience]=Analysis!FG$81,IF(tblSalaries[Region]=Analysis!$C88,tblSalaries[Salary in USD]))),0)</f>
        <v>0</v>
      </c>
      <c r="FH88" s="26">
        <f t="array" ref="FH88">IFERROR(COUNT(IF(tblSalaries[Region]=Analysis!$C88,tblSalaries[Salary in USD])),0)</f>
        <v>55</v>
      </c>
      <c r="FI88" s="26">
        <f t="array" ref="FI88">IFERROR(COUNT(IF(tblSalaries[Job Type]=Analysis!FI$81,IF(tblSalaries[Region]=Analysis!$C88,tblSalaries[Salary in USD]))),0)</f>
        <v>1</v>
      </c>
      <c r="FJ88" s="26">
        <f t="array" ref="FJ88">IFERROR(COUNT(IF(tblSalaries[Job Type]=Analysis!FJ$81,IF(tblSalaries[Region]=Analysis!$C88,tblSalaries[Salary in USD]))),0)</f>
        <v>3</v>
      </c>
      <c r="FK88" s="26">
        <f t="array" ref="FK88">IFERROR(COUNT(IF(tblSalaries[Job Type]=Analysis!FK$81,IF(tblSalaries[Region]=Analysis!$C88,tblSalaries[Salary in USD]))),0)</f>
        <v>4</v>
      </c>
      <c r="FL88" s="26">
        <f t="array" ref="FL88">IFERROR(COUNT(IF(tblSalaries[Job Type]=Analysis!FL$81,IF(tblSalaries[Region]=Analysis!$C88,tblSalaries[Salary in USD]))),0)</f>
        <v>2</v>
      </c>
      <c r="FM88" s="26">
        <f t="array" ref="FM88">IFERROR(COUNT(IF(tblSalaries[Job Type]=Analysis!FM$81,IF(tblSalaries[Region]=Analysis!$C88,tblSalaries[Salary in USD]))),0)</f>
        <v>3</v>
      </c>
      <c r="FN88" s="26">
        <f t="array" ref="FN88">IFERROR(COUNT(IF(tblSalaries[Job Type]=Analysis!FN$81,IF(tblSalaries[Region]=Analysis!$C88,tblSalaries[Salary in USD]))),0)</f>
        <v>16</v>
      </c>
      <c r="FO88" s="26">
        <f t="array" ref="FO88">IFERROR(COUNT(IF(tblSalaries[Job Type]=Analysis!FO$81,IF(tblSalaries[Region]=Analysis!$C88,tblSalaries[Salary in USD]))),0)</f>
        <v>5</v>
      </c>
      <c r="FP88" s="26">
        <f t="array" ref="FP88">IFERROR(COUNT(IF(tblSalaries[Job Type]=Analysis!FP$81,IF(tblSalaries[Region]=Analysis!$C88,tblSalaries[Salary in USD]))),0)</f>
        <v>20</v>
      </c>
      <c r="FQ88" s="26">
        <f t="array" ref="FQ88">IFERROR(COUNT(IF(tblSalaries[Job Type]=Analysis!FQ$81,IF(tblSalaries[Region]=Analysis!$C88,tblSalaries[Salary in USD]))),0)</f>
        <v>0</v>
      </c>
      <c r="FR88" s="26">
        <f t="array" ref="FR88">IFERROR(COUNT(IF(tblSalaries[Job Type]=Analysis!FR$81,IF(tblSalaries[Region]=Analysis!$C88,tblSalaries[Salary in USD]))),0)</f>
        <v>1</v>
      </c>
      <c r="FS88" s="26">
        <f t="array" ref="FS88">IFERROR(COUNT(IF(tblSalaries[Work Hour per day on Excel]=Analysis!FS$81,IF(tblSalaries[Region]=Analysis!$C88,tblSalaries[Salary in USD]))),0)</f>
        <v>9</v>
      </c>
      <c r="FT88" s="26">
        <f t="array" ref="FT88">IFERROR(COUNT(IF(tblSalaries[Work Hour per day on Excel]=Analysis!FT$81,IF(tblSalaries[Region]=Analysis!$C88,tblSalaries[Salary in USD]))),0)</f>
        <v>11</v>
      </c>
      <c r="FU88" s="26">
        <f t="array" ref="FU88">IFERROR(COUNT(IF(tblSalaries[Work Hour per day on Excel]=Analysis!FU$81,IF(tblSalaries[Region]=Analysis!$C88,tblSalaries[Salary in USD]))),0)</f>
        <v>22</v>
      </c>
      <c r="FV88" s="26">
        <f t="array" ref="FV88">IFERROR(COUNT(IF(tblSalaries[Work Hour per day on Excel]=Analysis!FV$81,IF(tblSalaries[Region]=Analysis!$C88,tblSalaries[Salary in USD]))),0)</f>
        <v>13</v>
      </c>
      <c r="FW88" s="26">
        <f t="array" ref="FW88">IFERROR(COUNT(IF(tblSalaries[Years of Experience]=Analysis!FW$81,IF(tblSalaries[Region]=Analysis!$C88,tblSalaries[Salary in USD]))),0)</f>
        <v>27</v>
      </c>
      <c r="FX88" s="26">
        <f t="array" ref="FX88">IFERROR(COUNT(IF(tblSalaries[Years of Experience]=Analysis!FX$81,IF(tblSalaries[Region]=Analysis!$C88,tblSalaries[Salary in USD]))),0)</f>
        <v>15</v>
      </c>
      <c r="FY88" s="26">
        <f t="array" ref="FY88">IFERROR(COUNT(IF(tblSalaries[Years of Experience]=Analysis!FY$81,IF(tblSalaries[Region]=Analysis!$C88,tblSalaries[Salary in USD]))),0)</f>
        <v>12</v>
      </c>
      <c r="FZ88" s="26">
        <f t="array" ref="FZ88">IFERROR(COUNT(IF(tblSalaries[Years of Experience]=Analysis!FZ$81,IF(tblSalaries[Region]=Analysis!$C88,tblSalaries[Salary in USD]))),0)</f>
        <v>1</v>
      </c>
      <c r="GA88" s="26">
        <f t="array" ref="GA88">IFERROR(COUNT(IF(tblSalaries[Years of Experience]=Analysis!GA$81,IF(tblSalaries[Region]=Analysis!$C88,tblSalaries[Salary in USD]))),0)</f>
        <v>0</v>
      </c>
    </row>
    <row r="89" spans="2:183" s="25" customFormat="1" ht="15" hidden="1" customHeight="1" x14ac:dyDescent="0.25">
      <c r="B89" s="25">
        <f t="shared" si="149"/>
        <v>8</v>
      </c>
      <c r="C89" s="25" t="s">
        <v>0</v>
      </c>
      <c r="D89" s="26">
        <f t="shared" si="129"/>
        <v>13213.985298053934</v>
      </c>
      <c r="E89" s="26">
        <f t="shared" si="130"/>
        <v>31032.550022437972</v>
      </c>
      <c r="F89" s="26">
        <f t="shared" si="131"/>
        <v>10468.177151120017</v>
      </c>
      <c r="G89" s="26">
        <f t="shared" si="132"/>
        <v>14851.586023939944</v>
      </c>
      <c r="H89" s="26">
        <f t="shared" si="133"/>
        <v>31759.895859303211</v>
      </c>
      <c r="I89" s="26">
        <f t="shared" si="134"/>
        <v>12724.546715414121</v>
      </c>
      <c r="J89" s="26">
        <f t="shared" si="135"/>
        <v>10725.16857884118</v>
      </c>
      <c r="K89" s="26">
        <f t="shared" si="136"/>
        <v>8863.6591214067066</v>
      </c>
      <c r="L89" s="26">
        <f t="shared" si="137"/>
        <v>15529.153395511199</v>
      </c>
      <c r="M89" s="26">
        <f t="shared" si="138"/>
        <v>17551.33488143489</v>
      </c>
      <c r="N89" s="26">
        <f t="shared" si="139"/>
        <v>10474.5749755384</v>
      </c>
      <c r="O89" s="26">
        <f t="shared" si="140"/>
        <v>16581.852023335494</v>
      </c>
      <c r="P89" s="26">
        <f t="shared" si="141"/>
        <v>14218.169695793289</v>
      </c>
      <c r="Q89" s="26">
        <f t="shared" si="142"/>
        <v>11735.075855983381</v>
      </c>
      <c r="R89" s="26">
        <f t="shared" si="143"/>
        <v>12970.825816408293</v>
      </c>
      <c r="S89" s="26">
        <f t="shared" si="144"/>
        <v>10664.803234082052</v>
      </c>
      <c r="T89" s="26">
        <f t="shared" si="145"/>
        <v>16564.418086390036</v>
      </c>
      <c r="U89" s="26">
        <f t="shared" si="146"/>
        <v>14665.089282700204</v>
      </c>
      <c r="V89" s="26">
        <f t="shared" si="147"/>
        <v>18664.011038394288</v>
      </c>
      <c r="W89" s="26">
        <f t="shared" si="148"/>
        <v>10684.750012465542</v>
      </c>
      <c r="CZ89" s="26">
        <f t="array" ref="CZ89">IFERROR(AVERAGE(IF(tblSalaries[Region]=Analysis!$C89,tblSalaries[Salary in USD])),0)</f>
        <v>13213.985298053934</v>
      </c>
      <c r="DA89" s="26">
        <f t="array" ref="DA89">IFERROR(AVERAGE(IF(tblSalaries[Job Type]=Analysis!DA$81,IF(tblSalaries[Region]=Analysis!$C89,tblSalaries[Salary in USD]))),0)</f>
        <v>31032.550022437972</v>
      </c>
      <c r="DB89" s="26">
        <f t="array" ref="DB89">IFERROR(AVERAGE(IF(tblSalaries[Job Type]=Analysis!DB$81,IF(tblSalaries[Region]=Analysis!$C89,tblSalaries[Salary in USD]))),0)</f>
        <v>10468.177151120017</v>
      </c>
      <c r="DC89" s="26">
        <f t="array" ref="DC89">IFERROR(AVERAGE(IF(tblSalaries[Job Type]=Analysis!DC$81,IF(tblSalaries[Region]=Analysis!$C89,tblSalaries[Salary in USD]))),0)</f>
        <v>14851.586023939944</v>
      </c>
      <c r="DD89" s="26">
        <f t="array" ref="DD89">IFERROR(AVERAGE(IF(tblSalaries[Job Type]=Analysis!DD$81,IF(tblSalaries[Region]=Analysis!$C89,tblSalaries[Salary in USD]))),0)</f>
        <v>31759.895859303211</v>
      </c>
      <c r="DE89" s="26">
        <f t="array" ref="DE89">IFERROR(AVERAGE(IF(tblSalaries[Job Type]=Analysis!DE$81,IF(tblSalaries[Region]=Analysis!$C89,tblSalaries[Salary in USD]))),0)</f>
        <v>12724.546715414121</v>
      </c>
      <c r="DF89" s="26">
        <f t="array" ref="DF89">IFERROR(AVERAGE(IF(tblSalaries[Job Type]=Analysis!DF$81,IF(tblSalaries[Region]=Analysis!$C89,tblSalaries[Salary in USD]))),0)</f>
        <v>10725.16857884118</v>
      </c>
      <c r="DG89" s="26">
        <f t="array" ref="DG89">IFERROR(AVERAGE(IF(tblSalaries[Job Type]=Analysis!DG$81,IF(tblSalaries[Region]=Analysis!$C89,tblSalaries[Salary in USD]))),0)</f>
        <v>8863.6591214067066</v>
      </c>
      <c r="DH89" s="26">
        <f t="array" ref="DH89">IFERROR(AVERAGE(IF(tblSalaries[Job Type]=Analysis!DH$81,IF(tblSalaries[Region]=Analysis!$C89,tblSalaries[Salary in USD]))),0)</f>
        <v>15529.153395511199</v>
      </c>
      <c r="DI89" s="26">
        <f t="array" ref="DI89">IFERROR(AVERAGE(IF(tblSalaries[Job Type]=Analysis!DI$81,IF(tblSalaries[Region]=Analysis!$C89,tblSalaries[Salary in USD]))),0)</f>
        <v>17551.33488143489</v>
      </c>
      <c r="DJ89" s="26">
        <f t="array" ref="DJ89">IFERROR(AVERAGE(IF(tblSalaries[Job Type]=Analysis!DJ$81,IF(tblSalaries[Region]=Analysis!$C89,tblSalaries[Salary in USD]))),0)</f>
        <v>10474.5749755384</v>
      </c>
      <c r="DK89" s="26">
        <f t="array" ref="DK89">IFERROR(AVERAGE(IF(tblSalaries[Work Hour per day on Excel]=Analysis!DK$81,IF(tblSalaries[Region]=Analysis!$C89,tblSalaries[Salary in USD]))),0)</f>
        <v>16581.852023335494</v>
      </c>
      <c r="DL89" s="26">
        <f t="array" ref="DL89">IFERROR(AVERAGE(IF(tblSalaries[Work Hour per day on Excel]=Analysis!DL$81,IF(tblSalaries[Region]=Analysis!$C89,tblSalaries[Salary in USD]))),0)</f>
        <v>14218.169695793289</v>
      </c>
      <c r="DM89" s="26">
        <f t="array" ref="DM89">IFERROR(AVERAGE(IF(tblSalaries[Work Hour per day on Excel]=Analysis!DM$81,IF(tblSalaries[Region]=Analysis!$C89,tblSalaries[Salary in USD]))),0)</f>
        <v>11735.075855983381</v>
      </c>
      <c r="DN89" s="26">
        <f t="array" ref="DN89">IFERROR(AVERAGE(IF(tblSalaries[Work Hour per day on Excel]=Analysis!DN$81,IF(tblSalaries[Region]=Analysis!$C89,tblSalaries[Salary in USD]))),0)</f>
        <v>12970.825816408293</v>
      </c>
      <c r="DO89" s="26">
        <f t="array" ref="DO89">IFERROR(AVERAGE(IF(tblSalaries[Years of Experience]=Analysis!DO$81,IF(tblSalaries[Region]=Analysis!$C89,tblSalaries[Salary in USD]))),0)</f>
        <v>10664.803234082052</v>
      </c>
      <c r="DP89" s="26">
        <f t="array" ref="DP89">IFERROR(AVERAGE(IF(tblSalaries[Years of Experience]=Analysis!DP$81,IF(tblSalaries[Region]=Analysis!$C89,tblSalaries[Salary in USD]))),0)</f>
        <v>16564.418086390036</v>
      </c>
      <c r="DQ89" s="26">
        <f t="array" ref="DQ89">IFERROR(AVERAGE(IF(tblSalaries[Years of Experience]=Analysis!DQ$81,IF(tblSalaries[Region]=Analysis!$C89,tblSalaries[Salary in USD]))),0)</f>
        <v>14665.089282700204</v>
      </c>
      <c r="DR89" s="26">
        <f t="array" ref="DR89">IFERROR(AVERAGE(IF(tblSalaries[Years of Experience]=Analysis!DR$81,IF(tblSalaries[Region]=Analysis!$C89,tblSalaries[Salary in USD]))),0)</f>
        <v>18664.011038394288</v>
      </c>
      <c r="DS89" s="26">
        <f t="array" ref="DS89">IFERROR(AVERAGE(IF(tblSalaries[Years of Experience]=Analysis!DS$81,IF(tblSalaries[Region]=Analysis!$C89,tblSalaries[Salary in USD]))),0)</f>
        <v>10684.750012465542</v>
      </c>
      <c r="DT89" s="26">
        <f t="array" ref="DT89">IFERROR(MAX(IF(tblSalaries[Region]=Analysis!$C89,tblSalaries[Salary in USD])),0)</f>
        <v>186983.12521814698</v>
      </c>
      <c r="DU89" s="26">
        <f t="array" ref="DU89">IFERROR(MAX(IF(tblSalaries[Job Type]=Analysis!DU$81,IF(tblSalaries[Region]=Analysis!$C89,tblSalaries[Salary in USD]))),0)</f>
        <v>80135.625093491559</v>
      </c>
      <c r="DV89" s="26">
        <f t="array" ref="DV89">IFERROR(MAX(IF(tblSalaries[Job Type]=Analysis!DV$81,IF(tblSalaries[Region]=Analysis!$C89,tblSalaries[Salary in USD]))),0)</f>
        <v>21369.500024931083</v>
      </c>
      <c r="DW89" s="26">
        <f t="array" ref="DW89">IFERROR(MAX(IF(tblSalaries[Job Type]=Analysis!DW$81,IF(tblSalaries[Region]=Analysis!$C89,tblSalaries[Salary in USD]))),0)</f>
        <v>37500</v>
      </c>
      <c r="DX89" s="26">
        <f t="array" ref="DX89">IFERROR(MAX(IF(tblSalaries[Job Type]=Analysis!DX$81,IF(tblSalaries[Region]=Analysis!$C89,tblSalaries[Salary in USD]))),0)</f>
        <v>71231.666749770273</v>
      </c>
      <c r="DY89" s="26">
        <f t="array" ref="DY89">IFERROR(MAX(IF(tblSalaries[Job Type]=Analysis!DY$81,IF(tblSalaries[Region]=Analysis!$C89,tblSalaries[Salary in USD]))),0)</f>
        <v>40000</v>
      </c>
      <c r="DZ89" s="26">
        <f t="array" ref="DZ89">IFERROR(MAX(IF(tblSalaries[Job Type]=Analysis!DZ$81,IF(tblSalaries[Region]=Analysis!$C89,tblSalaries[Salary in USD]))),0)</f>
        <v>57875.729234188344</v>
      </c>
      <c r="EA89" s="26">
        <f t="array" ref="EA89">IFERROR(MAX(IF(tblSalaries[Job Type]=Analysis!EA$81,IF(tblSalaries[Region]=Analysis!$C89,tblSalaries[Salary in USD]))),0)</f>
        <v>40067.812546745779</v>
      </c>
      <c r="EB89" s="26">
        <f t="array" ref="EB89">IFERROR(MAX(IF(tblSalaries[Job Type]=Analysis!EB$81,IF(tblSalaries[Region]=Analysis!$C89,tblSalaries[Salary in USD]))),0)</f>
        <v>186983.12521814698</v>
      </c>
      <c r="EC89" s="26">
        <f t="array" ref="EC89">IFERROR(MAX(IF(tblSalaries[Job Type]=Analysis!EC$81,IF(tblSalaries[Region]=Analysis!$C89,tblSalaries[Salary in USD]))),0)</f>
        <v>41712.231189497601</v>
      </c>
      <c r="ED89" s="26">
        <f t="array" ref="ED89">IFERROR(MAX(IF(tblSalaries[Job Type]=Analysis!ED$81,IF(tblSalaries[Region]=Analysis!$C89,tblSalaries[Salary in USD]))),0)</f>
        <v>100614.72928405051</v>
      </c>
      <c r="EE89" s="26">
        <f t="array" ref="EE89">IFERROR(MAX(IF(tblSalaries[Work Hour per day on Excel]=Analysis!EE$81,IF(tblSalaries[Region]=Analysis!$C89,tblSalaries[Salary in USD]))),0)</f>
        <v>80135.625093491559</v>
      </c>
      <c r="EF89" s="26">
        <f t="array" ref="EF89">IFERROR(MAX(IF(tblSalaries[Work Hour per day on Excel]=Analysis!EF$81,IF(tblSalaries[Region]=Analysis!$C89,tblSalaries[Salary in USD]))),0)</f>
        <v>186983.12521814698</v>
      </c>
      <c r="EG89" s="26">
        <f t="array" ref="EG89">IFERROR(MAX(IF(tblSalaries[Work Hour per day on Excel]=Analysis!EG$81,IF(tblSalaries[Region]=Analysis!$C89,tblSalaries[Salary in USD]))),0)</f>
        <v>71231.666749770273</v>
      </c>
      <c r="EH89" s="26">
        <f t="array" ref="EH89">IFERROR(MAX(IF(tblSalaries[Work Hour per day on Excel]=Analysis!EH$81,IF(tblSalaries[Region]=Analysis!$C89,tblSalaries[Salary in USD]))),0)</f>
        <v>96000</v>
      </c>
      <c r="EI89" s="26">
        <f t="array" ref="EI89">IFERROR(MAX(IF(tblSalaries[Years of Experience]=Analysis!EI$81,IF(tblSalaries[Region]=Analysis!$C89,tblSalaries[Salary in USD]))),0)</f>
        <v>71231.666749770273</v>
      </c>
      <c r="EJ89" s="26">
        <f t="array" ref="EJ89">IFERROR(MAX(IF(tblSalaries[Years of Experience]=Analysis!EJ$81,IF(tblSalaries[Region]=Analysis!$C89,tblSalaries[Salary in USD]))),0)</f>
        <v>186983.12521814698</v>
      </c>
      <c r="EK89" s="26">
        <f t="array" ref="EK89">IFERROR(MAX(IF(tblSalaries[Years of Experience]=Analysis!EK$81,IF(tblSalaries[Region]=Analysis!$C89,tblSalaries[Salary in USD]))),0)</f>
        <v>60000</v>
      </c>
      <c r="EL89" s="26">
        <f t="array" ref="EL89">IFERROR(MAX(IF(tblSalaries[Years of Experience]=Analysis!EL$81,IF(tblSalaries[Region]=Analysis!$C89,tblSalaries[Salary in USD]))),0)</f>
        <v>50000</v>
      </c>
      <c r="EM89" s="26">
        <f t="array" ref="EM89">IFERROR(MAX(IF(tblSalaries[Years of Experience]=Analysis!EM$81,IF(tblSalaries[Region]=Analysis!$C89,tblSalaries[Salary in USD]))),0)</f>
        <v>10684.750012465542</v>
      </c>
      <c r="EN89" s="26">
        <f t="array" ref="EN89">IFERROR(MIN(IF(tblSalaries[Region]=Analysis!$C89,tblSalaries[Salary in USD])),0)</f>
        <v>2136.9500024931081</v>
      </c>
      <c r="EO89" s="26">
        <f t="array" ref="EO89">IFERROR(MIN(IF(tblSalaries[Job Type]=Analysis!EO$81,IF(tblSalaries[Region]=Analysis!$C89,tblSalaries[Salary in USD]))),0)</f>
        <v>2671.1875031163854</v>
      </c>
      <c r="EP89" s="26">
        <f t="array" ref="EP89">IFERROR(MIN(IF(tblSalaries[Job Type]=Analysis!EP$81,IF(tblSalaries[Region]=Analysis!$C89,tblSalaries[Salary in USD]))),0)</f>
        <v>2564.3400029917298</v>
      </c>
      <c r="EQ89" s="26">
        <f t="array" ref="EQ89">IFERROR(MIN(IF(tblSalaries[Job Type]=Analysis!EQ$81,IF(tblSalaries[Region]=Analysis!$C89,tblSalaries[Salary in USD]))),0)</f>
        <v>5342.3750062327708</v>
      </c>
      <c r="ER89" s="26">
        <f t="array" ref="ER89">IFERROR(MIN(IF(tblSalaries[Job Type]=Analysis!ER$81,IF(tblSalaries[Region]=Analysis!$C89,tblSalaries[Salary in USD]))),0)</f>
        <v>17807.916687442568</v>
      </c>
      <c r="ES89" s="26">
        <f t="array" ref="ES89">IFERROR(MIN(IF(tblSalaries[Job Type]=Analysis!ES$81,IF(tblSalaries[Region]=Analysis!$C89,tblSalaries[Salary in USD]))),0)</f>
        <v>2671.1875031163854</v>
      </c>
      <c r="ET89" s="26">
        <f t="array" ref="ET89">IFERROR(MIN(IF(tblSalaries[Job Type]=Analysis!ET$81,IF(tblSalaries[Region]=Analysis!$C89,tblSalaries[Salary in USD]))),0)</f>
        <v>2136.9500024931081</v>
      </c>
      <c r="EU89" s="26">
        <f t="array" ref="EU89">IFERROR(MIN(IF(tblSalaries[Job Type]=Analysis!EU$81,IF(tblSalaries[Region]=Analysis!$C89,tblSalaries[Salary in USD]))),0)</f>
        <v>2136.9500024931081</v>
      </c>
      <c r="EV89" s="26">
        <f t="array" ref="EV89">IFERROR(MIN(IF(tblSalaries[Job Type]=Analysis!EV$81,IF(tblSalaries[Region]=Analysis!$C89,tblSalaries[Salary in USD]))),0)</f>
        <v>2136.9500024931081</v>
      </c>
      <c r="EW89" s="26">
        <f t="array" ref="EW89">IFERROR(MIN(IF(tblSalaries[Job Type]=Analysis!EW$81,IF(tblSalaries[Region]=Analysis!$C89,tblSalaries[Salary in USD]))),0)</f>
        <v>2493.1083362419595</v>
      </c>
      <c r="EX89" s="26">
        <f t="array" ref="EX89">IFERROR(MIN(IF(tblSalaries[Job Type]=Analysis!EX$81,IF(tblSalaries[Region]=Analysis!$C89,tblSalaries[Salary in USD]))),0)</f>
        <v>2671.1875031163854</v>
      </c>
      <c r="EY89" s="26">
        <f t="array" ref="EY89">IFERROR(MIN(IF(tblSalaries[Work Hour per day on Excel]=Analysis!EY$81,IF(tblSalaries[Region]=Analysis!$C89,tblSalaries[Salary in USD]))),0)</f>
        <v>2136.9500024931081</v>
      </c>
      <c r="EZ89" s="26">
        <f t="array" ref="EZ89">IFERROR(MIN(IF(tblSalaries[Work Hour per day on Excel]=Analysis!EZ$81,IF(tblSalaries[Region]=Analysis!$C89,tblSalaries[Salary in USD]))),0)</f>
        <v>2136.9500024931081</v>
      </c>
      <c r="FA89" s="26">
        <f t="array" ref="FA89">IFERROR(MIN(IF(tblSalaries[Work Hour per day on Excel]=Analysis!FA$81,IF(tblSalaries[Region]=Analysis!$C89,tblSalaries[Salary in USD]))),0)</f>
        <v>2136.9500024931081</v>
      </c>
      <c r="FB89" s="26">
        <f t="array" ref="FB89">IFERROR(MIN(IF(tblSalaries[Work Hour per day on Excel]=Analysis!FB$81,IF(tblSalaries[Region]=Analysis!$C89,tblSalaries[Salary in USD]))),0)</f>
        <v>2564.3400029917298</v>
      </c>
      <c r="FC89" s="26">
        <f t="array" ref="FC89">IFERROR(MIN(IF(tblSalaries[Years of Experience]=Analysis!FC$81,IF(tblSalaries[Region]=Analysis!$C89,tblSalaries[Salary in USD]))),0)</f>
        <v>2136.9500024931081</v>
      </c>
      <c r="FD89" s="26">
        <f t="array" ref="FD89">IFERROR(MIN(IF(tblSalaries[Years of Experience]=Analysis!FD$81,IF(tblSalaries[Region]=Analysis!$C89,tblSalaries[Salary in USD]))),0)</f>
        <v>2564.3400029917298</v>
      </c>
      <c r="FE89" s="26">
        <f t="array" ref="FE89">IFERROR(MIN(IF(tblSalaries[Years of Experience]=Analysis!FE$81,IF(tblSalaries[Region]=Analysis!$C89,tblSalaries[Salary in USD]))),0)</f>
        <v>2938.3062534280239</v>
      </c>
      <c r="FF89" s="26">
        <f t="array" ref="FF89">IFERROR(MIN(IF(tblSalaries[Years of Experience]=Analysis!FF$81,IF(tblSalaries[Region]=Analysis!$C89,tblSalaries[Salary in USD]))),0)</f>
        <v>6232.7708406048987</v>
      </c>
      <c r="FG89" s="26">
        <f t="array" ref="FG89">IFERROR(MIN(IF(tblSalaries[Years of Experience]=Analysis!FG$81,IF(tblSalaries[Region]=Analysis!$C89,tblSalaries[Salary in USD]))),0)</f>
        <v>10684.750012465542</v>
      </c>
      <c r="FH89" s="26">
        <f t="array" ref="FH89">IFERROR(COUNT(IF(tblSalaries[Region]=Analysis!$C89,tblSalaries[Salary in USD])),0)</f>
        <v>475</v>
      </c>
      <c r="FI89" s="26">
        <f t="array" ref="FI89">IFERROR(COUNT(IF(tblSalaries[Job Type]=Analysis!FI$81,IF(tblSalaries[Region]=Analysis!$C89,tblSalaries[Salary in USD]))),0)</f>
        <v>10</v>
      </c>
      <c r="FJ89" s="26">
        <f t="array" ref="FJ89">IFERROR(COUNT(IF(tblSalaries[Job Type]=Analysis!FJ$81,IF(tblSalaries[Region]=Analysis!$C89,tblSalaries[Salary in USD]))),0)</f>
        <v>7</v>
      </c>
      <c r="FK89" s="26">
        <f t="array" ref="FK89">IFERROR(COUNT(IF(tblSalaries[Job Type]=Analysis!FK$81,IF(tblSalaries[Region]=Analysis!$C89,tblSalaries[Salary in USD]))),0)</f>
        <v>14</v>
      </c>
      <c r="FL89" s="26">
        <f t="array" ref="FL89">IFERROR(COUNT(IF(tblSalaries[Job Type]=Analysis!FL$81,IF(tblSalaries[Region]=Analysis!$C89,tblSalaries[Salary in USD]))),0)</f>
        <v>4</v>
      </c>
      <c r="FM89" s="26">
        <f t="array" ref="FM89">IFERROR(COUNT(IF(tblSalaries[Job Type]=Analysis!FM$81,IF(tblSalaries[Region]=Analysis!$C89,tblSalaries[Salary in USD]))),0)</f>
        <v>19</v>
      </c>
      <c r="FN89" s="26">
        <f t="array" ref="FN89">IFERROR(COUNT(IF(tblSalaries[Job Type]=Analysis!FN$81,IF(tblSalaries[Region]=Analysis!$C89,tblSalaries[Salary in USD]))),0)</f>
        <v>162</v>
      </c>
      <c r="FO89" s="26">
        <f t="array" ref="FO89">IFERROR(COUNT(IF(tblSalaries[Job Type]=Analysis!FO$81,IF(tblSalaries[Region]=Analysis!$C89,tblSalaries[Salary in USD]))),0)</f>
        <v>26</v>
      </c>
      <c r="FP89" s="26">
        <f t="array" ref="FP89">IFERROR(COUNT(IF(tblSalaries[Job Type]=Analysis!FP$81,IF(tblSalaries[Region]=Analysis!$C89,tblSalaries[Salary in USD]))),0)</f>
        <v>174</v>
      </c>
      <c r="FQ89" s="26">
        <f t="array" ref="FQ89">IFERROR(COUNT(IF(tblSalaries[Job Type]=Analysis!FQ$81,IF(tblSalaries[Region]=Analysis!$C89,tblSalaries[Salary in USD]))),0)</f>
        <v>4</v>
      </c>
      <c r="FR89" s="26">
        <f t="array" ref="FR89">IFERROR(COUNT(IF(tblSalaries[Job Type]=Analysis!FR$81,IF(tblSalaries[Region]=Analysis!$C89,tblSalaries[Salary in USD]))),0)</f>
        <v>55</v>
      </c>
      <c r="FS89" s="26">
        <f t="array" ref="FS89">IFERROR(COUNT(IF(tblSalaries[Work Hour per day on Excel]=Analysis!FS$81,IF(tblSalaries[Region]=Analysis!$C89,tblSalaries[Salary in USD]))),0)</f>
        <v>47</v>
      </c>
      <c r="FT89" s="26">
        <f t="array" ref="FT89">IFERROR(COUNT(IF(tblSalaries[Work Hour per day on Excel]=Analysis!FT$81,IF(tblSalaries[Region]=Analysis!$C89,tblSalaries[Salary in USD]))),0)</f>
        <v>120</v>
      </c>
      <c r="FU89" s="26">
        <f t="array" ref="FU89">IFERROR(COUNT(IF(tblSalaries[Work Hour per day on Excel]=Analysis!FU$81,IF(tblSalaries[Region]=Analysis!$C89,tblSalaries[Salary in USD]))),0)</f>
        <v>165</v>
      </c>
      <c r="FV89" s="26">
        <f t="array" ref="FV89">IFERROR(COUNT(IF(tblSalaries[Work Hour per day on Excel]=Analysis!FV$81,IF(tblSalaries[Region]=Analysis!$C89,tblSalaries[Salary in USD]))),0)</f>
        <v>143</v>
      </c>
      <c r="FW89" s="26">
        <f t="array" ref="FW89">IFERROR(COUNT(IF(tblSalaries[Years of Experience]=Analysis!FW$81,IF(tblSalaries[Region]=Analysis!$C89,tblSalaries[Salary in USD]))),0)</f>
        <v>260</v>
      </c>
      <c r="FX89" s="26">
        <f t="array" ref="FX89">IFERROR(COUNT(IF(tblSalaries[Years of Experience]=Analysis!FX$81,IF(tblSalaries[Region]=Analysis!$C89,tblSalaries[Salary in USD]))),0)</f>
        <v>151</v>
      </c>
      <c r="FY89" s="26">
        <f t="array" ref="FY89">IFERROR(COUNT(IF(tblSalaries[Years of Experience]=Analysis!FY$81,IF(tblSalaries[Region]=Analysis!$C89,tblSalaries[Salary in USD]))),0)</f>
        <v>46</v>
      </c>
      <c r="FZ89" s="26">
        <f t="array" ref="FZ89">IFERROR(COUNT(IF(tblSalaries[Years of Experience]=Analysis!FZ$81,IF(tblSalaries[Region]=Analysis!$C89,tblSalaries[Salary in USD]))),0)</f>
        <v>17</v>
      </c>
      <c r="GA89" s="26">
        <f t="array" ref="GA89">IFERROR(COUNT(IF(tblSalaries[Years of Experience]=Analysis!GA$81,IF(tblSalaries[Region]=Analysis!$C89,tblSalaries[Salary in USD]))),0)</f>
        <v>1</v>
      </c>
    </row>
    <row r="90" spans="2:183" s="25" customFormat="1" ht="15" hidden="1" customHeight="1" x14ac:dyDescent="0.25">
      <c r="B90" s="25">
        <f t="shared" si="149"/>
        <v>9</v>
      </c>
      <c r="C90" s="25" t="s">
        <v>2</v>
      </c>
      <c r="D90" s="26">
        <f t="shared" si="129"/>
        <v>10629.485663390835</v>
      </c>
      <c r="E90" s="26">
        <f t="shared" si="130"/>
        <v>0</v>
      </c>
      <c r="F90" s="26">
        <f t="shared" si="131"/>
        <v>0</v>
      </c>
      <c r="G90" s="26">
        <f t="shared" si="132"/>
        <v>16614.088716799131</v>
      </c>
      <c r="H90" s="26">
        <f t="shared" si="133"/>
        <v>0</v>
      </c>
      <c r="I90" s="26">
        <f t="shared" si="134"/>
        <v>0</v>
      </c>
      <c r="J90" s="26">
        <f t="shared" si="135"/>
        <v>14887</v>
      </c>
      <c r="K90" s="26">
        <f t="shared" si="136"/>
        <v>2101.9948825940269</v>
      </c>
      <c r="L90" s="26">
        <f t="shared" si="137"/>
        <v>10382.341810335902</v>
      </c>
      <c r="M90" s="26">
        <f t="shared" si="138"/>
        <v>0</v>
      </c>
      <c r="N90" s="26">
        <f t="shared" si="139"/>
        <v>1910.5359690238436</v>
      </c>
      <c r="O90" s="26">
        <f t="shared" si="140"/>
        <v>4914.9850057341491</v>
      </c>
      <c r="P90" s="26">
        <f t="shared" si="141"/>
        <v>4061.9544358399567</v>
      </c>
      <c r="Q90" s="26">
        <f t="shared" si="142"/>
        <v>11827.4514978602</v>
      </c>
      <c r="R90" s="26">
        <f t="shared" si="143"/>
        <v>12830.615107669317</v>
      </c>
      <c r="S90" s="26">
        <f t="shared" si="144"/>
        <v>7791.1727060212907</v>
      </c>
      <c r="T90" s="26">
        <f t="shared" si="145"/>
        <v>13072.128058070592</v>
      </c>
      <c r="U90" s="26">
        <f t="shared" si="146"/>
        <v>14589.4</v>
      </c>
      <c r="V90" s="26">
        <f t="shared" si="147"/>
        <v>0</v>
      </c>
      <c r="W90" s="26">
        <f t="shared" si="148"/>
        <v>0</v>
      </c>
      <c r="CZ90" s="26">
        <f t="array" ref="CZ90">IFERROR(AVERAGE(IF(tblSalaries[Region]=Analysis!$C90,tblSalaries[Salary in USD])),0)</f>
        <v>10629.485663390835</v>
      </c>
      <c r="DA90" s="26">
        <f t="array" ref="DA90">IFERROR(AVERAGE(IF(tblSalaries[Job Type]=Analysis!DA$81,IF(tblSalaries[Region]=Analysis!$C90,tblSalaries[Salary in USD]))),0)</f>
        <v>0</v>
      </c>
      <c r="DB90" s="26">
        <f t="array" ref="DB90">IFERROR(AVERAGE(IF(tblSalaries[Job Type]=Analysis!DB$81,IF(tblSalaries[Region]=Analysis!$C90,tblSalaries[Salary in USD]))),0)</f>
        <v>0</v>
      </c>
      <c r="DC90" s="26">
        <f t="array" ref="DC90">IFERROR(AVERAGE(IF(tblSalaries[Job Type]=Analysis!DC$81,IF(tblSalaries[Region]=Analysis!$C90,tblSalaries[Salary in USD]))),0)</f>
        <v>16614.088716799131</v>
      </c>
      <c r="DD90" s="26">
        <f t="array" ref="DD90">IFERROR(AVERAGE(IF(tblSalaries[Job Type]=Analysis!DD$81,IF(tblSalaries[Region]=Analysis!$C90,tblSalaries[Salary in USD]))),0)</f>
        <v>0</v>
      </c>
      <c r="DE90" s="26">
        <f t="array" ref="DE90">IFERROR(AVERAGE(IF(tblSalaries[Job Type]=Analysis!DE$81,IF(tblSalaries[Region]=Analysis!$C90,tblSalaries[Salary in USD]))),0)</f>
        <v>0</v>
      </c>
      <c r="DF90" s="26">
        <f t="array" ref="DF90">IFERROR(AVERAGE(IF(tblSalaries[Job Type]=Analysis!DF$81,IF(tblSalaries[Region]=Analysis!$C90,tblSalaries[Salary in USD]))),0)</f>
        <v>14887</v>
      </c>
      <c r="DG90" s="26">
        <f t="array" ref="DG90">IFERROR(AVERAGE(IF(tblSalaries[Job Type]=Analysis!DG$81,IF(tblSalaries[Region]=Analysis!$C90,tblSalaries[Salary in USD]))),0)</f>
        <v>2101.9948825940269</v>
      </c>
      <c r="DH90" s="26">
        <f t="array" ref="DH90">IFERROR(AVERAGE(IF(tblSalaries[Job Type]=Analysis!DH$81,IF(tblSalaries[Region]=Analysis!$C90,tblSalaries[Salary in USD]))),0)</f>
        <v>10382.341810335902</v>
      </c>
      <c r="DI90" s="26">
        <f t="array" ref="DI90">IFERROR(AVERAGE(IF(tblSalaries[Job Type]=Analysis!DI$81,IF(tblSalaries[Region]=Analysis!$C90,tblSalaries[Salary in USD]))),0)</f>
        <v>0</v>
      </c>
      <c r="DJ90" s="26">
        <f t="array" ref="DJ90">IFERROR(AVERAGE(IF(tblSalaries[Job Type]=Analysis!DJ$81,IF(tblSalaries[Region]=Analysis!$C90,tblSalaries[Salary in USD]))),0)</f>
        <v>1910.5359690238436</v>
      </c>
      <c r="DK90" s="26">
        <f t="array" ref="DK90">IFERROR(AVERAGE(IF(tblSalaries[Work Hour per day on Excel]=Analysis!DK$81,IF(tblSalaries[Region]=Analysis!$C90,tblSalaries[Salary in USD]))),0)</f>
        <v>4914.9850057341491</v>
      </c>
      <c r="DL90" s="26">
        <f t="array" ref="DL90">IFERROR(AVERAGE(IF(tblSalaries[Work Hour per day on Excel]=Analysis!DL$81,IF(tblSalaries[Region]=Analysis!$C90,tblSalaries[Salary in USD]))),0)</f>
        <v>4061.9544358399567</v>
      </c>
      <c r="DM90" s="26">
        <f t="array" ref="DM90">IFERROR(AVERAGE(IF(tblSalaries[Work Hour per day on Excel]=Analysis!DM$81,IF(tblSalaries[Region]=Analysis!$C90,tblSalaries[Salary in USD]))),0)</f>
        <v>11827.4514978602</v>
      </c>
      <c r="DN90" s="26">
        <f t="array" ref="DN90">IFERROR(AVERAGE(IF(tblSalaries[Work Hour per day on Excel]=Analysis!DN$81,IF(tblSalaries[Region]=Analysis!$C90,tblSalaries[Salary in USD]))),0)</f>
        <v>12830.615107669317</v>
      </c>
      <c r="DO90" s="26">
        <f t="array" ref="DO90">IFERROR(AVERAGE(IF(tblSalaries[Years of Experience]=Analysis!DO$81,IF(tblSalaries[Region]=Analysis!$C90,tblSalaries[Salary in USD]))),0)</f>
        <v>7791.1727060212907</v>
      </c>
      <c r="DP90" s="26">
        <f t="array" ref="DP90">IFERROR(AVERAGE(IF(tblSalaries[Years of Experience]=Analysis!DP$81,IF(tblSalaries[Region]=Analysis!$C90,tblSalaries[Salary in USD]))),0)</f>
        <v>13072.128058070592</v>
      </c>
      <c r="DQ90" s="26">
        <f t="array" ref="DQ90">IFERROR(AVERAGE(IF(tblSalaries[Years of Experience]=Analysis!DQ$81,IF(tblSalaries[Region]=Analysis!$C90,tblSalaries[Salary in USD]))),0)</f>
        <v>14589.4</v>
      </c>
      <c r="DR90" s="26">
        <f t="array" ref="DR90">IFERROR(AVERAGE(IF(tblSalaries[Years of Experience]=Analysis!DR$81,IF(tblSalaries[Region]=Analysis!$C90,tblSalaries[Salary in USD]))),0)</f>
        <v>0</v>
      </c>
      <c r="DS90" s="26">
        <f t="array" ref="DS90">IFERROR(AVERAGE(IF(tblSalaries[Years of Experience]=Analysis!DS$81,IF(tblSalaries[Region]=Analysis!$C90,tblSalaries[Salary in USD]))),0)</f>
        <v>0</v>
      </c>
      <c r="DT90" s="26">
        <f t="array" ref="DT90">IFERROR(MAX(IF(tblSalaries[Region]=Analysis!$C90,tblSalaries[Salary in USD])),0)</f>
        <v>45000</v>
      </c>
      <c r="DU90" s="26">
        <f t="array" ref="DU90">IFERROR(MAX(IF(tblSalaries[Job Type]=Analysis!DU$81,IF(tblSalaries[Region]=Analysis!$C90,tblSalaries[Salary in USD]))),0)</f>
        <v>0</v>
      </c>
      <c r="DV90" s="26">
        <f t="array" ref="DV90">IFERROR(MAX(IF(tblSalaries[Job Type]=Analysis!DV$81,IF(tblSalaries[Region]=Analysis!$C90,tblSalaries[Salary in USD]))),0)</f>
        <v>0</v>
      </c>
      <c r="DW90" s="26">
        <f t="array" ref="DW90">IFERROR(MAX(IF(tblSalaries[Job Type]=Analysis!DW$81,IF(tblSalaries[Region]=Analysis!$C90,tblSalaries[Salary in USD]))),0)</f>
        <v>21228.177433598263</v>
      </c>
      <c r="DX90" s="26">
        <f t="array" ref="DX90">IFERROR(MAX(IF(tblSalaries[Job Type]=Analysis!DX$81,IF(tblSalaries[Region]=Analysis!$C90,tblSalaries[Salary in USD]))),0)</f>
        <v>0</v>
      </c>
      <c r="DY90" s="26">
        <f t="array" ref="DY90">IFERROR(MAX(IF(tblSalaries[Job Type]=Analysis!DY$81,IF(tblSalaries[Region]=Analysis!$C90,tblSalaries[Salary in USD]))),0)</f>
        <v>0</v>
      </c>
      <c r="DZ90" s="26">
        <f t="array" ref="DZ90">IFERROR(MAX(IF(tblSalaries[Job Type]=Analysis!DZ$81,IF(tblSalaries[Region]=Analysis!$C90,tblSalaries[Salary in USD]))),0)</f>
        <v>45000</v>
      </c>
      <c r="EA90" s="26">
        <f t="array" ref="EA90">IFERROR(MAX(IF(tblSalaries[Job Type]=Analysis!EA$81,IF(tblSalaries[Region]=Analysis!$C90,tblSalaries[Salary in USD]))),0)</f>
        <v>2400</v>
      </c>
      <c r="EB90" s="26">
        <f t="array" ref="EB90">IFERROR(MAX(IF(tblSalaries[Job Type]=Analysis!EB$81,IF(tblSalaries[Region]=Analysis!$C90,tblSalaries[Salary in USD]))),0)</f>
        <v>40000</v>
      </c>
      <c r="EC90" s="26">
        <f t="array" ref="EC90">IFERROR(MAX(IF(tblSalaries[Job Type]=Analysis!EC$81,IF(tblSalaries[Region]=Analysis!$C90,tblSalaries[Salary in USD]))),0)</f>
        <v>0</v>
      </c>
      <c r="ED90" s="26">
        <f t="array" ref="ED90">IFERROR(MAX(IF(tblSalaries[Job Type]=Analysis!ED$81,IF(tblSalaries[Region]=Analysis!$C90,tblSalaries[Salary in USD]))),0)</f>
        <v>1910.5359690238436</v>
      </c>
      <c r="EE90" s="26">
        <f t="array" ref="EE90">IFERROR(MAX(IF(tblSalaries[Work Hour per day on Excel]=Analysis!EE$81,IF(tblSalaries[Region]=Analysis!$C90,tblSalaries[Salary in USD]))),0)</f>
        <v>4914.9850057341491</v>
      </c>
      <c r="EF90" s="26">
        <f t="array" ref="EF90">IFERROR(MAX(IF(tblSalaries[Work Hour per day on Excel]=Analysis!EF$81,IF(tblSalaries[Region]=Analysis!$C90,tblSalaries[Salary in USD]))),0)</f>
        <v>8725</v>
      </c>
      <c r="EG90" s="26">
        <f t="array" ref="EG90">IFERROR(MAX(IF(tblSalaries[Work Hour per day on Excel]=Analysis!EG$81,IF(tblSalaries[Region]=Analysis!$C90,tblSalaries[Salary in USD]))),0)</f>
        <v>40000</v>
      </c>
      <c r="EH90" s="26">
        <f t="array" ref="EH90">IFERROR(MAX(IF(tblSalaries[Work Hour per day on Excel]=Analysis!EH$81,IF(tblSalaries[Region]=Analysis!$C90,tblSalaries[Salary in USD]))),0)</f>
        <v>45000</v>
      </c>
      <c r="EI90" s="26">
        <f t="array" ref="EI90">IFERROR(MAX(IF(tblSalaries[Years of Experience]=Analysis!EI$81,IF(tblSalaries[Region]=Analysis!$C90,tblSalaries[Salary in USD]))),0)</f>
        <v>30000</v>
      </c>
      <c r="EJ90" s="26">
        <f t="array" ref="EJ90">IFERROR(MAX(IF(tblSalaries[Years of Experience]=Analysis!EJ$81,IF(tblSalaries[Region]=Analysis!$C90,tblSalaries[Salary in USD]))),0)</f>
        <v>45000</v>
      </c>
      <c r="EK90" s="26">
        <f t="array" ref="EK90">IFERROR(MAX(IF(tblSalaries[Years of Experience]=Analysis!EK$81,IF(tblSalaries[Region]=Analysis!$C90,tblSalaries[Salary in USD]))),0)</f>
        <v>40000</v>
      </c>
      <c r="EL90" s="26">
        <f t="array" ref="EL90">IFERROR(MAX(IF(tblSalaries[Years of Experience]=Analysis!EL$81,IF(tblSalaries[Region]=Analysis!$C90,tblSalaries[Salary in USD]))),0)</f>
        <v>0</v>
      </c>
      <c r="EM90" s="26">
        <f t="array" ref="EM90">IFERROR(MAX(IF(tblSalaries[Years of Experience]=Analysis!EM$81,IF(tblSalaries[Region]=Analysis!$C90,tblSalaries[Salary in USD]))),0)</f>
        <v>0</v>
      </c>
      <c r="EN90" s="26">
        <f t="array" ref="EN90">IFERROR(MIN(IF(tblSalaries[Region]=Analysis!$C90,tblSalaries[Salary in USD])),0)</f>
        <v>1783.166904422254</v>
      </c>
      <c r="EO90" s="26">
        <f t="array" ref="EO90">IFERROR(MIN(IF(tblSalaries[Job Type]=Analysis!EO$81,IF(tblSalaries[Region]=Analysis!$C90,tblSalaries[Salary in USD]))),0)</f>
        <v>0</v>
      </c>
      <c r="EP90" s="26">
        <f t="array" ref="EP90">IFERROR(MIN(IF(tblSalaries[Job Type]=Analysis!EP$81,IF(tblSalaries[Region]=Analysis!$C90,tblSalaries[Salary in USD]))),0)</f>
        <v>0</v>
      </c>
      <c r="EQ90" s="26">
        <f t="array" ref="EQ90">IFERROR(MIN(IF(tblSalaries[Job Type]=Analysis!EQ$81,IF(tblSalaries[Region]=Analysis!$C90,tblSalaries[Salary in USD]))),0)</f>
        <v>12000</v>
      </c>
      <c r="ER90" s="26">
        <f t="array" ref="ER90">IFERROR(MIN(IF(tblSalaries[Job Type]=Analysis!ER$81,IF(tblSalaries[Region]=Analysis!$C90,tblSalaries[Salary in USD]))),0)</f>
        <v>0</v>
      </c>
      <c r="ES90" s="26">
        <f t="array" ref="ES90">IFERROR(MIN(IF(tblSalaries[Job Type]=Analysis!ES$81,IF(tblSalaries[Region]=Analysis!$C90,tblSalaries[Salary in USD]))),0)</f>
        <v>0</v>
      </c>
      <c r="ET90" s="26">
        <f t="array" ref="ET90">IFERROR(MIN(IF(tblSalaries[Job Type]=Analysis!ET$81,IF(tblSalaries[Region]=Analysis!$C90,tblSalaries[Salary in USD]))),0)</f>
        <v>3000</v>
      </c>
      <c r="EU90" s="26">
        <f t="array" ref="EU90">IFERROR(MIN(IF(tblSalaries[Job Type]=Analysis!EU$81,IF(tblSalaries[Region]=Analysis!$C90,tblSalaries[Salary in USD]))),0)</f>
        <v>1783.166904422254</v>
      </c>
      <c r="EV90" s="26">
        <f t="array" ref="EV90">IFERROR(MIN(IF(tblSalaries[Job Type]=Analysis!EV$81,IF(tblSalaries[Region]=Analysis!$C90,tblSalaries[Salary in USD]))),0)</f>
        <v>2165.2740982270229</v>
      </c>
      <c r="EW90" s="26">
        <f t="array" ref="EW90">IFERROR(MIN(IF(tblSalaries[Job Type]=Analysis!EW$81,IF(tblSalaries[Region]=Analysis!$C90,tblSalaries[Salary in USD]))),0)</f>
        <v>0</v>
      </c>
      <c r="EX90" s="26">
        <f t="array" ref="EX90">IFERROR(MIN(IF(tblSalaries[Job Type]=Analysis!EX$81,IF(tblSalaries[Region]=Analysis!$C90,tblSalaries[Salary in USD]))),0)</f>
        <v>1910.5359690238436</v>
      </c>
      <c r="EY90" s="26">
        <f t="array" ref="EY90">IFERROR(MIN(IF(tblSalaries[Work Hour per day on Excel]=Analysis!EY$81,IF(tblSalaries[Region]=Analysis!$C90,tblSalaries[Salary in USD]))),0)</f>
        <v>4914.9850057341491</v>
      </c>
      <c r="EZ90" s="26">
        <f t="array" ref="EZ90">IFERROR(MIN(IF(tblSalaries[Work Hour per day on Excel]=Analysis!EZ$81,IF(tblSalaries[Region]=Analysis!$C90,tblSalaries[Salary in USD]))),0)</f>
        <v>2122.8177433598262</v>
      </c>
      <c r="FA90" s="26">
        <f t="array" ref="FA90">IFERROR(MIN(IF(tblSalaries[Work Hour per day on Excel]=Analysis!FA$81,IF(tblSalaries[Region]=Analysis!$C90,tblSalaries[Salary in USD]))),0)</f>
        <v>1783.166904422254</v>
      </c>
      <c r="FB90" s="26">
        <f t="array" ref="FB90">IFERROR(MIN(IF(tblSalaries[Work Hour per day on Excel]=Analysis!FB$81,IF(tblSalaries[Region]=Analysis!$C90,tblSalaries[Salary in USD]))),0)</f>
        <v>1910.5359690238436</v>
      </c>
      <c r="FC90" s="26">
        <f t="array" ref="FC90">IFERROR(MIN(IF(tblSalaries[Years of Experience]=Analysis!FC$81,IF(tblSalaries[Region]=Analysis!$C90,tblSalaries[Salary in USD]))),0)</f>
        <v>2122.8177433598262</v>
      </c>
      <c r="FD90" s="26">
        <f t="array" ref="FD90">IFERROR(MIN(IF(tblSalaries[Years of Experience]=Analysis!FD$81,IF(tblSalaries[Region]=Analysis!$C90,tblSalaries[Salary in USD]))),0)</f>
        <v>1783.166904422254</v>
      </c>
      <c r="FE90" s="26">
        <f t="array" ref="FE90">IFERROR(MIN(IF(tblSalaries[Years of Experience]=Analysis!FE$81,IF(tblSalaries[Region]=Analysis!$C90,tblSalaries[Salary in USD]))),0)</f>
        <v>2400</v>
      </c>
      <c r="FF90" s="26">
        <f t="array" ref="FF90">IFERROR(MIN(IF(tblSalaries[Years of Experience]=Analysis!FF$81,IF(tblSalaries[Region]=Analysis!$C90,tblSalaries[Salary in USD]))),0)</f>
        <v>0</v>
      </c>
      <c r="FG90" s="26">
        <f t="array" ref="FG90">IFERROR(MIN(IF(tblSalaries[Years of Experience]=Analysis!FG$81,IF(tblSalaries[Region]=Analysis!$C90,tblSalaries[Salary in USD]))),0)</f>
        <v>0</v>
      </c>
      <c r="FH90" s="26">
        <f t="array" ref="FH90">IFERROR(COUNT(IF(tblSalaries[Region]=Analysis!$C90,tblSalaries[Salary in USD])),0)</f>
        <v>25</v>
      </c>
      <c r="FI90" s="26">
        <f t="array" ref="FI90">IFERROR(COUNT(IF(tblSalaries[Job Type]=Analysis!FI$81,IF(tblSalaries[Region]=Analysis!$C90,tblSalaries[Salary in USD]))),0)</f>
        <v>0</v>
      </c>
      <c r="FJ90" s="26">
        <f t="array" ref="FJ90">IFERROR(COUNT(IF(tblSalaries[Job Type]=Analysis!FJ$81,IF(tblSalaries[Region]=Analysis!$C90,tblSalaries[Salary in USD]))),0)</f>
        <v>0</v>
      </c>
      <c r="FK90" s="26">
        <f t="array" ref="FK90">IFERROR(COUNT(IF(tblSalaries[Job Type]=Analysis!FK$81,IF(tblSalaries[Region]=Analysis!$C90,tblSalaries[Salary in USD]))),0)</f>
        <v>2</v>
      </c>
      <c r="FL90" s="26">
        <f t="array" ref="FL90">IFERROR(COUNT(IF(tblSalaries[Job Type]=Analysis!FL$81,IF(tblSalaries[Region]=Analysis!$C90,tblSalaries[Salary in USD]))),0)</f>
        <v>0</v>
      </c>
      <c r="FM90" s="26">
        <f t="array" ref="FM90">IFERROR(COUNT(IF(tblSalaries[Job Type]=Analysis!FM$81,IF(tblSalaries[Region]=Analysis!$C90,tblSalaries[Salary in USD]))),0)</f>
        <v>0</v>
      </c>
      <c r="FN90" s="26">
        <f t="array" ref="FN90">IFERROR(COUNT(IF(tblSalaries[Job Type]=Analysis!FN$81,IF(tblSalaries[Region]=Analysis!$C90,tblSalaries[Salary in USD]))),0)</f>
        <v>6</v>
      </c>
      <c r="FO90" s="26">
        <f t="array" ref="FO90">IFERROR(COUNT(IF(tblSalaries[Job Type]=Analysis!FO$81,IF(tblSalaries[Region]=Analysis!$C90,tblSalaries[Salary in USD]))),0)</f>
        <v>3</v>
      </c>
      <c r="FP90" s="26">
        <f t="array" ref="FP90">IFERROR(COUNT(IF(tblSalaries[Job Type]=Analysis!FP$81,IF(tblSalaries[Region]=Analysis!$C90,tblSalaries[Salary in USD]))),0)</f>
        <v>13</v>
      </c>
      <c r="FQ90" s="26">
        <f t="array" ref="FQ90">IFERROR(COUNT(IF(tblSalaries[Job Type]=Analysis!FQ$81,IF(tblSalaries[Region]=Analysis!$C90,tblSalaries[Salary in USD]))),0)</f>
        <v>0</v>
      </c>
      <c r="FR90" s="26">
        <f t="array" ref="FR90">IFERROR(COUNT(IF(tblSalaries[Job Type]=Analysis!FR$81,IF(tblSalaries[Region]=Analysis!$C90,tblSalaries[Salary in USD]))),0)</f>
        <v>1</v>
      </c>
      <c r="FS90" s="26">
        <f t="array" ref="FS90">IFERROR(COUNT(IF(tblSalaries[Work Hour per day on Excel]=Analysis!FS$81,IF(tblSalaries[Region]=Analysis!$C90,tblSalaries[Salary in USD]))),0)</f>
        <v>1</v>
      </c>
      <c r="FT90" s="26">
        <f t="array" ref="FT90">IFERROR(COUNT(IF(tblSalaries[Work Hour per day on Excel]=Analysis!FT$81,IF(tblSalaries[Region]=Analysis!$C90,tblSalaries[Salary in USD]))),0)</f>
        <v>4</v>
      </c>
      <c r="FU90" s="26">
        <f t="array" ref="FU90">IFERROR(COUNT(IF(tblSalaries[Work Hour per day on Excel]=Analysis!FU$81,IF(tblSalaries[Region]=Analysis!$C90,tblSalaries[Salary in USD]))),0)</f>
        <v>12</v>
      </c>
      <c r="FV90" s="26">
        <f t="array" ref="FV90">IFERROR(COUNT(IF(tblSalaries[Work Hour per day on Excel]=Analysis!FV$81,IF(tblSalaries[Region]=Analysis!$C90,tblSalaries[Salary in USD]))),0)</f>
        <v>8</v>
      </c>
      <c r="FW90" s="26">
        <f t="array" ref="FW90">IFERROR(COUNT(IF(tblSalaries[Years of Experience]=Analysis!FW$81,IF(tblSalaries[Region]=Analysis!$C90,tblSalaries[Salary in USD]))),0)</f>
        <v>13</v>
      </c>
      <c r="FX90" s="26">
        <f t="array" ref="FX90">IFERROR(COUNT(IF(tblSalaries[Years of Experience]=Analysis!FX$81,IF(tblSalaries[Region]=Analysis!$C90,tblSalaries[Salary in USD]))),0)</f>
        <v>7</v>
      </c>
      <c r="FY90" s="26">
        <f t="array" ref="FY90">IFERROR(COUNT(IF(tblSalaries[Years of Experience]=Analysis!FY$81,IF(tblSalaries[Region]=Analysis!$C90,tblSalaries[Salary in USD]))),0)</f>
        <v>5</v>
      </c>
      <c r="FZ90" s="26">
        <f t="array" ref="FZ90">IFERROR(COUNT(IF(tblSalaries[Years of Experience]=Analysis!FZ$81,IF(tblSalaries[Region]=Analysis!$C90,tblSalaries[Salary in USD]))),0)</f>
        <v>0</v>
      </c>
      <c r="GA90" s="26">
        <f t="array" ref="GA90">IFERROR(COUNT(IF(tblSalaries[Years of Experience]=Analysis!GA$81,IF(tblSalaries[Region]=Analysis!$C90,tblSalaries[Salary in USD]))),0)</f>
        <v>0</v>
      </c>
    </row>
    <row r="91" spans="2:183" s="25" customFormat="1" ht="15" hidden="1" customHeight="1" x14ac:dyDescent="0.25">
      <c r="B91" s="25">
        <f t="shared" si="149"/>
        <v>10</v>
      </c>
      <c r="C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</row>
    <row r="92" spans="2:183" s="25" customFormat="1" ht="15" hidden="1" customHeight="1" x14ac:dyDescent="0.25">
      <c r="B92" s="25">
        <f t="shared" si="149"/>
        <v>11</v>
      </c>
      <c r="C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</row>
    <row r="93" spans="2:183" s="25" customFormat="1" ht="15" hidden="1" customHeight="1" x14ac:dyDescent="0.25">
      <c r="B93" s="25">
        <f t="shared" si="149"/>
        <v>12</v>
      </c>
      <c r="C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</row>
    <row r="94" spans="2:183" s="25" customFormat="1" ht="15" hidden="1" customHeight="1" x14ac:dyDescent="0.25">
      <c r="B94" s="25">
        <f t="shared" si="149"/>
        <v>13</v>
      </c>
      <c r="C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</row>
    <row r="95" spans="2:183" s="25" customFormat="1" ht="15" hidden="1" customHeight="1" x14ac:dyDescent="0.25">
      <c r="B95" s="25">
        <f t="shared" si="149"/>
        <v>14</v>
      </c>
      <c r="C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</row>
    <row r="96" spans="2:183" s="25" customFormat="1" ht="15" hidden="1" customHeight="1" x14ac:dyDescent="0.25">
      <c r="B96" s="25">
        <f t="shared" si="149"/>
        <v>15</v>
      </c>
      <c r="C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</row>
    <row r="97" spans="2:203" s="25" customFormat="1" ht="15" hidden="1" customHeight="1" x14ac:dyDescent="0.25">
      <c r="B97" s="25">
        <f t="shared" si="149"/>
        <v>16</v>
      </c>
      <c r="C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</row>
    <row r="98" spans="2:203" s="25" customFormat="1" ht="15" hidden="1" customHeight="1" x14ac:dyDescent="0.25">
      <c r="B98" s="25">
        <f t="shared" si="149"/>
        <v>17</v>
      </c>
      <c r="C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</row>
    <row r="99" spans="2:203" s="25" customFormat="1" ht="15" hidden="1" customHeight="1" x14ac:dyDescent="0.25"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CZ99" s="38" t="s">
        <v>1466</v>
      </c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 t="s">
        <v>1465</v>
      </c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 t="s">
        <v>1464</v>
      </c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 t="s">
        <v>1467</v>
      </c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  <c r="GU99" s="38"/>
    </row>
    <row r="100" spans="2:203" s="25" customFormat="1" ht="15" hidden="1" customHeight="1" x14ac:dyDescent="0.25">
      <c r="E100" s="25" t="s">
        <v>1436</v>
      </c>
      <c r="O100" s="28" t="s">
        <v>1452</v>
      </c>
      <c r="P100" s="28"/>
      <c r="Q100" s="28"/>
      <c r="R100" s="28"/>
      <c r="S100" s="28"/>
      <c r="T100" s="28"/>
      <c r="U100" s="28"/>
      <c r="V100" s="28"/>
      <c r="W100" s="28"/>
      <c r="X100" s="25" t="s">
        <v>1435</v>
      </c>
      <c r="DA100" s="25" t="s">
        <v>1436</v>
      </c>
      <c r="DK100" s="28" t="s">
        <v>1452</v>
      </c>
      <c r="DL100" s="28"/>
      <c r="DM100" s="28"/>
      <c r="DN100" s="28"/>
      <c r="DO100" s="28"/>
      <c r="DP100" s="28"/>
      <c r="DQ100" s="28"/>
      <c r="DR100" s="28"/>
      <c r="DS100" s="28"/>
      <c r="DT100" s="25" t="s">
        <v>1435</v>
      </c>
      <c r="DZ100" s="25" t="s">
        <v>1436</v>
      </c>
      <c r="EJ100" s="28" t="s">
        <v>1452</v>
      </c>
      <c r="EK100" s="28"/>
      <c r="EL100" s="28"/>
      <c r="EM100" s="28"/>
      <c r="EN100" s="28"/>
      <c r="EO100" s="28"/>
      <c r="EP100" s="28"/>
      <c r="EQ100" s="28"/>
      <c r="ER100" s="28"/>
      <c r="ES100" s="25" t="s">
        <v>1435</v>
      </c>
      <c r="EY100" s="25" t="s">
        <v>1436</v>
      </c>
      <c r="FI100" s="28" t="s">
        <v>1452</v>
      </c>
      <c r="FJ100" s="28"/>
      <c r="FK100" s="28"/>
      <c r="FL100" s="28"/>
      <c r="FM100" s="28"/>
      <c r="FN100" s="28"/>
      <c r="FO100" s="28"/>
      <c r="FP100" s="28"/>
      <c r="FQ100" s="28"/>
      <c r="FR100" s="25" t="s">
        <v>1435</v>
      </c>
      <c r="FX100" s="25" t="s">
        <v>1436</v>
      </c>
      <c r="GH100" s="28" t="s">
        <v>1452</v>
      </c>
      <c r="GI100" s="28"/>
      <c r="GJ100" s="28"/>
      <c r="GK100" s="28"/>
      <c r="GL100" s="28"/>
      <c r="GM100" s="28"/>
      <c r="GN100" s="28"/>
      <c r="GO100" s="28"/>
      <c r="GP100" s="28"/>
      <c r="GQ100" s="25" t="s">
        <v>1435</v>
      </c>
    </row>
    <row r="101" spans="2:203" s="25" customFormat="1" ht="15" hidden="1" customHeight="1" x14ac:dyDescent="0.25">
      <c r="C101" s="28" t="s">
        <v>1456</v>
      </c>
      <c r="D101" s="28" t="s">
        <v>1462</v>
      </c>
      <c r="E101" s="25" t="s">
        <v>1439</v>
      </c>
      <c r="F101" s="25" t="s">
        <v>38</v>
      </c>
      <c r="G101" s="25" t="s">
        <v>33</v>
      </c>
      <c r="H101" s="25" t="s">
        <v>14</v>
      </c>
      <c r="I101" s="25" t="s">
        <v>29</v>
      </c>
      <c r="J101" s="25" t="s">
        <v>3</v>
      </c>
      <c r="K101" s="25" t="s">
        <v>31</v>
      </c>
      <c r="L101" s="25" t="s">
        <v>11</v>
      </c>
      <c r="M101" s="25" t="s">
        <v>1438</v>
      </c>
      <c r="N101" s="25" t="s">
        <v>1437</v>
      </c>
      <c r="O101" s="25" t="s">
        <v>18</v>
      </c>
      <c r="P101" s="25" t="s">
        <v>1</v>
      </c>
      <c r="Q101" s="25" t="s">
        <v>19</v>
      </c>
      <c r="R101" s="25" t="s">
        <v>15</v>
      </c>
      <c r="S101" s="25" t="s">
        <v>1453</v>
      </c>
      <c r="T101" s="25" t="s">
        <v>1451</v>
      </c>
      <c r="U101" s="25" t="s">
        <v>1454</v>
      </c>
      <c r="V101" s="25" t="s">
        <v>0</v>
      </c>
      <c r="W101" s="25" t="s">
        <v>2</v>
      </c>
      <c r="X101" s="25" t="s">
        <v>1445</v>
      </c>
      <c r="Y101" s="25" t="s">
        <v>1447</v>
      </c>
      <c r="Z101" s="25" t="s">
        <v>1446</v>
      </c>
      <c r="AA101" s="25" t="s">
        <v>1448</v>
      </c>
      <c r="AB101" s="25" t="s">
        <v>1449</v>
      </c>
      <c r="CZ101" s="28" t="s">
        <v>1462</v>
      </c>
      <c r="DA101" s="25" t="s">
        <v>1439</v>
      </c>
      <c r="DB101" s="25" t="s">
        <v>38</v>
      </c>
      <c r="DC101" s="25" t="s">
        <v>33</v>
      </c>
      <c r="DD101" s="25" t="s">
        <v>14</v>
      </c>
      <c r="DE101" s="25" t="s">
        <v>29</v>
      </c>
      <c r="DF101" s="25" t="s">
        <v>3</v>
      </c>
      <c r="DG101" s="25" t="s">
        <v>31</v>
      </c>
      <c r="DH101" s="25" t="s">
        <v>11</v>
      </c>
      <c r="DI101" s="25" t="s">
        <v>1438</v>
      </c>
      <c r="DJ101" s="25" t="s">
        <v>1437</v>
      </c>
      <c r="DK101" s="25" t="s">
        <v>18</v>
      </c>
      <c r="DL101" s="25" t="s">
        <v>1</v>
      </c>
      <c r="DM101" s="25" t="s">
        <v>19</v>
      </c>
      <c r="DN101" s="25" t="s">
        <v>15</v>
      </c>
      <c r="DO101" s="25" t="s">
        <v>1453</v>
      </c>
      <c r="DP101" s="25" t="s">
        <v>1451</v>
      </c>
      <c r="DQ101" s="25" t="s">
        <v>1454</v>
      </c>
      <c r="DR101" s="25" t="s">
        <v>0</v>
      </c>
      <c r="DS101" s="25" t="s">
        <v>2</v>
      </c>
      <c r="DT101" s="25" t="s">
        <v>1445</v>
      </c>
      <c r="DU101" s="25" t="s">
        <v>1447</v>
      </c>
      <c r="DV101" s="25" t="s">
        <v>1446</v>
      </c>
      <c r="DW101" s="25" t="s">
        <v>1448</v>
      </c>
      <c r="DX101" s="25" t="s">
        <v>1449</v>
      </c>
      <c r="DY101" s="28" t="s">
        <v>1462</v>
      </c>
      <c r="DZ101" s="25" t="s">
        <v>1439</v>
      </c>
      <c r="EA101" s="25" t="s">
        <v>38</v>
      </c>
      <c r="EB101" s="25" t="s">
        <v>33</v>
      </c>
      <c r="EC101" s="25" t="s">
        <v>14</v>
      </c>
      <c r="ED101" s="25" t="s">
        <v>29</v>
      </c>
      <c r="EE101" s="25" t="s">
        <v>3</v>
      </c>
      <c r="EF101" s="25" t="s">
        <v>31</v>
      </c>
      <c r="EG101" s="25" t="s">
        <v>11</v>
      </c>
      <c r="EH101" s="25" t="s">
        <v>1438</v>
      </c>
      <c r="EI101" s="25" t="s">
        <v>1437</v>
      </c>
      <c r="EJ101" s="25" t="s">
        <v>18</v>
      </c>
      <c r="EK101" s="25" t="s">
        <v>1</v>
      </c>
      <c r="EL101" s="25" t="s">
        <v>19</v>
      </c>
      <c r="EM101" s="25" t="s">
        <v>15</v>
      </c>
      <c r="EN101" s="25" t="s">
        <v>1453</v>
      </c>
      <c r="EO101" s="25" t="s">
        <v>1451</v>
      </c>
      <c r="EP101" s="25" t="s">
        <v>1454</v>
      </c>
      <c r="EQ101" s="25" t="s">
        <v>0</v>
      </c>
      <c r="ER101" s="25" t="s">
        <v>2</v>
      </c>
      <c r="ES101" s="25" t="s">
        <v>1445</v>
      </c>
      <c r="ET101" s="25" t="s">
        <v>1447</v>
      </c>
      <c r="EU101" s="25" t="s">
        <v>1446</v>
      </c>
      <c r="EV101" s="25" t="s">
        <v>1448</v>
      </c>
      <c r="EW101" s="25" t="s">
        <v>1449</v>
      </c>
      <c r="EX101" s="28" t="s">
        <v>1462</v>
      </c>
      <c r="EY101" s="25" t="s">
        <v>1439</v>
      </c>
      <c r="EZ101" s="25" t="s">
        <v>38</v>
      </c>
      <c r="FA101" s="25" t="s">
        <v>33</v>
      </c>
      <c r="FB101" s="25" t="s">
        <v>14</v>
      </c>
      <c r="FC101" s="25" t="s">
        <v>29</v>
      </c>
      <c r="FD101" s="25" t="s">
        <v>3</v>
      </c>
      <c r="FE101" s="25" t="s">
        <v>31</v>
      </c>
      <c r="FF101" s="25" t="s">
        <v>11</v>
      </c>
      <c r="FG101" s="25" t="s">
        <v>1438</v>
      </c>
      <c r="FH101" s="25" t="s">
        <v>1437</v>
      </c>
      <c r="FI101" s="25" t="s">
        <v>18</v>
      </c>
      <c r="FJ101" s="25" t="s">
        <v>1</v>
      </c>
      <c r="FK101" s="25" t="s">
        <v>19</v>
      </c>
      <c r="FL101" s="25" t="s">
        <v>15</v>
      </c>
      <c r="FM101" s="25" t="s">
        <v>1453</v>
      </c>
      <c r="FN101" s="25" t="s">
        <v>1451</v>
      </c>
      <c r="FO101" s="25" t="s">
        <v>1454</v>
      </c>
      <c r="FP101" s="25" t="s">
        <v>0</v>
      </c>
      <c r="FQ101" s="25" t="s">
        <v>2</v>
      </c>
      <c r="FR101" s="25" t="s">
        <v>1445</v>
      </c>
      <c r="FS101" s="25" t="s">
        <v>1447</v>
      </c>
      <c r="FT101" s="25" t="s">
        <v>1446</v>
      </c>
      <c r="FU101" s="25" t="s">
        <v>1448</v>
      </c>
      <c r="FV101" s="25" t="s">
        <v>1449</v>
      </c>
      <c r="FW101" s="28" t="s">
        <v>1462</v>
      </c>
      <c r="FX101" s="25" t="s">
        <v>1439</v>
      </c>
      <c r="FY101" s="25" t="s">
        <v>38</v>
      </c>
      <c r="FZ101" s="25" t="s">
        <v>33</v>
      </c>
      <c r="GA101" s="25" t="s">
        <v>14</v>
      </c>
      <c r="GB101" s="25" t="s">
        <v>29</v>
      </c>
      <c r="GC101" s="25" t="s">
        <v>3</v>
      </c>
      <c r="GD101" s="25" t="s">
        <v>31</v>
      </c>
      <c r="GE101" s="25" t="s">
        <v>11</v>
      </c>
      <c r="GF101" s="25" t="s">
        <v>1438</v>
      </c>
      <c r="GG101" s="25" t="s">
        <v>1437</v>
      </c>
      <c r="GH101" s="25" t="s">
        <v>18</v>
      </c>
      <c r="GI101" s="25" t="s">
        <v>1</v>
      </c>
      <c r="GJ101" s="25" t="s">
        <v>19</v>
      </c>
      <c r="GK101" s="25" t="s">
        <v>15</v>
      </c>
      <c r="GL101" s="25" t="s">
        <v>1453</v>
      </c>
      <c r="GM101" s="25" t="s">
        <v>1451</v>
      </c>
      <c r="GN101" s="25" t="s">
        <v>1454</v>
      </c>
      <c r="GO101" s="25" t="s">
        <v>0</v>
      </c>
      <c r="GP101" s="25" t="s">
        <v>2</v>
      </c>
      <c r="GQ101" s="25" t="s">
        <v>1445</v>
      </c>
      <c r="GR101" s="25" t="s">
        <v>1447</v>
      </c>
      <c r="GS101" s="25" t="s">
        <v>1446</v>
      </c>
      <c r="GT101" s="25" t="s">
        <v>1448</v>
      </c>
      <c r="GU101" s="25" t="s">
        <v>1449</v>
      </c>
    </row>
    <row r="102" spans="2:203" s="25" customFormat="1" ht="15" hidden="1" customHeight="1" x14ac:dyDescent="0.25">
      <c r="B102" s="25">
        <v>1</v>
      </c>
      <c r="C102" s="25" t="s">
        <v>1442</v>
      </c>
      <c r="D102" s="26">
        <f t="shared" ref="D102:M105" si="150">CHOOSE($C$141,CZ102,DY102,EX102)</f>
        <v>48281.500572362689</v>
      </c>
      <c r="E102" s="26">
        <f t="shared" si="150"/>
        <v>87647.358072604897</v>
      </c>
      <c r="F102" s="26">
        <f t="shared" si="150"/>
        <v>37497.741410065893</v>
      </c>
      <c r="G102" s="26">
        <f t="shared" si="150"/>
        <v>64057.78282573133</v>
      </c>
      <c r="H102" s="26">
        <f t="shared" si="150"/>
        <v>88927.960729412545</v>
      </c>
      <c r="I102" s="26">
        <f t="shared" si="150"/>
        <v>30129.591148040774</v>
      </c>
      <c r="J102" s="26">
        <f t="shared" si="150"/>
        <v>42292.68180043024</v>
      </c>
      <c r="K102" s="26">
        <f t="shared" si="150"/>
        <v>21800.493274571108</v>
      </c>
      <c r="L102" s="26">
        <f t="shared" si="150"/>
        <v>52197.844195328391</v>
      </c>
      <c r="M102" s="26">
        <f t="shared" si="150"/>
        <v>74461</v>
      </c>
      <c r="N102" s="26">
        <f t="shared" ref="N102:W105" si="151">CHOOSE($C$141,DJ102,EI102,FH102)</f>
        <v>7429.1541714451232</v>
      </c>
      <c r="O102" s="26">
        <f t="shared" si="151"/>
        <v>95361.552873646448</v>
      </c>
      <c r="P102" s="26">
        <f t="shared" si="151"/>
        <v>78138.44</v>
      </c>
      <c r="Q102" s="26">
        <f t="shared" si="151"/>
        <v>44667.230460606537</v>
      </c>
      <c r="R102" s="26">
        <f t="shared" si="151"/>
        <v>66790.554278851167</v>
      </c>
      <c r="S102" s="26">
        <f t="shared" si="151"/>
        <v>79686.711875948036</v>
      </c>
      <c r="T102" s="26">
        <f t="shared" si="151"/>
        <v>30879.718569855999</v>
      </c>
      <c r="U102" s="26">
        <f t="shared" si="151"/>
        <v>35609.188264293989</v>
      </c>
      <c r="V102" s="26">
        <f t="shared" si="151"/>
        <v>16581.852023335494</v>
      </c>
      <c r="W102" s="26">
        <f t="shared" si="151"/>
        <v>4914.9850057341491</v>
      </c>
      <c r="X102" s="26">
        <f t="shared" ref="X102:AB105" si="152">CHOOSE($C$141,DT102,ES102,FR102)</f>
        <v>32330.760972488937</v>
      </c>
      <c r="Y102" s="26">
        <f t="shared" si="152"/>
        <v>52201.118690154377</v>
      </c>
      <c r="Z102" s="26">
        <f t="shared" si="152"/>
        <v>59682.259839817081</v>
      </c>
      <c r="AA102" s="26">
        <f t="shared" si="152"/>
        <v>77447.864498409239</v>
      </c>
      <c r="AB102" s="26">
        <f t="shared" si="152"/>
        <v>24000</v>
      </c>
      <c r="CZ102" s="26">
        <f t="array" ref="CZ102">IFERROR(AVERAGE(IF(tblSalaries[Work Hour per day on Excel]=Analysis!$C102,tblSalaries[Salary in USD])),0)</f>
        <v>48281.500572362689</v>
      </c>
      <c r="DA102" s="26">
        <f t="array" ref="DA102">IFERROR(AVERAGE(IF(tblSalaries[Job Type]=Analysis!DA$101,IF(tblSalaries[Work Hour per day on Excel]=Analysis!$C102,tblSalaries[Salary in USD]))),0)</f>
        <v>87647.358072604897</v>
      </c>
      <c r="DB102" s="26">
        <f t="array" ref="DB102">IFERROR(AVERAGE(IF(tblSalaries[Job Type]=Analysis!DB$101,IF(tblSalaries[Work Hour per day on Excel]=Analysis!$C102,tblSalaries[Salary in USD]))),0)</f>
        <v>37497.741410065893</v>
      </c>
      <c r="DC102" s="26">
        <f t="array" ref="DC102">IFERROR(AVERAGE(IF(tblSalaries[Job Type]=Analysis!DC$101,IF(tblSalaries[Work Hour per day on Excel]=Analysis!$C102,tblSalaries[Salary in USD]))),0)</f>
        <v>64057.78282573133</v>
      </c>
      <c r="DD102" s="26">
        <f t="array" ref="DD102">IFERROR(AVERAGE(IF(tblSalaries[Job Type]=Analysis!DD$101,IF(tblSalaries[Work Hour per day on Excel]=Analysis!$C102,tblSalaries[Salary in USD]))),0)</f>
        <v>88927.960729412545</v>
      </c>
      <c r="DE102" s="26">
        <f t="array" ref="DE102">IFERROR(AVERAGE(IF(tblSalaries[Job Type]=Analysis!DE$101,IF(tblSalaries[Work Hour per day on Excel]=Analysis!$C102,tblSalaries[Salary in USD]))),0)</f>
        <v>30129.591148040774</v>
      </c>
      <c r="DF102" s="26">
        <f t="array" ref="DF102">IFERROR(AVERAGE(IF(tblSalaries[Job Type]=Analysis!DF$101,IF(tblSalaries[Work Hour per day on Excel]=Analysis!$C102,tblSalaries[Salary in USD]))),0)</f>
        <v>42292.68180043024</v>
      </c>
      <c r="DG102" s="26">
        <f t="array" ref="DG102">IFERROR(AVERAGE(IF(tblSalaries[Job Type]=Analysis!DG$101,IF(tblSalaries[Work Hour per day on Excel]=Analysis!$C102,tblSalaries[Salary in USD]))),0)</f>
        <v>21800.493274571108</v>
      </c>
      <c r="DH102" s="26">
        <f t="array" ref="DH102">IFERROR(AVERAGE(IF(tblSalaries[Job Type]=Analysis!DH$101,IF(tblSalaries[Work Hour per day on Excel]=Analysis!$C102,tblSalaries[Salary in USD]))),0)</f>
        <v>52197.844195328391</v>
      </c>
      <c r="DI102" s="26">
        <f t="array" ref="DI102">IFERROR(AVERAGE(IF(tblSalaries[Job Type]=Analysis!DI$101,IF(tblSalaries[Work Hour per day on Excel]=Analysis!$C102,tblSalaries[Salary in USD]))),0)</f>
        <v>74461</v>
      </c>
      <c r="DJ102" s="26">
        <f t="array" ref="DJ102">IFERROR(AVERAGE(IF(tblSalaries[Job Type]=Analysis!DJ$101,IF(tblSalaries[Work Hour per day on Excel]=Analysis!$C102,tblSalaries[Salary in USD]))),0)</f>
        <v>7429.1541714451232</v>
      </c>
      <c r="DK102" s="26">
        <f t="array" ref="DK102">IFERROR(AVERAGE(IF(tblSalaries[Region]=Analysis!DK$101,IF(tblSalaries[Work Hour per day on Excel]=Analysis!$C102,tblSalaries[Salary in USD]))),0)</f>
        <v>95361.552873646448</v>
      </c>
      <c r="DL102" s="26">
        <f t="array" ref="DL102">IFERROR(AVERAGE(IF(tblSalaries[Region]=Analysis!DL$101,IF(tblSalaries[Work Hour per day on Excel]=Analysis!$C102,tblSalaries[Salary in USD]))),0)</f>
        <v>78138.44</v>
      </c>
      <c r="DM102" s="26">
        <f t="array" ref="DM102">IFERROR(AVERAGE(IF(tblSalaries[Region]=Analysis!DM$101,IF(tblSalaries[Work Hour per day on Excel]=Analysis!$C102,tblSalaries[Salary in USD]))),0)</f>
        <v>44667.230460606537</v>
      </c>
      <c r="DN102" s="26">
        <f t="array" ref="DN102">IFERROR(AVERAGE(IF(tblSalaries[Region]=Analysis!DN$101,IF(tblSalaries[Work Hour per day on Excel]=Analysis!$C102,tblSalaries[Salary in USD]))),0)</f>
        <v>66790.554278851167</v>
      </c>
      <c r="DO102" s="26">
        <f t="array" ref="DO102">IFERROR(AVERAGE(IF(tblSalaries[Region]=Analysis!DO$101,IF(tblSalaries[Work Hour per day on Excel]=Analysis!$C102,tblSalaries[Salary in USD]))),0)</f>
        <v>79686.711875948036</v>
      </c>
      <c r="DP102" s="26">
        <f t="array" ref="DP102">IFERROR(AVERAGE(IF(tblSalaries[Region]=Analysis!DP$101,IF(tblSalaries[Work Hour per day on Excel]=Analysis!$C102,tblSalaries[Salary in USD]))),0)</f>
        <v>30879.718569855999</v>
      </c>
      <c r="DQ102" s="26">
        <f t="array" ref="DQ102">IFERROR(AVERAGE(IF(tblSalaries[Region]=Analysis!DQ$101,IF(tblSalaries[Work Hour per day on Excel]=Analysis!$C102,tblSalaries[Salary in USD]))),0)</f>
        <v>35609.188264293989</v>
      </c>
      <c r="DR102" s="26">
        <f t="array" ref="DR102">IFERROR(AVERAGE(IF(tblSalaries[Region]=Analysis!DR$101,IF(tblSalaries[Work Hour per day on Excel]=Analysis!$C102,tblSalaries[Salary in USD]))),0)</f>
        <v>16581.852023335494</v>
      </c>
      <c r="DS102" s="26">
        <f t="array" ref="DS102">IFERROR(AVERAGE(IF(tblSalaries[Region]=Analysis!DS$101,IF(tblSalaries[Work Hour per day on Excel]=Analysis!$C102,tblSalaries[Salary in USD]))),0)</f>
        <v>4914.9850057341491</v>
      </c>
      <c r="DT102" s="26">
        <f t="array" ref="DT102">IFERROR(AVERAGE(IF(tblSalaries[Years of Experience]=Analysis!DT$101,IF(tblSalaries[Work Hour per day on Excel]=Analysis!$C102,tblSalaries[Salary in USD]))),0)</f>
        <v>32330.760972488937</v>
      </c>
      <c r="DU102" s="26">
        <f t="array" ref="DU102">IFERROR(AVERAGE(IF(tblSalaries[Years of Experience]=Analysis!DU$101,IF(tblSalaries[Work Hour per day on Excel]=Analysis!$C102,tblSalaries[Salary in USD]))),0)</f>
        <v>52201.118690154377</v>
      </c>
      <c r="DV102" s="26">
        <f t="array" ref="DV102">IFERROR(AVERAGE(IF(tblSalaries[Years of Experience]=Analysis!DV$101,IF(tblSalaries[Work Hour per day on Excel]=Analysis!$C102,tblSalaries[Salary in USD]))),0)</f>
        <v>59682.259839817081</v>
      </c>
      <c r="DW102" s="26">
        <f t="array" ref="DW102">IFERROR(AVERAGE(IF(tblSalaries[Years of Experience]=Analysis!DW$101,IF(tblSalaries[Work Hour per day on Excel]=Analysis!$C102,tblSalaries[Salary in USD]))),0)</f>
        <v>77447.864498409239</v>
      </c>
      <c r="DX102" s="26">
        <f t="array" ref="DX102">IFERROR(AVERAGE(IF(tblSalaries[Years of Experience]=Analysis!DX$101,IF(tblSalaries[Work Hour per day on Excel]=Analysis!$C102,tblSalaries[Salary in USD]))),0)</f>
        <v>24000</v>
      </c>
      <c r="DY102" s="26">
        <f t="array" ref="DY102">IFERROR(MAX(IF(tblSalaries[Work Hour per day on Excel]=Analysis!$C102,tblSalaries[Salary in USD])),0)</f>
        <v>188000</v>
      </c>
      <c r="DZ102" s="26">
        <f t="array" ref="DZ102">IFERROR(MAX(IF(tblSalaries[Job Type]=Analysis!DZ$101,IF(tblSalaries[Work Hour per day on Excel]=Analysis!$C102,tblSalaries[Salary in USD]))),0)</f>
        <v>188000</v>
      </c>
      <c r="EA102" s="26">
        <f t="array" ref="EA102">IFERROR(MAX(IF(tblSalaries[Job Type]=Analysis!EA$101,IF(tblSalaries[Work Hour per day on Excel]=Analysis!$C102,tblSalaries[Salary in USD]))),0)</f>
        <v>50995.482820131787</v>
      </c>
      <c r="EB102" s="26">
        <f t="array" ref="EB102">IFERROR(MAX(IF(tblSalaries[Job Type]=Analysis!EB$101,IF(tblSalaries[Work Hour per day on Excel]=Analysis!$C102,tblSalaries[Salary in USD]))),0)</f>
        <v>120000</v>
      </c>
      <c r="EC102" s="26">
        <f t="array" ref="EC102">IFERROR(MAX(IF(tblSalaries[Job Type]=Analysis!EC$101,IF(tblSalaries[Work Hour per day on Excel]=Analysis!$C102,tblSalaries[Salary in USD]))),0)</f>
        <v>88927.960729412545</v>
      </c>
      <c r="ED102" s="26">
        <f t="array" ref="ED102">IFERROR(MAX(IF(tblSalaries[Job Type]=Analysis!ED$101,IF(tblSalaries[Work Hour per day on Excel]=Analysis!$C102,tblSalaries[Salary in USD]))),0)</f>
        <v>80000</v>
      </c>
      <c r="EE102" s="26">
        <f t="array" ref="EE102">IFERROR(MAX(IF(tblSalaries[Job Type]=Analysis!EE$101,IF(tblSalaries[Work Hour per day on Excel]=Analysis!$C102,tblSalaries[Salary in USD]))),0)</f>
        <v>152986.44846039536</v>
      </c>
      <c r="EF102" s="26">
        <f t="array" ref="EF102">IFERROR(MAX(IF(tblSalaries[Job Type]=Analysis!EF$101,IF(tblSalaries[Work Hour per day on Excel]=Analysis!$C102,tblSalaries[Salary in USD]))),0)</f>
        <v>40067.812546745779</v>
      </c>
      <c r="EG102" s="26">
        <f t="array" ref="EG102">IFERROR(MAX(IF(tblSalaries[Job Type]=Analysis!EG$101,IF(tblSalaries[Work Hour per day on Excel]=Analysis!$C102,tblSalaries[Salary in USD]))),0)</f>
        <v>176585.52201983347</v>
      </c>
      <c r="EH102" s="26">
        <f t="array" ref="EH102">IFERROR(MAX(IF(tblSalaries[Job Type]=Analysis!EH$101,IF(tblSalaries[Work Hour per day on Excel]=Analysis!$C102,tblSalaries[Salary in USD]))),0)</f>
        <v>74461</v>
      </c>
      <c r="EI102" s="26">
        <f t="array" ref="EI102">IFERROR(MAX(IF(tblSalaries[Job Type]=Analysis!EI$101,IF(tblSalaries[Work Hour per day on Excel]=Analysis!$C102,tblSalaries[Salary in USD]))),0)</f>
        <v>10000</v>
      </c>
      <c r="EJ102" s="26">
        <f t="array" ref="EJ102">IFERROR(MAX(IF(tblSalaries[Region]=Analysis!EJ$101,IF(tblSalaries[Work Hour per day on Excel]=Analysis!$C102,tblSalaries[Salary in USD]))),0)</f>
        <v>152986.44846039536</v>
      </c>
      <c r="EK102" s="26">
        <f t="array" ref="EK102">IFERROR(MAX(IF(tblSalaries[Region]=Analysis!EK$101,IF(tblSalaries[Work Hour per day on Excel]=Analysis!$C102,tblSalaries[Salary in USD]))),0)</f>
        <v>188000</v>
      </c>
      <c r="EL102" s="26">
        <f t="array" ref="EL102">IFERROR(MAX(IF(tblSalaries[Region]=Analysis!EL$101,IF(tblSalaries[Work Hour per day on Excel]=Analysis!$C102,tblSalaries[Salary in USD]))),0)</f>
        <v>50000</v>
      </c>
      <c r="EM102" s="26">
        <f t="array" ref="EM102">IFERROR(MAX(IF(tblSalaries[Region]=Analysis!EM$101,IF(tblSalaries[Work Hour per day on Excel]=Analysis!$C102,tblSalaries[Salary in USD]))),0)</f>
        <v>102451.58768437347</v>
      </c>
      <c r="EN102" s="26">
        <f t="array" ref="EN102">IFERROR(MAX(IF(tblSalaries[Region]=Analysis!EN$101,IF(tblSalaries[Work Hour per day on Excel]=Analysis!$C102,tblSalaries[Salary in USD]))),0)</f>
        <v>176585.52201983347</v>
      </c>
      <c r="EO102" s="26">
        <f t="array" ref="EO102">IFERROR(MAX(IF(tblSalaries[Region]=Analysis!EO$101,IF(tblSalaries[Work Hour per day on Excel]=Analysis!$C102,tblSalaries[Salary in USD]))),0)</f>
        <v>80000</v>
      </c>
      <c r="EP102" s="26">
        <f t="array" ref="EP102">IFERROR(MAX(IF(tblSalaries[Region]=Analysis!EP$101,IF(tblSalaries[Work Hour per day on Excel]=Analysis!$C102,tblSalaries[Salary in USD]))),0)</f>
        <v>120000</v>
      </c>
      <c r="EQ102" s="26">
        <f t="array" ref="EQ102">IFERROR(MAX(IF(tblSalaries[Region]=Analysis!EQ$101,IF(tblSalaries[Work Hour per day on Excel]=Analysis!$C102,tblSalaries[Salary in USD]))),0)</f>
        <v>80135.625093491559</v>
      </c>
      <c r="ER102" s="26">
        <f t="array" ref="ER102">IFERROR(MAX(IF(tblSalaries[Region]=Analysis!ER$101,IF(tblSalaries[Work Hour per day on Excel]=Analysis!$C102,tblSalaries[Salary in USD]))),0)</f>
        <v>4914.9850057341491</v>
      </c>
      <c r="ES102" s="26">
        <f t="array" ref="ES102">IFERROR(MAX(IF(tblSalaries[Years of Experience]=Analysis!ES$101,IF(tblSalaries[Work Hour per day on Excel]=Analysis!$C102,tblSalaries[Salary in USD]))),0)</f>
        <v>120000</v>
      </c>
      <c r="ET102" s="26">
        <f t="array" ref="ET102">IFERROR(MAX(IF(tblSalaries[Years of Experience]=Analysis!ET$101,IF(tblSalaries[Work Hour per day on Excel]=Analysis!$C102,tblSalaries[Salary in USD]))),0)</f>
        <v>152986.44846039536</v>
      </c>
      <c r="EU102" s="26">
        <f t="array" ref="EU102">IFERROR(MAX(IF(tblSalaries[Years of Experience]=Analysis!EU$101,IF(tblSalaries[Work Hour per day on Excel]=Analysis!$C102,tblSalaries[Salary in USD]))),0)</f>
        <v>188000</v>
      </c>
      <c r="EV102" s="26">
        <f t="array" ref="EV102">IFERROR(MAX(IF(tblSalaries[Years of Experience]=Analysis!EV$101,IF(tblSalaries[Work Hour per day on Excel]=Analysis!$C102,tblSalaries[Salary in USD]))),0)</f>
        <v>176585.52201983347</v>
      </c>
      <c r="EW102" s="26">
        <f t="array" ref="EW102">IFERROR(MAX(IF(tblSalaries[Years of Experience]=Analysis!EW$101,IF(tblSalaries[Work Hour per day on Excel]=Analysis!$C102,tblSalaries[Salary in USD]))),0)</f>
        <v>24000</v>
      </c>
      <c r="EX102" s="26">
        <f t="array" ref="EX102">IFERROR(MIN(IF(tblSalaries[Work Hour per day on Excel]=Analysis!$C102,tblSalaries[Salary in USD])),0)</f>
        <v>2136.9500024931081</v>
      </c>
      <c r="EY102" s="26">
        <f t="array" ref="EY102">IFERROR(MIN(IF(tblSalaries[Job Type]=Analysis!EY$101,IF(tblSalaries[Work Hour per day on Excel]=Analysis!$C102,tblSalaries[Salary in USD]))),0)</f>
        <v>13355.937515581925</v>
      </c>
      <c r="EZ102" s="26">
        <f t="array" ref="EZ102">IFERROR(MIN(IF(tblSalaries[Job Type]=Analysis!EZ$101,IF(tblSalaries[Work Hour per day on Excel]=Analysis!$C102,tblSalaries[Salary in USD]))),0)</f>
        <v>24000</v>
      </c>
      <c r="FA102" s="26">
        <f t="array" ref="FA102">IFERROR(MIN(IF(tblSalaries[Job Type]=Analysis!FA$101,IF(tblSalaries[Work Hour per day on Excel]=Analysis!$C102,tblSalaries[Salary in USD]))),0)</f>
        <v>5000</v>
      </c>
      <c r="FB102" s="26">
        <f t="array" ref="FB102">IFERROR(MIN(IF(tblSalaries[Job Type]=Analysis!FB$101,IF(tblSalaries[Work Hour per day on Excel]=Analysis!$C102,tblSalaries[Salary in USD]))),0)</f>
        <v>88927.960729412545</v>
      </c>
      <c r="FC102" s="26">
        <f t="array" ref="FC102">IFERROR(MIN(IF(tblSalaries[Job Type]=Analysis!FC$101,IF(tblSalaries[Work Hour per day on Excel]=Analysis!$C102,tblSalaries[Salary in USD]))),0)</f>
        <v>7123.1666749770275</v>
      </c>
      <c r="FD102" s="26">
        <f t="array" ref="FD102">IFERROR(MIN(IF(tblSalaries[Job Type]=Analysis!FD$101,IF(tblSalaries[Work Hour per day on Excel]=Analysis!$C102,tblSalaries[Salary in USD]))),0)</f>
        <v>2136.9500024931081</v>
      </c>
      <c r="FE102" s="26">
        <f t="array" ref="FE102">IFERROR(MIN(IF(tblSalaries[Job Type]=Analysis!FE$101,IF(tblSalaries[Work Hour per day on Excel]=Analysis!$C102,tblSalaries[Salary in USD]))),0)</f>
        <v>4487.5950052355274</v>
      </c>
      <c r="FF102" s="26">
        <f t="array" ref="FF102">IFERROR(MIN(IF(tblSalaries[Job Type]=Analysis!FF$101,IF(tblSalaries[Work Hour per day on Excel]=Analysis!$C102,tblSalaries[Salary in USD]))),0)</f>
        <v>4451.9791718606421</v>
      </c>
      <c r="FG102" s="26">
        <f t="array" ref="FG102">IFERROR(MIN(IF(tblSalaries[Job Type]=Analysis!FG$101,IF(tblSalaries[Work Hour per day on Excel]=Analysis!$C102,tblSalaries[Salary in USD]))),0)</f>
        <v>74461</v>
      </c>
      <c r="FH102" s="26">
        <f t="array" ref="FH102">IFERROR(MIN(IF(tblSalaries[Job Type]=Analysis!FH$101,IF(tblSalaries[Work Hour per day on Excel]=Analysis!$C102,tblSalaries[Salary in USD]))),0)</f>
        <v>3739.6625043629392</v>
      </c>
      <c r="FI102" s="26">
        <f t="array" ref="FI102">IFERROR(MIN(IF(tblSalaries[Region]=Analysis!FI$101,IF(tblSalaries[Work Hour per day on Excel]=Analysis!$C102,tblSalaries[Salary in USD]))),0)</f>
        <v>48955.663507326513</v>
      </c>
      <c r="FJ102" s="26">
        <f t="array" ref="FJ102">IFERROR(MIN(IF(tblSalaries[Region]=Analysis!FJ$101,IF(tblSalaries[Work Hour per day on Excel]=Analysis!$C102,tblSalaries[Salary in USD]))),0)</f>
        <v>24000</v>
      </c>
      <c r="FK102" s="26">
        <f t="array" ref="FK102">IFERROR(MIN(IF(tblSalaries[Region]=Analysis!FK$101,IF(tblSalaries[Work Hour per day on Excel]=Analysis!$C102,tblSalaries[Salary in USD]))),0)</f>
        <v>39334.460921213074</v>
      </c>
      <c r="FL102" s="26">
        <f t="array" ref="FL102">IFERROR(MIN(IF(tblSalaries[Region]=Analysis!FL$101,IF(tblSalaries[Work Hour per day on Excel]=Analysis!$C102,tblSalaries[Salary in USD]))),0)</f>
        <v>44921.080753917595</v>
      </c>
      <c r="FM102" s="26">
        <f t="array" ref="FM102">IFERROR(MIN(IF(tblSalaries[Region]=Analysis!FM$101,IF(tblSalaries[Work Hour per day on Excel]=Analysis!$C102,tblSalaries[Salary in USD]))),0)</f>
        <v>25407.988779832154</v>
      </c>
      <c r="FN102" s="26">
        <f t="array" ref="FN102">IFERROR(MIN(IF(tblSalaries[Region]=Analysis!FN$101,IF(tblSalaries[Work Hour per day on Excel]=Analysis!$C102,tblSalaries[Salary in USD]))),0)</f>
        <v>5000</v>
      </c>
      <c r="FO102" s="26">
        <f t="array" ref="FO102">IFERROR(MIN(IF(tblSalaries[Region]=Analysis!FO$101,IF(tblSalaries[Work Hour per day on Excel]=Analysis!$C102,tblSalaries[Salary in USD]))),0)</f>
        <v>3000</v>
      </c>
      <c r="FP102" s="26">
        <f t="array" ref="FP102">IFERROR(MIN(IF(tblSalaries[Region]=Analysis!FP$101,IF(tblSalaries[Work Hour per day on Excel]=Analysis!$C102,tblSalaries[Salary in USD]))),0)</f>
        <v>2136.9500024931081</v>
      </c>
      <c r="FQ102" s="26">
        <f t="array" ref="FQ102">IFERROR(MIN(IF(tblSalaries[Region]=Analysis!FQ$101,IF(tblSalaries[Work Hour per day on Excel]=Analysis!$C102,tblSalaries[Salary in USD]))),0)</f>
        <v>4914.9850057341491</v>
      </c>
      <c r="FR102" s="26">
        <f t="array" ref="FR102">IFERROR(MIN(IF(tblSalaries[Years of Experience]=Analysis!FR$101,IF(tblSalaries[Work Hour per day on Excel]=Analysis!$C102,tblSalaries[Salary in USD]))),0)</f>
        <v>2136.9500024931081</v>
      </c>
      <c r="FS102" s="26">
        <f t="array" ref="FS102">IFERROR(MIN(IF(tblSalaries[Years of Experience]=Analysis!FS$101,IF(tblSalaries[Work Hour per day on Excel]=Analysis!$C102,tblSalaries[Salary in USD]))),0)</f>
        <v>3561.5833374885137</v>
      </c>
      <c r="FT102" s="26">
        <f t="array" ref="FT102">IFERROR(MIN(IF(tblSalaries[Years of Experience]=Analysis!FT$101,IF(tblSalaries[Work Hour per day on Excel]=Analysis!$C102,tblSalaries[Salary in USD]))),0)</f>
        <v>3000</v>
      </c>
      <c r="FU102" s="26">
        <f t="array" ref="FU102">IFERROR(MIN(IF(tblSalaries[Years of Experience]=Analysis!FU$101,IF(tblSalaries[Work Hour per day on Excel]=Analysis!$C102,tblSalaries[Salary in USD]))),0)</f>
        <v>8903.9583437212841</v>
      </c>
      <c r="FV102" s="26">
        <f t="array" ref="FV102">IFERROR(MIN(IF(tblSalaries[Years of Experience]=Analysis!FV$101,IF(tblSalaries[Work Hour per day on Excel]=Analysis!$C102,tblSalaries[Salary in USD]))),0)</f>
        <v>24000</v>
      </c>
      <c r="FW102" s="26">
        <f t="array" ref="FW102">IFERROR(COUNT(IF(tblSalaries[Work Hour per day on Excel]=Analysis!$C102,tblSalaries[Salary in USD])),0)</f>
        <v>122</v>
      </c>
      <c r="FX102" s="26">
        <f t="array" ref="FX102">IFERROR(COUNT(IF(tblSalaries[Job Type]=Analysis!FX$101,IF(tblSalaries[Work Hour per day on Excel]=Analysis!$C102,tblSalaries[Salary in USD]))),0)</f>
        <v>7</v>
      </c>
      <c r="FY102" s="26">
        <f t="array" ref="FY102">IFERROR(COUNT(IF(tblSalaries[Job Type]=Analysis!FY$101,IF(tblSalaries[Work Hour per day on Excel]=Analysis!$C102,tblSalaries[Salary in USD]))),0)</f>
        <v>2</v>
      </c>
      <c r="FZ102" s="26">
        <f t="array" ref="FZ102">IFERROR(COUNT(IF(tblSalaries[Job Type]=Analysis!FZ$101,IF(tblSalaries[Work Hour per day on Excel]=Analysis!$C102,tblSalaries[Salary in USD]))),0)</f>
        <v>7</v>
      </c>
      <c r="GA102" s="26">
        <f t="array" ref="GA102">IFERROR(COUNT(IF(tblSalaries[Job Type]=Analysis!GA$101,IF(tblSalaries[Work Hour per day on Excel]=Analysis!$C102,tblSalaries[Salary in USD]))),0)</f>
        <v>1</v>
      </c>
      <c r="GB102" s="26">
        <f t="array" ref="GB102">IFERROR(COUNT(IF(tblSalaries[Job Type]=Analysis!GB$101,IF(tblSalaries[Work Hour per day on Excel]=Analysis!$C102,tblSalaries[Salary in USD]))),0)</f>
        <v>8</v>
      </c>
      <c r="GC102" s="26">
        <f t="array" ref="GC102">IFERROR(COUNT(IF(tblSalaries[Job Type]=Analysis!GC$101,IF(tblSalaries[Work Hour per day on Excel]=Analysis!$C102,tblSalaries[Salary in USD]))),0)</f>
        <v>41</v>
      </c>
      <c r="GD102" s="26">
        <f t="array" ref="GD102">IFERROR(COUNT(IF(tblSalaries[Job Type]=Analysis!GD$101,IF(tblSalaries[Work Hour per day on Excel]=Analysis!$C102,tblSalaries[Salary in USD]))),0)</f>
        <v>4</v>
      </c>
      <c r="GE102" s="26">
        <f t="array" ref="GE102">IFERROR(COUNT(IF(tblSalaries[Job Type]=Analysis!GE$101,IF(tblSalaries[Work Hour per day on Excel]=Analysis!$C102,tblSalaries[Salary in USD]))),0)</f>
        <v>48</v>
      </c>
      <c r="GF102" s="26">
        <f t="array" ref="GF102">IFERROR(COUNT(IF(tblSalaries[Job Type]=Analysis!GF$101,IF(tblSalaries[Work Hour per day on Excel]=Analysis!$C102,tblSalaries[Salary in USD]))),0)</f>
        <v>1</v>
      </c>
      <c r="GG102" s="26">
        <f t="array" ref="GG102">IFERROR(COUNT(IF(tblSalaries[Job Type]=Analysis!GG$101,IF(tblSalaries[Work Hour per day on Excel]=Analysis!$C102,tblSalaries[Salary in USD]))),0)</f>
        <v>3</v>
      </c>
      <c r="GH102" s="26">
        <f t="array" ref="GH102">IFERROR(COUNT(IF(tblSalaries[Region]=Analysis!GH$101,IF(tblSalaries[Work Hour per day on Excel]=Analysis!$C102,tblSalaries[Salary in USD]))),0)</f>
        <v>10</v>
      </c>
      <c r="GI102" s="26">
        <f t="array" ref="GI102">IFERROR(COUNT(IF(tblSalaries[Region]=Analysis!GI$101,IF(tblSalaries[Work Hour per day on Excel]=Analysis!$C102,tblSalaries[Salary in USD]))),0)</f>
        <v>25</v>
      </c>
      <c r="GJ102" s="26">
        <f t="array" ref="GJ102">IFERROR(COUNT(IF(tblSalaries[Region]=Analysis!GJ$101,IF(tblSalaries[Work Hour per day on Excel]=Analysis!$C102,tblSalaries[Salary in USD]))),0)</f>
        <v>2</v>
      </c>
      <c r="GK102" s="26">
        <f t="array" ref="GK102">IFERROR(COUNT(IF(tblSalaries[Region]=Analysis!GK$101,IF(tblSalaries[Work Hour per day on Excel]=Analysis!$C102,tblSalaries[Salary in USD]))),0)</f>
        <v>4</v>
      </c>
      <c r="GL102" s="26">
        <f t="array" ref="GL102">IFERROR(COUNT(IF(tblSalaries[Region]=Analysis!GL$101,IF(tblSalaries[Work Hour per day on Excel]=Analysis!$C102,tblSalaries[Salary in USD]))),0)</f>
        <v>16</v>
      </c>
      <c r="GM102" s="26">
        <f t="array" ref="GM102">IFERROR(COUNT(IF(tblSalaries[Region]=Analysis!GM$101,IF(tblSalaries[Work Hour per day on Excel]=Analysis!$C102,tblSalaries[Salary in USD]))),0)</f>
        <v>8</v>
      </c>
      <c r="GN102" s="26">
        <f t="array" ref="GN102">IFERROR(COUNT(IF(tblSalaries[Region]=Analysis!GN$101,IF(tblSalaries[Work Hour per day on Excel]=Analysis!$C102,tblSalaries[Salary in USD]))),0)</f>
        <v>9</v>
      </c>
      <c r="GO102" s="26">
        <f t="array" ref="GO102">IFERROR(COUNT(IF(tblSalaries[Region]=Analysis!GO$101,IF(tblSalaries[Work Hour per day on Excel]=Analysis!$C102,tblSalaries[Salary in USD]))),0)</f>
        <v>47</v>
      </c>
      <c r="GP102" s="26">
        <f t="array" ref="GP102">IFERROR(COUNT(IF(tblSalaries[Region]=Analysis!GP$101,IF(tblSalaries[Work Hour per day on Excel]=Analysis!$C102,tblSalaries[Salary in USD]))),0)</f>
        <v>1</v>
      </c>
      <c r="GQ102" s="26">
        <f t="array" ref="GQ102">IFERROR(COUNT(IF(tblSalaries[Years of Experience]=Analysis!GQ$101,IF(tblSalaries[Work Hour per day on Excel]=Analysis!$C102,tblSalaries[Salary in USD]))),0)</f>
        <v>45</v>
      </c>
      <c r="GR102" s="26">
        <f t="array" ref="GR102">IFERROR(COUNT(IF(tblSalaries[Years of Experience]=Analysis!GR$101,IF(tblSalaries[Work Hour per day on Excel]=Analysis!$C102,tblSalaries[Salary in USD]))),0)</f>
        <v>38</v>
      </c>
      <c r="GS102" s="26">
        <f t="array" ref="GS102">IFERROR(COUNT(IF(tblSalaries[Years of Experience]=Analysis!GS$101,IF(tblSalaries[Work Hour per day on Excel]=Analysis!$C102,tblSalaries[Salary in USD]))),0)</f>
        <v>29</v>
      </c>
      <c r="GT102" s="26">
        <f t="array" ref="GT102">IFERROR(COUNT(IF(tblSalaries[Years of Experience]=Analysis!GT$101,IF(tblSalaries[Work Hour per day on Excel]=Analysis!$C102,tblSalaries[Salary in USD]))),0)</f>
        <v>9</v>
      </c>
      <c r="GU102" s="26">
        <f t="array" ref="GU102">IFERROR(COUNT(IF(tblSalaries[Years of Experience]=Analysis!GU$101,IF(tblSalaries[Work Hour per day on Excel]=Analysis!$C102,tblSalaries[Salary in USD]))),0)</f>
        <v>1</v>
      </c>
    </row>
    <row r="103" spans="2:203" s="25" customFormat="1" ht="15" hidden="1" customHeight="1" x14ac:dyDescent="0.25">
      <c r="B103" s="25">
        <f>B102+1</f>
        <v>2</v>
      </c>
      <c r="C103" s="25" t="s">
        <v>1443</v>
      </c>
      <c r="D103" s="26">
        <f t="shared" si="150"/>
        <v>48678.269791310064</v>
      </c>
      <c r="E103" s="26">
        <f t="shared" si="150"/>
        <v>133525.33484784377</v>
      </c>
      <c r="F103" s="26">
        <f t="shared" si="150"/>
        <v>75317.881408278467</v>
      </c>
      <c r="G103" s="26">
        <f t="shared" si="150"/>
        <v>57468.314967678234</v>
      </c>
      <c r="H103" s="26">
        <f t="shared" si="150"/>
        <v>46459.159838796608</v>
      </c>
      <c r="I103" s="26">
        <f t="shared" si="150"/>
        <v>66213.99402730717</v>
      </c>
      <c r="J103" s="26">
        <f t="shared" si="150"/>
        <v>45612.81808700585</v>
      </c>
      <c r="K103" s="26">
        <f t="shared" si="150"/>
        <v>34794.496249436103</v>
      </c>
      <c r="L103" s="26">
        <f t="shared" si="150"/>
        <v>42752.714103272134</v>
      </c>
      <c r="M103" s="26">
        <f t="shared" si="150"/>
        <v>41712.231189497601</v>
      </c>
      <c r="N103" s="26">
        <f t="shared" si="151"/>
        <v>30813.70939768483</v>
      </c>
      <c r="O103" s="26">
        <f t="shared" si="151"/>
        <v>98922.94108066168</v>
      </c>
      <c r="P103" s="26">
        <f t="shared" si="151"/>
        <v>77204.19767441861</v>
      </c>
      <c r="Q103" s="26">
        <f t="shared" si="151"/>
        <v>61431.302364001094</v>
      </c>
      <c r="R103" s="26">
        <f t="shared" si="151"/>
        <v>72791.064960611329</v>
      </c>
      <c r="S103" s="26">
        <f t="shared" si="151"/>
        <v>59788.024068658997</v>
      </c>
      <c r="T103" s="26">
        <f t="shared" si="151"/>
        <v>42479.347745501567</v>
      </c>
      <c r="U103" s="26">
        <f t="shared" si="151"/>
        <v>29579.331891794751</v>
      </c>
      <c r="V103" s="26">
        <f t="shared" si="151"/>
        <v>14218.169695793289</v>
      </c>
      <c r="W103" s="26">
        <f t="shared" si="151"/>
        <v>4061.9544358399567</v>
      </c>
      <c r="X103" s="26">
        <f t="shared" si="152"/>
        <v>28210.380753889778</v>
      </c>
      <c r="Y103" s="26">
        <f t="shared" si="152"/>
        <v>54600.738776864157</v>
      </c>
      <c r="Z103" s="26">
        <f t="shared" si="152"/>
        <v>67112.562858000514</v>
      </c>
      <c r="AA103" s="26">
        <f t="shared" si="152"/>
        <v>70078.691178552428</v>
      </c>
      <c r="AB103" s="26">
        <f t="shared" si="152"/>
        <v>10684.750012465542</v>
      </c>
      <c r="CZ103" s="26">
        <f t="array" ref="CZ103">IFERROR(AVERAGE(IF(tblSalaries[Work Hour per day on Excel]=Analysis!$C103,tblSalaries[Salary in USD])),0)</f>
        <v>48678.269791310064</v>
      </c>
      <c r="DA103" s="26">
        <f t="array" ref="DA103">IFERROR(AVERAGE(IF(tblSalaries[Job Type]=Analysis!DA$101,IF(tblSalaries[Work Hour per day on Excel]=Analysis!$C103,tblSalaries[Salary in USD]))),0)</f>
        <v>133525.33484784377</v>
      </c>
      <c r="DB103" s="26">
        <f t="array" ref="DB103">IFERROR(AVERAGE(IF(tblSalaries[Job Type]=Analysis!DB$101,IF(tblSalaries[Work Hour per day on Excel]=Analysis!$C103,tblSalaries[Salary in USD]))),0)</f>
        <v>75317.881408278467</v>
      </c>
      <c r="DC103" s="26">
        <f t="array" ref="DC103">IFERROR(AVERAGE(IF(tblSalaries[Job Type]=Analysis!DC$101,IF(tblSalaries[Work Hour per day on Excel]=Analysis!$C103,tblSalaries[Salary in USD]))),0)</f>
        <v>57468.314967678234</v>
      </c>
      <c r="DD103" s="26">
        <f t="array" ref="DD103">IFERROR(AVERAGE(IF(tblSalaries[Job Type]=Analysis!DD$101,IF(tblSalaries[Work Hour per day on Excel]=Analysis!$C103,tblSalaries[Salary in USD]))),0)</f>
        <v>46459.159838796608</v>
      </c>
      <c r="DE103" s="26">
        <f t="array" ref="DE103">IFERROR(AVERAGE(IF(tblSalaries[Job Type]=Analysis!DE$101,IF(tblSalaries[Work Hour per day on Excel]=Analysis!$C103,tblSalaries[Salary in USD]))),0)</f>
        <v>66213.99402730717</v>
      </c>
      <c r="DF103" s="26">
        <f t="array" ref="DF103">IFERROR(AVERAGE(IF(tblSalaries[Job Type]=Analysis!DF$101,IF(tblSalaries[Work Hour per day on Excel]=Analysis!$C103,tblSalaries[Salary in USD]))),0)</f>
        <v>45612.81808700585</v>
      </c>
      <c r="DG103" s="26">
        <f t="array" ref="DG103">IFERROR(AVERAGE(IF(tblSalaries[Job Type]=Analysis!DG$101,IF(tblSalaries[Work Hour per day on Excel]=Analysis!$C103,tblSalaries[Salary in USD]))),0)</f>
        <v>34794.496249436103</v>
      </c>
      <c r="DH103" s="26">
        <f t="array" ref="DH103">IFERROR(AVERAGE(IF(tblSalaries[Job Type]=Analysis!DH$101,IF(tblSalaries[Work Hour per day on Excel]=Analysis!$C103,tblSalaries[Salary in USD]))),0)</f>
        <v>42752.714103272134</v>
      </c>
      <c r="DI103" s="26">
        <f t="array" ref="DI103">IFERROR(AVERAGE(IF(tblSalaries[Job Type]=Analysis!DI$101,IF(tblSalaries[Work Hour per day on Excel]=Analysis!$C103,tblSalaries[Salary in USD]))),0)</f>
        <v>41712.231189497601</v>
      </c>
      <c r="DJ103" s="26">
        <f t="array" ref="DJ103">IFERROR(AVERAGE(IF(tblSalaries[Job Type]=Analysis!DJ$101,IF(tblSalaries[Work Hour per day on Excel]=Analysis!$C103,tblSalaries[Salary in USD]))),0)</f>
        <v>30813.70939768483</v>
      </c>
      <c r="DK103" s="26">
        <f t="array" ref="DK103">IFERROR(AVERAGE(IF(tblSalaries[Region]=Analysis!DK$101,IF(tblSalaries[Work Hour per day on Excel]=Analysis!$C103,tblSalaries[Salary in USD]))),0)</f>
        <v>98922.94108066168</v>
      </c>
      <c r="DL103" s="26">
        <f t="array" ref="DL103">IFERROR(AVERAGE(IF(tblSalaries[Region]=Analysis!DL$101,IF(tblSalaries[Work Hour per day on Excel]=Analysis!$C103,tblSalaries[Salary in USD]))),0)</f>
        <v>77204.19767441861</v>
      </c>
      <c r="DM103" s="26">
        <f t="array" ref="DM103">IFERROR(AVERAGE(IF(tblSalaries[Region]=Analysis!DM$101,IF(tblSalaries[Work Hour per day on Excel]=Analysis!$C103,tblSalaries[Salary in USD]))),0)</f>
        <v>61431.302364001094</v>
      </c>
      <c r="DN103" s="26">
        <f t="array" ref="DN103">IFERROR(AVERAGE(IF(tblSalaries[Region]=Analysis!DN$101,IF(tblSalaries[Work Hour per day on Excel]=Analysis!$C103,tblSalaries[Salary in USD]))),0)</f>
        <v>72791.064960611329</v>
      </c>
      <c r="DO103" s="26">
        <f t="array" ref="DO103">IFERROR(AVERAGE(IF(tblSalaries[Region]=Analysis!DO$101,IF(tblSalaries[Work Hour per day on Excel]=Analysis!$C103,tblSalaries[Salary in USD]))),0)</f>
        <v>59788.024068658997</v>
      </c>
      <c r="DP103" s="26">
        <f t="array" ref="DP103">IFERROR(AVERAGE(IF(tblSalaries[Region]=Analysis!DP$101,IF(tblSalaries[Work Hour per day on Excel]=Analysis!$C103,tblSalaries[Salary in USD]))),0)</f>
        <v>42479.347745501567</v>
      </c>
      <c r="DQ103" s="26">
        <f t="array" ref="DQ103">IFERROR(AVERAGE(IF(tblSalaries[Region]=Analysis!DQ$101,IF(tblSalaries[Work Hour per day on Excel]=Analysis!$C103,tblSalaries[Salary in USD]))),0)</f>
        <v>29579.331891794751</v>
      </c>
      <c r="DR103" s="26">
        <f t="array" ref="DR103">IFERROR(AVERAGE(IF(tblSalaries[Region]=Analysis!DR$101,IF(tblSalaries[Work Hour per day on Excel]=Analysis!$C103,tblSalaries[Salary in USD]))),0)</f>
        <v>14218.169695793289</v>
      </c>
      <c r="DS103" s="26">
        <f t="array" ref="DS103">IFERROR(AVERAGE(IF(tblSalaries[Region]=Analysis!DS$101,IF(tblSalaries[Work Hour per day on Excel]=Analysis!$C103,tblSalaries[Salary in USD]))),0)</f>
        <v>4061.9544358399567</v>
      </c>
      <c r="DT103" s="26">
        <f t="array" ref="DT103">IFERROR(AVERAGE(IF(tblSalaries[Years of Experience]=Analysis!DT$101,IF(tblSalaries[Work Hour per day on Excel]=Analysis!$C103,tblSalaries[Salary in USD]))),0)</f>
        <v>28210.380753889778</v>
      </c>
      <c r="DU103" s="26">
        <f t="array" ref="DU103">IFERROR(AVERAGE(IF(tblSalaries[Years of Experience]=Analysis!DU$101,IF(tblSalaries[Work Hour per day on Excel]=Analysis!$C103,tblSalaries[Salary in USD]))),0)</f>
        <v>54600.738776864157</v>
      </c>
      <c r="DV103" s="26">
        <f t="array" ref="DV103">IFERROR(AVERAGE(IF(tblSalaries[Years of Experience]=Analysis!DV$101,IF(tblSalaries[Work Hour per day on Excel]=Analysis!$C103,tblSalaries[Salary in USD]))),0)</f>
        <v>67112.562858000514</v>
      </c>
      <c r="DW103" s="26">
        <f t="array" ref="DW103">IFERROR(AVERAGE(IF(tblSalaries[Years of Experience]=Analysis!DW$101,IF(tblSalaries[Work Hour per day on Excel]=Analysis!$C103,tblSalaries[Salary in USD]))),0)</f>
        <v>70078.691178552428</v>
      </c>
      <c r="DX103" s="26">
        <f t="array" ref="DX103">IFERROR(AVERAGE(IF(tblSalaries[Years of Experience]=Analysis!DX$101,IF(tblSalaries[Work Hour per day on Excel]=Analysis!$C103,tblSalaries[Salary in USD]))),0)</f>
        <v>10684.750012465542</v>
      </c>
      <c r="DY103" s="26">
        <f t="array" ref="DY103">IFERROR(MAX(IF(tblSalaries[Work Hour per day on Excel]=Analysis!$C103,tblSalaries[Salary in USD])),0)</f>
        <v>300000</v>
      </c>
      <c r="DZ103" s="26">
        <f t="array" ref="DZ103">IFERROR(MAX(IF(tblSalaries[Job Type]=Analysis!DZ$101,IF(tblSalaries[Work Hour per day on Excel]=Analysis!$C103,tblSalaries[Salary in USD]))),0)</f>
        <v>300000</v>
      </c>
      <c r="EA103" s="26">
        <f t="array" ref="EA103">IFERROR(MAX(IF(tblSalaries[Job Type]=Analysis!EA$101,IF(tblSalaries[Work Hour per day on Excel]=Analysis!$C103,tblSalaries[Salary in USD]))),0)</f>
        <v>157617.8272067284</v>
      </c>
      <c r="EB103" s="26">
        <f t="array" ref="EB103">IFERROR(MAX(IF(tblSalaries[Job Type]=Analysis!EB$101,IF(tblSalaries[Work Hour per day on Excel]=Analysis!$C103,tblSalaries[Salary in USD]))),0)</f>
        <v>173384.64158844808</v>
      </c>
      <c r="EC103" s="26">
        <f t="array" ref="EC103">IFERROR(MAX(IF(tblSalaries[Job Type]=Analysis!EC$101,IF(tblSalaries[Work Hour per day on Excel]=Analysis!$C103,tblSalaries[Salary in USD]))),0)</f>
        <v>99299.231140238902</v>
      </c>
      <c r="ED103" s="26">
        <f t="array" ref="ED103">IFERROR(MAX(IF(tblSalaries[Job Type]=Analysis!ED$101,IF(tblSalaries[Work Hour per day on Excel]=Analysis!$C103,tblSalaries[Salary in USD]))),0)</f>
        <v>231119.74856804207</v>
      </c>
      <c r="EE103" s="26">
        <f t="array" ref="EE103">IFERROR(MAX(IF(tblSalaries[Job Type]=Analysis!EE$101,IF(tblSalaries[Work Hour per day on Excel]=Analysis!$C103,tblSalaries[Salary in USD]))),0)</f>
        <v>152986.44846039536</v>
      </c>
      <c r="EF103" s="26">
        <f t="array" ref="EF103">IFERROR(MAX(IF(tblSalaries[Job Type]=Analysis!EF$101,IF(tblSalaries[Work Hour per day on Excel]=Analysis!$C103,tblSalaries[Salary in USD]))),0)</f>
        <v>132588.25533234264</v>
      </c>
      <c r="EG103" s="26">
        <f t="array" ref="EG103">IFERROR(MAX(IF(tblSalaries[Job Type]=Analysis!EG$101,IF(tblSalaries[Work Hour per day on Excel]=Analysis!$C103,tblSalaries[Salary in USD]))),0)</f>
        <v>186983.12521814698</v>
      </c>
      <c r="EH103" s="26">
        <f t="array" ref="EH103">IFERROR(MAX(IF(tblSalaries[Job Type]=Analysis!EH$101,IF(tblSalaries[Work Hour per day on Excel]=Analysis!$C103,tblSalaries[Salary in USD]))),0)</f>
        <v>41712.231189497601</v>
      </c>
      <c r="EI103" s="26">
        <f t="array" ref="EI103">IFERROR(MAX(IF(tblSalaries[Job Type]=Analysis!EI$101,IF(tblSalaries[Work Hour per day on Excel]=Analysis!$C103,tblSalaries[Salary in USD]))),0)</f>
        <v>100614.72928405051</v>
      </c>
      <c r="EJ103" s="26">
        <f t="array" ref="EJ103">IFERROR(MAX(IF(tblSalaries[Region]=Analysis!EJ$101,IF(tblSalaries[Work Hour per day on Excel]=Analysis!$C103,tblSalaries[Salary in USD]))),0)</f>
        <v>173384.64158844808</v>
      </c>
      <c r="EK103" s="26">
        <f t="array" ref="EK103">IFERROR(MAX(IF(tblSalaries[Region]=Analysis!EK$101,IF(tblSalaries[Work Hour per day on Excel]=Analysis!$C103,tblSalaries[Salary in USD]))),0)</f>
        <v>300000</v>
      </c>
      <c r="EL103" s="26">
        <f t="array" ref="EL103">IFERROR(MAX(IF(tblSalaries[Region]=Analysis!EL$101,IF(tblSalaries[Work Hour per day on Excel]=Analysis!$C103,tblSalaries[Salary in USD]))),0)</f>
        <v>98336.152303032693</v>
      </c>
      <c r="EM103" s="26">
        <f t="array" ref="EM103">IFERROR(MAX(IF(tblSalaries[Region]=Analysis!EM$101,IF(tblSalaries[Work Hour per day on Excel]=Analysis!$C103,tblSalaries[Salary in USD]))),0)</f>
        <v>231119.74856804207</v>
      </c>
      <c r="EN103" s="26">
        <f t="array" ref="EN103">IFERROR(MAX(IF(tblSalaries[Region]=Analysis!EN$101,IF(tblSalaries[Work Hour per day on Excel]=Analysis!$C103,tblSalaries[Salary in USD]))),0)</f>
        <v>148102.22862117883</v>
      </c>
      <c r="EO103" s="26">
        <f t="array" ref="EO103">IFERROR(MAX(IF(tblSalaries[Region]=Analysis!EO$101,IF(tblSalaries[Work Hour per day on Excel]=Analysis!$C103,tblSalaries[Salary in USD]))),0)</f>
        <v>114335.9495092447</v>
      </c>
      <c r="EP103" s="26">
        <f t="array" ref="EP103">IFERROR(MAX(IF(tblSalaries[Region]=Analysis!EP$101,IF(tblSalaries[Work Hour per day on Excel]=Analysis!$C103,tblSalaries[Salary in USD]))),0)</f>
        <v>98000</v>
      </c>
      <c r="EQ103" s="26">
        <f t="array" ref="EQ103">IFERROR(MAX(IF(tblSalaries[Region]=Analysis!EQ$101,IF(tblSalaries[Work Hour per day on Excel]=Analysis!$C103,tblSalaries[Salary in USD]))),0)</f>
        <v>186983.12521814698</v>
      </c>
      <c r="ER103" s="26">
        <f t="array" ref="ER103">IFERROR(MAX(IF(tblSalaries[Region]=Analysis!ER$101,IF(tblSalaries[Work Hour per day on Excel]=Analysis!$C103,tblSalaries[Salary in USD]))),0)</f>
        <v>8725</v>
      </c>
      <c r="ES103" s="26">
        <f t="array" ref="ES103">IFERROR(MAX(IF(tblSalaries[Years of Experience]=Analysis!ES$101,IF(tblSalaries[Work Hour per day on Excel]=Analysis!$C103,tblSalaries[Salary in USD]))),0)</f>
        <v>122389.15876831629</v>
      </c>
      <c r="ET103" s="26">
        <f t="array" ref="ET103">IFERROR(MAX(IF(tblSalaries[Years of Experience]=Analysis!ET$101,IF(tblSalaries[Work Hour per day on Excel]=Analysis!$C103,tblSalaries[Salary in USD]))),0)</f>
        <v>260000</v>
      </c>
      <c r="EU103" s="26">
        <f t="array" ref="EU103">IFERROR(MAX(IF(tblSalaries[Years of Experience]=Analysis!EU$101,IF(tblSalaries[Work Hour per day on Excel]=Analysis!$C103,tblSalaries[Salary in USD]))),0)</f>
        <v>170000</v>
      </c>
      <c r="EV103" s="26">
        <f t="array" ref="EV103">IFERROR(MAX(IF(tblSalaries[Years of Experience]=Analysis!EV$101,IF(tblSalaries[Work Hour per day on Excel]=Analysis!$C103,tblSalaries[Salary in USD]))),0)</f>
        <v>300000</v>
      </c>
      <c r="EW103" s="26">
        <f t="array" ref="EW103">IFERROR(MAX(IF(tblSalaries[Years of Experience]=Analysis!EW$101,IF(tblSalaries[Work Hour per day on Excel]=Analysis!$C103,tblSalaries[Salary in USD]))),0)</f>
        <v>10684.750012465542</v>
      </c>
      <c r="EX103" s="26">
        <f t="array" ref="EX103">IFERROR(MIN(IF(tblSalaries[Work Hour per day on Excel]=Analysis!$C103,tblSalaries[Salary in USD])),0)</f>
        <v>2122.8177433598262</v>
      </c>
      <c r="EY103" s="26">
        <f t="array" ref="EY103">IFERROR(MIN(IF(tblSalaries[Job Type]=Analysis!EY$101,IF(tblSalaries[Work Hour per day on Excel]=Analysis!$C103,tblSalaries[Salary in USD]))),0)</f>
        <v>55166.239522354947</v>
      </c>
      <c r="EZ103" s="26">
        <f t="array" ref="EZ103">IFERROR(MIN(IF(tblSalaries[Job Type]=Analysis!EZ$101,IF(tblSalaries[Work Hour per day on Excel]=Analysis!$C103,tblSalaries[Salary in USD]))),0)</f>
        <v>4273.9000049862161</v>
      </c>
      <c r="FA103" s="26">
        <f t="array" ref="FA103">IFERROR(MIN(IF(tblSalaries[Job Type]=Analysis!FA$101,IF(tblSalaries[Work Hour per day on Excel]=Analysis!$C103,tblSalaries[Salary in USD]))),0)</f>
        <v>3000</v>
      </c>
      <c r="FB103" s="26">
        <f t="array" ref="FB103">IFERROR(MIN(IF(tblSalaries[Job Type]=Analysis!FB$101,IF(tblSalaries[Work Hour per day on Excel]=Analysis!$C103,tblSalaries[Salary in USD]))),0)</f>
        <v>4019</v>
      </c>
      <c r="FC103" s="26">
        <f t="array" ref="FC103">IFERROR(MIN(IF(tblSalaries[Job Type]=Analysis!FC$101,IF(tblSalaries[Work Hour per day on Excel]=Analysis!$C103,tblSalaries[Salary in USD]))),0)</f>
        <v>2671.1875031163854</v>
      </c>
      <c r="FD103" s="26">
        <f t="array" ref="FD103">IFERROR(MIN(IF(tblSalaries[Job Type]=Analysis!FD$101,IF(tblSalaries[Work Hour per day on Excel]=Analysis!$C103,tblSalaries[Salary in USD]))),0)</f>
        <v>2136.9500024931081</v>
      </c>
      <c r="FE103" s="26">
        <f t="array" ref="FE103">IFERROR(MIN(IF(tblSalaries[Job Type]=Analysis!FE$101,IF(tblSalaries[Work Hour per day on Excel]=Analysis!$C103,tblSalaries[Salary in USD]))),0)</f>
        <v>2122.8177433598262</v>
      </c>
      <c r="FF103" s="26">
        <f t="array" ref="FF103">IFERROR(MIN(IF(tblSalaries[Job Type]=Analysis!FF$101,IF(tblSalaries[Work Hour per day on Excel]=Analysis!$C103,tblSalaries[Salary in USD]))),0)</f>
        <v>2564.3400029917298</v>
      </c>
      <c r="FG103" s="26">
        <f t="array" ref="FG103">IFERROR(MIN(IF(tblSalaries[Job Type]=Analysis!FG$101,IF(tblSalaries[Work Hour per day on Excel]=Analysis!$C103,tblSalaries[Salary in USD]))),0)</f>
        <v>41712.231189497601</v>
      </c>
      <c r="FH103" s="26">
        <f t="array" ref="FH103">IFERROR(MIN(IF(tblSalaries[Job Type]=Analysis!FH$101,IF(tblSalaries[Work Hour per day on Excel]=Analysis!$C103,tblSalaries[Salary in USD]))),0)</f>
        <v>3561.5833374885137</v>
      </c>
      <c r="FI103" s="26">
        <f t="array" ref="FI103">IFERROR(MIN(IF(tblSalaries[Region]=Analysis!FI$101,IF(tblSalaries[Work Hour per day on Excel]=Analysis!$C103,tblSalaries[Salary in USD]))),0)</f>
        <v>20000</v>
      </c>
      <c r="FJ103" s="26">
        <f t="array" ref="FJ103">IFERROR(MIN(IF(tblSalaries[Region]=Analysis!FJ$101,IF(tblSalaries[Work Hour per day on Excel]=Analysis!$C103,tblSalaries[Salary in USD]))),0)</f>
        <v>12000</v>
      </c>
      <c r="FK103" s="26">
        <f t="array" ref="FK103">IFERROR(MIN(IF(tblSalaries[Region]=Analysis!FK$101,IF(tblSalaries[Work Hour per day on Excel]=Analysis!$C103,tblSalaries[Salary in USD]))),0)</f>
        <v>20000</v>
      </c>
      <c r="FL103" s="26">
        <f t="array" ref="FL103">IFERROR(MIN(IF(tblSalaries[Region]=Analysis!FL$101,IF(tblSalaries[Work Hour per day on Excel]=Analysis!$C103,tblSalaries[Salary in USD]))),0)</f>
        <v>15761.782720672842</v>
      </c>
      <c r="FM103" s="26">
        <f t="array" ref="FM103">IFERROR(MIN(IF(tblSalaries[Region]=Analysis!FM$101,IF(tblSalaries[Work Hour per day on Excel]=Analysis!$C103,tblSalaries[Salary in USD]))),0)</f>
        <v>11518.711713336908</v>
      </c>
      <c r="FN103" s="26">
        <f t="array" ref="FN103">IFERROR(MIN(IF(tblSalaries[Region]=Analysis!FN$101,IF(tblSalaries[Work Hour per day on Excel]=Analysis!$C103,tblSalaries[Salary in USD]))),0)</f>
        <v>4400</v>
      </c>
      <c r="FO103" s="26">
        <f t="array" ref="FO103">IFERROR(MIN(IF(tblSalaries[Region]=Analysis!FO$101,IF(tblSalaries[Work Hour per day on Excel]=Analysis!$C103,tblSalaries[Salary in USD]))),0)</f>
        <v>3000</v>
      </c>
      <c r="FP103" s="26">
        <f t="array" ref="FP103">IFERROR(MIN(IF(tblSalaries[Region]=Analysis!FP$101,IF(tblSalaries[Work Hour per day on Excel]=Analysis!$C103,tblSalaries[Salary in USD]))),0)</f>
        <v>2136.9500024931081</v>
      </c>
      <c r="FQ103" s="26">
        <f t="array" ref="FQ103">IFERROR(MIN(IF(tblSalaries[Region]=Analysis!FQ$101,IF(tblSalaries[Work Hour per day on Excel]=Analysis!$C103,tblSalaries[Salary in USD]))),0)</f>
        <v>2122.8177433598262</v>
      </c>
      <c r="FR103" s="26">
        <f t="array" ref="FR103">IFERROR(MIN(IF(tblSalaries[Years of Experience]=Analysis!FR$101,IF(tblSalaries[Work Hour per day on Excel]=Analysis!$C103,tblSalaries[Salary in USD]))),0)</f>
        <v>2122.8177433598262</v>
      </c>
      <c r="FS103" s="26">
        <f t="array" ref="FS103">IFERROR(MIN(IF(tblSalaries[Years of Experience]=Analysis!FS$101,IF(tblSalaries[Work Hour per day on Excel]=Analysis!$C103,tblSalaries[Salary in USD]))),0)</f>
        <v>2564.3400029917298</v>
      </c>
      <c r="FT103" s="26">
        <f t="array" ref="FT103">IFERROR(MIN(IF(tblSalaries[Years of Experience]=Analysis!FT$101,IF(tblSalaries[Work Hour per day on Excel]=Analysis!$C103,tblSalaries[Salary in USD]))),0)</f>
        <v>2400</v>
      </c>
      <c r="FU103" s="26">
        <f t="array" ref="FU103">IFERROR(MIN(IF(tblSalaries[Years of Experience]=Analysis!FU$101,IF(tblSalaries[Work Hour per day on Excel]=Analysis!$C103,tblSalaries[Salary in USD]))),0)</f>
        <v>6232.7708406048987</v>
      </c>
      <c r="FV103" s="26">
        <f t="array" ref="FV103">IFERROR(MIN(IF(tblSalaries[Years of Experience]=Analysis!FV$101,IF(tblSalaries[Work Hour per day on Excel]=Analysis!$C103,tblSalaries[Salary in USD]))),0)</f>
        <v>10684.750012465542</v>
      </c>
      <c r="FW103" s="26">
        <f t="array" ref="FW103">IFERROR(COUNT(IF(tblSalaries[Work Hour per day on Excel]=Analysis!$C103,tblSalaries[Salary in USD])),0)</f>
        <v>324</v>
      </c>
      <c r="FX103" s="26">
        <f t="array" ref="FX103">IFERROR(COUNT(IF(tblSalaries[Job Type]=Analysis!FX$101,IF(tblSalaries[Work Hour per day on Excel]=Analysis!$C103,tblSalaries[Salary in USD]))),0)</f>
        <v>9</v>
      </c>
      <c r="FY103" s="26">
        <f t="array" ref="FY103">IFERROR(COUNT(IF(tblSalaries[Job Type]=Analysis!FY$101,IF(tblSalaries[Work Hour per day on Excel]=Analysis!$C103,tblSalaries[Salary in USD]))),0)</f>
        <v>12</v>
      </c>
      <c r="FZ103" s="26">
        <f t="array" ref="FZ103">IFERROR(COUNT(IF(tblSalaries[Job Type]=Analysis!FZ$101,IF(tblSalaries[Work Hour per day on Excel]=Analysis!$C103,tblSalaries[Salary in USD]))),0)</f>
        <v>19</v>
      </c>
      <c r="GA103" s="26">
        <f t="array" ref="GA103">IFERROR(COUNT(IF(tblSalaries[Job Type]=Analysis!GA$101,IF(tblSalaries[Work Hour per day on Excel]=Analysis!$C103,tblSalaries[Salary in USD]))),0)</f>
        <v>8</v>
      </c>
      <c r="GB103" s="26">
        <f t="array" ref="GB103">IFERROR(COUNT(IF(tblSalaries[Job Type]=Analysis!GB$101,IF(tblSalaries[Work Hour per day on Excel]=Analysis!$C103,tblSalaries[Salary in USD]))),0)</f>
        <v>20</v>
      </c>
      <c r="GC103" s="26">
        <f t="array" ref="GC103">IFERROR(COUNT(IF(tblSalaries[Job Type]=Analysis!GC$101,IF(tblSalaries[Work Hour per day on Excel]=Analysis!$C103,tblSalaries[Salary in USD]))),0)</f>
        <v>101</v>
      </c>
      <c r="GD103" s="26">
        <f t="array" ref="GD103">IFERROR(COUNT(IF(tblSalaries[Job Type]=Analysis!GD$101,IF(tblSalaries[Work Hour per day on Excel]=Analysis!$C103,tblSalaries[Salary in USD]))),0)</f>
        <v>28</v>
      </c>
      <c r="GE103" s="26">
        <f t="array" ref="GE103">IFERROR(COUNT(IF(tblSalaries[Job Type]=Analysis!GE$101,IF(tblSalaries[Work Hour per day on Excel]=Analysis!$C103,tblSalaries[Salary in USD]))),0)</f>
        <v>115</v>
      </c>
      <c r="GF103" s="26">
        <f t="array" ref="GF103">IFERROR(COUNT(IF(tblSalaries[Job Type]=Analysis!GF$101,IF(tblSalaries[Work Hour per day on Excel]=Analysis!$C103,tblSalaries[Salary in USD]))),0)</f>
        <v>1</v>
      </c>
      <c r="GG103" s="26">
        <f t="array" ref="GG103">IFERROR(COUNT(IF(tblSalaries[Job Type]=Analysis!GG$101,IF(tblSalaries[Work Hour per day on Excel]=Analysis!$C103,tblSalaries[Salary in USD]))),0)</f>
        <v>11</v>
      </c>
      <c r="GH103" s="26">
        <f t="array" ref="GH103">IFERROR(COUNT(IF(tblSalaries[Region]=Analysis!GH$101,IF(tblSalaries[Work Hour per day on Excel]=Analysis!$C103,tblSalaries[Salary in USD]))),0)</f>
        <v>23</v>
      </c>
      <c r="GI103" s="26">
        <f t="array" ref="GI103">IFERROR(COUNT(IF(tblSalaries[Region]=Analysis!GI$101,IF(tblSalaries[Work Hour per day on Excel]=Analysis!$C103,tblSalaries[Salary in USD]))),0)</f>
        <v>86</v>
      </c>
      <c r="GJ103" s="26">
        <f t="array" ref="GJ103">IFERROR(COUNT(IF(tblSalaries[Region]=Analysis!GJ$101,IF(tblSalaries[Work Hour per day on Excel]=Analysis!$C103,tblSalaries[Salary in USD]))),0)</f>
        <v>5</v>
      </c>
      <c r="GK103" s="26">
        <f t="array" ref="GK103">IFERROR(COUNT(IF(tblSalaries[Region]=Analysis!GK$101,IF(tblSalaries[Work Hour per day on Excel]=Analysis!$C103,tblSalaries[Salary in USD]))),0)</f>
        <v>28</v>
      </c>
      <c r="GL103" s="26">
        <f t="array" ref="GL103">IFERROR(COUNT(IF(tblSalaries[Region]=Analysis!GL$101,IF(tblSalaries[Work Hour per day on Excel]=Analysis!$C103,tblSalaries[Salary in USD]))),0)</f>
        <v>27</v>
      </c>
      <c r="GM103" s="26">
        <f t="array" ref="GM103">IFERROR(COUNT(IF(tblSalaries[Region]=Analysis!GM$101,IF(tblSalaries[Work Hour per day on Excel]=Analysis!$C103,tblSalaries[Salary in USD]))),0)</f>
        <v>20</v>
      </c>
      <c r="GN103" s="26">
        <f t="array" ref="GN103">IFERROR(COUNT(IF(tblSalaries[Region]=Analysis!GN$101,IF(tblSalaries[Work Hour per day on Excel]=Analysis!$C103,tblSalaries[Salary in USD]))),0)</f>
        <v>11</v>
      </c>
      <c r="GO103" s="26">
        <f t="array" ref="GO103">IFERROR(COUNT(IF(tblSalaries[Region]=Analysis!GO$101,IF(tblSalaries[Work Hour per day on Excel]=Analysis!$C103,tblSalaries[Salary in USD]))),0)</f>
        <v>120</v>
      </c>
      <c r="GP103" s="26">
        <f t="array" ref="GP103">IFERROR(COUNT(IF(tblSalaries[Region]=Analysis!GP$101,IF(tblSalaries[Work Hour per day on Excel]=Analysis!$C103,tblSalaries[Salary in USD]))),0)</f>
        <v>4</v>
      </c>
      <c r="GQ103" s="26">
        <f t="array" ref="GQ103">IFERROR(COUNT(IF(tblSalaries[Years of Experience]=Analysis!GQ$101,IF(tblSalaries[Work Hour per day on Excel]=Analysis!$C103,tblSalaries[Salary in USD]))),0)</f>
        <v>124</v>
      </c>
      <c r="GR103" s="26">
        <f t="array" ref="GR103">IFERROR(COUNT(IF(tblSalaries[Years of Experience]=Analysis!GR$101,IF(tblSalaries[Work Hour per day on Excel]=Analysis!$C103,tblSalaries[Salary in USD]))),0)</f>
        <v>93</v>
      </c>
      <c r="GS103" s="26">
        <f t="array" ref="GS103">IFERROR(COUNT(IF(tblSalaries[Years of Experience]=Analysis!GS$101,IF(tblSalaries[Work Hour per day on Excel]=Analysis!$C103,tblSalaries[Salary in USD]))),0)</f>
        <v>82</v>
      </c>
      <c r="GT103" s="26">
        <f t="array" ref="GT103">IFERROR(COUNT(IF(tblSalaries[Years of Experience]=Analysis!GT$101,IF(tblSalaries[Work Hour per day on Excel]=Analysis!$C103,tblSalaries[Salary in USD]))),0)</f>
        <v>24</v>
      </c>
      <c r="GU103" s="26">
        <f t="array" ref="GU103">IFERROR(COUNT(IF(tblSalaries[Years of Experience]=Analysis!GU$101,IF(tblSalaries[Work Hour per day on Excel]=Analysis!$C103,tblSalaries[Salary in USD]))),0)</f>
        <v>1</v>
      </c>
    </row>
    <row r="104" spans="2:203" s="25" customFormat="1" ht="15" hidden="1" customHeight="1" x14ac:dyDescent="0.25">
      <c r="B104" s="25">
        <f t="shared" ref="B104:B116" si="153">B103+1</f>
        <v>3</v>
      </c>
      <c r="C104" s="25" t="s">
        <v>1441</v>
      </c>
      <c r="D104" s="26">
        <f t="shared" si="150"/>
        <v>46707.477863124288</v>
      </c>
      <c r="E104" s="26">
        <f t="shared" si="150"/>
        <v>82191.188973852593</v>
      </c>
      <c r="F104" s="26">
        <f t="shared" si="150"/>
        <v>61176.039560703153</v>
      </c>
      <c r="G104" s="26">
        <f t="shared" si="150"/>
        <v>63390.853019784561</v>
      </c>
      <c r="H104" s="26">
        <f t="shared" si="150"/>
        <v>51862.582253856512</v>
      </c>
      <c r="I104" s="26">
        <f t="shared" si="150"/>
        <v>39413.12287140228</v>
      </c>
      <c r="J104" s="26">
        <f t="shared" si="150"/>
        <v>44026.566421713876</v>
      </c>
      <c r="K104" s="26">
        <f t="shared" si="150"/>
        <v>48323.966108834989</v>
      </c>
      <c r="L104" s="26">
        <f t="shared" si="150"/>
        <v>44497.816481050722</v>
      </c>
      <c r="M104" s="26">
        <f t="shared" si="150"/>
        <v>31497.70277874732</v>
      </c>
      <c r="N104" s="26">
        <f t="shared" si="151"/>
        <v>20360.353993236295</v>
      </c>
      <c r="O104" s="26">
        <f t="shared" si="151"/>
        <v>92138.260501442186</v>
      </c>
      <c r="P104" s="26">
        <f t="shared" si="151"/>
        <v>71369.651898734184</v>
      </c>
      <c r="Q104" s="26">
        <f t="shared" si="151"/>
        <v>81591.782554610647</v>
      </c>
      <c r="R104" s="26">
        <f t="shared" si="151"/>
        <v>64090.816412750522</v>
      </c>
      <c r="S104" s="26">
        <f t="shared" si="151"/>
        <v>58549.789585502389</v>
      </c>
      <c r="T104" s="26">
        <f t="shared" si="151"/>
        <v>43399.211165112487</v>
      </c>
      <c r="U104" s="26">
        <f t="shared" si="151"/>
        <v>14512.583006971998</v>
      </c>
      <c r="V104" s="26">
        <f t="shared" si="151"/>
        <v>11735.075855983381</v>
      </c>
      <c r="W104" s="26">
        <f t="shared" si="151"/>
        <v>11827.4514978602</v>
      </c>
      <c r="X104" s="26">
        <f t="shared" si="152"/>
        <v>32302.634322606231</v>
      </c>
      <c r="Y104" s="26">
        <f t="shared" si="152"/>
        <v>48395.656472615425</v>
      </c>
      <c r="Z104" s="26">
        <f t="shared" si="152"/>
        <v>64491.681983512412</v>
      </c>
      <c r="AA104" s="26">
        <f t="shared" si="152"/>
        <v>73972.293838906204</v>
      </c>
      <c r="AB104" s="26">
        <f t="shared" si="152"/>
        <v>131458.39026478192</v>
      </c>
      <c r="CZ104" s="26">
        <f t="array" ref="CZ104">IFERROR(AVERAGE(IF(tblSalaries[Work Hour per day on Excel]=Analysis!$C104,tblSalaries[Salary in USD])),0)</f>
        <v>46707.477863124288</v>
      </c>
      <c r="DA104" s="26">
        <f t="array" ref="DA104">IFERROR(AVERAGE(IF(tblSalaries[Job Type]=Analysis!DA$101,IF(tblSalaries[Work Hour per day on Excel]=Analysis!$C104,tblSalaries[Salary in USD]))),0)</f>
        <v>82191.188973852593</v>
      </c>
      <c r="DB104" s="26">
        <f t="array" ref="DB104">IFERROR(AVERAGE(IF(tblSalaries[Job Type]=Analysis!DB$101,IF(tblSalaries[Work Hour per day on Excel]=Analysis!$C104,tblSalaries[Salary in USD]))),0)</f>
        <v>61176.039560703153</v>
      </c>
      <c r="DC104" s="26">
        <f t="array" ref="DC104">IFERROR(AVERAGE(IF(tblSalaries[Job Type]=Analysis!DC$101,IF(tblSalaries[Work Hour per day on Excel]=Analysis!$C104,tblSalaries[Salary in USD]))),0)</f>
        <v>63390.853019784561</v>
      </c>
      <c r="DD104" s="26">
        <f t="array" ref="DD104">IFERROR(AVERAGE(IF(tblSalaries[Job Type]=Analysis!DD$101,IF(tblSalaries[Work Hour per day on Excel]=Analysis!$C104,tblSalaries[Salary in USD]))),0)</f>
        <v>51862.582253856512</v>
      </c>
      <c r="DE104" s="26">
        <f t="array" ref="DE104">IFERROR(AVERAGE(IF(tblSalaries[Job Type]=Analysis!DE$101,IF(tblSalaries[Work Hour per day on Excel]=Analysis!$C104,tblSalaries[Salary in USD]))),0)</f>
        <v>39413.12287140228</v>
      </c>
      <c r="DF104" s="26">
        <f t="array" ref="DF104">IFERROR(AVERAGE(IF(tblSalaries[Job Type]=Analysis!DF$101,IF(tblSalaries[Work Hour per day on Excel]=Analysis!$C104,tblSalaries[Salary in USD]))),0)</f>
        <v>44026.566421713876</v>
      </c>
      <c r="DG104" s="26">
        <f t="array" ref="DG104">IFERROR(AVERAGE(IF(tblSalaries[Job Type]=Analysis!DG$101,IF(tblSalaries[Work Hour per day on Excel]=Analysis!$C104,tblSalaries[Salary in USD]))),0)</f>
        <v>48323.966108834989</v>
      </c>
      <c r="DH104" s="26">
        <f t="array" ref="DH104">IFERROR(AVERAGE(IF(tblSalaries[Job Type]=Analysis!DH$101,IF(tblSalaries[Work Hour per day on Excel]=Analysis!$C104,tblSalaries[Salary in USD]))),0)</f>
        <v>44497.816481050722</v>
      </c>
      <c r="DI104" s="26">
        <f t="array" ref="DI104">IFERROR(AVERAGE(IF(tblSalaries[Job Type]=Analysis!DI$101,IF(tblSalaries[Work Hour per day on Excel]=Analysis!$C104,tblSalaries[Salary in USD]))),0)</f>
        <v>31497.70277874732</v>
      </c>
      <c r="DJ104" s="26">
        <f t="array" ref="DJ104">IFERROR(AVERAGE(IF(tblSalaries[Job Type]=Analysis!DJ$101,IF(tblSalaries[Work Hour per day on Excel]=Analysis!$C104,tblSalaries[Salary in USD]))),0)</f>
        <v>20360.353993236295</v>
      </c>
      <c r="DK104" s="26">
        <f t="array" ref="DK104">IFERROR(AVERAGE(IF(tblSalaries[Region]=Analysis!DK$101,IF(tblSalaries[Work Hour per day on Excel]=Analysis!$C104,tblSalaries[Salary in USD]))),0)</f>
        <v>92138.260501442186</v>
      </c>
      <c r="DL104" s="26">
        <f t="array" ref="DL104">IFERROR(AVERAGE(IF(tblSalaries[Region]=Analysis!DL$101,IF(tblSalaries[Work Hour per day on Excel]=Analysis!$C104,tblSalaries[Salary in USD]))),0)</f>
        <v>71369.651898734184</v>
      </c>
      <c r="DM104" s="26">
        <f t="array" ref="DM104">IFERROR(AVERAGE(IF(tblSalaries[Region]=Analysis!DM$101,IF(tblSalaries[Work Hour per day on Excel]=Analysis!$C104,tblSalaries[Salary in USD]))),0)</f>
        <v>81591.782554610647</v>
      </c>
      <c r="DN104" s="26">
        <f t="array" ref="DN104">IFERROR(AVERAGE(IF(tblSalaries[Region]=Analysis!DN$101,IF(tblSalaries[Work Hour per day on Excel]=Analysis!$C104,tblSalaries[Salary in USD]))),0)</f>
        <v>64090.816412750522</v>
      </c>
      <c r="DO104" s="26">
        <f t="array" ref="DO104">IFERROR(AVERAGE(IF(tblSalaries[Region]=Analysis!DO$101,IF(tblSalaries[Work Hour per day on Excel]=Analysis!$C104,tblSalaries[Salary in USD]))),0)</f>
        <v>58549.789585502389</v>
      </c>
      <c r="DP104" s="26">
        <f t="array" ref="DP104">IFERROR(AVERAGE(IF(tblSalaries[Region]=Analysis!DP$101,IF(tblSalaries[Work Hour per day on Excel]=Analysis!$C104,tblSalaries[Salary in USD]))),0)</f>
        <v>43399.211165112487</v>
      </c>
      <c r="DQ104" s="26">
        <f t="array" ref="DQ104">IFERROR(AVERAGE(IF(tblSalaries[Region]=Analysis!DQ$101,IF(tblSalaries[Work Hour per day on Excel]=Analysis!$C104,tblSalaries[Salary in USD]))),0)</f>
        <v>14512.583006971998</v>
      </c>
      <c r="DR104" s="26">
        <f t="array" ref="DR104">IFERROR(AVERAGE(IF(tblSalaries[Region]=Analysis!DR$101,IF(tblSalaries[Work Hour per day on Excel]=Analysis!$C104,tblSalaries[Salary in USD]))),0)</f>
        <v>11735.075855983381</v>
      </c>
      <c r="DS104" s="26">
        <f t="array" ref="DS104">IFERROR(AVERAGE(IF(tblSalaries[Region]=Analysis!DS$101,IF(tblSalaries[Work Hour per day on Excel]=Analysis!$C104,tblSalaries[Salary in USD]))),0)</f>
        <v>11827.4514978602</v>
      </c>
      <c r="DT104" s="26">
        <f t="array" ref="DT104">IFERROR(AVERAGE(IF(tblSalaries[Years of Experience]=Analysis!DT$101,IF(tblSalaries[Work Hour per day on Excel]=Analysis!$C104,tblSalaries[Salary in USD]))),0)</f>
        <v>32302.634322606231</v>
      </c>
      <c r="DU104" s="26">
        <f t="array" ref="DU104">IFERROR(AVERAGE(IF(tblSalaries[Years of Experience]=Analysis!DU$101,IF(tblSalaries[Work Hour per day on Excel]=Analysis!$C104,tblSalaries[Salary in USD]))),0)</f>
        <v>48395.656472615425</v>
      </c>
      <c r="DV104" s="26">
        <f t="array" ref="DV104">IFERROR(AVERAGE(IF(tblSalaries[Years of Experience]=Analysis!DV$101,IF(tblSalaries[Work Hour per day on Excel]=Analysis!$C104,tblSalaries[Salary in USD]))),0)</f>
        <v>64491.681983512412</v>
      </c>
      <c r="DW104" s="26">
        <f t="array" ref="DW104">IFERROR(AVERAGE(IF(tblSalaries[Years of Experience]=Analysis!DW$101,IF(tblSalaries[Work Hour per day on Excel]=Analysis!$C104,tblSalaries[Salary in USD]))),0)</f>
        <v>73972.293838906204</v>
      </c>
      <c r="DX104" s="26">
        <f t="array" ref="DX104">IFERROR(AVERAGE(IF(tblSalaries[Years of Experience]=Analysis!DX$101,IF(tblSalaries[Work Hour per day on Excel]=Analysis!$C104,tblSalaries[Salary in USD]))),0)</f>
        <v>131458.39026478192</v>
      </c>
      <c r="DY104" s="26">
        <f t="array" ref="DY104">IFERROR(MAX(IF(tblSalaries[Work Hour per day on Excel]=Analysis!$C104,tblSalaries[Salary in USD])),0)</f>
        <v>245840.3807575817</v>
      </c>
      <c r="DZ104" s="26">
        <f t="array" ref="DZ104">IFERROR(MAX(IF(tblSalaries[Job Type]=Analysis!DZ$101,IF(tblSalaries[Work Hour per day on Excel]=Analysis!$C104,tblSalaries[Salary in USD]))),0)</f>
        <v>225000</v>
      </c>
      <c r="EA104" s="26">
        <f t="array" ref="EA104">IFERROR(MAX(IF(tblSalaries[Job Type]=Analysis!EA$101,IF(tblSalaries[Work Hour per day on Excel]=Analysis!$C104,tblSalaries[Salary in USD]))),0)</f>
        <v>228671.89901848941</v>
      </c>
      <c r="EB104" s="26">
        <f t="array" ref="EB104">IFERROR(MAX(IF(tblSalaries[Job Type]=Analysis!EB$101,IF(tblSalaries[Work Hour per day on Excel]=Analysis!$C104,tblSalaries[Salary in USD]))),0)</f>
        <v>126094.26176538273</v>
      </c>
      <c r="EC104" s="26">
        <f t="array" ref="EC104">IFERROR(MAX(IF(tblSalaries[Job Type]=Analysis!EC$101,IF(tblSalaries[Work Hour per day on Excel]=Analysis!$C104,tblSalaries[Salary in USD]))),0)</f>
        <v>108110.42357867939</v>
      </c>
      <c r="ED104" s="26">
        <f t="array" ref="ED104">IFERROR(MAX(IF(tblSalaries[Job Type]=Analysis!ED$101,IF(tblSalaries[Work Hour per day on Excel]=Analysis!$C104,tblSalaries[Salary in USD]))),0)</f>
        <v>95000</v>
      </c>
      <c r="EE104" s="26">
        <f t="array" ref="EE104">IFERROR(MAX(IF(tblSalaries[Job Type]=Analysis!EE$101,IF(tblSalaries[Work Hour per day on Excel]=Analysis!$C104,tblSalaries[Salary in USD]))),0)</f>
        <v>245840.3807575817</v>
      </c>
      <c r="EF104" s="26">
        <f t="array" ref="EF104">IFERROR(MAX(IF(tblSalaries[Job Type]=Analysis!EF$101,IF(tblSalaries[Work Hour per day on Excel]=Analysis!$C104,tblSalaries[Salary in USD]))),0)</f>
        <v>177600</v>
      </c>
      <c r="EG104" s="26">
        <f t="array" ref="EG104">IFERROR(MAX(IF(tblSalaries[Job Type]=Analysis!EG$101,IF(tblSalaries[Work Hour per day on Excel]=Analysis!$C104,tblSalaries[Salary in USD]))),0)</f>
        <v>203981.93128052715</v>
      </c>
      <c r="EH104" s="26">
        <f t="array" ref="EH104">IFERROR(MAX(IF(tblSalaries[Job Type]=Analysis!EH$101,IF(tblSalaries[Work Hour per day on Excel]=Analysis!$C104,tblSalaries[Salary in USD]))),0)</f>
        <v>87000</v>
      </c>
      <c r="EI104" s="26">
        <f t="array" ref="EI104">IFERROR(MAX(IF(tblSalaries[Job Type]=Analysis!EI$101,IF(tblSalaries[Work Hour per day on Excel]=Analysis!$C104,tblSalaries[Salary in USD]))),0)</f>
        <v>85000</v>
      </c>
      <c r="EJ104" s="26">
        <f t="array" ref="EJ104">IFERROR(MAX(IF(tblSalaries[Region]=Analysis!EJ$101,IF(tblSalaries[Work Hour per day on Excel]=Analysis!$C104,tblSalaries[Salary in USD]))),0)</f>
        <v>203981.93128052715</v>
      </c>
      <c r="EK104" s="26">
        <f t="array" ref="EK104">IFERROR(MAX(IF(tblSalaries[Region]=Analysis!EK$101,IF(tblSalaries[Work Hour per day on Excel]=Analysis!$C104,tblSalaries[Salary in USD]))),0)</f>
        <v>225000</v>
      </c>
      <c r="EL104" s="26">
        <f t="array" ref="EL104">IFERROR(MAX(IF(tblSalaries[Region]=Analysis!EL$101,IF(tblSalaries[Work Hour per day on Excel]=Analysis!$C104,tblSalaries[Salary in USD]))),0)</f>
        <v>245840.3807575817</v>
      </c>
      <c r="EM104" s="26">
        <f t="array" ref="EM104">IFERROR(MAX(IF(tblSalaries[Region]=Analysis!EM$101,IF(tblSalaries[Work Hour per day on Excel]=Analysis!$C104,tblSalaries[Salary in USD]))),0)</f>
        <v>126094.26176538273</v>
      </c>
      <c r="EN104" s="26">
        <f t="array" ref="EN104">IFERROR(MAX(IF(tblSalaries[Region]=Analysis!EN$101,IF(tblSalaries[Work Hour per day on Excel]=Analysis!$C104,tblSalaries[Salary in USD]))),0)</f>
        <v>228671.89901848941</v>
      </c>
      <c r="EO104" s="26">
        <f t="array" ref="EO104">IFERROR(MAX(IF(tblSalaries[Region]=Analysis!EO$101,IF(tblSalaries[Work Hour per day on Excel]=Analysis!$C104,tblSalaries[Salary in USD]))),0)</f>
        <v>177600</v>
      </c>
      <c r="EP104" s="26">
        <f t="array" ref="EP104">IFERROR(MAX(IF(tblSalaries[Region]=Analysis!EP$101,IF(tblSalaries[Work Hour per day on Excel]=Analysis!$C104,tblSalaries[Salary in USD]))),0)</f>
        <v>60000</v>
      </c>
      <c r="EQ104" s="26">
        <f t="array" ref="EQ104">IFERROR(MAX(IF(tblSalaries[Region]=Analysis!EQ$101,IF(tblSalaries[Work Hour per day on Excel]=Analysis!$C104,tblSalaries[Salary in USD]))),0)</f>
        <v>71231.666749770273</v>
      </c>
      <c r="ER104" s="26">
        <f t="array" ref="ER104">IFERROR(MAX(IF(tblSalaries[Region]=Analysis!ER$101,IF(tblSalaries[Work Hour per day on Excel]=Analysis!$C104,tblSalaries[Salary in USD]))),0)</f>
        <v>40000</v>
      </c>
      <c r="ES104" s="26">
        <f t="array" ref="ES104">IFERROR(MAX(IF(tblSalaries[Years of Experience]=Analysis!ES$101,IF(tblSalaries[Work Hour per day on Excel]=Analysis!$C104,tblSalaries[Salary in USD]))),0)</f>
        <v>160000</v>
      </c>
      <c r="ET104" s="26">
        <f t="array" ref="ET104">IFERROR(MAX(IF(tblSalaries[Years of Experience]=Analysis!ET$101,IF(tblSalaries[Work Hour per day on Excel]=Analysis!$C104,tblSalaries[Salary in USD]))),0)</f>
        <v>177600</v>
      </c>
      <c r="EU104" s="26">
        <f t="array" ref="EU104">IFERROR(MAX(IF(tblSalaries[Years of Experience]=Analysis!EU$101,IF(tblSalaries[Work Hour per day on Excel]=Analysis!$C104,tblSalaries[Salary in USD]))),0)</f>
        <v>228671.89901848941</v>
      </c>
      <c r="EV104" s="26">
        <f t="array" ref="EV104">IFERROR(MAX(IF(tblSalaries[Years of Experience]=Analysis!EV$101,IF(tblSalaries[Work Hour per day on Excel]=Analysis!$C104,tblSalaries[Salary in USD]))),0)</f>
        <v>150000</v>
      </c>
      <c r="EW104" s="26">
        <f t="array" ref="EW104">IFERROR(MAX(IF(tblSalaries[Years of Experience]=Analysis!EW$101,IF(tblSalaries[Work Hour per day on Excel]=Analysis!$C104,tblSalaries[Salary in USD]))),0)</f>
        <v>245840.3807575817</v>
      </c>
      <c r="EX104" s="26">
        <f t="array" ref="EX104">IFERROR(MIN(IF(tblSalaries[Work Hour per day on Excel]=Analysis!$C104,tblSalaries[Salary in USD])),0)</f>
        <v>1783.166904422254</v>
      </c>
      <c r="EY104" s="26">
        <f t="array" ref="EY104">IFERROR(MIN(IF(tblSalaries[Job Type]=Analysis!EY$101,IF(tblSalaries[Work Hour per day on Excel]=Analysis!$C104,tblSalaries[Salary in USD]))),0)</f>
        <v>2671.1875031163854</v>
      </c>
      <c r="EZ104" s="26">
        <f t="array" ref="EZ104">IFERROR(MIN(IF(tblSalaries[Job Type]=Analysis!EZ$101,IF(tblSalaries[Work Hour per day on Excel]=Analysis!$C104,tblSalaries[Salary in USD]))),0)</f>
        <v>2564.3400029917298</v>
      </c>
      <c r="FA104" s="26">
        <f t="array" ref="FA104">IFERROR(MIN(IF(tblSalaries[Job Type]=Analysis!FA$101,IF(tblSalaries[Work Hour per day on Excel]=Analysis!$C104,tblSalaries[Salary in USD]))),0)</f>
        <v>7123.1666749770275</v>
      </c>
      <c r="FB104" s="26">
        <f t="array" ref="FB104">IFERROR(MIN(IF(tblSalaries[Job Type]=Analysis!FB$101,IF(tblSalaries[Work Hour per day on Excel]=Analysis!$C104,tblSalaries[Salary in USD]))),0)</f>
        <v>18499.860539512854</v>
      </c>
      <c r="FC104" s="26">
        <f t="array" ref="FC104">IFERROR(MIN(IF(tblSalaries[Job Type]=Analysis!FC$101,IF(tblSalaries[Work Hour per day on Excel]=Analysis!$C104,tblSalaries[Salary in USD]))),0)</f>
        <v>3917.7416712373652</v>
      </c>
      <c r="FD104" s="26">
        <f t="array" ref="FD104">IFERROR(MIN(IF(tblSalaries[Job Type]=Analysis!FD$101,IF(tblSalaries[Work Hour per day on Excel]=Analysis!$C104,tblSalaries[Salary in USD]))),0)</f>
        <v>2564.3400029917298</v>
      </c>
      <c r="FE104" s="26">
        <f t="array" ref="FE104">IFERROR(MIN(IF(tblSalaries[Job Type]=Analysis!FE$101,IF(tblSalaries[Work Hour per day on Excel]=Analysis!$C104,tblSalaries[Salary in USD]))),0)</f>
        <v>1783.166904422254</v>
      </c>
      <c r="FF104" s="26">
        <f t="array" ref="FF104">IFERROR(MIN(IF(tblSalaries[Job Type]=Analysis!FF$101,IF(tblSalaries[Work Hour per day on Excel]=Analysis!$C104,tblSalaries[Salary in USD]))),0)</f>
        <v>1805.7739622442759</v>
      </c>
      <c r="FG104" s="26">
        <f t="array" ref="FG104">IFERROR(MIN(IF(tblSalaries[Job Type]=Analysis!FG$101,IF(tblSalaries[Work Hour per day on Excel]=Analysis!$C104,tblSalaries[Salary in USD]))),0)</f>
        <v>2493.1083362419595</v>
      </c>
      <c r="FH104" s="26">
        <f t="array" ref="FH104">IFERROR(MIN(IF(tblSalaries[Job Type]=Analysis!FH$101,IF(tblSalaries[Work Hour per day on Excel]=Analysis!$C104,tblSalaries[Salary in USD]))),0)</f>
        <v>2953.8461538461538</v>
      </c>
      <c r="FI104" s="26">
        <f t="array" ref="FI104">IFERROR(MIN(IF(tblSalaries[Region]=Analysis!FI$101,IF(tblSalaries[Work Hour per day on Excel]=Analysis!$C104,tblSalaries[Salary in USD]))),0)</f>
        <v>22438.012440857987</v>
      </c>
      <c r="FJ104" s="26">
        <f t="array" ref="FJ104">IFERROR(MIN(IF(tblSalaries[Region]=Analysis!FJ$101,IF(tblSalaries[Work Hour per day on Excel]=Analysis!$C104,tblSalaries[Salary in USD]))),0)</f>
        <v>10000</v>
      </c>
      <c r="FK104" s="26">
        <f t="array" ref="FK104">IFERROR(MIN(IF(tblSalaries[Region]=Analysis!FK$101,IF(tblSalaries[Work Hour per day on Excel]=Analysis!$C104,tblSalaries[Salary in USD]))),0)</f>
        <v>49168.076151516347</v>
      </c>
      <c r="FL104" s="26">
        <f t="array" ref="FL104">IFERROR(MIN(IF(tblSalaries[Region]=Analysis!FL$101,IF(tblSalaries[Work Hour per day on Excel]=Analysis!$C104,tblSalaries[Salary in USD]))),0)</f>
        <v>19000</v>
      </c>
      <c r="FM104" s="26">
        <f t="array" ref="FM104">IFERROR(MIN(IF(tblSalaries[Region]=Analysis!FM$101,IF(tblSalaries[Work Hour per day on Excel]=Analysis!$C104,tblSalaries[Salary in USD]))),0)</f>
        <v>11000</v>
      </c>
      <c r="FN104" s="26">
        <f t="array" ref="FN104">IFERROR(MIN(IF(tblSalaries[Region]=Analysis!FN$101,IF(tblSalaries[Work Hour per day on Excel]=Analysis!$C104,tblSalaries[Salary in USD]))),0)</f>
        <v>2953.8461538461538</v>
      </c>
      <c r="FO104" s="26">
        <f t="array" ref="FO104">IFERROR(MIN(IF(tblSalaries[Region]=Analysis!FO$101,IF(tblSalaries[Work Hour per day on Excel]=Analysis!$C104,tblSalaries[Salary in USD]))),0)</f>
        <v>1805.7739622442759</v>
      </c>
      <c r="FP104" s="26">
        <f t="array" ref="FP104">IFERROR(MIN(IF(tblSalaries[Region]=Analysis!FP$101,IF(tblSalaries[Work Hour per day on Excel]=Analysis!$C104,tblSalaries[Salary in USD]))),0)</f>
        <v>2136.9500024931081</v>
      </c>
      <c r="FQ104" s="26">
        <f t="array" ref="FQ104">IFERROR(MIN(IF(tblSalaries[Region]=Analysis!FQ$101,IF(tblSalaries[Work Hour per day on Excel]=Analysis!$C104,tblSalaries[Salary in USD]))),0)</f>
        <v>1783.166904422254</v>
      </c>
      <c r="FR104" s="26">
        <f t="array" ref="FR104">IFERROR(MIN(IF(tblSalaries[Years of Experience]=Analysis!FR$101,IF(tblSalaries[Work Hour per day on Excel]=Analysis!$C104,tblSalaries[Salary in USD]))),0)</f>
        <v>1805.7739622442759</v>
      </c>
      <c r="FS104" s="26">
        <f t="array" ref="FS104">IFERROR(MIN(IF(tblSalaries[Years of Experience]=Analysis!FS$101,IF(tblSalaries[Work Hour per day on Excel]=Analysis!$C104,tblSalaries[Salary in USD]))),0)</f>
        <v>1783.166904422254</v>
      </c>
      <c r="FT104" s="26">
        <f t="array" ref="FT104">IFERROR(MIN(IF(tblSalaries[Years of Experience]=Analysis!FT$101,IF(tblSalaries[Work Hour per day on Excel]=Analysis!$C104,tblSalaries[Salary in USD]))),0)</f>
        <v>3561.5833374885137</v>
      </c>
      <c r="FU104" s="26">
        <f t="array" ref="FU104">IFERROR(MIN(IF(tblSalaries[Years of Experience]=Analysis!FU$101,IF(tblSalaries[Work Hour per day on Excel]=Analysis!$C104,tblSalaries[Salary in USD]))),0)</f>
        <v>7000</v>
      </c>
      <c r="FV104" s="26">
        <f t="array" ref="FV104">IFERROR(MIN(IF(tblSalaries[Years of Experience]=Analysis!FV$101,IF(tblSalaries[Work Hour per day on Excel]=Analysis!$C104,tblSalaries[Salary in USD]))),0)</f>
        <v>39404.456801682099</v>
      </c>
      <c r="FW104" s="26">
        <f t="array" ref="FW104">IFERROR(COUNT(IF(tblSalaries[Work Hour per day on Excel]=Analysis!$C104,tblSalaries[Salary in USD])),0)</f>
        <v>545</v>
      </c>
      <c r="FX104" s="26">
        <f t="array" ref="FX104">IFERROR(COUNT(IF(tblSalaries[Job Type]=Analysis!FX$101,IF(tblSalaries[Work Hour per day on Excel]=Analysis!$C104,tblSalaries[Salary in USD]))),0)</f>
        <v>23</v>
      </c>
      <c r="FY104" s="26">
        <f t="array" ref="FY104">IFERROR(COUNT(IF(tblSalaries[Job Type]=Analysis!FY$101,IF(tblSalaries[Work Hour per day on Excel]=Analysis!$C104,tblSalaries[Salary in USD]))),0)</f>
        <v>31</v>
      </c>
      <c r="FZ104" s="26">
        <f t="array" ref="FZ104">IFERROR(COUNT(IF(tblSalaries[Job Type]=Analysis!FZ$101,IF(tblSalaries[Work Hour per day on Excel]=Analysis!$C104,tblSalaries[Salary in USD]))),0)</f>
        <v>17</v>
      </c>
      <c r="GA104" s="26">
        <f t="array" ref="GA104">IFERROR(COUNT(IF(tblSalaries[Job Type]=Analysis!GA$101,IF(tblSalaries[Work Hour per day on Excel]=Analysis!$C104,tblSalaries[Salary in USD]))),0)</f>
        <v>11</v>
      </c>
      <c r="GB104" s="26">
        <f t="array" ref="GB104">IFERROR(COUNT(IF(tblSalaries[Job Type]=Analysis!GB$101,IF(tblSalaries[Work Hour per day on Excel]=Analysis!$C104,tblSalaries[Salary in USD]))),0)</f>
        <v>17</v>
      </c>
      <c r="GC104" s="26">
        <f t="array" ref="GC104">IFERROR(COUNT(IF(tblSalaries[Job Type]=Analysis!GC$101,IF(tblSalaries[Work Hour per day on Excel]=Analysis!$C104,tblSalaries[Salary in USD]))),0)</f>
        <v>234</v>
      </c>
      <c r="GD104" s="26">
        <f t="array" ref="GD104">IFERROR(COUNT(IF(tblSalaries[Job Type]=Analysis!GD$101,IF(tblSalaries[Work Hour per day on Excel]=Analysis!$C104,tblSalaries[Salary in USD]))),0)</f>
        <v>42</v>
      </c>
      <c r="GE104" s="26">
        <f t="array" ref="GE104">IFERROR(COUNT(IF(tblSalaries[Job Type]=Analysis!GE$101,IF(tblSalaries[Work Hour per day on Excel]=Analysis!$C104,tblSalaries[Salary in USD]))),0)</f>
        <v>146</v>
      </c>
      <c r="GF104" s="26">
        <f t="array" ref="GF104">IFERROR(COUNT(IF(tblSalaries[Job Type]=Analysis!GF$101,IF(tblSalaries[Work Hour per day on Excel]=Analysis!$C104,tblSalaries[Salary in USD]))),0)</f>
        <v>3</v>
      </c>
      <c r="GG104" s="26">
        <f t="array" ref="GG104">IFERROR(COUNT(IF(tblSalaries[Job Type]=Analysis!GG$101,IF(tblSalaries[Work Hour per day on Excel]=Analysis!$C104,tblSalaries[Salary in USD]))),0)</f>
        <v>21</v>
      </c>
      <c r="GH104" s="26">
        <f t="array" ref="GH104">IFERROR(COUNT(IF(tblSalaries[Region]=Analysis!GH$101,IF(tblSalaries[Work Hour per day on Excel]=Analysis!$C104,tblSalaries[Salary in USD]))),0)</f>
        <v>31</v>
      </c>
      <c r="GI104" s="26">
        <f t="array" ref="GI104">IFERROR(COUNT(IF(tblSalaries[Region]=Analysis!GI$101,IF(tblSalaries[Work Hour per day on Excel]=Analysis!$C104,tblSalaries[Salary in USD]))),0)</f>
        <v>158</v>
      </c>
      <c r="GJ104" s="26">
        <f t="array" ref="GJ104">IFERROR(COUNT(IF(tblSalaries[Region]=Analysis!GJ$101,IF(tblSalaries[Work Hour per day on Excel]=Analysis!$C104,tblSalaries[Salary in USD]))),0)</f>
        <v>11</v>
      </c>
      <c r="GK104" s="26">
        <f t="array" ref="GK104">IFERROR(COUNT(IF(tblSalaries[Region]=Analysis!GK$101,IF(tblSalaries[Work Hour per day on Excel]=Analysis!$C104,tblSalaries[Salary in USD]))),0)</f>
        <v>51</v>
      </c>
      <c r="GL104" s="26">
        <f t="array" ref="GL104">IFERROR(COUNT(IF(tblSalaries[Region]=Analysis!GL$101,IF(tblSalaries[Work Hour per day on Excel]=Analysis!$C104,tblSalaries[Salary in USD]))),0)</f>
        <v>42</v>
      </c>
      <c r="GM104" s="26">
        <f t="array" ref="GM104">IFERROR(COUNT(IF(tblSalaries[Region]=Analysis!GM$101,IF(tblSalaries[Work Hour per day on Excel]=Analysis!$C104,tblSalaries[Salary in USD]))),0)</f>
        <v>53</v>
      </c>
      <c r="GN104" s="26">
        <f t="array" ref="GN104">IFERROR(COUNT(IF(tblSalaries[Region]=Analysis!GN$101,IF(tblSalaries[Work Hour per day on Excel]=Analysis!$C104,tblSalaries[Salary in USD]))),0)</f>
        <v>22</v>
      </c>
      <c r="GO104" s="26">
        <f t="array" ref="GO104">IFERROR(COUNT(IF(tblSalaries[Region]=Analysis!GO$101,IF(tblSalaries[Work Hour per day on Excel]=Analysis!$C104,tblSalaries[Salary in USD]))),0)</f>
        <v>165</v>
      </c>
      <c r="GP104" s="26">
        <f t="array" ref="GP104">IFERROR(COUNT(IF(tblSalaries[Region]=Analysis!GP$101,IF(tblSalaries[Work Hour per day on Excel]=Analysis!$C104,tblSalaries[Salary in USD]))),0)</f>
        <v>12</v>
      </c>
      <c r="GQ104" s="26">
        <f t="array" ref="GQ104">IFERROR(COUNT(IF(tblSalaries[Years of Experience]=Analysis!GQ$101,IF(tblSalaries[Work Hour per day on Excel]=Analysis!$C104,tblSalaries[Salary in USD]))),0)</f>
        <v>236</v>
      </c>
      <c r="GR104" s="26">
        <f t="array" ref="GR104">IFERROR(COUNT(IF(tblSalaries[Years of Experience]=Analysis!GR$101,IF(tblSalaries[Work Hour per day on Excel]=Analysis!$C104,tblSalaries[Salary in USD]))),0)</f>
        <v>158</v>
      </c>
      <c r="GS104" s="26">
        <f t="array" ref="GS104">IFERROR(COUNT(IF(tblSalaries[Years of Experience]=Analysis!GS$101,IF(tblSalaries[Work Hour per day on Excel]=Analysis!$C104,tblSalaries[Salary in USD]))),0)</f>
        <v>122</v>
      </c>
      <c r="GT104" s="26">
        <f t="array" ref="GT104">IFERROR(COUNT(IF(tblSalaries[Years of Experience]=Analysis!GT$101,IF(tblSalaries[Work Hour per day on Excel]=Analysis!$C104,tblSalaries[Salary in USD]))),0)</f>
        <v>26</v>
      </c>
      <c r="GU104" s="26">
        <f t="array" ref="GU104">IFERROR(COUNT(IF(tblSalaries[Years of Experience]=Analysis!GU$101,IF(tblSalaries[Work Hour per day on Excel]=Analysis!$C104,tblSalaries[Salary in USD]))),0)</f>
        <v>3</v>
      </c>
    </row>
    <row r="105" spans="2:203" s="25" customFormat="1" ht="15" hidden="1" customHeight="1" x14ac:dyDescent="0.25">
      <c r="B105" s="25">
        <f t="shared" si="153"/>
        <v>4</v>
      </c>
      <c r="C105" s="25" t="s">
        <v>1440</v>
      </c>
      <c r="D105" s="26">
        <f t="shared" si="150"/>
        <v>37462.949926626046</v>
      </c>
      <c r="E105" s="26">
        <f t="shared" si="150"/>
        <v>82850.072837640459</v>
      </c>
      <c r="F105" s="26">
        <f t="shared" si="150"/>
        <v>51769.661021467226</v>
      </c>
      <c r="G105" s="26">
        <f t="shared" si="150"/>
        <v>59133.368607276352</v>
      </c>
      <c r="H105" s="26">
        <f t="shared" si="150"/>
        <v>45389.420754197869</v>
      </c>
      <c r="I105" s="26">
        <f t="shared" si="150"/>
        <v>30311.583337488515</v>
      </c>
      <c r="J105" s="26">
        <f t="shared" si="150"/>
        <v>41277.369425399294</v>
      </c>
      <c r="K105" s="26">
        <f t="shared" si="150"/>
        <v>42997.280174175874</v>
      </c>
      <c r="L105" s="26">
        <f t="shared" si="150"/>
        <v>30285.389626617656</v>
      </c>
      <c r="M105" s="26">
        <f t="shared" si="150"/>
        <v>21000</v>
      </c>
      <c r="N105" s="26">
        <f t="shared" si="151"/>
        <v>10588.23907786927</v>
      </c>
      <c r="O105" s="26">
        <f t="shared" si="151"/>
        <v>86349.260273434076</v>
      </c>
      <c r="P105" s="26">
        <f t="shared" si="151"/>
        <v>70533.231884057968</v>
      </c>
      <c r="Q105" s="26">
        <f t="shared" si="151"/>
        <v>67032.477153233951</v>
      </c>
      <c r="R105" s="26">
        <f t="shared" si="151"/>
        <v>49960.599708812326</v>
      </c>
      <c r="S105" s="26">
        <f t="shared" si="151"/>
        <v>58660.128753548415</v>
      </c>
      <c r="T105" s="26">
        <f t="shared" si="151"/>
        <v>35035.20969366264</v>
      </c>
      <c r="U105" s="26">
        <f t="shared" si="151"/>
        <v>39996.138669181193</v>
      </c>
      <c r="V105" s="26">
        <f t="shared" si="151"/>
        <v>12970.825816408293</v>
      </c>
      <c r="W105" s="26">
        <f t="shared" si="151"/>
        <v>12830.615107669317</v>
      </c>
      <c r="X105" s="26">
        <f t="shared" si="152"/>
        <v>29419.798592045965</v>
      </c>
      <c r="Y105" s="26">
        <f t="shared" si="152"/>
        <v>35593.859235289368</v>
      </c>
      <c r="Z105" s="26">
        <f t="shared" si="152"/>
        <v>54527.71755519788</v>
      </c>
      <c r="AA105" s="26">
        <f t="shared" si="152"/>
        <v>72053.829567852168</v>
      </c>
      <c r="AB105" s="26">
        <f t="shared" si="152"/>
        <v>82447.920699487484</v>
      </c>
      <c r="CZ105" s="26">
        <f t="array" ref="CZ105">IFERROR(AVERAGE(IF(tblSalaries[Work Hour per day on Excel]=Analysis!$C105,tblSalaries[Salary in USD])),0)</f>
        <v>37462.949926626046</v>
      </c>
      <c r="DA105" s="26">
        <f t="array" ref="DA105">IFERROR(AVERAGE(IF(tblSalaries[Job Type]=Analysis!DA$101,IF(tblSalaries[Work Hour per day on Excel]=Analysis!$C105,tblSalaries[Salary in USD]))),0)</f>
        <v>82850.072837640459</v>
      </c>
      <c r="DB105" s="26">
        <f t="array" ref="DB105">IFERROR(AVERAGE(IF(tblSalaries[Job Type]=Analysis!DB$101,IF(tblSalaries[Work Hour per day on Excel]=Analysis!$C105,tblSalaries[Salary in USD]))),0)</f>
        <v>51769.661021467226</v>
      </c>
      <c r="DC105" s="26">
        <f t="array" ref="DC105">IFERROR(AVERAGE(IF(tblSalaries[Job Type]=Analysis!DC$101,IF(tblSalaries[Work Hour per day on Excel]=Analysis!$C105,tblSalaries[Salary in USD]))),0)</f>
        <v>59133.368607276352</v>
      </c>
      <c r="DD105" s="26">
        <f t="array" ref="DD105">IFERROR(AVERAGE(IF(tblSalaries[Job Type]=Analysis!DD$101,IF(tblSalaries[Work Hour per day on Excel]=Analysis!$C105,tblSalaries[Salary in USD]))),0)</f>
        <v>45389.420754197869</v>
      </c>
      <c r="DE105" s="26">
        <f t="array" ref="DE105">IFERROR(AVERAGE(IF(tblSalaries[Job Type]=Analysis!DE$101,IF(tblSalaries[Work Hour per day on Excel]=Analysis!$C105,tblSalaries[Salary in USD]))),0)</f>
        <v>30311.583337488515</v>
      </c>
      <c r="DF105" s="26">
        <f t="array" ref="DF105">IFERROR(AVERAGE(IF(tblSalaries[Job Type]=Analysis!DF$101,IF(tblSalaries[Work Hour per day on Excel]=Analysis!$C105,tblSalaries[Salary in USD]))),0)</f>
        <v>41277.369425399294</v>
      </c>
      <c r="DG105" s="26">
        <f t="array" ref="DG105">IFERROR(AVERAGE(IF(tblSalaries[Job Type]=Analysis!DG$101,IF(tblSalaries[Work Hour per day on Excel]=Analysis!$C105,tblSalaries[Salary in USD]))),0)</f>
        <v>42997.280174175874</v>
      </c>
      <c r="DH105" s="26">
        <f t="array" ref="DH105">IFERROR(AVERAGE(IF(tblSalaries[Job Type]=Analysis!DH$101,IF(tblSalaries[Work Hour per day on Excel]=Analysis!$C105,tblSalaries[Salary in USD]))),0)</f>
        <v>30285.389626617656</v>
      </c>
      <c r="DI105" s="26">
        <f t="array" ref="DI105">IFERROR(AVERAGE(IF(tblSalaries[Job Type]=Analysis!DI$101,IF(tblSalaries[Work Hour per day on Excel]=Analysis!$C105,tblSalaries[Salary in USD]))),0)</f>
        <v>21000</v>
      </c>
      <c r="DJ105" s="26">
        <f t="array" ref="DJ105">IFERROR(AVERAGE(IF(tblSalaries[Job Type]=Analysis!DJ$101,IF(tblSalaries[Work Hour per day on Excel]=Analysis!$C105,tblSalaries[Salary in USD]))),0)</f>
        <v>10588.23907786927</v>
      </c>
      <c r="DK105" s="26">
        <f t="array" ref="DK105">IFERROR(AVERAGE(IF(tblSalaries[Region]=Analysis!DK$101,IF(tblSalaries[Work Hour per day on Excel]=Analysis!$C105,tblSalaries[Salary in USD]))),0)</f>
        <v>86349.260273434076</v>
      </c>
      <c r="DL105" s="26">
        <f t="array" ref="DL105">IFERROR(AVERAGE(IF(tblSalaries[Region]=Analysis!DL$101,IF(tblSalaries[Work Hour per day on Excel]=Analysis!$C105,tblSalaries[Salary in USD]))),0)</f>
        <v>70533.231884057968</v>
      </c>
      <c r="DM105" s="26">
        <f t="array" ref="DM105">IFERROR(AVERAGE(IF(tblSalaries[Region]=Analysis!DM$101,IF(tblSalaries[Work Hour per day on Excel]=Analysis!$C105,tblSalaries[Salary in USD]))),0)</f>
        <v>67032.477153233951</v>
      </c>
      <c r="DN105" s="26">
        <f t="array" ref="DN105">IFERROR(AVERAGE(IF(tblSalaries[Region]=Analysis!DN$101,IF(tblSalaries[Work Hour per day on Excel]=Analysis!$C105,tblSalaries[Salary in USD]))),0)</f>
        <v>49960.599708812326</v>
      </c>
      <c r="DO105" s="26">
        <f t="array" ref="DO105">IFERROR(AVERAGE(IF(tblSalaries[Region]=Analysis!DO$101,IF(tblSalaries[Work Hour per day on Excel]=Analysis!$C105,tblSalaries[Salary in USD]))),0)</f>
        <v>58660.128753548415</v>
      </c>
      <c r="DP105" s="26">
        <f t="array" ref="DP105">IFERROR(AVERAGE(IF(tblSalaries[Region]=Analysis!DP$101,IF(tblSalaries[Work Hour per day on Excel]=Analysis!$C105,tblSalaries[Salary in USD]))),0)</f>
        <v>35035.20969366264</v>
      </c>
      <c r="DQ105" s="26">
        <f t="array" ref="DQ105">IFERROR(AVERAGE(IF(tblSalaries[Region]=Analysis!DQ$101,IF(tblSalaries[Work Hour per day on Excel]=Analysis!$C105,tblSalaries[Salary in USD]))),0)</f>
        <v>39996.138669181193</v>
      </c>
      <c r="DR105" s="26">
        <f t="array" ref="DR105">IFERROR(AVERAGE(IF(tblSalaries[Region]=Analysis!DR$101,IF(tblSalaries[Work Hour per day on Excel]=Analysis!$C105,tblSalaries[Salary in USD]))),0)</f>
        <v>12970.825816408293</v>
      </c>
      <c r="DS105" s="26">
        <f t="array" ref="DS105">IFERROR(AVERAGE(IF(tblSalaries[Region]=Analysis!DS$101,IF(tblSalaries[Work Hour per day on Excel]=Analysis!$C105,tblSalaries[Salary in USD]))),0)</f>
        <v>12830.615107669317</v>
      </c>
      <c r="DT105" s="26">
        <f t="array" ref="DT105">IFERROR(AVERAGE(IF(tblSalaries[Years of Experience]=Analysis!DT$101,IF(tblSalaries[Work Hour per day on Excel]=Analysis!$C105,tblSalaries[Salary in USD]))),0)</f>
        <v>29419.798592045965</v>
      </c>
      <c r="DU105" s="26">
        <f t="array" ref="DU105">IFERROR(AVERAGE(IF(tblSalaries[Years of Experience]=Analysis!DU$101,IF(tblSalaries[Work Hour per day on Excel]=Analysis!$C105,tblSalaries[Salary in USD]))),0)</f>
        <v>35593.859235289368</v>
      </c>
      <c r="DV105" s="26">
        <f t="array" ref="DV105">IFERROR(AVERAGE(IF(tblSalaries[Years of Experience]=Analysis!DV$101,IF(tblSalaries[Work Hour per day on Excel]=Analysis!$C105,tblSalaries[Salary in USD]))),0)</f>
        <v>54527.71755519788</v>
      </c>
      <c r="DW105" s="26">
        <f t="array" ref="DW105">IFERROR(AVERAGE(IF(tblSalaries[Years of Experience]=Analysis!DW$101,IF(tblSalaries[Work Hour per day on Excel]=Analysis!$C105,tblSalaries[Salary in USD]))),0)</f>
        <v>72053.829567852168</v>
      </c>
      <c r="DX105" s="26">
        <f t="array" ref="DX105">IFERROR(AVERAGE(IF(tblSalaries[Years of Experience]=Analysis!DX$101,IF(tblSalaries[Work Hour per day on Excel]=Analysis!$C105,tblSalaries[Salary in USD]))),0)</f>
        <v>82447.920699487484</v>
      </c>
      <c r="DY105" s="26">
        <f t="array" ref="DY105">IFERROR(MAX(IF(tblSalaries[Work Hour per day on Excel]=Analysis!$C105,tblSalaries[Salary in USD])),0)</f>
        <v>250000</v>
      </c>
      <c r="DZ105" s="26">
        <f t="array" ref="DZ105">IFERROR(MAX(IF(tblSalaries[Job Type]=Analysis!DZ$101,IF(tblSalaries[Work Hour per day on Excel]=Analysis!$C105,tblSalaries[Salary in USD]))),0)</f>
        <v>192000</v>
      </c>
      <c r="EA105" s="26">
        <f t="array" ref="EA105">IFERROR(MAX(IF(tblSalaries[Job Type]=Analysis!EA$101,IF(tblSalaries[Work Hour per day on Excel]=Analysis!$C105,tblSalaries[Salary in USD]))),0)</f>
        <v>214000</v>
      </c>
      <c r="EB105" s="26">
        <f t="array" ref="EB105">IFERROR(MAX(IF(tblSalaries[Job Type]=Analysis!EB$101,IF(tblSalaries[Work Hour per day on Excel]=Analysis!$C105,tblSalaries[Salary in USD]))),0)</f>
        <v>250000</v>
      </c>
      <c r="EC105" s="26">
        <f t="array" ref="EC105">IFERROR(MAX(IF(tblSalaries[Job Type]=Analysis!EC$101,IF(tblSalaries[Work Hour per day on Excel]=Analysis!$C105,tblSalaries[Salary in USD]))),0)</f>
        <v>71231.666749770273</v>
      </c>
      <c r="ED105" s="26">
        <f t="array" ref="ED105">IFERROR(MAX(IF(tblSalaries[Job Type]=Analysis!ED$101,IF(tblSalaries[Work Hour per day on Excel]=Analysis!$C105,tblSalaries[Salary in USD]))),0)</f>
        <v>78000</v>
      </c>
      <c r="EE105" s="26">
        <f t="array" ref="EE105">IFERROR(MAX(IF(tblSalaries[Job Type]=Analysis!EE$101,IF(tblSalaries[Work Hour per day on Excel]=Analysis!$C105,tblSalaries[Salary in USD]))),0)</f>
        <v>173384.64158844808</v>
      </c>
      <c r="EF105" s="26">
        <f t="array" ref="EF105">IFERROR(MAX(IF(tblSalaries[Job Type]=Analysis!EF$101,IF(tblSalaries[Work Hour per day on Excel]=Analysis!$C105,tblSalaries[Salary in USD]))),0)</f>
        <v>131770.4440860638</v>
      </c>
      <c r="EG105" s="26">
        <f t="array" ref="EG105">IFERROR(MAX(IF(tblSalaries[Job Type]=Analysis!EG$101,IF(tblSalaries[Work Hour per day on Excel]=Analysis!$C105,tblSalaries[Salary in USD]))),0)</f>
        <v>135000</v>
      </c>
      <c r="EH105" s="26">
        <f t="array" ref="EH105">IFERROR(MAX(IF(tblSalaries[Job Type]=Analysis!EH$101,IF(tblSalaries[Work Hour per day on Excel]=Analysis!$C105,tblSalaries[Salary in USD]))),0)</f>
        <v>21000</v>
      </c>
      <c r="EI105" s="26">
        <f t="array" ref="EI105">IFERROR(MAX(IF(tblSalaries[Job Type]=Analysis!EI$101,IF(tblSalaries[Work Hour per day on Excel]=Analysis!$C105,tblSalaries[Salary in USD]))),0)</f>
        <v>96000</v>
      </c>
      <c r="EJ105" s="26">
        <f t="array" ref="EJ105">IFERROR(MAX(IF(tblSalaries[Region]=Analysis!EJ$101,IF(tblSalaries[Work Hour per day on Excel]=Analysis!$C105,tblSalaries[Salary in USD]))),0)</f>
        <v>173384.64158844808</v>
      </c>
      <c r="EK105" s="26">
        <f t="array" ref="EK105">IFERROR(MAX(IF(tblSalaries[Region]=Analysis!EK$101,IF(tblSalaries[Work Hour per day on Excel]=Analysis!$C105,tblSalaries[Salary in USD]))),0)</f>
        <v>250000</v>
      </c>
      <c r="EL105" s="26">
        <f t="array" ref="EL105">IFERROR(MAX(IF(tblSalaries[Region]=Analysis!EL$101,IF(tblSalaries[Work Hour per day on Excel]=Analysis!$C105,tblSalaries[Salary in USD]))),0)</f>
        <v>131770.4440860638</v>
      </c>
      <c r="EM105" s="26">
        <f t="array" ref="EM105">IFERROR(MAX(IF(tblSalaries[Region]=Analysis!EM$101,IF(tblSalaries[Work Hour per day on Excel]=Analysis!$C105,tblSalaries[Salary in USD]))),0)</f>
        <v>91418.339779902482</v>
      </c>
      <c r="EN105" s="26">
        <f t="array" ref="EN105">IFERROR(MAX(IF(tblSalaries[Region]=Analysis!EN$101,IF(tblSalaries[Work Hour per day on Excel]=Analysis!$C105,tblSalaries[Salary in USD]))),0)</f>
        <v>110000</v>
      </c>
      <c r="EO105" s="26">
        <f t="array" ref="EO105">IFERROR(MAX(IF(tblSalaries[Region]=Analysis!EO$101,IF(tblSalaries[Work Hour per day on Excel]=Analysis!$C105,tblSalaries[Salary in USD]))),0)</f>
        <v>148284.35006969364</v>
      </c>
      <c r="EP105" s="26">
        <f t="array" ref="EP105">IFERROR(MAX(IF(tblSalaries[Region]=Analysis!EP$101,IF(tblSalaries[Work Hour per day on Excel]=Analysis!$C105,tblSalaries[Salary in USD]))),0)</f>
        <v>86000</v>
      </c>
      <c r="EQ105" s="26">
        <f t="array" ref="EQ105">IFERROR(MAX(IF(tblSalaries[Region]=Analysis!EQ$101,IF(tblSalaries[Work Hour per day on Excel]=Analysis!$C105,tblSalaries[Salary in USD]))),0)</f>
        <v>96000</v>
      </c>
      <c r="ER105" s="26">
        <f t="array" ref="ER105">IFERROR(MAX(IF(tblSalaries[Region]=Analysis!ER$101,IF(tblSalaries[Work Hour per day on Excel]=Analysis!$C105,tblSalaries[Salary in USD]))),0)</f>
        <v>45000</v>
      </c>
      <c r="ES105" s="26">
        <f t="array" ref="ES105">IFERROR(MAX(IF(tblSalaries[Years of Experience]=Analysis!ES$101,IF(tblSalaries[Work Hour per day on Excel]=Analysis!$C105,tblSalaries[Salary in USD]))),0)</f>
        <v>148284.35006969364</v>
      </c>
      <c r="ET105" s="26">
        <f t="array" ref="ET105">IFERROR(MAX(IF(tblSalaries[Years of Experience]=Analysis!ET$101,IF(tblSalaries[Work Hour per day on Excel]=Analysis!$C105,tblSalaries[Salary in USD]))),0)</f>
        <v>173384.64158844808</v>
      </c>
      <c r="EU105" s="26">
        <f t="array" ref="EU105">IFERROR(MAX(IF(tblSalaries[Years of Experience]=Analysis!EU$101,IF(tblSalaries[Work Hour per day on Excel]=Analysis!$C105,tblSalaries[Salary in USD]))),0)</f>
        <v>250000</v>
      </c>
      <c r="EV105" s="26">
        <f t="array" ref="EV105">IFERROR(MAX(IF(tblSalaries[Years of Experience]=Analysis!EV$101,IF(tblSalaries[Work Hour per day on Excel]=Analysis!$C105,tblSalaries[Salary in USD]))),0)</f>
        <v>192000</v>
      </c>
      <c r="EW105" s="26">
        <f t="array" ref="EW105">IFERROR(MAX(IF(tblSalaries[Years of Experience]=Analysis!EW$101,IF(tblSalaries[Work Hour per day on Excel]=Analysis!$C105,tblSalaries[Salary in USD]))),0)</f>
        <v>109729.60187662003</v>
      </c>
      <c r="EX105" s="26">
        <f t="array" ref="EX105">IFERROR(MIN(IF(tblSalaries[Work Hour per day on Excel]=Analysis!$C105,tblSalaries[Salary in USD])),0)</f>
        <v>1910.5359690238436</v>
      </c>
      <c r="EY105" s="26">
        <f t="array" ref="EY105">IFERROR(MIN(IF(tblSalaries[Job Type]=Analysis!EY$101,IF(tblSalaries[Work Hour per day on Excel]=Analysis!$C105,tblSalaries[Salary in USD]))),0)</f>
        <v>10000</v>
      </c>
      <c r="EZ105" s="26">
        <f t="array" ref="EZ105">IFERROR(MIN(IF(tblSalaries[Job Type]=Analysis!EZ$101,IF(tblSalaries[Work Hour per day on Excel]=Analysis!$C105,tblSalaries[Salary in USD]))),0)</f>
        <v>5342.3750062327708</v>
      </c>
      <c r="FA105" s="26">
        <f t="array" ref="FA105">IFERROR(MIN(IF(tblSalaries[Job Type]=Analysis!FA$101,IF(tblSalaries[Work Hour per day on Excel]=Analysis!$C105,tblSalaries[Salary in USD]))),0)</f>
        <v>8369.7208430980063</v>
      </c>
      <c r="FB105" s="26">
        <f t="array" ref="FB105">IFERROR(MIN(IF(tblSalaries[Job Type]=Analysis!FB$101,IF(tblSalaries[Work Hour per day on Excel]=Analysis!$C105,tblSalaries[Salary in USD]))),0)</f>
        <v>18000</v>
      </c>
      <c r="FC105" s="26">
        <f t="array" ref="FC105">IFERROR(MIN(IF(tblSalaries[Job Type]=Analysis!FC$101,IF(tblSalaries[Work Hour per day on Excel]=Analysis!$C105,tblSalaries[Salary in USD]))),0)</f>
        <v>5342.3750062327708</v>
      </c>
      <c r="FD105" s="26">
        <f t="array" ref="FD105">IFERROR(MIN(IF(tblSalaries[Job Type]=Analysis!FD$101,IF(tblSalaries[Work Hour per day on Excel]=Analysis!$C105,tblSalaries[Salary in USD]))),0)</f>
        <v>2564.3400029917298</v>
      </c>
      <c r="FE105" s="26">
        <f t="array" ref="FE105">IFERROR(MIN(IF(tblSalaries[Job Type]=Analysis!FE$101,IF(tblSalaries[Work Hour per day on Excel]=Analysis!$C105,tblSalaries[Salary in USD]))),0)</f>
        <v>3205.4250037396623</v>
      </c>
      <c r="FF105" s="26">
        <f t="array" ref="FF105">IFERROR(MIN(IF(tblSalaries[Job Type]=Analysis!FF$101,IF(tblSalaries[Work Hour per day on Excel]=Analysis!$C105,tblSalaries[Salary in USD]))),0)</f>
        <v>2165.2740982270229</v>
      </c>
      <c r="FG105" s="26">
        <f t="array" ref="FG105">IFERROR(MIN(IF(tblSalaries[Job Type]=Analysis!FG$101,IF(tblSalaries[Work Hour per day on Excel]=Analysis!$C105,tblSalaries[Salary in USD]))),0)</f>
        <v>21000</v>
      </c>
      <c r="FH105" s="26">
        <f t="array" ref="FH105">IFERROR(MIN(IF(tblSalaries[Job Type]=Analysis!FH$101,IF(tblSalaries[Work Hour per day on Excel]=Analysis!$C105,tblSalaries[Salary in USD]))),0)</f>
        <v>1910.5359690238436</v>
      </c>
      <c r="FI105" s="26">
        <f t="array" ref="FI105">IFERROR(MIN(IF(tblSalaries[Region]=Analysis!FI$101,IF(tblSalaries[Work Hour per day on Excel]=Analysis!$C105,tblSalaries[Salary in USD]))),0)</f>
        <v>43856.11522531334</v>
      </c>
      <c r="FJ105" s="26">
        <f t="array" ref="FJ105">IFERROR(MIN(IF(tblSalaries[Region]=Analysis!FJ$101,IF(tblSalaries[Work Hour per day on Excel]=Analysis!$C105,tblSalaries[Salary in USD]))),0)</f>
        <v>15000</v>
      </c>
      <c r="FK105" s="26">
        <f t="array" ref="FK105">IFERROR(MIN(IF(tblSalaries[Region]=Analysis!FK$101,IF(tblSalaries[Work Hour per day on Excel]=Analysis!$C105,tblSalaries[Salary in USD]))),0)</f>
        <v>34417.653306061438</v>
      </c>
      <c r="FL105" s="26">
        <f t="array" ref="FL105">IFERROR(MIN(IF(tblSalaries[Region]=Analysis!FL$101,IF(tblSalaries[Work Hour per day on Excel]=Analysis!$C105,tblSalaries[Salary in USD]))),0)</f>
        <v>19000</v>
      </c>
      <c r="FM105" s="26">
        <f t="array" ref="FM105">IFERROR(MIN(IF(tblSalaries[Region]=Analysis!FM$101,IF(tblSalaries[Work Hour per day on Excel]=Analysis!$C105,tblSalaries[Salary in USD]))),0)</f>
        <v>13000</v>
      </c>
      <c r="FN105" s="26">
        <f t="array" ref="FN105">IFERROR(MIN(IF(tblSalaries[Region]=Analysis!FN$101,IF(tblSalaries[Work Hour per day on Excel]=Analysis!$C105,tblSalaries[Salary in USD]))),0)</f>
        <v>6000</v>
      </c>
      <c r="FO105" s="26">
        <f t="array" ref="FO105">IFERROR(MIN(IF(tblSalaries[Region]=Analysis!FO$101,IF(tblSalaries[Work Hour per day on Excel]=Analysis!$C105,tblSalaries[Salary in USD]))),0)</f>
        <v>8000</v>
      </c>
      <c r="FP105" s="26">
        <f t="array" ref="FP105">IFERROR(MIN(IF(tblSalaries[Region]=Analysis!FP$101,IF(tblSalaries[Work Hour per day on Excel]=Analysis!$C105,tblSalaries[Salary in USD]))),0)</f>
        <v>2564.3400029917298</v>
      </c>
      <c r="FQ105" s="26">
        <f t="array" ref="FQ105">IFERROR(MIN(IF(tblSalaries[Region]=Analysis!FQ$101,IF(tblSalaries[Work Hour per day on Excel]=Analysis!$C105,tblSalaries[Salary in USD]))),0)</f>
        <v>1910.5359690238436</v>
      </c>
      <c r="FR105" s="26">
        <f t="array" ref="FR105">IFERROR(MIN(IF(tblSalaries[Years of Experience]=Analysis!FR$101,IF(tblSalaries[Work Hour per day on Excel]=Analysis!$C105,tblSalaries[Salary in USD]))),0)</f>
        <v>2165.2740982270229</v>
      </c>
      <c r="FS105" s="26">
        <f t="array" ref="FS105">IFERROR(MIN(IF(tblSalaries[Years of Experience]=Analysis!FS$101,IF(tblSalaries[Work Hour per day on Excel]=Analysis!$C105,tblSalaries[Salary in USD]))),0)</f>
        <v>1910.5359690238436</v>
      </c>
      <c r="FT105" s="26">
        <f t="array" ref="FT105">IFERROR(MIN(IF(tblSalaries[Years of Experience]=Analysis!FT$101,IF(tblSalaries[Work Hour per day on Excel]=Analysis!$C105,tblSalaries[Salary in USD]))),0)</f>
        <v>2938.3062534280239</v>
      </c>
      <c r="FU105" s="26">
        <f t="array" ref="FU105">IFERROR(MIN(IF(tblSalaries[Years of Experience]=Analysis!FU$101,IF(tblSalaries[Work Hour per day on Excel]=Analysis!$C105,tblSalaries[Salary in USD]))),0)</f>
        <v>8400</v>
      </c>
      <c r="FV105" s="26">
        <f t="array" ref="FV105">IFERROR(MIN(IF(tblSalaries[Years of Experience]=Analysis!FV$101,IF(tblSalaries[Work Hour per day on Excel]=Analysis!$C105,tblSalaries[Salary in USD]))),0)</f>
        <v>55166.239522354947</v>
      </c>
      <c r="FW105" s="26">
        <f t="array" ref="FW105">IFERROR(COUNT(IF(tblSalaries[Work Hour per day on Excel]=Analysis!$C105,tblSalaries[Salary in USD])),0)</f>
        <v>341</v>
      </c>
      <c r="FX105" s="26">
        <f t="array" ref="FX105">IFERROR(COUNT(IF(tblSalaries[Job Type]=Analysis!FX$101,IF(tblSalaries[Work Hour per day on Excel]=Analysis!$C105,tblSalaries[Salary in USD]))),0)</f>
        <v>8</v>
      </c>
      <c r="FY105" s="26">
        <f t="array" ref="FY105">IFERROR(COUNT(IF(tblSalaries[Job Type]=Analysis!FY$101,IF(tblSalaries[Work Hour per day on Excel]=Analysis!$C105,tblSalaries[Salary in USD]))),0)</f>
        <v>10</v>
      </c>
      <c r="FZ105" s="26">
        <f t="array" ref="FZ105">IFERROR(COUNT(IF(tblSalaries[Job Type]=Analysis!FZ$101,IF(tblSalaries[Work Hour per day on Excel]=Analysis!$C105,tblSalaries[Salary in USD]))),0)</f>
        <v>15</v>
      </c>
      <c r="GA105" s="26">
        <f t="array" ref="GA105">IFERROR(COUNT(IF(tblSalaries[Job Type]=Analysis!GA$101,IF(tblSalaries[Work Hour per day on Excel]=Analysis!$C105,tblSalaries[Salary in USD]))),0)</f>
        <v>7</v>
      </c>
      <c r="GB105" s="26">
        <f t="array" ref="GB105">IFERROR(COUNT(IF(tblSalaries[Job Type]=Analysis!GB$101,IF(tblSalaries[Work Hour per day on Excel]=Analysis!$C105,tblSalaries[Salary in USD]))),0)</f>
        <v>4</v>
      </c>
      <c r="GC105" s="26">
        <f t="array" ref="GC105">IFERROR(COUNT(IF(tblSalaries[Job Type]=Analysis!GC$101,IF(tblSalaries[Work Hour per day on Excel]=Analysis!$C105,tblSalaries[Salary in USD]))),0)</f>
        <v>150</v>
      </c>
      <c r="GD105" s="26">
        <f t="array" ref="GD105">IFERROR(COUNT(IF(tblSalaries[Job Type]=Analysis!GD$101,IF(tblSalaries[Work Hour per day on Excel]=Analysis!$C105,tblSalaries[Salary in USD]))),0)</f>
        <v>27</v>
      </c>
      <c r="GE105" s="26">
        <f t="array" ref="GE105">IFERROR(COUNT(IF(tblSalaries[Job Type]=Analysis!GE$101,IF(tblSalaries[Work Hour per day on Excel]=Analysis!$C105,tblSalaries[Salary in USD]))),0)</f>
        <v>83</v>
      </c>
      <c r="GF105" s="26">
        <f t="array" ref="GF105">IFERROR(COUNT(IF(tblSalaries[Job Type]=Analysis!GF$101,IF(tblSalaries[Work Hour per day on Excel]=Analysis!$C105,tblSalaries[Salary in USD]))),0)</f>
        <v>1</v>
      </c>
      <c r="GG105" s="26">
        <f t="array" ref="GG105">IFERROR(COUNT(IF(tblSalaries[Job Type]=Analysis!GG$101,IF(tblSalaries[Work Hour per day on Excel]=Analysis!$C105,tblSalaries[Salary in USD]))),0)</f>
        <v>36</v>
      </c>
      <c r="GH105" s="26">
        <f t="array" ref="GH105">IFERROR(COUNT(IF(tblSalaries[Region]=Analysis!GH$101,IF(tblSalaries[Work Hour per day on Excel]=Analysis!$C105,tblSalaries[Salary in USD]))),0)</f>
        <v>11</v>
      </c>
      <c r="GI105" s="26">
        <f t="array" ref="GI105">IFERROR(COUNT(IF(tblSalaries[Region]=Analysis!GI$101,IF(tblSalaries[Work Hour per day on Excel]=Analysis!$C105,tblSalaries[Salary in USD]))),0)</f>
        <v>69</v>
      </c>
      <c r="GJ105" s="26">
        <f t="array" ref="GJ105">IFERROR(COUNT(IF(tblSalaries[Region]=Analysis!GJ$101,IF(tblSalaries[Work Hour per day on Excel]=Analysis!$C105,tblSalaries[Salary in USD]))),0)</f>
        <v>6</v>
      </c>
      <c r="GK105" s="26">
        <f t="array" ref="GK105">IFERROR(COUNT(IF(tblSalaries[Region]=Analysis!GK$101,IF(tblSalaries[Work Hour per day on Excel]=Analysis!$C105,tblSalaries[Salary in USD]))),0)</f>
        <v>28</v>
      </c>
      <c r="GL105" s="26">
        <f t="array" ref="GL105">IFERROR(COUNT(IF(tblSalaries[Region]=Analysis!GL$101,IF(tblSalaries[Work Hour per day on Excel]=Analysis!$C105,tblSalaries[Salary in USD]))),0)</f>
        <v>20</v>
      </c>
      <c r="GM105" s="26">
        <f t="array" ref="GM105">IFERROR(COUNT(IF(tblSalaries[Region]=Analysis!GM$101,IF(tblSalaries[Work Hour per day on Excel]=Analysis!$C105,tblSalaries[Salary in USD]))),0)</f>
        <v>43</v>
      </c>
      <c r="GN105" s="26">
        <f t="array" ref="GN105">IFERROR(COUNT(IF(tblSalaries[Region]=Analysis!GN$101,IF(tblSalaries[Work Hour per day on Excel]=Analysis!$C105,tblSalaries[Salary in USD]))),0)</f>
        <v>13</v>
      </c>
      <c r="GO105" s="26">
        <f t="array" ref="GO105">IFERROR(COUNT(IF(tblSalaries[Region]=Analysis!GO$101,IF(tblSalaries[Work Hour per day on Excel]=Analysis!$C105,tblSalaries[Salary in USD]))),0)</f>
        <v>143</v>
      </c>
      <c r="GP105" s="26">
        <f t="array" ref="GP105">IFERROR(COUNT(IF(tblSalaries[Region]=Analysis!GP$101,IF(tblSalaries[Work Hour per day on Excel]=Analysis!$C105,tblSalaries[Salary in USD]))),0)</f>
        <v>8</v>
      </c>
      <c r="GQ105" s="26">
        <f t="array" ref="GQ105">IFERROR(COUNT(IF(tblSalaries[Years of Experience]=Analysis!GQ$101,IF(tblSalaries[Work Hour per day on Excel]=Analysis!$C105,tblSalaries[Salary in USD]))),0)</f>
        <v>155</v>
      </c>
      <c r="GR105" s="26">
        <f t="array" ref="GR105">IFERROR(COUNT(IF(tblSalaries[Years of Experience]=Analysis!GR$101,IF(tblSalaries[Work Hour per day on Excel]=Analysis!$C105,tblSalaries[Salary in USD]))),0)</f>
        <v>114</v>
      </c>
      <c r="GS105" s="26">
        <f t="array" ref="GS105">IFERROR(COUNT(IF(tblSalaries[Years of Experience]=Analysis!GS$101,IF(tblSalaries[Work Hour per day on Excel]=Analysis!$C105,tblSalaries[Salary in USD]))),0)</f>
        <v>60</v>
      </c>
      <c r="GT105" s="26">
        <f t="array" ref="GT105">IFERROR(COUNT(IF(tblSalaries[Years of Experience]=Analysis!GT$101,IF(tblSalaries[Work Hour per day on Excel]=Analysis!$C105,tblSalaries[Salary in USD]))),0)</f>
        <v>10</v>
      </c>
      <c r="GU105" s="26">
        <f t="array" ref="GU105">IFERROR(COUNT(IF(tblSalaries[Years of Experience]=Analysis!GU$101,IF(tblSalaries[Work Hour per day on Excel]=Analysis!$C105,tblSalaries[Salary in USD]))),0)</f>
        <v>2</v>
      </c>
    </row>
    <row r="106" spans="2:203" s="25" customFormat="1" ht="15" hidden="1" customHeight="1" x14ac:dyDescent="0.25">
      <c r="B106" s="25">
        <f t="shared" si="153"/>
        <v>5</v>
      </c>
      <c r="C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</row>
    <row r="107" spans="2:203" s="25" customFormat="1" ht="15" hidden="1" customHeight="1" x14ac:dyDescent="0.25">
      <c r="B107" s="25">
        <f t="shared" si="153"/>
        <v>6</v>
      </c>
      <c r="C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</row>
    <row r="108" spans="2:203" s="25" customFormat="1" ht="15" hidden="1" customHeight="1" x14ac:dyDescent="0.25">
      <c r="B108" s="25">
        <f t="shared" si="153"/>
        <v>7</v>
      </c>
      <c r="C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</row>
    <row r="109" spans="2:203" s="25" customFormat="1" ht="15" hidden="1" customHeight="1" x14ac:dyDescent="0.25">
      <c r="B109" s="25">
        <f t="shared" si="153"/>
        <v>8</v>
      </c>
      <c r="C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</row>
    <row r="110" spans="2:203" s="25" customFormat="1" ht="15" hidden="1" customHeight="1" x14ac:dyDescent="0.25">
      <c r="B110" s="25">
        <f t="shared" si="153"/>
        <v>9</v>
      </c>
      <c r="C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</row>
    <row r="111" spans="2:203" s="25" customFormat="1" ht="15" hidden="1" customHeight="1" x14ac:dyDescent="0.25">
      <c r="B111" s="25">
        <f t="shared" si="153"/>
        <v>10</v>
      </c>
      <c r="C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</row>
    <row r="112" spans="2:203" s="25" customFormat="1" ht="15" hidden="1" customHeight="1" x14ac:dyDescent="0.25">
      <c r="B112" s="25">
        <f t="shared" si="153"/>
        <v>11</v>
      </c>
      <c r="C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</row>
    <row r="113" spans="2:199" s="25" customFormat="1" ht="15" hidden="1" customHeight="1" x14ac:dyDescent="0.25">
      <c r="B113" s="25">
        <f t="shared" si="153"/>
        <v>12</v>
      </c>
      <c r="C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</row>
    <row r="114" spans="2:199" s="25" customFormat="1" ht="15" hidden="1" customHeight="1" x14ac:dyDescent="0.25">
      <c r="B114" s="25">
        <f t="shared" si="153"/>
        <v>13</v>
      </c>
      <c r="C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</row>
    <row r="115" spans="2:199" s="25" customFormat="1" ht="15" hidden="1" customHeight="1" x14ac:dyDescent="0.25">
      <c r="B115" s="25">
        <f t="shared" si="153"/>
        <v>14</v>
      </c>
      <c r="C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</row>
    <row r="116" spans="2:199" s="25" customFormat="1" ht="15" hidden="1" customHeight="1" x14ac:dyDescent="0.25">
      <c r="B116" s="25">
        <f t="shared" si="153"/>
        <v>15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CZ116" s="38" t="s">
        <v>1466</v>
      </c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 t="s">
        <v>1465</v>
      </c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 t="s">
        <v>1464</v>
      </c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 t="s">
        <v>1467</v>
      </c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  <c r="GK116" s="38"/>
      <c r="GL116" s="38"/>
      <c r="GM116" s="38"/>
      <c r="GN116" s="38"/>
      <c r="GO116" s="38"/>
      <c r="GP116" s="38"/>
      <c r="GQ116" s="38"/>
    </row>
    <row r="117" spans="2:199" s="25" customFormat="1" ht="15" hidden="1" customHeight="1" x14ac:dyDescent="0.25">
      <c r="E117" s="25" t="s">
        <v>1436</v>
      </c>
      <c r="O117" s="28" t="s">
        <v>1452</v>
      </c>
      <c r="P117" s="28"/>
      <c r="Q117" s="28"/>
      <c r="R117" s="28"/>
      <c r="S117" s="28"/>
      <c r="T117" s="28"/>
      <c r="U117" s="28"/>
      <c r="V117" s="28"/>
      <c r="W117" s="28"/>
      <c r="X117" s="25" t="s">
        <v>1456</v>
      </c>
      <c r="DA117" s="25" t="s">
        <v>1436</v>
      </c>
      <c r="DK117" s="28" t="s">
        <v>1452</v>
      </c>
      <c r="DL117" s="28"/>
      <c r="DM117" s="28"/>
      <c r="DN117" s="28"/>
      <c r="DO117" s="28"/>
      <c r="DP117" s="28"/>
      <c r="DQ117" s="28"/>
      <c r="DR117" s="28"/>
      <c r="DS117" s="28"/>
      <c r="DT117" s="25" t="s">
        <v>1456</v>
      </c>
      <c r="DY117" s="25" t="s">
        <v>1436</v>
      </c>
      <c r="EI117" s="28" t="s">
        <v>1452</v>
      </c>
      <c r="EJ117" s="28"/>
      <c r="EK117" s="28"/>
      <c r="EL117" s="28"/>
      <c r="EM117" s="28"/>
      <c r="EN117" s="28"/>
      <c r="EO117" s="28"/>
      <c r="EP117" s="28"/>
      <c r="EQ117" s="28"/>
      <c r="ER117" s="25" t="s">
        <v>1456</v>
      </c>
      <c r="EW117" s="25" t="s">
        <v>1436</v>
      </c>
      <c r="FG117" s="28" t="s">
        <v>1452</v>
      </c>
      <c r="FH117" s="28"/>
      <c r="FI117" s="28"/>
      <c r="FJ117" s="28"/>
      <c r="FK117" s="28"/>
      <c r="FL117" s="28"/>
      <c r="FM117" s="28"/>
      <c r="FN117" s="28"/>
      <c r="FO117" s="28"/>
      <c r="FP117" s="25" t="s">
        <v>1456</v>
      </c>
      <c r="FU117" s="25" t="s">
        <v>1436</v>
      </c>
      <c r="GE117" s="28" t="s">
        <v>1452</v>
      </c>
      <c r="GF117" s="28"/>
      <c r="GG117" s="28"/>
      <c r="GH117" s="28"/>
      <c r="GI117" s="28"/>
      <c r="GJ117" s="28"/>
      <c r="GK117" s="28"/>
      <c r="GL117" s="28"/>
      <c r="GM117" s="28"/>
      <c r="GN117" s="25" t="s">
        <v>1456</v>
      </c>
    </row>
    <row r="118" spans="2:199" s="25" customFormat="1" ht="15" hidden="1" customHeight="1" x14ac:dyDescent="0.25">
      <c r="C118" s="28" t="s">
        <v>1435</v>
      </c>
      <c r="D118" s="28" t="s">
        <v>1462</v>
      </c>
      <c r="E118" s="25" t="s">
        <v>1439</v>
      </c>
      <c r="F118" s="25" t="s">
        <v>38</v>
      </c>
      <c r="G118" s="25" t="s">
        <v>33</v>
      </c>
      <c r="H118" s="25" t="s">
        <v>14</v>
      </c>
      <c r="I118" s="25" t="s">
        <v>29</v>
      </c>
      <c r="J118" s="25" t="s">
        <v>3</v>
      </c>
      <c r="K118" s="25" t="s">
        <v>31</v>
      </c>
      <c r="L118" s="25" t="s">
        <v>11</v>
      </c>
      <c r="M118" s="25" t="s">
        <v>1438</v>
      </c>
      <c r="N118" s="25" t="s">
        <v>1437</v>
      </c>
      <c r="O118" s="25" t="s">
        <v>18</v>
      </c>
      <c r="P118" s="25" t="s">
        <v>1</v>
      </c>
      <c r="Q118" s="25" t="s">
        <v>19</v>
      </c>
      <c r="R118" s="25" t="s">
        <v>15</v>
      </c>
      <c r="S118" s="25" t="s">
        <v>1453</v>
      </c>
      <c r="T118" s="25" t="s">
        <v>1451</v>
      </c>
      <c r="U118" s="25" t="s">
        <v>1454</v>
      </c>
      <c r="V118" s="25" t="s">
        <v>0</v>
      </c>
      <c r="W118" s="25" t="s">
        <v>2</v>
      </c>
      <c r="X118" s="25" t="s">
        <v>1442</v>
      </c>
      <c r="Y118" s="25" t="s">
        <v>1443</v>
      </c>
      <c r="Z118" s="25" t="s">
        <v>1441</v>
      </c>
      <c r="AA118" s="25" t="s">
        <v>1440</v>
      </c>
      <c r="CZ118" s="28" t="s">
        <v>1462</v>
      </c>
      <c r="DA118" s="25" t="s">
        <v>1439</v>
      </c>
      <c r="DB118" s="25" t="s">
        <v>38</v>
      </c>
      <c r="DC118" s="25" t="s">
        <v>33</v>
      </c>
      <c r="DD118" s="25" t="s">
        <v>14</v>
      </c>
      <c r="DE118" s="25" t="s">
        <v>29</v>
      </c>
      <c r="DF118" s="25" t="s">
        <v>3</v>
      </c>
      <c r="DG118" s="25" t="s">
        <v>31</v>
      </c>
      <c r="DH118" s="25" t="s">
        <v>11</v>
      </c>
      <c r="DI118" s="25" t="s">
        <v>1438</v>
      </c>
      <c r="DJ118" s="25" t="s">
        <v>1437</v>
      </c>
      <c r="DK118" s="25" t="s">
        <v>18</v>
      </c>
      <c r="DL118" s="25" t="s">
        <v>1</v>
      </c>
      <c r="DM118" s="25" t="s">
        <v>19</v>
      </c>
      <c r="DN118" s="25" t="s">
        <v>15</v>
      </c>
      <c r="DO118" s="25" t="s">
        <v>1453</v>
      </c>
      <c r="DP118" s="25" t="s">
        <v>1451</v>
      </c>
      <c r="DQ118" s="25" t="s">
        <v>1454</v>
      </c>
      <c r="DR118" s="25" t="s">
        <v>0</v>
      </c>
      <c r="DS118" s="25" t="s">
        <v>2</v>
      </c>
      <c r="DT118" s="25" t="s">
        <v>1442</v>
      </c>
      <c r="DU118" s="25" t="s">
        <v>1443</v>
      </c>
      <c r="DV118" s="25" t="s">
        <v>1441</v>
      </c>
      <c r="DW118" s="25" t="s">
        <v>1440</v>
      </c>
      <c r="DX118" s="28" t="s">
        <v>1462</v>
      </c>
      <c r="DY118" s="25" t="s">
        <v>1439</v>
      </c>
      <c r="DZ118" s="25" t="s">
        <v>38</v>
      </c>
      <c r="EA118" s="25" t="s">
        <v>33</v>
      </c>
      <c r="EB118" s="25" t="s">
        <v>14</v>
      </c>
      <c r="EC118" s="25" t="s">
        <v>29</v>
      </c>
      <c r="ED118" s="25" t="s">
        <v>3</v>
      </c>
      <c r="EE118" s="25" t="s">
        <v>31</v>
      </c>
      <c r="EF118" s="25" t="s">
        <v>11</v>
      </c>
      <c r="EG118" s="25" t="s">
        <v>1438</v>
      </c>
      <c r="EH118" s="25" t="s">
        <v>1437</v>
      </c>
      <c r="EI118" s="25" t="s">
        <v>18</v>
      </c>
      <c r="EJ118" s="25" t="s">
        <v>1</v>
      </c>
      <c r="EK118" s="25" t="s">
        <v>19</v>
      </c>
      <c r="EL118" s="25" t="s">
        <v>15</v>
      </c>
      <c r="EM118" s="25" t="s">
        <v>1453</v>
      </c>
      <c r="EN118" s="25" t="s">
        <v>1451</v>
      </c>
      <c r="EO118" s="25" t="s">
        <v>1454</v>
      </c>
      <c r="EP118" s="25" t="s">
        <v>0</v>
      </c>
      <c r="EQ118" s="25" t="s">
        <v>2</v>
      </c>
      <c r="ER118" s="25" t="s">
        <v>1442</v>
      </c>
      <c r="ES118" s="25" t="s">
        <v>1443</v>
      </c>
      <c r="ET118" s="25" t="s">
        <v>1441</v>
      </c>
      <c r="EU118" s="25" t="s">
        <v>1440</v>
      </c>
      <c r="EV118" s="28" t="s">
        <v>1462</v>
      </c>
      <c r="EW118" s="25" t="s">
        <v>1439</v>
      </c>
      <c r="EX118" s="25" t="s">
        <v>38</v>
      </c>
      <c r="EY118" s="25" t="s">
        <v>33</v>
      </c>
      <c r="EZ118" s="25" t="s">
        <v>14</v>
      </c>
      <c r="FA118" s="25" t="s">
        <v>29</v>
      </c>
      <c r="FB118" s="25" t="s">
        <v>3</v>
      </c>
      <c r="FC118" s="25" t="s">
        <v>31</v>
      </c>
      <c r="FD118" s="25" t="s">
        <v>11</v>
      </c>
      <c r="FE118" s="25" t="s">
        <v>1438</v>
      </c>
      <c r="FF118" s="25" t="s">
        <v>1437</v>
      </c>
      <c r="FG118" s="25" t="s">
        <v>18</v>
      </c>
      <c r="FH118" s="25" t="s">
        <v>1</v>
      </c>
      <c r="FI118" s="25" t="s">
        <v>19</v>
      </c>
      <c r="FJ118" s="25" t="s">
        <v>15</v>
      </c>
      <c r="FK118" s="25" t="s">
        <v>1453</v>
      </c>
      <c r="FL118" s="25" t="s">
        <v>1451</v>
      </c>
      <c r="FM118" s="25" t="s">
        <v>1454</v>
      </c>
      <c r="FN118" s="25" t="s">
        <v>0</v>
      </c>
      <c r="FO118" s="25" t="s">
        <v>2</v>
      </c>
      <c r="FP118" s="25" t="s">
        <v>1442</v>
      </c>
      <c r="FQ118" s="25" t="s">
        <v>1443</v>
      </c>
      <c r="FR118" s="25" t="s">
        <v>1441</v>
      </c>
      <c r="FS118" s="25" t="s">
        <v>1440</v>
      </c>
      <c r="FT118" s="28" t="s">
        <v>1462</v>
      </c>
      <c r="FU118" s="25" t="s">
        <v>1439</v>
      </c>
      <c r="FV118" s="25" t="s">
        <v>38</v>
      </c>
      <c r="FW118" s="25" t="s">
        <v>33</v>
      </c>
      <c r="FX118" s="25" t="s">
        <v>14</v>
      </c>
      <c r="FY118" s="25" t="s">
        <v>29</v>
      </c>
      <c r="FZ118" s="25" t="s">
        <v>3</v>
      </c>
      <c r="GA118" s="25" t="s">
        <v>31</v>
      </c>
      <c r="GB118" s="25" t="s">
        <v>11</v>
      </c>
      <c r="GC118" s="25" t="s">
        <v>1438</v>
      </c>
      <c r="GD118" s="25" t="s">
        <v>1437</v>
      </c>
      <c r="GE118" s="25" t="s">
        <v>18</v>
      </c>
      <c r="GF118" s="25" t="s">
        <v>1</v>
      </c>
      <c r="GG118" s="25" t="s">
        <v>19</v>
      </c>
      <c r="GH118" s="25" t="s">
        <v>15</v>
      </c>
      <c r="GI118" s="25" t="s">
        <v>1453</v>
      </c>
      <c r="GJ118" s="25" t="s">
        <v>1451</v>
      </c>
      <c r="GK118" s="25" t="s">
        <v>1454</v>
      </c>
      <c r="GL118" s="25" t="s">
        <v>0</v>
      </c>
      <c r="GM118" s="25" t="s">
        <v>2</v>
      </c>
      <c r="GN118" s="25" t="s">
        <v>1442</v>
      </c>
      <c r="GO118" s="25" t="s">
        <v>1443</v>
      </c>
      <c r="GP118" s="25" t="s">
        <v>1441</v>
      </c>
      <c r="GQ118" s="25" t="s">
        <v>1440</v>
      </c>
    </row>
    <row r="119" spans="2:199" s="25" customFormat="1" ht="15" hidden="1" customHeight="1" x14ac:dyDescent="0.25">
      <c r="B119" s="25">
        <v>1</v>
      </c>
      <c r="C119" s="25" t="s">
        <v>1445</v>
      </c>
      <c r="D119" s="26">
        <f t="shared" ref="D119:M123" si="154">CHOOSE($C$141,CZ119,DX119,EV119)</f>
        <v>30600.824891333075</v>
      </c>
      <c r="E119" s="26">
        <f t="shared" si="154"/>
        <v>52069.619158739442</v>
      </c>
      <c r="F119" s="26">
        <f t="shared" si="154"/>
        <v>28626.277325577703</v>
      </c>
      <c r="G119" s="26">
        <f t="shared" si="154"/>
        <v>42645.081483020469</v>
      </c>
      <c r="H119" s="26">
        <f t="shared" si="154"/>
        <v>63118.959014625842</v>
      </c>
      <c r="I119" s="26">
        <f t="shared" si="154"/>
        <v>25817.260633794831</v>
      </c>
      <c r="J119" s="26">
        <f t="shared" si="154"/>
        <v>34168.58537983102</v>
      </c>
      <c r="K119" s="26">
        <f t="shared" si="154"/>
        <v>30167.186579547084</v>
      </c>
      <c r="L119" s="26">
        <f t="shared" si="154"/>
        <v>26475.229449341135</v>
      </c>
      <c r="M119" s="26">
        <f t="shared" si="154"/>
        <v>28873.27708406049</v>
      </c>
      <c r="N119" s="26">
        <f t="shared" ref="N119:W123" si="155">CHOOSE($C$141,DJ119,EH119,FF119)</f>
        <v>8370.4236729334207</v>
      </c>
      <c r="O119" s="26">
        <f t="shared" si="155"/>
        <v>74011.127544510673</v>
      </c>
      <c r="P119" s="26">
        <f t="shared" si="155"/>
        <v>56929.66972477064</v>
      </c>
      <c r="Q119" s="26">
        <f t="shared" si="155"/>
        <v>52543.005677273854</v>
      </c>
      <c r="R119" s="26">
        <f t="shared" si="155"/>
        <v>51251.089100846541</v>
      </c>
      <c r="S119" s="26">
        <f t="shared" si="155"/>
        <v>51537.186582938724</v>
      </c>
      <c r="T119" s="26">
        <f t="shared" si="155"/>
        <v>27688.069165943965</v>
      </c>
      <c r="U119" s="26">
        <f t="shared" si="155"/>
        <v>23918.038569567601</v>
      </c>
      <c r="V119" s="26">
        <f t="shared" si="155"/>
        <v>10664.803234082052</v>
      </c>
      <c r="W119" s="26">
        <f t="shared" si="155"/>
        <v>7791.1727060212907</v>
      </c>
      <c r="X119" s="26">
        <f t="shared" ref="X119:AA123" si="156">CHOOSE($C$141,DT119,ER119,FP119)</f>
        <v>32330.760972488937</v>
      </c>
      <c r="Y119" s="26">
        <f t="shared" si="156"/>
        <v>28210.380753889778</v>
      </c>
      <c r="Z119" s="26">
        <f t="shared" si="156"/>
        <v>32302.634322606231</v>
      </c>
      <c r="AA119" s="26">
        <f t="shared" si="156"/>
        <v>29419.798592045965</v>
      </c>
      <c r="CZ119" s="26">
        <f t="array" ref="CZ119">IFERROR(AVERAGE(IF(tblSalaries[Years of Experience]=Analysis!$C119,tblSalaries[Salary in USD])),0)</f>
        <v>30600.824891333075</v>
      </c>
      <c r="DA119" s="26">
        <f t="array" ref="DA119">IFERROR(AVERAGE(IF(tblSalaries[Job Type]=Analysis!DA$118,IF(tblSalaries[Years of Experience]=Analysis!$C119,tblSalaries[Salary in USD]))),0)</f>
        <v>52069.619158739442</v>
      </c>
      <c r="DB119" s="26">
        <f t="array" ref="DB119">IFERROR(AVERAGE(IF(tblSalaries[Job Type]=Analysis!DB$118,IF(tblSalaries[Years of Experience]=Analysis!$C119,tblSalaries[Salary in USD]))),0)</f>
        <v>28626.277325577703</v>
      </c>
      <c r="DC119" s="26">
        <f t="array" ref="DC119">IFERROR(AVERAGE(IF(tblSalaries[Job Type]=Analysis!DC$118,IF(tblSalaries[Years of Experience]=Analysis!$C119,tblSalaries[Salary in USD]))),0)</f>
        <v>42645.081483020469</v>
      </c>
      <c r="DD119" s="26">
        <f t="array" ref="DD119">IFERROR(AVERAGE(IF(tblSalaries[Job Type]=Analysis!DD$118,IF(tblSalaries[Years of Experience]=Analysis!$C119,tblSalaries[Salary in USD]))),0)</f>
        <v>63118.959014625842</v>
      </c>
      <c r="DE119" s="26">
        <f t="array" ref="DE119">IFERROR(AVERAGE(IF(tblSalaries[Job Type]=Analysis!DE$118,IF(tblSalaries[Years of Experience]=Analysis!$C119,tblSalaries[Salary in USD]))),0)</f>
        <v>25817.260633794831</v>
      </c>
      <c r="DF119" s="26">
        <f t="array" ref="DF119">IFERROR(AVERAGE(IF(tblSalaries[Job Type]=Analysis!DF$118,IF(tblSalaries[Years of Experience]=Analysis!$C119,tblSalaries[Salary in USD]))),0)</f>
        <v>34168.58537983102</v>
      </c>
      <c r="DG119" s="26">
        <f t="array" ref="DG119">IFERROR(AVERAGE(IF(tblSalaries[Job Type]=Analysis!DG$118,IF(tblSalaries[Years of Experience]=Analysis!$C119,tblSalaries[Salary in USD]))),0)</f>
        <v>30167.186579547084</v>
      </c>
      <c r="DH119" s="26">
        <f t="array" ref="DH119">IFERROR(AVERAGE(IF(tblSalaries[Job Type]=Analysis!DH$118,IF(tblSalaries[Years of Experience]=Analysis!$C119,tblSalaries[Salary in USD]))),0)</f>
        <v>26475.229449341135</v>
      </c>
      <c r="DI119" s="26">
        <f t="array" ref="DI119">IFERROR(AVERAGE(IF(tblSalaries[Job Type]=Analysis!DI$118,IF(tblSalaries[Years of Experience]=Analysis!$C119,tblSalaries[Salary in USD]))),0)</f>
        <v>28873.27708406049</v>
      </c>
      <c r="DJ119" s="26">
        <f t="array" ref="DJ119">IFERROR(AVERAGE(IF(tblSalaries[Job Type]=Analysis!DJ$118,IF(tblSalaries[Years of Experience]=Analysis!$C119,tblSalaries[Salary in USD]))),0)</f>
        <v>8370.4236729334207</v>
      </c>
      <c r="DK119" s="26">
        <f t="array" ref="DK119">IFERROR(AVERAGE(IF(tblSalaries[Region]=Analysis!DK$118,IF(tblSalaries[Years of Experience]=Analysis!$C119,tblSalaries[Salary in USD]))),0)</f>
        <v>74011.127544510673</v>
      </c>
      <c r="DL119" s="26">
        <f t="array" ref="DL119">IFERROR(AVERAGE(IF(tblSalaries[Region]=Analysis!DL$118,IF(tblSalaries[Years of Experience]=Analysis!$C119,tblSalaries[Salary in USD]))),0)</f>
        <v>56929.66972477064</v>
      </c>
      <c r="DM119" s="26">
        <f t="array" ref="DM119">IFERROR(AVERAGE(IF(tblSalaries[Region]=Analysis!DM$118,IF(tblSalaries[Years of Experience]=Analysis!$C119,tblSalaries[Salary in USD]))),0)</f>
        <v>52543.005677273854</v>
      </c>
      <c r="DN119" s="26">
        <f t="array" ref="DN119">IFERROR(AVERAGE(IF(tblSalaries[Region]=Analysis!DN$118,IF(tblSalaries[Years of Experience]=Analysis!$C119,tblSalaries[Salary in USD]))),0)</f>
        <v>51251.089100846541</v>
      </c>
      <c r="DO119" s="26">
        <f t="array" ref="DO119">IFERROR(AVERAGE(IF(tblSalaries[Region]=Analysis!DO$118,IF(tblSalaries[Years of Experience]=Analysis!$C119,tblSalaries[Salary in USD]))),0)</f>
        <v>51537.186582938724</v>
      </c>
      <c r="DP119" s="26">
        <f t="array" ref="DP119">IFERROR(AVERAGE(IF(tblSalaries[Region]=Analysis!DP$118,IF(tblSalaries[Years of Experience]=Analysis!$C119,tblSalaries[Salary in USD]))),0)</f>
        <v>27688.069165943965</v>
      </c>
      <c r="DQ119" s="26">
        <f t="array" ref="DQ119">IFERROR(AVERAGE(IF(tblSalaries[Region]=Analysis!DQ$118,IF(tblSalaries[Years of Experience]=Analysis!$C119,tblSalaries[Salary in USD]))),0)</f>
        <v>23918.038569567601</v>
      </c>
      <c r="DR119" s="26">
        <f t="array" ref="DR119">IFERROR(AVERAGE(IF(tblSalaries[Region]=Analysis!DR$118,IF(tblSalaries[Years of Experience]=Analysis!$C119,tblSalaries[Salary in USD]))),0)</f>
        <v>10664.803234082052</v>
      </c>
      <c r="DS119" s="26">
        <f t="array" ref="DS119">IFERROR(AVERAGE(IF(tblSalaries[Region]=Analysis!DS$118,IF(tblSalaries[Years of Experience]=Analysis!$C119,tblSalaries[Salary in USD]))),0)</f>
        <v>7791.1727060212907</v>
      </c>
      <c r="DT119" s="26">
        <f t="array" ref="DT119">IFERROR(AVERAGE(IF(tblSalaries[Work Hour per day on Excel]=Analysis!DT$118,IF(tblSalaries[Years of Experience]=Analysis!$C119,tblSalaries[Salary in USD]))),0)</f>
        <v>32330.760972488937</v>
      </c>
      <c r="DU119" s="26">
        <f t="array" ref="DU119">IFERROR(AVERAGE(IF(tblSalaries[Work Hour per day on Excel]=Analysis!DU$118,IF(tblSalaries[Years of Experience]=Analysis!$C119,tblSalaries[Salary in USD]))),0)</f>
        <v>28210.380753889778</v>
      </c>
      <c r="DV119" s="26">
        <f t="array" ref="DV119">IFERROR(AVERAGE(IF(tblSalaries[Work Hour per day on Excel]=Analysis!DV$118,IF(tblSalaries[Years of Experience]=Analysis!$C119,tblSalaries[Salary in USD]))),0)</f>
        <v>32302.634322606231</v>
      </c>
      <c r="DW119" s="26">
        <f t="array" ref="DW119">IFERROR(AVERAGE(IF(tblSalaries[Work Hour per day on Excel]=Analysis!DW$118,IF(tblSalaries[Years of Experience]=Analysis!$C119,tblSalaries[Salary in USD]))),0)</f>
        <v>29419.798592045965</v>
      </c>
      <c r="DX119" s="26">
        <f t="array" ref="DX119">IFERROR(MAX(IF(tblSalaries[Years of Experience]=Analysis!$C119,tblSalaries[Salary in USD])),0)</f>
        <v>160000</v>
      </c>
      <c r="DY119" s="26">
        <f t="array" ref="DY119">IFERROR(MAX(IF(tblSalaries[Job Type]=Analysis!DY$118,IF(tblSalaries[Years of Experience]=Analysis!$C119,tblSalaries[Salary in USD]))),0)</f>
        <v>100800</v>
      </c>
      <c r="DZ119" s="26">
        <f t="array" ref="DZ119">IFERROR(MAX(IF(tblSalaries[Job Type]=Analysis!DZ$118,IF(tblSalaries[Years of Experience]=Analysis!$C119,tblSalaries[Salary in USD]))),0)</f>
        <v>110000</v>
      </c>
      <c r="EA119" s="26">
        <f t="array" ref="EA119">IFERROR(MAX(IF(tblSalaries[Job Type]=Analysis!EA$118,IF(tblSalaries[Years of Experience]=Analysis!$C119,tblSalaries[Salary in USD]))),0)</f>
        <v>120000</v>
      </c>
      <c r="EB119" s="26">
        <f t="array" ref="EB119">IFERROR(MAX(IF(tblSalaries[Job Type]=Analysis!EB$118,IF(tblSalaries[Years of Experience]=Analysis!$C119,tblSalaries[Salary in USD]))),0)</f>
        <v>99299.231140238902</v>
      </c>
      <c r="EC119" s="26">
        <f t="array" ref="EC119">IFERROR(MAX(IF(tblSalaries[Job Type]=Analysis!EC$118,IF(tblSalaries[Years of Experience]=Analysis!$C119,tblSalaries[Salary in USD]))),0)</f>
        <v>78000</v>
      </c>
      <c r="ED119" s="26">
        <f t="array" ref="ED119">IFERROR(MAX(IF(tblSalaries[Job Type]=Analysis!ED$118,IF(tblSalaries[Years of Experience]=Analysis!$C119,tblSalaries[Salary in USD]))),0)</f>
        <v>160000</v>
      </c>
      <c r="EE119" s="26">
        <f t="array" ref="EE119">IFERROR(MAX(IF(tblSalaries[Job Type]=Analysis!EE$118,IF(tblSalaries[Years of Experience]=Analysis!$C119,tblSalaries[Salary in USD]))),0)</f>
        <v>85000</v>
      </c>
      <c r="EF119" s="26">
        <f t="array" ref="EF119">IFERROR(MAX(IF(tblSalaries[Job Type]=Analysis!EF$118,IF(tblSalaries[Years of Experience]=Analysis!$C119,tblSalaries[Salary in USD]))),0)</f>
        <v>130000</v>
      </c>
      <c r="EG119" s="26">
        <f t="array" ref="EG119">IFERROR(MAX(IF(tblSalaries[Job Type]=Analysis!EG$118,IF(tblSalaries[Years of Experience]=Analysis!$C119,tblSalaries[Salary in USD]))),0)</f>
        <v>87000</v>
      </c>
      <c r="EH119" s="26">
        <f t="array" ref="EH119">IFERROR(MAX(IF(tblSalaries[Job Type]=Analysis!EH$118,IF(tblSalaries[Years of Experience]=Analysis!$C119,tblSalaries[Salary in USD]))),0)</f>
        <v>39404.456801682099</v>
      </c>
      <c r="EI119" s="26">
        <f t="array" ref="EI119">IFERROR(MAX(IF(tblSalaries[Region]=Analysis!EI$118,IF(tblSalaries[Years of Experience]=Analysis!$C119,tblSalaries[Salary in USD]))),0)</f>
        <v>130000</v>
      </c>
      <c r="EJ119" s="26">
        <f t="array" ref="EJ119">IFERROR(MAX(IF(tblSalaries[Region]=Analysis!EJ$118,IF(tblSalaries[Years of Experience]=Analysis!$C119,tblSalaries[Salary in USD]))),0)</f>
        <v>160000</v>
      </c>
      <c r="EK119" s="26">
        <f t="array" ref="EK119">IFERROR(MAX(IF(tblSalaries[Region]=Analysis!EK$118,IF(tblSalaries[Years of Experience]=Analysis!$C119,tblSalaries[Salary in USD]))),0)</f>
        <v>98336.152303032693</v>
      </c>
      <c r="EL119" s="26">
        <f t="array" ref="EL119">IFERROR(MAX(IF(tblSalaries[Region]=Analysis!EL$118,IF(tblSalaries[Years of Experience]=Analysis!$C119,tblSalaries[Salary in USD]))),0)</f>
        <v>116637.19213297902</v>
      </c>
      <c r="EM119" s="26">
        <f t="array" ref="EM119">IFERROR(MAX(IF(tblSalaries[Region]=Analysis!EM$118,IF(tblSalaries[Years of Experience]=Analysis!$C119,tblSalaries[Salary in USD]))),0)</f>
        <v>110000</v>
      </c>
      <c r="EN119" s="26">
        <f t="array" ref="EN119">IFERROR(MAX(IF(tblSalaries[Region]=Analysis!EN$118,IF(tblSalaries[Years of Experience]=Analysis!$C119,tblSalaries[Salary in USD]))),0)</f>
        <v>148284.35006969364</v>
      </c>
      <c r="EO119" s="26">
        <f t="array" ref="EO119">IFERROR(MAX(IF(tblSalaries[Region]=Analysis!EO$118,IF(tblSalaries[Years of Experience]=Analysis!$C119,tblSalaries[Salary in USD]))),0)</f>
        <v>120000</v>
      </c>
      <c r="EP119" s="26">
        <f t="array" ref="EP119">IFERROR(MAX(IF(tblSalaries[Region]=Analysis!EP$118,IF(tblSalaries[Years of Experience]=Analysis!$C119,tblSalaries[Salary in USD]))),0)</f>
        <v>71231.666749770273</v>
      </c>
      <c r="EQ119" s="26">
        <f t="array" ref="EQ119">IFERROR(MAX(IF(tblSalaries[Region]=Analysis!EQ$118,IF(tblSalaries[Years of Experience]=Analysis!$C119,tblSalaries[Salary in USD]))),0)</f>
        <v>30000</v>
      </c>
      <c r="ER119" s="26">
        <f t="array" ref="ER119">IFERROR(MAX(IF(tblSalaries[Work Hour per day on Excel]=Analysis!ER$118,IF(tblSalaries[Years of Experience]=Analysis!$C119,tblSalaries[Salary in USD]))),0)</f>
        <v>120000</v>
      </c>
      <c r="ES119" s="26">
        <f t="array" ref="ES119">IFERROR(MAX(IF(tblSalaries[Work Hour per day on Excel]=Analysis!ES$118,IF(tblSalaries[Years of Experience]=Analysis!$C119,tblSalaries[Salary in USD]))),0)</f>
        <v>122389.15876831629</v>
      </c>
      <c r="ET119" s="26">
        <f t="array" ref="ET119">IFERROR(MAX(IF(tblSalaries[Work Hour per day on Excel]=Analysis!ET$118,IF(tblSalaries[Years of Experience]=Analysis!$C119,tblSalaries[Salary in USD]))),0)</f>
        <v>160000</v>
      </c>
      <c r="EU119" s="26">
        <f t="array" ref="EU119">IFERROR(MAX(IF(tblSalaries[Work Hour per day on Excel]=Analysis!EU$118,IF(tblSalaries[Years of Experience]=Analysis!$C119,tblSalaries[Salary in USD]))),0)</f>
        <v>148284.35006969364</v>
      </c>
      <c r="EV119" s="26">
        <f t="array" ref="EV119">IFERROR(MIN(IF(tblSalaries[Years of Experience]=Analysis!$C119,tblSalaries[Salary in USD])),0)</f>
        <v>1805.7739622442759</v>
      </c>
      <c r="EW119" s="26">
        <f t="array" ref="EW119">IFERROR(MIN(IF(tblSalaries[Job Type]=Analysis!EW$118,IF(tblSalaries[Years of Experience]=Analysis!$C119,tblSalaries[Salary in USD]))),0)</f>
        <v>2671.1875031163854</v>
      </c>
      <c r="EX119" s="26">
        <f t="array" ref="EX119">IFERROR(MIN(IF(tblSalaries[Job Type]=Analysis!EX$118,IF(tblSalaries[Years of Experience]=Analysis!$C119,tblSalaries[Salary in USD]))),0)</f>
        <v>2564.3400029917298</v>
      </c>
      <c r="EY119" s="26">
        <f t="array" ref="EY119">IFERROR(MIN(IF(tblSalaries[Job Type]=Analysis!EY$118,IF(tblSalaries[Years of Experience]=Analysis!$C119,tblSalaries[Salary in USD]))),0)</f>
        <v>3000</v>
      </c>
      <c r="EZ119" s="26">
        <f t="array" ref="EZ119">IFERROR(MIN(IF(tblSalaries[Job Type]=Analysis!EZ$118,IF(tblSalaries[Years of Experience]=Analysis!$C119,tblSalaries[Salary in USD]))),0)</f>
        <v>4019</v>
      </c>
      <c r="FA119" s="26">
        <f t="array" ref="FA119">IFERROR(MIN(IF(tblSalaries[Job Type]=Analysis!FA$118,IF(tblSalaries[Years of Experience]=Analysis!$C119,tblSalaries[Salary in USD]))),0)</f>
        <v>2671.1875031163854</v>
      </c>
      <c r="FB119" s="26">
        <f t="array" ref="FB119">IFERROR(MIN(IF(tblSalaries[Job Type]=Analysis!FB$118,IF(tblSalaries[Years of Experience]=Analysis!$C119,tblSalaries[Salary in USD]))),0)</f>
        <v>2136.9500024931081</v>
      </c>
      <c r="FC119" s="26">
        <f t="array" ref="FC119">IFERROR(MIN(IF(tblSalaries[Job Type]=Analysis!FC$118,IF(tblSalaries[Years of Experience]=Analysis!$C119,tblSalaries[Salary in USD]))),0)</f>
        <v>2122.8177433598262</v>
      </c>
      <c r="FD119" s="26">
        <f t="array" ref="FD119">IFERROR(MIN(IF(tblSalaries[Job Type]=Analysis!FD$118,IF(tblSalaries[Years of Experience]=Analysis!$C119,tblSalaries[Salary in USD]))),0)</f>
        <v>1805.7739622442759</v>
      </c>
      <c r="FE119" s="26">
        <f t="array" ref="FE119">IFERROR(MIN(IF(tblSalaries[Job Type]=Analysis!FE$118,IF(tblSalaries[Years of Experience]=Analysis!$C119,tblSalaries[Salary in USD]))),0)</f>
        <v>2493.1083362419595</v>
      </c>
      <c r="FF119" s="26">
        <f t="array" ref="FF119">IFERROR(MIN(IF(tblSalaries[Job Type]=Analysis!FF$118,IF(tblSalaries[Years of Experience]=Analysis!$C119,tblSalaries[Salary in USD]))),0)</f>
        <v>2671.1875031163854</v>
      </c>
      <c r="FG119" s="26">
        <f t="array" ref="FG119">IFERROR(MIN(IF(tblSalaries[Region]=Analysis!FG$118,IF(tblSalaries[Years of Experience]=Analysis!$C119,tblSalaries[Salary in USD]))),0)</f>
        <v>20000</v>
      </c>
      <c r="FH119" s="26">
        <f t="array" ref="FH119">IFERROR(MIN(IF(tblSalaries[Region]=Analysis!FH$118,IF(tblSalaries[Years of Experience]=Analysis!$C119,tblSalaries[Salary in USD]))),0)</f>
        <v>10000</v>
      </c>
      <c r="FI119" s="26">
        <f t="array" ref="FI119">IFERROR(MIN(IF(tblSalaries[Region]=Analysis!FI$118,IF(tblSalaries[Years of Experience]=Analysis!$C119,tblSalaries[Salary in USD]))),0)</f>
        <v>20000</v>
      </c>
      <c r="FJ119" s="26">
        <f t="array" ref="FJ119">IFERROR(MIN(IF(tblSalaries[Region]=Analysis!FJ$118,IF(tblSalaries[Years of Experience]=Analysis!$C119,tblSalaries[Salary in USD]))),0)</f>
        <v>23642.674081009263</v>
      </c>
      <c r="FK119" s="26">
        <f t="array" ref="FK119">IFERROR(MIN(IF(tblSalaries[Region]=Analysis!FK$118,IF(tblSalaries[Years of Experience]=Analysis!$C119,tblSalaries[Salary in USD]))),0)</f>
        <v>11000</v>
      </c>
      <c r="FL119" s="26">
        <f t="array" ref="FL119">IFERROR(MIN(IF(tblSalaries[Region]=Analysis!FL$118,IF(tblSalaries[Years of Experience]=Analysis!$C119,tblSalaries[Salary in USD]))),0)</f>
        <v>2953.8461538461538</v>
      </c>
      <c r="FM119" s="26">
        <f t="array" ref="FM119">IFERROR(MIN(IF(tblSalaries[Region]=Analysis!FM$118,IF(tblSalaries[Years of Experience]=Analysis!$C119,tblSalaries[Salary in USD]))),0)</f>
        <v>1805.7739622442759</v>
      </c>
      <c r="FN119" s="26">
        <f t="array" ref="FN119">IFERROR(MIN(IF(tblSalaries[Region]=Analysis!FN$118,IF(tblSalaries[Years of Experience]=Analysis!$C119,tblSalaries[Salary in USD]))),0)</f>
        <v>2136.9500024931081</v>
      </c>
      <c r="FO119" s="26">
        <f t="array" ref="FO119">IFERROR(MIN(IF(tblSalaries[Region]=Analysis!FO$118,IF(tblSalaries[Years of Experience]=Analysis!$C119,tblSalaries[Salary in USD]))),0)</f>
        <v>2122.8177433598262</v>
      </c>
      <c r="FP119" s="26">
        <f t="array" ref="FP119">IFERROR(MIN(IF(tblSalaries[Work Hour per day on Excel]=Analysis!FP$118,IF(tblSalaries[Years of Experience]=Analysis!$C119,tblSalaries[Salary in USD]))),0)</f>
        <v>2136.9500024931081</v>
      </c>
      <c r="FQ119" s="26">
        <f t="array" ref="FQ119">IFERROR(MIN(IF(tblSalaries[Work Hour per day on Excel]=Analysis!FQ$118,IF(tblSalaries[Years of Experience]=Analysis!$C119,tblSalaries[Salary in USD]))),0)</f>
        <v>2122.8177433598262</v>
      </c>
      <c r="FR119" s="26">
        <f t="array" ref="FR119">IFERROR(MIN(IF(tblSalaries[Work Hour per day on Excel]=Analysis!FR$118,IF(tblSalaries[Years of Experience]=Analysis!$C119,tblSalaries[Salary in USD]))),0)</f>
        <v>1805.7739622442759</v>
      </c>
      <c r="FS119" s="26">
        <f t="array" ref="FS119">IFERROR(MIN(IF(tblSalaries[Work Hour per day on Excel]=Analysis!FS$118,IF(tblSalaries[Years of Experience]=Analysis!$C119,tblSalaries[Salary in USD]))),0)</f>
        <v>2165.2740982270229</v>
      </c>
      <c r="FT119" s="26">
        <f t="array" ref="FT119">IFERROR(COUNT(IF(tblSalaries[Years of Experience]=Analysis!$C119,tblSalaries[Salary in USD])),0)</f>
        <v>560</v>
      </c>
      <c r="FU119" s="26">
        <f t="array" ref="FU119">IFERROR(COUNT(IF(tblSalaries[Job Type]=Analysis!FU$118,IF(tblSalaries[Years of Experience]=Analysis!$C119,tblSalaries[Salary in USD]))),0)</f>
        <v>8</v>
      </c>
      <c r="FV119" s="26">
        <f t="array" ref="FV119">IFERROR(COUNT(IF(tblSalaries[Job Type]=Analysis!FV$118,IF(tblSalaries[Years of Experience]=Analysis!$C119,tblSalaries[Salary in USD]))),0)</f>
        <v>12</v>
      </c>
      <c r="FW119" s="26">
        <f t="array" ref="FW119">IFERROR(COUNT(IF(tblSalaries[Job Type]=Analysis!FW$118,IF(tblSalaries[Years of Experience]=Analysis!$C119,tblSalaries[Salary in USD]))),0)</f>
        <v>21</v>
      </c>
      <c r="FX119" s="26">
        <f t="array" ref="FX119">IFERROR(COUNT(IF(tblSalaries[Job Type]=Analysis!FX$118,IF(tblSalaries[Years of Experience]=Analysis!$C119,tblSalaries[Salary in USD]))),0)</f>
        <v>9</v>
      </c>
      <c r="FY119" s="26">
        <f t="array" ref="FY119">IFERROR(COUNT(IF(tblSalaries[Job Type]=Analysis!FY$118,IF(tblSalaries[Years of Experience]=Analysis!$C119,tblSalaries[Salary in USD]))),0)</f>
        <v>21</v>
      </c>
      <c r="FZ119" s="26">
        <f t="array" ref="FZ119">IFERROR(COUNT(IF(tblSalaries[Job Type]=Analysis!FZ$118,IF(tblSalaries[Years of Experience]=Analysis!$C119,tblSalaries[Salary in USD]))),0)</f>
        <v>264</v>
      </c>
      <c r="GA119" s="26">
        <f t="array" ref="GA119">IFERROR(COUNT(IF(tblSalaries[Job Type]=Analysis!GA$118,IF(tblSalaries[Years of Experience]=Analysis!$C119,tblSalaries[Salary in USD]))),0)</f>
        <v>39</v>
      </c>
      <c r="GB119" s="26">
        <f t="array" ref="GB119">IFERROR(COUNT(IF(tblSalaries[Job Type]=Analysis!GB$118,IF(tblSalaries[Years of Experience]=Analysis!$C119,tblSalaries[Salary in USD]))),0)</f>
        <v>140</v>
      </c>
      <c r="GC119" s="26">
        <f t="array" ref="GC119">IFERROR(COUNT(IF(tblSalaries[Job Type]=Analysis!GC$118,IF(tblSalaries[Years of Experience]=Analysis!$C119,tblSalaries[Salary in USD]))),0)</f>
        <v>4</v>
      </c>
      <c r="GD119" s="26">
        <f t="array" ref="GD119">IFERROR(COUNT(IF(tblSalaries[Job Type]=Analysis!GD$118,IF(tblSalaries[Years of Experience]=Analysis!$C119,tblSalaries[Salary in USD]))),0)</f>
        <v>42</v>
      </c>
      <c r="GE119" s="26">
        <f t="array" ref="GE119">IFERROR(COUNT(IF(tblSalaries[Region]=Analysis!GE$118,IF(tblSalaries[Years of Experience]=Analysis!$C119,tblSalaries[Salary in USD]))),0)</f>
        <v>28</v>
      </c>
      <c r="GF119" s="26">
        <f t="array" ref="GF119">IFERROR(COUNT(IF(tblSalaries[Region]=Analysis!GF$118,IF(tblSalaries[Years of Experience]=Analysis!$C119,tblSalaries[Salary in USD]))),0)</f>
        <v>109</v>
      </c>
      <c r="GG119" s="26">
        <f t="array" ref="GG119">IFERROR(COUNT(IF(tblSalaries[Region]=Analysis!GG$118,IF(tblSalaries[Years of Experience]=Analysis!$C119,tblSalaries[Salary in USD]))),0)</f>
        <v>12</v>
      </c>
      <c r="GH119" s="26">
        <f t="array" ref="GH119">IFERROR(COUNT(IF(tblSalaries[Region]=Analysis!GH$118,IF(tblSalaries[Years of Experience]=Analysis!$C119,tblSalaries[Salary in USD]))),0)</f>
        <v>37</v>
      </c>
      <c r="GI119" s="26">
        <f t="array" ref="GI119">IFERROR(COUNT(IF(tblSalaries[Region]=Analysis!GI$118,IF(tblSalaries[Years of Experience]=Analysis!$C119,tblSalaries[Salary in USD]))),0)</f>
        <v>32</v>
      </c>
      <c r="GJ119" s="26">
        <f t="array" ref="GJ119">IFERROR(COUNT(IF(tblSalaries[Region]=Analysis!GJ$118,IF(tblSalaries[Years of Experience]=Analysis!$C119,tblSalaries[Salary in USD]))),0)</f>
        <v>42</v>
      </c>
      <c r="GK119" s="26">
        <f t="array" ref="GK119">IFERROR(COUNT(IF(tblSalaries[Region]=Analysis!GK$118,IF(tblSalaries[Years of Experience]=Analysis!$C119,tblSalaries[Salary in USD]))),0)</f>
        <v>27</v>
      </c>
      <c r="GL119" s="26">
        <f t="array" ref="GL119">IFERROR(COUNT(IF(tblSalaries[Region]=Analysis!GL$118,IF(tblSalaries[Years of Experience]=Analysis!$C119,tblSalaries[Salary in USD]))),0)</f>
        <v>260</v>
      </c>
      <c r="GM119" s="26">
        <f t="array" ref="GM119">IFERROR(COUNT(IF(tblSalaries[Region]=Analysis!GM$118,IF(tblSalaries[Years of Experience]=Analysis!$C119,tblSalaries[Salary in USD]))),0)</f>
        <v>13</v>
      </c>
      <c r="GN119" s="26">
        <f t="array" ref="GN119">IFERROR(COUNT(IF(tblSalaries[Work Hour per day on Excel]=Analysis!GN$118,IF(tblSalaries[Years of Experience]=Analysis!$C119,tblSalaries[Salary in USD]))),0)</f>
        <v>45</v>
      </c>
      <c r="GO119" s="26">
        <f t="array" ref="GO119">IFERROR(COUNT(IF(tblSalaries[Work Hour per day on Excel]=Analysis!GO$118,IF(tblSalaries[Years of Experience]=Analysis!$C119,tblSalaries[Salary in USD]))),0)</f>
        <v>124</v>
      </c>
      <c r="GP119" s="26">
        <f t="array" ref="GP119">IFERROR(COUNT(IF(tblSalaries[Work Hour per day on Excel]=Analysis!GP$118,IF(tblSalaries[Years of Experience]=Analysis!$C119,tblSalaries[Salary in USD]))),0)</f>
        <v>236</v>
      </c>
      <c r="GQ119" s="26">
        <f t="array" ref="GQ119">IFERROR(COUNT(IF(tblSalaries[Work Hour per day on Excel]=Analysis!GQ$118,IF(tblSalaries[Years of Experience]=Analysis!$C119,tblSalaries[Salary in USD]))),0)</f>
        <v>155</v>
      </c>
    </row>
    <row r="120" spans="2:199" s="25" customFormat="1" ht="15" hidden="1" customHeight="1" x14ac:dyDescent="0.25">
      <c r="B120" s="25">
        <f>B119+1</f>
        <v>2</v>
      </c>
      <c r="C120" s="25" t="s">
        <v>1447</v>
      </c>
      <c r="D120" s="26">
        <f t="shared" si="154"/>
        <v>46565.074173623958</v>
      </c>
      <c r="E120" s="26">
        <f t="shared" si="154"/>
        <v>83791.161640712773</v>
      </c>
      <c r="F120" s="26">
        <f t="shared" si="154"/>
        <v>49720.145138544583</v>
      </c>
      <c r="G120" s="26">
        <f t="shared" si="154"/>
        <v>69468.485647513371</v>
      </c>
      <c r="H120" s="26">
        <f t="shared" si="154"/>
        <v>33608.504646380854</v>
      </c>
      <c r="I120" s="26">
        <f t="shared" si="154"/>
        <v>48554.911172922439</v>
      </c>
      <c r="J120" s="26">
        <f t="shared" si="154"/>
        <v>46589.804529257839</v>
      </c>
      <c r="K120" s="26">
        <f t="shared" si="154"/>
        <v>44925.583251103635</v>
      </c>
      <c r="L120" s="26">
        <f t="shared" si="154"/>
        <v>43280.98217341405</v>
      </c>
      <c r="M120" s="26">
        <f t="shared" si="154"/>
        <v>74461</v>
      </c>
      <c r="N120" s="26">
        <f t="shared" si="155"/>
        <v>24768.972599873727</v>
      </c>
      <c r="O120" s="26">
        <f t="shared" si="155"/>
        <v>104354.13277591871</v>
      </c>
      <c r="P120" s="26">
        <f t="shared" si="155"/>
        <v>75096.622448979586</v>
      </c>
      <c r="Q120" s="26">
        <f t="shared" si="155"/>
        <v>68721.615379410578</v>
      </c>
      <c r="R120" s="26">
        <f t="shared" si="155"/>
        <v>67065.59621645161</v>
      </c>
      <c r="S120" s="26">
        <f t="shared" si="155"/>
        <v>58577.958542700821</v>
      </c>
      <c r="T120" s="26">
        <f t="shared" si="155"/>
        <v>43460.736132568221</v>
      </c>
      <c r="U120" s="26">
        <f t="shared" si="155"/>
        <v>26490.151107455706</v>
      </c>
      <c r="V120" s="26">
        <f t="shared" si="155"/>
        <v>16564.418086390036</v>
      </c>
      <c r="W120" s="26">
        <f t="shared" si="155"/>
        <v>13072.128058070592</v>
      </c>
      <c r="X120" s="26">
        <f t="shared" si="156"/>
        <v>52201.118690154377</v>
      </c>
      <c r="Y120" s="26">
        <f t="shared" si="156"/>
        <v>54600.738776864157</v>
      </c>
      <c r="Z120" s="26">
        <f t="shared" si="156"/>
        <v>48395.656472615425</v>
      </c>
      <c r="AA120" s="26">
        <f t="shared" si="156"/>
        <v>35593.859235289368</v>
      </c>
      <c r="CZ120" s="26">
        <f t="array" ref="CZ120">IFERROR(AVERAGE(IF(tblSalaries[Years of Experience]=Analysis!$C120,tblSalaries[Salary in USD])),0)</f>
        <v>46565.074173623958</v>
      </c>
      <c r="DA120" s="26">
        <f t="array" ref="DA120">IFERROR(AVERAGE(IF(tblSalaries[Job Type]=Analysis!DA$118,IF(tblSalaries[Years of Experience]=Analysis!$C120,tblSalaries[Salary in USD]))),0)</f>
        <v>83791.161640712773</v>
      </c>
      <c r="DB120" s="26">
        <f t="array" ref="DB120">IFERROR(AVERAGE(IF(tblSalaries[Job Type]=Analysis!DB$118,IF(tblSalaries[Years of Experience]=Analysis!$C120,tblSalaries[Salary in USD]))),0)</f>
        <v>49720.145138544583</v>
      </c>
      <c r="DC120" s="26">
        <f t="array" ref="DC120">IFERROR(AVERAGE(IF(tblSalaries[Job Type]=Analysis!DC$118,IF(tblSalaries[Years of Experience]=Analysis!$C120,tblSalaries[Salary in USD]))),0)</f>
        <v>69468.485647513371</v>
      </c>
      <c r="DD120" s="26">
        <f t="array" ref="DD120">IFERROR(AVERAGE(IF(tblSalaries[Job Type]=Analysis!DD$118,IF(tblSalaries[Years of Experience]=Analysis!$C120,tblSalaries[Salary in USD]))),0)</f>
        <v>33608.504646380854</v>
      </c>
      <c r="DE120" s="26">
        <f t="array" ref="DE120">IFERROR(AVERAGE(IF(tblSalaries[Job Type]=Analysis!DE$118,IF(tblSalaries[Years of Experience]=Analysis!$C120,tblSalaries[Salary in USD]))),0)</f>
        <v>48554.911172922439</v>
      </c>
      <c r="DF120" s="26">
        <f t="array" ref="DF120">IFERROR(AVERAGE(IF(tblSalaries[Job Type]=Analysis!DF$118,IF(tblSalaries[Years of Experience]=Analysis!$C120,tblSalaries[Salary in USD]))),0)</f>
        <v>46589.804529257839</v>
      </c>
      <c r="DG120" s="26">
        <f t="array" ref="DG120">IFERROR(AVERAGE(IF(tblSalaries[Job Type]=Analysis!DG$118,IF(tblSalaries[Years of Experience]=Analysis!$C120,tblSalaries[Salary in USD]))),0)</f>
        <v>44925.583251103635</v>
      </c>
      <c r="DH120" s="26">
        <f t="array" ref="DH120">IFERROR(AVERAGE(IF(tblSalaries[Job Type]=Analysis!DH$118,IF(tblSalaries[Years of Experience]=Analysis!$C120,tblSalaries[Salary in USD]))),0)</f>
        <v>43280.98217341405</v>
      </c>
      <c r="DI120" s="26">
        <f t="array" ref="DI120">IFERROR(AVERAGE(IF(tblSalaries[Job Type]=Analysis!DI$118,IF(tblSalaries[Years of Experience]=Analysis!$C120,tblSalaries[Salary in USD]))),0)</f>
        <v>74461</v>
      </c>
      <c r="DJ120" s="26">
        <f t="array" ref="DJ120">IFERROR(AVERAGE(IF(tblSalaries[Job Type]=Analysis!DJ$118,IF(tblSalaries[Years of Experience]=Analysis!$C120,tblSalaries[Salary in USD]))),0)</f>
        <v>24768.972599873727</v>
      </c>
      <c r="DK120" s="26">
        <f t="array" ref="DK120">IFERROR(AVERAGE(IF(tblSalaries[Region]=Analysis!DK$118,IF(tblSalaries[Years of Experience]=Analysis!$C120,tblSalaries[Salary in USD]))),0)</f>
        <v>104354.13277591871</v>
      </c>
      <c r="DL120" s="26">
        <f t="array" ref="DL120">IFERROR(AVERAGE(IF(tblSalaries[Region]=Analysis!DL$118,IF(tblSalaries[Years of Experience]=Analysis!$C120,tblSalaries[Salary in USD]))),0)</f>
        <v>75096.622448979586</v>
      </c>
      <c r="DM120" s="26">
        <f t="array" ref="DM120">IFERROR(AVERAGE(IF(tblSalaries[Region]=Analysis!DM$118,IF(tblSalaries[Years of Experience]=Analysis!$C120,tblSalaries[Salary in USD]))),0)</f>
        <v>68721.615379410578</v>
      </c>
      <c r="DN120" s="26">
        <f t="array" ref="DN120">IFERROR(AVERAGE(IF(tblSalaries[Region]=Analysis!DN$118,IF(tblSalaries[Years of Experience]=Analysis!$C120,tblSalaries[Salary in USD]))),0)</f>
        <v>67065.59621645161</v>
      </c>
      <c r="DO120" s="26">
        <f t="array" ref="DO120">IFERROR(AVERAGE(IF(tblSalaries[Region]=Analysis!DO$118,IF(tblSalaries[Years of Experience]=Analysis!$C120,tblSalaries[Salary in USD]))),0)</f>
        <v>58577.958542700821</v>
      </c>
      <c r="DP120" s="26">
        <f t="array" ref="DP120">IFERROR(AVERAGE(IF(tblSalaries[Region]=Analysis!DP$118,IF(tblSalaries[Years of Experience]=Analysis!$C120,tblSalaries[Salary in USD]))),0)</f>
        <v>43460.736132568221</v>
      </c>
      <c r="DQ120" s="26">
        <f t="array" ref="DQ120">IFERROR(AVERAGE(IF(tblSalaries[Region]=Analysis!DQ$118,IF(tblSalaries[Years of Experience]=Analysis!$C120,tblSalaries[Salary in USD]))),0)</f>
        <v>26490.151107455706</v>
      </c>
      <c r="DR120" s="26">
        <f t="array" ref="DR120">IFERROR(AVERAGE(IF(tblSalaries[Region]=Analysis!DR$118,IF(tblSalaries[Years of Experience]=Analysis!$C120,tblSalaries[Salary in USD]))),0)</f>
        <v>16564.418086390036</v>
      </c>
      <c r="DS120" s="26">
        <f t="array" ref="DS120">IFERROR(AVERAGE(IF(tblSalaries[Region]=Analysis!DS$118,IF(tblSalaries[Years of Experience]=Analysis!$C120,tblSalaries[Salary in USD]))),0)</f>
        <v>13072.128058070592</v>
      </c>
      <c r="DT120" s="26">
        <f t="array" ref="DT120">IFERROR(AVERAGE(IF(tblSalaries[Work Hour per day on Excel]=Analysis!DT$118,IF(tblSalaries[Years of Experience]=Analysis!$C120,tblSalaries[Salary in USD]))),0)</f>
        <v>52201.118690154377</v>
      </c>
      <c r="DU120" s="26">
        <f t="array" ref="DU120">IFERROR(AVERAGE(IF(tblSalaries[Work Hour per day on Excel]=Analysis!DU$118,IF(tblSalaries[Years of Experience]=Analysis!$C120,tblSalaries[Salary in USD]))),0)</f>
        <v>54600.738776864157</v>
      </c>
      <c r="DV120" s="26">
        <f t="array" ref="DV120">IFERROR(AVERAGE(IF(tblSalaries[Work Hour per day on Excel]=Analysis!DV$118,IF(tblSalaries[Years of Experience]=Analysis!$C120,tblSalaries[Salary in USD]))),0)</f>
        <v>48395.656472615425</v>
      </c>
      <c r="DW120" s="26">
        <f t="array" ref="DW120">IFERROR(AVERAGE(IF(tblSalaries[Work Hour per day on Excel]=Analysis!DW$118,IF(tblSalaries[Years of Experience]=Analysis!$C120,tblSalaries[Salary in USD]))),0)</f>
        <v>35593.859235289368</v>
      </c>
      <c r="DX120" s="26">
        <f t="array" ref="DX120">IFERROR(MAX(IF(tblSalaries[Years of Experience]=Analysis!$C120,tblSalaries[Salary in USD])),0)</f>
        <v>260000</v>
      </c>
      <c r="DY120" s="26">
        <f t="array" ref="DY120">IFERROR(MAX(IF(tblSalaries[Job Type]=Analysis!DY$118,IF(tblSalaries[Years of Experience]=Analysis!$C120,tblSalaries[Salary in USD]))),0)</f>
        <v>260000</v>
      </c>
      <c r="DZ120" s="26">
        <f t="array" ref="DZ120">IFERROR(MAX(IF(tblSalaries[Job Type]=Analysis!DZ$118,IF(tblSalaries[Years of Experience]=Analysis!$C120,tblSalaries[Salary in USD]))),0)</f>
        <v>140000</v>
      </c>
      <c r="EA120" s="26">
        <f t="array" ref="EA120">IFERROR(MAX(IF(tblSalaries[Job Type]=Analysis!EA$118,IF(tblSalaries[Years of Experience]=Analysis!$C120,tblSalaries[Salary in USD]))),0)</f>
        <v>173384.64158844808</v>
      </c>
      <c r="EB120" s="26">
        <f t="array" ref="EB120">IFERROR(MAX(IF(tblSalaries[Job Type]=Analysis!EB$118,IF(tblSalaries[Years of Experience]=Analysis!$C120,tblSalaries[Salary in USD]))),0)</f>
        <v>74000</v>
      </c>
      <c r="EC120" s="26">
        <f t="array" ref="EC120">IFERROR(MAX(IF(tblSalaries[Job Type]=Analysis!EC$118,IF(tblSalaries[Years of Experience]=Analysis!$C120,tblSalaries[Salary in USD]))),0)</f>
        <v>231119.74856804207</v>
      </c>
      <c r="ED120" s="26">
        <f t="array" ref="ED120">IFERROR(MAX(IF(tblSalaries[Job Type]=Analysis!ED$118,IF(tblSalaries[Years of Experience]=Analysis!$C120,tblSalaries[Salary in USD]))),0)</f>
        <v>173384.64158844808</v>
      </c>
      <c r="EE120" s="26">
        <f t="array" ref="EE120">IFERROR(MAX(IF(tblSalaries[Job Type]=Analysis!EE$118,IF(tblSalaries[Years of Experience]=Analysis!$C120,tblSalaries[Salary in USD]))),0)</f>
        <v>177600</v>
      </c>
      <c r="EF120" s="26">
        <f t="array" ref="EF120">IFERROR(MAX(IF(tblSalaries[Job Type]=Analysis!EF$118,IF(tblSalaries[Years of Experience]=Analysis!$C120,tblSalaries[Salary in USD]))),0)</f>
        <v>186983.12521814698</v>
      </c>
      <c r="EG120" s="26">
        <f t="array" ref="EG120">IFERROR(MAX(IF(tblSalaries[Job Type]=Analysis!EG$118,IF(tblSalaries[Years of Experience]=Analysis!$C120,tblSalaries[Salary in USD]))),0)</f>
        <v>74461</v>
      </c>
      <c r="EH120" s="26">
        <f t="array" ref="EH120">IFERROR(MAX(IF(tblSalaries[Job Type]=Analysis!EH$118,IF(tblSalaries[Years of Experience]=Analysis!$C120,tblSalaries[Salary in USD]))),0)</f>
        <v>100614.72928405051</v>
      </c>
      <c r="EI120" s="26">
        <f t="array" ref="EI120">IFERROR(MAX(IF(tblSalaries[Region]=Analysis!EI$118,IF(tblSalaries[Years of Experience]=Analysis!$C120,tblSalaries[Salary in USD]))),0)</f>
        <v>173384.64158844808</v>
      </c>
      <c r="EJ120" s="26">
        <f t="array" ref="EJ120">IFERROR(MAX(IF(tblSalaries[Region]=Analysis!EJ$118,IF(tblSalaries[Years of Experience]=Analysis!$C120,tblSalaries[Salary in USD]))),0)</f>
        <v>260000</v>
      </c>
      <c r="EK120" s="26">
        <f t="array" ref="EK120">IFERROR(MAX(IF(tblSalaries[Region]=Analysis!EK$118,IF(tblSalaries[Years of Experience]=Analysis!$C120,tblSalaries[Salary in USD]))),0)</f>
        <v>98336.152303032693</v>
      </c>
      <c r="EL120" s="26">
        <f t="array" ref="EL120">IFERROR(MAX(IF(tblSalaries[Region]=Analysis!EL$118,IF(tblSalaries[Years of Experience]=Analysis!$C120,tblSalaries[Salary in USD]))),0)</f>
        <v>231119.74856804207</v>
      </c>
      <c r="EM120" s="26">
        <f t="array" ref="EM120">IFERROR(MAX(IF(tblSalaries[Region]=Analysis!EM$118,IF(tblSalaries[Years of Experience]=Analysis!$C120,tblSalaries[Salary in USD]))),0)</f>
        <v>149907.13380100971</v>
      </c>
      <c r="EN120" s="26">
        <f t="array" ref="EN120">IFERROR(MAX(IF(tblSalaries[Region]=Analysis!EN$118,IF(tblSalaries[Years of Experience]=Analysis!$C120,tblSalaries[Salary in USD]))),0)</f>
        <v>177600</v>
      </c>
      <c r="EO120" s="26">
        <f t="array" ref="EO120">IFERROR(MAX(IF(tblSalaries[Region]=Analysis!EO$118,IF(tblSalaries[Years of Experience]=Analysis!$C120,tblSalaries[Salary in USD]))),0)</f>
        <v>85000</v>
      </c>
      <c r="EP120" s="26">
        <f t="array" ref="EP120">IFERROR(MAX(IF(tblSalaries[Region]=Analysis!EP$118,IF(tblSalaries[Years of Experience]=Analysis!$C120,tblSalaries[Salary in USD]))),0)</f>
        <v>186983.12521814698</v>
      </c>
      <c r="EQ120" s="26">
        <f t="array" ref="EQ120">IFERROR(MAX(IF(tblSalaries[Region]=Analysis!EQ$118,IF(tblSalaries[Years of Experience]=Analysis!$C120,tblSalaries[Salary in USD]))),0)</f>
        <v>45000</v>
      </c>
      <c r="ER120" s="26">
        <f t="array" ref="ER120">IFERROR(MAX(IF(tblSalaries[Work Hour per day on Excel]=Analysis!ER$118,IF(tblSalaries[Years of Experience]=Analysis!$C120,tblSalaries[Salary in USD]))),0)</f>
        <v>152986.44846039536</v>
      </c>
      <c r="ES120" s="26">
        <f t="array" ref="ES120">IFERROR(MAX(IF(tblSalaries[Work Hour per day on Excel]=Analysis!ES$118,IF(tblSalaries[Years of Experience]=Analysis!$C120,tblSalaries[Salary in USD]))),0)</f>
        <v>260000</v>
      </c>
      <c r="ET120" s="26">
        <f t="array" ref="ET120">IFERROR(MAX(IF(tblSalaries[Work Hour per day on Excel]=Analysis!ET$118,IF(tblSalaries[Years of Experience]=Analysis!$C120,tblSalaries[Salary in USD]))),0)</f>
        <v>177600</v>
      </c>
      <c r="EU120" s="26">
        <f t="array" ref="EU120">IFERROR(MAX(IF(tblSalaries[Work Hour per day on Excel]=Analysis!EU$118,IF(tblSalaries[Years of Experience]=Analysis!$C120,tblSalaries[Salary in USD]))),0)</f>
        <v>173384.64158844808</v>
      </c>
      <c r="EV120" s="26">
        <f t="array" ref="EV120">IFERROR(MIN(IF(tblSalaries[Years of Experience]=Analysis!$C120,tblSalaries[Salary in USD])),0)</f>
        <v>1783.166904422254</v>
      </c>
      <c r="EW120" s="26">
        <f t="array" ref="EW120">IFERROR(MIN(IF(tblSalaries[Job Type]=Analysis!EW$118,IF(tblSalaries[Years of Experience]=Analysis!$C120,tblSalaries[Salary in USD]))),0)</f>
        <v>14630.613583549337</v>
      </c>
      <c r="EX120" s="26">
        <f t="array" ref="EX120">IFERROR(MIN(IF(tblSalaries[Job Type]=Analysis!EX$118,IF(tblSalaries[Years of Experience]=Analysis!$C120,tblSalaries[Salary in USD]))),0)</f>
        <v>7200</v>
      </c>
      <c r="EY120" s="26">
        <f t="array" ref="EY120">IFERROR(MIN(IF(tblSalaries[Job Type]=Analysis!EY$118,IF(tblSalaries[Years of Experience]=Analysis!$C120,tblSalaries[Salary in USD]))),0)</f>
        <v>12000</v>
      </c>
      <c r="EZ120" s="26">
        <f t="array" ref="EZ120">IFERROR(MIN(IF(tblSalaries[Job Type]=Analysis!EZ$118,IF(tblSalaries[Years of Experience]=Analysis!$C120,tblSalaries[Salary in USD]))),0)</f>
        <v>12500</v>
      </c>
      <c r="FA120" s="26">
        <f t="array" ref="FA120">IFERROR(MIN(IF(tblSalaries[Job Type]=Analysis!FA$118,IF(tblSalaries[Years of Experience]=Analysis!$C120,tblSalaries[Salary in USD]))),0)</f>
        <v>7123.1666749770275</v>
      </c>
      <c r="FB120" s="26">
        <f t="array" ref="FB120">IFERROR(MIN(IF(tblSalaries[Job Type]=Analysis!FB$118,IF(tblSalaries[Years of Experience]=Analysis!$C120,tblSalaries[Salary in USD]))),0)</f>
        <v>3205.4250037396623</v>
      </c>
      <c r="FC120" s="26">
        <f t="array" ref="FC120">IFERROR(MIN(IF(tblSalaries[Job Type]=Analysis!FC$118,IF(tblSalaries[Years of Experience]=Analysis!$C120,tblSalaries[Salary in USD]))),0)</f>
        <v>1783.166904422254</v>
      </c>
      <c r="FD120" s="26">
        <f t="array" ref="FD120">IFERROR(MIN(IF(tblSalaries[Job Type]=Analysis!FD$118,IF(tblSalaries[Years of Experience]=Analysis!$C120,tblSalaries[Salary in USD]))),0)</f>
        <v>2564.3400029917298</v>
      </c>
      <c r="FE120" s="26">
        <f t="array" ref="FE120">IFERROR(MIN(IF(tblSalaries[Job Type]=Analysis!FE$118,IF(tblSalaries[Years of Experience]=Analysis!$C120,tblSalaries[Salary in USD]))),0)</f>
        <v>74461</v>
      </c>
      <c r="FF120" s="26">
        <f t="array" ref="FF120">IFERROR(MIN(IF(tblSalaries[Job Type]=Analysis!FF$118,IF(tblSalaries[Years of Experience]=Analysis!$C120,tblSalaries[Salary in USD]))),0)</f>
        <v>1910.5359690238436</v>
      </c>
      <c r="FG120" s="26">
        <f t="array" ref="FG120">IFERROR(MIN(IF(tblSalaries[Region]=Analysis!FG$118,IF(tblSalaries[Years of Experience]=Analysis!$C120,tblSalaries[Salary in USD]))),0)</f>
        <v>22438.012440857987</v>
      </c>
      <c r="FH120" s="26">
        <f t="array" ref="FH120">IFERROR(MIN(IF(tblSalaries[Region]=Analysis!FH$118,IF(tblSalaries[Years of Experience]=Analysis!$C120,tblSalaries[Salary in USD]))),0)</f>
        <v>15000</v>
      </c>
      <c r="FI120" s="26">
        <f t="array" ref="FI120">IFERROR(MIN(IF(tblSalaries[Region]=Analysis!FI$118,IF(tblSalaries[Years of Experience]=Analysis!$C120,tblSalaries[Salary in USD]))),0)</f>
        <v>50437.70470615309</v>
      </c>
      <c r="FJ120" s="26">
        <f t="array" ref="FJ120">IFERROR(MIN(IF(tblSalaries[Region]=Analysis!FJ$118,IF(tblSalaries[Years of Experience]=Analysis!$C120,tblSalaries[Salary in USD]))),0)</f>
        <v>15761.782720672842</v>
      </c>
      <c r="FK120" s="26">
        <f t="array" ref="FK120">IFERROR(MIN(IF(tblSalaries[Region]=Analysis!FK$118,IF(tblSalaries[Years of Experience]=Analysis!$C120,tblSalaries[Salary in USD]))),0)</f>
        <v>13000</v>
      </c>
      <c r="FL120" s="26">
        <f t="array" ref="FL120">IFERROR(MIN(IF(tblSalaries[Region]=Analysis!FL$118,IF(tblSalaries[Years of Experience]=Analysis!$C120,tblSalaries[Salary in USD]))),0)</f>
        <v>9146.5655463031271</v>
      </c>
      <c r="FM120" s="26">
        <f t="array" ref="FM120">IFERROR(MIN(IF(tblSalaries[Region]=Analysis!FM$118,IF(tblSalaries[Years of Experience]=Analysis!$C120,tblSalaries[Salary in USD]))),0)</f>
        <v>3982.448779308334</v>
      </c>
      <c r="FN120" s="26">
        <f t="array" ref="FN120">IFERROR(MIN(IF(tblSalaries[Region]=Analysis!FN$118,IF(tblSalaries[Years of Experience]=Analysis!$C120,tblSalaries[Salary in USD]))),0)</f>
        <v>2564.3400029917298</v>
      </c>
      <c r="FO120" s="26">
        <f t="array" ref="FO120">IFERROR(MIN(IF(tblSalaries[Region]=Analysis!FO$118,IF(tblSalaries[Years of Experience]=Analysis!$C120,tblSalaries[Salary in USD]))),0)</f>
        <v>1783.166904422254</v>
      </c>
      <c r="FP120" s="26">
        <f t="array" ref="FP120">IFERROR(MIN(IF(tblSalaries[Work Hour per day on Excel]=Analysis!FP$118,IF(tblSalaries[Years of Experience]=Analysis!$C120,tblSalaries[Salary in USD]))),0)</f>
        <v>3561.5833374885137</v>
      </c>
      <c r="FQ120" s="26">
        <f t="array" ref="FQ120">IFERROR(MIN(IF(tblSalaries[Work Hour per day on Excel]=Analysis!FQ$118,IF(tblSalaries[Years of Experience]=Analysis!$C120,tblSalaries[Salary in USD]))),0)</f>
        <v>2564.3400029917298</v>
      </c>
      <c r="FR120" s="26">
        <f t="array" ref="FR120">IFERROR(MIN(IF(tblSalaries[Work Hour per day on Excel]=Analysis!FR$118,IF(tblSalaries[Years of Experience]=Analysis!$C120,tblSalaries[Salary in USD]))),0)</f>
        <v>1783.166904422254</v>
      </c>
      <c r="FS120" s="26">
        <f t="array" ref="FS120">IFERROR(MIN(IF(tblSalaries[Work Hour per day on Excel]=Analysis!FS$118,IF(tblSalaries[Years of Experience]=Analysis!$C120,tblSalaries[Salary in USD]))),0)</f>
        <v>1910.5359690238436</v>
      </c>
      <c r="FT120" s="26">
        <f t="array" ref="FT120">IFERROR(COUNT(IF(tblSalaries[Years of Experience]=Analysis!$C120,tblSalaries[Salary in USD])),0)</f>
        <v>403</v>
      </c>
      <c r="FU120" s="26">
        <f t="array" ref="FU120">IFERROR(COUNT(IF(tblSalaries[Job Type]=Analysis!FU$118,IF(tblSalaries[Years of Experience]=Analysis!$C120,tblSalaries[Salary in USD]))),0)</f>
        <v>15</v>
      </c>
      <c r="FV120" s="26">
        <f t="array" ref="FV120">IFERROR(COUNT(IF(tblSalaries[Job Type]=Analysis!FV$118,IF(tblSalaries[Years of Experience]=Analysis!$C120,tblSalaries[Salary in USD]))),0)</f>
        <v>17</v>
      </c>
      <c r="FW120" s="26">
        <f t="array" ref="FW120">IFERROR(COUNT(IF(tblSalaries[Job Type]=Analysis!FW$118,IF(tblSalaries[Years of Experience]=Analysis!$C120,tblSalaries[Salary in USD]))),0)</f>
        <v>19</v>
      </c>
      <c r="FX120" s="26">
        <f t="array" ref="FX120">IFERROR(COUNT(IF(tblSalaries[Job Type]=Analysis!FX$118,IF(tblSalaries[Years of Experience]=Analysis!$C120,tblSalaries[Salary in USD]))),0)</f>
        <v>12</v>
      </c>
      <c r="FY120" s="26">
        <f t="array" ref="FY120">IFERROR(COUNT(IF(tblSalaries[Job Type]=Analysis!FY$118,IF(tblSalaries[Years of Experience]=Analysis!$C120,tblSalaries[Salary in USD]))),0)</f>
        <v>15</v>
      </c>
      <c r="FZ120" s="26">
        <f t="array" ref="FZ120">IFERROR(COUNT(IF(tblSalaries[Job Type]=Analysis!FZ$118,IF(tblSalaries[Years of Experience]=Analysis!$C120,tblSalaries[Salary in USD]))),0)</f>
        <v>153</v>
      </c>
      <c r="GA120" s="26">
        <f t="array" ref="GA120">IFERROR(COUNT(IF(tblSalaries[Job Type]=Analysis!GA$118,IF(tblSalaries[Years of Experience]=Analysis!$C120,tblSalaries[Salary in USD]))),0)</f>
        <v>32</v>
      </c>
      <c r="GB120" s="26">
        <f t="array" ref="GB120">IFERROR(COUNT(IF(tblSalaries[Job Type]=Analysis!GB$118,IF(tblSalaries[Years of Experience]=Analysis!$C120,tblSalaries[Salary in USD]))),0)</f>
        <v>115</v>
      </c>
      <c r="GC120" s="26">
        <f t="array" ref="GC120">IFERROR(COUNT(IF(tblSalaries[Job Type]=Analysis!GC$118,IF(tblSalaries[Years of Experience]=Analysis!$C120,tblSalaries[Salary in USD]))),0)</f>
        <v>1</v>
      </c>
      <c r="GD120" s="26">
        <f t="array" ref="GD120">IFERROR(COUNT(IF(tblSalaries[Job Type]=Analysis!GD$118,IF(tblSalaries[Years of Experience]=Analysis!$C120,tblSalaries[Salary in USD]))),0)</f>
        <v>24</v>
      </c>
      <c r="GE120" s="26">
        <f t="array" ref="GE120">IFERROR(COUNT(IF(tblSalaries[Region]=Analysis!GE$118,IF(tblSalaries[Years of Experience]=Analysis!$C120,tblSalaries[Salary in USD]))),0)</f>
        <v>20</v>
      </c>
      <c r="GF120" s="26">
        <f t="array" ref="GF120">IFERROR(COUNT(IF(tblSalaries[Region]=Analysis!GF$118,IF(tblSalaries[Years of Experience]=Analysis!$C120,tblSalaries[Salary in USD]))),0)</f>
        <v>98</v>
      </c>
      <c r="GG120" s="26">
        <f t="array" ref="GG120">IFERROR(COUNT(IF(tblSalaries[Region]=Analysis!GG$118,IF(tblSalaries[Years of Experience]=Analysis!$C120,tblSalaries[Salary in USD]))),0)</f>
        <v>6</v>
      </c>
      <c r="GH120" s="26">
        <f t="array" ref="GH120">IFERROR(COUNT(IF(tblSalaries[Region]=Analysis!GH$118,IF(tblSalaries[Years of Experience]=Analysis!$C120,tblSalaries[Salary in USD]))),0)</f>
        <v>35</v>
      </c>
      <c r="GI120" s="26">
        <f t="array" ref="GI120">IFERROR(COUNT(IF(tblSalaries[Region]=Analysis!GI$118,IF(tblSalaries[Years of Experience]=Analysis!$C120,tblSalaries[Salary in USD]))),0)</f>
        <v>32</v>
      </c>
      <c r="GJ120" s="26">
        <f t="array" ref="GJ120">IFERROR(COUNT(IF(tblSalaries[Region]=Analysis!GJ$118,IF(tblSalaries[Years of Experience]=Analysis!$C120,tblSalaries[Salary in USD]))),0)</f>
        <v>39</v>
      </c>
      <c r="GK120" s="26">
        <f t="array" ref="GK120">IFERROR(COUNT(IF(tblSalaries[Region]=Analysis!GK$118,IF(tblSalaries[Years of Experience]=Analysis!$C120,tblSalaries[Salary in USD]))),0)</f>
        <v>15</v>
      </c>
      <c r="GL120" s="26">
        <f t="array" ref="GL120">IFERROR(COUNT(IF(tblSalaries[Region]=Analysis!GL$118,IF(tblSalaries[Years of Experience]=Analysis!$C120,tblSalaries[Salary in USD]))),0)</f>
        <v>151</v>
      </c>
      <c r="GM120" s="26">
        <f t="array" ref="GM120">IFERROR(COUNT(IF(tblSalaries[Region]=Analysis!GM$118,IF(tblSalaries[Years of Experience]=Analysis!$C120,tblSalaries[Salary in USD]))),0)</f>
        <v>7</v>
      </c>
      <c r="GN120" s="26">
        <f t="array" ref="GN120">IFERROR(COUNT(IF(tblSalaries[Work Hour per day on Excel]=Analysis!GN$118,IF(tblSalaries[Years of Experience]=Analysis!$C120,tblSalaries[Salary in USD]))),0)</f>
        <v>38</v>
      </c>
      <c r="GO120" s="26">
        <f t="array" ref="GO120">IFERROR(COUNT(IF(tblSalaries[Work Hour per day on Excel]=Analysis!GO$118,IF(tblSalaries[Years of Experience]=Analysis!$C120,tblSalaries[Salary in USD]))),0)</f>
        <v>93</v>
      </c>
      <c r="GP120" s="26">
        <f t="array" ref="GP120">IFERROR(COUNT(IF(tblSalaries[Work Hour per day on Excel]=Analysis!GP$118,IF(tblSalaries[Years of Experience]=Analysis!$C120,tblSalaries[Salary in USD]))),0)</f>
        <v>158</v>
      </c>
      <c r="GQ120" s="26">
        <f t="array" ref="GQ120">IFERROR(COUNT(IF(tblSalaries[Work Hour per day on Excel]=Analysis!GQ$118,IF(tblSalaries[Years of Experience]=Analysis!$C120,tblSalaries[Salary in USD]))),0)</f>
        <v>114</v>
      </c>
    </row>
    <row r="121" spans="2:199" s="25" customFormat="1" ht="15" hidden="1" customHeight="1" x14ac:dyDescent="0.25">
      <c r="B121" s="25">
        <f t="shared" ref="B121:B133" si="157">B120+1</f>
        <v>3</v>
      </c>
      <c r="C121" s="25" t="s">
        <v>1446</v>
      </c>
      <c r="D121" s="26">
        <f t="shared" si="154"/>
        <v>62708.750665566986</v>
      </c>
      <c r="E121" s="26">
        <f t="shared" si="154"/>
        <v>99917.314179493667</v>
      </c>
      <c r="F121" s="26">
        <f t="shared" si="154"/>
        <v>86164.517247196665</v>
      </c>
      <c r="G121" s="26">
        <f t="shared" si="154"/>
        <v>77030.289365842968</v>
      </c>
      <c r="H121" s="26">
        <f t="shared" si="154"/>
        <v>63098.942935174477</v>
      </c>
      <c r="I121" s="26">
        <f t="shared" si="154"/>
        <v>88113.989099073457</v>
      </c>
      <c r="J121" s="26">
        <f t="shared" si="154"/>
        <v>59470.266950847887</v>
      </c>
      <c r="K121" s="26">
        <f t="shared" si="154"/>
        <v>53332.66756094755</v>
      </c>
      <c r="L121" s="26">
        <f t="shared" si="154"/>
        <v>53803.971452740712</v>
      </c>
      <c r="M121" s="26">
        <f t="shared" si="154"/>
        <v>41712.231189497601</v>
      </c>
      <c r="N121" s="26">
        <f t="shared" si="155"/>
        <v>46742.29247248781</v>
      </c>
      <c r="O121" s="26">
        <f t="shared" si="155"/>
        <v>110171.74593817336</v>
      </c>
      <c r="P121" s="26">
        <f t="shared" si="155"/>
        <v>80630.431372549021</v>
      </c>
      <c r="Q121" s="26">
        <f t="shared" si="155"/>
        <v>81501.860520001574</v>
      </c>
      <c r="R121" s="26">
        <f t="shared" si="155"/>
        <v>73442.541508111302</v>
      </c>
      <c r="S121" s="26">
        <f t="shared" si="155"/>
        <v>68692.097611196004</v>
      </c>
      <c r="T121" s="26">
        <f t="shared" si="155"/>
        <v>44246.479762674964</v>
      </c>
      <c r="U121" s="26">
        <f t="shared" si="155"/>
        <v>32661.888837580569</v>
      </c>
      <c r="V121" s="26">
        <f t="shared" si="155"/>
        <v>14665.089282700204</v>
      </c>
      <c r="W121" s="26">
        <f t="shared" si="155"/>
        <v>14589.4</v>
      </c>
      <c r="X121" s="26">
        <f t="shared" si="156"/>
        <v>59682.259839817081</v>
      </c>
      <c r="Y121" s="26">
        <f t="shared" si="156"/>
        <v>67112.562858000514</v>
      </c>
      <c r="Z121" s="26">
        <f t="shared" si="156"/>
        <v>64491.681983512412</v>
      </c>
      <c r="AA121" s="26">
        <f t="shared" si="156"/>
        <v>54527.71755519788</v>
      </c>
      <c r="CZ121" s="26">
        <f t="array" ref="CZ121">IFERROR(AVERAGE(IF(tblSalaries[Years of Experience]=Analysis!$C121,tblSalaries[Salary in USD])),0)</f>
        <v>62708.750665566986</v>
      </c>
      <c r="DA121" s="26">
        <f t="array" ref="DA121">IFERROR(AVERAGE(IF(tblSalaries[Job Type]=Analysis!DA$118,IF(tblSalaries[Years of Experience]=Analysis!$C121,tblSalaries[Salary in USD]))),0)</f>
        <v>99917.314179493667</v>
      </c>
      <c r="DB121" s="26">
        <f t="array" ref="DB121">IFERROR(AVERAGE(IF(tblSalaries[Job Type]=Analysis!DB$118,IF(tblSalaries[Years of Experience]=Analysis!$C121,tblSalaries[Salary in USD]))),0)</f>
        <v>86164.517247196665</v>
      </c>
      <c r="DC121" s="26">
        <f t="array" ref="DC121">IFERROR(AVERAGE(IF(tblSalaries[Job Type]=Analysis!DC$118,IF(tblSalaries[Years of Experience]=Analysis!$C121,tblSalaries[Salary in USD]))),0)</f>
        <v>77030.289365842968</v>
      </c>
      <c r="DD121" s="26">
        <f t="array" ref="DD121">IFERROR(AVERAGE(IF(tblSalaries[Job Type]=Analysis!DD$118,IF(tblSalaries[Years of Experience]=Analysis!$C121,tblSalaries[Salary in USD]))),0)</f>
        <v>63098.942935174477</v>
      </c>
      <c r="DE121" s="26">
        <f t="array" ref="DE121">IFERROR(AVERAGE(IF(tblSalaries[Job Type]=Analysis!DE$118,IF(tblSalaries[Years of Experience]=Analysis!$C121,tblSalaries[Salary in USD]))),0)</f>
        <v>88113.989099073457</v>
      </c>
      <c r="DF121" s="26">
        <f t="array" ref="DF121">IFERROR(AVERAGE(IF(tblSalaries[Job Type]=Analysis!DF$118,IF(tblSalaries[Years of Experience]=Analysis!$C121,tblSalaries[Salary in USD]))),0)</f>
        <v>59470.266950847887</v>
      </c>
      <c r="DG121" s="26">
        <f t="array" ref="DG121">IFERROR(AVERAGE(IF(tblSalaries[Job Type]=Analysis!DG$118,IF(tblSalaries[Years of Experience]=Analysis!$C121,tblSalaries[Salary in USD]))),0)</f>
        <v>53332.66756094755</v>
      </c>
      <c r="DH121" s="26">
        <f t="array" ref="DH121">IFERROR(AVERAGE(IF(tblSalaries[Job Type]=Analysis!DH$118,IF(tblSalaries[Years of Experience]=Analysis!$C121,tblSalaries[Salary in USD]))),0)</f>
        <v>53803.971452740712</v>
      </c>
      <c r="DI121" s="26">
        <f t="array" ref="DI121">IFERROR(AVERAGE(IF(tblSalaries[Job Type]=Analysis!DI$118,IF(tblSalaries[Years of Experience]=Analysis!$C121,tblSalaries[Salary in USD]))),0)</f>
        <v>41712.231189497601</v>
      </c>
      <c r="DJ121" s="26">
        <f t="array" ref="DJ121">IFERROR(AVERAGE(IF(tblSalaries[Job Type]=Analysis!DJ$118,IF(tblSalaries[Years of Experience]=Analysis!$C121,tblSalaries[Salary in USD]))),0)</f>
        <v>46742.29247248781</v>
      </c>
      <c r="DK121" s="26">
        <f t="array" ref="DK121">IFERROR(AVERAGE(IF(tblSalaries[Region]=Analysis!DK$118,IF(tblSalaries[Years of Experience]=Analysis!$C121,tblSalaries[Salary in USD]))),0)</f>
        <v>110171.74593817336</v>
      </c>
      <c r="DL121" s="26">
        <f t="array" ref="DL121">IFERROR(AVERAGE(IF(tblSalaries[Region]=Analysis!DL$118,IF(tblSalaries[Years of Experience]=Analysis!$C121,tblSalaries[Salary in USD]))),0)</f>
        <v>80630.431372549021</v>
      </c>
      <c r="DM121" s="26">
        <f t="array" ref="DM121">IFERROR(AVERAGE(IF(tblSalaries[Region]=Analysis!DM$118,IF(tblSalaries[Years of Experience]=Analysis!$C121,tblSalaries[Salary in USD]))),0)</f>
        <v>81501.860520001574</v>
      </c>
      <c r="DN121" s="26">
        <f t="array" ref="DN121">IFERROR(AVERAGE(IF(tblSalaries[Region]=Analysis!DN$118,IF(tblSalaries[Years of Experience]=Analysis!$C121,tblSalaries[Salary in USD]))),0)</f>
        <v>73442.541508111302</v>
      </c>
      <c r="DO121" s="26">
        <f t="array" ref="DO121">IFERROR(AVERAGE(IF(tblSalaries[Region]=Analysis!DO$118,IF(tblSalaries[Years of Experience]=Analysis!$C121,tblSalaries[Salary in USD]))),0)</f>
        <v>68692.097611196004</v>
      </c>
      <c r="DP121" s="26">
        <f t="array" ref="DP121">IFERROR(AVERAGE(IF(tblSalaries[Region]=Analysis!DP$118,IF(tblSalaries[Years of Experience]=Analysis!$C121,tblSalaries[Salary in USD]))),0)</f>
        <v>44246.479762674964</v>
      </c>
      <c r="DQ121" s="26">
        <f t="array" ref="DQ121">IFERROR(AVERAGE(IF(tblSalaries[Region]=Analysis!DQ$118,IF(tblSalaries[Years of Experience]=Analysis!$C121,tblSalaries[Salary in USD]))),0)</f>
        <v>32661.888837580569</v>
      </c>
      <c r="DR121" s="26">
        <f t="array" ref="DR121">IFERROR(AVERAGE(IF(tblSalaries[Region]=Analysis!DR$118,IF(tblSalaries[Years of Experience]=Analysis!$C121,tblSalaries[Salary in USD]))),0)</f>
        <v>14665.089282700204</v>
      </c>
      <c r="DS121" s="26">
        <f t="array" ref="DS121">IFERROR(AVERAGE(IF(tblSalaries[Region]=Analysis!DS$118,IF(tblSalaries[Years of Experience]=Analysis!$C121,tblSalaries[Salary in USD]))),0)</f>
        <v>14589.4</v>
      </c>
      <c r="DT121" s="26">
        <f t="array" ref="DT121">IFERROR(AVERAGE(IF(tblSalaries[Work Hour per day on Excel]=Analysis!DT$118,IF(tblSalaries[Years of Experience]=Analysis!$C121,tblSalaries[Salary in USD]))),0)</f>
        <v>59682.259839817081</v>
      </c>
      <c r="DU121" s="26">
        <f t="array" ref="DU121">IFERROR(AVERAGE(IF(tblSalaries[Work Hour per day on Excel]=Analysis!DU$118,IF(tblSalaries[Years of Experience]=Analysis!$C121,tblSalaries[Salary in USD]))),0)</f>
        <v>67112.562858000514</v>
      </c>
      <c r="DV121" s="26">
        <f t="array" ref="DV121">IFERROR(AVERAGE(IF(tblSalaries[Work Hour per day on Excel]=Analysis!DV$118,IF(tblSalaries[Years of Experience]=Analysis!$C121,tblSalaries[Salary in USD]))),0)</f>
        <v>64491.681983512412</v>
      </c>
      <c r="DW121" s="26">
        <f t="array" ref="DW121">IFERROR(AVERAGE(IF(tblSalaries[Work Hour per day on Excel]=Analysis!DW$118,IF(tblSalaries[Years of Experience]=Analysis!$C121,tblSalaries[Salary in USD]))),0)</f>
        <v>54527.71755519788</v>
      </c>
      <c r="DX121" s="26">
        <f t="array" ref="DX121">IFERROR(MAX(IF(tblSalaries[Years of Experience]=Analysis!$C121,tblSalaries[Salary in USD])),0)</f>
        <v>250000</v>
      </c>
      <c r="DY121" s="26">
        <f t="array" ref="DY121">IFERROR(MAX(IF(tblSalaries[Job Type]=Analysis!DY$118,IF(tblSalaries[Years of Experience]=Analysis!$C121,tblSalaries[Salary in USD]))),0)</f>
        <v>225000</v>
      </c>
      <c r="DZ121" s="26">
        <f t="array" ref="DZ121">IFERROR(MAX(IF(tblSalaries[Job Type]=Analysis!DZ$118,IF(tblSalaries[Years of Experience]=Analysis!$C121,tblSalaries[Salary in USD]))),0)</f>
        <v>228671.89901848941</v>
      </c>
      <c r="EA121" s="26">
        <f t="array" ref="EA121">IFERROR(MAX(IF(tblSalaries[Job Type]=Analysis!EA$118,IF(tblSalaries[Years of Experience]=Analysis!$C121,tblSalaries[Salary in USD]))),0)</f>
        <v>250000</v>
      </c>
      <c r="EB121" s="26">
        <f t="array" ref="EB121">IFERROR(MAX(IF(tblSalaries[Job Type]=Analysis!EB$118,IF(tblSalaries[Years of Experience]=Analysis!$C121,tblSalaries[Salary in USD]))),0)</f>
        <v>108110.42357867939</v>
      </c>
      <c r="EC121" s="26">
        <f t="array" ref="EC121">IFERROR(MAX(IF(tblSalaries[Job Type]=Analysis!EC$118,IF(tblSalaries[Years of Experience]=Analysis!$C121,tblSalaries[Salary in USD]))),0)</f>
        <v>168285.09330643489</v>
      </c>
      <c r="ED121" s="26">
        <f t="array" ref="ED121">IFERROR(MAX(IF(tblSalaries[Job Type]=Analysis!ED$118,IF(tblSalaries[Years of Experience]=Analysis!$C121,tblSalaries[Salary in USD]))),0)</f>
        <v>150000</v>
      </c>
      <c r="EE121" s="26">
        <f t="array" ref="EE121">IFERROR(MAX(IF(tblSalaries[Job Type]=Analysis!EE$118,IF(tblSalaries[Years of Experience]=Analysis!$C121,tblSalaries[Salary in USD]))),0)</f>
        <v>140000</v>
      </c>
      <c r="EF121" s="26">
        <f t="array" ref="EF121">IFERROR(MAX(IF(tblSalaries[Job Type]=Analysis!EF$118,IF(tblSalaries[Years of Experience]=Analysis!$C121,tblSalaries[Salary in USD]))),0)</f>
        <v>203981.93128052715</v>
      </c>
      <c r="EG121" s="26">
        <f t="array" ref="EG121">IFERROR(MAX(IF(tblSalaries[Job Type]=Analysis!EG$118,IF(tblSalaries[Years of Experience]=Analysis!$C121,tblSalaries[Salary in USD]))),0)</f>
        <v>41712.231189497601</v>
      </c>
      <c r="EH121" s="26">
        <f t="array" ref="EH121">IFERROR(MAX(IF(tblSalaries[Job Type]=Analysis!EH$118,IF(tblSalaries[Years of Experience]=Analysis!$C121,tblSalaries[Salary in USD]))),0)</f>
        <v>92000</v>
      </c>
      <c r="EI121" s="26">
        <f t="array" ref="EI121">IFERROR(MAX(IF(tblSalaries[Region]=Analysis!EI$118,IF(tblSalaries[Years of Experience]=Analysis!$C121,tblSalaries[Salary in USD]))),0)</f>
        <v>203981.93128052715</v>
      </c>
      <c r="EJ121" s="26">
        <f t="array" ref="EJ121">IFERROR(MAX(IF(tblSalaries[Region]=Analysis!EJ$118,IF(tblSalaries[Years of Experience]=Analysis!$C121,tblSalaries[Salary in USD]))),0)</f>
        <v>250000</v>
      </c>
      <c r="EK121" s="26">
        <f t="array" ref="EK121">IFERROR(MAX(IF(tblSalaries[Region]=Analysis!EK$118,IF(tblSalaries[Years of Experience]=Analysis!$C121,tblSalaries[Salary in USD]))),0)</f>
        <v>131770.4440860638</v>
      </c>
      <c r="EL121" s="26">
        <f t="array" ref="EL121">IFERROR(MAX(IF(tblSalaries[Region]=Analysis!EL$118,IF(tblSalaries[Years of Experience]=Analysis!$C121,tblSalaries[Salary in USD]))),0)</f>
        <v>157617.8272067284</v>
      </c>
      <c r="EM121" s="26">
        <f t="array" ref="EM121">IFERROR(MAX(IF(tblSalaries[Region]=Analysis!EM$118,IF(tblSalaries[Years of Experience]=Analysis!$C121,tblSalaries[Salary in USD]))),0)</f>
        <v>228671.89901848941</v>
      </c>
      <c r="EN121" s="26">
        <f t="array" ref="EN121">IFERROR(MAX(IF(tblSalaries[Region]=Analysis!EN$118,IF(tblSalaries[Years of Experience]=Analysis!$C121,tblSalaries[Salary in USD]))),0)</f>
        <v>125000</v>
      </c>
      <c r="EO121" s="26">
        <f t="array" ref="EO121">IFERROR(MAX(IF(tblSalaries[Region]=Analysis!EO$118,IF(tblSalaries[Years of Experience]=Analysis!$C121,tblSalaries[Salary in USD]))),0)</f>
        <v>98000</v>
      </c>
      <c r="EP121" s="26">
        <f t="array" ref="EP121">IFERROR(MAX(IF(tblSalaries[Region]=Analysis!EP$118,IF(tblSalaries[Years of Experience]=Analysis!$C121,tblSalaries[Salary in USD]))),0)</f>
        <v>60000</v>
      </c>
      <c r="EQ121" s="26">
        <f t="array" ref="EQ121">IFERROR(MAX(IF(tblSalaries[Region]=Analysis!EQ$118,IF(tblSalaries[Years of Experience]=Analysis!$C121,tblSalaries[Salary in USD]))),0)</f>
        <v>40000</v>
      </c>
      <c r="ER121" s="26">
        <f t="array" ref="ER121">IFERROR(MAX(IF(tblSalaries[Work Hour per day on Excel]=Analysis!ER$118,IF(tblSalaries[Years of Experience]=Analysis!$C121,tblSalaries[Salary in USD]))),0)</f>
        <v>188000</v>
      </c>
      <c r="ES121" s="26">
        <f t="array" ref="ES121">IFERROR(MAX(IF(tblSalaries[Work Hour per day on Excel]=Analysis!ES$118,IF(tblSalaries[Years of Experience]=Analysis!$C121,tblSalaries[Salary in USD]))),0)</f>
        <v>170000</v>
      </c>
      <c r="ET121" s="26">
        <f t="array" ref="ET121">IFERROR(MAX(IF(tblSalaries[Work Hour per day on Excel]=Analysis!ET$118,IF(tblSalaries[Years of Experience]=Analysis!$C121,tblSalaries[Salary in USD]))),0)</f>
        <v>228671.89901848941</v>
      </c>
      <c r="EU121" s="26">
        <f t="array" ref="EU121">IFERROR(MAX(IF(tblSalaries[Work Hour per day on Excel]=Analysis!EU$118,IF(tblSalaries[Years of Experience]=Analysis!$C121,tblSalaries[Salary in USD]))),0)</f>
        <v>250000</v>
      </c>
      <c r="EV121" s="26">
        <f t="array" ref="EV121">IFERROR(MIN(IF(tblSalaries[Years of Experience]=Analysis!$C121,tblSalaries[Salary in USD])),0)</f>
        <v>2400</v>
      </c>
      <c r="EW121" s="26">
        <f t="array" ref="EW121">IFERROR(MIN(IF(tblSalaries[Job Type]=Analysis!EW$118,IF(tblSalaries[Years of Experience]=Analysis!$C121,tblSalaries[Salary in USD]))),0)</f>
        <v>8000</v>
      </c>
      <c r="EX121" s="26">
        <f t="array" ref="EX121">IFERROR(MIN(IF(tblSalaries[Job Type]=Analysis!EX$118,IF(tblSalaries[Years of Experience]=Analysis!$C121,tblSalaries[Salary in USD]))),0)</f>
        <v>4273.9000049862161</v>
      </c>
      <c r="EY121" s="26">
        <f t="array" ref="EY121">IFERROR(MIN(IF(tblSalaries[Job Type]=Analysis!EY$118,IF(tblSalaries[Years of Experience]=Analysis!$C121,tblSalaries[Salary in USD]))),0)</f>
        <v>5000</v>
      </c>
      <c r="EZ121" s="26">
        <f t="array" ref="EZ121">IFERROR(MIN(IF(tblSalaries[Job Type]=Analysis!EZ$118,IF(tblSalaries[Years of Experience]=Analysis!$C121,tblSalaries[Salary in USD]))),0)</f>
        <v>45000</v>
      </c>
      <c r="FA121" s="26">
        <f t="array" ref="FA121">IFERROR(MIN(IF(tblSalaries[Job Type]=Analysis!FA$118,IF(tblSalaries[Years of Experience]=Analysis!$C121,tblSalaries[Salary in USD]))),0)</f>
        <v>44000</v>
      </c>
      <c r="FB121" s="26">
        <f t="array" ref="FB121">IFERROR(MIN(IF(tblSalaries[Job Type]=Analysis!FB$118,IF(tblSalaries[Years of Experience]=Analysis!$C121,tblSalaries[Salary in USD]))),0)</f>
        <v>3000</v>
      </c>
      <c r="FC121" s="26">
        <f t="array" ref="FC121">IFERROR(MIN(IF(tblSalaries[Job Type]=Analysis!FC$118,IF(tblSalaries[Years of Experience]=Analysis!$C121,tblSalaries[Salary in USD]))),0)</f>
        <v>2400</v>
      </c>
      <c r="FD121" s="26">
        <f t="array" ref="FD121">IFERROR(MIN(IF(tblSalaries[Job Type]=Analysis!FD$118,IF(tblSalaries[Years of Experience]=Analysis!$C121,tblSalaries[Salary in USD]))),0)</f>
        <v>2938.3062534280239</v>
      </c>
      <c r="FE121" s="26">
        <f t="array" ref="FE121">IFERROR(MIN(IF(tblSalaries[Job Type]=Analysis!FE$118,IF(tblSalaries[Years of Experience]=Analysis!$C121,tblSalaries[Salary in USD]))),0)</f>
        <v>41712.231189497601</v>
      </c>
      <c r="FF121" s="26">
        <f t="array" ref="FF121">IFERROR(MIN(IF(tblSalaries[Job Type]=Analysis!FF$118,IF(tblSalaries[Years of Experience]=Analysis!$C121,tblSalaries[Salary in USD]))),0)</f>
        <v>18060</v>
      </c>
      <c r="FG121" s="26">
        <f t="array" ref="FG121">IFERROR(MIN(IF(tblSalaries[Region]=Analysis!FG$118,IF(tblSalaries[Years of Experience]=Analysis!$C121,tblSalaries[Salary in USD]))),0)</f>
        <v>36000</v>
      </c>
      <c r="FH121" s="26">
        <f t="array" ref="FH121">IFERROR(MIN(IF(tblSalaries[Region]=Analysis!FH$118,IF(tblSalaries[Years of Experience]=Analysis!$C121,tblSalaries[Salary in USD]))),0)</f>
        <v>31200</v>
      </c>
      <c r="FI121" s="26">
        <f t="array" ref="FI121">IFERROR(MIN(IF(tblSalaries[Region]=Analysis!FI$118,IF(tblSalaries[Years of Experience]=Analysis!$C121,tblSalaries[Salary in USD]))),0)</f>
        <v>63918.498996971248</v>
      </c>
      <c r="FJ121" s="26">
        <f t="array" ref="FJ121">IFERROR(MIN(IF(tblSalaries[Region]=Analysis!FJ$118,IF(tblSalaries[Years of Experience]=Analysis!$C121,tblSalaries[Salary in USD]))),0)</f>
        <v>19000</v>
      </c>
      <c r="FK121" s="26">
        <f t="array" ref="FK121">IFERROR(MIN(IF(tblSalaries[Region]=Analysis!FK$118,IF(tblSalaries[Years of Experience]=Analysis!$C121,tblSalaries[Salary in USD]))),0)</f>
        <v>12000</v>
      </c>
      <c r="FL121" s="26">
        <f t="array" ref="FL121">IFERROR(MIN(IF(tblSalaries[Region]=Analysis!FL$118,IF(tblSalaries[Years of Experience]=Analysis!$C121,tblSalaries[Salary in USD]))),0)</f>
        <v>5000</v>
      </c>
      <c r="FM121" s="26">
        <f t="array" ref="FM121">IFERROR(MIN(IF(tblSalaries[Region]=Analysis!FM$118,IF(tblSalaries[Years of Experience]=Analysis!$C121,tblSalaries[Salary in USD]))),0)</f>
        <v>3000</v>
      </c>
      <c r="FN121" s="26">
        <f t="array" ref="FN121">IFERROR(MIN(IF(tblSalaries[Region]=Analysis!FN$118,IF(tblSalaries[Years of Experience]=Analysis!$C121,tblSalaries[Salary in USD]))),0)</f>
        <v>2938.3062534280239</v>
      </c>
      <c r="FO121" s="26">
        <f t="array" ref="FO121">IFERROR(MIN(IF(tblSalaries[Region]=Analysis!FO$118,IF(tblSalaries[Years of Experience]=Analysis!$C121,tblSalaries[Salary in USD]))),0)</f>
        <v>2400</v>
      </c>
      <c r="FP121" s="26">
        <f t="array" ref="FP121">IFERROR(MIN(IF(tblSalaries[Work Hour per day on Excel]=Analysis!FP$118,IF(tblSalaries[Years of Experience]=Analysis!$C121,tblSalaries[Salary in USD]))),0)</f>
        <v>3000</v>
      </c>
      <c r="FQ121" s="26">
        <f t="array" ref="FQ121">IFERROR(MIN(IF(tblSalaries[Work Hour per day on Excel]=Analysis!FQ$118,IF(tblSalaries[Years of Experience]=Analysis!$C121,tblSalaries[Salary in USD]))),0)</f>
        <v>2400</v>
      </c>
      <c r="FR121" s="26">
        <f t="array" ref="FR121">IFERROR(MIN(IF(tblSalaries[Work Hour per day on Excel]=Analysis!FR$118,IF(tblSalaries[Years of Experience]=Analysis!$C121,tblSalaries[Salary in USD]))),0)</f>
        <v>3561.5833374885137</v>
      </c>
      <c r="FS121" s="26">
        <f t="array" ref="FS121">IFERROR(MIN(IF(tblSalaries[Work Hour per day on Excel]=Analysis!FS$118,IF(tblSalaries[Years of Experience]=Analysis!$C121,tblSalaries[Salary in USD]))),0)</f>
        <v>2938.3062534280239</v>
      </c>
      <c r="FT121" s="26">
        <f t="array" ref="FT121">IFERROR(COUNT(IF(tblSalaries[Years of Experience]=Analysis!$C121,tblSalaries[Salary in USD])),0)</f>
        <v>293</v>
      </c>
      <c r="FU121" s="26">
        <f t="array" ref="FU121">IFERROR(COUNT(IF(tblSalaries[Job Type]=Analysis!FU$118,IF(tblSalaries[Years of Experience]=Analysis!$C121,tblSalaries[Salary in USD]))),0)</f>
        <v>16</v>
      </c>
      <c r="FV121" s="26">
        <f t="array" ref="FV121">IFERROR(COUNT(IF(tblSalaries[Job Type]=Analysis!FV$118,IF(tblSalaries[Years of Experience]=Analysis!$C121,tblSalaries[Salary in USD]))),0)</f>
        <v>21</v>
      </c>
      <c r="FW121" s="26">
        <f t="array" ref="FW121">IFERROR(COUNT(IF(tblSalaries[Job Type]=Analysis!FW$118,IF(tblSalaries[Years of Experience]=Analysis!$C121,tblSalaries[Salary in USD]))),0)</f>
        <v>15</v>
      </c>
      <c r="FX121" s="26">
        <f t="array" ref="FX121">IFERROR(COUNT(IF(tblSalaries[Job Type]=Analysis!FX$118,IF(tblSalaries[Years of Experience]=Analysis!$C121,tblSalaries[Salary in USD]))),0)</f>
        <v>4</v>
      </c>
      <c r="FY121" s="26">
        <f t="array" ref="FY121">IFERROR(COUNT(IF(tblSalaries[Job Type]=Analysis!FY$118,IF(tblSalaries[Years of Experience]=Analysis!$C121,tblSalaries[Salary in USD]))),0)</f>
        <v>10</v>
      </c>
      <c r="FZ121" s="26">
        <f t="array" ref="FZ121">IFERROR(COUNT(IF(tblSalaries[Job Type]=Analysis!FZ$118,IF(tblSalaries[Years of Experience]=Analysis!$C121,tblSalaries[Salary in USD]))),0)</f>
        <v>91</v>
      </c>
      <c r="GA121" s="26">
        <f t="array" ref="GA121">IFERROR(COUNT(IF(tblSalaries[Job Type]=Analysis!GA$118,IF(tblSalaries[Years of Experience]=Analysis!$C121,tblSalaries[Salary in USD]))),0)</f>
        <v>26</v>
      </c>
      <c r="GB121" s="26">
        <f t="array" ref="GB121">IFERROR(COUNT(IF(tblSalaries[Job Type]=Analysis!GB$118,IF(tblSalaries[Years of Experience]=Analysis!$C121,tblSalaries[Salary in USD]))),0)</f>
        <v>105</v>
      </c>
      <c r="GC121" s="26">
        <f t="array" ref="GC121">IFERROR(COUNT(IF(tblSalaries[Job Type]=Analysis!GC$118,IF(tblSalaries[Years of Experience]=Analysis!$C121,tblSalaries[Salary in USD]))),0)</f>
        <v>1</v>
      </c>
      <c r="GD121" s="26">
        <f t="array" ref="GD121">IFERROR(COUNT(IF(tblSalaries[Job Type]=Analysis!GD$118,IF(tblSalaries[Years of Experience]=Analysis!$C121,tblSalaries[Salary in USD]))),0)</f>
        <v>4</v>
      </c>
      <c r="GE121" s="26">
        <f t="array" ref="GE121">IFERROR(COUNT(IF(tblSalaries[Region]=Analysis!GE$118,IF(tblSalaries[Years of Experience]=Analysis!$C121,tblSalaries[Salary in USD]))),0)</f>
        <v>21</v>
      </c>
      <c r="GF121" s="26">
        <f t="array" ref="GF121">IFERROR(COUNT(IF(tblSalaries[Region]=Analysis!GF$118,IF(tblSalaries[Years of Experience]=Analysis!$C121,tblSalaries[Salary in USD]))),0)</f>
        <v>102</v>
      </c>
      <c r="GG121" s="26">
        <f t="array" ref="GG121">IFERROR(COUNT(IF(tblSalaries[Region]=Analysis!GG$118,IF(tblSalaries[Years of Experience]=Analysis!$C121,tblSalaries[Salary in USD]))),0)</f>
        <v>5</v>
      </c>
      <c r="GH121" s="26">
        <f t="array" ref="GH121">IFERROR(COUNT(IF(tblSalaries[Region]=Analysis!GH$118,IF(tblSalaries[Years of Experience]=Analysis!$C121,tblSalaries[Salary in USD]))),0)</f>
        <v>29</v>
      </c>
      <c r="GI121" s="26">
        <f t="array" ref="GI121">IFERROR(COUNT(IF(tblSalaries[Region]=Analysis!GI$118,IF(tblSalaries[Years of Experience]=Analysis!$C121,tblSalaries[Salary in USD]))),0)</f>
        <v>38</v>
      </c>
      <c r="GJ121" s="26">
        <f t="array" ref="GJ121">IFERROR(COUNT(IF(tblSalaries[Region]=Analysis!GJ$118,IF(tblSalaries[Years of Experience]=Analysis!$C121,tblSalaries[Salary in USD]))),0)</f>
        <v>35</v>
      </c>
      <c r="GK121" s="26">
        <f t="array" ref="GK121">IFERROR(COUNT(IF(tblSalaries[Region]=Analysis!GK$118,IF(tblSalaries[Years of Experience]=Analysis!$C121,tblSalaries[Salary in USD]))),0)</f>
        <v>12</v>
      </c>
      <c r="GL121" s="26">
        <f t="array" ref="GL121">IFERROR(COUNT(IF(tblSalaries[Region]=Analysis!GL$118,IF(tblSalaries[Years of Experience]=Analysis!$C121,tblSalaries[Salary in USD]))),0)</f>
        <v>46</v>
      </c>
      <c r="GM121" s="26">
        <f t="array" ref="GM121">IFERROR(COUNT(IF(tblSalaries[Region]=Analysis!GM$118,IF(tblSalaries[Years of Experience]=Analysis!$C121,tblSalaries[Salary in USD]))),0)</f>
        <v>5</v>
      </c>
      <c r="GN121" s="26">
        <f t="array" ref="GN121">IFERROR(COUNT(IF(tblSalaries[Work Hour per day on Excel]=Analysis!GN$118,IF(tblSalaries[Years of Experience]=Analysis!$C121,tblSalaries[Salary in USD]))),0)</f>
        <v>29</v>
      </c>
      <c r="GO121" s="26">
        <f t="array" ref="GO121">IFERROR(COUNT(IF(tblSalaries[Work Hour per day on Excel]=Analysis!GO$118,IF(tblSalaries[Years of Experience]=Analysis!$C121,tblSalaries[Salary in USD]))),0)</f>
        <v>82</v>
      </c>
      <c r="GP121" s="26">
        <f t="array" ref="GP121">IFERROR(COUNT(IF(tblSalaries[Work Hour per day on Excel]=Analysis!GP$118,IF(tblSalaries[Years of Experience]=Analysis!$C121,tblSalaries[Salary in USD]))),0)</f>
        <v>122</v>
      </c>
      <c r="GQ121" s="26">
        <f t="array" ref="GQ121">IFERROR(COUNT(IF(tblSalaries[Work Hour per day on Excel]=Analysis!GQ$118,IF(tblSalaries[Years of Experience]=Analysis!$C121,tblSalaries[Salary in USD]))),0)</f>
        <v>60</v>
      </c>
    </row>
    <row r="122" spans="2:199" s="25" customFormat="1" ht="15" hidden="1" customHeight="1" x14ac:dyDescent="0.25">
      <c r="B122" s="25">
        <f t="shared" si="157"/>
        <v>4</v>
      </c>
      <c r="C122" s="25" t="s">
        <v>1448</v>
      </c>
      <c r="D122" s="26">
        <f t="shared" si="154"/>
        <v>72793.294264652519</v>
      </c>
      <c r="E122" s="26">
        <f t="shared" si="154"/>
        <v>137044.50556075695</v>
      </c>
      <c r="F122" s="26">
        <f t="shared" si="154"/>
        <v>78950.247772524468</v>
      </c>
      <c r="G122" s="26">
        <f t="shared" si="154"/>
        <v>61680.232832597329</v>
      </c>
      <c r="H122" s="26">
        <f t="shared" si="154"/>
        <v>62523.56544134568</v>
      </c>
      <c r="I122" s="26">
        <f t="shared" si="154"/>
        <v>68320</v>
      </c>
      <c r="J122" s="26">
        <f t="shared" si="154"/>
        <v>59959.956368615771</v>
      </c>
      <c r="K122" s="26">
        <f t="shared" si="154"/>
        <v>70596.085110780885</v>
      </c>
      <c r="L122" s="26">
        <f t="shared" si="154"/>
        <v>64194.670318435397</v>
      </c>
      <c r="M122" s="26">
        <f t="shared" si="154"/>
        <v>0</v>
      </c>
      <c r="N122" s="26">
        <f t="shared" si="155"/>
        <v>37000</v>
      </c>
      <c r="O122" s="26">
        <f t="shared" si="155"/>
        <v>90567.977488554054</v>
      </c>
      <c r="P122" s="26">
        <f t="shared" si="155"/>
        <v>104396.89285714286</v>
      </c>
      <c r="Q122" s="26">
        <f t="shared" si="155"/>
        <v>0</v>
      </c>
      <c r="R122" s="26">
        <f t="shared" si="155"/>
        <v>63106.237567893892</v>
      </c>
      <c r="S122" s="26">
        <f t="shared" si="155"/>
        <v>129191.14142837211</v>
      </c>
      <c r="T122" s="26">
        <f t="shared" si="155"/>
        <v>55296.129191040578</v>
      </c>
      <c r="U122" s="26">
        <f t="shared" si="155"/>
        <v>50000</v>
      </c>
      <c r="V122" s="26">
        <f t="shared" si="155"/>
        <v>18664.011038394288</v>
      </c>
      <c r="W122" s="26">
        <f t="shared" si="155"/>
        <v>0</v>
      </c>
      <c r="X122" s="26">
        <f t="shared" si="156"/>
        <v>77447.864498409239</v>
      </c>
      <c r="Y122" s="26">
        <f t="shared" si="156"/>
        <v>70078.691178552428</v>
      </c>
      <c r="Z122" s="26">
        <f t="shared" si="156"/>
        <v>73972.293838906204</v>
      </c>
      <c r="AA122" s="26">
        <f t="shared" si="156"/>
        <v>72053.829567852168</v>
      </c>
      <c r="CZ122" s="26">
        <f t="array" ref="CZ122">IFERROR(AVERAGE(IF(tblSalaries[Years of Experience]=Analysis!$C122,tblSalaries[Salary in USD])),0)</f>
        <v>72793.294264652519</v>
      </c>
      <c r="DA122" s="26">
        <f t="array" ref="DA122">IFERROR(AVERAGE(IF(tblSalaries[Job Type]=Analysis!DA$118,IF(tblSalaries[Years of Experience]=Analysis!$C122,tblSalaries[Salary in USD]))),0)</f>
        <v>137044.50556075695</v>
      </c>
      <c r="DB122" s="26">
        <f t="array" ref="DB122">IFERROR(AVERAGE(IF(tblSalaries[Job Type]=Analysis!DB$118,IF(tblSalaries[Years of Experience]=Analysis!$C122,tblSalaries[Salary in USD]))),0)</f>
        <v>78950.247772524468</v>
      </c>
      <c r="DC122" s="26">
        <f t="array" ref="DC122">IFERROR(AVERAGE(IF(tblSalaries[Job Type]=Analysis!DC$118,IF(tblSalaries[Years of Experience]=Analysis!$C122,tblSalaries[Salary in USD]))),0)</f>
        <v>61680.232832597329</v>
      </c>
      <c r="DD122" s="26">
        <f t="array" ref="DD122">IFERROR(AVERAGE(IF(tblSalaries[Job Type]=Analysis!DD$118,IF(tblSalaries[Years of Experience]=Analysis!$C122,tblSalaries[Salary in USD]))),0)</f>
        <v>62523.56544134568</v>
      </c>
      <c r="DE122" s="26">
        <f t="array" ref="DE122">IFERROR(AVERAGE(IF(tblSalaries[Job Type]=Analysis!DE$118,IF(tblSalaries[Years of Experience]=Analysis!$C122,tblSalaries[Salary in USD]))),0)</f>
        <v>68320</v>
      </c>
      <c r="DF122" s="26">
        <f t="array" ref="DF122">IFERROR(AVERAGE(IF(tblSalaries[Job Type]=Analysis!DF$118,IF(tblSalaries[Years of Experience]=Analysis!$C122,tblSalaries[Salary in USD]))),0)</f>
        <v>59959.956368615771</v>
      </c>
      <c r="DG122" s="26">
        <f t="array" ref="DG122">IFERROR(AVERAGE(IF(tblSalaries[Job Type]=Analysis!DG$118,IF(tblSalaries[Years of Experience]=Analysis!$C122,tblSalaries[Salary in USD]))),0)</f>
        <v>70596.085110780885</v>
      </c>
      <c r="DH122" s="26">
        <f t="array" ref="DH122">IFERROR(AVERAGE(IF(tblSalaries[Job Type]=Analysis!DH$118,IF(tblSalaries[Years of Experience]=Analysis!$C122,tblSalaries[Salary in USD]))),0)</f>
        <v>64194.670318435397</v>
      </c>
      <c r="DI122" s="26">
        <f t="array" ref="DI122">IFERROR(AVERAGE(IF(tblSalaries[Job Type]=Analysis!DI$118,IF(tblSalaries[Years of Experience]=Analysis!$C122,tblSalaries[Salary in USD]))),0)</f>
        <v>0</v>
      </c>
      <c r="DJ122" s="26">
        <f t="array" ref="DJ122">IFERROR(AVERAGE(IF(tblSalaries[Job Type]=Analysis!DJ$118,IF(tblSalaries[Years of Experience]=Analysis!$C122,tblSalaries[Salary in USD]))),0)</f>
        <v>37000</v>
      </c>
      <c r="DK122" s="26">
        <f t="array" ref="DK122">IFERROR(AVERAGE(IF(tblSalaries[Region]=Analysis!DK$118,IF(tblSalaries[Years of Experience]=Analysis!$C122,tblSalaries[Salary in USD]))),0)</f>
        <v>90567.977488554054</v>
      </c>
      <c r="DL122" s="26">
        <f t="array" ref="DL122">IFERROR(AVERAGE(IF(tblSalaries[Region]=Analysis!DL$118,IF(tblSalaries[Years of Experience]=Analysis!$C122,tblSalaries[Salary in USD]))),0)</f>
        <v>104396.89285714286</v>
      </c>
      <c r="DM122" s="26">
        <f t="array" ref="DM122">IFERROR(AVERAGE(IF(tblSalaries[Region]=Analysis!DM$118,IF(tblSalaries[Years of Experience]=Analysis!$C122,tblSalaries[Salary in USD]))),0)</f>
        <v>0</v>
      </c>
      <c r="DN122" s="26">
        <f t="array" ref="DN122">IFERROR(AVERAGE(IF(tblSalaries[Region]=Analysis!DN$118,IF(tblSalaries[Years of Experience]=Analysis!$C122,tblSalaries[Salary in USD]))),0)</f>
        <v>63106.237567893892</v>
      </c>
      <c r="DO122" s="26">
        <f t="array" ref="DO122">IFERROR(AVERAGE(IF(tblSalaries[Region]=Analysis!DO$118,IF(tblSalaries[Years of Experience]=Analysis!$C122,tblSalaries[Salary in USD]))),0)</f>
        <v>129191.14142837211</v>
      </c>
      <c r="DP122" s="26">
        <f t="array" ref="DP122">IFERROR(AVERAGE(IF(tblSalaries[Region]=Analysis!DP$118,IF(tblSalaries[Years of Experience]=Analysis!$C122,tblSalaries[Salary in USD]))),0)</f>
        <v>55296.129191040578</v>
      </c>
      <c r="DQ122" s="26">
        <f t="array" ref="DQ122">IFERROR(AVERAGE(IF(tblSalaries[Region]=Analysis!DQ$118,IF(tblSalaries[Years of Experience]=Analysis!$C122,tblSalaries[Salary in USD]))),0)</f>
        <v>50000</v>
      </c>
      <c r="DR122" s="26">
        <f t="array" ref="DR122">IFERROR(AVERAGE(IF(tblSalaries[Region]=Analysis!DR$118,IF(tblSalaries[Years of Experience]=Analysis!$C122,tblSalaries[Salary in USD]))),0)</f>
        <v>18664.011038394288</v>
      </c>
      <c r="DS122" s="26">
        <f t="array" ref="DS122">IFERROR(AVERAGE(IF(tblSalaries[Region]=Analysis!DS$118,IF(tblSalaries[Years of Experience]=Analysis!$C122,tblSalaries[Salary in USD]))),0)</f>
        <v>0</v>
      </c>
      <c r="DT122" s="26">
        <f t="array" ref="DT122">IFERROR(AVERAGE(IF(tblSalaries[Work Hour per day on Excel]=Analysis!DT$118,IF(tblSalaries[Years of Experience]=Analysis!$C122,tblSalaries[Salary in USD]))),0)</f>
        <v>77447.864498409239</v>
      </c>
      <c r="DU122" s="26">
        <f t="array" ref="DU122">IFERROR(AVERAGE(IF(tblSalaries[Work Hour per day on Excel]=Analysis!DU$118,IF(tblSalaries[Years of Experience]=Analysis!$C122,tblSalaries[Salary in USD]))),0)</f>
        <v>70078.691178552428</v>
      </c>
      <c r="DV122" s="26">
        <f t="array" ref="DV122">IFERROR(AVERAGE(IF(tblSalaries[Work Hour per day on Excel]=Analysis!DV$118,IF(tblSalaries[Years of Experience]=Analysis!$C122,tblSalaries[Salary in USD]))),0)</f>
        <v>73972.293838906204</v>
      </c>
      <c r="DW122" s="26">
        <f t="array" ref="DW122">IFERROR(AVERAGE(IF(tblSalaries[Work Hour per day on Excel]=Analysis!DW$118,IF(tblSalaries[Years of Experience]=Analysis!$C122,tblSalaries[Salary in USD]))),0)</f>
        <v>72053.829567852168</v>
      </c>
      <c r="DX122" s="26">
        <f t="array" ref="DX122">IFERROR(MAX(IF(tblSalaries[Years of Experience]=Analysis!$C122,tblSalaries[Salary in USD])),0)</f>
        <v>300000</v>
      </c>
      <c r="DY122" s="26">
        <f t="array" ref="DY122">IFERROR(MAX(IF(tblSalaries[Job Type]=Analysis!DY$118,IF(tblSalaries[Years of Experience]=Analysis!$C122,tblSalaries[Salary in USD]))),0)</f>
        <v>300000</v>
      </c>
      <c r="DZ122" s="26">
        <f t="array" ref="DZ122">IFERROR(MAX(IF(tblSalaries[Job Type]=Analysis!DZ$118,IF(tblSalaries[Years of Experience]=Analysis!$C122,tblSalaries[Salary in USD]))),0)</f>
        <v>150000</v>
      </c>
      <c r="EA122" s="26">
        <f t="array" ref="EA122">IFERROR(MAX(IF(tblSalaries[Job Type]=Analysis!EA$118,IF(tblSalaries[Years of Experience]=Analysis!$C122,tblSalaries[Salary in USD]))),0)</f>
        <v>101990.96564026357</v>
      </c>
      <c r="EB122" s="26">
        <f t="array" ref="EB122">IFERROR(MAX(IF(tblSalaries[Job Type]=Analysis!EB$118,IF(tblSalaries[Years of Experience]=Analysis!$C122,tblSalaries[Salary in USD]))),0)</f>
        <v>63047.130882691366</v>
      </c>
      <c r="EC122" s="26">
        <f t="array" ref="EC122">IFERROR(MAX(IF(tblSalaries[Job Type]=Analysis!EC$118,IF(tblSalaries[Years of Experience]=Analysis!$C122,tblSalaries[Salary in USD]))),0)</f>
        <v>85000</v>
      </c>
      <c r="ED122" s="26">
        <f t="array" ref="ED122">IFERROR(MAX(IF(tblSalaries[Job Type]=Analysis!ED$118,IF(tblSalaries[Years of Experience]=Analysis!$C122,tblSalaries[Salary in USD]))),0)</f>
        <v>150000</v>
      </c>
      <c r="EE122" s="26">
        <f t="array" ref="EE122">IFERROR(MAX(IF(tblSalaries[Job Type]=Analysis!EE$118,IF(tblSalaries[Years of Experience]=Analysis!$C122,tblSalaries[Salary in USD]))),0)</f>
        <v>132588.25533234264</v>
      </c>
      <c r="EF122" s="26">
        <f t="array" ref="EF122">IFERROR(MAX(IF(tblSalaries[Job Type]=Analysis!EF$118,IF(tblSalaries[Years of Experience]=Analysis!$C122,tblSalaries[Salary in USD]))),0)</f>
        <v>176585.52201983347</v>
      </c>
      <c r="EG122" s="26">
        <f t="array" ref="EG122">IFERROR(MAX(IF(tblSalaries[Job Type]=Analysis!EG$118,IF(tblSalaries[Years of Experience]=Analysis!$C122,tblSalaries[Salary in USD]))),0)</f>
        <v>0</v>
      </c>
      <c r="EH122" s="26">
        <f t="array" ref="EH122">IFERROR(MAX(IF(tblSalaries[Job Type]=Analysis!EH$118,IF(tblSalaries[Years of Experience]=Analysis!$C122,tblSalaries[Salary in USD]))),0)</f>
        <v>37000</v>
      </c>
      <c r="EI122" s="26">
        <f t="array" ref="EI122">IFERROR(MAX(IF(tblSalaries[Region]=Analysis!EI$118,IF(tblSalaries[Years of Experience]=Analysis!$C122,tblSalaries[Salary in USD]))),0)</f>
        <v>132588.25533234264</v>
      </c>
      <c r="EJ122" s="26">
        <f t="array" ref="EJ122">IFERROR(MAX(IF(tblSalaries[Region]=Analysis!EJ$118,IF(tblSalaries[Years of Experience]=Analysis!$C122,tblSalaries[Salary in USD]))),0)</f>
        <v>300000</v>
      </c>
      <c r="EK122" s="26">
        <f t="array" ref="EK122">IFERROR(MAX(IF(tblSalaries[Region]=Analysis!EK$118,IF(tblSalaries[Years of Experience]=Analysis!$C122,tblSalaries[Salary in USD]))),0)</f>
        <v>0</v>
      </c>
      <c r="EL122" s="26">
        <f t="array" ref="EL122">IFERROR(MAX(IF(tblSalaries[Region]=Analysis!EL$118,IF(tblSalaries[Years of Experience]=Analysis!$C122,tblSalaries[Salary in USD]))),0)</f>
        <v>86689.804963700633</v>
      </c>
      <c r="EM122" s="26">
        <f t="array" ref="EM122">IFERROR(MAX(IF(tblSalaries[Region]=Analysis!EM$118,IF(tblSalaries[Years of Experience]=Analysis!$C122,tblSalaries[Salary in USD]))),0)</f>
        <v>176585.52201983347</v>
      </c>
      <c r="EN122" s="26">
        <f t="array" ref="EN122">IFERROR(MAX(IF(tblSalaries[Region]=Analysis!EN$118,IF(tblSalaries[Years of Experience]=Analysis!$C122,tblSalaries[Salary in USD]))),0)</f>
        <v>143565.85684888897</v>
      </c>
      <c r="EO122" s="26">
        <f t="array" ref="EO122">IFERROR(MAX(IF(tblSalaries[Region]=Analysis!EO$118,IF(tblSalaries[Years of Experience]=Analysis!$C122,tblSalaries[Salary in USD]))),0)</f>
        <v>50000</v>
      </c>
      <c r="EP122" s="26">
        <f t="array" ref="EP122">IFERROR(MAX(IF(tblSalaries[Region]=Analysis!EP$118,IF(tblSalaries[Years of Experience]=Analysis!$C122,tblSalaries[Salary in USD]))),0)</f>
        <v>50000</v>
      </c>
      <c r="EQ122" s="26">
        <f t="array" ref="EQ122">IFERROR(MAX(IF(tblSalaries[Region]=Analysis!EQ$118,IF(tblSalaries[Years of Experience]=Analysis!$C122,tblSalaries[Salary in USD]))),0)</f>
        <v>0</v>
      </c>
      <c r="ER122" s="26">
        <f t="array" ref="ER122">IFERROR(MAX(IF(tblSalaries[Work Hour per day on Excel]=Analysis!ER$118,IF(tblSalaries[Years of Experience]=Analysis!$C122,tblSalaries[Salary in USD]))),0)</f>
        <v>176585.52201983347</v>
      </c>
      <c r="ES122" s="26">
        <f t="array" ref="ES122">IFERROR(MAX(IF(tblSalaries[Work Hour per day on Excel]=Analysis!ES$118,IF(tblSalaries[Years of Experience]=Analysis!$C122,tblSalaries[Salary in USD]))),0)</f>
        <v>300000</v>
      </c>
      <c r="ET122" s="26">
        <f t="array" ref="ET122">IFERROR(MAX(IF(tblSalaries[Work Hour per day on Excel]=Analysis!ET$118,IF(tblSalaries[Years of Experience]=Analysis!$C122,tblSalaries[Salary in USD]))),0)</f>
        <v>150000</v>
      </c>
      <c r="EU122" s="26">
        <f t="array" ref="EU122">IFERROR(MAX(IF(tblSalaries[Work Hour per day on Excel]=Analysis!EU$118,IF(tblSalaries[Years of Experience]=Analysis!$C122,tblSalaries[Salary in USD]))),0)</f>
        <v>192000</v>
      </c>
      <c r="EV122" s="26">
        <f t="array" ref="EV122">IFERROR(MIN(IF(tblSalaries[Years of Experience]=Analysis!$C122,tblSalaries[Salary in USD])),0)</f>
        <v>6232.7708406048987</v>
      </c>
      <c r="EW122" s="26">
        <f t="array" ref="EW122">IFERROR(MIN(IF(tblSalaries[Job Type]=Analysis!EW$118,IF(tblSalaries[Years of Experience]=Analysis!$C122,tblSalaries[Salary in USD]))),0)</f>
        <v>50000</v>
      </c>
      <c r="EX122" s="26">
        <f t="array" ref="EX122">IFERROR(MIN(IF(tblSalaries[Job Type]=Analysis!EX$118,IF(tblSalaries[Years of Experience]=Analysis!$C122,tblSalaries[Salary in USD]))),0)</f>
        <v>24000</v>
      </c>
      <c r="EY122" s="26">
        <f t="array" ref="EY122">IFERROR(MIN(IF(tblSalaries[Job Type]=Analysis!EY$118,IF(tblSalaries[Years of Experience]=Analysis!$C122,tblSalaries[Salary in USD]))),0)</f>
        <v>21369.500024931083</v>
      </c>
      <c r="EZ122" s="26">
        <f t="array" ref="EZ122">IFERROR(MIN(IF(tblSalaries[Job Type]=Analysis!EZ$118,IF(tblSalaries[Years of Experience]=Analysis!$C122,tblSalaries[Salary in USD]))),0)</f>
        <v>62000</v>
      </c>
      <c r="FA122" s="26">
        <f t="array" ref="FA122">IFERROR(MIN(IF(tblSalaries[Job Type]=Analysis!FA$118,IF(tblSalaries[Years of Experience]=Analysis!$C122,tblSalaries[Salary in USD]))),0)</f>
        <v>50000</v>
      </c>
      <c r="FB122" s="26">
        <f t="array" ref="FB122">IFERROR(MIN(IF(tblSalaries[Job Type]=Analysis!FB$118,IF(tblSalaries[Years of Experience]=Analysis!$C122,tblSalaries[Salary in USD]))),0)</f>
        <v>8903.9583437212841</v>
      </c>
      <c r="FC122" s="26">
        <f t="array" ref="FC122">IFERROR(MIN(IF(tblSalaries[Job Type]=Analysis!FC$118,IF(tblSalaries[Years of Experience]=Analysis!$C122,tblSalaries[Salary in USD]))),0)</f>
        <v>30000</v>
      </c>
      <c r="FD122" s="26">
        <f t="array" ref="FD122">IFERROR(MIN(IF(tblSalaries[Job Type]=Analysis!FD$118,IF(tblSalaries[Years of Experience]=Analysis!$C122,tblSalaries[Salary in USD]))),0)</f>
        <v>6232.7708406048987</v>
      </c>
      <c r="FE122" s="26">
        <f t="array" ref="FE122">IFERROR(MIN(IF(tblSalaries[Job Type]=Analysis!FE$118,IF(tblSalaries[Years of Experience]=Analysis!$C122,tblSalaries[Salary in USD]))),0)</f>
        <v>0</v>
      </c>
      <c r="FF122" s="26">
        <f t="array" ref="FF122">IFERROR(MIN(IF(tblSalaries[Job Type]=Analysis!FF$118,IF(tblSalaries[Years of Experience]=Analysis!$C122,tblSalaries[Salary in USD]))),0)</f>
        <v>37000</v>
      </c>
      <c r="FG122" s="26">
        <f t="array" ref="FG122">IFERROR(MIN(IF(tblSalaries[Region]=Analysis!FG$118,IF(tblSalaries[Years of Experience]=Analysis!$C122,tblSalaries[Salary in USD]))),0)</f>
        <v>49975.573163729154</v>
      </c>
      <c r="FH122" s="26">
        <f t="array" ref="FH122">IFERROR(MIN(IF(tblSalaries[Region]=Analysis!FH$118,IF(tblSalaries[Years of Experience]=Analysis!$C122,tblSalaries[Salary in USD]))),0)</f>
        <v>37000</v>
      </c>
      <c r="FI122" s="26">
        <f t="array" ref="FI122">IFERROR(MIN(IF(tblSalaries[Region]=Analysis!FI$118,IF(tblSalaries[Years of Experience]=Analysis!$C122,tblSalaries[Salary in USD]))),0)</f>
        <v>0</v>
      </c>
      <c r="FJ122" s="26">
        <f t="array" ref="FJ122">IFERROR(MIN(IF(tblSalaries[Region]=Analysis!FJ$118,IF(tblSalaries[Years of Experience]=Analysis!$C122,tblSalaries[Salary in USD]))),0)</f>
        <v>45393.934235537781</v>
      </c>
      <c r="FK122" s="26">
        <f t="array" ref="FK122">IFERROR(MIN(IF(tblSalaries[Region]=Analysis!FK$118,IF(tblSalaries[Years of Experience]=Analysis!$C122,tblSalaries[Salary in USD]))),0)</f>
        <v>104172.75399731184</v>
      </c>
      <c r="FL122" s="26">
        <f t="array" ref="FL122">IFERROR(MIN(IF(tblSalaries[Region]=Analysis!FL$118,IF(tblSalaries[Years of Experience]=Analysis!$C122,tblSalaries[Salary in USD]))),0)</f>
        <v>24000</v>
      </c>
      <c r="FM122" s="26">
        <f t="array" ref="FM122">IFERROR(MIN(IF(tblSalaries[Region]=Analysis!FM$118,IF(tblSalaries[Years of Experience]=Analysis!$C122,tblSalaries[Salary in USD]))),0)</f>
        <v>50000</v>
      </c>
      <c r="FN122" s="26">
        <f t="array" ref="FN122">IFERROR(MIN(IF(tblSalaries[Region]=Analysis!FN$118,IF(tblSalaries[Years of Experience]=Analysis!$C122,tblSalaries[Salary in USD]))),0)</f>
        <v>6232.7708406048987</v>
      </c>
      <c r="FO122" s="26">
        <f t="array" ref="FO122">IFERROR(MIN(IF(tblSalaries[Region]=Analysis!FO$118,IF(tblSalaries[Years of Experience]=Analysis!$C122,tblSalaries[Salary in USD]))),0)</f>
        <v>0</v>
      </c>
      <c r="FP122" s="26">
        <f t="array" ref="FP122">IFERROR(MIN(IF(tblSalaries[Work Hour per day on Excel]=Analysis!FP$118,IF(tblSalaries[Years of Experience]=Analysis!$C122,tblSalaries[Salary in USD]))),0)</f>
        <v>8903.9583437212841</v>
      </c>
      <c r="FQ122" s="26">
        <f t="array" ref="FQ122">IFERROR(MIN(IF(tblSalaries[Work Hour per day on Excel]=Analysis!FQ$118,IF(tblSalaries[Years of Experience]=Analysis!$C122,tblSalaries[Salary in USD]))),0)</f>
        <v>6232.7708406048987</v>
      </c>
      <c r="FR122" s="26">
        <f t="array" ref="FR122">IFERROR(MIN(IF(tblSalaries[Work Hour per day on Excel]=Analysis!FR$118,IF(tblSalaries[Years of Experience]=Analysis!$C122,tblSalaries[Salary in USD]))),0)</f>
        <v>7000</v>
      </c>
      <c r="FS122" s="26">
        <f t="array" ref="FS122">IFERROR(MIN(IF(tblSalaries[Work Hour per day on Excel]=Analysis!FS$118,IF(tblSalaries[Years of Experience]=Analysis!$C122,tblSalaries[Salary in USD]))),0)</f>
        <v>8400</v>
      </c>
      <c r="FT122" s="26">
        <f t="array" ref="FT122">IFERROR(COUNT(IF(tblSalaries[Years of Experience]=Analysis!$C122,tblSalaries[Salary in USD])),0)</f>
        <v>69</v>
      </c>
      <c r="FU122" s="26">
        <f t="array" ref="FU122">IFERROR(COUNT(IF(tblSalaries[Job Type]=Analysis!FU$118,IF(tblSalaries[Years of Experience]=Analysis!$C122,tblSalaries[Salary in USD]))),0)</f>
        <v>8</v>
      </c>
      <c r="FV122" s="26">
        <f t="array" ref="FV122">IFERROR(COUNT(IF(tblSalaries[Job Type]=Analysis!FV$118,IF(tblSalaries[Years of Experience]=Analysis!$C122,tblSalaries[Salary in USD]))),0)</f>
        <v>5</v>
      </c>
      <c r="FW122" s="26">
        <f t="array" ref="FW122">IFERROR(COUNT(IF(tblSalaries[Job Type]=Analysis!FW$118,IF(tblSalaries[Years of Experience]=Analysis!$C122,tblSalaries[Salary in USD]))),0)</f>
        <v>2</v>
      </c>
      <c r="FX122" s="26">
        <f t="array" ref="FX122">IFERROR(COUNT(IF(tblSalaries[Job Type]=Analysis!FX$118,IF(tblSalaries[Years of Experience]=Analysis!$C122,tblSalaries[Salary in USD]))),0)</f>
        <v>2</v>
      </c>
      <c r="FY122" s="26">
        <f t="array" ref="FY122">IFERROR(COUNT(IF(tblSalaries[Job Type]=Analysis!FY$118,IF(tblSalaries[Years of Experience]=Analysis!$C122,tblSalaries[Salary in USD]))),0)</f>
        <v>3</v>
      </c>
      <c r="FZ122" s="26">
        <f t="array" ref="FZ122">IFERROR(COUNT(IF(tblSalaries[Job Type]=Analysis!FZ$118,IF(tblSalaries[Years of Experience]=Analysis!$C122,tblSalaries[Salary in USD]))),0)</f>
        <v>14</v>
      </c>
      <c r="GA122" s="26">
        <f t="array" ref="GA122">IFERROR(COUNT(IF(tblSalaries[Job Type]=Analysis!GA$118,IF(tblSalaries[Years of Experience]=Analysis!$C122,tblSalaries[Salary in USD]))),0)</f>
        <v>3</v>
      </c>
      <c r="GB122" s="26">
        <f t="array" ref="GB122">IFERROR(COUNT(IF(tblSalaries[Job Type]=Analysis!GB$118,IF(tblSalaries[Years of Experience]=Analysis!$C122,tblSalaries[Salary in USD]))),0)</f>
        <v>31</v>
      </c>
      <c r="GC122" s="26">
        <f t="array" ref="GC122">IFERROR(COUNT(IF(tblSalaries[Job Type]=Analysis!GC$118,IF(tblSalaries[Years of Experience]=Analysis!$C122,tblSalaries[Salary in USD]))),0)</f>
        <v>0</v>
      </c>
      <c r="GD122" s="26">
        <f t="array" ref="GD122">IFERROR(COUNT(IF(tblSalaries[Job Type]=Analysis!GD$118,IF(tblSalaries[Years of Experience]=Analysis!$C122,tblSalaries[Salary in USD]))),0)</f>
        <v>1</v>
      </c>
      <c r="GE122" s="26">
        <f t="array" ref="GE122">IFERROR(COUNT(IF(tblSalaries[Region]=Analysis!GE$118,IF(tblSalaries[Years of Experience]=Analysis!$C122,tblSalaries[Salary in USD]))),0)</f>
        <v>5</v>
      </c>
      <c r="GF122" s="26">
        <f t="array" ref="GF122">IFERROR(COUNT(IF(tblSalaries[Region]=Analysis!GF$118,IF(tblSalaries[Years of Experience]=Analysis!$C122,tblSalaries[Salary in USD]))),0)</f>
        <v>28</v>
      </c>
      <c r="GG122" s="26">
        <f t="array" ref="GG122">IFERROR(COUNT(IF(tblSalaries[Region]=Analysis!GG$118,IF(tblSalaries[Years of Experience]=Analysis!$C122,tblSalaries[Salary in USD]))),0)</f>
        <v>0</v>
      </c>
      <c r="GH122" s="26">
        <f t="array" ref="GH122">IFERROR(COUNT(IF(tblSalaries[Region]=Analysis!GH$118,IF(tblSalaries[Years of Experience]=Analysis!$C122,tblSalaries[Salary in USD]))),0)</f>
        <v>8</v>
      </c>
      <c r="GI122" s="26">
        <f t="array" ref="GI122">IFERROR(COUNT(IF(tblSalaries[Region]=Analysis!GI$118,IF(tblSalaries[Years of Experience]=Analysis!$C122,tblSalaries[Salary in USD]))),0)</f>
        <v>3</v>
      </c>
      <c r="GJ122" s="26">
        <f t="array" ref="GJ122">IFERROR(COUNT(IF(tblSalaries[Region]=Analysis!GJ$118,IF(tblSalaries[Years of Experience]=Analysis!$C122,tblSalaries[Salary in USD]))),0)</f>
        <v>7</v>
      </c>
      <c r="GK122" s="26">
        <f t="array" ref="GK122">IFERROR(COUNT(IF(tblSalaries[Region]=Analysis!GK$118,IF(tblSalaries[Years of Experience]=Analysis!$C122,tblSalaries[Salary in USD]))),0)</f>
        <v>1</v>
      </c>
      <c r="GL122" s="26">
        <f t="array" ref="GL122">IFERROR(COUNT(IF(tblSalaries[Region]=Analysis!GL$118,IF(tblSalaries[Years of Experience]=Analysis!$C122,tblSalaries[Salary in USD]))),0)</f>
        <v>17</v>
      </c>
      <c r="GM122" s="26">
        <f t="array" ref="GM122">IFERROR(COUNT(IF(tblSalaries[Region]=Analysis!GM$118,IF(tblSalaries[Years of Experience]=Analysis!$C122,tblSalaries[Salary in USD]))),0)</f>
        <v>0</v>
      </c>
      <c r="GN122" s="26">
        <f t="array" ref="GN122">IFERROR(COUNT(IF(tblSalaries[Work Hour per day on Excel]=Analysis!GN$118,IF(tblSalaries[Years of Experience]=Analysis!$C122,tblSalaries[Salary in USD]))),0)</f>
        <v>9</v>
      </c>
      <c r="GO122" s="26">
        <f t="array" ref="GO122">IFERROR(COUNT(IF(tblSalaries[Work Hour per day on Excel]=Analysis!GO$118,IF(tblSalaries[Years of Experience]=Analysis!$C122,tblSalaries[Salary in USD]))),0)</f>
        <v>24</v>
      </c>
      <c r="GP122" s="26">
        <f t="array" ref="GP122">IFERROR(COUNT(IF(tblSalaries[Work Hour per day on Excel]=Analysis!GP$118,IF(tblSalaries[Years of Experience]=Analysis!$C122,tblSalaries[Salary in USD]))),0)</f>
        <v>26</v>
      </c>
      <c r="GQ122" s="26">
        <f t="array" ref="GQ122">IFERROR(COUNT(IF(tblSalaries[Work Hour per day on Excel]=Analysis!GQ$118,IF(tblSalaries[Years of Experience]=Analysis!$C122,tblSalaries[Salary in USD]))),0)</f>
        <v>10</v>
      </c>
    </row>
    <row r="123" spans="2:199" s="25" customFormat="1" ht="15" hidden="1" customHeight="1" x14ac:dyDescent="0.25">
      <c r="B123" s="25">
        <f t="shared" si="157"/>
        <v>5</v>
      </c>
      <c r="C123" s="25" t="s">
        <v>1449</v>
      </c>
      <c r="D123" s="26">
        <f t="shared" si="154"/>
        <v>84850.823172255186</v>
      </c>
      <c r="E123" s="26">
        <f t="shared" si="154"/>
        <v>0</v>
      </c>
      <c r="F123" s="26">
        <f t="shared" si="154"/>
        <v>0</v>
      </c>
      <c r="G123" s="26">
        <f t="shared" si="154"/>
        <v>10684.750012465542</v>
      </c>
      <c r="H123" s="26">
        <f t="shared" si="154"/>
        <v>0</v>
      </c>
      <c r="I123" s="26">
        <f t="shared" si="154"/>
        <v>0</v>
      </c>
      <c r="J123" s="26">
        <f t="shared" si="154"/>
        <v>108684.05553913918</v>
      </c>
      <c r="K123" s="26">
        <f t="shared" si="154"/>
        <v>39404.456801682099</v>
      </c>
      <c r="L123" s="26">
        <f t="shared" si="154"/>
        <v>109130.33323508203</v>
      </c>
      <c r="M123" s="26">
        <f t="shared" si="154"/>
        <v>0</v>
      </c>
      <c r="N123" s="26">
        <f t="shared" si="155"/>
        <v>0</v>
      </c>
      <c r="O123" s="26">
        <f t="shared" si="155"/>
        <v>109130.33323508203</v>
      </c>
      <c r="P123" s="26">
        <f t="shared" si="155"/>
        <v>24000</v>
      </c>
      <c r="Q123" s="26">
        <f t="shared" si="155"/>
        <v>245840.3807575817</v>
      </c>
      <c r="R123" s="26">
        <f t="shared" si="155"/>
        <v>47285.348162018519</v>
      </c>
      <c r="S123" s="26">
        <f t="shared" si="155"/>
        <v>0</v>
      </c>
      <c r="T123" s="26">
        <f t="shared" si="155"/>
        <v>109729.60187662003</v>
      </c>
      <c r="U123" s="26">
        <f t="shared" si="155"/>
        <v>0</v>
      </c>
      <c r="V123" s="26">
        <f t="shared" si="155"/>
        <v>10684.750012465542</v>
      </c>
      <c r="W123" s="26">
        <f t="shared" si="155"/>
        <v>0</v>
      </c>
      <c r="X123" s="26">
        <f t="shared" si="156"/>
        <v>24000</v>
      </c>
      <c r="Y123" s="26">
        <f t="shared" si="156"/>
        <v>10684.750012465542</v>
      </c>
      <c r="Z123" s="26">
        <f t="shared" si="156"/>
        <v>131458.39026478192</v>
      </c>
      <c r="AA123" s="26">
        <f t="shared" si="156"/>
        <v>82447.920699487484</v>
      </c>
      <c r="CZ123" s="26">
        <f t="array" ref="CZ123">IFERROR(AVERAGE(IF(tblSalaries[Years of Experience]=Analysis!$C123,tblSalaries[Salary in USD])),0)</f>
        <v>84850.823172255186</v>
      </c>
      <c r="DA123" s="26">
        <f t="array" ref="DA123">IFERROR(AVERAGE(IF(tblSalaries[Job Type]=Analysis!DA$118,IF(tblSalaries[Years of Experience]=Analysis!$C123,tblSalaries[Salary in USD]))),0)</f>
        <v>0</v>
      </c>
      <c r="DB123" s="26">
        <f t="array" ref="DB123">IFERROR(AVERAGE(IF(tblSalaries[Job Type]=Analysis!DB$118,IF(tblSalaries[Years of Experience]=Analysis!$C123,tblSalaries[Salary in USD]))),0)</f>
        <v>0</v>
      </c>
      <c r="DC123" s="26">
        <f t="array" ref="DC123">IFERROR(AVERAGE(IF(tblSalaries[Job Type]=Analysis!DC$118,IF(tblSalaries[Years of Experience]=Analysis!$C123,tblSalaries[Salary in USD]))),0)</f>
        <v>10684.750012465542</v>
      </c>
      <c r="DD123" s="26">
        <f t="array" ref="DD123">IFERROR(AVERAGE(IF(tblSalaries[Job Type]=Analysis!DD$118,IF(tblSalaries[Years of Experience]=Analysis!$C123,tblSalaries[Salary in USD]))),0)</f>
        <v>0</v>
      </c>
      <c r="DE123" s="26">
        <f t="array" ref="DE123">IFERROR(AVERAGE(IF(tblSalaries[Job Type]=Analysis!DE$118,IF(tblSalaries[Years of Experience]=Analysis!$C123,tblSalaries[Salary in USD]))),0)</f>
        <v>0</v>
      </c>
      <c r="DF123" s="26">
        <f t="array" ref="DF123">IFERROR(AVERAGE(IF(tblSalaries[Job Type]=Analysis!DF$118,IF(tblSalaries[Years of Experience]=Analysis!$C123,tblSalaries[Salary in USD]))),0)</f>
        <v>108684.05553913918</v>
      </c>
      <c r="DG123" s="26">
        <f t="array" ref="DG123">IFERROR(AVERAGE(IF(tblSalaries[Job Type]=Analysis!DG$118,IF(tblSalaries[Years of Experience]=Analysis!$C123,tblSalaries[Salary in USD]))),0)</f>
        <v>39404.456801682099</v>
      </c>
      <c r="DH123" s="26">
        <f t="array" ref="DH123">IFERROR(AVERAGE(IF(tblSalaries[Job Type]=Analysis!DH$118,IF(tblSalaries[Years of Experience]=Analysis!$C123,tblSalaries[Salary in USD]))),0)</f>
        <v>109130.33323508203</v>
      </c>
      <c r="DI123" s="26">
        <f t="array" ref="DI123">IFERROR(AVERAGE(IF(tblSalaries[Job Type]=Analysis!DI$118,IF(tblSalaries[Years of Experience]=Analysis!$C123,tblSalaries[Salary in USD]))),0)</f>
        <v>0</v>
      </c>
      <c r="DJ123" s="26">
        <f t="array" ref="DJ123">IFERROR(AVERAGE(IF(tblSalaries[Job Type]=Analysis!DJ$118,IF(tblSalaries[Years of Experience]=Analysis!$C123,tblSalaries[Salary in USD]))),0)</f>
        <v>0</v>
      </c>
      <c r="DK123" s="26">
        <f t="array" ref="DK123">IFERROR(AVERAGE(IF(tblSalaries[Region]=Analysis!DK$118,IF(tblSalaries[Years of Experience]=Analysis!$C123,tblSalaries[Salary in USD]))),0)</f>
        <v>109130.33323508203</v>
      </c>
      <c r="DL123" s="26">
        <f t="array" ref="DL123">IFERROR(AVERAGE(IF(tblSalaries[Region]=Analysis!DL$118,IF(tblSalaries[Years of Experience]=Analysis!$C123,tblSalaries[Salary in USD]))),0)</f>
        <v>24000</v>
      </c>
      <c r="DM123" s="26">
        <f t="array" ref="DM123">IFERROR(AVERAGE(IF(tblSalaries[Region]=Analysis!DM$118,IF(tblSalaries[Years of Experience]=Analysis!$C123,tblSalaries[Salary in USD]))),0)</f>
        <v>245840.3807575817</v>
      </c>
      <c r="DN123" s="26">
        <f t="array" ref="DN123">IFERROR(AVERAGE(IF(tblSalaries[Region]=Analysis!DN$118,IF(tblSalaries[Years of Experience]=Analysis!$C123,tblSalaries[Salary in USD]))),0)</f>
        <v>47285.348162018519</v>
      </c>
      <c r="DO123" s="26">
        <f t="array" ref="DO123">IFERROR(AVERAGE(IF(tblSalaries[Region]=Analysis!DO$118,IF(tblSalaries[Years of Experience]=Analysis!$C123,tblSalaries[Salary in USD]))),0)</f>
        <v>0</v>
      </c>
      <c r="DP123" s="26">
        <f t="array" ref="DP123">IFERROR(AVERAGE(IF(tblSalaries[Region]=Analysis!DP$118,IF(tblSalaries[Years of Experience]=Analysis!$C123,tblSalaries[Salary in USD]))),0)</f>
        <v>109729.60187662003</v>
      </c>
      <c r="DQ123" s="26">
        <f t="array" ref="DQ123">IFERROR(AVERAGE(IF(tblSalaries[Region]=Analysis!DQ$118,IF(tblSalaries[Years of Experience]=Analysis!$C123,tblSalaries[Salary in USD]))),0)</f>
        <v>0</v>
      </c>
      <c r="DR123" s="26">
        <f t="array" ref="DR123">IFERROR(AVERAGE(IF(tblSalaries[Region]=Analysis!DR$118,IF(tblSalaries[Years of Experience]=Analysis!$C123,tblSalaries[Salary in USD]))),0)</f>
        <v>10684.750012465542</v>
      </c>
      <c r="DS123" s="26">
        <f t="array" ref="DS123">IFERROR(AVERAGE(IF(tblSalaries[Region]=Analysis!DS$118,IF(tblSalaries[Years of Experience]=Analysis!$C123,tblSalaries[Salary in USD]))),0)</f>
        <v>0</v>
      </c>
      <c r="DT123" s="26">
        <f t="array" ref="DT123">IFERROR(AVERAGE(IF(tblSalaries[Work Hour per day on Excel]=Analysis!DT$118,IF(tblSalaries[Years of Experience]=Analysis!$C123,tblSalaries[Salary in USD]))),0)</f>
        <v>24000</v>
      </c>
      <c r="DU123" s="26">
        <f t="array" ref="DU123">IFERROR(AVERAGE(IF(tblSalaries[Work Hour per day on Excel]=Analysis!DU$118,IF(tblSalaries[Years of Experience]=Analysis!$C123,tblSalaries[Salary in USD]))),0)</f>
        <v>10684.750012465542</v>
      </c>
      <c r="DV123" s="26">
        <f t="array" ref="DV123">IFERROR(AVERAGE(IF(tblSalaries[Work Hour per day on Excel]=Analysis!DV$118,IF(tblSalaries[Years of Experience]=Analysis!$C123,tblSalaries[Salary in USD]))),0)</f>
        <v>131458.39026478192</v>
      </c>
      <c r="DW123" s="26">
        <f t="array" ref="DW123">IFERROR(AVERAGE(IF(tblSalaries[Work Hour per day on Excel]=Analysis!DW$118,IF(tblSalaries[Years of Experience]=Analysis!$C123,tblSalaries[Salary in USD]))),0)</f>
        <v>82447.920699487484</v>
      </c>
      <c r="DX123" s="26">
        <f t="array" ref="DX123">IFERROR(MAX(IF(tblSalaries[Years of Experience]=Analysis!$C123,tblSalaries[Salary in USD])),0)</f>
        <v>245840.3807575817</v>
      </c>
      <c r="DY123" s="26">
        <f t="array" ref="DY123">IFERROR(MAX(IF(tblSalaries[Job Type]=Analysis!DY$118,IF(tblSalaries[Years of Experience]=Analysis!$C123,tblSalaries[Salary in USD]))),0)</f>
        <v>0</v>
      </c>
      <c r="DZ123" s="26">
        <f t="array" ref="DZ123">IFERROR(MAX(IF(tblSalaries[Job Type]=Analysis!DZ$118,IF(tblSalaries[Years of Experience]=Analysis!$C123,tblSalaries[Salary in USD]))),0)</f>
        <v>0</v>
      </c>
      <c r="EA123" s="26">
        <f t="array" ref="EA123">IFERROR(MAX(IF(tblSalaries[Job Type]=Analysis!EA$118,IF(tblSalaries[Years of Experience]=Analysis!$C123,tblSalaries[Salary in USD]))),0)</f>
        <v>10684.750012465542</v>
      </c>
      <c r="EB123" s="26">
        <f t="array" ref="EB123">IFERROR(MAX(IF(tblSalaries[Job Type]=Analysis!EB$118,IF(tblSalaries[Years of Experience]=Analysis!$C123,tblSalaries[Salary in USD]))),0)</f>
        <v>0</v>
      </c>
      <c r="EC123" s="26">
        <f t="array" ref="EC123">IFERROR(MAX(IF(tblSalaries[Job Type]=Analysis!EC$118,IF(tblSalaries[Years of Experience]=Analysis!$C123,tblSalaries[Salary in USD]))),0)</f>
        <v>0</v>
      </c>
      <c r="ED123" s="26">
        <f t="array" ref="ED123">IFERROR(MAX(IF(tblSalaries[Job Type]=Analysis!ED$118,IF(tblSalaries[Years of Experience]=Analysis!$C123,tblSalaries[Salary in USD]))),0)</f>
        <v>245840.3807575817</v>
      </c>
      <c r="EE123" s="26">
        <f t="array" ref="EE123">IFERROR(MAX(IF(tblSalaries[Job Type]=Analysis!EE$118,IF(tblSalaries[Years of Experience]=Analysis!$C123,tblSalaries[Salary in USD]))),0)</f>
        <v>39404.456801682099</v>
      </c>
      <c r="EF123" s="26">
        <f t="array" ref="EF123">IFERROR(MAX(IF(tblSalaries[Job Type]=Analysis!EF$118,IF(tblSalaries[Years of Experience]=Analysis!$C123,tblSalaries[Salary in USD]))),0)</f>
        <v>109130.33323508203</v>
      </c>
      <c r="EG123" s="26">
        <f t="array" ref="EG123">IFERROR(MAX(IF(tblSalaries[Job Type]=Analysis!EG$118,IF(tblSalaries[Years of Experience]=Analysis!$C123,tblSalaries[Salary in USD]))),0)</f>
        <v>0</v>
      </c>
      <c r="EH123" s="26">
        <f t="array" ref="EH123">IFERROR(MAX(IF(tblSalaries[Job Type]=Analysis!EH$118,IF(tblSalaries[Years of Experience]=Analysis!$C123,tblSalaries[Salary in USD]))),0)</f>
        <v>0</v>
      </c>
      <c r="EI123" s="26">
        <f t="array" ref="EI123">IFERROR(MAX(IF(tblSalaries[Region]=Analysis!EI$118,IF(tblSalaries[Years of Experience]=Analysis!$C123,tblSalaries[Salary in USD]))),0)</f>
        <v>109130.33323508203</v>
      </c>
      <c r="EJ123" s="26">
        <f t="array" ref="EJ123">IFERROR(MAX(IF(tblSalaries[Region]=Analysis!EJ$118,IF(tblSalaries[Years of Experience]=Analysis!$C123,tblSalaries[Salary in USD]))),0)</f>
        <v>24000</v>
      </c>
      <c r="EK123" s="26">
        <f t="array" ref="EK123">IFERROR(MAX(IF(tblSalaries[Region]=Analysis!EK$118,IF(tblSalaries[Years of Experience]=Analysis!$C123,tblSalaries[Salary in USD]))),0)</f>
        <v>245840.3807575817</v>
      </c>
      <c r="EL123" s="26">
        <f t="array" ref="EL123">IFERROR(MAX(IF(tblSalaries[Region]=Analysis!EL$118,IF(tblSalaries[Years of Experience]=Analysis!$C123,tblSalaries[Salary in USD]))),0)</f>
        <v>55166.239522354947</v>
      </c>
      <c r="EM123" s="26">
        <f t="array" ref="EM123">IFERROR(MAX(IF(tblSalaries[Region]=Analysis!EM$118,IF(tblSalaries[Years of Experience]=Analysis!$C123,tblSalaries[Salary in USD]))),0)</f>
        <v>0</v>
      </c>
      <c r="EN123" s="26">
        <f t="array" ref="EN123">IFERROR(MAX(IF(tblSalaries[Region]=Analysis!EN$118,IF(tblSalaries[Years of Experience]=Analysis!$C123,tblSalaries[Salary in USD]))),0)</f>
        <v>109729.60187662003</v>
      </c>
      <c r="EO123" s="26">
        <f t="array" ref="EO123">IFERROR(MAX(IF(tblSalaries[Region]=Analysis!EO$118,IF(tblSalaries[Years of Experience]=Analysis!$C123,tblSalaries[Salary in USD]))),0)</f>
        <v>0</v>
      </c>
      <c r="EP123" s="26">
        <f t="array" ref="EP123">IFERROR(MAX(IF(tblSalaries[Region]=Analysis!EP$118,IF(tblSalaries[Years of Experience]=Analysis!$C123,tblSalaries[Salary in USD]))),0)</f>
        <v>10684.750012465542</v>
      </c>
      <c r="EQ123" s="26">
        <f t="array" ref="EQ123">IFERROR(MAX(IF(tblSalaries[Region]=Analysis!EQ$118,IF(tblSalaries[Years of Experience]=Analysis!$C123,tblSalaries[Salary in USD]))),0)</f>
        <v>0</v>
      </c>
      <c r="ER123" s="26">
        <f t="array" ref="ER123">IFERROR(MAX(IF(tblSalaries[Work Hour per day on Excel]=Analysis!ER$118,IF(tblSalaries[Years of Experience]=Analysis!$C123,tblSalaries[Salary in USD]))),0)</f>
        <v>24000</v>
      </c>
      <c r="ES123" s="26">
        <f t="array" ref="ES123">IFERROR(MAX(IF(tblSalaries[Work Hour per day on Excel]=Analysis!ES$118,IF(tblSalaries[Years of Experience]=Analysis!$C123,tblSalaries[Salary in USD]))),0)</f>
        <v>10684.750012465542</v>
      </c>
      <c r="ET123" s="26">
        <f t="array" ref="ET123">IFERROR(MAX(IF(tblSalaries[Work Hour per day on Excel]=Analysis!ET$118,IF(tblSalaries[Years of Experience]=Analysis!$C123,tblSalaries[Salary in USD]))),0)</f>
        <v>245840.3807575817</v>
      </c>
      <c r="EU123" s="26">
        <f t="array" ref="EU123">IFERROR(MAX(IF(tblSalaries[Work Hour per day on Excel]=Analysis!EU$118,IF(tblSalaries[Years of Experience]=Analysis!$C123,tblSalaries[Salary in USD]))),0)</f>
        <v>109729.60187662003</v>
      </c>
      <c r="EV123" s="26">
        <f t="array" ref="EV123">IFERROR(MIN(IF(tblSalaries[Years of Experience]=Analysis!$C123,tblSalaries[Salary in USD])),0)</f>
        <v>10684.750012465542</v>
      </c>
      <c r="EW123" s="26">
        <f t="array" ref="EW123">IFERROR(MIN(IF(tblSalaries[Job Type]=Analysis!EW$118,IF(tblSalaries[Years of Experience]=Analysis!$C123,tblSalaries[Salary in USD]))),0)</f>
        <v>0</v>
      </c>
      <c r="EX123" s="26">
        <f t="array" ref="EX123">IFERROR(MIN(IF(tblSalaries[Job Type]=Analysis!EX$118,IF(tblSalaries[Years of Experience]=Analysis!$C123,tblSalaries[Salary in USD]))),0)</f>
        <v>0</v>
      </c>
      <c r="EY123" s="26">
        <f t="array" ref="EY123">IFERROR(MIN(IF(tblSalaries[Job Type]=Analysis!EY$118,IF(tblSalaries[Years of Experience]=Analysis!$C123,tblSalaries[Salary in USD]))),0)</f>
        <v>10684.750012465542</v>
      </c>
      <c r="EZ123" s="26">
        <f t="array" ref="EZ123">IFERROR(MIN(IF(tblSalaries[Job Type]=Analysis!EZ$118,IF(tblSalaries[Years of Experience]=Analysis!$C123,tblSalaries[Salary in USD]))),0)</f>
        <v>0</v>
      </c>
      <c r="FA123" s="26">
        <f t="array" ref="FA123">IFERROR(MIN(IF(tblSalaries[Job Type]=Analysis!FA$118,IF(tblSalaries[Years of Experience]=Analysis!$C123,tblSalaries[Salary in USD]))),0)</f>
        <v>0</v>
      </c>
      <c r="FB123" s="26">
        <f t="array" ref="FB123">IFERROR(MIN(IF(tblSalaries[Job Type]=Analysis!FB$118,IF(tblSalaries[Years of Experience]=Analysis!$C123,tblSalaries[Salary in USD]))),0)</f>
        <v>24000</v>
      </c>
      <c r="FC123" s="26">
        <f t="array" ref="FC123">IFERROR(MIN(IF(tblSalaries[Job Type]=Analysis!FC$118,IF(tblSalaries[Years of Experience]=Analysis!$C123,tblSalaries[Salary in USD]))),0)</f>
        <v>39404.456801682099</v>
      </c>
      <c r="FD123" s="26">
        <f t="array" ref="FD123">IFERROR(MIN(IF(tblSalaries[Job Type]=Analysis!FD$118,IF(tblSalaries[Years of Experience]=Analysis!$C123,tblSalaries[Salary in USD]))),0)</f>
        <v>109130.33323508203</v>
      </c>
      <c r="FE123" s="26">
        <f t="array" ref="FE123">IFERROR(MIN(IF(tblSalaries[Job Type]=Analysis!FE$118,IF(tblSalaries[Years of Experience]=Analysis!$C123,tblSalaries[Salary in USD]))),0)</f>
        <v>0</v>
      </c>
      <c r="FF123" s="26">
        <f t="array" ref="FF123">IFERROR(MIN(IF(tblSalaries[Job Type]=Analysis!FF$118,IF(tblSalaries[Years of Experience]=Analysis!$C123,tblSalaries[Salary in USD]))),0)</f>
        <v>0</v>
      </c>
      <c r="FG123" s="26">
        <f t="array" ref="FG123">IFERROR(MIN(IF(tblSalaries[Region]=Analysis!FG$118,IF(tblSalaries[Years of Experience]=Analysis!$C123,tblSalaries[Salary in USD]))),0)</f>
        <v>109130.33323508203</v>
      </c>
      <c r="FH123" s="26">
        <f t="array" ref="FH123">IFERROR(MIN(IF(tblSalaries[Region]=Analysis!FH$118,IF(tblSalaries[Years of Experience]=Analysis!$C123,tblSalaries[Salary in USD]))),0)</f>
        <v>24000</v>
      </c>
      <c r="FI123" s="26">
        <f t="array" ref="FI123">IFERROR(MIN(IF(tblSalaries[Region]=Analysis!FI$118,IF(tblSalaries[Years of Experience]=Analysis!$C123,tblSalaries[Salary in USD]))),0)</f>
        <v>245840.3807575817</v>
      </c>
      <c r="FJ123" s="26">
        <f t="array" ref="FJ123">IFERROR(MIN(IF(tblSalaries[Region]=Analysis!FJ$118,IF(tblSalaries[Years of Experience]=Analysis!$C123,tblSalaries[Salary in USD]))),0)</f>
        <v>39404.456801682099</v>
      </c>
      <c r="FK123" s="26">
        <f t="array" ref="FK123">IFERROR(MIN(IF(tblSalaries[Region]=Analysis!FK$118,IF(tblSalaries[Years of Experience]=Analysis!$C123,tblSalaries[Salary in USD]))),0)</f>
        <v>0</v>
      </c>
      <c r="FL123" s="26">
        <f t="array" ref="FL123">IFERROR(MIN(IF(tblSalaries[Region]=Analysis!FL$118,IF(tblSalaries[Years of Experience]=Analysis!$C123,tblSalaries[Salary in USD]))),0)</f>
        <v>109729.60187662003</v>
      </c>
      <c r="FM123" s="26">
        <f t="array" ref="FM123">IFERROR(MIN(IF(tblSalaries[Region]=Analysis!FM$118,IF(tblSalaries[Years of Experience]=Analysis!$C123,tblSalaries[Salary in USD]))),0)</f>
        <v>0</v>
      </c>
      <c r="FN123" s="26">
        <f t="array" ref="FN123">IFERROR(MIN(IF(tblSalaries[Region]=Analysis!FN$118,IF(tblSalaries[Years of Experience]=Analysis!$C123,tblSalaries[Salary in USD]))),0)</f>
        <v>10684.750012465542</v>
      </c>
      <c r="FO123" s="26">
        <f t="array" ref="FO123">IFERROR(MIN(IF(tblSalaries[Region]=Analysis!FO$118,IF(tblSalaries[Years of Experience]=Analysis!$C123,tblSalaries[Salary in USD]))),0)</f>
        <v>0</v>
      </c>
      <c r="FP123" s="26">
        <f t="array" ref="FP123">IFERROR(MIN(IF(tblSalaries[Work Hour per day on Excel]=Analysis!FP$118,IF(tblSalaries[Years of Experience]=Analysis!$C123,tblSalaries[Salary in USD]))),0)</f>
        <v>24000</v>
      </c>
      <c r="FQ123" s="26">
        <f t="array" ref="FQ123">IFERROR(MIN(IF(tblSalaries[Work Hour per day on Excel]=Analysis!FQ$118,IF(tblSalaries[Years of Experience]=Analysis!$C123,tblSalaries[Salary in USD]))),0)</f>
        <v>10684.750012465542</v>
      </c>
      <c r="FR123" s="26">
        <f t="array" ref="FR123">IFERROR(MIN(IF(tblSalaries[Work Hour per day on Excel]=Analysis!FR$118,IF(tblSalaries[Years of Experience]=Analysis!$C123,tblSalaries[Salary in USD]))),0)</f>
        <v>39404.456801682099</v>
      </c>
      <c r="FS123" s="26">
        <f t="array" ref="FS123">IFERROR(MIN(IF(tblSalaries[Work Hour per day on Excel]=Analysis!FS$118,IF(tblSalaries[Years of Experience]=Analysis!$C123,tblSalaries[Salary in USD]))),0)</f>
        <v>55166.239522354947</v>
      </c>
      <c r="FT123" s="26">
        <f t="array" ref="FT123">IFERROR(COUNT(IF(tblSalaries[Years of Experience]=Analysis!$C123,tblSalaries[Salary in USD])),0)</f>
        <v>7</v>
      </c>
      <c r="FU123" s="26">
        <f t="array" ref="FU123">IFERROR(COUNT(IF(tblSalaries[Job Type]=Analysis!FU$118,IF(tblSalaries[Years of Experience]=Analysis!$C123,tblSalaries[Salary in USD]))),0)</f>
        <v>0</v>
      </c>
      <c r="FV123" s="26">
        <f t="array" ref="FV123">IFERROR(COUNT(IF(tblSalaries[Job Type]=Analysis!FV$118,IF(tblSalaries[Years of Experience]=Analysis!$C123,tblSalaries[Salary in USD]))),0)</f>
        <v>0</v>
      </c>
      <c r="FW123" s="26">
        <f t="array" ref="FW123">IFERROR(COUNT(IF(tblSalaries[Job Type]=Analysis!FW$118,IF(tblSalaries[Years of Experience]=Analysis!$C123,tblSalaries[Salary in USD]))),0)</f>
        <v>1</v>
      </c>
      <c r="FX123" s="26">
        <f t="array" ref="FX123">IFERROR(COUNT(IF(tblSalaries[Job Type]=Analysis!FX$118,IF(tblSalaries[Years of Experience]=Analysis!$C123,tblSalaries[Salary in USD]))),0)</f>
        <v>0</v>
      </c>
      <c r="FY123" s="26">
        <f t="array" ref="FY123">IFERROR(COUNT(IF(tblSalaries[Job Type]=Analysis!FY$118,IF(tblSalaries[Years of Experience]=Analysis!$C123,tblSalaries[Salary in USD]))),0)</f>
        <v>0</v>
      </c>
      <c r="FZ123" s="26">
        <f t="array" ref="FZ123">IFERROR(COUNT(IF(tblSalaries[Job Type]=Analysis!FZ$118,IF(tblSalaries[Years of Experience]=Analysis!$C123,tblSalaries[Salary in USD]))),0)</f>
        <v>4</v>
      </c>
      <c r="GA123" s="26">
        <f t="array" ref="GA123">IFERROR(COUNT(IF(tblSalaries[Job Type]=Analysis!GA$118,IF(tblSalaries[Years of Experience]=Analysis!$C123,tblSalaries[Salary in USD]))),0)</f>
        <v>1</v>
      </c>
      <c r="GB123" s="26">
        <f t="array" ref="GB123">IFERROR(COUNT(IF(tblSalaries[Job Type]=Analysis!GB$118,IF(tblSalaries[Years of Experience]=Analysis!$C123,tblSalaries[Salary in USD]))),0)</f>
        <v>1</v>
      </c>
      <c r="GC123" s="26">
        <f t="array" ref="GC123">IFERROR(COUNT(IF(tblSalaries[Job Type]=Analysis!GC$118,IF(tblSalaries[Years of Experience]=Analysis!$C123,tblSalaries[Salary in USD]))),0)</f>
        <v>0</v>
      </c>
      <c r="GD123" s="26">
        <f t="array" ref="GD123">IFERROR(COUNT(IF(tblSalaries[Job Type]=Analysis!GD$118,IF(tblSalaries[Years of Experience]=Analysis!$C123,tblSalaries[Salary in USD]))),0)</f>
        <v>0</v>
      </c>
      <c r="GE123" s="26">
        <f t="array" ref="GE123">IFERROR(COUNT(IF(tblSalaries[Region]=Analysis!GE$118,IF(tblSalaries[Years of Experience]=Analysis!$C123,tblSalaries[Salary in USD]))),0)</f>
        <v>1</v>
      </c>
      <c r="GF123" s="26">
        <f t="array" ref="GF123">IFERROR(COUNT(IF(tblSalaries[Region]=Analysis!GF$118,IF(tblSalaries[Years of Experience]=Analysis!$C123,tblSalaries[Salary in USD]))),0)</f>
        <v>1</v>
      </c>
      <c r="GG123" s="26">
        <f t="array" ref="GG123">IFERROR(COUNT(IF(tblSalaries[Region]=Analysis!GG$118,IF(tblSalaries[Years of Experience]=Analysis!$C123,tblSalaries[Salary in USD]))),0)</f>
        <v>1</v>
      </c>
      <c r="GH123" s="26">
        <f t="array" ref="GH123">IFERROR(COUNT(IF(tblSalaries[Region]=Analysis!GH$118,IF(tblSalaries[Years of Experience]=Analysis!$C123,tblSalaries[Salary in USD]))),0)</f>
        <v>2</v>
      </c>
      <c r="GI123" s="26">
        <f t="array" ref="GI123">IFERROR(COUNT(IF(tblSalaries[Region]=Analysis!GI$118,IF(tblSalaries[Years of Experience]=Analysis!$C123,tblSalaries[Salary in USD]))),0)</f>
        <v>0</v>
      </c>
      <c r="GJ123" s="26">
        <f t="array" ref="GJ123">IFERROR(COUNT(IF(tblSalaries[Region]=Analysis!GJ$118,IF(tblSalaries[Years of Experience]=Analysis!$C123,tblSalaries[Salary in USD]))),0)</f>
        <v>1</v>
      </c>
      <c r="GK123" s="26">
        <f t="array" ref="GK123">IFERROR(COUNT(IF(tblSalaries[Region]=Analysis!GK$118,IF(tblSalaries[Years of Experience]=Analysis!$C123,tblSalaries[Salary in USD]))),0)</f>
        <v>0</v>
      </c>
      <c r="GL123" s="26">
        <f t="array" ref="GL123">IFERROR(COUNT(IF(tblSalaries[Region]=Analysis!GL$118,IF(tblSalaries[Years of Experience]=Analysis!$C123,tblSalaries[Salary in USD]))),0)</f>
        <v>1</v>
      </c>
      <c r="GM123" s="26">
        <f t="array" ref="GM123">IFERROR(COUNT(IF(tblSalaries[Region]=Analysis!GM$118,IF(tblSalaries[Years of Experience]=Analysis!$C123,tblSalaries[Salary in USD]))),0)</f>
        <v>0</v>
      </c>
      <c r="GN123" s="26">
        <f t="array" ref="GN123">IFERROR(COUNT(IF(tblSalaries[Work Hour per day on Excel]=Analysis!GN$118,IF(tblSalaries[Years of Experience]=Analysis!$C123,tblSalaries[Salary in USD]))),0)</f>
        <v>1</v>
      </c>
      <c r="GO123" s="26">
        <f t="array" ref="GO123">IFERROR(COUNT(IF(tblSalaries[Work Hour per day on Excel]=Analysis!GO$118,IF(tblSalaries[Years of Experience]=Analysis!$C123,tblSalaries[Salary in USD]))),0)</f>
        <v>1</v>
      </c>
      <c r="GP123" s="26">
        <f t="array" ref="GP123">IFERROR(COUNT(IF(tblSalaries[Work Hour per day on Excel]=Analysis!GP$118,IF(tblSalaries[Years of Experience]=Analysis!$C123,tblSalaries[Salary in USD]))),0)</f>
        <v>3</v>
      </c>
      <c r="GQ123" s="26">
        <f t="array" ref="GQ123">IFERROR(COUNT(IF(tblSalaries[Work Hour per day on Excel]=Analysis!GQ$118,IF(tblSalaries[Years of Experience]=Analysis!$C123,tblSalaries[Salary in USD]))),0)</f>
        <v>2</v>
      </c>
    </row>
    <row r="124" spans="2:199" s="25" customFormat="1" ht="15" hidden="1" customHeight="1" x14ac:dyDescent="0.25">
      <c r="B124" s="25">
        <f t="shared" si="157"/>
        <v>6</v>
      </c>
    </row>
    <row r="125" spans="2:199" s="25" customFormat="1" ht="15" hidden="1" customHeight="1" x14ac:dyDescent="0.25">
      <c r="B125" s="25">
        <f t="shared" si="157"/>
        <v>7</v>
      </c>
    </row>
    <row r="126" spans="2:199" s="25" customFormat="1" ht="15" hidden="1" customHeight="1" x14ac:dyDescent="0.25">
      <c r="B126" s="25">
        <f t="shared" si="157"/>
        <v>8</v>
      </c>
    </row>
    <row r="127" spans="2:199" s="25" customFormat="1" ht="15" hidden="1" customHeight="1" x14ac:dyDescent="0.25">
      <c r="B127" s="25">
        <f t="shared" si="157"/>
        <v>9</v>
      </c>
    </row>
    <row r="128" spans="2:199" s="25" customFormat="1" ht="15" hidden="1" customHeight="1" x14ac:dyDescent="0.25">
      <c r="B128" s="25">
        <f t="shared" si="157"/>
        <v>10</v>
      </c>
    </row>
    <row r="129" spans="1:9 16325:16339" s="25" customFormat="1" ht="15" hidden="1" customHeight="1" x14ac:dyDescent="0.25">
      <c r="B129" s="25">
        <f t="shared" si="157"/>
        <v>11</v>
      </c>
    </row>
    <row r="130" spans="1:9 16325:16339" s="25" customFormat="1" ht="15" hidden="1" customHeight="1" x14ac:dyDescent="0.25">
      <c r="B130" s="25">
        <f t="shared" si="157"/>
        <v>12</v>
      </c>
    </row>
    <row r="131" spans="1:9 16325:16339" s="25" customFormat="1" ht="15" hidden="1" customHeight="1" x14ac:dyDescent="0.25">
      <c r="B131" s="25">
        <f t="shared" si="157"/>
        <v>13</v>
      </c>
    </row>
    <row r="132" spans="1:9 16325:16339" s="25" customFormat="1" ht="15" hidden="1" customHeight="1" x14ac:dyDescent="0.25">
      <c r="B132" s="25">
        <f t="shared" si="157"/>
        <v>14</v>
      </c>
    </row>
    <row r="133" spans="1:9 16325:16339" s="25" customFormat="1" ht="15" hidden="1" customHeight="1" x14ac:dyDescent="0.25">
      <c r="B133" s="25">
        <f t="shared" si="157"/>
        <v>15</v>
      </c>
    </row>
    <row r="134" spans="1:9 16325:16339" s="25" customFormat="1" ht="15" hidden="1" customHeight="1" x14ac:dyDescent="0.25">
      <c r="C134" s="25">
        <f>VLOOKUP(INDEX($B$136:$B$139,$C$135),$XDJ$141:$XDK$144,2,0)</f>
        <v>11</v>
      </c>
    </row>
    <row r="135" spans="1:9 16325:16339" s="25" customFormat="1" ht="15" hidden="1" customHeight="1" x14ac:dyDescent="0.25">
      <c r="B135" s="28" t="s">
        <v>1455</v>
      </c>
      <c r="C135" s="25">
        <v>1</v>
      </c>
      <c r="E135" s="28" t="s">
        <v>1463</v>
      </c>
      <c r="F135" s="25" t="str">
        <f>CHOOSE($C$141,B142,B143,B144)</f>
        <v>Average Salary</v>
      </c>
    </row>
    <row r="136" spans="1:9 16325:16339" s="25" customFormat="1" ht="15" hidden="1" customHeight="1" x14ac:dyDescent="0.25">
      <c r="A136" s="25">
        <v>1</v>
      </c>
      <c r="B136" s="25" t="s">
        <v>1436</v>
      </c>
      <c r="E136" s="28" t="s">
        <v>1457</v>
      </c>
      <c r="F136" s="25" t="str">
        <f>VLOOKUP($C$135,$A$136:$B$139,2,0)</f>
        <v>Job Type</v>
      </c>
    </row>
    <row r="137" spans="1:9 16325:16339" s="25" customFormat="1" ht="15" hidden="1" customHeight="1" x14ac:dyDescent="0.25">
      <c r="A137" s="25">
        <v>2</v>
      </c>
      <c r="B137" s="25" t="s">
        <v>1452</v>
      </c>
      <c r="E137" s="28" t="s">
        <v>1458</v>
      </c>
      <c r="F137" s="25" t="str">
        <f>$F$135&amp;" by "&amp;$F$136&amp;" ( " &amp;IFERROR($AK$10&amp;" - "&amp;VLOOKUP($F$141,$D$142:$E$144,2,0)&amp;" )",0)</f>
        <v>Average Salary by Job Type ( India - Region )</v>
      </c>
    </row>
    <row r="138" spans="1:9 16325:16339" s="25" customFormat="1" ht="15" hidden="1" customHeight="1" x14ac:dyDescent="0.25">
      <c r="A138" s="25">
        <v>3</v>
      </c>
      <c r="B138" s="25" t="s">
        <v>1456</v>
      </c>
    </row>
    <row r="139" spans="1:9 16325:16339" s="25" customFormat="1" ht="15" hidden="1" customHeight="1" x14ac:dyDescent="0.25">
      <c r="A139" s="25">
        <v>4</v>
      </c>
      <c r="B139" s="25" t="s">
        <v>1435</v>
      </c>
    </row>
    <row r="140" spans="1:9 16325:16339" s="25" customFormat="1" ht="15" hidden="1" customHeight="1" x14ac:dyDescent="0.25">
      <c r="F140" s="25">
        <f>VLOOKUP(INDEX($E$142:$E$144,$F$141),$XDJ$141:$XDK$144,2,0)</f>
        <v>10</v>
      </c>
      <c r="I140" s="25">
        <f>VLOOKUP(INDEX($E$142:$E$144,$F$141),$XDJ$141:$XDK$144,2,0)</f>
        <v>10</v>
      </c>
    </row>
    <row r="141" spans="1:9 16325:16339" s="25" customFormat="1" ht="15" hidden="1" customHeight="1" x14ac:dyDescent="0.25">
      <c r="B141" s="28" t="s">
        <v>1459</v>
      </c>
      <c r="C141" s="25">
        <v>1</v>
      </c>
      <c r="E141" s="28" t="s">
        <v>1460</v>
      </c>
      <c r="F141" s="25">
        <v>1</v>
      </c>
      <c r="H141" s="28" t="s">
        <v>1461</v>
      </c>
      <c r="I141" s="25">
        <v>3</v>
      </c>
      <c r="XDD141" s="28" t="s">
        <v>1436</v>
      </c>
      <c r="XDE141" s="28" t="s">
        <v>1452</v>
      </c>
      <c r="XDF141" s="28" t="s">
        <v>1456</v>
      </c>
      <c r="XDG141" s="28" t="s">
        <v>1435</v>
      </c>
      <c r="XDJ141" s="25" t="s">
        <v>1436</v>
      </c>
      <c r="XDK141" s="25">
        <v>11</v>
      </c>
    </row>
    <row r="142" spans="1:9 16325:16339" s="25" customFormat="1" ht="15" hidden="1" customHeight="1" x14ac:dyDescent="0.25">
      <c r="A142" s="25">
        <v>1</v>
      </c>
      <c r="B142" s="25" t="s">
        <v>1468</v>
      </c>
      <c r="D142" s="25">
        <v>1</v>
      </c>
      <c r="E142" s="25" t="str">
        <f>CHOOSE($C$135,XCW142,XCX142,XCY142,XCZ142)</f>
        <v>Region</v>
      </c>
      <c r="G142" s="25">
        <v>1</v>
      </c>
      <c r="H142" s="25" t="str">
        <f>CHOOSE($F$141,HLOOKUP($E$142,$XDD$141:$XDG$152,$XDC142,0),HLOOKUP($E$143,$XDD$141:$XDG$152,$XDC142,0),HLOOKUP($E$144,$XDD$141:$XDG$152,$XDC142,0))</f>
        <v>Total</v>
      </c>
      <c r="XCW142" s="25" t="s">
        <v>1452</v>
      </c>
      <c r="XCX142" s="25" t="s">
        <v>1436</v>
      </c>
      <c r="XCY142" s="25" t="s">
        <v>1436</v>
      </c>
      <c r="XCZ142" s="25" t="s">
        <v>1436</v>
      </c>
      <c r="XDC142" s="25">
        <v>2</v>
      </c>
      <c r="XDD142" s="25" t="s">
        <v>1462</v>
      </c>
      <c r="XDE142" s="25" t="s">
        <v>1462</v>
      </c>
      <c r="XDF142" s="25" t="s">
        <v>1462</v>
      </c>
      <c r="XDG142" s="25" t="s">
        <v>1462</v>
      </c>
      <c r="XDJ142" s="25" t="s">
        <v>1452</v>
      </c>
      <c r="XDK142" s="25">
        <v>10</v>
      </c>
    </row>
    <row r="143" spans="1:9 16325:16339" s="25" customFormat="1" ht="15" hidden="1" customHeight="1" x14ac:dyDescent="0.25">
      <c r="A143" s="25">
        <v>2</v>
      </c>
      <c r="B143" s="25" t="s">
        <v>1469</v>
      </c>
      <c r="D143" s="25">
        <v>2</v>
      </c>
      <c r="E143" s="25" t="str">
        <f>CHOOSE($C$135,XCW143,XCX143,XCY143,XCZ143)</f>
        <v>Work Hour per day on Excel</v>
      </c>
      <c r="G143" s="25">
        <v>2</v>
      </c>
      <c r="H143" s="25" t="str">
        <f t="shared" ref="H143:H152" si="158">CHOOSE($F$141,HLOOKUP($E$142,$XDD$141:$XDG$152,$XDC143,0),HLOOKUP($E$143,$XDD$141:$XDG$152,$XDC143,0),HLOOKUP($E$144,$XDD$141:$XDG$152,$XDC143,0))</f>
        <v>Australia</v>
      </c>
      <c r="XCW143" s="25" t="s">
        <v>1456</v>
      </c>
      <c r="XCX143" s="25" t="s">
        <v>1456</v>
      </c>
      <c r="XCY143" s="25" t="s">
        <v>1452</v>
      </c>
      <c r="XCZ143" s="25" t="s">
        <v>1452</v>
      </c>
      <c r="XDC143" s="25">
        <f>XDC142+1</f>
        <v>3</v>
      </c>
      <c r="XDD143" s="25" t="s">
        <v>1439</v>
      </c>
      <c r="XDE143" s="25" t="s">
        <v>18</v>
      </c>
      <c r="XDF143" s="25" t="s">
        <v>1442</v>
      </c>
      <c r="XDG143" s="25" t="s">
        <v>1445</v>
      </c>
      <c r="XDJ143" s="25" t="s">
        <v>1456</v>
      </c>
      <c r="XDK143" s="25">
        <v>5</v>
      </c>
    </row>
    <row r="144" spans="1:9 16325:16339" s="25" customFormat="1" ht="15" hidden="1" customHeight="1" x14ac:dyDescent="0.25">
      <c r="A144" s="25">
        <v>3</v>
      </c>
      <c r="B144" s="25" t="s">
        <v>1470</v>
      </c>
      <c r="C144" s="25">
        <v>3</v>
      </c>
      <c r="D144" s="25">
        <v>3</v>
      </c>
      <c r="E144" s="25" t="str">
        <f>CHOOSE($C$135,XCW144,XCX144,XCY144,XCZ144)</f>
        <v>Years of Experience</v>
      </c>
      <c r="G144" s="25">
        <v>3</v>
      </c>
      <c r="H144" s="25" t="str">
        <f t="shared" si="158"/>
        <v>USA</v>
      </c>
      <c r="XCW144" s="25" t="s">
        <v>1435</v>
      </c>
      <c r="XCX144" s="25" t="s">
        <v>1435</v>
      </c>
      <c r="XCY144" s="25" t="s">
        <v>1435</v>
      </c>
      <c r="XCZ144" s="25" t="s">
        <v>1456</v>
      </c>
      <c r="XDC144" s="25">
        <f t="shared" ref="XDC144:XDC152" si="159">XDC143+1</f>
        <v>4</v>
      </c>
      <c r="XDD144" s="25" t="s">
        <v>38</v>
      </c>
      <c r="XDE144" s="25" t="s">
        <v>1</v>
      </c>
      <c r="XDF144" s="25" t="s">
        <v>1443</v>
      </c>
      <c r="XDG144" s="25" t="s">
        <v>1447</v>
      </c>
      <c r="XDJ144" s="25" t="s">
        <v>1435</v>
      </c>
      <c r="XDK144" s="25">
        <v>6</v>
      </c>
    </row>
    <row r="145" spans="1:12 16331:16335" s="25" customFormat="1" ht="15" hidden="1" customHeight="1" x14ac:dyDescent="0.25">
      <c r="G145" s="25">
        <v>4</v>
      </c>
      <c r="H145" s="25" t="str">
        <f t="shared" si="158"/>
        <v>Canada</v>
      </c>
      <c r="XDC145" s="25">
        <f t="shared" si="159"/>
        <v>5</v>
      </c>
      <c r="XDD145" s="25" t="s">
        <v>33</v>
      </c>
      <c r="XDE145" s="25" t="s">
        <v>19</v>
      </c>
      <c r="XDF145" s="25" t="s">
        <v>1441</v>
      </c>
      <c r="XDG145" s="25" t="s">
        <v>1446</v>
      </c>
    </row>
    <row r="146" spans="1:12 16331:16335" s="25" customFormat="1" ht="15" hidden="1" customHeight="1" x14ac:dyDescent="0.25">
      <c r="G146" s="25">
        <v>5</v>
      </c>
      <c r="H146" s="25" t="str">
        <f t="shared" si="158"/>
        <v>UK</v>
      </c>
      <c r="XDC146" s="25">
        <f t="shared" si="159"/>
        <v>6</v>
      </c>
      <c r="XDD146" s="25" t="s">
        <v>14</v>
      </c>
      <c r="XDE146" s="25" t="s">
        <v>15</v>
      </c>
      <c r="XDF146" s="25" t="s">
        <v>1440</v>
      </c>
      <c r="XDG146" s="25" t="s">
        <v>1448</v>
      </c>
    </row>
    <row r="147" spans="1:12 16331:16335" s="25" customFormat="1" ht="15" hidden="1" customHeight="1" x14ac:dyDescent="0.25">
      <c r="G147" s="25">
        <v>6</v>
      </c>
      <c r="H147" s="25" t="str">
        <f t="shared" si="158"/>
        <v>Other Europe</v>
      </c>
      <c r="XDC147" s="25">
        <f t="shared" si="159"/>
        <v>7</v>
      </c>
      <c r="XDD147" s="25" t="s">
        <v>29</v>
      </c>
      <c r="XDE147" s="25" t="s">
        <v>1453</v>
      </c>
      <c r="XDG147" s="25" t="s">
        <v>1449</v>
      </c>
    </row>
    <row r="148" spans="1:12 16331:16335" s="25" customFormat="1" ht="15" hidden="1" customHeight="1" x14ac:dyDescent="0.25">
      <c r="A148" s="25" t="str">
        <f>"Highest "&amp;$F$135</f>
        <v>Highest Average Salary</v>
      </c>
      <c r="B148" s="33">
        <f>MAX($D$11:$V$20)</f>
        <v>163695.49985262303</v>
      </c>
      <c r="G148" s="25">
        <v>7</v>
      </c>
      <c r="H148" s="25" t="str">
        <f t="shared" si="158"/>
        <v>ROW</v>
      </c>
      <c r="XDC148" s="25">
        <f t="shared" si="159"/>
        <v>8</v>
      </c>
      <c r="XDD148" s="25" t="s">
        <v>3</v>
      </c>
      <c r="XDE148" s="25" t="s">
        <v>1451</v>
      </c>
    </row>
    <row r="149" spans="1:12 16331:16335" s="25" customFormat="1" ht="15" hidden="1" customHeight="1" x14ac:dyDescent="0.25">
      <c r="A149" s="25" t="str">
        <f>"Lowest "&amp;$F$135</f>
        <v>Lowest Average Salary</v>
      </c>
      <c r="B149" s="33">
        <f t="array" ref="B149">MIN(IF($B$11:$V$20&gt;0,$B$11:$V$20))</f>
        <v>1910.5359690238436</v>
      </c>
      <c r="G149" s="25">
        <v>8</v>
      </c>
      <c r="H149" s="25" t="str">
        <f t="shared" si="158"/>
        <v>Other Asia</v>
      </c>
      <c r="XDC149" s="25">
        <f t="shared" si="159"/>
        <v>9</v>
      </c>
      <c r="XDD149" s="25" t="s">
        <v>31</v>
      </c>
      <c r="XDE149" s="25" t="s">
        <v>1454</v>
      </c>
    </row>
    <row r="150" spans="1:12 16331:16335" s="25" customFormat="1" ht="15" hidden="1" customHeight="1" x14ac:dyDescent="0.25">
      <c r="G150" s="25">
        <v>9</v>
      </c>
      <c r="H150" s="25" t="str">
        <f t="shared" si="158"/>
        <v>India</v>
      </c>
      <c r="XDC150" s="25">
        <f t="shared" si="159"/>
        <v>10</v>
      </c>
      <c r="XDD150" s="25" t="s">
        <v>11</v>
      </c>
      <c r="XDE150" s="25" t="s">
        <v>0</v>
      </c>
    </row>
    <row r="151" spans="1:12 16331:16335" s="25" customFormat="1" ht="15" hidden="1" customHeight="1" x14ac:dyDescent="0.25">
      <c r="G151" s="25">
        <v>10</v>
      </c>
      <c r="H151" s="25" t="str">
        <f t="shared" si="158"/>
        <v>Pakistan</v>
      </c>
      <c r="XDC151" s="25">
        <f t="shared" si="159"/>
        <v>11</v>
      </c>
      <c r="XDD151" s="25" t="s">
        <v>1438</v>
      </c>
      <c r="XDE151" s="25" t="s">
        <v>2</v>
      </c>
    </row>
    <row r="152" spans="1:12 16331:16335" s="25" customFormat="1" ht="15" hidden="1" customHeight="1" x14ac:dyDescent="0.25">
      <c r="G152" s="25">
        <v>11</v>
      </c>
      <c r="H152" s="25">
        <f t="shared" si="158"/>
        <v>0</v>
      </c>
      <c r="XDC152" s="25">
        <f t="shared" si="159"/>
        <v>12</v>
      </c>
      <c r="XDD152" s="25" t="s">
        <v>1437</v>
      </c>
    </row>
    <row r="153" spans="1:12 16331:16335" ht="15" customHeight="1" x14ac:dyDescent="0.25"/>
    <row r="154" spans="1:12 16331:16335" ht="15" customHeigh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</row>
    <row r="155" spans="1:12 16331:16335" ht="15" customHeigh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 16331:16335" ht="15" customHeigh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</row>
    <row r="157" spans="1:12 16331:16335" ht="15" customHeigh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</row>
    <row r="158" spans="1:12 16331:16335" ht="15" customHeigh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</row>
    <row r="159" spans="1:12 16331:16335" ht="15" customHeigh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</row>
    <row r="160" spans="1:12 16331:16335" ht="15" customHeigh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</row>
    <row r="161" spans="1:12" ht="15" customHeigh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</row>
    <row r="162" spans="1:12" ht="15" customHeigh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</row>
    <row r="163" spans="1:12" ht="15" customHeigh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</row>
    <row r="164" spans="1:12" ht="15" customHeigh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</row>
    <row r="165" spans="1:12" ht="15" customHeigh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</row>
    <row r="166" spans="1:12" ht="15" customHeigh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</row>
    <row r="167" spans="1:12" ht="15" customHeigh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</row>
    <row r="168" spans="1:12" ht="15" customHeigh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</row>
    <row r="169" spans="1:12" ht="15" customHeigh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</row>
    <row r="170" spans="1:12" ht="15" customHeigh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</row>
    <row r="171" spans="1:12" ht="15" customHeigh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</row>
    <row r="172" spans="1:12" ht="15" customHeigh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</row>
    <row r="173" spans="1:12" ht="15" customHeigh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</row>
    <row r="174" spans="1:12" ht="15" customHeigh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</row>
    <row r="175" spans="1:12" ht="15" customHeigh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</row>
    <row r="176" spans="1:12" ht="15" customHeigh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</row>
    <row r="177" spans="1:12" ht="15" customHeigh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</row>
    <row r="178" spans="1:12" ht="15" customHeigh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</row>
    <row r="179" spans="1:12" ht="15" customHeigh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</row>
    <row r="180" spans="1:12" ht="15" customHeigh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</row>
    <row r="181" spans="1:12" ht="15" customHeigh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</row>
    <row r="182" spans="1:12" ht="15" customHeigh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</row>
    <row r="183" spans="1:12" ht="15" customHeigh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</row>
    <row r="184" spans="1:12" ht="15" customHeigh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</row>
    <row r="185" spans="1:12" ht="15" customHeigh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</row>
    <row r="186" spans="1:12" ht="15" customHeigh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</row>
    <row r="187" spans="1:12" ht="15" customHeigh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5" customHeigh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</row>
    <row r="189" spans="1:12" ht="15" customHeigh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</row>
    <row r="190" spans="1:12" ht="15" customHeigh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</row>
    <row r="191" spans="1:12" ht="15" customHeigh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</row>
    <row r="192" spans="1:12" ht="15" customHeigh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</row>
    <row r="193" spans="1:12" ht="15" customHeigh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</row>
    <row r="194" spans="1:12" ht="15" customHeigh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</row>
    <row r="195" spans="1:12" ht="15" customHeigh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</row>
    <row r="196" spans="1:12" ht="15" customHeigh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</row>
    <row r="197" spans="1:12" ht="15" customHeigh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</row>
    <row r="198" spans="1:12" ht="15" customHeigh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</row>
    <row r="199" spans="1:12" ht="15" customHeigh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</row>
    <row r="200" spans="1:12" ht="15" customHeigh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</row>
    <row r="201" spans="1:12" ht="15" customHeigh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</row>
    <row r="202" spans="1:12" ht="15" customHeigh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</row>
    <row r="203" spans="1:12" ht="15" customHeigh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</row>
    <row r="204" spans="1:12" ht="15" customHeigh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</row>
    <row r="205" spans="1:12" ht="15" customHeigh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</row>
    <row r="206" spans="1:12" ht="15" customHeigh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</row>
    <row r="207" spans="1:12" ht="15" customHeigh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</row>
    <row r="208" spans="1:12" ht="15" customHeigh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</row>
    <row r="209" spans="1:12" ht="15" customHeigh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</row>
    <row r="210" spans="1:12" ht="15" customHeigh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</row>
    <row r="211" spans="1:12" ht="15" customHeigh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</row>
    <row r="212" spans="1:12" ht="15" customHeigh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</row>
    <row r="213" spans="1:12" ht="15" customHeigh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</row>
    <row r="214" spans="1:12" ht="15" customHeigh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</row>
    <row r="215" spans="1:12" ht="15" customHeigh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</row>
    <row r="216" spans="1:12" ht="15" customHeigh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</row>
    <row r="217" spans="1:12" ht="15" customHeigh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</row>
    <row r="218" spans="1:12" ht="15" customHeigh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</row>
    <row r="219" spans="1:12" ht="15" customHeigh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5" customHeigh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</row>
    <row r="221" spans="1:12" ht="15" customHeigh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</row>
    <row r="222" spans="1:12" ht="15" customHeigh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</row>
    <row r="223" spans="1:12" ht="15" customHeigh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</row>
    <row r="224" spans="1:12" ht="15" customHeigh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</row>
    <row r="225" spans="1:12" ht="15" customHeigh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</row>
    <row r="226" spans="1:12" ht="15" customHeigh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</row>
    <row r="227" spans="1:12" ht="15" customHeigh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</row>
    <row r="228" spans="1:12" ht="15" customHeigh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</row>
    <row r="229" spans="1:12" ht="15" customHeigh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</row>
    <row r="230" spans="1:12" ht="15" customHeigh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</row>
    <row r="231" spans="1:12" ht="15" customHeigh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</row>
    <row r="232" spans="1:12" ht="15" customHeigh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</row>
    <row r="233" spans="1:12" ht="15" customHeigh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</row>
    <row r="234" spans="1:12" ht="15" customHeigh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</row>
    <row r="235" spans="1:12" ht="15" customHeigh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</row>
    <row r="236" spans="1:12" ht="15" customHeigh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</row>
    <row r="237" spans="1:12" ht="15" customHeigh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</row>
    <row r="238" spans="1:12" ht="15" customHeigh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</row>
    <row r="239" spans="1:12" ht="15" customHeigh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</row>
    <row r="240" spans="1:12" ht="15" customHeigh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</row>
    <row r="241" spans="1:12" ht="15" customHeigh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</row>
    <row r="242" spans="1:12" ht="15" customHeigh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</row>
    <row r="243" spans="1:12" ht="15" customHeigh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</row>
    <row r="244" spans="1:12" ht="15" customHeigh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</row>
    <row r="245" spans="1:12" ht="15" customHeigh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</row>
    <row r="246" spans="1:12" ht="15" customHeigh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</row>
    <row r="247" spans="1:12" ht="15" customHeigh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</row>
    <row r="248" spans="1:12" ht="15" customHeigh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</row>
    <row r="249" spans="1:12" ht="15" customHeigh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</row>
    <row r="250" spans="1:12" ht="15" customHeigh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</row>
    <row r="251" spans="1:12" ht="15" customHeigh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5" customHeigh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</row>
    <row r="253" spans="1:12" ht="15" customHeigh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</row>
    <row r="254" spans="1:12" ht="15" customHeigh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</row>
    <row r="255" spans="1:12" ht="15" customHeigh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</row>
    <row r="256" spans="1:12" ht="15" customHeigh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</row>
    <row r="257" spans="1:12" ht="15" customHeigh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</row>
    <row r="258" spans="1:12" ht="15" customHeigh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</row>
    <row r="259" spans="1:12" ht="15" customHeigh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</row>
    <row r="260" spans="1:12" ht="15" customHeigh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</row>
    <row r="261" spans="1:12" ht="15" customHeigh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</row>
    <row r="262" spans="1:12" ht="15" customHeigh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</row>
    <row r="263" spans="1:12" ht="15" customHeigh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</row>
    <row r="264" spans="1:12" ht="15" customHeigh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</row>
    <row r="265" spans="1:12" ht="15" customHeigh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</row>
    <row r="266" spans="1:12" ht="15" customHeigh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</row>
    <row r="267" spans="1:12" ht="15" customHeigh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</row>
    <row r="268" spans="1:12" ht="15" customHeigh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</row>
    <row r="269" spans="1:12" ht="15" customHeigh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</row>
    <row r="270" spans="1:12" ht="15" customHeigh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</row>
    <row r="271" spans="1:12" ht="15" customHeigh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</row>
    <row r="272" spans="1:12" ht="15" customHeigh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</row>
    <row r="273" spans="1:12" ht="15" customHeigh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</row>
    <row r="274" spans="1:12" ht="15" customHeigh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</row>
    <row r="275" spans="1:12" ht="15" customHeigh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</row>
    <row r="276" spans="1:12" ht="15" customHeigh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</row>
    <row r="277" spans="1:12" ht="15" customHeigh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</row>
    <row r="278" spans="1:12" ht="15" customHeigh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</row>
    <row r="279" spans="1:12" ht="15" customHeigh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</row>
    <row r="280" spans="1:12" ht="15" customHeigh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</row>
    <row r="281" spans="1:12" ht="15" customHeigh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</row>
    <row r="282" spans="1:12" ht="15" customHeigh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</row>
    <row r="283" spans="1:12" ht="15" customHeigh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5" customHeigh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</row>
    <row r="285" spans="1:12" ht="15" customHeigh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</row>
    <row r="286" spans="1:12" ht="15" customHeigh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</row>
    <row r="287" spans="1:12" ht="15" customHeigh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</row>
    <row r="288" spans="1:12" ht="15" customHeigh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</row>
    <row r="289" spans="1:12" ht="15" customHeigh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</row>
    <row r="290" spans="1:12" ht="15" customHeigh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</row>
    <row r="291" spans="1:12" ht="15" customHeigh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</row>
    <row r="292" spans="1:12" ht="15" customHeigh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</row>
    <row r="293" spans="1:12" ht="15" customHeigh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</row>
    <row r="294" spans="1:12" ht="15" customHeigh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</row>
    <row r="295" spans="1:12" ht="15" customHeigh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</row>
    <row r="296" spans="1:12" ht="15" customHeigh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</row>
    <row r="297" spans="1:12" ht="15" customHeigh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</row>
    <row r="298" spans="1:12" ht="15" customHeigh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</row>
    <row r="299" spans="1:12" ht="15" customHeigh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</row>
    <row r="300" spans="1:12" ht="15" customHeigh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</row>
    <row r="301" spans="1:12" ht="15" customHeigh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</row>
    <row r="302" spans="1:12" ht="15" customHeigh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</row>
    <row r="303" spans="1:12" ht="15" customHeigh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</row>
    <row r="304" spans="1:12" ht="15" customHeigh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</row>
    <row r="305" spans="1:12" ht="15" customHeigh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</row>
    <row r="306" spans="1:12" ht="15" customHeigh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</row>
    <row r="307" spans="1:12" ht="15" customHeigh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</row>
    <row r="308" spans="1:12" ht="15" customHeigh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</row>
    <row r="309" spans="1:12" ht="15" customHeigh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</row>
    <row r="310" spans="1:12" ht="15" customHeigh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</row>
    <row r="311" spans="1:12" ht="15" customHeigh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</row>
    <row r="312" spans="1:12" ht="15" customHeigh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</row>
    <row r="313" spans="1:12" ht="15" customHeigh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</row>
    <row r="314" spans="1:12" ht="15" customHeigh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</row>
    <row r="315" spans="1:12" ht="15" customHeigh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5" customHeigh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</row>
    <row r="317" spans="1:12" ht="15" customHeigh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</row>
    <row r="318" spans="1:12" ht="15" customHeigh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</row>
    <row r="319" spans="1:12" ht="15" customHeigh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</row>
    <row r="320" spans="1:12" ht="15" customHeigh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</row>
    <row r="321" spans="1:12" ht="15" customHeigh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</row>
    <row r="322" spans="1:12" ht="15" customHeigh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</row>
    <row r="323" spans="1:12" ht="15" customHeigh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</row>
    <row r="324" spans="1:12" ht="15" customHeigh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</row>
    <row r="325" spans="1:12" ht="15" customHeigh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</row>
    <row r="326" spans="1:12" ht="15" customHeigh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</row>
    <row r="327" spans="1:12" ht="15" customHeigh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</row>
    <row r="328" spans="1:12" ht="15" customHeigh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</row>
    <row r="329" spans="1:12" ht="15" customHeigh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</row>
    <row r="330" spans="1:12" ht="15" customHeigh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</row>
    <row r="331" spans="1:12" ht="15" customHeigh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</row>
    <row r="332" spans="1:12" ht="15" customHeigh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</row>
    <row r="333" spans="1:12" ht="15" customHeigh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</row>
    <row r="334" spans="1:12" ht="15" customHeigh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</row>
    <row r="335" spans="1:12" ht="15" customHeigh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</row>
    <row r="336" spans="1:12" ht="15" customHeigh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</row>
    <row r="337" spans="1:12" ht="15" customHeigh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</row>
    <row r="338" spans="1:12" ht="15" customHeigh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</row>
    <row r="339" spans="1:12" ht="15" customHeigh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</row>
    <row r="340" spans="1:12" ht="15" customHeigh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</row>
    <row r="341" spans="1:12" ht="15" customHeigh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</row>
    <row r="342" spans="1:12" ht="15" customHeigh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</row>
    <row r="343" spans="1:12" ht="15" customHeigh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</row>
    <row r="344" spans="1:12" ht="15" customHeigh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</row>
    <row r="345" spans="1:12" ht="15" customHeigh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</row>
    <row r="346" spans="1:12" ht="15" customHeigh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</row>
    <row r="347" spans="1:12" ht="15" customHeigh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5" customHeigh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</row>
    <row r="349" spans="1:12" ht="15" customHeigh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</row>
    <row r="350" spans="1:12" ht="15" customHeigh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</row>
    <row r="351" spans="1:12" ht="15" customHeigh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</row>
    <row r="352" spans="1:12" ht="15" customHeigh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</row>
    <row r="353" spans="1:12" ht="15" customHeigh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</row>
    <row r="354" spans="1:12" ht="15" customHeigh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</row>
    <row r="355" spans="1:12" ht="15" customHeigh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</row>
    <row r="356" spans="1:12" ht="15" customHeigh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</row>
    <row r="357" spans="1:12" ht="15" customHeigh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</row>
    <row r="358" spans="1:12" ht="15" customHeigh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</row>
    <row r="359" spans="1:12" ht="15" customHeigh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</row>
    <row r="360" spans="1:12" ht="15" customHeigh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</row>
    <row r="361" spans="1:12" ht="15" customHeigh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</row>
    <row r="362" spans="1:12" ht="15" customHeigh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</row>
    <row r="363" spans="1:12" ht="15" customHeigh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</row>
    <row r="364" spans="1:12" ht="15" customHeigh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</row>
    <row r="365" spans="1:12" ht="15" customHeigh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</row>
    <row r="366" spans="1:12" ht="15" customHeigh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</row>
    <row r="367" spans="1:12" ht="15" customHeigh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</row>
    <row r="368" spans="1:12" ht="15" customHeigh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</row>
    <row r="369" spans="1:12" ht="15" customHeigh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</row>
    <row r="370" spans="1:12" ht="15" customHeigh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</row>
    <row r="371" spans="1:12" ht="15" customHeigh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</row>
    <row r="372" spans="1:12" ht="15" customHeigh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</row>
    <row r="373" spans="1:12" ht="15" customHeigh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</row>
    <row r="374" spans="1:12" ht="15" customHeigh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</row>
    <row r="375" spans="1:12" ht="15" customHeigh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</row>
    <row r="376" spans="1:12" ht="15" customHeigh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</row>
    <row r="377" spans="1:12" ht="15" customHeigh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</row>
    <row r="378" spans="1:12" ht="15" customHeigh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</row>
    <row r="379" spans="1:12" ht="15" customHeigh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5" customHeigh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</row>
    <row r="381" spans="1:12" ht="15" customHeigh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</row>
    <row r="382" spans="1:12" ht="15" customHeigh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</row>
    <row r="383" spans="1:12" ht="15" customHeigh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</row>
    <row r="384" spans="1:12" ht="15" customHeigh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</row>
    <row r="385" spans="1:12" ht="15" customHeigh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</row>
    <row r="386" spans="1:12" ht="15" customHeigh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</row>
    <row r="387" spans="1:12" ht="15" customHeigh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</row>
    <row r="388" spans="1:12" ht="15" customHeigh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</row>
    <row r="389" spans="1:12" ht="15" customHeigh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</row>
    <row r="390" spans="1:12" ht="15" customHeigh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</row>
    <row r="391" spans="1:12" ht="15" customHeigh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</row>
    <row r="392" spans="1:12" ht="15" customHeigh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</row>
    <row r="393" spans="1:12" ht="15" customHeigh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</row>
    <row r="394" spans="1:12" ht="15" customHeigh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</row>
    <row r="395" spans="1:12" ht="15" customHeigh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</row>
    <row r="396" spans="1:12" ht="15" customHeigh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</row>
    <row r="397" spans="1:12" ht="15" customHeigh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</row>
    <row r="398" spans="1:12" ht="15" customHeigh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</row>
    <row r="399" spans="1:12" ht="15" customHeigh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</row>
    <row r="400" spans="1:12" ht="15" customHeigh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</row>
    <row r="401" spans="1:12" ht="15" customHeigh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</row>
    <row r="402" spans="1:12" ht="15" customHeigh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</row>
    <row r="403" spans="1:12" ht="15" customHeigh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</row>
    <row r="404" spans="1:12" ht="15" customHeigh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</row>
    <row r="405" spans="1:12" ht="15" customHeigh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</row>
    <row r="406" spans="1:12" ht="15" customHeigh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</row>
    <row r="407" spans="1:12" ht="15" customHeigh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</row>
    <row r="408" spans="1:12" ht="15" customHeigh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</row>
    <row r="409" spans="1:12" ht="15" customHeigh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</row>
    <row r="410" spans="1:12" ht="15" customHeigh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</row>
    <row r="411" spans="1:12" ht="15" customHeigh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</row>
    <row r="412" spans="1:12" ht="15" customHeigh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</row>
    <row r="413" spans="1:12" ht="15" customHeigh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</row>
    <row r="414" spans="1:12" ht="15" customHeigh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</row>
    <row r="415" spans="1:12" ht="15" customHeigh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</row>
    <row r="416" spans="1:12" ht="15" customHeigh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</row>
    <row r="417" spans="1:12" ht="15" customHeigh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</row>
    <row r="418" spans="1:12" ht="15" customHeigh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</row>
    <row r="419" spans="1:12" ht="15" customHeigh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</row>
    <row r="420" spans="1:12" ht="15" customHeigh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</row>
    <row r="421" spans="1:12" ht="15" customHeigh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</row>
    <row r="422" spans="1:12" ht="15" customHeigh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</row>
    <row r="423" spans="1:12" ht="15" customHeigh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</row>
    <row r="424" spans="1:12" ht="15" customHeigh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</row>
    <row r="425" spans="1:12" ht="15" customHeigh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</row>
    <row r="426" spans="1:12" ht="15" customHeigh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</row>
    <row r="427" spans="1:12" ht="15" customHeigh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</row>
    <row r="428" spans="1:12" ht="15" customHeigh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</row>
    <row r="429" spans="1:12" ht="15" customHeigh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</row>
    <row r="430" spans="1:12" ht="15" customHeigh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</row>
    <row r="431" spans="1:12" ht="15" customHeigh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</row>
    <row r="432" spans="1:12" ht="15" customHeigh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</row>
    <row r="433" spans="1:12" ht="15" customHeigh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</row>
    <row r="434" spans="1:12" ht="15" customHeigh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</row>
    <row r="435" spans="1:12" ht="15" customHeigh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</row>
    <row r="436" spans="1:12" ht="15" customHeigh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</row>
    <row r="437" spans="1:12" ht="15" customHeigh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</row>
    <row r="438" spans="1:12" ht="15" customHeigh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</row>
    <row r="439" spans="1:12" ht="15" customHeigh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</row>
    <row r="440" spans="1:12" ht="15" customHeigh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</row>
    <row r="441" spans="1:12" ht="15" customHeigh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</row>
    <row r="442" spans="1:12" ht="15" customHeigh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</row>
    <row r="443" spans="1:12" ht="15" customHeigh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</row>
    <row r="444" spans="1:12" ht="15" customHeigh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</row>
    <row r="445" spans="1:12" ht="15" customHeigh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</row>
    <row r="446" spans="1:12" ht="15" customHeigh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</row>
    <row r="447" spans="1:12" ht="15" customHeigh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</row>
    <row r="448" spans="1:12" ht="15" customHeigh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</row>
    <row r="449" spans="1:12" ht="15" customHeigh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</row>
    <row r="450" spans="1:12" ht="15" customHeigh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</row>
    <row r="451" spans="1:12" ht="15" customHeigh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</row>
    <row r="452" spans="1:12" ht="15" customHeigh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</row>
    <row r="453" spans="1:12" ht="15" customHeigh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</row>
    <row r="454" spans="1:12" ht="15" customHeigh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</row>
    <row r="455" spans="1:12" ht="15" customHeigh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</row>
    <row r="456" spans="1:12" ht="15" customHeigh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</row>
    <row r="457" spans="1:12" ht="15" customHeigh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</row>
    <row r="458" spans="1:12" ht="15" customHeigh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</row>
    <row r="459" spans="1:12" ht="15" customHeigh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</row>
    <row r="460" spans="1:12" ht="15" customHeigh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</row>
    <row r="461" spans="1:12" ht="15" customHeigh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</row>
    <row r="462" spans="1:12" ht="15" customHeigh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</row>
    <row r="463" spans="1:12" ht="15" customHeigh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</row>
    <row r="464" spans="1:12" ht="15" customHeigh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</row>
    <row r="465" spans="1:12" ht="15" customHeigh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</row>
    <row r="466" spans="1:12" ht="15" customHeigh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</row>
    <row r="467" spans="1:12" ht="15" customHeigh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</row>
    <row r="468" spans="1:12" ht="15" customHeigh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</row>
    <row r="469" spans="1:12" ht="15" customHeigh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</row>
    <row r="470" spans="1:12" ht="15" customHeigh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</row>
    <row r="471" spans="1:12" ht="15" customHeigh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</row>
    <row r="472" spans="1:12" ht="15" customHeigh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</row>
    <row r="473" spans="1:12" ht="15" customHeigh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</row>
    <row r="474" spans="1:12" ht="15" customHeigh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</row>
    <row r="475" spans="1:12" ht="15" customHeigh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</row>
    <row r="476" spans="1:12" ht="15" customHeigh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</row>
    <row r="477" spans="1:12" ht="15" customHeigh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</row>
    <row r="478" spans="1:12" ht="15" customHeigh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</row>
    <row r="479" spans="1:12" ht="15" customHeigh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</row>
    <row r="480" spans="1:12" ht="15" customHeigh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</row>
    <row r="481" spans="1:12" ht="15" customHeigh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</row>
    <row r="482" spans="1:12" ht="15" customHeigh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</row>
    <row r="483" spans="1:12" ht="15" customHeigh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</row>
    <row r="484" spans="1:12" ht="15" customHeigh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</row>
    <row r="485" spans="1:12" ht="15" customHeigh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</row>
    <row r="486" spans="1:12" ht="15" customHeigh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</row>
    <row r="487" spans="1:12" ht="15" customHeigh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</row>
    <row r="488" spans="1:12" ht="15" customHeigh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</row>
    <row r="489" spans="1:12" ht="15" customHeigh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</row>
    <row r="490" spans="1:12" ht="15" customHeigh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</row>
    <row r="491" spans="1:12" ht="15" customHeigh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</row>
    <row r="492" spans="1:12" ht="15" customHeigh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</row>
    <row r="493" spans="1:12" ht="15" customHeigh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</row>
    <row r="494" spans="1:12" ht="15" customHeigh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</row>
    <row r="495" spans="1:12" ht="15" customHeigh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</row>
    <row r="496" spans="1:12" ht="15" customHeigh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</row>
    <row r="497" spans="1:12" ht="15" customHeigh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</row>
    <row r="498" spans="1:12" ht="15" customHeigh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</row>
    <row r="499" spans="1:12" ht="15" customHeigh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</row>
    <row r="500" spans="1:12" ht="15" customHeigh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</row>
    <row r="501" spans="1:12" ht="15" customHeigh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</row>
    <row r="502" spans="1:12" ht="15" customHeigh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</row>
    <row r="503" spans="1:12" ht="15" customHeigh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</row>
    <row r="504" spans="1:12" ht="15" customHeigh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</row>
    <row r="505" spans="1:12" ht="15" customHeigh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</row>
    <row r="506" spans="1:12" ht="15" customHeigh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</row>
    <row r="507" spans="1:12" ht="15" customHeigh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</row>
    <row r="508" spans="1:12" ht="15" customHeigh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</row>
    <row r="509" spans="1:12" ht="15" customHeigh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</row>
    <row r="510" spans="1:12" ht="15" customHeigh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</row>
    <row r="511" spans="1:12" ht="15" customHeigh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</row>
    <row r="512" spans="1:12" ht="15" customHeigh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</row>
    <row r="513" spans="1:12" ht="15" customHeigh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</row>
    <row r="514" spans="1:12" ht="15" customHeigh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</row>
    <row r="515" spans="1:12" ht="15" customHeigh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</row>
    <row r="516" spans="1:12" ht="15" customHeigh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</row>
    <row r="517" spans="1:12" ht="15" customHeigh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</row>
    <row r="518" spans="1:12" ht="15" customHeigh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</row>
    <row r="519" spans="1:12" ht="15" customHeigh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</row>
    <row r="520" spans="1:12" ht="15" customHeigh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</row>
    <row r="521" spans="1:12" ht="15" customHeigh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</row>
    <row r="522" spans="1:12" ht="15" customHeigh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</row>
    <row r="523" spans="1:12" ht="15" customHeigh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</row>
    <row r="524" spans="1:12" ht="15" customHeigh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</row>
    <row r="525" spans="1:12" ht="15" customHeigh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</row>
    <row r="526" spans="1:12" ht="15" customHeigh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</row>
    <row r="527" spans="1:12" ht="15" customHeigh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</row>
    <row r="528" spans="1:12" ht="15" customHeigh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</row>
    <row r="529" spans="1:12" ht="15" customHeigh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</row>
    <row r="530" spans="1:12" ht="15" customHeigh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</row>
    <row r="531" spans="1:12" ht="15" customHeigh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</row>
    <row r="532" spans="1:12" ht="15" customHeigh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</row>
    <row r="533" spans="1:12" ht="15" customHeigh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</row>
    <row r="534" spans="1:12" ht="15" customHeigh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</row>
    <row r="535" spans="1:12" ht="15" customHeigh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</row>
    <row r="536" spans="1:12" ht="15" customHeigh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</row>
    <row r="537" spans="1:12" ht="15" customHeigh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</row>
    <row r="538" spans="1:12" ht="15" customHeigh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</row>
    <row r="539" spans="1:12" ht="15" customHeigh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</row>
    <row r="540" spans="1:12" ht="15" customHeigh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</row>
    <row r="541" spans="1:12" ht="15" customHeigh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</row>
    <row r="542" spans="1:12" ht="15" customHeigh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</row>
    <row r="543" spans="1:12" ht="15" customHeigh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</row>
    <row r="544" spans="1:12" ht="15" customHeigh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</row>
    <row r="545" spans="1:12" ht="15" customHeigh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</row>
    <row r="546" spans="1:12" ht="15" customHeigh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</row>
    <row r="547" spans="1:12" ht="15" customHeigh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</row>
    <row r="548" spans="1:12" ht="15" customHeigh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</row>
    <row r="549" spans="1:12" ht="15" customHeigh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</row>
    <row r="550" spans="1:12" ht="15" customHeigh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</row>
    <row r="551" spans="1:12" ht="15" customHeigh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</row>
    <row r="552" spans="1:12" ht="15" customHeigh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</row>
    <row r="553" spans="1:12" ht="15" customHeigh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</row>
    <row r="554" spans="1:12" ht="15" customHeigh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</row>
    <row r="555" spans="1:12" ht="15" customHeigh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</row>
    <row r="556" spans="1:12" ht="15" customHeigh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</row>
    <row r="557" spans="1:12" ht="15" customHeigh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</row>
    <row r="558" spans="1:12" ht="15" customHeigh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</row>
    <row r="559" spans="1:12" ht="15" customHeigh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</row>
    <row r="560" spans="1:12" ht="15" customHeigh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</row>
    <row r="561" spans="1:12" ht="15" customHeigh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</row>
    <row r="562" spans="1:12" ht="15" customHeigh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</row>
    <row r="563" spans="1:12" ht="15" customHeigh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</row>
    <row r="564" spans="1:12" ht="15" customHeigh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</row>
    <row r="565" spans="1:12" ht="15" customHeigh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</row>
    <row r="566" spans="1:12" ht="15" customHeigh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</row>
    <row r="567" spans="1:12" ht="15" customHeigh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</row>
    <row r="568" spans="1:12" ht="15" customHeigh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</row>
    <row r="569" spans="1:12" ht="15" customHeigh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</row>
    <row r="570" spans="1:12" ht="15" customHeigh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</row>
    <row r="571" spans="1:12" ht="15" customHeigh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</row>
    <row r="572" spans="1:12" ht="15" customHeigh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</row>
    <row r="573" spans="1:12" ht="15" customHeigh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</row>
    <row r="574" spans="1:12" ht="15" customHeigh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</row>
    <row r="575" spans="1:12" ht="15" customHeigh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</row>
    <row r="576" spans="1:12" ht="15" customHeigh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</row>
    <row r="577" spans="1:12" ht="15" customHeigh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</row>
    <row r="578" spans="1:12" ht="15" customHeigh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</row>
    <row r="579" spans="1:12" ht="15" customHeigh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</row>
    <row r="580" spans="1:12" ht="15" customHeigh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</row>
    <row r="581" spans="1:12" ht="15" customHeigh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</row>
    <row r="582" spans="1:12" ht="15" customHeigh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</row>
    <row r="583" spans="1:12" ht="15" customHeigh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</row>
    <row r="584" spans="1:12" ht="15" customHeigh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</row>
    <row r="585" spans="1:12" ht="15" customHeigh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</row>
    <row r="586" spans="1:12" ht="15" customHeigh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</row>
    <row r="587" spans="1:12" ht="15" customHeigh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</row>
    <row r="588" spans="1:12" ht="15" customHeigh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</row>
    <row r="589" spans="1:12" ht="15" customHeigh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</row>
    <row r="590" spans="1:12" ht="15" customHeigh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</row>
    <row r="591" spans="1:12" ht="15" customHeigh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</row>
    <row r="592" spans="1:12" ht="15" customHeigh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</row>
    <row r="593" spans="1:12" ht="15" customHeigh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</row>
    <row r="594" spans="1:12" ht="15" customHeigh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</row>
    <row r="595" spans="1:12" ht="15" customHeigh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</row>
    <row r="596" spans="1:12" ht="15" customHeigh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</row>
    <row r="597" spans="1:12" ht="15" customHeigh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</row>
    <row r="598" spans="1:12" ht="15" customHeigh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</row>
    <row r="599" spans="1:12" ht="15" customHeigh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</row>
    <row r="600" spans="1:12" ht="15" customHeigh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</row>
    <row r="601" spans="1:12" ht="15" customHeigh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</row>
    <row r="602" spans="1:12" ht="15" customHeigh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</row>
    <row r="603" spans="1:12" ht="15" customHeigh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</row>
    <row r="604" spans="1:12" ht="15" customHeigh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</row>
    <row r="605" spans="1:12" ht="15" customHeigh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</row>
    <row r="606" spans="1:12" ht="15" customHeigh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</row>
    <row r="607" spans="1:12" ht="15" customHeigh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</row>
    <row r="608" spans="1:12" ht="15" customHeigh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</row>
    <row r="609" spans="1:12" ht="15" customHeigh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</row>
    <row r="610" spans="1:12" ht="15" customHeigh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</row>
    <row r="611" spans="1:12" ht="15" customHeigh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</row>
    <row r="612" spans="1:12" ht="15" customHeigh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</row>
    <row r="613" spans="1:12" ht="15" customHeigh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</row>
    <row r="614" spans="1:12" ht="15" customHeigh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</row>
    <row r="615" spans="1:12" ht="15" customHeigh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</row>
    <row r="616" spans="1:12" ht="15" customHeigh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</row>
    <row r="617" spans="1:12" ht="15" customHeigh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</row>
    <row r="618" spans="1:12" ht="15" customHeigh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</row>
    <row r="619" spans="1:12" ht="15" customHeigh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</row>
    <row r="620" spans="1:12" ht="15" customHeigh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</row>
    <row r="621" spans="1:12" ht="15" customHeigh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</row>
    <row r="622" spans="1:12" ht="15" customHeigh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</row>
    <row r="623" spans="1:12" ht="15" customHeigh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</row>
    <row r="624" spans="1:12" ht="15" customHeigh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</row>
    <row r="625" spans="1:12" ht="15" customHeigh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</row>
    <row r="626" spans="1:12" ht="15" customHeigh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</row>
    <row r="627" spans="1:12" ht="15" customHeigh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</row>
    <row r="628" spans="1:12" ht="15" customHeigh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</row>
    <row r="629" spans="1:12" ht="15" customHeigh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</row>
    <row r="630" spans="1:12" ht="15" customHeigh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</row>
    <row r="631" spans="1:12" ht="15" customHeigh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</row>
    <row r="632" spans="1:12" ht="15" customHeigh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</row>
    <row r="633" spans="1:12" ht="15" customHeigh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</row>
    <row r="634" spans="1:12" ht="15" customHeigh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</row>
    <row r="635" spans="1:12" ht="15" customHeigh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</row>
    <row r="636" spans="1:12" ht="15" customHeigh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</row>
    <row r="637" spans="1:12" ht="15" customHeigh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</row>
    <row r="638" spans="1:12" ht="15" customHeigh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</row>
    <row r="639" spans="1:12" ht="15" customHeigh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</row>
    <row r="640" spans="1:12" ht="15" customHeigh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</row>
    <row r="641" spans="1:12" ht="15" customHeigh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</row>
    <row r="642" spans="1:12" ht="15" customHeigh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</row>
    <row r="643" spans="1:12" ht="15" customHeigh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</row>
    <row r="644" spans="1:12" ht="15" customHeigh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</row>
    <row r="645" spans="1:12" ht="15" customHeigh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</row>
    <row r="646" spans="1:12" ht="15" customHeigh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</row>
    <row r="647" spans="1:12" ht="15" customHeigh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</row>
    <row r="648" spans="1:12" ht="15" customHeigh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</row>
    <row r="649" spans="1:12" ht="15" customHeigh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</row>
    <row r="650" spans="1:12" ht="15" customHeigh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</row>
    <row r="651" spans="1:12" ht="15" customHeigh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</row>
    <row r="652" spans="1:12" ht="15" customHeigh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</row>
    <row r="653" spans="1:12" ht="15" customHeigh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</row>
    <row r="654" spans="1:12" ht="15" customHeigh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</row>
    <row r="655" spans="1:12" ht="15" customHeigh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</row>
    <row r="656" spans="1:12" ht="15" customHeigh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</row>
    <row r="657" spans="1:12" ht="15" customHeigh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</row>
    <row r="658" spans="1:12" ht="15" customHeigh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</row>
    <row r="659" spans="1:12" ht="15" customHeigh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</row>
    <row r="660" spans="1:12" ht="15" customHeigh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</row>
    <row r="661" spans="1:12" ht="15" customHeigh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</row>
    <row r="662" spans="1:12" ht="15" customHeigh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</row>
    <row r="663" spans="1:12" ht="15" customHeigh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</row>
    <row r="664" spans="1:12" ht="15" customHeigh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</row>
    <row r="665" spans="1:12" ht="15" customHeigh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</row>
    <row r="666" spans="1:12" ht="15" customHeigh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</row>
    <row r="667" spans="1:12" ht="15" customHeigh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</row>
    <row r="668" spans="1:12" ht="15" customHeigh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</row>
    <row r="669" spans="1:12" ht="15" customHeigh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</row>
    <row r="670" spans="1:12" ht="15" customHeigh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</row>
    <row r="671" spans="1:12" ht="15" customHeigh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</row>
    <row r="672" spans="1:12" ht="15" customHeigh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</row>
    <row r="673" spans="1:12" ht="15" customHeigh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</row>
    <row r="674" spans="1:12" ht="15" customHeigh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</row>
    <row r="675" spans="1:12" ht="15" customHeigh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</row>
    <row r="676" spans="1:12" ht="15" customHeigh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</row>
    <row r="677" spans="1:12" ht="15" customHeigh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</row>
    <row r="678" spans="1:12" ht="15" customHeigh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</row>
    <row r="679" spans="1:12" ht="15" customHeigh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</row>
    <row r="680" spans="1:12" ht="15" customHeigh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</row>
    <row r="681" spans="1:12" ht="15" customHeigh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</row>
    <row r="682" spans="1:12" ht="15" customHeigh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</row>
    <row r="683" spans="1:12" ht="15" customHeigh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</row>
    <row r="684" spans="1:12" ht="15" customHeigh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</row>
    <row r="685" spans="1:12" ht="15" customHeigh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</row>
    <row r="686" spans="1:12" ht="15" customHeigh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</row>
    <row r="687" spans="1:12" ht="15" customHeigh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</row>
    <row r="688" spans="1:12" ht="15" customHeigh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</row>
    <row r="689" spans="1:12" ht="15" customHeigh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</row>
    <row r="690" spans="1:12" ht="15" customHeigh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</row>
    <row r="691" spans="1:12" ht="15" customHeigh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</row>
    <row r="692" spans="1:12" ht="15" customHeigh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</row>
    <row r="693" spans="1:12" ht="15" customHeigh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</row>
    <row r="694" spans="1:12" ht="15" customHeigh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</row>
    <row r="695" spans="1:12" ht="15" customHeigh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</row>
    <row r="696" spans="1:12" ht="15" customHeigh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</row>
    <row r="697" spans="1:12" ht="15" customHeigh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</row>
    <row r="698" spans="1:12" ht="15" customHeigh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</row>
    <row r="699" spans="1:12" ht="15" customHeigh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</row>
    <row r="700" spans="1:12" ht="15" customHeigh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</row>
    <row r="701" spans="1:12" ht="15" customHeigh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</row>
    <row r="702" spans="1:12" ht="15" customHeigh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</row>
    <row r="703" spans="1:12" ht="15" customHeigh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</row>
    <row r="704" spans="1:12" ht="15" customHeigh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</row>
    <row r="705" spans="1:12" ht="15" customHeigh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</row>
    <row r="706" spans="1:12" ht="15" customHeigh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</row>
    <row r="707" spans="1:12" ht="15" customHeigh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</row>
    <row r="708" spans="1:12" ht="15" customHeigh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</row>
    <row r="709" spans="1:12" ht="15" customHeigh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</row>
    <row r="710" spans="1:12" ht="15" customHeigh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</row>
    <row r="711" spans="1:12" ht="15" customHeigh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</row>
    <row r="712" spans="1:12" ht="15" customHeigh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</row>
    <row r="713" spans="1:12" ht="15" customHeigh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</row>
    <row r="714" spans="1:12" ht="15" customHeigh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</row>
    <row r="715" spans="1:12" ht="15" customHeigh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</row>
    <row r="716" spans="1:12" ht="15" customHeigh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</row>
    <row r="717" spans="1:12" ht="15" customHeigh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</row>
    <row r="718" spans="1:12" ht="15" customHeigh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</row>
    <row r="719" spans="1:12" ht="15" customHeigh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</row>
    <row r="720" spans="1:12" ht="15" customHeigh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</row>
    <row r="721" spans="1:12" ht="15" customHeigh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</row>
    <row r="722" spans="1:12" ht="15" customHeigh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</row>
    <row r="723" spans="1:12" ht="15" customHeigh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</row>
    <row r="724" spans="1:12" ht="15" customHeigh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</row>
    <row r="725" spans="1:12" ht="15" customHeigh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</row>
    <row r="726" spans="1:12" ht="15" customHeigh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</row>
    <row r="727" spans="1:12" ht="15" customHeigh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</row>
    <row r="728" spans="1:12" ht="15" customHeigh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</row>
    <row r="729" spans="1:12" ht="15" customHeigh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</row>
    <row r="730" spans="1:12" ht="15" customHeigh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</row>
    <row r="731" spans="1:12" ht="15" customHeigh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</row>
    <row r="732" spans="1:12" ht="15" customHeigh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</row>
    <row r="733" spans="1:12" ht="15" customHeigh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</row>
    <row r="734" spans="1:12" ht="15" customHeigh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</row>
    <row r="735" spans="1:12" ht="15" customHeigh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</row>
    <row r="736" spans="1:12" ht="15" customHeigh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</row>
    <row r="737" spans="1:12" ht="15" customHeigh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</row>
    <row r="738" spans="1:12" ht="15" customHeigh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</row>
    <row r="739" spans="1:12" ht="15" customHeigh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</row>
    <row r="740" spans="1:12" ht="15" customHeigh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</row>
    <row r="741" spans="1:12" ht="15" customHeigh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</row>
    <row r="742" spans="1:12" ht="15" customHeigh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</row>
    <row r="743" spans="1:12" ht="15" customHeigh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</row>
    <row r="744" spans="1:12" ht="15" customHeigh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</row>
    <row r="745" spans="1:12" ht="15" customHeigh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</row>
    <row r="746" spans="1:12" ht="15" customHeigh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</row>
    <row r="747" spans="1:12" ht="15" customHeigh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</row>
    <row r="748" spans="1:12" ht="15" customHeigh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</row>
    <row r="749" spans="1:12" ht="15" customHeigh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</row>
    <row r="750" spans="1:12" ht="15" customHeigh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</row>
    <row r="751" spans="1:12" ht="15" customHeigh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</row>
    <row r="752" spans="1:12" ht="15" customHeigh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</row>
    <row r="753" spans="1:12" ht="15" customHeigh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</row>
    <row r="754" spans="1:12" ht="15" customHeigh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</row>
    <row r="755" spans="1:12" ht="15" customHeigh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</row>
    <row r="756" spans="1:12" ht="15" customHeigh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</row>
    <row r="757" spans="1:12" ht="15" customHeigh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</row>
    <row r="758" spans="1:12" ht="15" customHeigh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</row>
    <row r="759" spans="1:12" ht="15" customHeigh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</row>
    <row r="760" spans="1:12" ht="15" customHeigh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</row>
    <row r="761" spans="1:12" ht="15" customHeigh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</row>
    <row r="762" spans="1:12" ht="15" customHeigh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</row>
    <row r="763" spans="1:12" ht="15" customHeigh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</row>
    <row r="764" spans="1:12" ht="15" customHeigh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</row>
    <row r="765" spans="1:12" ht="15" customHeigh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</row>
    <row r="766" spans="1:12" ht="15" customHeigh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</row>
    <row r="767" spans="1:12" ht="15" customHeigh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</row>
    <row r="768" spans="1:12" ht="15" customHeigh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</row>
    <row r="769" spans="1:12" ht="15" customHeigh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</row>
    <row r="770" spans="1:12" ht="15" customHeigh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</row>
    <row r="771" spans="1:12" ht="15" customHeigh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</row>
    <row r="772" spans="1:12" ht="15" customHeigh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</row>
    <row r="773" spans="1:12" ht="15" customHeigh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</row>
    <row r="774" spans="1:12" ht="15" customHeigh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</row>
    <row r="775" spans="1:12" ht="15" customHeigh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</row>
    <row r="776" spans="1:12" ht="15" customHeigh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</row>
    <row r="777" spans="1:12" ht="15" customHeigh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</row>
    <row r="778" spans="1:12" ht="15" customHeigh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</row>
    <row r="779" spans="1:12" ht="15" customHeigh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</row>
    <row r="780" spans="1:12" ht="15" customHeigh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</row>
    <row r="781" spans="1:12" ht="15" customHeigh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</row>
    <row r="782" spans="1:12" ht="15" customHeigh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</row>
    <row r="783" spans="1:12" ht="15" customHeigh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</row>
    <row r="784" spans="1:12" ht="15" customHeigh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</row>
    <row r="785" spans="1:12" ht="15" customHeigh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</row>
    <row r="786" spans="1:12" ht="15" customHeigh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</row>
    <row r="787" spans="1:12" ht="15" customHeigh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</row>
    <row r="788" spans="1:12" ht="15" customHeigh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</row>
    <row r="789" spans="1:12" ht="15" customHeigh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</row>
    <row r="790" spans="1:12" ht="15" customHeigh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</row>
    <row r="791" spans="1:12" ht="15" customHeigh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</row>
    <row r="792" spans="1:12" ht="15" customHeigh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</row>
    <row r="793" spans="1:12" ht="15" customHeigh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</row>
    <row r="794" spans="1:12" ht="15" customHeigh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</row>
    <row r="795" spans="1:12" ht="15" customHeigh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</row>
    <row r="796" spans="1:12" ht="15" customHeigh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</row>
    <row r="797" spans="1:12" ht="15" customHeigh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</row>
    <row r="798" spans="1:12" ht="15" customHeigh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</row>
    <row r="799" spans="1:12" ht="15" customHeigh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</row>
    <row r="800" spans="1:12" ht="15" customHeigh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</row>
    <row r="801" spans="1:12" ht="15" customHeigh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</row>
    <row r="802" spans="1:12" ht="15" customHeigh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</row>
    <row r="803" spans="1:12" ht="15" customHeigh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</row>
    <row r="804" spans="1:12" ht="15" customHeigh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</row>
    <row r="805" spans="1:12" ht="15" customHeigh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</row>
    <row r="806" spans="1:12" ht="15" customHeigh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</row>
    <row r="807" spans="1:12" ht="15" customHeigh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</row>
    <row r="808" spans="1:12" ht="15" customHeigh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</row>
    <row r="809" spans="1:12" ht="15" customHeigh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</row>
    <row r="810" spans="1:12" ht="15" customHeigh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</row>
    <row r="811" spans="1:12" ht="15" customHeigh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</row>
    <row r="812" spans="1:12" ht="15" customHeigh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</row>
    <row r="813" spans="1:12" ht="15" customHeigh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</row>
    <row r="814" spans="1:12" ht="15" customHeigh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</row>
    <row r="815" spans="1:12" ht="15" customHeigh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</row>
    <row r="816" spans="1:12" ht="15" customHeigh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</row>
    <row r="817" spans="1:12" ht="15" customHeigh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</row>
    <row r="818" spans="1:12" ht="15" customHeigh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</row>
    <row r="819" spans="1:12" ht="15" customHeigh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</row>
    <row r="820" spans="1:12" ht="15" customHeigh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</row>
    <row r="821" spans="1:12" ht="15" customHeigh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</row>
    <row r="822" spans="1:12" ht="15" customHeigh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</row>
    <row r="823" spans="1:12" ht="15" customHeigh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</row>
    <row r="824" spans="1:12" ht="15" customHeigh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</row>
    <row r="825" spans="1:12" ht="15" customHeigh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</row>
    <row r="826" spans="1:12" ht="15" customHeigh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</row>
    <row r="827" spans="1:12" ht="15" customHeigh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</row>
    <row r="828" spans="1:12" ht="15" customHeigh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</row>
    <row r="829" spans="1:12" ht="15" customHeigh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</row>
    <row r="830" spans="1:12" ht="15" customHeigh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</row>
    <row r="831" spans="1:12" ht="15" customHeigh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</row>
    <row r="832" spans="1:12" ht="15" customHeigh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</row>
    <row r="833" spans="1:12" ht="15" customHeigh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</row>
    <row r="834" spans="1:12" ht="15" customHeigh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</row>
    <row r="835" spans="1:12" ht="15" customHeigh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</row>
    <row r="836" spans="1:12" ht="15" customHeigh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</row>
    <row r="837" spans="1:12" ht="15" customHeigh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</row>
    <row r="838" spans="1:12" ht="15" customHeigh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</row>
    <row r="839" spans="1:12" ht="15" customHeigh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</row>
    <row r="840" spans="1:12" ht="15" customHeigh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</row>
    <row r="841" spans="1:12" ht="15" customHeigh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</row>
    <row r="842" spans="1:12" ht="15" customHeigh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</row>
    <row r="843" spans="1:12" ht="15" customHeigh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</row>
    <row r="844" spans="1:12" ht="15" customHeigh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</row>
    <row r="845" spans="1:12" ht="15" customHeigh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</row>
    <row r="846" spans="1:12" ht="15" customHeigh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</row>
    <row r="847" spans="1:12" ht="15" customHeigh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</row>
    <row r="848" spans="1:12" ht="15" customHeigh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</row>
    <row r="849" spans="1:12" ht="15" customHeigh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</row>
    <row r="850" spans="1:12" ht="15" customHeigh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</row>
    <row r="851" spans="1:12" ht="15" customHeigh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</row>
    <row r="852" spans="1:12" ht="15" customHeigh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</row>
    <row r="853" spans="1:12" ht="15" customHeigh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</row>
    <row r="854" spans="1:12" ht="15" customHeigh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</row>
    <row r="855" spans="1:12" ht="15" customHeigh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</row>
    <row r="856" spans="1:12" ht="15" customHeigh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</row>
    <row r="857" spans="1:12" ht="15" customHeigh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</row>
    <row r="858" spans="1:12" ht="15" customHeigh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</row>
    <row r="859" spans="1:12" ht="15" customHeigh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</row>
    <row r="860" spans="1:12" ht="15" customHeigh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</row>
    <row r="861" spans="1:12" ht="15" customHeigh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</row>
    <row r="862" spans="1:12" ht="15" customHeigh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</row>
    <row r="863" spans="1:12" ht="15" customHeigh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</row>
    <row r="864" spans="1:12" ht="15" customHeigh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</row>
    <row r="865" spans="1:12" ht="15" customHeigh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</row>
    <row r="866" spans="1:12" ht="15" customHeigh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</row>
    <row r="867" spans="1:12" ht="15" customHeigh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</row>
    <row r="868" spans="1:12" ht="15" customHeigh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</row>
    <row r="869" spans="1:12" ht="15" customHeigh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</row>
    <row r="870" spans="1:12" ht="15" customHeigh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</row>
    <row r="871" spans="1:12" ht="15" customHeigh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</row>
    <row r="872" spans="1:12" ht="15" customHeigh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</row>
    <row r="873" spans="1:12" ht="15" customHeigh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</row>
    <row r="874" spans="1:12" ht="15" customHeigh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</row>
    <row r="875" spans="1:12" ht="15" customHeigh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</row>
    <row r="876" spans="1:12" ht="15" customHeigh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</row>
    <row r="877" spans="1:12" ht="15" customHeigh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</row>
    <row r="878" spans="1:12" ht="15" customHeigh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</row>
    <row r="879" spans="1:12" ht="15" customHeigh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</row>
    <row r="880" spans="1:12" ht="15" customHeigh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</row>
    <row r="881" spans="1:12" ht="15" customHeigh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</row>
    <row r="882" spans="1:12" ht="15" customHeigh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</row>
    <row r="883" spans="1:12" ht="15" customHeigh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</row>
    <row r="884" spans="1:12" ht="15" customHeigh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</row>
    <row r="885" spans="1:12" ht="15" customHeigh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</row>
    <row r="886" spans="1:12" ht="15" customHeigh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</row>
    <row r="887" spans="1:12" ht="15" customHeigh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</row>
    <row r="888" spans="1:12" ht="15" customHeigh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</row>
    <row r="889" spans="1:12" ht="15" customHeigh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</row>
    <row r="890" spans="1:12" ht="15" customHeigh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</row>
    <row r="891" spans="1:12" ht="15" customHeigh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</row>
    <row r="892" spans="1:12" ht="15" customHeigh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</row>
    <row r="893" spans="1:12" ht="15" customHeigh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</row>
    <row r="894" spans="1:12" ht="15" customHeigh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</row>
    <row r="895" spans="1:12" ht="15" customHeigh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</row>
    <row r="896" spans="1:12" ht="15" customHeigh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</row>
    <row r="897" spans="1:12" ht="15" customHeigh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</row>
    <row r="898" spans="1:12" ht="15" customHeigh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</row>
    <row r="899" spans="1:12" ht="15" customHeigh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</row>
    <row r="900" spans="1:12" ht="15" customHeigh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</row>
    <row r="901" spans="1:12" ht="15" customHeigh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</row>
    <row r="902" spans="1:12" ht="15" customHeigh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</row>
    <row r="903" spans="1:12" ht="15" customHeigh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</row>
    <row r="904" spans="1:12" ht="15" customHeigh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</row>
    <row r="905" spans="1:12" ht="15" customHeigh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</row>
    <row r="906" spans="1:12" ht="15" customHeigh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</row>
    <row r="907" spans="1:12" ht="15" customHeigh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</row>
    <row r="908" spans="1:12" ht="15" customHeigh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</row>
    <row r="909" spans="1:12" ht="15" customHeigh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</row>
    <row r="910" spans="1:12" ht="15" customHeigh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</row>
    <row r="911" spans="1:12" ht="15" customHeigh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</row>
    <row r="912" spans="1:12" ht="15" customHeigh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</row>
    <row r="913" spans="1:12" ht="15" customHeigh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</row>
    <row r="914" spans="1:12" ht="15" customHeigh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</row>
    <row r="915" spans="1:12" ht="15" customHeigh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</row>
    <row r="916" spans="1:12" ht="15" customHeigh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</row>
    <row r="917" spans="1:12" ht="15" customHeigh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</row>
    <row r="918" spans="1:12" ht="15" customHeigh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</row>
    <row r="919" spans="1:12" ht="15" customHeigh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</row>
    <row r="920" spans="1:12" ht="15" customHeigh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</row>
    <row r="921" spans="1:12" ht="15" customHeigh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</row>
    <row r="922" spans="1:12" ht="15" customHeigh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</row>
    <row r="923" spans="1:12" ht="15" customHeigh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</row>
    <row r="924" spans="1:12" ht="15" customHeigh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</row>
    <row r="925" spans="1:12" ht="15" customHeigh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</row>
    <row r="926" spans="1:12" ht="15" customHeigh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</row>
    <row r="927" spans="1:12" ht="15" customHeigh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</row>
    <row r="928" spans="1:12" ht="15" customHeigh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</row>
    <row r="929" spans="1:12" ht="15" customHeigh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</row>
    <row r="930" spans="1:12" ht="15" customHeigh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</row>
    <row r="931" spans="1:12" ht="15" customHeigh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</row>
    <row r="932" spans="1:12" ht="15" customHeigh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</row>
    <row r="933" spans="1:12" ht="15" customHeigh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</row>
    <row r="934" spans="1:12" ht="15" customHeigh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</row>
    <row r="935" spans="1:12" ht="15" customHeigh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</row>
    <row r="936" spans="1:12" ht="15" customHeigh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</row>
    <row r="937" spans="1:12" ht="15" customHeigh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</row>
    <row r="938" spans="1:12" ht="15" customHeigh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</row>
    <row r="939" spans="1:12" ht="15" customHeigh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</row>
    <row r="940" spans="1:12" ht="15" customHeigh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</row>
    <row r="941" spans="1:12" ht="15" customHeigh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</row>
    <row r="942" spans="1:12" ht="15" customHeigh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</row>
    <row r="943" spans="1:12" ht="15" customHeigh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</row>
    <row r="944" spans="1:12" ht="15" customHeigh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</row>
    <row r="945" spans="1:12" ht="15" customHeigh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</row>
    <row r="946" spans="1:12" ht="15" customHeigh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</row>
    <row r="947" spans="1:12" ht="15" customHeigh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</row>
    <row r="948" spans="1:12" ht="15" customHeigh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</row>
    <row r="949" spans="1:12" ht="15" customHeigh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</row>
    <row r="950" spans="1:12" ht="15" customHeigh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</row>
    <row r="951" spans="1:12" ht="15" customHeigh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</row>
    <row r="952" spans="1:12" ht="15" customHeigh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</row>
    <row r="953" spans="1:12" ht="15" customHeigh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</row>
    <row r="954" spans="1:12" ht="15" customHeigh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</row>
    <row r="955" spans="1:12" ht="15" customHeigh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</row>
    <row r="956" spans="1:12" ht="15" customHeigh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</row>
    <row r="957" spans="1:12" ht="15" customHeigh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</row>
    <row r="958" spans="1:12" ht="15" customHeigh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</row>
    <row r="959" spans="1:12" ht="15" customHeigh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</row>
    <row r="960" spans="1:12" ht="15" customHeigh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</row>
    <row r="961" spans="1:12" ht="15" customHeigh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</row>
    <row r="962" spans="1:12" ht="15" customHeigh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</row>
    <row r="963" spans="1:12" ht="15" customHeigh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</row>
    <row r="964" spans="1:12" ht="15" customHeigh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</row>
    <row r="965" spans="1:12" ht="15" customHeigh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</row>
    <row r="966" spans="1:12" ht="15" customHeigh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</row>
    <row r="967" spans="1:12" ht="15" customHeigh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</row>
    <row r="968" spans="1:12" ht="15" customHeigh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</row>
    <row r="969" spans="1:12" ht="15" customHeigh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</row>
    <row r="970" spans="1:12" ht="15" customHeigh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</row>
    <row r="971" spans="1:12" ht="15" customHeigh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</row>
    <row r="972" spans="1:12" ht="15" customHeigh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</row>
    <row r="973" spans="1:12" ht="15" customHeigh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</row>
    <row r="974" spans="1:12" ht="15" customHeigh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</row>
    <row r="975" spans="1:12" ht="15" customHeigh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</row>
    <row r="976" spans="1:12" ht="15" customHeigh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</row>
    <row r="977" spans="1:12" ht="15" customHeigh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</row>
    <row r="978" spans="1:12" ht="15" customHeigh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</row>
    <row r="979" spans="1:12" ht="15" customHeigh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</row>
    <row r="980" spans="1:12" ht="15" customHeigh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</row>
    <row r="981" spans="1:12" ht="15" customHeigh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</row>
    <row r="982" spans="1:12" ht="15" customHeigh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</row>
    <row r="983" spans="1:12" ht="15" customHeigh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</row>
    <row r="984" spans="1:12" ht="15" customHeigh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</row>
    <row r="985" spans="1:12" ht="15" customHeigh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</row>
    <row r="986" spans="1:12" ht="15" customHeigh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</row>
    <row r="987" spans="1:12" ht="15" customHeigh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</row>
    <row r="988" spans="1:12" ht="15" customHeigh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</row>
    <row r="989" spans="1:12" ht="15" customHeigh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</row>
    <row r="990" spans="1:12" ht="15" customHeigh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</row>
    <row r="991" spans="1:12" ht="15" customHeigh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</row>
    <row r="992" spans="1:12" ht="15" customHeigh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</row>
    <row r="993" spans="1:12" ht="15" customHeigh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</row>
    <row r="994" spans="1:12" ht="15" customHeigh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</row>
    <row r="995" spans="1:12" ht="15" customHeigh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</row>
    <row r="996" spans="1:12" ht="15" customHeigh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</row>
    <row r="997" spans="1:12" ht="15" customHeigh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</row>
    <row r="998" spans="1:12" ht="15" customHeigh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</row>
    <row r="999" spans="1:12" ht="15" customHeigh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</row>
    <row r="1000" spans="1:12" ht="15" customHeigh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</row>
    <row r="1001" spans="1:12" ht="15" customHeigh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</row>
    <row r="1002" spans="1:12" ht="15" customHeigh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</row>
    <row r="1003" spans="1:12" ht="15" customHeigh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</row>
    <row r="1004" spans="1:12" ht="15" customHeigh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</row>
    <row r="1005" spans="1:12" ht="15" customHeigh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</row>
    <row r="1006" spans="1:12" ht="15" customHeigh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</row>
    <row r="1007" spans="1:12" ht="15" customHeigh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</row>
    <row r="1008" spans="1:12" ht="15" customHeigh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</row>
    <row r="1009" spans="1:12" ht="15" customHeigh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</row>
    <row r="1010" spans="1:12" ht="15" customHeigh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</row>
    <row r="1011" spans="1:12" ht="15" customHeigh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</row>
    <row r="1012" spans="1:12" ht="15" customHeigh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</row>
    <row r="1013" spans="1:12" ht="15" customHeigh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</row>
    <row r="1014" spans="1:12" ht="15" customHeigh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</row>
    <row r="1015" spans="1:12" ht="15" customHeigh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</row>
    <row r="1016" spans="1:12" ht="15" customHeigh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</row>
    <row r="1017" spans="1:12" ht="15" customHeigh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</row>
    <row r="1018" spans="1:12" ht="15" customHeigh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</row>
    <row r="1019" spans="1:12" ht="15" customHeigh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</row>
    <row r="1020" spans="1:12" ht="15" customHeigh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</row>
    <row r="1021" spans="1:12" ht="15" customHeigh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</row>
    <row r="1022" spans="1:12" ht="15" customHeigh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</row>
    <row r="1023" spans="1:12" ht="15" customHeigh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</row>
    <row r="1024" spans="1:12" ht="15" customHeigh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</row>
    <row r="1025" spans="1:12" ht="15" customHeigh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</row>
    <row r="1026" spans="1:12" ht="15" customHeigh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</row>
    <row r="1027" spans="1:12" ht="15" customHeigh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</row>
    <row r="1028" spans="1:12" ht="15" customHeigh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</row>
    <row r="1029" spans="1:12" ht="15" customHeigh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</row>
    <row r="1030" spans="1:12" ht="15" customHeigh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</row>
    <row r="1031" spans="1:12" ht="15" customHeigh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</row>
    <row r="1032" spans="1:12" ht="15" customHeigh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</row>
    <row r="1033" spans="1:12" ht="15" customHeigh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</row>
    <row r="1034" spans="1:12" ht="15" customHeigh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</row>
    <row r="1035" spans="1:12" ht="15" customHeigh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</row>
    <row r="1036" spans="1:12" ht="15" customHeigh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</row>
    <row r="1037" spans="1:12" ht="15" customHeigh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</row>
    <row r="1038" spans="1:12" ht="15" customHeigh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</row>
    <row r="1039" spans="1:12" ht="15" customHeigh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</row>
    <row r="1040" spans="1:12" ht="15" customHeigh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</row>
    <row r="1041" spans="1:12" ht="15" customHeigh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</row>
    <row r="1042" spans="1:12" ht="15" customHeigh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</row>
    <row r="1043" spans="1:12" ht="15" customHeigh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</row>
    <row r="1044" spans="1:12" ht="15" customHeigh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</row>
    <row r="1045" spans="1:12" ht="15" customHeigh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</row>
    <row r="1046" spans="1:12" ht="15" customHeigh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</row>
    <row r="1047" spans="1:12" ht="15" customHeigh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</row>
    <row r="1048" spans="1:12" ht="15" customHeigh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</row>
    <row r="1049" spans="1:12" ht="15" customHeigh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</row>
    <row r="1050" spans="1:12" ht="15" customHeigh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</row>
    <row r="1051" spans="1:12" ht="15" customHeigh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</row>
    <row r="1052" spans="1:12" ht="15" customHeigh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</row>
    <row r="1053" spans="1:12" ht="15" customHeigh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</row>
    <row r="1054" spans="1:12" ht="15" customHeigh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</row>
    <row r="1055" spans="1:12" ht="15" customHeigh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</row>
    <row r="1056" spans="1:12" ht="15" customHeigh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</row>
    <row r="1057" spans="1:12" ht="15" customHeigh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</row>
    <row r="1058" spans="1:12" ht="15" customHeigh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</row>
    <row r="1059" spans="1:12" ht="15" customHeigh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</row>
    <row r="1060" spans="1:12" ht="15" customHeigh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</row>
    <row r="1061" spans="1:12" ht="15" customHeigh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</row>
    <row r="1062" spans="1:12" ht="15" customHeigh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</row>
    <row r="1063" spans="1:12" ht="15" customHeigh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</row>
    <row r="1064" spans="1:12" ht="15" customHeigh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</row>
    <row r="1065" spans="1:12" ht="15" customHeigh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</row>
    <row r="1066" spans="1:12" ht="15" customHeigh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</row>
    <row r="1067" spans="1:12" ht="15" customHeigh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</row>
    <row r="1068" spans="1:12" ht="15" customHeigh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</row>
    <row r="1069" spans="1:12" ht="15" customHeigh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</row>
    <row r="1070" spans="1:12" ht="15" customHeigh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</row>
    <row r="1071" spans="1:12" ht="15" customHeigh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</row>
    <row r="1072" spans="1:12" ht="15" customHeigh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</row>
    <row r="1073" spans="1:12" ht="15" customHeigh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</row>
    <row r="1074" spans="1:12" ht="15" customHeigh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</row>
    <row r="1075" spans="1:12" ht="15" customHeigh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</row>
    <row r="1076" spans="1:12" ht="15" customHeigh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</row>
    <row r="1077" spans="1:12" ht="15" customHeigh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</row>
    <row r="1078" spans="1:12" ht="15" customHeigh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</row>
    <row r="1079" spans="1:12" ht="15" customHeigh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</row>
    <row r="1080" spans="1:12" ht="15" customHeigh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</row>
    <row r="1081" spans="1:12" ht="15" customHeigh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</row>
    <row r="1082" spans="1:12" ht="15" customHeigh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</row>
    <row r="1083" spans="1:12" ht="15" customHeigh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</row>
    <row r="1084" spans="1:12" ht="15" customHeigh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</row>
    <row r="1085" spans="1:12" ht="15" customHeigh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</row>
    <row r="1086" spans="1:12" ht="15" customHeigh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</row>
    <row r="1087" spans="1:12" ht="15" customHeigh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</row>
    <row r="1088" spans="1:12" ht="15" customHeigh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</row>
    <row r="1089" spans="1:12" ht="15" customHeigh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</row>
    <row r="1090" spans="1:12" ht="15" customHeigh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</row>
    <row r="1091" spans="1:12" ht="15" customHeigh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</row>
    <row r="1092" spans="1:12" ht="15" customHeigh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</row>
    <row r="1093" spans="1:12" ht="15" customHeigh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</row>
    <row r="1094" spans="1:12" ht="15" customHeigh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</row>
    <row r="1095" spans="1:12" ht="15" customHeigh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</row>
    <row r="1096" spans="1:12" ht="15" customHeigh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</row>
    <row r="1097" spans="1:12" ht="15" customHeigh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</row>
    <row r="1098" spans="1:12" ht="15" customHeigh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</row>
    <row r="1099" spans="1:12" ht="15" customHeigh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</row>
    <row r="1100" spans="1:12" ht="15" customHeigh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</row>
    <row r="1101" spans="1:12" ht="15" customHeigh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</row>
    <row r="1102" spans="1:12" ht="15" customHeigh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</row>
    <row r="1103" spans="1:12" ht="15" customHeigh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</row>
    <row r="1104" spans="1:12" ht="15" customHeigh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</row>
    <row r="1105" spans="1:12" ht="15" customHeigh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</row>
    <row r="1106" spans="1:12" ht="15" customHeigh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</row>
    <row r="1107" spans="1:12" ht="15" customHeigh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</row>
    <row r="1108" spans="1:12" ht="15" customHeigh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</row>
    <row r="1109" spans="1:12" ht="15" customHeigh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</row>
    <row r="1110" spans="1:12" ht="15" customHeigh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</row>
    <row r="1111" spans="1:12" ht="15" customHeigh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</row>
    <row r="1112" spans="1:12" ht="15" customHeigh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</row>
    <row r="1113" spans="1:12" ht="15" customHeigh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</row>
    <row r="1114" spans="1:12" ht="15" customHeigh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</row>
    <row r="1115" spans="1:12" ht="15" customHeigh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</row>
    <row r="1116" spans="1:12" ht="15" customHeigh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</row>
    <row r="1117" spans="1:12" ht="15" customHeigh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</row>
    <row r="1118" spans="1:12" ht="15" customHeigh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</row>
    <row r="1119" spans="1:12" ht="15" customHeigh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</row>
    <row r="1120" spans="1:12" ht="15" customHeigh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</row>
    <row r="1121" spans="1:12" ht="15" customHeigh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</row>
    <row r="1122" spans="1:12" ht="15" customHeigh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</row>
    <row r="1123" spans="1:12" ht="15" customHeigh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</row>
    <row r="1124" spans="1:12" ht="15" customHeigh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</row>
    <row r="1125" spans="1:12" ht="15" customHeigh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</row>
    <row r="1126" spans="1:12" ht="15" customHeigh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</row>
    <row r="1127" spans="1:12" ht="15" customHeigh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</row>
    <row r="1128" spans="1:12" ht="15" customHeigh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</row>
    <row r="1129" spans="1:12" ht="15" customHeigh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</row>
    <row r="1130" spans="1:12" ht="15" customHeigh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</row>
    <row r="1131" spans="1:12" ht="15" customHeigh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</row>
    <row r="1132" spans="1:12" ht="15" customHeigh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</row>
    <row r="1133" spans="1:12" ht="15" customHeigh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</row>
    <row r="1134" spans="1:12" ht="15" customHeigh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</row>
    <row r="1135" spans="1:12" ht="15" customHeigh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</row>
    <row r="1136" spans="1:12" ht="15" customHeigh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</row>
    <row r="1137" spans="1:12" ht="15" customHeigh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</row>
    <row r="1138" spans="1:12" ht="15" customHeigh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</row>
    <row r="1139" spans="1:12" ht="15" customHeigh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</row>
    <row r="1140" spans="1:12" ht="15" customHeigh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</row>
    <row r="1141" spans="1:12" ht="15" customHeigh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</row>
    <row r="1142" spans="1:12" ht="15" customHeigh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</row>
    <row r="1143" spans="1:12" ht="15" customHeigh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</row>
    <row r="1144" spans="1:12" ht="15" customHeigh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</row>
    <row r="1145" spans="1:12" ht="15" customHeigh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</row>
    <row r="1146" spans="1:12" ht="15" customHeigh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</row>
    <row r="1147" spans="1:12" ht="15" customHeigh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</row>
    <row r="1148" spans="1:12" ht="15" customHeigh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</row>
    <row r="1149" spans="1:12" ht="15" customHeigh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</row>
    <row r="1150" spans="1:12" ht="15" customHeigh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</row>
    <row r="1151" spans="1:12" ht="15" customHeigh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</row>
    <row r="1152" spans="1:12" ht="15" customHeigh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</row>
    <row r="1153" spans="1:12" ht="15" customHeigh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</row>
    <row r="1154" spans="1:12" ht="15" customHeigh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</row>
    <row r="1155" spans="1:12" ht="15" customHeigh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</row>
    <row r="1156" spans="1:12" ht="15" customHeigh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</row>
    <row r="1157" spans="1:12" ht="15" customHeigh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</row>
    <row r="1158" spans="1:12" ht="15" customHeigh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</row>
    <row r="1159" spans="1:12" ht="15" customHeigh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</row>
    <row r="1160" spans="1:12" ht="15" customHeigh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</row>
    <row r="1161" spans="1:12" ht="15" customHeigh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</row>
    <row r="1162" spans="1:12" ht="15" customHeigh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</row>
    <row r="1163" spans="1:12" ht="15" customHeigh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</row>
    <row r="1164" spans="1:12" ht="15" customHeigh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</row>
    <row r="1165" spans="1:12" ht="15" customHeigh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</row>
    <row r="1166" spans="1:12" ht="15" customHeigh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</row>
    <row r="1167" spans="1:12" ht="15" customHeigh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</row>
    <row r="1168" spans="1:12" ht="15" customHeigh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</row>
    <row r="1169" spans="1:12" ht="15" customHeigh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</row>
    <row r="1170" spans="1:12" ht="15" customHeigh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</row>
    <row r="1171" spans="1:12" ht="15" customHeigh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</row>
    <row r="1172" spans="1:12" ht="15" customHeigh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</row>
    <row r="1173" spans="1:12" ht="15" customHeigh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</row>
    <row r="1174" spans="1:12" ht="15" customHeigh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</row>
    <row r="1175" spans="1:12" ht="15" customHeigh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</row>
    <row r="1176" spans="1:12" ht="15" customHeigh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</row>
    <row r="1177" spans="1:12" ht="15" customHeigh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</row>
    <row r="1178" spans="1:12" ht="15" customHeigh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</row>
    <row r="1179" spans="1:12" ht="15" customHeigh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</row>
    <row r="1180" spans="1:12" ht="15" customHeigh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</row>
    <row r="1181" spans="1:12" ht="15" customHeigh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</row>
    <row r="1182" spans="1:12" ht="15" customHeigh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</row>
    <row r="1183" spans="1:12" ht="15" customHeigh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</row>
    <row r="1184" spans="1:12" ht="15" customHeigh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</row>
    <row r="1185" spans="1:12" ht="15" customHeigh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</row>
    <row r="1186" spans="1:12" ht="15" customHeigh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</row>
    <row r="1187" spans="1:12" ht="15" customHeigh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</row>
    <row r="1188" spans="1:12" ht="15" customHeigh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</row>
    <row r="1189" spans="1:12" ht="15" customHeigh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</row>
    <row r="1190" spans="1:12" ht="15" customHeigh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</row>
    <row r="1191" spans="1:12" ht="15" customHeigh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</row>
    <row r="1192" spans="1:12" ht="15" customHeigh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</row>
    <row r="1193" spans="1:12" ht="15" customHeigh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</row>
    <row r="1194" spans="1:12" ht="15" customHeigh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</row>
    <row r="1195" spans="1:12" ht="15" customHeigh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</row>
    <row r="1196" spans="1:12" ht="15" customHeigh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</row>
    <row r="1197" spans="1:12" ht="15" customHeigh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</row>
    <row r="1198" spans="1:12" ht="15" customHeigh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</row>
    <row r="1199" spans="1:12" ht="15" customHeigh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</row>
    <row r="1200" spans="1:12" ht="15" customHeigh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</row>
    <row r="1201" spans="1:12" ht="15" customHeigh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</row>
    <row r="1202" spans="1:12" ht="15" customHeigh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</row>
    <row r="1203" spans="1:12" ht="15" customHeigh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</row>
    <row r="1204" spans="1:12" ht="15" customHeigh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</row>
    <row r="1205" spans="1:12" ht="15" customHeigh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</row>
    <row r="1206" spans="1:12" ht="15" customHeigh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</row>
    <row r="1207" spans="1:12" ht="15" customHeigh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</row>
    <row r="1208" spans="1:12" ht="15" customHeigh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</row>
    <row r="1209" spans="1:12" ht="15" customHeigh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</row>
    <row r="1210" spans="1:12" ht="15" customHeigh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</row>
    <row r="1211" spans="1:12" ht="15" customHeigh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</row>
    <row r="1212" spans="1:12" ht="15" customHeigh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</row>
    <row r="1213" spans="1:12" ht="15" customHeigh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</row>
    <row r="1214" spans="1:12" ht="15" customHeigh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</row>
    <row r="1215" spans="1:12" ht="15" customHeigh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</row>
    <row r="1216" spans="1:12" ht="15" customHeigh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</row>
    <row r="1217" spans="1:12" ht="15" customHeigh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</row>
    <row r="1218" spans="1:12" ht="15" customHeigh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</row>
    <row r="1219" spans="1:12" ht="15" customHeigh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</row>
    <row r="1220" spans="1:12" ht="15" customHeigh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</row>
    <row r="1221" spans="1:12" ht="15" customHeigh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</row>
    <row r="1222" spans="1:12" ht="15" customHeigh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</row>
    <row r="1223" spans="1:12" ht="15" customHeigh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</row>
    <row r="1224" spans="1:12" ht="15" customHeigh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</row>
    <row r="1225" spans="1:12" ht="15" customHeigh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</row>
    <row r="1226" spans="1:12" ht="15" customHeigh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</row>
    <row r="1227" spans="1:12" ht="15" customHeigh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</row>
    <row r="1228" spans="1:12" ht="15" customHeigh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</row>
    <row r="1229" spans="1:12" ht="15" customHeigh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</row>
    <row r="1230" spans="1:12" ht="15" customHeigh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</row>
    <row r="1231" spans="1:12" ht="15" customHeigh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</row>
    <row r="1232" spans="1:12" ht="15" customHeigh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</row>
    <row r="1233" spans="1:12" ht="15" customHeigh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</row>
    <row r="1234" spans="1:12" ht="15" customHeigh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</row>
    <row r="1235" spans="1:12" ht="15" customHeigh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</row>
    <row r="1236" spans="1:12" ht="15" customHeigh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</row>
    <row r="1237" spans="1:12" ht="15" customHeigh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</row>
    <row r="1238" spans="1:12" ht="15" customHeigh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</row>
    <row r="1239" spans="1:12" ht="15" customHeigh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</row>
    <row r="1240" spans="1:12" ht="15" customHeigh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</row>
    <row r="1241" spans="1:12" ht="15" customHeigh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</row>
    <row r="1242" spans="1:12" ht="15" customHeigh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</row>
    <row r="1243" spans="1:12" ht="15" customHeigh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</row>
    <row r="1244" spans="1:12" ht="15" customHeigh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</row>
    <row r="1245" spans="1:12" ht="15" customHeigh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</row>
    <row r="1246" spans="1:12" ht="15" customHeigh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</row>
    <row r="1247" spans="1:12" ht="15" customHeigh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</row>
    <row r="1248" spans="1:12" ht="15" customHeigh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</row>
    <row r="1249" spans="1:12" ht="15" customHeigh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</row>
    <row r="1250" spans="1:12" ht="15" customHeigh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</row>
    <row r="1251" spans="1:12" ht="15" customHeigh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</row>
    <row r="1252" spans="1:12" ht="15" customHeigh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</row>
    <row r="1253" spans="1:12" ht="15" customHeigh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</row>
    <row r="1254" spans="1:12" ht="15" customHeigh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</row>
    <row r="1255" spans="1:12" ht="15" customHeigh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</row>
    <row r="1256" spans="1:12" ht="15" customHeigh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</row>
    <row r="1257" spans="1:12" ht="15" customHeigh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</row>
    <row r="1258" spans="1:12" ht="15" customHeigh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</row>
    <row r="1259" spans="1:12" ht="15" customHeigh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</row>
    <row r="1260" spans="1:12" ht="15" customHeigh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</row>
    <row r="1261" spans="1:12" ht="15" customHeigh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</row>
    <row r="1262" spans="1:12" ht="15" customHeigh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</row>
    <row r="1263" spans="1:12" ht="15" customHeigh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</row>
    <row r="1264" spans="1:12" ht="15" customHeigh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</row>
    <row r="1265" spans="1:12" ht="15" customHeigh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</row>
    <row r="1266" spans="1:12" ht="15" customHeigh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</row>
    <row r="1267" spans="1:12" ht="15" customHeigh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</row>
    <row r="1268" spans="1:12" ht="15" customHeigh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</row>
    <row r="1269" spans="1:12" ht="15" customHeigh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</row>
    <row r="1270" spans="1:12" ht="15" customHeigh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</row>
    <row r="1271" spans="1:12" ht="15" customHeigh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</row>
    <row r="1272" spans="1:12" ht="15" customHeigh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</row>
    <row r="1273" spans="1:12" ht="15" customHeigh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</row>
    <row r="1274" spans="1:12" ht="15" customHeigh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</row>
    <row r="1275" spans="1:12" ht="15" customHeigh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</row>
    <row r="1276" spans="1:12" ht="15" customHeigh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</row>
    <row r="1277" spans="1:12" ht="15" customHeigh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</row>
    <row r="1278" spans="1:12" ht="15" customHeigh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</row>
    <row r="1279" spans="1:12" ht="15" customHeigh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</row>
    <row r="1280" spans="1:12" ht="15" customHeigh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</row>
    <row r="1281" spans="1:12" ht="15" customHeigh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</row>
    <row r="1282" spans="1:12" ht="15" customHeigh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</row>
    <row r="1283" spans="1:12" ht="15" customHeigh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</row>
    <row r="1284" spans="1:12" ht="15" customHeigh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</row>
    <row r="1285" spans="1:12" ht="15" customHeigh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</row>
    <row r="1286" spans="1:12" ht="15" customHeigh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</row>
    <row r="1287" spans="1:12" ht="15" customHeigh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</row>
    <row r="1288" spans="1:12" ht="15" customHeigh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</row>
    <row r="1289" spans="1:12" ht="15" customHeigh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</row>
    <row r="1290" spans="1:12" ht="15" customHeigh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</row>
    <row r="1291" spans="1:12" ht="15" customHeigh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</row>
    <row r="1292" spans="1:12" ht="15" customHeigh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</row>
    <row r="1293" spans="1:12" ht="15" customHeigh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</row>
    <row r="1294" spans="1:12" ht="15" customHeigh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</row>
    <row r="1295" spans="1:12" ht="15" customHeigh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</row>
    <row r="1296" spans="1:12" ht="15" customHeigh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</row>
    <row r="1297" spans="1:12" ht="15" customHeigh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</row>
    <row r="1298" spans="1:12" ht="15" customHeigh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</row>
    <row r="1299" spans="1:12" ht="15" customHeigh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</row>
    <row r="1300" spans="1:12" ht="15" customHeigh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</row>
    <row r="1301" spans="1:12" ht="15" customHeigh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</row>
    <row r="1302" spans="1:12" ht="15" customHeigh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</row>
    <row r="1303" spans="1:12" ht="15" customHeigh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</row>
    <row r="1304" spans="1:12" ht="15" customHeigh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</row>
    <row r="1305" spans="1:12" ht="15" customHeigh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</row>
    <row r="1306" spans="1:12" ht="15" customHeigh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</row>
    <row r="1307" spans="1:12" ht="15" customHeigh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</row>
    <row r="1308" spans="1:12" ht="15" customHeigh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</row>
    <row r="1309" spans="1:12" ht="15" customHeigh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</row>
    <row r="1310" spans="1:12" ht="15" customHeigh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</row>
    <row r="1311" spans="1:12" ht="15" customHeigh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</row>
    <row r="1312" spans="1:12" ht="15" customHeigh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</row>
    <row r="1313" spans="1:12" ht="15" customHeigh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</row>
    <row r="1314" spans="1:12" ht="15" customHeigh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</row>
    <row r="1315" spans="1:12" ht="15" customHeigh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</row>
    <row r="1316" spans="1:12" ht="15" customHeigh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</row>
    <row r="1317" spans="1:12" ht="15" customHeigh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</row>
    <row r="1318" spans="1:12" ht="15" customHeigh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</row>
    <row r="1319" spans="1:12" ht="15" customHeigh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</row>
    <row r="1320" spans="1:12" ht="15" customHeigh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</row>
    <row r="1321" spans="1:12" ht="15" customHeigh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</row>
    <row r="1322" spans="1:12" ht="15" customHeigh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</row>
    <row r="1323" spans="1:12" ht="15" customHeigh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</row>
    <row r="1324" spans="1:12" ht="15" customHeigh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</row>
    <row r="1325" spans="1:12" ht="15" customHeigh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</row>
    <row r="1326" spans="1:12" ht="15" customHeigh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</row>
    <row r="1327" spans="1:12" ht="15" customHeigh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</row>
    <row r="1328" spans="1:12" ht="15" customHeigh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</row>
    <row r="1329" spans="1:12" ht="15" customHeigh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</row>
    <row r="1330" spans="1:12" ht="15" customHeigh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</row>
    <row r="1331" spans="1:12" ht="15" customHeigh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</row>
    <row r="1332" spans="1:12" ht="15" customHeigh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</row>
    <row r="1333" spans="1:12" ht="15" customHeigh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</row>
    <row r="1334" spans="1:12" ht="15" customHeigh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</row>
    <row r="1335" spans="1:12" ht="15" customHeigh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</row>
    <row r="1336" spans="1:12" ht="15" customHeigh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</row>
    <row r="1337" spans="1:12" ht="15" customHeigh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</row>
    <row r="1338" spans="1:12" ht="15" customHeigh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</row>
    <row r="1339" spans="1:12" ht="15" customHeigh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</row>
    <row r="1340" spans="1:12" ht="15" customHeigh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</row>
    <row r="1341" spans="1:12" ht="15" customHeigh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</row>
    <row r="1342" spans="1:12" ht="15" customHeigh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</row>
    <row r="1343" spans="1:12" ht="15" customHeigh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</row>
    <row r="1344" spans="1:12" ht="15" customHeigh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</row>
    <row r="1345" spans="1:12" ht="15" customHeigh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</row>
    <row r="1346" spans="1:12" ht="15" customHeigh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</row>
    <row r="1347" spans="1:12" ht="15" customHeigh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</row>
    <row r="1348" spans="1:12" ht="15" customHeigh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</row>
    <row r="1349" spans="1:12" ht="15" customHeigh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</row>
    <row r="1350" spans="1:12" ht="15" customHeigh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</row>
    <row r="1351" spans="1:12" ht="15" customHeigh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</row>
    <row r="1352" spans="1:12" ht="15" customHeigh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</row>
    <row r="1353" spans="1:12" ht="15" customHeigh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</row>
    <row r="1354" spans="1:12" ht="15" customHeigh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</row>
    <row r="1355" spans="1:12" ht="15" customHeigh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</row>
    <row r="1356" spans="1:12" ht="15" customHeigh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</row>
    <row r="1357" spans="1:12" ht="15" customHeigh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</row>
    <row r="1358" spans="1:12" ht="15" customHeigh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</row>
    <row r="1359" spans="1:12" ht="15" customHeigh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</row>
    <row r="1360" spans="1:12" ht="15" customHeigh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</row>
    <row r="1361" spans="1:12" ht="15" customHeigh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</row>
    <row r="1362" spans="1:12" ht="15" customHeigh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</row>
    <row r="1363" spans="1:12" ht="15" customHeigh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</row>
    <row r="1364" spans="1:12" ht="15" customHeigh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</row>
    <row r="1365" spans="1:12" ht="15" customHeigh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</row>
    <row r="1366" spans="1:12" ht="15" customHeigh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</row>
    <row r="1367" spans="1:12" ht="15" customHeigh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</row>
    <row r="1368" spans="1:12" ht="15" customHeigh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</row>
    <row r="1369" spans="1:12" ht="15" customHeigh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</row>
    <row r="1370" spans="1:12" ht="15" customHeigh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</row>
    <row r="1371" spans="1:12" ht="15" customHeigh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</row>
    <row r="1372" spans="1:12" ht="15" customHeigh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</row>
    <row r="1373" spans="1:12" ht="15" customHeigh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</row>
    <row r="1374" spans="1:12" ht="15" customHeigh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</row>
    <row r="1375" spans="1:12" ht="15" customHeigh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</row>
    <row r="1376" spans="1:12" ht="15" customHeigh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</row>
    <row r="1377" spans="1:12" ht="15" customHeigh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</row>
    <row r="1378" spans="1:12" ht="15" customHeigh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</row>
    <row r="1379" spans="1:12" ht="15" customHeigh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</row>
    <row r="1380" spans="1:12" ht="15" customHeigh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</row>
    <row r="1381" spans="1:12" ht="15" customHeigh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</row>
    <row r="1382" spans="1:12" ht="15" customHeigh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</row>
    <row r="1383" spans="1:12" ht="15" customHeigh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</row>
    <row r="1384" spans="1:12" ht="15" customHeigh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</row>
    <row r="1385" spans="1:12" ht="15" customHeigh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</row>
    <row r="1386" spans="1:12" ht="15" customHeigh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</row>
    <row r="1387" spans="1:12" ht="15" customHeigh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</row>
    <row r="1388" spans="1:12" ht="15" customHeigh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</row>
    <row r="1389" spans="1:12" ht="15" customHeigh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</row>
    <row r="1390" spans="1:12" ht="15" customHeigh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</row>
    <row r="1391" spans="1:12" ht="15" customHeigh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</row>
    <row r="1392" spans="1:12" ht="15" customHeigh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</row>
    <row r="1393" spans="1:12" ht="15" customHeigh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</row>
    <row r="1394" spans="1:12" ht="15" customHeigh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</row>
    <row r="1395" spans="1:12" ht="15" customHeigh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</row>
    <row r="1396" spans="1:12" ht="15" customHeigh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</row>
    <row r="1397" spans="1:12" ht="15" customHeigh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</row>
    <row r="1398" spans="1:12" ht="15" customHeigh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</row>
    <row r="1399" spans="1:12" ht="15" customHeigh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</row>
    <row r="1400" spans="1:12" ht="15" customHeigh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</row>
    <row r="1401" spans="1:12" ht="15" customHeigh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</row>
    <row r="1402" spans="1:12" ht="15" customHeigh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</row>
    <row r="1403" spans="1:12" ht="15" customHeigh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</row>
    <row r="1404" spans="1:12" ht="15" customHeigh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</row>
    <row r="1405" spans="1:12" ht="15" customHeigh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</row>
    <row r="1406" spans="1:12" ht="15" customHeigh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</row>
    <row r="1407" spans="1:12" ht="15" customHeigh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</row>
    <row r="1408" spans="1:12" ht="15" customHeigh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</row>
    <row r="1409" spans="1:12" ht="15" customHeigh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</row>
    <row r="1410" spans="1:12" ht="15" customHeigh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</row>
    <row r="1411" spans="1:12" ht="15" customHeigh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</row>
    <row r="1412" spans="1:12" ht="15" customHeigh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</row>
    <row r="1413" spans="1:12" ht="15" customHeigh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</row>
    <row r="1414" spans="1:12" ht="15" customHeigh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</row>
    <row r="1415" spans="1:12" ht="15" customHeigh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</row>
    <row r="1416" spans="1:12" ht="15" customHeigh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</row>
    <row r="1417" spans="1:12" ht="15" customHeigh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</row>
    <row r="1418" spans="1:12" ht="15" customHeigh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</row>
    <row r="1419" spans="1:12" ht="15" customHeigh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</row>
    <row r="1420" spans="1:12" ht="15" customHeigh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</row>
    <row r="1421" spans="1:12" ht="15" customHeigh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</row>
    <row r="1422" spans="1:12" ht="15" customHeigh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</row>
    <row r="1423" spans="1:12" ht="15" customHeigh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</row>
    <row r="1424" spans="1:12" ht="15" customHeigh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</row>
    <row r="1425" spans="1:12" ht="15" customHeigh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</row>
    <row r="1426" spans="1:12" ht="15" customHeigh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</row>
    <row r="1427" spans="1:12" ht="15" customHeigh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</row>
    <row r="1428" spans="1:12" ht="15" customHeigh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</row>
    <row r="1429" spans="1:12" ht="15" customHeigh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</row>
    <row r="1430" spans="1:12" ht="15" customHeigh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</row>
    <row r="1431" spans="1:12" ht="15" customHeigh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</row>
    <row r="1432" spans="1:12" ht="15" customHeigh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</row>
    <row r="1433" spans="1:12" ht="15" customHeigh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</row>
    <row r="1434" spans="1:12" ht="15" customHeigh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</row>
    <row r="1435" spans="1:12" ht="15" customHeigh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</row>
    <row r="1436" spans="1:12" ht="15" customHeigh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</row>
    <row r="1437" spans="1:12" ht="15" customHeigh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</row>
    <row r="1438" spans="1:12" ht="15" customHeigh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</row>
    <row r="1439" spans="1:12" ht="15" customHeigh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</row>
    <row r="1440" spans="1:12" ht="15" customHeigh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</row>
    <row r="1441" spans="1:12" ht="15" customHeigh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</row>
    <row r="1442" spans="1:12" ht="15" customHeigh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</row>
    <row r="1443" spans="1:12" ht="15" customHeigh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</row>
    <row r="1444" spans="1:12" ht="15" customHeigh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</row>
    <row r="1445" spans="1:12" ht="15" customHeigh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</row>
    <row r="1446" spans="1:12" ht="15" customHeigh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</row>
    <row r="1447" spans="1:12" ht="15" customHeigh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</row>
    <row r="1448" spans="1:12" ht="15" customHeigh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</row>
    <row r="1449" spans="1:12" ht="15" customHeigh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</row>
    <row r="1450" spans="1:12" ht="15" customHeigh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</row>
    <row r="1451" spans="1:12" ht="15" customHeigh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</row>
    <row r="1452" spans="1:12" ht="15" customHeigh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</row>
    <row r="1453" spans="1:12" ht="15" customHeigh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</row>
    <row r="1454" spans="1:12" ht="15" customHeigh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</row>
    <row r="1455" spans="1:12" ht="15" customHeigh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</row>
    <row r="1456" spans="1:12" ht="15" customHeigh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</row>
    <row r="1457" spans="1:12" ht="15" customHeigh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</row>
    <row r="1458" spans="1:12" ht="15" customHeigh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</row>
    <row r="1459" spans="1:12" ht="15" customHeigh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</row>
    <row r="1460" spans="1:12" ht="15" customHeigh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</row>
    <row r="1461" spans="1:12" ht="15" customHeigh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</row>
    <row r="1462" spans="1:12" ht="15" customHeigh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</row>
    <row r="1463" spans="1:12" ht="15" customHeigh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</row>
    <row r="1464" spans="1:12" ht="15" customHeigh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</row>
    <row r="1465" spans="1:12" ht="15" customHeigh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</row>
    <row r="1466" spans="1:12" ht="15" customHeigh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</row>
    <row r="1467" spans="1:12" ht="15" customHeigh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</row>
    <row r="1468" spans="1:12" ht="15" customHeigh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</row>
    <row r="1469" spans="1:12" ht="15" customHeigh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</row>
    <row r="1470" spans="1:12" ht="15" customHeigh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</row>
    <row r="1471" spans="1:12" ht="15" customHeigh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</row>
    <row r="1472" spans="1:12" ht="15" customHeigh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</row>
    <row r="1473" spans="1:12" ht="15" customHeigh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</row>
    <row r="1474" spans="1:12" ht="15" customHeigh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</row>
    <row r="1475" spans="1:12" ht="15" customHeigh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</row>
    <row r="1476" spans="1:12" ht="15" customHeigh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</row>
    <row r="1477" spans="1:12" ht="15" customHeigh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</row>
    <row r="1478" spans="1:12" ht="15" customHeigh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</row>
    <row r="1479" spans="1:12" ht="15" customHeigh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</row>
    <row r="1480" spans="1:12" ht="15" customHeigh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</row>
    <row r="1481" spans="1:12" ht="15" customHeigh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</row>
    <row r="1482" spans="1:12" ht="15" customHeigh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</row>
    <row r="1483" spans="1:12" ht="15" customHeigh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</row>
    <row r="1484" spans="1:12" ht="15" customHeigh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</row>
    <row r="1485" spans="1:12" ht="15" customHeigh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</row>
    <row r="1486" spans="1:12" ht="15" customHeigh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</row>
    <row r="1487" spans="1:12" ht="15" customHeigh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</row>
    <row r="1488" spans="1:12" ht="15" customHeigh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</row>
    <row r="1489" spans="1:12" ht="15" customHeigh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</row>
    <row r="1490" spans="1:12" ht="15" customHeigh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</row>
    <row r="1491" spans="1:12" ht="15" customHeigh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</row>
    <row r="1492" spans="1:12" ht="15" customHeigh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</row>
    <row r="1493" spans="1:12" ht="15" customHeigh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</row>
    <row r="1494" spans="1:12" ht="15" customHeigh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</row>
    <row r="1495" spans="1:12" ht="15" customHeigh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</row>
    <row r="1496" spans="1:12" ht="15" customHeigh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</row>
    <row r="1497" spans="1:12" ht="15" customHeigh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</row>
    <row r="1498" spans="1:12" ht="15" customHeigh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</row>
    <row r="1499" spans="1:12" ht="15" customHeigh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</row>
    <row r="1500" spans="1:12" ht="15" customHeigh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</row>
    <row r="1501" spans="1:12" ht="15" customHeigh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</row>
    <row r="1502" spans="1:12" ht="15" customHeigh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</row>
    <row r="1503" spans="1:12" ht="15" customHeigh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</row>
    <row r="1504" spans="1:12" ht="15" customHeigh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</row>
    <row r="1505" spans="1:12" ht="15" customHeigh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</row>
    <row r="1506" spans="1:12" ht="15" customHeigh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</row>
    <row r="1507" spans="1:12" ht="15" customHeigh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</row>
    <row r="1508" spans="1:12" ht="15" customHeigh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</row>
    <row r="1509" spans="1:12" ht="15" customHeigh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</row>
    <row r="1510" spans="1:12" ht="15" customHeigh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</row>
    <row r="1511" spans="1:12" ht="15" customHeigh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</row>
    <row r="1512" spans="1:12" ht="15" customHeigh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</row>
    <row r="1513" spans="1:12" ht="15" customHeigh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</row>
    <row r="1514" spans="1:12" ht="15" customHeigh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</row>
    <row r="1515" spans="1:12" ht="15" customHeigh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</row>
    <row r="1516" spans="1:12" ht="15" customHeigh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</row>
    <row r="1517" spans="1:12" ht="15" customHeigh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</row>
    <row r="1518" spans="1:12" ht="15" customHeigh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</row>
    <row r="1519" spans="1:12" ht="15" customHeigh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</row>
    <row r="1520" spans="1:12" ht="15" customHeigh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</row>
    <row r="1521" spans="1:12" ht="15" customHeigh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</row>
    <row r="1522" spans="1:12" ht="15" customHeigh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</row>
    <row r="1523" spans="1:12" ht="15" customHeigh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</row>
    <row r="1524" spans="1:12" ht="15" customHeigh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</row>
    <row r="1525" spans="1:12" ht="15" customHeigh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</row>
    <row r="1526" spans="1:12" ht="15" customHeigh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</row>
    <row r="1527" spans="1:12" ht="15" customHeigh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</row>
    <row r="1528" spans="1:12" ht="15" customHeigh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</row>
    <row r="1529" spans="1:12" ht="15" customHeigh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</row>
    <row r="1530" spans="1:12" ht="15" customHeigh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</row>
    <row r="1531" spans="1:12" ht="15" customHeigh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</row>
    <row r="1532" spans="1:12" ht="15" customHeigh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</row>
    <row r="1533" spans="1:12" ht="15" customHeigh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</row>
    <row r="1534" spans="1:12" ht="15" customHeigh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</row>
    <row r="1535" spans="1:12" ht="15" customHeigh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</row>
    <row r="1536" spans="1:12" ht="15" customHeigh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</row>
    <row r="1537" spans="1:12" ht="15" customHeigh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</row>
    <row r="1538" spans="1:12" ht="15" customHeigh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</row>
    <row r="1539" spans="1:12" ht="15" customHeigh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</row>
    <row r="1540" spans="1:12" ht="15" customHeigh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</row>
    <row r="1541" spans="1:12" ht="15" customHeigh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</row>
    <row r="1542" spans="1:12" ht="15" customHeigh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</row>
    <row r="1543" spans="1:12" ht="15" customHeigh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</row>
    <row r="1544" spans="1:12" ht="15" customHeigh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</row>
    <row r="1545" spans="1:12" ht="15" customHeigh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</row>
    <row r="1546" spans="1:12" ht="15" customHeigh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</row>
    <row r="1547" spans="1:12" ht="15" customHeigh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</row>
    <row r="1548" spans="1:12" ht="15" customHeigh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</row>
    <row r="1549" spans="1:12" ht="15" customHeigh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</row>
    <row r="1550" spans="1:12" ht="15" customHeigh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</row>
    <row r="1551" spans="1:12" ht="15" customHeigh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</row>
    <row r="1552" spans="1:12" ht="15" customHeigh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</row>
    <row r="1553" spans="1:12" ht="15" customHeigh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</row>
    <row r="1554" spans="1:12" ht="15" customHeigh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</row>
    <row r="1555" spans="1:12" ht="15" customHeigh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</row>
    <row r="1556" spans="1:12" ht="15" customHeigh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</row>
    <row r="1557" spans="1:12" ht="15" customHeigh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</row>
    <row r="1558" spans="1:12" ht="15" customHeigh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</row>
    <row r="1559" spans="1:12" ht="15" customHeigh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</row>
    <row r="1560" spans="1:12" ht="15" customHeigh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</row>
    <row r="1561" spans="1:12" ht="15" customHeigh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</row>
    <row r="1562" spans="1:12" ht="15" customHeigh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</row>
    <row r="1563" spans="1:12" ht="15" customHeigh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</row>
    <row r="1564" spans="1:12" ht="15" customHeigh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</row>
    <row r="1565" spans="1:12" ht="15" customHeigh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</row>
    <row r="1566" spans="1:12" ht="15" customHeigh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</row>
    <row r="1567" spans="1:12" ht="15" customHeigh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</row>
    <row r="1568" spans="1:12" ht="15" customHeigh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</row>
    <row r="1569" spans="1:12" ht="15" customHeigh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</row>
    <row r="1570" spans="1:12" ht="15" customHeigh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</row>
    <row r="1571" spans="1:12" ht="15" customHeigh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</row>
    <row r="1572" spans="1:12" ht="15" customHeigh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</row>
    <row r="1573" spans="1:12" ht="15" customHeigh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</row>
    <row r="1574" spans="1:12" ht="15" customHeigh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</row>
    <row r="1575" spans="1:12" ht="15" customHeigh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</row>
    <row r="1576" spans="1:12" ht="15" customHeigh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</row>
    <row r="1577" spans="1:12" ht="15" customHeigh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</row>
    <row r="1578" spans="1:12" ht="15" customHeigh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</row>
    <row r="1579" spans="1:12" ht="15" customHeigh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</row>
    <row r="1580" spans="1:12" ht="15" customHeigh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</row>
    <row r="1581" spans="1:12" ht="15" customHeigh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</row>
    <row r="1582" spans="1:12" ht="15" customHeigh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</row>
    <row r="1583" spans="1:12" ht="15" customHeigh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</row>
    <row r="1584" spans="1:12" ht="15" customHeigh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</row>
    <row r="1585" spans="1:12" ht="15" customHeigh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</row>
    <row r="1586" spans="1:12" ht="15" customHeigh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</row>
    <row r="1587" spans="1:12" ht="15" customHeigh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</row>
    <row r="1588" spans="1:12" ht="15" customHeigh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</row>
    <row r="1589" spans="1:12" ht="15" customHeigh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</row>
    <row r="1590" spans="1:12" ht="15" customHeigh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</row>
    <row r="1591" spans="1:12" ht="15" customHeigh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</row>
    <row r="1592" spans="1:12" ht="15" customHeigh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</row>
    <row r="1593" spans="1:12" ht="15" customHeigh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</row>
    <row r="1594" spans="1:12" ht="15" customHeigh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</row>
    <row r="1595" spans="1:12" ht="15" customHeigh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</row>
    <row r="1596" spans="1:12" ht="15" customHeigh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</row>
    <row r="1597" spans="1:12" ht="15" customHeigh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</row>
    <row r="1598" spans="1:12" ht="15" customHeigh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</row>
    <row r="1599" spans="1:12" ht="15" customHeigh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</row>
    <row r="1600" spans="1:12" ht="15" customHeigh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</row>
    <row r="1601" spans="1:12" ht="15" customHeigh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</row>
    <row r="1602" spans="1:12" ht="15" customHeigh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</row>
    <row r="1603" spans="1:12" ht="15" customHeigh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</row>
    <row r="1604" spans="1:12" ht="15" customHeigh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</row>
    <row r="1605" spans="1:12" ht="15" customHeigh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</row>
    <row r="1606" spans="1:12" ht="15" customHeigh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</row>
    <row r="1607" spans="1:12" ht="15" customHeigh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</row>
    <row r="1608" spans="1:12" ht="15" customHeigh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</row>
    <row r="1609" spans="1:12" ht="15" customHeigh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</row>
    <row r="1610" spans="1:12" ht="15" customHeigh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</row>
    <row r="1611" spans="1:12" ht="15" customHeigh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</row>
    <row r="1612" spans="1:12" ht="15" customHeigh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</row>
    <row r="1613" spans="1:12" ht="15" customHeigh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</row>
    <row r="1614" spans="1:12" ht="15" customHeigh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</row>
    <row r="1615" spans="1:12" ht="15" customHeigh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</row>
    <row r="1616" spans="1:12" ht="15" customHeigh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</row>
    <row r="1617" spans="1:12" ht="15" customHeigh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</row>
    <row r="1618" spans="1:12" ht="15" customHeigh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</row>
    <row r="1619" spans="1:12" ht="15" customHeigh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</row>
    <row r="1620" spans="1:12" ht="15" customHeigh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</row>
    <row r="1621" spans="1:12" ht="15" customHeigh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</row>
    <row r="1622" spans="1:12" ht="15" customHeigh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</row>
    <row r="1623" spans="1:12" ht="15" customHeigh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</row>
    <row r="1624" spans="1:12" ht="15" customHeigh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</row>
    <row r="1625" spans="1:12" ht="15" customHeigh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</row>
    <row r="1626" spans="1:12" ht="15" customHeigh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</row>
    <row r="1627" spans="1:12" ht="15" customHeigh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</row>
    <row r="1628" spans="1:12" ht="15" customHeigh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</row>
    <row r="1629" spans="1:12" ht="15" customHeigh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</row>
    <row r="1630" spans="1:12" ht="15" customHeigh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</row>
    <row r="1631" spans="1:12" ht="15" customHeigh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</row>
    <row r="1632" spans="1:12" ht="15" customHeigh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</row>
    <row r="1633" spans="1:12" ht="15" customHeigh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</row>
    <row r="1634" spans="1:12" ht="15" customHeigh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</row>
    <row r="1635" spans="1:12" ht="15" customHeigh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</row>
    <row r="1636" spans="1:12" ht="15" customHeigh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</row>
    <row r="1637" spans="1:12" ht="15" customHeigh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</row>
    <row r="1638" spans="1:12" ht="15" customHeigh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</row>
    <row r="1639" spans="1:12" ht="15" customHeigh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</row>
    <row r="1640" spans="1:12" ht="15" customHeigh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</row>
    <row r="1641" spans="1:12" ht="15" customHeigh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</row>
    <row r="1642" spans="1:12" ht="15" customHeigh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</row>
    <row r="1643" spans="1:12" ht="15" customHeigh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</row>
    <row r="1644" spans="1:12" ht="15" customHeigh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</row>
    <row r="1645" spans="1:12" ht="15" customHeigh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</row>
    <row r="1646" spans="1:12" ht="15" customHeigh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</row>
    <row r="1647" spans="1:12" ht="15" customHeigh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</row>
    <row r="1648" spans="1:12" ht="15" customHeigh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</row>
    <row r="1649" spans="1:12" ht="15" customHeigh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</row>
    <row r="1650" spans="1:12" ht="15" customHeigh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</row>
    <row r="1651" spans="1:12" ht="15" customHeigh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</row>
    <row r="1652" spans="1:12" ht="15" customHeigh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</row>
    <row r="1653" spans="1:12" ht="15" customHeigh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</row>
    <row r="1654" spans="1:12" ht="15" customHeigh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</row>
    <row r="1655" spans="1:12" ht="15" customHeigh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</row>
    <row r="1656" spans="1:12" ht="15" customHeigh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</row>
    <row r="1657" spans="1:12" ht="15" customHeigh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</row>
    <row r="1658" spans="1:12" ht="15" customHeigh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</row>
    <row r="1659" spans="1:12" ht="15" customHeigh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</row>
    <row r="1660" spans="1:12" ht="15" customHeigh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</row>
    <row r="1661" spans="1:12" ht="15" customHeigh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</row>
    <row r="1662" spans="1:12" ht="15" customHeigh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</row>
    <row r="1663" spans="1:12" ht="15" customHeigh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</row>
    <row r="1664" spans="1:12" ht="15" customHeigh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</row>
    <row r="1665" spans="1:12" ht="15" customHeigh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</row>
    <row r="1666" spans="1:12" ht="15" customHeigh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</row>
    <row r="1667" spans="1:12" ht="15" customHeigh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</row>
    <row r="1668" spans="1:12" ht="15" customHeigh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</row>
    <row r="1669" spans="1:12" ht="15" customHeigh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</row>
    <row r="1670" spans="1:12" ht="15" customHeigh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</row>
    <row r="1671" spans="1:12" ht="15" customHeigh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</row>
    <row r="1672" spans="1:12" ht="15" customHeigh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</row>
    <row r="1673" spans="1:12" ht="15" customHeigh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</row>
    <row r="1674" spans="1:12" ht="15" customHeigh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</row>
    <row r="1675" spans="1:12" ht="15" customHeigh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</row>
    <row r="1676" spans="1:12" ht="15" customHeigh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</row>
    <row r="1677" spans="1:12" ht="15" customHeigh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</row>
    <row r="1678" spans="1:12" ht="15" customHeigh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</row>
    <row r="1679" spans="1:12" ht="15" customHeigh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</row>
    <row r="1680" spans="1:12" ht="15" customHeigh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</row>
    <row r="1681" spans="1:12" ht="15" customHeigh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</row>
    <row r="1682" spans="1:12" ht="15" customHeigh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</row>
    <row r="1683" spans="1:12" ht="15" customHeigh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</row>
    <row r="1684" spans="1:12" ht="15" customHeigh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</row>
    <row r="1685" spans="1:12" ht="15" customHeigh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</row>
    <row r="1686" spans="1:12" ht="15" customHeigh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</row>
    <row r="1687" spans="1:12" ht="15" customHeigh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</row>
    <row r="1688" spans="1:12" ht="15" customHeigh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</row>
    <row r="1689" spans="1:12" ht="15" customHeigh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</row>
    <row r="1690" spans="1:12" ht="15" customHeigh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</row>
    <row r="1691" spans="1:12" ht="15" customHeigh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</row>
    <row r="1692" spans="1:12" ht="15" customHeigh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</row>
    <row r="1693" spans="1:12" ht="15" customHeigh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</row>
    <row r="1694" spans="1:12" ht="15" customHeigh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</row>
    <row r="1695" spans="1:12" ht="15" customHeigh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</row>
    <row r="1696" spans="1:12" ht="15" customHeigh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</row>
    <row r="1697" spans="1:12" ht="15" customHeigh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</row>
    <row r="1698" spans="1:12" ht="15" customHeigh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</row>
    <row r="1699" spans="1:12" ht="15" customHeigh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</row>
    <row r="1700" spans="1:12" ht="15" customHeigh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</row>
    <row r="1701" spans="1:12" ht="15" customHeigh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</row>
    <row r="1702" spans="1:12" ht="15" customHeigh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</row>
    <row r="1703" spans="1:12" ht="15" customHeigh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</row>
    <row r="1704" spans="1:12" ht="15" customHeigh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</row>
    <row r="1705" spans="1:12" ht="15" customHeigh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</row>
    <row r="1706" spans="1:12" ht="15" customHeigh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</row>
    <row r="1707" spans="1:12" ht="15" customHeigh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</row>
    <row r="1708" spans="1:12" ht="15" customHeigh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</row>
    <row r="1709" spans="1:12" ht="15" customHeigh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</row>
    <row r="1710" spans="1:12" ht="15" customHeigh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</row>
    <row r="1711" spans="1:12" ht="15" customHeigh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</row>
    <row r="1712" spans="1:12" ht="15" customHeigh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</row>
    <row r="1713" spans="1:12" ht="15" customHeigh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</row>
    <row r="1714" spans="1:12" ht="15" customHeigh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</row>
    <row r="1715" spans="1:12" ht="15" customHeigh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</row>
    <row r="1716" spans="1:12" ht="15" customHeigh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</row>
    <row r="1717" spans="1:12" ht="15" customHeigh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</row>
    <row r="1718" spans="1:12" ht="15" customHeigh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</row>
    <row r="1719" spans="1:12" ht="15" customHeigh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</row>
    <row r="1720" spans="1:12" ht="15" customHeigh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</row>
    <row r="1721" spans="1:12" ht="15" customHeigh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</row>
    <row r="1722" spans="1:12" ht="15" customHeigh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</row>
    <row r="1723" spans="1:12" ht="15" customHeigh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</row>
    <row r="1724" spans="1:12" ht="15" customHeigh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</row>
    <row r="1725" spans="1:12" ht="15" customHeigh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</row>
    <row r="1726" spans="1:12" ht="15" customHeigh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</row>
    <row r="1727" spans="1:12" ht="15" customHeigh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</row>
    <row r="1728" spans="1:12" ht="15" customHeigh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</row>
    <row r="1729" spans="1:12" ht="15" customHeigh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</row>
    <row r="1730" spans="1:12" ht="15" customHeigh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</row>
    <row r="1731" spans="1:12" ht="15" customHeigh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</row>
    <row r="1732" spans="1:12" ht="15" customHeigh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</row>
    <row r="1733" spans="1:12" ht="15" customHeigh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</row>
    <row r="1734" spans="1:12" ht="15" customHeigh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</row>
    <row r="1735" spans="1:12" ht="15" customHeigh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</row>
    <row r="1736" spans="1:12" ht="15" customHeigh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</row>
    <row r="1737" spans="1:12" ht="15" customHeigh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</row>
    <row r="1738" spans="1:12" ht="15" customHeigh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</row>
    <row r="1739" spans="1:12" ht="15" customHeigh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</row>
    <row r="1740" spans="1:12" ht="15" customHeigh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</row>
    <row r="1741" spans="1:12" ht="15" customHeigh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</row>
    <row r="1742" spans="1:12" ht="15" customHeigh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</row>
    <row r="1743" spans="1:12" ht="15" customHeigh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</row>
    <row r="1744" spans="1:12" ht="15" customHeigh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</row>
    <row r="1745" spans="1:12" ht="15" customHeigh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</row>
    <row r="1746" spans="1:12" ht="15" customHeigh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</row>
    <row r="1747" spans="1:12" ht="15" customHeigh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</row>
    <row r="1748" spans="1:12" ht="15" customHeigh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</row>
    <row r="1749" spans="1:12" ht="15" customHeigh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</row>
    <row r="1750" spans="1:12" ht="15" customHeigh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</row>
    <row r="1751" spans="1:12" ht="15" customHeigh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</row>
    <row r="1752" spans="1:12" ht="15" customHeigh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</row>
    <row r="1753" spans="1:12" ht="15" customHeigh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</row>
    <row r="1754" spans="1:12" ht="15" customHeigh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</row>
    <row r="1755" spans="1:12" ht="15" customHeigh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</row>
    <row r="1756" spans="1:12" ht="15" customHeigh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</row>
    <row r="1757" spans="1:12" ht="15" customHeigh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</row>
    <row r="1758" spans="1:12" ht="15" customHeigh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</row>
    <row r="1759" spans="1:12" ht="15" customHeigh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</row>
    <row r="1760" spans="1:12" ht="15" customHeigh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</row>
    <row r="1761" spans="1:12" ht="15" customHeigh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</row>
    <row r="1762" spans="1:12" ht="15" customHeigh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</row>
    <row r="1763" spans="1:12" ht="15" customHeigh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</row>
    <row r="1764" spans="1:12" ht="15" customHeigh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</row>
    <row r="1765" spans="1:12" ht="15" customHeigh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</row>
    <row r="1766" spans="1:12" ht="15" customHeigh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</row>
    <row r="1767" spans="1:12" ht="15" customHeigh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</row>
    <row r="1768" spans="1:12" ht="15" customHeigh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</row>
    <row r="1769" spans="1:12" ht="15" customHeigh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</row>
    <row r="1770" spans="1:12" ht="15" customHeigh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</row>
    <row r="1771" spans="1:12" ht="15" customHeigh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</row>
    <row r="1772" spans="1:12" ht="15" customHeigh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</row>
    <row r="1773" spans="1:12" ht="15" customHeigh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</row>
    <row r="1774" spans="1:12" ht="15" customHeigh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</row>
    <row r="1775" spans="1:12" ht="15" customHeigh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</row>
    <row r="1776" spans="1:12" ht="15" customHeigh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</row>
    <row r="1777" spans="1:12" ht="15" customHeigh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</row>
    <row r="1778" spans="1:12" ht="15" customHeigh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</row>
    <row r="1779" spans="1:12" ht="15" customHeigh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</row>
    <row r="1780" spans="1:12" ht="15" customHeigh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</row>
    <row r="1781" spans="1:12" ht="15" customHeigh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</row>
    <row r="1782" spans="1:12" ht="15" customHeigh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</row>
    <row r="1783" spans="1:12" ht="15" customHeight="1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</row>
    <row r="1784" spans="1:12" ht="15" customHeight="1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</row>
    <row r="1785" spans="1:12" ht="15" customHeight="1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</row>
    <row r="1786" spans="1:12" ht="15" customHeight="1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</row>
    <row r="1787" spans="1:12" ht="15" customHeight="1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</row>
    <row r="1788" spans="1:12" ht="15" customHeight="1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</row>
    <row r="1789" spans="1:12" ht="15" customHeight="1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</row>
    <row r="1790" spans="1:12" ht="15" customHeight="1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</row>
    <row r="1791" spans="1:12" ht="15" customHeight="1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</row>
    <row r="1792" spans="1:12" ht="15" customHeight="1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</row>
    <row r="1793" spans="1:12" ht="15" customHeight="1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</row>
    <row r="1794" spans="1:12" ht="15" customHeight="1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</row>
    <row r="1795" spans="1:12" ht="15" customHeight="1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</row>
    <row r="1796" spans="1:12" ht="15" customHeight="1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</row>
    <row r="1797" spans="1:12" ht="15" customHeight="1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</row>
    <row r="1798" spans="1:12" ht="15" customHeight="1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</row>
    <row r="1799" spans="1:12" ht="15" customHeight="1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</row>
    <row r="1800" spans="1:12" ht="15" customHeight="1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</row>
    <row r="1801" spans="1:12" ht="15" customHeight="1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</row>
    <row r="1802" spans="1:12" ht="15" customHeight="1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</row>
    <row r="1803" spans="1:12" ht="15" customHeight="1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</row>
    <row r="1804" spans="1:12" ht="15" customHeight="1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</row>
    <row r="1805" spans="1:12" ht="15" customHeight="1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</row>
    <row r="1806" spans="1:12" ht="15" customHeight="1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</row>
    <row r="1807" spans="1:12" ht="15" customHeight="1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</row>
    <row r="1808" spans="1:12" ht="15" customHeight="1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</row>
    <row r="1809" spans="1:12" ht="15" customHeight="1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</row>
    <row r="1810" spans="1:12" ht="15" customHeight="1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</row>
    <row r="1811" spans="1:12" ht="15" customHeight="1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</row>
    <row r="1812" spans="1:12" ht="15" customHeight="1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</row>
    <row r="1813" spans="1:12" ht="15" customHeight="1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</row>
    <row r="1814" spans="1:12" ht="15" customHeight="1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</row>
    <row r="1815" spans="1:12" ht="15" customHeight="1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</row>
    <row r="1816" spans="1:12" ht="15" customHeight="1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</row>
    <row r="1817" spans="1:12" ht="15" customHeight="1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</row>
    <row r="1818" spans="1:12" ht="15" customHeight="1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</row>
    <row r="1819" spans="1:12" ht="15" customHeight="1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</row>
    <row r="1820" spans="1:12" ht="15" customHeight="1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</row>
    <row r="1821" spans="1:12" ht="15" customHeight="1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</row>
    <row r="1822" spans="1:12" ht="15" customHeight="1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</row>
    <row r="1823" spans="1:12" ht="15" customHeight="1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</row>
    <row r="1824" spans="1:12" ht="15" customHeight="1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</row>
    <row r="1825" spans="1:12" ht="15" customHeight="1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</row>
    <row r="1826" spans="1:12" ht="15" customHeight="1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</row>
    <row r="1827" spans="1:12" ht="15" customHeight="1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</row>
    <row r="1828" spans="1:12" ht="15" customHeight="1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</row>
    <row r="1829" spans="1:12" ht="15" customHeight="1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</row>
    <row r="1830" spans="1:12" ht="15" customHeight="1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</row>
    <row r="1831" spans="1:12" ht="15" customHeight="1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</row>
    <row r="1832" spans="1:12" ht="15" customHeight="1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</row>
    <row r="1833" spans="1:12" ht="15" customHeight="1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</row>
    <row r="1834" spans="1:12" ht="15" customHeight="1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</row>
    <row r="1835" spans="1:12" ht="15" customHeight="1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</row>
    <row r="1836" spans="1:12" ht="15" customHeight="1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</row>
    <row r="1837" spans="1:12" ht="15" customHeight="1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</row>
    <row r="1838" spans="1:12" ht="15" customHeight="1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</row>
    <row r="1839" spans="1:12" ht="15" customHeight="1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</row>
    <row r="1840" spans="1:12" ht="15" customHeight="1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</row>
    <row r="1841" spans="1:12" ht="15" customHeight="1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</row>
    <row r="1842" spans="1:12" ht="15" customHeight="1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</row>
    <row r="1843" spans="1:12" ht="15" customHeight="1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</row>
    <row r="1844" spans="1:12" ht="15" customHeight="1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</row>
    <row r="1845" spans="1:12" ht="15" customHeight="1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</row>
    <row r="1846" spans="1:12" ht="15" customHeight="1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</row>
    <row r="1847" spans="1:12" ht="15" customHeight="1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</row>
    <row r="1848" spans="1:12" ht="15" customHeight="1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</row>
    <row r="1849" spans="1:12" ht="15" customHeight="1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</row>
    <row r="1850" spans="1:12" ht="15" customHeight="1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</row>
    <row r="1851" spans="1:12" ht="15" customHeight="1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</row>
    <row r="1852" spans="1:12" ht="15" customHeight="1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</row>
    <row r="1853" spans="1:12" ht="15" customHeight="1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</row>
    <row r="1854" spans="1:12" ht="15" customHeight="1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</row>
    <row r="1855" spans="1:12" ht="15" customHeight="1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</row>
    <row r="1856" spans="1:12" ht="15" customHeight="1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</row>
    <row r="1857" spans="1:12" ht="15" customHeight="1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</row>
    <row r="1858" spans="1:12" ht="15" customHeight="1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</row>
    <row r="1859" spans="1:12" ht="15" customHeight="1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</row>
    <row r="1860" spans="1:12" ht="15" customHeight="1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</row>
    <row r="1861" spans="1:12" ht="15" customHeight="1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</row>
    <row r="1862" spans="1:12" ht="15" customHeight="1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</row>
    <row r="1863" spans="1:12" ht="15" customHeight="1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</row>
    <row r="1864" spans="1:12" ht="15" customHeight="1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</row>
    <row r="1865" spans="1:12" ht="15" customHeight="1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</row>
    <row r="1866" spans="1:12" ht="15" customHeight="1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</row>
    <row r="1867" spans="1:12" ht="15" customHeight="1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</row>
    <row r="1868" spans="1:12" ht="15" customHeight="1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</row>
    <row r="1869" spans="1:12" ht="15" customHeight="1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</row>
    <row r="1870" spans="1:12" ht="15" customHeight="1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</row>
    <row r="1871" spans="1:12" ht="15" customHeight="1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</row>
    <row r="1872" spans="1:12" ht="15" customHeight="1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</row>
    <row r="1873" spans="1:12" ht="15" customHeight="1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</row>
    <row r="1874" spans="1:12" ht="15" customHeight="1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</row>
    <row r="1875" spans="1:12" ht="15" customHeight="1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</row>
    <row r="1876" spans="1:12" ht="15" customHeight="1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</row>
    <row r="1877" spans="1:12" ht="15" customHeight="1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</row>
    <row r="1878" spans="1:12" ht="15" customHeight="1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</row>
    <row r="1879" spans="1:12" ht="15" customHeight="1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</row>
    <row r="1880" spans="1:12" ht="15" customHeight="1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</row>
    <row r="1881" spans="1:12" ht="15" customHeight="1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</row>
    <row r="1882" spans="1:12" ht="15" customHeight="1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</row>
    <row r="1883" spans="1:12" ht="15" customHeight="1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</row>
    <row r="1884" spans="1:12" ht="15" customHeight="1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</row>
    <row r="1885" spans="1:12" ht="15" customHeight="1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</row>
    <row r="1886" spans="1:12" ht="15" customHeight="1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</row>
    <row r="1887" spans="1:12" ht="15" customHeight="1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</row>
    <row r="1888" spans="1:12" ht="15" customHeight="1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</row>
    <row r="1889" spans="1:12" ht="15" customHeight="1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</row>
    <row r="1890" spans="1:12" ht="15" customHeight="1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</row>
    <row r="1891" spans="1:12" ht="15" customHeight="1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</row>
    <row r="1892" spans="1:12" ht="15" customHeight="1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</row>
    <row r="1893" spans="1:12" ht="15" customHeight="1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</row>
    <row r="1894" spans="1:12" ht="15" customHeight="1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</row>
    <row r="1895" spans="1:12" ht="15" customHeight="1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</row>
    <row r="1896" spans="1:12" ht="15" customHeight="1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</row>
    <row r="1897" spans="1:12" ht="15" customHeight="1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</row>
    <row r="1898" spans="1:12" ht="15" customHeight="1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</row>
    <row r="1899" spans="1:12" ht="15" customHeight="1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</row>
    <row r="1900" spans="1:12" ht="15" customHeight="1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</row>
    <row r="1901" spans="1:12" ht="15" customHeight="1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</row>
    <row r="1902" spans="1:12" ht="15" customHeight="1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</row>
    <row r="1903" spans="1:12" ht="15" customHeight="1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</row>
    <row r="1904" spans="1:12" ht="15" customHeight="1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</row>
    <row r="1905" spans="1:12" ht="15" customHeight="1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</row>
    <row r="1906" spans="1:12" ht="15" customHeight="1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</row>
    <row r="1907" spans="1:12" ht="15" customHeight="1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</row>
    <row r="1908" spans="1:12" ht="15" customHeight="1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</row>
    <row r="1909" spans="1:12" ht="15" customHeight="1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</row>
    <row r="1910" spans="1:12" ht="15" customHeight="1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</row>
    <row r="1911" spans="1:12" ht="15" customHeight="1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</row>
    <row r="1912" spans="1:12" ht="15" customHeight="1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</row>
    <row r="1913" spans="1:12" ht="15" customHeight="1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</row>
    <row r="1914" spans="1:12" ht="15" customHeight="1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</row>
    <row r="1915" spans="1:12" ht="15" customHeight="1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</row>
    <row r="1916" spans="1:12" ht="15" customHeight="1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</row>
    <row r="1917" spans="1:12" ht="15" customHeight="1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</row>
    <row r="1918" spans="1:12" ht="15" customHeight="1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</row>
    <row r="1919" spans="1:12" ht="15" customHeight="1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</row>
    <row r="1920" spans="1:12" ht="15" customHeight="1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</row>
    <row r="1921" spans="1:12" ht="15" customHeight="1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</row>
    <row r="1922" spans="1:12" ht="15" customHeight="1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</row>
    <row r="1923" spans="1:12" ht="15" customHeight="1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</row>
    <row r="1924" spans="1:12" ht="15" customHeight="1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</row>
    <row r="1925" spans="1:12" ht="15" customHeight="1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</row>
    <row r="1926" spans="1:12" ht="15" customHeight="1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</row>
    <row r="1927" spans="1:12" ht="15" customHeight="1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</row>
    <row r="1928" spans="1:12" ht="15" customHeight="1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</row>
    <row r="1929" spans="1:12" ht="15" customHeight="1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</row>
    <row r="1930" spans="1:12" ht="15" customHeight="1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</row>
    <row r="1931" spans="1:12" ht="15" customHeight="1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</row>
    <row r="1932" spans="1:12" ht="15" customHeight="1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</row>
    <row r="1933" spans="1:12" ht="15" customHeight="1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</row>
    <row r="1934" spans="1:12" ht="15" customHeight="1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</row>
    <row r="1935" spans="1:12" ht="15" customHeight="1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</row>
    <row r="1936" spans="1:12" ht="15" customHeight="1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</row>
    <row r="1937" spans="1:12" ht="15" customHeight="1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</row>
    <row r="1938" spans="1:12" ht="15" customHeight="1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</row>
    <row r="1939" spans="1:12" ht="15" customHeight="1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</row>
    <row r="1940" spans="1:12" ht="15" customHeight="1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</row>
    <row r="1941" spans="1:12" ht="15" customHeight="1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</row>
    <row r="1942" spans="1:12" ht="15" customHeight="1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</row>
    <row r="1943" spans="1:12" ht="15" customHeight="1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</row>
    <row r="1944" spans="1:12" ht="15" customHeight="1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</row>
    <row r="1945" spans="1:12" ht="15" customHeight="1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</row>
    <row r="1946" spans="1:12" ht="15" customHeight="1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</row>
    <row r="1947" spans="1:12" ht="15" customHeight="1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</row>
    <row r="1948" spans="1:12" ht="15" customHeight="1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</row>
    <row r="1949" spans="1:12" ht="15" customHeight="1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</row>
    <row r="1950" spans="1:12" ht="15" customHeight="1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</row>
    <row r="1951" spans="1:12" ht="15" customHeight="1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</row>
    <row r="1952" spans="1:12" ht="15" customHeight="1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</row>
    <row r="1953" spans="1:12" ht="15" customHeight="1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</row>
    <row r="1954" spans="1:12" ht="15" customHeight="1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</row>
    <row r="1955" spans="1:12" ht="15" customHeight="1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</row>
    <row r="1956" spans="1:12" ht="15" customHeight="1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</row>
    <row r="1957" spans="1:12" ht="15" customHeight="1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</row>
    <row r="1958" spans="1:12" ht="15" customHeight="1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</row>
    <row r="1959" spans="1:12" ht="15" customHeight="1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</row>
    <row r="1960" spans="1:12" ht="15" customHeight="1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</row>
    <row r="1961" spans="1:12" ht="15" customHeight="1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</row>
    <row r="1962" spans="1:12" ht="15" customHeight="1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</row>
    <row r="1963" spans="1:12" ht="15" customHeight="1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</row>
    <row r="1964" spans="1:12" ht="15" customHeight="1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</row>
    <row r="1965" spans="1:12" ht="15" customHeight="1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</row>
    <row r="1966" spans="1:12" ht="15" customHeight="1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</row>
    <row r="1967" spans="1:12" ht="15" customHeight="1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</row>
    <row r="1968" spans="1:12" ht="15" customHeight="1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</row>
    <row r="1969" spans="1:12" ht="15" customHeight="1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</row>
    <row r="1970" spans="1:12" ht="15" customHeight="1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</row>
    <row r="1971" spans="1:12" ht="15" customHeight="1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</row>
    <row r="1972" spans="1:12" ht="15" customHeight="1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</row>
    <row r="1973" spans="1:12" ht="15" customHeight="1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</row>
    <row r="1974" spans="1:12" ht="15" customHeight="1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</row>
    <row r="1975" spans="1:12" ht="15" customHeight="1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</row>
    <row r="1976" spans="1:12" ht="15" customHeight="1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</row>
    <row r="1977" spans="1:12" ht="15" customHeight="1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</row>
    <row r="1978" spans="1:12" ht="15" customHeight="1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</row>
    <row r="1979" spans="1:12" ht="15" customHeight="1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</row>
    <row r="1980" spans="1:12" ht="15" customHeight="1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</row>
    <row r="1981" spans="1:12" ht="15" customHeight="1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</row>
    <row r="1982" spans="1:12" ht="15" customHeight="1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</row>
    <row r="1983" spans="1:12" ht="15" customHeight="1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</row>
    <row r="1984" spans="1:12" ht="15" customHeight="1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</row>
    <row r="1985" spans="1:12" ht="15" customHeight="1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</row>
    <row r="1986" spans="1:12" ht="15" customHeight="1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</row>
    <row r="1987" spans="1:12" ht="15" customHeight="1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</row>
    <row r="1988" spans="1:12" ht="15" customHeight="1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</row>
    <row r="1989" spans="1:12" ht="15" customHeight="1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</row>
    <row r="1990" spans="1:12" ht="15" customHeight="1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</row>
    <row r="1991" spans="1:12" ht="15" customHeight="1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</row>
    <row r="1992" spans="1:12" ht="15" customHeight="1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</row>
    <row r="1993" spans="1:12" ht="15" customHeight="1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</row>
    <row r="1994" spans="1:12" ht="15" customHeight="1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</row>
    <row r="1995" spans="1:12" ht="15" customHeight="1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</row>
    <row r="1996" spans="1:12" ht="15" customHeight="1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</row>
    <row r="1997" spans="1:12" ht="15" customHeight="1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</row>
    <row r="1998" spans="1:12" ht="15" customHeight="1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</row>
    <row r="1999" spans="1:12" ht="15" customHeight="1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</row>
    <row r="2000" spans="1:12" ht="15" customHeight="1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</row>
    <row r="2001" spans="1:12" ht="15" customHeight="1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</row>
    <row r="2002" spans="1:12" ht="15" customHeight="1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</row>
    <row r="2003" spans="1:12" ht="15" customHeight="1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</row>
    <row r="2004" spans="1:12" ht="15" customHeight="1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</row>
    <row r="2005" spans="1:12" ht="15" customHeight="1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</row>
    <row r="2006" spans="1:12" ht="15" customHeight="1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</row>
    <row r="2007" spans="1:12" ht="15" customHeight="1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</row>
    <row r="2008" spans="1:12" ht="15" customHeight="1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</row>
    <row r="2009" spans="1:12" ht="15" customHeight="1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</row>
    <row r="2010" spans="1:12" ht="15" customHeight="1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</row>
    <row r="2011" spans="1:12" ht="15" customHeight="1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</row>
    <row r="2012" spans="1:12" ht="15" customHeight="1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</row>
    <row r="2013" spans="1:12" ht="15" customHeight="1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</row>
    <row r="2014" spans="1:12" ht="15" customHeight="1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</row>
    <row r="2015" spans="1:12" ht="15" customHeight="1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</row>
    <row r="2016" spans="1:12" ht="15" customHeight="1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</row>
    <row r="2017" spans="1:12" ht="15" customHeight="1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</row>
    <row r="2018" spans="1:12" ht="15" customHeight="1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</row>
    <row r="2019" spans="1:12" ht="15" customHeight="1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</row>
    <row r="2020" spans="1:12" ht="15" customHeight="1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</row>
    <row r="2021" spans="1:12" ht="15" customHeight="1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</row>
    <row r="2022" spans="1:12" ht="15" customHeight="1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</row>
    <row r="2023" spans="1:12" ht="15" customHeight="1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</row>
    <row r="2024" spans="1:12" ht="15" customHeight="1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</row>
    <row r="2025" spans="1:12" ht="15" customHeight="1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</row>
    <row r="2026" spans="1:12" ht="15" customHeight="1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</row>
    <row r="2027" spans="1:12" ht="15" customHeight="1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</row>
    <row r="2028" spans="1:12" ht="15" customHeight="1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</row>
    <row r="2029" spans="1:12" ht="15" customHeight="1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</row>
    <row r="2030" spans="1:12" ht="15" customHeight="1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</row>
    <row r="2031" spans="1:12" ht="15" customHeight="1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</row>
    <row r="2032" spans="1:12" ht="15" customHeight="1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</row>
    <row r="2033" spans="1:12" ht="15" customHeight="1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</row>
    <row r="2034" spans="1:12" ht="15" customHeight="1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</row>
    <row r="2035" spans="1:12" ht="15" customHeight="1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</row>
    <row r="2036" spans="1:12" ht="15" customHeight="1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</row>
    <row r="2037" spans="1:12" ht="15" customHeight="1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</row>
    <row r="2038" spans="1:12" ht="15" customHeight="1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</row>
    <row r="2039" spans="1:12" ht="15" customHeight="1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</row>
    <row r="2040" spans="1:12" ht="15" customHeight="1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</row>
    <row r="2041" spans="1:12" ht="15" customHeight="1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</row>
    <row r="2042" spans="1:12" ht="15" customHeight="1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</row>
    <row r="2043" spans="1:12" ht="15" customHeight="1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</row>
    <row r="2044" spans="1:12" ht="15" customHeight="1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</row>
    <row r="2045" spans="1:12" ht="15" customHeight="1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</row>
    <row r="2046" spans="1:12" ht="15" customHeight="1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</row>
    <row r="2047" spans="1:12" ht="15" customHeight="1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</row>
    <row r="2048" spans="1:12" ht="15" customHeight="1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</row>
    <row r="2049" spans="1:12" ht="15" customHeight="1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</row>
    <row r="2050" spans="1:12" ht="15" customHeight="1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</row>
    <row r="2051" spans="1:12" ht="15" customHeight="1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</row>
    <row r="2052" spans="1:12" ht="15" customHeight="1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</row>
    <row r="2053" spans="1:12" ht="15" customHeight="1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</row>
    <row r="2054" spans="1:12" ht="15" customHeight="1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</row>
    <row r="2055" spans="1:12" ht="15" customHeight="1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</row>
    <row r="2056" spans="1:12" ht="15" customHeight="1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</row>
    <row r="2057" spans="1:12" ht="15" customHeight="1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</row>
    <row r="2058" spans="1:12" ht="15" customHeight="1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</row>
    <row r="2059" spans="1:12" ht="15" customHeight="1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</row>
    <row r="2060" spans="1:12" ht="15" customHeight="1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</row>
    <row r="2061" spans="1:12" ht="15" customHeight="1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</row>
    <row r="2062" spans="1:12" ht="15" customHeight="1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</row>
    <row r="2063" spans="1:12" ht="15" customHeight="1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</row>
    <row r="2064" spans="1:12" ht="15" customHeight="1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</row>
    <row r="2065" spans="1:12" ht="15" customHeight="1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</row>
    <row r="2066" spans="1:12" ht="15" customHeight="1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</row>
    <row r="2067" spans="1:12" ht="15" customHeight="1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</row>
    <row r="2068" spans="1:12" ht="15" customHeight="1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</row>
    <row r="2069" spans="1:12" ht="15" customHeight="1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</row>
    <row r="2070" spans="1:12" ht="15" customHeight="1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</row>
    <row r="2071" spans="1:12" ht="15" customHeight="1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</row>
    <row r="2072" spans="1:12" ht="15" customHeight="1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</row>
    <row r="2073" spans="1:12" ht="15" customHeight="1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</row>
    <row r="2074" spans="1:12" ht="15" customHeight="1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</row>
    <row r="2075" spans="1:12" ht="15" customHeight="1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</row>
    <row r="2076" spans="1:12" ht="15" customHeight="1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</row>
    <row r="2077" spans="1:12" ht="15" customHeight="1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</row>
    <row r="2078" spans="1:12" ht="15" customHeight="1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</row>
    <row r="2079" spans="1:12" ht="15" customHeight="1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</row>
    <row r="2080" spans="1:12" ht="15" customHeight="1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</row>
    <row r="2081" spans="1:12" ht="15" customHeight="1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</row>
    <row r="2082" spans="1:12" ht="15" customHeight="1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</row>
    <row r="2083" spans="1:12" ht="15" customHeight="1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</row>
    <row r="2084" spans="1:12" ht="15" customHeight="1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</row>
    <row r="2085" spans="1:12" ht="15" customHeight="1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</row>
    <row r="2086" spans="1:12" ht="15" customHeight="1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</row>
    <row r="2087" spans="1:12" ht="15" customHeight="1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</row>
    <row r="2088" spans="1:12" ht="15" customHeight="1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</row>
    <row r="2089" spans="1:12" ht="15" customHeight="1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</row>
    <row r="2090" spans="1:12" ht="15" customHeight="1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</row>
    <row r="2091" spans="1:12" ht="15" customHeight="1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</row>
    <row r="2092" spans="1:12" ht="15" customHeight="1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</row>
    <row r="2093" spans="1:12" ht="15" customHeight="1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</row>
    <row r="2094" spans="1:12" ht="15" customHeight="1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</row>
    <row r="2095" spans="1:12" ht="15" customHeight="1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</row>
    <row r="2096" spans="1:12" ht="15" customHeight="1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</row>
    <row r="2097" spans="1:12" ht="15" customHeight="1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</row>
    <row r="2098" spans="1:12" ht="15" customHeight="1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</row>
    <row r="2099" spans="1:12" ht="15" customHeight="1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</row>
    <row r="2100" spans="1:12" ht="15" customHeight="1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</row>
    <row r="2101" spans="1:12" ht="15" customHeight="1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</row>
    <row r="2102" spans="1:12" ht="15" customHeight="1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</row>
    <row r="2103" spans="1:12" ht="15" customHeight="1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</row>
    <row r="2104" spans="1:12" ht="15" customHeight="1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</row>
    <row r="2105" spans="1:12" ht="15" customHeight="1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</row>
    <row r="2106" spans="1:12" ht="15" customHeight="1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</row>
    <row r="2107" spans="1:12" ht="15" customHeight="1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</row>
    <row r="2108" spans="1:12" ht="15" customHeight="1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</row>
    <row r="2109" spans="1:12" ht="15" customHeight="1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</row>
    <row r="2110" spans="1:12" ht="15" customHeight="1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</row>
    <row r="2111" spans="1:12" ht="15" customHeight="1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</row>
    <row r="2112" spans="1:12" ht="15" customHeight="1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</row>
    <row r="2113" spans="1:12" ht="15" customHeight="1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</row>
    <row r="2114" spans="1:12" ht="15" customHeight="1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</row>
    <row r="2115" spans="1:12" ht="15" customHeight="1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</row>
    <row r="2116" spans="1:12" ht="15" customHeight="1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</row>
    <row r="2117" spans="1:12" ht="15" customHeight="1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</row>
    <row r="2118" spans="1:12" ht="15" customHeight="1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</row>
    <row r="2119" spans="1:12" ht="15" customHeight="1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</row>
    <row r="2120" spans="1:12" ht="15" customHeight="1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</row>
    <row r="2121" spans="1:12" ht="15" customHeight="1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</row>
    <row r="2122" spans="1:12" ht="15" customHeight="1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</row>
    <row r="2123" spans="1:12" ht="15" customHeight="1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</row>
    <row r="2124" spans="1:12" ht="15" customHeight="1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</row>
    <row r="2125" spans="1:12" ht="15" customHeight="1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</row>
    <row r="2126" spans="1:12" ht="15" customHeight="1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</row>
    <row r="2127" spans="1:12" ht="15" customHeight="1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</row>
    <row r="2128" spans="1:12" ht="15" customHeight="1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</row>
    <row r="2129" spans="1:12" ht="15" customHeight="1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</row>
    <row r="2130" spans="1:12" ht="15" customHeight="1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</row>
    <row r="2131" spans="1:12" ht="15" customHeight="1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</row>
    <row r="2132" spans="1:12" ht="15" customHeight="1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</row>
    <row r="2133" spans="1:12" ht="15" customHeight="1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</row>
    <row r="2134" spans="1:12" ht="15" customHeight="1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</row>
    <row r="2135" spans="1:12" ht="15" customHeight="1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</row>
    <row r="2136" spans="1:12" ht="15" customHeight="1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</row>
    <row r="2137" spans="1:12" ht="15" customHeight="1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</row>
    <row r="2138" spans="1:12" ht="15" customHeight="1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</row>
    <row r="2139" spans="1:12" ht="15" customHeight="1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</row>
    <row r="2140" spans="1:12" ht="15" customHeight="1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</row>
    <row r="2141" spans="1:12" ht="15" customHeight="1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</row>
    <row r="2142" spans="1:12" ht="15" customHeight="1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</row>
    <row r="2143" spans="1:12" ht="15" customHeight="1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</row>
    <row r="2144" spans="1:12" ht="15" customHeight="1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</row>
    <row r="2145" spans="1:12" ht="15" customHeight="1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</row>
    <row r="2146" spans="1:12" ht="15" customHeight="1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</row>
    <row r="2147" spans="1:12" ht="15" customHeight="1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</row>
    <row r="2148" spans="1:12" ht="15" customHeight="1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</row>
    <row r="2149" spans="1:12" ht="15" customHeight="1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</row>
    <row r="2150" spans="1:12" ht="15" customHeight="1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</row>
    <row r="2151" spans="1:12" ht="15" customHeight="1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</row>
    <row r="2152" spans="1:12" ht="15" customHeight="1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</row>
    <row r="2153" spans="1:12" ht="15" customHeight="1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</row>
    <row r="2154" spans="1:12" ht="15" customHeight="1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</row>
    <row r="2155" spans="1:12" ht="15" customHeight="1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</row>
    <row r="2156" spans="1:12" ht="15" customHeight="1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</row>
    <row r="2157" spans="1:12" ht="15" customHeight="1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</row>
    <row r="2158" spans="1:12" ht="15" customHeight="1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</row>
    <row r="2159" spans="1:12" ht="15" customHeight="1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</row>
    <row r="2160" spans="1:12" ht="15" customHeight="1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</row>
    <row r="2161" spans="1:12" ht="15" customHeight="1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</row>
    <row r="2162" spans="1:12" ht="15" customHeight="1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</row>
    <row r="2163" spans="1:12" ht="15" customHeight="1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</row>
    <row r="2164" spans="1:12" ht="15" customHeight="1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</row>
    <row r="2165" spans="1:12" ht="15" customHeight="1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</row>
    <row r="2166" spans="1:12" ht="15" customHeight="1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</row>
    <row r="2167" spans="1:12" ht="15" customHeight="1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</row>
    <row r="2168" spans="1:12" ht="15" customHeight="1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</row>
    <row r="2169" spans="1:12" ht="15" customHeight="1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</row>
    <row r="2170" spans="1:12" ht="15" customHeight="1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</row>
    <row r="2171" spans="1:12" ht="15" customHeight="1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</row>
    <row r="2172" spans="1:12" ht="15" customHeight="1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</row>
    <row r="2173" spans="1:12" ht="15" customHeight="1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</row>
    <row r="2174" spans="1:12" ht="15" customHeight="1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</row>
    <row r="2175" spans="1:12" ht="15" customHeight="1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</row>
    <row r="2176" spans="1:12" ht="15" customHeight="1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</row>
    <row r="2177" spans="1:12" ht="15" customHeight="1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</row>
    <row r="2178" spans="1:12" ht="15" customHeight="1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</row>
    <row r="2179" spans="1:12" ht="15" customHeight="1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</row>
    <row r="2180" spans="1:12" ht="15" customHeight="1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</row>
    <row r="2181" spans="1:12" ht="15" customHeight="1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</row>
    <row r="2182" spans="1:12" ht="15" customHeight="1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</row>
    <row r="2183" spans="1:12" ht="15" customHeight="1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</row>
    <row r="2184" spans="1:12" ht="15" customHeight="1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</row>
    <row r="2185" spans="1:12" ht="15" customHeight="1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</row>
    <row r="2186" spans="1:12" ht="15" customHeight="1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</row>
    <row r="2187" spans="1:12" ht="15" customHeight="1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</row>
    <row r="2188" spans="1:12" ht="15" customHeight="1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</row>
    <row r="2189" spans="1:12" ht="15" customHeight="1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</row>
    <row r="2190" spans="1:12" ht="15" customHeight="1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</row>
    <row r="2191" spans="1:12" ht="15" customHeight="1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</row>
    <row r="2192" spans="1:12" ht="15" customHeight="1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</row>
    <row r="2193" spans="1:12" ht="15" customHeight="1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</row>
    <row r="2194" spans="1:12" ht="15" customHeight="1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</row>
    <row r="2195" spans="1:12" ht="15" customHeight="1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</row>
    <row r="2196" spans="1:12" ht="15" customHeight="1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</row>
    <row r="2197" spans="1:12" ht="15" customHeight="1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</row>
    <row r="2198" spans="1:12" ht="15" customHeight="1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</row>
    <row r="2199" spans="1:12" ht="15" customHeight="1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</row>
    <row r="2200" spans="1:12" ht="15" customHeight="1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</row>
    <row r="2201" spans="1:12" ht="15" customHeight="1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</row>
    <row r="2202" spans="1:12" ht="15" customHeight="1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</row>
    <row r="2203" spans="1:12" ht="15" customHeight="1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</row>
    <row r="2204" spans="1:12" ht="15" customHeight="1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</row>
    <row r="2205" spans="1:12" ht="15" customHeight="1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</row>
    <row r="2206" spans="1:12" ht="15" customHeight="1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</row>
    <row r="2207" spans="1:12" ht="15" customHeight="1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</row>
    <row r="2208" spans="1:12" ht="15" customHeight="1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</row>
    <row r="2209" spans="1:12" ht="15" customHeight="1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</row>
    <row r="2210" spans="1:12" ht="15" customHeight="1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</row>
    <row r="2211" spans="1:12" ht="15" customHeight="1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</row>
    <row r="2212" spans="1:12" ht="15" customHeight="1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</row>
    <row r="2213" spans="1:12" ht="15" customHeight="1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</row>
    <row r="2214" spans="1:12" ht="15" customHeight="1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</row>
    <row r="2215" spans="1:12" ht="15" customHeight="1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</row>
    <row r="2216" spans="1:12" ht="15" customHeight="1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</row>
    <row r="2217" spans="1:12" ht="15" customHeight="1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</row>
    <row r="2218" spans="1:12" ht="15" customHeight="1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</row>
    <row r="2219" spans="1:12" ht="15" customHeight="1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</row>
    <row r="2220" spans="1:12" ht="15" customHeight="1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</row>
    <row r="2221" spans="1:12" ht="15" customHeight="1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</row>
    <row r="2222" spans="1:12" ht="15" customHeight="1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</row>
    <row r="2223" spans="1:12" ht="15" customHeight="1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</row>
    <row r="2224" spans="1:12" ht="15" customHeight="1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</row>
    <row r="2225" spans="1:12" ht="15" customHeight="1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</row>
    <row r="2226" spans="1:12" ht="15" customHeight="1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</row>
    <row r="2227" spans="1:12" ht="15" customHeight="1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</row>
    <row r="2228" spans="1:12" ht="15" customHeight="1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</row>
    <row r="2229" spans="1:12" ht="15" customHeight="1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</row>
    <row r="2230" spans="1:12" ht="15" customHeight="1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</row>
    <row r="2231" spans="1:12" ht="15" customHeight="1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</row>
    <row r="2232" spans="1:12" ht="15" customHeight="1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</row>
    <row r="2233" spans="1:12" ht="15" customHeight="1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</row>
    <row r="2234" spans="1:12" ht="15" customHeight="1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</row>
    <row r="2235" spans="1:12" ht="15" customHeight="1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</row>
    <row r="2236" spans="1:12" ht="15" customHeight="1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</row>
    <row r="2237" spans="1:12" ht="15" customHeight="1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</row>
    <row r="2238" spans="1:12" ht="15" customHeight="1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</row>
    <row r="2239" spans="1:12" ht="15" customHeight="1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</row>
    <row r="2240" spans="1:12" ht="15" customHeight="1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</row>
    <row r="2241" spans="1:12" ht="15" customHeight="1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</row>
    <row r="2242" spans="1:12" ht="15" customHeight="1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</row>
    <row r="2243" spans="1:12" ht="15" customHeight="1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</row>
    <row r="2244" spans="1:12" ht="15" customHeight="1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</row>
    <row r="2245" spans="1:12" ht="15" customHeight="1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</row>
    <row r="2246" spans="1:12" ht="15" customHeight="1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</row>
    <row r="2247" spans="1:12" ht="15" customHeight="1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</row>
    <row r="2248" spans="1:12" ht="15" customHeight="1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</row>
    <row r="2249" spans="1:12" ht="15" customHeight="1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</row>
    <row r="2250" spans="1:12" ht="15" customHeight="1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</row>
    <row r="2251" spans="1:12" ht="15" customHeight="1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</row>
    <row r="2252" spans="1:12" ht="15" customHeight="1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</row>
    <row r="2253" spans="1:12" ht="15" customHeight="1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</row>
    <row r="2254" spans="1:12" ht="15" customHeight="1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</row>
    <row r="2255" spans="1:12" ht="15" customHeight="1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</row>
    <row r="2256" spans="1:12" ht="15" customHeight="1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</row>
    <row r="2257" spans="1:12" ht="15" customHeight="1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</row>
    <row r="2258" spans="1:12" ht="15" customHeight="1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</row>
    <row r="2259" spans="1:12" ht="15" customHeight="1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</row>
    <row r="2260" spans="1:12" ht="15" customHeight="1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</row>
    <row r="2261" spans="1:12" ht="15" customHeight="1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</row>
    <row r="2262" spans="1:12" ht="15" customHeight="1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</row>
    <row r="2263" spans="1:12" ht="15" customHeight="1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</row>
    <row r="2264" spans="1:12" ht="15" customHeight="1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</row>
    <row r="2265" spans="1:12" ht="15" customHeight="1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</row>
    <row r="2266" spans="1:12" ht="15" customHeight="1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</row>
    <row r="2267" spans="1:12" ht="15" customHeight="1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</row>
    <row r="2268" spans="1:12" ht="15" customHeight="1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</row>
    <row r="2269" spans="1:12" ht="15" customHeight="1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</row>
    <row r="2270" spans="1:12" ht="15" customHeight="1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</row>
    <row r="2271" spans="1:12" ht="15" customHeight="1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</row>
    <row r="2272" spans="1:12" ht="15" customHeight="1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</row>
    <row r="2273" spans="1:12" ht="15" customHeight="1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</row>
    <row r="2274" spans="1:12" ht="15" customHeight="1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</row>
    <row r="2275" spans="1:12" ht="15" customHeight="1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</row>
    <row r="2276" spans="1:12" ht="15" customHeight="1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</row>
    <row r="2277" spans="1:12" ht="15" customHeight="1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</row>
    <row r="2278" spans="1:12" ht="15" customHeight="1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</row>
    <row r="2279" spans="1:12" ht="15" customHeight="1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</row>
    <row r="2280" spans="1:12" ht="15" customHeight="1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</row>
    <row r="2281" spans="1:12" ht="15" customHeight="1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</row>
    <row r="2282" spans="1:12" ht="15" customHeight="1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</row>
    <row r="2283" spans="1:12" ht="15" customHeight="1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</row>
    <row r="2284" spans="1:12" ht="15" customHeight="1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</row>
    <row r="2285" spans="1:12" ht="15" customHeight="1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</row>
    <row r="2286" spans="1:12" ht="15" customHeight="1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</row>
    <row r="2287" spans="1:12" ht="15" customHeight="1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</row>
    <row r="2288" spans="1:12" ht="15" customHeight="1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</row>
    <row r="2289" spans="1:12" ht="15" customHeight="1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</row>
    <row r="2290" spans="1:12" ht="15" customHeight="1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</row>
    <row r="2291" spans="1:12" ht="15" customHeight="1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</row>
    <row r="2292" spans="1:12" ht="15" customHeight="1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</row>
    <row r="2293" spans="1:12" ht="15" customHeight="1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</row>
    <row r="2294" spans="1:12" ht="15" customHeight="1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</row>
    <row r="2295" spans="1:12" ht="15" customHeight="1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</row>
    <row r="2296" spans="1:12" ht="15" customHeight="1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</row>
    <row r="2297" spans="1:12" ht="15" customHeight="1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</row>
    <row r="2298" spans="1:12" ht="15" customHeight="1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</row>
    <row r="2299" spans="1:12" ht="15" customHeight="1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</row>
    <row r="2300" spans="1:12" ht="15" customHeight="1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</row>
    <row r="2301" spans="1:12" ht="15" customHeight="1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</row>
    <row r="2302" spans="1:12" ht="15" customHeight="1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</row>
    <row r="2303" spans="1:12" ht="15" customHeight="1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</row>
    <row r="2304" spans="1:12" ht="15" customHeight="1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</row>
    <row r="2305" spans="1:12" ht="15" customHeight="1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</row>
    <row r="2306" spans="1:12" ht="15" customHeight="1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</row>
    <row r="2307" spans="1:12" ht="15" customHeight="1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</row>
    <row r="2308" spans="1:12" ht="15" customHeight="1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</row>
    <row r="2309" spans="1:12" ht="15" customHeight="1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</row>
    <row r="2310" spans="1:12" ht="15" customHeight="1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</row>
    <row r="2311" spans="1:12" ht="15" customHeight="1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</row>
    <row r="2312" spans="1:12" ht="15" customHeight="1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</row>
    <row r="2313" spans="1:12" ht="15" customHeight="1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</row>
    <row r="2314" spans="1:12" ht="15" customHeight="1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</row>
    <row r="2315" spans="1:12" ht="15" customHeight="1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</row>
    <row r="2316" spans="1:12" ht="15" customHeight="1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</row>
    <row r="2317" spans="1:12" ht="15" customHeight="1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</row>
    <row r="2318" spans="1:12" ht="15" customHeight="1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</row>
    <row r="2319" spans="1:12" ht="15" customHeight="1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</row>
    <row r="2320" spans="1:12" ht="15" customHeight="1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</row>
    <row r="2321" spans="1:12" ht="15" customHeight="1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</row>
    <row r="2322" spans="1:12" ht="15" customHeight="1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</row>
    <row r="2323" spans="1:12" ht="15" customHeight="1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</row>
    <row r="2324" spans="1:12" ht="15" customHeight="1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</row>
    <row r="2325" spans="1:12" ht="15" customHeight="1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</row>
    <row r="2326" spans="1:12" ht="15" customHeight="1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</row>
    <row r="2327" spans="1:12" ht="15" customHeight="1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</row>
    <row r="2328" spans="1:12" ht="15" customHeight="1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</row>
    <row r="2329" spans="1:12" ht="15" customHeight="1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</row>
    <row r="2330" spans="1:12" ht="15" customHeight="1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</row>
    <row r="2331" spans="1:12" ht="15" customHeight="1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</row>
    <row r="2332" spans="1:12" ht="15" customHeight="1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</row>
    <row r="2333" spans="1:12" ht="15" customHeight="1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</row>
    <row r="2334" spans="1:12" ht="15" customHeight="1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</row>
    <row r="2335" spans="1:12" ht="15" customHeight="1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</row>
    <row r="2336" spans="1:12" ht="15" customHeight="1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</row>
    <row r="2337" spans="1:12" ht="15" customHeight="1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</row>
    <row r="2338" spans="1:12" ht="15" customHeight="1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</row>
    <row r="2339" spans="1:12" ht="15" customHeight="1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</row>
    <row r="2340" spans="1:12" ht="15" customHeight="1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</row>
    <row r="2341" spans="1:12" ht="15" customHeight="1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</row>
    <row r="2342" spans="1:12" ht="15" customHeight="1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</row>
    <row r="2343" spans="1:12" ht="15" customHeight="1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</row>
    <row r="2344" spans="1:12" ht="15" customHeight="1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</row>
    <row r="2345" spans="1:12" ht="15" customHeight="1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</row>
    <row r="2346" spans="1:12" ht="15" customHeight="1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</row>
    <row r="2347" spans="1:12" ht="15" customHeight="1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</row>
    <row r="2348" spans="1:12" ht="15" customHeight="1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</row>
    <row r="2349" spans="1:12" ht="15" customHeight="1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</row>
    <row r="2350" spans="1:12" ht="15" customHeight="1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</row>
    <row r="2351" spans="1:12" ht="15" customHeight="1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</row>
    <row r="2352" spans="1:12" ht="15" customHeight="1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</row>
    <row r="2353" spans="1:12" ht="15" customHeight="1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</row>
    <row r="2354" spans="1:12" ht="15" customHeight="1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</row>
    <row r="2355" spans="1:12" ht="15" customHeight="1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</row>
    <row r="2356" spans="1:12" ht="15" customHeight="1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</row>
    <row r="2357" spans="1:12" ht="15" customHeight="1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</row>
    <row r="2358" spans="1:12" ht="15" customHeight="1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</row>
    <row r="2359" spans="1:12" ht="15" customHeight="1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</row>
    <row r="2360" spans="1:12" ht="15" customHeight="1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</row>
    <row r="2361" spans="1:12" ht="15" customHeight="1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</row>
    <row r="2362" spans="1:12" ht="15" customHeight="1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</row>
    <row r="2363" spans="1:12" ht="15" customHeight="1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</row>
    <row r="2364" spans="1:12" ht="15" customHeight="1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</row>
    <row r="2365" spans="1:12" ht="15" customHeight="1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</row>
    <row r="2366" spans="1:12" ht="15" customHeight="1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</row>
    <row r="2367" spans="1:12" ht="15" customHeight="1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</row>
    <row r="2368" spans="1:12" ht="15" customHeight="1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</row>
    <row r="2369" spans="1:12" ht="15" customHeight="1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</row>
    <row r="2370" spans="1:12" ht="15" customHeight="1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</row>
    <row r="2371" spans="1:12" ht="15" customHeight="1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</row>
    <row r="2372" spans="1:12" ht="15" customHeight="1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</row>
    <row r="2373" spans="1:12" ht="15" customHeight="1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</row>
    <row r="2374" spans="1:12" ht="15" customHeight="1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</row>
    <row r="2375" spans="1:12" ht="15" customHeight="1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</row>
    <row r="2376" spans="1:12" ht="15" customHeight="1" x14ac:dyDescent="0.25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</row>
    <row r="2377" spans="1:12" ht="15" customHeight="1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</row>
    <row r="2378" spans="1:12" ht="15" customHeight="1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</row>
    <row r="2379" spans="1:12" ht="15" customHeight="1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</row>
    <row r="2380" spans="1:12" ht="15" customHeight="1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</row>
    <row r="2381" spans="1:12" ht="15" customHeight="1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</row>
    <row r="2382" spans="1:12" ht="15" customHeight="1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</row>
    <row r="2383" spans="1:12" ht="15" customHeight="1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</row>
    <row r="2384" spans="1:12" ht="15" customHeight="1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</row>
    <row r="2385" spans="1:12" ht="15" customHeight="1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</row>
    <row r="2386" spans="1:12" ht="15" customHeight="1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</row>
    <row r="2387" spans="1:12" ht="15" customHeight="1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</row>
    <row r="2388" spans="1:12" ht="15" customHeight="1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</row>
    <row r="2389" spans="1:12" ht="15" customHeight="1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</row>
    <row r="2390" spans="1:12" ht="15" customHeight="1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</row>
    <row r="2391" spans="1:12" ht="15" customHeight="1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</row>
    <row r="2392" spans="1:12" ht="15" customHeight="1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</row>
    <row r="2393" spans="1:12" ht="15" customHeight="1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</row>
    <row r="2394" spans="1:12" ht="15" customHeight="1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</row>
    <row r="2395" spans="1:12" ht="15" customHeight="1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</row>
    <row r="2396" spans="1:12" ht="15" customHeight="1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</row>
    <row r="2397" spans="1:12" ht="15" customHeight="1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</row>
    <row r="2398" spans="1:12" ht="15" customHeight="1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</row>
    <row r="2399" spans="1:12" ht="15" customHeight="1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</row>
    <row r="2400" spans="1:12" ht="15" customHeight="1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</row>
    <row r="2401" spans="1:12" ht="15" customHeight="1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</row>
    <row r="2402" spans="1:12" ht="15" customHeight="1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</row>
    <row r="2403" spans="1:12" ht="15" customHeight="1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</row>
    <row r="2404" spans="1:12" ht="15" customHeight="1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</row>
    <row r="2405" spans="1:12" ht="15" customHeight="1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</row>
    <row r="2406" spans="1:12" ht="15" customHeight="1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</row>
    <row r="2407" spans="1:12" ht="15" customHeight="1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</row>
    <row r="2408" spans="1:12" ht="15" customHeight="1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</row>
    <row r="2409" spans="1:12" ht="15" customHeight="1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</row>
    <row r="2410" spans="1:12" ht="15" customHeight="1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</row>
    <row r="2411" spans="1:12" ht="15" customHeight="1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</row>
    <row r="2412" spans="1:12" ht="15" customHeight="1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</row>
    <row r="2413" spans="1:12" ht="15" customHeight="1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</row>
    <row r="2414" spans="1:12" ht="15" customHeight="1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</row>
    <row r="2415" spans="1:12" ht="15" customHeight="1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</row>
    <row r="2416" spans="1:12" ht="15" customHeight="1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</row>
    <row r="2417" spans="1:12" ht="15" customHeight="1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</row>
    <row r="2418" spans="1:12" ht="15" customHeight="1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</row>
    <row r="2419" spans="1:12" ht="15" customHeight="1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</row>
    <row r="2420" spans="1:12" ht="15" customHeight="1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</row>
    <row r="2421" spans="1:12" ht="15" customHeight="1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</row>
    <row r="2422" spans="1:12" ht="15" customHeight="1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</row>
    <row r="2423" spans="1:12" ht="15" customHeight="1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</row>
    <row r="2424" spans="1:12" ht="15" customHeight="1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</row>
    <row r="2425" spans="1:12" ht="15" customHeight="1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</row>
    <row r="2426" spans="1:12" ht="15" customHeight="1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</row>
    <row r="2427" spans="1:12" ht="15" customHeight="1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</row>
    <row r="2428" spans="1:12" ht="15" customHeight="1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</row>
    <row r="2429" spans="1:12" ht="15" customHeight="1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</row>
    <row r="2430" spans="1:12" ht="15" customHeight="1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</row>
    <row r="2431" spans="1:12" ht="15" customHeight="1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</row>
    <row r="2432" spans="1:12" ht="15" customHeight="1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</row>
    <row r="2433" spans="1:12" ht="15" customHeight="1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</row>
    <row r="2434" spans="1:12" ht="15" customHeight="1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</row>
    <row r="2435" spans="1:12" ht="15" customHeight="1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</row>
    <row r="2436" spans="1:12" ht="15" customHeight="1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</row>
    <row r="2437" spans="1:12" ht="15" customHeight="1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</row>
    <row r="2438" spans="1:12" ht="15" customHeight="1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</row>
    <row r="2439" spans="1:12" ht="15" customHeight="1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</row>
    <row r="2440" spans="1:12" ht="15" customHeight="1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</row>
    <row r="2441" spans="1:12" ht="15" customHeight="1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</row>
    <row r="2442" spans="1:12" ht="15" customHeight="1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</row>
    <row r="2443" spans="1:12" ht="15" customHeight="1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</row>
    <row r="2444" spans="1:12" ht="15" customHeight="1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</row>
    <row r="2445" spans="1:12" ht="15" customHeight="1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</row>
    <row r="2446" spans="1:12" ht="15" customHeight="1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</row>
    <row r="2447" spans="1:12" ht="15" customHeight="1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</row>
    <row r="2448" spans="1:12" ht="15" customHeight="1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</row>
    <row r="2449" spans="1:12" ht="15" customHeight="1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</row>
    <row r="2450" spans="1:12" ht="15" customHeight="1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</row>
    <row r="2451" spans="1:12" ht="15" customHeight="1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</row>
    <row r="2452" spans="1:12" ht="15" customHeight="1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</row>
    <row r="2453" spans="1:12" ht="15" customHeight="1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</row>
    <row r="2454" spans="1:12" ht="15" customHeight="1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</row>
    <row r="2455" spans="1:12" ht="15" customHeight="1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</row>
    <row r="2456" spans="1:12" ht="15" customHeight="1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</row>
    <row r="2457" spans="1:12" ht="15" customHeight="1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</row>
    <row r="2458" spans="1:12" ht="15" customHeight="1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</row>
    <row r="2459" spans="1:12" ht="15" customHeight="1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</row>
    <row r="2460" spans="1:12" ht="15" customHeight="1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</row>
    <row r="2461" spans="1:12" ht="15" customHeight="1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</row>
    <row r="2462" spans="1:12" ht="15" customHeight="1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</row>
    <row r="2463" spans="1:12" ht="15" customHeight="1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</row>
    <row r="2464" spans="1:12" ht="15" customHeight="1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</row>
    <row r="2465" spans="1:12" ht="15" customHeight="1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</row>
    <row r="2466" spans="1:12" ht="15" customHeight="1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</row>
    <row r="2467" spans="1:12" ht="15" customHeight="1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</row>
    <row r="2468" spans="1:12" ht="15" customHeight="1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</row>
    <row r="2469" spans="1:12" ht="15" customHeight="1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</row>
    <row r="2470" spans="1:12" ht="15" customHeight="1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</row>
    <row r="2471" spans="1:12" ht="15" customHeight="1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</row>
    <row r="2472" spans="1:12" ht="15" customHeight="1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</row>
    <row r="2473" spans="1:12" ht="15" customHeight="1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</row>
    <row r="2474" spans="1:12" ht="15" customHeight="1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</row>
    <row r="2475" spans="1:12" ht="15" customHeight="1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</row>
    <row r="2476" spans="1:12" ht="15" customHeight="1" x14ac:dyDescent="0.25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</row>
    <row r="2477" spans="1:12" ht="15" customHeight="1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</row>
    <row r="2478" spans="1:12" ht="15" customHeight="1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</row>
    <row r="2479" spans="1:12" ht="15" customHeight="1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</row>
    <row r="2480" spans="1:12" ht="15" customHeight="1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</row>
    <row r="2481" spans="1:12" ht="15" customHeight="1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</row>
    <row r="2482" spans="1:12" ht="15" customHeight="1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</row>
    <row r="2483" spans="1:12" ht="15" customHeight="1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</row>
    <row r="2484" spans="1:12" ht="15" customHeight="1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</row>
    <row r="2485" spans="1:12" ht="15" customHeight="1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</row>
    <row r="2486" spans="1:12" ht="15" customHeight="1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</row>
    <row r="2487" spans="1:12" ht="15" customHeight="1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</row>
    <row r="2488" spans="1:12" ht="15" customHeight="1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</row>
    <row r="2489" spans="1:12" ht="15" customHeight="1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</row>
    <row r="2490" spans="1:12" ht="15" customHeight="1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</row>
    <row r="2491" spans="1:12" ht="15" customHeight="1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</row>
    <row r="2492" spans="1:12" ht="15" customHeight="1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</row>
    <row r="2493" spans="1:12" ht="15" customHeight="1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</row>
    <row r="2494" spans="1:12" ht="15" customHeight="1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</row>
    <row r="2495" spans="1:12" ht="15" customHeight="1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</row>
    <row r="2496" spans="1:12" ht="15" customHeight="1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</row>
    <row r="2497" spans="1:12" ht="15" customHeight="1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</row>
    <row r="2498" spans="1:12" ht="15" customHeight="1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</row>
    <row r="2499" spans="1:12" ht="15" customHeight="1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</row>
    <row r="2500" spans="1:12" ht="15" customHeight="1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</row>
    <row r="2501" spans="1:12" ht="15" customHeight="1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</row>
    <row r="2502" spans="1:12" ht="15" customHeight="1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</row>
    <row r="2503" spans="1:12" ht="15" customHeight="1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</row>
    <row r="2504" spans="1:12" ht="15" customHeight="1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</row>
    <row r="2505" spans="1:12" ht="15" customHeight="1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</row>
    <row r="2506" spans="1:12" ht="15" customHeight="1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</row>
    <row r="2507" spans="1:12" ht="15" customHeight="1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</row>
    <row r="2508" spans="1:12" ht="15" customHeight="1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</row>
    <row r="2509" spans="1:12" ht="15" customHeight="1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</row>
    <row r="2510" spans="1:12" ht="15" customHeight="1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</row>
    <row r="2511" spans="1:12" ht="15" customHeight="1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</row>
    <row r="2512" spans="1:12" ht="15" customHeight="1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</row>
    <row r="2513" spans="1:12" ht="15" customHeight="1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</row>
    <row r="2514" spans="1:12" ht="15" customHeight="1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</row>
    <row r="2515" spans="1:12" ht="15" customHeight="1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</row>
    <row r="2516" spans="1:12" ht="15" customHeight="1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</row>
    <row r="2517" spans="1:12" ht="15" customHeight="1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</row>
    <row r="2518" spans="1:12" ht="15" customHeight="1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</row>
    <row r="2519" spans="1:12" ht="15" customHeight="1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</row>
    <row r="2520" spans="1:12" ht="15" customHeight="1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</row>
    <row r="2521" spans="1:12" ht="15" customHeight="1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</row>
    <row r="2522" spans="1:12" ht="15" customHeight="1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</row>
    <row r="2523" spans="1:12" ht="15" customHeight="1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</row>
    <row r="2524" spans="1:12" ht="15" customHeight="1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</row>
    <row r="2525" spans="1:12" ht="15" customHeight="1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</row>
    <row r="2526" spans="1:12" ht="15" customHeight="1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</row>
    <row r="2527" spans="1:12" ht="15" customHeight="1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</row>
    <row r="2528" spans="1:12" ht="15" customHeight="1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</row>
    <row r="2529" spans="1:12" ht="15" customHeight="1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</row>
    <row r="2530" spans="1:12" ht="15" customHeight="1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</row>
    <row r="2531" spans="1:12" ht="15" customHeight="1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</row>
    <row r="2532" spans="1:12" ht="15" customHeight="1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</row>
    <row r="2533" spans="1:12" ht="15" customHeight="1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</row>
    <row r="2534" spans="1:12" ht="15" customHeight="1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</row>
    <row r="2535" spans="1:12" ht="15" customHeight="1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</row>
    <row r="2536" spans="1:12" ht="15" customHeight="1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</row>
    <row r="2537" spans="1:12" ht="15" customHeight="1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</row>
    <row r="2538" spans="1:12" ht="15" customHeight="1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</row>
    <row r="2539" spans="1:12" ht="15" customHeight="1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</row>
    <row r="2540" spans="1:12" ht="15" customHeight="1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</row>
    <row r="2541" spans="1:12" ht="15" customHeight="1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</row>
    <row r="2542" spans="1:12" ht="15" customHeight="1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</row>
    <row r="2543" spans="1:12" ht="15" customHeight="1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</row>
    <row r="2544" spans="1:12" ht="15" customHeight="1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</row>
    <row r="2545" spans="1:12" ht="15" customHeight="1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</row>
    <row r="2546" spans="1:12" ht="15" customHeight="1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</row>
    <row r="2547" spans="1:12" ht="15" customHeight="1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</row>
    <row r="2548" spans="1:12" ht="15" customHeight="1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</row>
    <row r="2549" spans="1:12" ht="15" customHeight="1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</row>
    <row r="2550" spans="1:12" ht="15" customHeight="1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</row>
    <row r="2551" spans="1:12" ht="15" customHeight="1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</row>
    <row r="2552" spans="1:12" ht="15" customHeight="1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</row>
    <row r="2553" spans="1:12" ht="15" customHeight="1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</row>
    <row r="2554" spans="1:12" ht="15" customHeight="1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</row>
    <row r="2555" spans="1:12" ht="15" customHeight="1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</row>
    <row r="2556" spans="1:12" ht="15" customHeight="1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</row>
    <row r="2557" spans="1:12" ht="15" customHeight="1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</row>
    <row r="2558" spans="1:12" ht="15" customHeight="1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</row>
    <row r="2559" spans="1:12" ht="15" customHeight="1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</row>
    <row r="2560" spans="1:12" ht="15" customHeight="1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</row>
    <row r="2561" spans="1:12" ht="15" customHeight="1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</row>
    <row r="2562" spans="1:12" ht="15" customHeight="1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</row>
    <row r="2563" spans="1:12" ht="15" customHeight="1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</row>
    <row r="2564" spans="1:12" ht="15" customHeight="1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</row>
    <row r="2565" spans="1:12" ht="15" customHeight="1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</row>
    <row r="2566" spans="1:12" ht="15" customHeight="1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</row>
    <row r="2567" spans="1:12" ht="15" customHeight="1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</row>
    <row r="2568" spans="1:12" ht="15" customHeight="1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</row>
    <row r="2569" spans="1:12" ht="15" customHeight="1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</row>
    <row r="2570" spans="1:12" ht="15" customHeight="1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</row>
    <row r="2571" spans="1:12" ht="15" customHeight="1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</row>
    <row r="2572" spans="1:12" ht="15" customHeight="1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</row>
    <row r="2573" spans="1:12" ht="15" customHeight="1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</row>
    <row r="2574" spans="1:12" ht="15" customHeight="1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</row>
    <row r="2575" spans="1:12" ht="15" customHeight="1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</row>
    <row r="2576" spans="1:12" ht="15" customHeight="1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</row>
    <row r="2577" spans="1:12" ht="15" customHeight="1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</row>
    <row r="2578" spans="1:12" ht="15" customHeight="1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</row>
    <row r="2579" spans="1:12" ht="15" customHeight="1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</row>
    <row r="2580" spans="1:12" ht="15" customHeight="1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</row>
    <row r="2581" spans="1:12" ht="15" customHeight="1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</row>
    <row r="2582" spans="1:12" ht="15" customHeight="1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</row>
    <row r="2583" spans="1:12" ht="15" customHeight="1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</row>
    <row r="2584" spans="1:12" ht="15" customHeight="1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</row>
    <row r="2585" spans="1:12" ht="15" customHeight="1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</row>
    <row r="2586" spans="1:12" ht="15" customHeight="1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</row>
    <row r="2587" spans="1:12" ht="15" customHeight="1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</row>
    <row r="2588" spans="1:12" ht="15" customHeight="1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</row>
    <row r="2589" spans="1:12" ht="15" customHeight="1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</row>
    <row r="2590" spans="1:12" ht="15" customHeight="1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</row>
    <row r="2591" spans="1:12" ht="15" customHeight="1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</row>
    <row r="2592" spans="1:12" ht="15" customHeight="1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</row>
    <row r="2593" spans="1:12" ht="15" customHeight="1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</row>
    <row r="2594" spans="1:12" ht="15" customHeight="1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</row>
    <row r="2595" spans="1:12" ht="15" customHeight="1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</row>
    <row r="2596" spans="1:12" ht="15" customHeight="1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</row>
    <row r="2597" spans="1:12" ht="15" customHeight="1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</row>
    <row r="2598" spans="1:12" ht="15" customHeight="1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</row>
    <row r="2599" spans="1:12" ht="15" customHeight="1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</row>
    <row r="2600" spans="1:12" ht="15" customHeight="1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</row>
    <row r="2601" spans="1:12" ht="15" customHeight="1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</row>
    <row r="2602" spans="1:12" ht="15" customHeight="1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</row>
    <row r="2603" spans="1:12" ht="15" customHeight="1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</row>
    <row r="2604" spans="1:12" ht="15" customHeight="1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</row>
    <row r="2605" spans="1:12" ht="15" customHeight="1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</row>
    <row r="2606" spans="1:12" ht="15" customHeight="1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</row>
    <row r="2607" spans="1:12" ht="15" customHeight="1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</row>
    <row r="2608" spans="1:12" ht="15" customHeight="1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</row>
    <row r="2609" spans="1:12" ht="15" customHeight="1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</row>
    <row r="2610" spans="1:12" ht="15" customHeight="1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</row>
    <row r="2611" spans="1:12" ht="15" customHeight="1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</row>
    <row r="2612" spans="1:12" ht="15" customHeight="1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</row>
    <row r="2613" spans="1:12" ht="15" customHeight="1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</row>
    <row r="2614" spans="1:12" ht="15" customHeight="1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</row>
    <row r="2615" spans="1:12" ht="15" customHeight="1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</row>
    <row r="2616" spans="1:12" ht="15" customHeight="1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</row>
    <row r="2617" spans="1:12" ht="15" customHeight="1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</row>
    <row r="2618" spans="1:12" ht="15" customHeight="1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</row>
    <row r="2619" spans="1:12" ht="15" customHeight="1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</row>
    <row r="2620" spans="1:12" ht="15" customHeight="1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</row>
    <row r="2621" spans="1:12" ht="15" customHeight="1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</row>
    <row r="2622" spans="1:12" ht="15" customHeight="1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</row>
    <row r="2623" spans="1:12" ht="15" customHeight="1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</row>
    <row r="2624" spans="1:12" ht="15" customHeight="1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</row>
    <row r="2625" spans="1:12" ht="15" customHeight="1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</row>
    <row r="2626" spans="1:12" ht="15" customHeight="1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</row>
    <row r="2627" spans="1:12" ht="15" customHeight="1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</row>
    <row r="2628" spans="1:12" ht="15" customHeight="1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</row>
    <row r="2629" spans="1:12" ht="15" customHeight="1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</row>
    <row r="2630" spans="1:12" ht="15" customHeight="1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</row>
    <row r="2631" spans="1:12" ht="15" customHeight="1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</row>
    <row r="2632" spans="1:12" ht="15" customHeight="1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</row>
    <row r="2633" spans="1:12" ht="15" customHeight="1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</row>
    <row r="2634" spans="1:12" ht="15" customHeight="1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</row>
    <row r="2635" spans="1:12" ht="15" customHeight="1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</row>
    <row r="2636" spans="1:12" ht="15" customHeight="1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</row>
    <row r="2637" spans="1:12" ht="15" customHeight="1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</row>
    <row r="2638" spans="1:12" ht="15" customHeight="1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</row>
    <row r="2639" spans="1:12" ht="15" customHeight="1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</row>
    <row r="2640" spans="1:12" ht="15" customHeight="1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</row>
    <row r="2641" spans="1:12" ht="15" customHeight="1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</row>
    <row r="2642" spans="1:12" ht="15" customHeight="1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</row>
    <row r="2643" spans="1:12" ht="15" customHeight="1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</row>
    <row r="2644" spans="1:12" ht="15" customHeight="1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</row>
    <row r="2645" spans="1:12" ht="15" customHeight="1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</row>
    <row r="2646" spans="1:12" ht="15" customHeight="1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</row>
    <row r="2647" spans="1:12" ht="15" customHeight="1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</row>
    <row r="2648" spans="1:12" ht="15" customHeight="1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</row>
    <row r="2649" spans="1:12" ht="15" customHeight="1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</row>
    <row r="2650" spans="1:12" ht="15" customHeight="1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</row>
    <row r="2651" spans="1:12" ht="15" customHeight="1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</row>
    <row r="2652" spans="1:12" ht="15" customHeight="1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</row>
    <row r="2653" spans="1:12" ht="15" customHeight="1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</row>
    <row r="2654" spans="1:12" ht="15" customHeight="1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</row>
    <row r="2655" spans="1:12" ht="15" customHeight="1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</row>
    <row r="2656" spans="1:12" ht="15" customHeight="1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</row>
    <row r="2657" spans="1:12" ht="15" customHeight="1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</row>
    <row r="2658" spans="1:12" ht="15" customHeight="1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</row>
    <row r="2659" spans="1:12" ht="15" customHeight="1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</row>
    <row r="2660" spans="1:12" ht="15" customHeight="1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</row>
    <row r="2661" spans="1:12" ht="15" customHeight="1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</row>
    <row r="2662" spans="1:12" ht="15" customHeight="1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</row>
    <row r="2663" spans="1:12" ht="15" customHeight="1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</row>
    <row r="2664" spans="1:12" ht="15" customHeight="1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</row>
    <row r="2665" spans="1:12" ht="15" customHeight="1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</row>
    <row r="2666" spans="1:12" ht="15" customHeight="1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</row>
    <row r="2667" spans="1:12" ht="15" customHeight="1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</row>
    <row r="2668" spans="1:12" ht="15" customHeight="1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</row>
    <row r="2669" spans="1:12" ht="15" customHeight="1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</row>
    <row r="2670" spans="1:12" ht="15" customHeight="1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</row>
    <row r="2671" spans="1:12" ht="15" customHeight="1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</row>
    <row r="2672" spans="1:12" ht="15" customHeight="1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</row>
    <row r="2673" spans="1:12" ht="15" customHeight="1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</row>
    <row r="2674" spans="1:12" ht="15" customHeight="1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</row>
    <row r="2675" spans="1:12" ht="15" customHeight="1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</row>
    <row r="2676" spans="1:12" ht="15" customHeight="1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</row>
    <row r="2677" spans="1:12" ht="15" customHeight="1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</row>
    <row r="2678" spans="1:12" ht="15" customHeight="1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</row>
    <row r="2679" spans="1:12" ht="15" customHeight="1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</row>
    <row r="2680" spans="1:12" ht="15" customHeight="1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</row>
    <row r="2681" spans="1:12" ht="15" customHeight="1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</row>
    <row r="2682" spans="1:12" ht="15" customHeight="1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</row>
    <row r="2683" spans="1:12" ht="15" customHeight="1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</row>
    <row r="2684" spans="1:12" ht="15" customHeight="1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</row>
    <row r="2685" spans="1:12" ht="15" customHeight="1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</row>
    <row r="2686" spans="1:12" ht="15" customHeight="1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</row>
    <row r="2687" spans="1:12" ht="15" customHeight="1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</row>
    <row r="2688" spans="1:12" ht="15" customHeight="1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</row>
    <row r="2689" spans="1:12" ht="15" customHeight="1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</row>
    <row r="2690" spans="1:12" ht="15" customHeight="1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</row>
    <row r="2691" spans="1:12" ht="15" customHeight="1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</row>
    <row r="2692" spans="1:12" ht="15" customHeight="1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</row>
    <row r="2693" spans="1:12" ht="15" customHeight="1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</row>
    <row r="2694" spans="1:12" ht="15" customHeight="1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</row>
    <row r="2695" spans="1:12" ht="15" customHeight="1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</row>
    <row r="2696" spans="1:12" ht="15" customHeight="1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</row>
    <row r="2697" spans="1:12" ht="15" customHeight="1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</row>
    <row r="2698" spans="1:12" ht="15" customHeight="1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</row>
    <row r="2699" spans="1:12" ht="15" customHeight="1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</row>
    <row r="2700" spans="1:12" ht="15" customHeight="1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</row>
    <row r="2701" spans="1:12" ht="15" customHeight="1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</row>
    <row r="2702" spans="1:12" ht="15" customHeight="1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</row>
    <row r="2703" spans="1:12" ht="15" customHeight="1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</row>
    <row r="2704" spans="1:12" ht="15" customHeight="1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</row>
    <row r="2705" spans="1:12" ht="15" customHeight="1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</row>
    <row r="2706" spans="1:12" ht="15" customHeight="1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</row>
    <row r="2707" spans="1:12" ht="15" customHeight="1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</row>
    <row r="2708" spans="1:12" ht="15" customHeight="1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</row>
    <row r="2709" spans="1:12" ht="15" customHeight="1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</row>
    <row r="2710" spans="1:12" ht="15" customHeight="1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</row>
    <row r="2711" spans="1:12" ht="15" customHeight="1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</row>
    <row r="2712" spans="1:12" ht="15" customHeight="1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</row>
    <row r="2713" spans="1:12" ht="15" customHeight="1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</row>
    <row r="2714" spans="1:12" ht="15" customHeight="1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</row>
    <row r="2715" spans="1:12" ht="15" customHeight="1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</row>
    <row r="2716" spans="1:12" ht="15" customHeight="1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</row>
    <row r="2717" spans="1:12" ht="15" customHeight="1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</row>
    <row r="2718" spans="1:12" ht="15" customHeight="1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</row>
    <row r="2719" spans="1:12" ht="15" customHeight="1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</row>
    <row r="2720" spans="1:12" ht="15" customHeight="1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</row>
    <row r="2721" spans="1:12" ht="15" customHeight="1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</row>
    <row r="2722" spans="1:12" ht="15" customHeight="1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</row>
    <row r="2723" spans="1:12" ht="15" customHeight="1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</row>
    <row r="2724" spans="1:12" ht="15" customHeight="1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</row>
    <row r="2725" spans="1:12" ht="15" customHeight="1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</row>
    <row r="2726" spans="1:12" ht="15" customHeight="1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</row>
    <row r="2727" spans="1:12" ht="15" customHeight="1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</row>
    <row r="2728" spans="1:12" ht="15" customHeight="1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</row>
    <row r="2729" spans="1:12" ht="15" customHeight="1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</row>
    <row r="2730" spans="1:12" ht="15" customHeight="1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</row>
    <row r="2731" spans="1:12" ht="15" customHeight="1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</row>
    <row r="2732" spans="1:12" ht="15" customHeight="1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</row>
    <row r="2733" spans="1:12" ht="15" customHeight="1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</row>
    <row r="2734" spans="1:12" ht="15" customHeight="1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</row>
    <row r="2735" spans="1:12" ht="15" customHeight="1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</row>
    <row r="2736" spans="1:12" ht="15" customHeight="1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</row>
    <row r="2737" spans="1:12" ht="15" customHeight="1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</row>
    <row r="2738" spans="1:12" ht="15" customHeight="1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</row>
    <row r="2739" spans="1:12" ht="15" customHeight="1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</row>
    <row r="2740" spans="1:12" ht="15" customHeight="1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</row>
    <row r="2741" spans="1:12" ht="15" customHeight="1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</row>
    <row r="2742" spans="1:12" ht="15" customHeight="1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</row>
    <row r="2743" spans="1:12" ht="15" customHeight="1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</row>
    <row r="2744" spans="1:12" ht="15" customHeight="1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</row>
    <row r="2745" spans="1:12" ht="15" customHeight="1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</row>
    <row r="2746" spans="1:12" ht="15" customHeight="1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</row>
    <row r="2747" spans="1:12" ht="15" customHeight="1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</row>
    <row r="2748" spans="1:12" ht="15" customHeight="1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</row>
    <row r="2749" spans="1:12" ht="15" customHeight="1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</row>
    <row r="2750" spans="1:12" ht="15" customHeight="1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</row>
    <row r="2751" spans="1:12" ht="15" customHeight="1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</row>
    <row r="2752" spans="1:12" ht="15" customHeight="1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</row>
    <row r="2753" spans="1:12" ht="15" customHeight="1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</row>
    <row r="2754" spans="1:12" ht="15" customHeight="1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</row>
    <row r="2755" spans="1:12" ht="15" customHeight="1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</row>
    <row r="2756" spans="1:12" ht="15" customHeight="1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</row>
    <row r="2757" spans="1:12" ht="15" customHeight="1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</row>
    <row r="2758" spans="1:12" ht="15" customHeight="1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</row>
    <row r="2759" spans="1:12" ht="15" customHeight="1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</row>
    <row r="2760" spans="1:12" ht="15" customHeight="1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</row>
    <row r="2761" spans="1:12" ht="15" customHeight="1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</row>
    <row r="2762" spans="1:12" ht="15" customHeight="1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</row>
    <row r="2763" spans="1:12" ht="15" customHeight="1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</row>
    <row r="2764" spans="1:12" ht="15" customHeight="1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</row>
    <row r="2765" spans="1:12" ht="15" customHeight="1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</row>
    <row r="2766" spans="1:12" ht="15" customHeight="1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</row>
    <row r="2767" spans="1:12" ht="15" customHeight="1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</row>
    <row r="2768" spans="1:12" ht="15" customHeight="1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</row>
    <row r="2769" spans="1:12" ht="15" customHeight="1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</row>
    <row r="2770" spans="1:12" ht="15" customHeight="1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</row>
    <row r="2771" spans="1:12" ht="15" customHeight="1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</row>
    <row r="2772" spans="1:12" ht="15" customHeight="1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</row>
    <row r="2773" spans="1:12" ht="15" customHeight="1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</row>
    <row r="2774" spans="1:12" ht="15" customHeight="1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</row>
    <row r="2775" spans="1:12" ht="15" customHeight="1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</row>
    <row r="2776" spans="1:12" ht="15" customHeight="1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</row>
    <row r="2777" spans="1:12" ht="15" customHeight="1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</row>
    <row r="2778" spans="1:12" ht="15" customHeight="1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</row>
    <row r="2779" spans="1:12" ht="15" customHeight="1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</row>
    <row r="2780" spans="1:12" ht="15" customHeight="1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</row>
    <row r="2781" spans="1:12" ht="15" customHeight="1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</row>
    <row r="2782" spans="1:12" ht="15" customHeight="1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</row>
    <row r="2783" spans="1:12" ht="15" customHeight="1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</row>
    <row r="2784" spans="1:12" ht="15" customHeight="1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</row>
    <row r="2785" spans="1:12" ht="15" customHeight="1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</row>
    <row r="2786" spans="1:12" ht="15" customHeight="1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</row>
    <row r="2787" spans="1:12" ht="15" customHeight="1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</row>
    <row r="2788" spans="1:12" ht="15" customHeight="1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</row>
    <row r="2789" spans="1:12" ht="15" customHeight="1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</row>
    <row r="2790" spans="1:12" ht="15" customHeight="1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</row>
    <row r="2791" spans="1:12" ht="15" customHeight="1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</row>
    <row r="2792" spans="1:12" ht="15" customHeight="1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</row>
    <row r="2793" spans="1:12" ht="15" customHeight="1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</row>
    <row r="2794" spans="1:12" ht="15" customHeight="1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</row>
    <row r="2795" spans="1:12" ht="15" customHeight="1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</row>
    <row r="2796" spans="1:12" ht="15" customHeight="1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</row>
    <row r="2797" spans="1:12" ht="15" customHeight="1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</row>
    <row r="2798" spans="1:12" ht="15" customHeight="1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</row>
    <row r="2799" spans="1:12" ht="15" customHeight="1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</row>
    <row r="2800" spans="1:12" ht="15" customHeight="1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</row>
    <row r="2801" spans="1:12" ht="15" customHeight="1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</row>
    <row r="2802" spans="1:12" ht="15" customHeight="1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</row>
    <row r="2803" spans="1:12" ht="15" customHeight="1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</row>
    <row r="2804" spans="1:12" ht="15" customHeight="1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</row>
    <row r="2805" spans="1:12" ht="15" customHeight="1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</row>
    <row r="2806" spans="1:12" ht="15" customHeight="1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</row>
    <row r="2807" spans="1:12" ht="15" customHeight="1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</row>
    <row r="2808" spans="1:12" ht="15" customHeight="1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</row>
    <row r="2809" spans="1:12" ht="15" customHeight="1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</row>
    <row r="2810" spans="1:12" ht="15" customHeight="1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</row>
    <row r="2811" spans="1:12" ht="15" customHeight="1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</row>
    <row r="2812" spans="1:12" ht="15" customHeight="1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</row>
    <row r="2813" spans="1:12" ht="15" customHeight="1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</row>
    <row r="2814" spans="1:12" ht="15" customHeight="1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</row>
    <row r="2815" spans="1:12" ht="15" customHeight="1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</row>
    <row r="2816" spans="1:12" ht="15" customHeight="1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</row>
    <row r="2817" spans="1:12" ht="15" customHeight="1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</row>
    <row r="2818" spans="1:12" ht="15" customHeight="1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</row>
    <row r="2819" spans="1:12" ht="15" customHeight="1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</row>
    <row r="2820" spans="1:12" ht="15" customHeight="1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</row>
    <row r="2821" spans="1:12" ht="15" customHeight="1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</row>
    <row r="2822" spans="1:12" ht="15" customHeight="1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</row>
    <row r="2823" spans="1:12" ht="15" customHeight="1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</row>
    <row r="2824" spans="1:12" ht="15" customHeight="1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</row>
    <row r="2825" spans="1:12" ht="15" customHeight="1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</row>
    <row r="2826" spans="1:12" ht="15" customHeight="1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</row>
    <row r="2827" spans="1:12" ht="15" customHeight="1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</row>
    <row r="2828" spans="1:12" ht="15" customHeight="1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</row>
    <row r="2829" spans="1:12" ht="15" customHeight="1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</row>
    <row r="2830" spans="1:12" ht="15" customHeight="1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</row>
    <row r="2831" spans="1:12" ht="15" customHeight="1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</row>
    <row r="2832" spans="1:12" ht="15" customHeight="1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</row>
    <row r="2833" spans="1:12" ht="15" customHeight="1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</row>
    <row r="2834" spans="1:12" ht="15" customHeight="1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</row>
    <row r="2835" spans="1:12" ht="15" customHeight="1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</row>
    <row r="2836" spans="1:12" ht="15" customHeight="1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</row>
    <row r="2837" spans="1:12" ht="15" customHeight="1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</row>
    <row r="2838" spans="1:12" ht="15" customHeight="1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</row>
    <row r="2839" spans="1:12" ht="15" customHeight="1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</row>
    <row r="2840" spans="1:12" ht="15" customHeight="1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</row>
    <row r="2841" spans="1:12" ht="15" customHeight="1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</row>
    <row r="2842" spans="1:12" ht="15" customHeight="1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</row>
    <row r="2843" spans="1:12" ht="15" customHeight="1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</row>
    <row r="2844" spans="1:12" ht="15" customHeight="1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</row>
    <row r="2845" spans="1:12" ht="15" customHeight="1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</row>
    <row r="2846" spans="1:12" ht="15" customHeight="1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</row>
    <row r="2847" spans="1:12" ht="15" customHeight="1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</row>
    <row r="2848" spans="1:12" ht="15" customHeight="1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</row>
    <row r="2849" spans="1:12" ht="15" customHeight="1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</row>
    <row r="2850" spans="1:12" ht="15" customHeight="1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</row>
    <row r="2851" spans="1:12" ht="15" customHeight="1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</row>
    <row r="2852" spans="1:12" ht="15" customHeight="1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</row>
    <row r="2853" spans="1:12" ht="15" customHeight="1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</row>
    <row r="2854" spans="1:12" ht="15" customHeight="1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</row>
    <row r="2855" spans="1:12" ht="15" customHeight="1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</row>
    <row r="2856" spans="1:12" ht="15" customHeight="1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</row>
    <row r="2857" spans="1:12" ht="15" customHeight="1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</row>
    <row r="2858" spans="1:12" ht="15" customHeight="1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</row>
    <row r="2859" spans="1:12" ht="15" customHeight="1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</row>
    <row r="2860" spans="1:12" ht="15" customHeight="1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</row>
    <row r="2861" spans="1:12" ht="15" customHeight="1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</row>
    <row r="2862" spans="1:12" ht="15" customHeight="1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</row>
    <row r="2863" spans="1:12" ht="15" customHeight="1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</row>
    <row r="2864" spans="1:12" ht="15" customHeight="1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</row>
    <row r="2865" spans="1:12" ht="15" customHeight="1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</row>
    <row r="2866" spans="1:12" ht="15" customHeight="1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</row>
    <row r="2867" spans="1:12" ht="15" customHeight="1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</row>
    <row r="2868" spans="1:12" ht="15" customHeight="1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</row>
    <row r="2869" spans="1:12" ht="15" customHeight="1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</row>
    <row r="2870" spans="1:12" ht="15" customHeight="1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</row>
    <row r="2871" spans="1:12" ht="15" customHeight="1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</row>
    <row r="2872" spans="1:12" ht="15" customHeight="1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</row>
    <row r="2873" spans="1:12" ht="15" customHeight="1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</row>
    <row r="2874" spans="1:12" ht="15" customHeight="1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</row>
    <row r="2875" spans="1:12" ht="15" customHeight="1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</row>
    <row r="2876" spans="1:12" ht="15" customHeight="1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</row>
    <row r="2877" spans="1:12" ht="15" customHeight="1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</row>
    <row r="2878" spans="1:12" ht="15" customHeight="1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</row>
    <row r="2879" spans="1:12" ht="15" customHeight="1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</row>
    <row r="2880" spans="1:12" ht="15" customHeight="1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</row>
    <row r="2881" spans="1:12" ht="15" customHeight="1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</row>
    <row r="2882" spans="1:12" ht="15" customHeight="1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</row>
    <row r="2883" spans="1:12" ht="15" customHeight="1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</row>
    <row r="2884" spans="1:12" ht="15" customHeight="1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</row>
    <row r="2885" spans="1:12" ht="15" customHeight="1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</row>
    <row r="2886" spans="1:12" ht="15" customHeight="1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</row>
    <row r="2887" spans="1:12" ht="15" customHeight="1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</row>
    <row r="2888" spans="1:12" ht="15" customHeight="1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</row>
    <row r="2889" spans="1:12" ht="15" customHeight="1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</row>
    <row r="2890" spans="1:12" ht="15" customHeight="1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</row>
    <row r="2891" spans="1:12" ht="15" customHeight="1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</row>
    <row r="2892" spans="1:12" ht="15" customHeight="1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</row>
    <row r="2893" spans="1:12" ht="15" customHeight="1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</row>
    <row r="2894" spans="1:12" ht="15" customHeight="1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</row>
    <row r="2895" spans="1:12" ht="15" customHeight="1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</row>
    <row r="2896" spans="1:12" ht="15" customHeight="1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</row>
    <row r="2897" spans="1:12" ht="15" customHeight="1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</row>
    <row r="2898" spans="1:12" ht="15" customHeight="1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</row>
    <row r="2899" spans="1:12" ht="15" customHeight="1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</row>
    <row r="2900" spans="1:12" ht="15" customHeight="1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</row>
    <row r="2901" spans="1:12" ht="15" customHeight="1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</row>
    <row r="2902" spans="1:12" ht="15" customHeight="1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</row>
    <row r="2903" spans="1:12" ht="15" customHeight="1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</row>
    <row r="2904" spans="1:12" ht="15" customHeight="1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</row>
    <row r="2905" spans="1:12" ht="15" customHeight="1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</row>
    <row r="2906" spans="1:12" ht="15" customHeight="1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</row>
    <row r="2907" spans="1:12" ht="15" customHeight="1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</row>
    <row r="2908" spans="1:12" ht="15" customHeight="1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</row>
    <row r="2909" spans="1:12" ht="15" customHeight="1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</row>
    <row r="2910" spans="1:12" ht="15" customHeight="1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</row>
    <row r="2911" spans="1:12" ht="15" customHeight="1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</row>
    <row r="2912" spans="1:12" ht="15" customHeight="1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</row>
    <row r="2913" spans="1:12" ht="15" customHeight="1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</row>
    <row r="2914" spans="1:12" ht="15" customHeight="1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</row>
    <row r="2915" spans="1:12" ht="15" customHeight="1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</row>
    <row r="2916" spans="1:12" ht="15" customHeight="1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</row>
    <row r="2917" spans="1:12" ht="15" customHeight="1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</row>
    <row r="2918" spans="1:12" ht="15" customHeight="1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</row>
    <row r="2919" spans="1:12" ht="15" customHeight="1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</row>
    <row r="2920" spans="1:12" ht="15" customHeight="1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</row>
    <row r="2921" spans="1:12" ht="15" customHeight="1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</row>
    <row r="2922" spans="1:12" ht="15" customHeight="1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</row>
    <row r="2923" spans="1:12" ht="15" customHeight="1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</row>
    <row r="2924" spans="1:12" ht="15" customHeight="1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</row>
    <row r="2925" spans="1:12" ht="15" customHeight="1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</row>
    <row r="2926" spans="1:12" ht="15" customHeight="1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</row>
    <row r="2927" spans="1:12" ht="15" customHeight="1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</row>
    <row r="2928" spans="1:12" ht="15" customHeight="1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</row>
    <row r="2929" spans="1:12" ht="15" customHeight="1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</row>
    <row r="2930" spans="1:12" ht="15" customHeight="1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</row>
    <row r="2931" spans="1:12" ht="15" customHeight="1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</row>
    <row r="2932" spans="1:12" ht="15" customHeight="1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</row>
    <row r="2933" spans="1:12" ht="15" customHeight="1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</row>
    <row r="2934" spans="1:12" ht="15" customHeight="1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</row>
    <row r="2935" spans="1:12" ht="15" customHeight="1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</row>
    <row r="2936" spans="1:12" ht="15" customHeight="1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</row>
    <row r="2937" spans="1:12" ht="15" customHeight="1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</row>
    <row r="2938" spans="1:12" ht="15" customHeight="1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</row>
    <row r="2939" spans="1:12" ht="15" customHeight="1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</row>
    <row r="2940" spans="1:12" ht="15" customHeight="1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</row>
    <row r="2941" spans="1:12" ht="15" customHeight="1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</row>
    <row r="2942" spans="1:12" ht="15" customHeight="1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</row>
    <row r="2943" spans="1:12" ht="15" customHeight="1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</row>
    <row r="2944" spans="1:12" ht="15" customHeight="1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</row>
    <row r="2945" spans="1:12" ht="15" customHeight="1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</row>
    <row r="2946" spans="1:12" ht="15" customHeight="1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</row>
    <row r="2947" spans="1:12" ht="15" customHeight="1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</row>
    <row r="2948" spans="1:12" ht="15" customHeight="1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</row>
    <row r="2949" spans="1:12" ht="15" customHeight="1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</row>
    <row r="2950" spans="1:12" ht="15" customHeight="1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</row>
    <row r="2951" spans="1:12" ht="15" customHeight="1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</row>
    <row r="2952" spans="1:12" ht="15" customHeight="1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</row>
    <row r="2953" spans="1:12" ht="15" customHeight="1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</row>
    <row r="2954" spans="1:12" ht="15" customHeight="1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</row>
    <row r="2955" spans="1:12" ht="15" customHeight="1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</row>
    <row r="2956" spans="1:12" ht="15" customHeight="1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</row>
    <row r="2957" spans="1:12" ht="15" customHeight="1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</row>
    <row r="2958" spans="1:12" ht="15" customHeight="1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</row>
    <row r="2959" spans="1:12" ht="15" customHeight="1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</row>
    <row r="2960" spans="1:12" ht="15" customHeight="1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</row>
    <row r="2961" spans="1:12" ht="15" customHeight="1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</row>
    <row r="2962" spans="1:12" ht="15" customHeight="1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</row>
    <row r="2963" spans="1:12" ht="15" customHeight="1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</row>
    <row r="2964" spans="1:12" ht="15" customHeight="1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</row>
    <row r="2965" spans="1:12" ht="15" customHeight="1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</row>
    <row r="2966" spans="1:12" ht="15" customHeight="1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</row>
    <row r="2967" spans="1:12" ht="15" customHeight="1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</row>
    <row r="2968" spans="1:12" ht="15" customHeight="1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</row>
    <row r="2969" spans="1:12" ht="15" customHeight="1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</row>
    <row r="2970" spans="1:12" ht="15" customHeight="1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</row>
    <row r="2971" spans="1:12" ht="15" customHeight="1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</row>
    <row r="2972" spans="1:12" ht="15" customHeight="1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</row>
    <row r="2973" spans="1:12" ht="15" customHeight="1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</row>
    <row r="2974" spans="1:12" ht="15" customHeight="1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</row>
    <row r="2975" spans="1:12" ht="15" customHeight="1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</row>
    <row r="2976" spans="1:12" ht="15" customHeight="1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</row>
    <row r="2977" spans="1:12" ht="15" customHeight="1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</row>
    <row r="2978" spans="1:12" ht="15" customHeight="1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</row>
    <row r="2979" spans="1:12" ht="15" customHeight="1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</row>
    <row r="2980" spans="1:12" ht="15" customHeight="1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</row>
    <row r="2981" spans="1:12" ht="15" customHeight="1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</row>
    <row r="2982" spans="1:12" ht="15" customHeight="1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</row>
    <row r="2983" spans="1:12" ht="15" customHeight="1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</row>
    <row r="2984" spans="1:12" ht="15" customHeight="1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</row>
    <row r="2985" spans="1:12" ht="15" customHeight="1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</row>
    <row r="2986" spans="1:12" ht="15" customHeight="1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</row>
    <row r="2987" spans="1:12" ht="15" customHeight="1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</row>
    <row r="2988" spans="1:12" ht="15" customHeight="1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</row>
    <row r="2989" spans="1:12" ht="15" customHeight="1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</row>
    <row r="2990" spans="1:12" ht="15" customHeight="1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</row>
    <row r="2991" spans="1:12" ht="15" customHeight="1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</row>
    <row r="2992" spans="1:12" ht="15" customHeight="1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</row>
    <row r="2993" spans="1:12" ht="15" customHeight="1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</row>
    <row r="2994" spans="1:12" ht="15" customHeight="1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</row>
    <row r="2995" spans="1:12" ht="15" customHeight="1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</row>
    <row r="2996" spans="1:12" ht="15" customHeight="1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</row>
    <row r="2997" spans="1:12" ht="15" customHeight="1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</row>
    <row r="2998" spans="1:12" ht="15" customHeight="1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</row>
    <row r="2999" spans="1:12" ht="15" customHeight="1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</row>
    <row r="3000" spans="1:12" ht="15" customHeight="1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</row>
    <row r="3001" spans="1:12" ht="15" customHeight="1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</row>
    <row r="3002" spans="1:12" ht="15" customHeight="1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</row>
    <row r="3003" spans="1:12" ht="15" customHeight="1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</row>
    <row r="3004" spans="1:12" ht="15" customHeight="1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</row>
    <row r="3005" spans="1:12" ht="15" customHeight="1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</row>
    <row r="3006" spans="1:12" ht="15" customHeight="1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</row>
    <row r="3007" spans="1:12" ht="15" customHeight="1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</row>
    <row r="3008" spans="1:12" ht="15" customHeight="1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</row>
    <row r="3009" spans="1:12" ht="15" customHeight="1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</row>
    <row r="3010" spans="1:12" ht="15" customHeight="1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</row>
    <row r="3011" spans="1:12" ht="15" customHeight="1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</row>
    <row r="3012" spans="1:12" ht="15" customHeight="1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</row>
    <row r="3013" spans="1:12" ht="15" customHeight="1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</row>
    <row r="3014" spans="1:12" ht="15" customHeight="1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</row>
    <row r="3015" spans="1:12" ht="15" customHeight="1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</row>
    <row r="3016" spans="1:12" ht="15" customHeight="1" x14ac:dyDescent="0.25">
      <c r="A3016" s="10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</row>
    <row r="3017" spans="1:12" ht="15" customHeight="1" x14ac:dyDescent="0.25">
      <c r="A3017" s="10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</row>
    <row r="3018" spans="1:12" ht="15" customHeight="1" x14ac:dyDescent="0.25">
      <c r="A3018" s="10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</row>
    <row r="3019" spans="1:12" ht="15" customHeight="1" x14ac:dyDescent="0.25">
      <c r="A3019" s="10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</row>
    <row r="3020" spans="1:12" ht="15" customHeight="1" x14ac:dyDescent="0.25">
      <c r="A3020" s="10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</row>
    <row r="3021" spans="1:12" ht="15" customHeight="1" x14ac:dyDescent="0.25">
      <c r="A3021" s="10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</row>
    <row r="3022" spans="1:12" ht="15" customHeight="1" x14ac:dyDescent="0.25">
      <c r="A3022" s="10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</row>
    <row r="3023" spans="1:12" ht="15" customHeight="1" x14ac:dyDescent="0.25">
      <c r="A3023" s="10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</row>
    <row r="3024" spans="1:12" ht="15" customHeight="1" x14ac:dyDescent="0.25">
      <c r="A3024" s="10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</row>
    <row r="3025" spans="1:12" ht="15" customHeight="1" x14ac:dyDescent="0.25">
      <c r="A3025" s="10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</row>
    <row r="3026" spans="1:12" ht="15" customHeight="1" x14ac:dyDescent="0.25">
      <c r="A3026" s="10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</row>
    <row r="3027" spans="1:12" ht="15" customHeight="1" x14ac:dyDescent="0.25">
      <c r="A3027" s="10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</row>
    <row r="3028" spans="1:12" ht="15" customHeight="1" x14ac:dyDescent="0.25">
      <c r="A3028" s="10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</row>
    <row r="3029" spans="1:12" ht="15" customHeight="1" x14ac:dyDescent="0.25">
      <c r="A3029" s="10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</row>
    <row r="3030" spans="1:12" ht="15" customHeight="1" x14ac:dyDescent="0.25">
      <c r="A3030" s="10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</row>
    <row r="3031" spans="1:12" ht="15" customHeight="1" x14ac:dyDescent="0.25">
      <c r="A3031" s="10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</row>
    <row r="3032" spans="1:12" ht="15" customHeight="1" x14ac:dyDescent="0.25">
      <c r="A3032" s="10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</row>
    <row r="3033" spans="1:12" ht="15" customHeight="1" x14ac:dyDescent="0.25">
      <c r="A3033" s="10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</row>
    <row r="3034" spans="1:12" ht="15" customHeight="1" x14ac:dyDescent="0.25">
      <c r="A3034" s="10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</row>
    <row r="3035" spans="1:12" ht="15" customHeight="1" x14ac:dyDescent="0.25">
      <c r="A3035" s="10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</row>
    <row r="3036" spans="1:12" ht="15" customHeight="1" x14ac:dyDescent="0.25">
      <c r="A3036" s="10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</row>
    <row r="3037" spans="1:12" ht="15" customHeight="1" x14ac:dyDescent="0.25">
      <c r="A3037" s="10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</row>
    <row r="3038" spans="1:12" ht="15" customHeight="1" x14ac:dyDescent="0.25">
      <c r="A3038" s="10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</row>
    <row r="3039" spans="1:12" ht="15" customHeight="1" x14ac:dyDescent="0.25">
      <c r="A3039" s="10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</row>
    <row r="3040" spans="1:12" ht="15" customHeight="1" x14ac:dyDescent="0.25">
      <c r="A3040" s="10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</row>
    <row r="3041" spans="1:12" ht="15" customHeight="1" x14ac:dyDescent="0.25">
      <c r="A3041" s="10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</row>
    <row r="3042" spans="1:12" ht="15" customHeight="1" x14ac:dyDescent="0.25">
      <c r="A3042" s="10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</row>
    <row r="3043" spans="1:12" ht="15" customHeight="1" x14ac:dyDescent="0.25">
      <c r="A3043" s="10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</row>
    <row r="3044" spans="1:12" ht="15" customHeight="1" x14ac:dyDescent="0.25">
      <c r="A3044" s="10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</row>
    <row r="3045" spans="1:12" ht="15" customHeight="1" x14ac:dyDescent="0.25">
      <c r="A3045" s="10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</row>
    <row r="3046" spans="1:12" ht="15" customHeight="1" x14ac:dyDescent="0.25">
      <c r="A3046" s="10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</row>
    <row r="3047" spans="1:12" ht="15" customHeight="1" x14ac:dyDescent="0.25">
      <c r="A3047" s="10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</row>
    <row r="3048" spans="1:12" ht="15" customHeight="1" x14ac:dyDescent="0.25">
      <c r="A3048" s="10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</row>
    <row r="3049" spans="1:12" ht="15" customHeight="1" x14ac:dyDescent="0.25">
      <c r="A3049" s="10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</row>
    <row r="3050" spans="1:12" ht="15" customHeight="1" x14ac:dyDescent="0.25">
      <c r="A3050" s="10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</row>
    <row r="3051" spans="1:12" ht="15" customHeight="1" x14ac:dyDescent="0.25">
      <c r="A3051" s="10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</row>
    <row r="3052" spans="1:12" ht="15" customHeight="1" x14ac:dyDescent="0.25">
      <c r="A3052" s="10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</row>
    <row r="3053" spans="1:12" ht="15" customHeight="1" x14ac:dyDescent="0.25">
      <c r="A3053" s="10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</row>
    <row r="3054" spans="1:12" ht="15" customHeight="1" x14ac:dyDescent="0.25">
      <c r="A3054" s="10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</row>
    <row r="3055" spans="1:12" ht="15" customHeight="1" x14ac:dyDescent="0.25">
      <c r="A3055" s="10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</row>
    <row r="3056" spans="1:12" ht="15" customHeight="1" x14ac:dyDescent="0.25">
      <c r="A3056" s="10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</row>
    <row r="3057" spans="1:12" ht="15" customHeight="1" x14ac:dyDescent="0.25">
      <c r="A3057" s="10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</row>
    <row r="3058" spans="1:12" ht="15" customHeight="1" x14ac:dyDescent="0.25">
      <c r="A3058" s="10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</row>
    <row r="3059" spans="1:12" ht="15" customHeight="1" x14ac:dyDescent="0.25">
      <c r="A3059" s="10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</row>
    <row r="3060" spans="1:12" ht="15" customHeight="1" x14ac:dyDescent="0.25">
      <c r="A3060" s="10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</row>
    <row r="3061" spans="1:12" ht="15" customHeight="1" x14ac:dyDescent="0.25">
      <c r="A3061" s="10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</row>
    <row r="3062" spans="1:12" ht="15" customHeight="1" x14ac:dyDescent="0.25">
      <c r="A3062" s="10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</row>
    <row r="3063" spans="1:12" ht="15" customHeight="1" x14ac:dyDescent="0.25">
      <c r="A3063" s="10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</row>
    <row r="3064" spans="1:12" ht="15" customHeight="1" x14ac:dyDescent="0.25">
      <c r="A3064" s="10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</row>
    <row r="3065" spans="1:12" ht="15" customHeight="1" x14ac:dyDescent="0.25">
      <c r="A3065" s="10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</row>
    <row r="3066" spans="1:12" ht="15" customHeight="1" x14ac:dyDescent="0.25">
      <c r="A3066" s="10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</row>
    <row r="3067" spans="1:12" ht="15" customHeight="1" x14ac:dyDescent="0.25">
      <c r="A3067" s="10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</row>
    <row r="3068" spans="1:12" ht="15" customHeight="1" x14ac:dyDescent="0.25">
      <c r="A3068" s="10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</row>
    <row r="3069" spans="1:12" ht="15" customHeight="1" x14ac:dyDescent="0.25">
      <c r="A3069" s="10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</row>
    <row r="3070" spans="1:12" ht="15" customHeight="1" x14ac:dyDescent="0.25">
      <c r="A3070" s="10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</row>
    <row r="3071" spans="1:12" ht="15" customHeight="1" x14ac:dyDescent="0.25">
      <c r="A3071" s="10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</row>
    <row r="3072" spans="1:12" ht="15" customHeight="1" x14ac:dyDescent="0.25">
      <c r="A3072" s="10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</row>
    <row r="3073" spans="1:12" ht="15" customHeight="1" x14ac:dyDescent="0.25">
      <c r="A3073" s="10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</row>
    <row r="3074" spans="1:12" ht="15" customHeight="1" x14ac:dyDescent="0.25">
      <c r="A3074" s="10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</row>
    <row r="3075" spans="1:12" ht="15" customHeight="1" x14ac:dyDescent="0.25">
      <c r="A3075" s="10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</row>
    <row r="3076" spans="1:12" ht="15" customHeight="1" x14ac:dyDescent="0.25">
      <c r="A3076" s="10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</row>
    <row r="3077" spans="1:12" ht="15" customHeight="1" x14ac:dyDescent="0.25">
      <c r="A3077" s="10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</row>
    <row r="3078" spans="1:12" ht="15" customHeight="1" x14ac:dyDescent="0.25">
      <c r="A3078" s="10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</row>
    <row r="3079" spans="1:12" ht="15" customHeight="1" x14ac:dyDescent="0.25">
      <c r="A3079" s="10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</row>
    <row r="3080" spans="1:12" ht="15" customHeight="1" x14ac:dyDescent="0.25">
      <c r="A3080" s="10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</row>
    <row r="3081" spans="1:12" ht="15" customHeight="1" x14ac:dyDescent="0.25">
      <c r="A3081" s="10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</row>
    <row r="3082" spans="1:12" ht="15" customHeight="1" x14ac:dyDescent="0.25">
      <c r="A3082" s="10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</row>
    <row r="3083" spans="1:12" ht="15" customHeight="1" x14ac:dyDescent="0.25">
      <c r="A3083" s="10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</row>
    <row r="3084" spans="1:12" ht="15" customHeight="1" x14ac:dyDescent="0.25">
      <c r="A3084" s="10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</row>
    <row r="3085" spans="1:12" ht="15" customHeight="1" x14ac:dyDescent="0.25">
      <c r="A3085" s="10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</row>
    <row r="3086" spans="1:12" ht="15" customHeight="1" x14ac:dyDescent="0.25">
      <c r="A3086" s="10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</row>
    <row r="3087" spans="1:12" ht="15" customHeight="1" x14ac:dyDescent="0.25">
      <c r="A3087" s="10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</row>
    <row r="3088" spans="1:12" ht="15" customHeight="1" x14ac:dyDescent="0.25">
      <c r="A3088" s="10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</row>
    <row r="3089" spans="1:12" ht="15" customHeight="1" x14ac:dyDescent="0.25">
      <c r="A3089" s="10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</row>
    <row r="3090" spans="1:12" ht="15" customHeight="1" x14ac:dyDescent="0.25">
      <c r="A3090" s="10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</row>
    <row r="3091" spans="1:12" ht="15" customHeight="1" x14ac:dyDescent="0.25">
      <c r="A3091" s="10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</row>
    <row r="3092" spans="1:12" ht="15" customHeight="1" x14ac:dyDescent="0.25">
      <c r="A3092" s="10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</row>
    <row r="3093" spans="1:12" ht="15" customHeight="1" x14ac:dyDescent="0.25">
      <c r="A3093" s="10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</row>
    <row r="3094" spans="1:12" ht="15" customHeight="1" x14ac:dyDescent="0.25">
      <c r="A3094" s="10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</row>
    <row r="3095" spans="1:12" ht="15" customHeight="1" x14ac:dyDescent="0.25">
      <c r="A3095" s="10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</row>
    <row r="3096" spans="1:12" ht="15" customHeight="1" x14ac:dyDescent="0.25">
      <c r="A3096" s="10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</row>
    <row r="3097" spans="1:12" ht="15" customHeight="1" x14ac:dyDescent="0.25">
      <c r="A3097" s="10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</row>
    <row r="3098" spans="1:12" ht="15" customHeight="1" x14ac:dyDescent="0.25">
      <c r="A3098" s="10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</row>
    <row r="3099" spans="1:12" ht="15" customHeight="1" x14ac:dyDescent="0.25">
      <c r="A3099" s="10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</row>
    <row r="3100" spans="1:12" ht="15" customHeight="1" x14ac:dyDescent="0.25">
      <c r="A3100" s="10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</row>
    <row r="3101" spans="1:12" ht="15" customHeight="1" x14ac:dyDescent="0.25">
      <c r="A3101" s="10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</row>
    <row r="3102" spans="1:12" ht="15" customHeight="1" x14ac:dyDescent="0.25">
      <c r="A3102" s="10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</row>
    <row r="3103" spans="1:12" ht="15" customHeight="1" x14ac:dyDescent="0.25">
      <c r="A3103" s="10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</row>
    <row r="3104" spans="1:12" ht="15" customHeight="1" x14ac:dyDescent="0.25">
      <c r="A3104" s="10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</row>
    <row r="3105" spans="1:12" ht="15" customHeight="1" x14ac:dyDescent="0.25">
      <c r="A3105" s="10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</row>
    <row r="3106" spans="1:12" ht="15" customHeight="1" x14ac:dyDescent="0.25">
      <c r="A3106" s="10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</row>
    <row r="3107" spans="1:12" ht="15" customHeight="1" x14ac:dyDescent="0.25">
      <c r="A3107" s="10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</row>
    <row r="3108" spans="1:12" ht="15" customHeight="1" x14ac:dyDescent="0.25">
      <c r="A3108" s="10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</row>
    <row r="3109" spans="1:12" ht="15" customHeight="1" x14ac:dyDescent="0.25">
      <c r="A3109" s="10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</row>
    <row r="3110" spans="1:12" ht="15" customHeight="1" x14ac:dyDescent="0.25">
      <c r="A3110" s="10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</row>
    <row r="3111" spans="1:12" ht="15" customHeight="1" x14ac:dyDescent="0.25">
      <c r="A3111" s="10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</row>
    <row r="3112" spans="1:12" ht="15" customHeight="1" x14ac:dyDescent="0.25">
      <c r="A3112" s="10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</row>
    <row r="3113" spans="1:12" ht="15" customHeight="1" x14ac:dyDescent="0.25">
      <c r="A3113" s="10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</row>
    <row r="3114" spans="1:12" ht="15" customHeight="1" x14ac:dyDescent="0.25">
      <c r="A3114" s="10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</row>
    <row r="3115" spans="1:12" ht="15" customHeight="1" x14ac:dyDescent="0.25">
      <c r="A3115" s="10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</row>
    <row r="3116" spans="1:12" ht="15" customHeight="1" x14ac:dyDescent="0.25">
      <c r="A3116" s="10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</row>
    <row r="3117" spans="1:12" ht="15" customHeight="1" x14ac:dyDescent="0.25">
      <c r="A3117" s="10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</row>
    <row r="3118" spans="1:12" ht="15" customHeight="1" x14ac:dyDescent="0.25">
      <c r="A3118" s="10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</row>
    <row r="3119" spans="1:12" ht="15" customHeight="1" x14ac:dyDescent="0.25">
      <c r="A3119" s="10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</row>
    <row r="3120" spans="1:12" ht="15" customHeight="1" x14ac:dyDescent="0.25">
      <c r="A3120" s="10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</row>
    <row r="3121" spans="1:12" ht="15" customHeight="1" x14ac:dyDescent="0.25">
      <c r="A3121" s="10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</row>
    <row r="3122" spans="1:12" ht="15" customHeight="1" x14ac:dyDescent="0.25">
      <c r="A3122" s="10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</row>
    <row r="3123" spans="1:12" ht="15" customHeight="1" x14ac:dyDescent="0.25">
      <c r="A3123" s="10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</row>
    <row r="3124" spans="1:12" ht="15" customHeight="1" x14ac:dyDescent="0.25">
      <c r="A3124" s="10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</row>
    <row r="3125" spans="1:12" ht="15" customHeight="1" x14ac:dyDescent="0.25">
      <c r="A3125" s="10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</row>
    <row r="3126" spans="1:12" ht="15" customHeight="1" x14ac:dyDescent="0.25">
      <c r="A3126" s="10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</row>
    <row r="3127" spans="1:12" ht="15" customHeight="1" x14ac:dyDescent="0.25">
      <c r="A3127" s="10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</row>
    <row r="3128" spans="1:12" ht="15" customHeight="1" x14ac:dyDescent="0.25">
      <c r="A3128" s="10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</row>
    <row r="3129" spans="1:12" ht="15" customHeight="1" x14ac:dyDescent="0.25">
      <c r="A3129" s="10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</row>
    <row r="3130" spans="1:12" ht="15" customHeight="1" x14ac:dyDescent="0.25">
      <c r="A3130" s="10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</row>
    <row r="3131" spans="1:12" ht="15" customHeight="1" x14ac:dyDescent="0.25">
      <c r="A3131" s="10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</row>
    <row r="3132" spans="1:12" ht="15" customHeight="1" x14ac:dyDescent="0.25">
      <c r="A3132" s="10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</row>
    <row r="3133" spans="1:12" ht="15" customHeight="1" x14ac:dyDescent="0.25">
      <c r="A3133" s="10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</row>
    <row r="3134" spans="1:12" ht="15" customHeight="1" x14ac:dyDescent="0.25">
      <c r="A3134" s="10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</row>
    <row r="3135" spans="1:12" ht="15" customHeight="1" x14ac:dyDescent="0.25">
      <c r="A3135" s="10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</row>
    <row r="3136" spans="1:12" ht="15" customHeight="1" x14ac:dyDescent="0.25">
      <c r="A3136" s="10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</row>
    <row r="3137" spans="1:12" ht="15" customHeight="1" x14ac:dyDescent="0.25">
      <c r="A3137" s="10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</row>
    <row r="3138" spans="1:12" ht="15" customHeight="1" x14ac:dyDescent="0.25">
      <c r="A3138" s="10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</row>
    <row r="3139" spans="1:12" ht="15" customHeight="1" x14ac:dyDescent="0.25">
      <c r="A3139" s="10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</row>
    <row r="3140" spans="1:12" ht="15" customHeight="1" x14ac:dyDescent="0.25">
      <c r="A3140" s="10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</row>
    <row r="3141" spans="1:12" ht="15" customHeight="1" x14ac:dyDescent="0.25">
      <c r="A3141" s="10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</row>
    <row r="3142" spans="1:12" ht="15" customHeight="1" x14ac:dyDescent="0.25">
      <c r="A3142" s="10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</row>
    <row r="3143" spans="1:12" ht="15" customHeight="1" x14ac:dyDescent="0.25">
      <c r="A3143" s="10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</row>
    <row r="3144" spans="1:12" ht="15" customHeight="1" x14ac:dyDescent="0.25">
      <c r="A3144" s="10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</row>
    <row r="3145" spans="1:12" ht="15" customHeight="1" x14ac:dyDescent="0.25">
      <c r="A3145" s="10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</row>
    <row r="3146" spans="1:12" ht="15" customHeight="1" x14ac:dyDescent="0.25">
      <c r="A3146" s="10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</row>
    <row r="3147" spans="1:12" ht="15" customHeight="1" x14ac:dyDescent="0.25">
      <c r="A3147" s="10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</row>
    <row r="3148" spans="1:12" ht="15" customHeight="1" x14ac:dyDescent="0.25">
      <c r="A3148" s="10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</row>
    <row r="3149" spans="1:12" ht="15" customHeight="1" x14ac:dyDescent="0.25">
      <c r="A3149" s="10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</row>
    <row r="3150" spans="1:12" ht="15" customHeight="1" x14ac:dyDescent="0.25">
      <c r="A3150" s="10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</row>
    <row r="3151" spans="1:12" ht="15" customHeight="1" x14ac:dyDescent="0.25">
      <c r="A3151" s="10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</row>
    <row r="3152" spans="1:12" ht="15" customHeight="1" x14ac:dyDescent="0.25">
      <c r="A3152" s="10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</row>
    <row r="3153" spans="1:12" ht="15" customHeight="1" x14ac:dyDescent="0.25">
      <c r="A3153" s="10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</row>
    <row r="3154" spans="1:12" ht="15" customHeight="1" x14ac:dyDescent="0.25">
      <c r="A3154" s="10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</row>
    <row r="3155" spans="1:12" ht="15" customHeight="1" x14ac:dyDescent="0.25">
      <c r="A3155" s="10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</row>
    <row r="3156" spans="1:12" ht="15" customHeight="1" x14ac:dyDescent="0.25">
      <c r="A3156" s="10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</row>
    <row r="3157" spans="1:12" ht="15" customHeight="1" x14ac:dyDescent="0.25">
      <c r="A3157" s="10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</row>
    <row r="3158" spans="1:12" ht="15" customHeight="1" x14ac:dyDescent="0.25">
      <c r="A3158" s="10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</row>
    <row r="3159" spans="1:12" ht="15" customHeight="1" x14ac:dyDescent="0.25">
      <c r="A3159" s="10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</row>
    <row r="3160" spans="1:12" ht="15" customHeight="1" x14ac:dyDescent="0.25">
      <c r="A3160" s="10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</row>
    <row r="3161" spans="1:12" ht="15" customHeight="1" x14ac:dyDescent="0.25">
      <c r="A3161" s="10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</row>
    <row r="3162" spans="1:12" ht="15" customHeight="1" x14ac:dyDescent="0.25">
      <c r="A3162" s="10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</row>
    <row r="3163" spans="1:12" ht="15" customHeight="1" x14ac:dyDescent="0.25">
      <c r="A3163" s="10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</row>
    <row r="3164" spans="1:12" ht="15" customHeight="1" x14ac:dyDescent="0.25">
      <c r="A3164" s="10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</row>
    <row r="3165" spans="1:12" ht="15" customHeight="1" x14ac:dyDescent="0.25">
      <c r="A3165" s="10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</row>
    <row r="3166" spans="1:12" ht="15" customHeight="1" x14ac:dyDescent="0.25">
      <c r="A3166" s="10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</row>
    <row r="3167" spans="1:12" ht="15" customHeight="1" x14ac:dyDescent="0.25">
      <c r="A3167" s="10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</row>
    <row r="3168" spans="1:12" ht="15" customHeight="1" x14ac:dyDescent="0.25">
      <c r="A3168" s="10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</row>
    <row r="3169" spans="1:12" ht="15" customHeight="1" x14ac:dyDescent="0.25">
      <c r="A3169" s="10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</row>
    <row r="3170" spans="1:12" ht="15" customHeight="1" x14ac:dyDescent="0.25">
      <c r="A3170" s="10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</row>
    <row r="3171" spans="1:12" ht="15" customHeight="1" x14ac:dyDescent="0.25">
      <c r="A3171" s="10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</row>
    <row r="3172" spans="1:12" ht="15" customHeight="1" x14ac:dyDescent="0.25">
      <c r="A3172" s="10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</row>
    <row r="3173" spans="1:12" ht="15" customHeight="1" x14ac:dyDescent="0.25">
      <c r="A3173" s="10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</row>
    <row r="3174" spans="1:12" ht="15" customHeight="1" x14ac:dyDescent="0.25">
      <c r="A3174" s="10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</row>
    <row r="3175" spans="1:12" ht="15" customHeight="1" x14ac:dyDescent="0.25">
      <c r="A3175" s="10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</row>
    <row r="3176" spans="1:12" ht="15" customHeight="1" x14ac:dyDescent="0.25">
      <c r="A3176" s="10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</row>
    <row r="3177" spans="1:12" ht="15" customHeight="1" x14ac:dyDescent="0.25">
      <c r="A3177" s="10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</row>
    <row r="3178" spans="1:12" ht="15" customHeight="1" x14ac:dyDescent="0.25">
      <c r="A3178" s="10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</row>
    <row r="3179" spans="1:12" ht="15" customHeight="1" x14ac:dyDescent="0.25">
      <c r="A3179" s="10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</row>
    <row r="3180" spans="1:12" ht="15" customHeight="1" x14ac:dyDescent="0.25">
      <c r="A3180" s="10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</row>
    <row r="3181" spans="1:12" ht="15" customHeight="1" x14ac:dyDescent="0.25">
      <c r="A3181" s="10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</row>
    <row r="3182" spans="1:12" ht="15" customHeight="1" x14ac:dyDescent="0.25">
      <c r="A3182" s="10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</row>
    <row r="3183" spans="1:12" ht="15" customHeight="1" x14ac:dyDescent="0.25">
      <c r="A3183" s="10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</row>
    <row r="3184" spans="1:12" ht="15" customHeight="1" x14ac:dyDescent="0.25">
      <c r="A3184" s="10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</row>
    <row r="3185" spans="1:12" ht="15" customHeight="1" x14ac:dyDescent="0.25">
      <c r="A3185" s="10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</row>
    <row r="3186" spans="1:12" ht="15" customHeight="1" x14ac:dyDescent="0.25">
      <c r="A3186" s="10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</row>
    <row r="3187" spans="1:12" ht="15" customHeight="1" x14ac:dyDescent="0.25">
      <c r="A3187" s="10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</row>
    <row r="3188" spans="1:12" ht="15" customHeight="1" x14ac:dyDescent="0.25">
      <c r="A3188" s="10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</row>
    <row r="3189" spans="1:12" ht="15" customHeight="1" x14ac:dyDescent="0.25">
      <c r="A3189" s="10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</row>
    <row r="3190" spans="1:12" ht="15" customHeight="1" x14ac:dyDescent="0.25">
      <c r="A3190" s="10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</row>
    <row r="3191" spans="1:12" ht="15" customHeight="1" x14ac:dyDescent="0.25">
      <c r="A3191" s="10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</row>
    <row r="3192" spans="1:12" ht="15" customHeight="1" x14ac:dyDescent="0.25">
      <c r="A3192" s="10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</row>
    <row r="3193" spans="1:12" ht="15" customHeight="1" x14ac:dyDescent="0.25">
      <c r="A3193" s="10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</row>
    <row r="3194" spans="1:12" ht="15" customHeight="1" x14ac:dyDescent="0.25">
      <c r="A3194" s="10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</row>
    <row r="3195" spans="1:12" ht="15" customHeight="1" x14ac:dyDescent="0.25">
      <c r="A3195" s="10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</row>
    <row r="3196" spans="1:12" ht="15" customHeight="1" x14ac:dyDescent="0.25">
      <c r="A3196" s="10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</row>
    <row r="3197" spans="1:12" ht="15" customHeight="1" x14ac:dyDescent="0.25">
      <c r="A3197" s="10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</row>
    <row r="3198" spans="1:12" ht="15" customHeight="1" x14ac:dyDescent="0.25">
      <c r="A3198" s="10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</row>
    <row r="3199" spans="1:12" ht="15" customHeight="1" x14ac:dyDescent="0.25">
      <c r="A3199" s="10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</row>
    <row r="3200" spans="1:12" ht="15" customHeight="1" x14ac:dyDescent="0.25">
      <c r="A3200" s="10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</row>
    <row r="3201" spans="1:12" ht="15" customHeight="1" x14ac:dyDescent="0.25">
      <c r="A3201" s="10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</row>
    <row r="3202" spans="1:12" ht="15" customHeight="1" x14ac:dyDescent="0.25">
      <c r="A3202" s="10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</row>
    <row r="3203" spans="1:12" ht="15" customHeight="1" x14ac:dyDescent="0.25">
      <c r="A3203" s="10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</row>
    <row r="3204" spans="1:12" ht="15" customHeight="1" x14ac:dyDescent="0.25">
      <c r="A3204" s="10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</row>
    <row r="3205" spans="1:12" ht="15" customHeight="1" x14ac:dyDescent="0.25">
      <c r="A3205" s="10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</row>
    <row r="3206" spans="1:12" ht="15" customHeight="1" x14ac:dyDescent="0.25">
      <c r="A3206" s="10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</row>
    <row r="3207" spans="1:12" ht="15" customHeight="1" x14ac:dyDescent="0.25">
      <c r="A3207" s="10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</row>
    <row r="3208" spans="1:12" ht="15" customHeight="1" x14ac:dyDescent="0.25">
      <c r="A3208" s="10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</row>
    <row r="3209" spans="1:12" ht="15" customHeight="1" x14ac:dyDescent="0.25">
      <c r="A3209" s="10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</row>
    <row r="3210" spans="1:12" ht="15" customHeight="1" x14ac:dyDescent="0.25">
      <c r="A3210" s="10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</row>
    <row r="3211" spans="1:12" ht="15" customHeight="1" x14ac:dyDescent="0.25">
      <c r="A3211" s="10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</row>
    <row r="3212" spans="1:12" ht="15" customHeight="1" x14ac:dyDescent="0.25">
      <c r="A3212" s="10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</row>
    <row r="3213" spans="1:12" ht="15" customHeight="1" x14ac:dyDescent="0.25">
      <c r="A3213" s="10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</row>
    <row r="3214" spans="1:12" ht="15" customHeight="1" x14ac:dyDescent="0.25">
      <c r="A3214" s="10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</row>
    <row r="3215" spans="1:12" ht="15" customHeight="1" x14ac:dyDescent="0.25">
      <c r="A3215" s="10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</row>
    <row r="3216" spans="1:12" ht="15" customHeight="1" x14ac:dyDescent="0.25">
      <c r="A3216" s="10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</row>
    <row r="3217" spans="1:12" ht="15" customHeight="1" x14ac:dyDescent="0.25">
      <c r="A3217" s="10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</row>
    <row r="3218" spans="1:12" ht="15" customHeight="1" x14ac:dyDescent="0.25">
      <c r="A3218" s="10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</row>
    <row r="3219" spans="1:12" ht="15" customHeight="1" x14ac:dyDescent="0.25">
      <c r="A3219" s="10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</row>
    <row r="3220" spans="1:12" ht="15" customHeight="1" x14ac:dyDescent="0.25">
      <c r="A3220" s="10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</row>
    <row r="3221" spans="1:12" ht="15" customHeight="1" x14ac:dyDescent="0.25">
      <c r="A3221" s="10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</row>
    <row r="3222" spans="1:12" ht="15" customHeight="1" x14ac:dyDescent="0.25">
      <c r="A3222" s="10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</row>
    <row r="3223" spans="1:12" ht="15" customHeight="1" x14ac:dyDescent="0.25">
      <c r="A3223" s="10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</row>
    <row r="3224" spans="1:12" ht="15" customHeight="1" x14ac:dyDescent="0.25">
      <c r="A3224" s="10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</row>
    <row r="3225" spans="1:12" ht="15" customHeight="1" x14ac:dyDescent="0.25">
      <c r="A3225" s="10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</row>
    <row r="3226" spans="1:12" ht="15" customHeight="1" x14ac:dyDescent="0.25">
      <c r="A3226" s="10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</row>
    <row r="3227" spans="1:12" ht="15" customHeight="1" x14ac:dyDescent="0.25">
      <c r="A3227" s="10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</row>
    <row r="3228" spans="1:12" ht="15" customHeight="1" x14ac:dyDescent="0.25">
      <c r="A3228" s="10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</row>
    <row r="3229" spans="1:12" ht="15" customHeight="1" x14ac:dyDescent="0.25">
      <c r="A3229" s="10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</row>
    <row r="3230" spans="1:12" ht="15" customHeight="1" x14ac:dyDescent="0.25">
      <c r="A3230" s="10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</row>
    <row r="3231" spans="1:12" ht="15" customHeight="1" x14ac:dyDescent="0.25">
      <c r="A3231" s="10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</row>
    <row r="3232" spans="1:12" ht="15" customHeight="1" x14ac:dyDescent="0.25">
      <c r="A3232" s="10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</row>
    <row r="3233" spans="1:12" ht="15" customHeight="1" x14ac:dyDescent="0.25">
      <c r="A3233" s="10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</row>
    <row r="3234" spans="1:12" ht="15" customHeight="1" x14ac:dyDescent="0.25">
      <c r="A3234" s="10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</row>
    <row r="3235" spans="1:12" ht="15" customHeight="1" x14ac:dyDescent="0.25">
      <c r="A3235" s="10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</row>
    <row r="3236" spans="1:12" ht="15" customHeight="1" x14ac:dyDescent="0.25">
      <c r="A3236" s="10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</row>
    <row r="3237" spans="1:12" ht="15" customHeight="1" x14ac:dyDescent="0.25">
      <c r="A3237" s="10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</row>
    <row r="3238" spans="1:12" ht="15" customHeight="1" x14ac:dyDescent="0.25">
      <c r="A3238" s="10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</row>
    <row r="3239" spans="1:12" ht="15" customHeight="1" x14ac:dyDescent="0.25">
      <c r="A3239" s="10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</row>
    <row r="3240" spans="1:12" ht="15" customHeight="1" x14ac:dyDescent="0.25">
      <c r="A3240" s="10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</row>
    <row r="3241" spans="1:12" ht="15" customHeight="1" x14ac:dyDescent="0.25">
      <c r="A3241" s="10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</row>
    <row r="3242" spans="1:12" ht="15" customHeight="1" x14ac:dyDescent="0.25">
      <c r="A3242" s="10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</row>
    <row r="3243" spans="1:12" ht="15" customHeight="1" x14ac:dyDescent="0.25">
      <c r="A3243" s="10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</row>
    <row r="3244" spans="1:12" ht="15" customHeight="1" x14ac:dyDescent="0.25">
      <c r="A3244" s="10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</row>
    <row r="3245" spans="1:12" ht="15" customHeight="1" x14ac:dyDescent="0.25">
      <c r="A3245" s="10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</row>
    <row r="3246" spans="1:12" ht="15" customHeight="1" x14ac:dyDescent="0.25">
      <c r="A3246" s="10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</row>
    <row r="3247" spans="1:12" ht="15" customHeight="1" x14ac:dyDescent="0.25">
      <c r="A3247" s="10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</row>
    <row r="3248" spans="1:12" ht="15" customHeight="1" x14ac:dyDescent="0.25">
      <c r="A3248" s="10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</row>
    <row r="3249" spans="1:12" ht="15" customHeight="1" x14ac:dyDescent="0.25">
      <c r="A3249" s="10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</row>
    <row r="3250" spans="1:12" ht="15" customHeight="1" x14ac:dyDescent="0.25">
      <c r="A3250" s="10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</row>
    <row r="3251" spans="1:12" ht="15" customHeight="1" x14ac:dyDescent="0.25">
      <c r="A3251" s="10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</row>
    <row r="3252" spans="1:12" ht="15" customHeight="1" x14ac:dyDescent="0.25">
      <c r="A3252" s="10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</row>
    <row r="3253" spans="1:12" ht="15" customHeight="1" x14ac:dyDescent="0.25">
      <c r="A3253" s="10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</row>
    <row r="3254" spans="1:12" ht="15" customHeight="1" x14ac:dyDescent="0.25">
      <c r="A3254" s="10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</row>
    <row r="3255" spans="1:12" ht="15" customHeight="1" x14ac:dyDescent="0.25">
      <c r="A3255" s="10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</row>
    <row r="3256" spans="1:12" ht="15" customHeight="1" x14ac:dyDescent="0.25">
      <c r="A3256" s="10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</row>
    <row r="3257" spans="1:12" ht="15" customHeight="1" x14ac:dyDescent="0.25">
      <c r="A3257" s="10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</row>
    <row r="3258" spans="1:12" ht="15" customHeight="1" x14ac:dyDescent="0.25">
      <c r="A3258" s="10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</row>
    <row r="3259" spans="1:12" ht="15" customHeight="1" x14ac:dyDescent="0.25">
      <c r="A3259" s="10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</row>
    <row r="3260" spans="1:12" ht="15" customHeight="1" x14ac:dyDescent="0.25">
      <c r="A3260" s="10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</row>
    <row r="3261" spans="1:12" ht="15" customHeight="1" x14ac:dyDescent="0.25">
      <c r="A3261" s="10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</row>
    <row r="3262" spans="1:12" ht="15" customHeight="1" x14ac:dyDescent="0.25">
      <c r="A3262" s="10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</row>
    <row r="3263" spans="1:12" ht="15" customHeight="1" x14ac:dyDescent="0.25">
      <c r="A3263" s="10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</row>
    <row r="3264" spans="1:12" ht="15" customHeight="1" x14ac:dyDescent="0.25">
      <c r="A3264" s="10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</row>
    <row r="3265" spans="1:12" ht="15" customHeight="1" x14ac:dyDescent="0.25">
      <c r="A3265" s="10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</row>
    <row r="3266" spans="1:12" ht="15" customHeight="1" x14ac:dyDescent="0.25">
      <c r="A3266" s="10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</row>
    <row r="3267" spans="1:12" ht="15" customHeight="1" x14ac:dyDescent="0.25">
      <c r="A3267" s="10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</row>
    <row r="3268" spans="1:12" ht="15" customHeight="1" x14ac:dyDescent="0.25">
      <c r="A3268" s="10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</row>
    <row r="3269" spans="1:12" ht="15" customHeight="1" x14ac:dyDescent="0.25">
      <c r="A3269" s="10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</row>
    <row r="3270" spans="1:12" ht="15" customHeight="1" x14ac:dyDescent="0.25">
      <c r="A3270" s="10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</row>
    <row r="3271" spans="1:12" ht="15" customHeight="1" x14ac:dyDescent="0.25">
      <c r="A3271" s="10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</row>
    <row r="3272" spans="1:12" ht="15" customHeight="1" x14ac:dyDescent="0.25">
      <c r="A3272" s="10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</row>
    <row r="3273" spans="1:12" ht="15" customHeight="1" x14ac:dyDescent="0.25">
      <c r="A3273" s="10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</row>
    <row r="3274" spans="1:12" ht="15" customHeight="1" x14ac:dyDescent="0.25">
      <c r="A3274" s="10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</row>
    <row r="3275" spans="1:12" ht="15" customHeight="1" x14ac:dyDescent="0.25">
      <c r="A3275" s="10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</row>
    <row r="3276" spans="1:12" ht="15" customHeight="1" x14ac:dyDescent="0.25">
      <c r="A3276" s="10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</row>
    <row r="3277" spans="1:12" ht="15" customHeight="1" x14ac:dyDescent="0.25">
      <c r="A3277" s="10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</row>
    <row r="3278" spans="1:12" ht="15" customHeight="1" x14ac:dyDescent="0.25">
      <c r="A3278" s="10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</row>
    <row r="3279" spans="1:12" ht="15" customHeight="1" x14ac:dyDescent="0.25">
      <c r="A3279" s="10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</row>
    <row r="3280" spans="1:12" ht="15" customHeight="1" x14ac:dyDescent="0.25">
      <c r="A3280" s="10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</row>
    <row r="3281" spans="1:12" ht="15" customHeight="1" x14ac:dyDescent="0.25">
      <c r="A3281" s="10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</row>
    <row r="3282" spans="1:12" ht="15" customHeight="1" x14ac:dyDescent="0.25">
      <c r="A3282" s="10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</row>
    <row r="3283" spans="1:12" ht="15" customHeight="1" x14ac:dyDescent="0.25">
      <c r="A3283" s="10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</row>
    <row r="3284" spans="1:12" ht="15" customHeight="1" x14ac:dyDescent="0.25">
      <c r="A3284" s="10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</row>
    <row r="3285" spans="1:12" ht="15" customHeight="1" x14ac:dyDescent="0.25">
      <c r="A3285" s="10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</row>
    <row r="3286" spans="1:12" ht="15" customHeight="1" x14ac:dyDescent="0.25">
      <c r="A3286" s="10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</row>
    <row r="3287" spans="1:12" ht="15" customHeight="1" x14ac:dyDescent="0.25">
      <c r="A3287" s="10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</row>
    <row r="3288" spans="1:12" ht="15" customHeight="1" x14ac:dyDescent="0.25">
      <c r="A3288" s="10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</row>
    <row r="3289" spans="1:12" ht="15" customHeight="1" x14ac:dyDescent="0.25">
      <c r="A3289" s="10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</row>
    <row r="3290" spans="1:12" ht="15" customHeight="1" x14ac:dyDescent="0.25">
      <c r="A3290" s="10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</row>
    <row r="3291" spans="1:12" ht="15" customHeight="1" x14ac:dyDescent="0.25">
      <c r="A3291" s="10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</row>
    <row r="3292" spans="1:12" ht="15" customHeight="1" x14ac:dyDescent="0.25">
      <c r="A3292" s="10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</row>
    <row r="3293" spans="1:12" ht="15" customHeight="1" x14ac:dyDescent="0.25">
      <c r="A3293" s="10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</row>
    <row r="3294" spans="1:12" ht="15" customHeight="1" x14ac:dyDescent="0.25">
      <c r="A3294" s="10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</row>
    <row r="3295" spans="1:12" ht="15" customHeight="1" x14ac:dyDescent="0.25">
      <c r="A3295" s="10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</row>
    <row r="3296" spans="1:12" ht="15" customHeight="1" x14ac:dyDescent="0.25">
      <c r="A3296" s="10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</row>
    <row r="3297" spans="1:12" ht="15" customHeight="1" x14ac:dyDescent="0.25">
      <c r="A3297" s="10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</row>
    <row r="3298" spans="1:12" ht="15" customHeight="1" x14ac:dyDescent="0.25">
      <c r="A3298" s="10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</row>
    <row r="3299" spans="1:12" ht="15" customHeight="1" x14ac:dyDescent="0.25">
      <c r="A3299" s="10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</row>
    <row r="3300" spans="1:12" ht="15" customHeight="1" x14ac:dyDescent="0.25">
      <c r="A3300" s="10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</row>
    <row r="3301" spans="1:12" ht="15" customHeight="1" x14ac:dyDescent="0.25">
      <c r="A3301" s="10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</row>
    <row r="3302" spans="1:12" ht="15" customHeight="1" x14ac:dyDescent="0.25">
      <c r="A3302" s="10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</row>
    <row r="3303" spans="1:12" ht="15" customHeight="1" x14ac:dyDescent="0.25">
      <c r="A3303" s="10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</row>
    <row r="3304" spans="1:12" ht="15" customHeight="1" x14ac:dyDescent="0.25">
      <c r="A3304" s="10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</row>
    <row r="3305" spans="1:12" ht="15" customHeight="1" x14ac:dyDescent="0.25">
      <c r="A3305" s="10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</row>
    <row r="3306" spans="1:12" ht="15" customHeight="1" x14ac:dyDescent="0.25">
      <c r="A3306" s="10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</row>
    <row r="3307" spans="1:12" ht="15" customHeight="1" x14ac:dyDescent="0.25">
      <c r="A3307" s="10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</row>
    <row r="3308" spans="1:12" ht="15" customHeight="1" x14ac:dyDescent="0.25">
      <c r="A3308" s="10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</row>
    <row r="3309" spans="1:12" ht="15" customHeight="1" x14ac:dyDescent="0.25">
      <c r="A3309" s="10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</row>
    <row r="3310" spans="1:12" ht="15" customHeight="1" x14ac:dyDescent="0.25">
      <c r="A3310" s="10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</row>
    <row r="3311" spans="1:12" ht="15" customHeight="1" x14ac:dyDescent="0.25">
      <c r="A3311" s="10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</row>
    <row r="3312" spans="1:12" ht="15" customHeight="1" x14ac:dyDescent="0.25">
      <c r="A3312" s="10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</row>
    <row r="3313" spans="1:12" ht="15" customHeight="1" x14ac:dyDescent="0.25">
      <c r="A3313" s="10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</row>
    <row r="3314" spans="1:12" ht="15" customHeight="1" x14ac:dyDescent="0.25">
      <c r="A3314" s="10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</row>
    <row r="3315" spans="1:12" ht="15" customHeight="1" x14ac:dyDescent="0.25">
      <c r="A3315" s="10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</row>
    <row r="3316" spans="1:12" ht="15" customHeight="1" x14ac:dyDescent="0.25">
      <c r="A3316" s="10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</row>
    <row r="3317" spans="1:12" ht="15" customHeight="1" x14ac:dyDescent="0.25">
      <c r="A3317" s="10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</row>
    <row r="3318" spans="1:12" ht="15" customHeight="1" x14ac:dyDescent="0.25">
      <c r="A3318" s="10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</row>
    <row r="3319" spans="1:12" ht="15" customHeight="1" x14ac:dyDescent="0.25">
      <c r="A3319" s="10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</row>
    <row r="3320" spans="1:12" ht="15" customHeight="1" x14ac:dyDescent="0.25">
      <c r="A3320" s="10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</row>
    <row r="3321" spans="1:12" ht="15" customHeight="1" x14ac:dyDescent="0.25">
      <c r="A3321" s="10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</row>
    <row r="3322" spans="1:12" ht="15" customHeight="1" x14ac:dyDescent="0.25">
      <c r="A3322" s="10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</row>
    <row r="3323" spans="1:12" ht="15" customHeight="1" x14ac:dyDescent="0.25">
      <c r="A3323" s="10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</row>
    <row r="3324" spans="1:12" ht="15" customHeight="1" x14ac:dyDescent="0.25">
      <c r="A3324" s="10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</row>
    <row r="3325" spans="1:12" ht="15" customHeight="1" x14ac:dyDescent="0.25">
      <c r="A3325" s="10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</row>
    <row r="3326" spans="1:12" ht="15" customHeight="1" x14ac:dyDescent="0.25">
      <c r="A3326" s="10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</row>
    <row r="3327" spans="1:12" ht="15" customHeight="1" x14ac:dyDescent="0.25">
      <c r="A3327" s="10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</row>
    <row r="3328" spans="1:12" ht="15" customHeight="1" x14ac:dyDescent="0.25">
      <c r="A3328" s="10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</row>
    <row r="3329" spans="1:12" ht="15" customHeight="1" x14ac:dyDescent="0.25">
      <c r="A3329" s="10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</row>
    <row r="3330" spans="1:12" ht="15" customHeight="1" x14ac:dyDescent="0.25">
      <c r="A3330" s="10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</row>
    <row r="3331" spans="1:12" ht="15" customHeight="1" x14ac:dyDescent="0.25">
      <c r="A3331" s="10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</row>
    <row r="3332" spans="1:12" ht="15" customHeight="1" x14ac:dyDescent="0.25">
      <c r="A3332" s="10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</row>
    <row r="3333" spans="1:12" ht="15" customHeight="1" x14ac:dyDescent="0.25">
      <c r="A3333" s="10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</row>
    <row r="3334" spans="1:12" ht="15" customHeight="1" x14ac:dyDescent="0.25">
      <c r="A3334" s="10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</row>
    <row r="3335" spans="1:12" ht="15" customHeight="1" x14ac:dyDescent="0.25">
      <c r="A3335" s="10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</row>
    <row r="3336" spans="1:12" ht="15" customHeight="1" x14ac:dyDescent="0.25">
      <c r="A3336" s="10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</row>
    <row r="3337" spans="1:12" ht="15" customHeight="1" x14ac:dyDescent="0.25">
      <c r="A3337" s="10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</row>
    <row r="3338" spans="1:12" ht="15" customHeight="1" x14ac:dyDescent="0.25">
      <c r="A3338" s="10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</row>
    <row r="3339" spans="1:12" ht="15" customHeight="1" x14ac:dyDescent="0.25">
      <c r="A3339" s="10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</row>
    <row r="3340" spans="1:12" ht="15" customHeight="1" x14ac:dyDescent="0.25">
      <c r="A3340" s="10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</row>
    <row r="3341" spans="1:12" ht="15" customHeight="1" x14ac:dyDescent="0.25">
      <c r="A3341" s="10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</row>
    <row r="3342" spans="1:12" ht="15" customHeight="1" x14ac:dyDescent="0.25">
      <c r="A3342" s="10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</row>
    <row r="3343" spans="1:12" ht="15" customHeight="1" x14ac:dyDescent="0.25">
      <c r="A3343" s="10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</row>
    <row r="3344" spans="1:12" ht="15" customHeight="1" x14ac:dyDescent="0.25">
      <c r="A3344" s="10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</row>
    <row r="3345" spans="1:12" ht="15" customHeight="1" x14ac:dyDescent="0.25">
      <c r="A3345" s="10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</row>
    <row r="3346" spans="1:12" ht="15" customHeight="1" x14ac:dyDescent="0.25">
      <c r="A3346" s="10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</row>
    <row r="3347" spans="1:12" ht="15" customHeight="1" x14ac:dyDescent="0.25">
      <c r="A3347" s="10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</row>
    <row r="3348" spans="1:12" ht="15" customHeight="1" x14ac:dyDescent="0.25">
      <c r="A3348" s="10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</row>
    <row r="3349" spans="1:12" ht="15" customHeight="1" x14ac:dyDescent="0.25">
      <c r="A3349" s="10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</row>
    <row r="3350" spans="1:12" ht="15" customHeight="1" x14ac:dyDescent="0.25">
      <c r="A3350" s="10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</row>
    <row r="3351" spans="1:12" ht="15" customHeight="1" x14ac:dyDescent="0.25">
      <c r="A3351" s="10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</row>
    <row r="3352" spans="1:12" ht="15" customHeight="1" x14ac:dyDescent="0.25">
      <c r="A3352" s="10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</row>
    <row r="3353" spans="1:12" ht="15" customHeight="1" x14ac:dyDescent="0.25">
      <c r="A3353" s="10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</row>
    <row r="3354" spans="1:12" ht="15" customHeight="1" x14ac:dyDescent="0.25">
      <c r="A3354" s="10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</row>
    <row r="3355" spans="1:12" ht="15" customHeight="1" x14ac:dyDescent="0.25">
      <c r="A3355" s="10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</row>
    <row r="3356" spans="1:12" ht="15" customHeight="1" x14ac:dyDescent="0.25">
      <c r="A3356" s="10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</row>
    <row r="3357" spans="1:12" ht="15" customHeight="1" x14ac:dyDescent="0.25">
      <c r="A3357" s="10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</row>
    <row r="3358" spans="1:12" ht="15" customHeight="1" x14ac:dyDescent="0.25">
      <c r="A3358" s="10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</row>
    <row r="3359" spans="1:12" ht="15" customHeight="1" x14ac:dyDescent="0.25">
      <c r="A3359" s="10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</row>
    <row r="3360" spans="1:12" ht="15" customHeight="1" x14ac:dyDescent="0.25">
      <c r="A3360" s="10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</row>
    <row r="3361" spans="1:12" ht="15" customHeight="1" x14ac:dyDescent="0.25">
      <c r="A3361" s="10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</row>
    <row r="3362" spans="1:12" ht="15" customHeight="1" x14ac:dyDescent="0.25">
      <c r="A3362" s="10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</row>
    <row r="3363" spans="1:12" ht="15" customHeight="1" x14ac:dyDescent="0.25">
      <c r="A3363" s="10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</row>
    <row r="3364" spans="1:12" ht="15" customHeight="1" x14ac:dyDescent="0.25">
      <c r="A3364" s="10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</row>
    <row r="3365" spans="1:12" ht="15" customHeight="1" x14ac:dyDescent="0.25">
      <c r="A3365" s="10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</row>
    <row r="3366" spans="1:12" ht="15" customHeight="1" x14ac:dyDescent="0.25">
      <c r="A3366" s="10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</row>
    <row r="3367" spans="1:12" ht="15" customHeight="1" x14ac:dyDescent="0.25">
      <c r="A3367" s="10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</row>
    <row r="3368" spans="1:12" ht="15" customHeight="1" x14ac:dyDescent="0.25">
      <c r="A3368" s="10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</row>
    <row r="3369" spans="1:12" ht="15" customHeight="1" x14ac:dyDescent="0.25">
      <c r="A3369" s="10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</row>
    <row r="3370" spans="1:12" ht="15" customHeight="1" x14ac:dyDescent="0.25">
      <c r="A3370" s="10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</row>
    <row r="3371" spans="1:12" ht="15" customHeight="1" x14ac:dyDescent="0.25">
      <c r="A3371" s="10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</row>
    <row r="3372" spans="1:12" ht="15" customHeight="1" x14ac:dyDescent="0.25">
      <c r="A3372" s="10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</row>
    <row r="3373" spans="1:12" ht="15" customHeight="1" x14ac:dyDescent="0.25">
      <c r="A3373" s="10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</row>
    <row r="3374" spans="1:12" ht="15" customHeight="1" x14ac:dyDescent="0.25">
      <c r="A3374" s="10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</row>
    <row r="3375" spans="1:12" ht="15" customHeight="1" x14ac:dyDescent="0.25">
      <c r="A3375" s="10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</row>
    <row r="3376" spans="1:12" ht="15" customHeight="1" x14ac:dyDescent="0.25">
      <c r="A3376" s="10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</row>
    <row r="3377" spans="1:12" ht="15" customHeight="1" x14ac:dyDescent="0.25">
      <c r="A3377" s="10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</row>
    <row r="3378" spans="1:12" ht="15" customHeight="1" x14ac:dyDescent="0.25">
      <c r="A3378" s="10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</row>
    <row r="3379" spans="1:12" ht="15" customHeight="1" x14ac:dyDescent="0.25">
      <c r="A3379" s="10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</row>
    <row r="3380" spans="1:12" ht="15" customHeight="1" x14ac:dyDescent="0.25">
      <c r="A3380" s="10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</row>
    <row r="3381" spans="1:12" ht="15" customHeight="1" x14ac:dyDescent="0.25">
      <c r="A3381" s="10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</row>
    <row r="3382" spans="1:12" ht="15" customHeight="1" x14ac:dyDescent="0.25">
      <c r="A3382" s="10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</row>
    <row r="3383" spans="1:12" ht="15" customHeight="1" x14ac:dyDescent="0.25">
      <c r="A3383" s="10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</row>
    <row r="3384" spans="1:12" ht="15" customHeight="1" x14ac:dyDescent="0.25">
      <c r="A3384" s="10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</row>
    <row r="3385" spans="1:12" ht="15" customHeight="1" x14ac:dyDescent="0.25">
      <c r="A3385" s="10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</row>
    <row r="3386" spans="1:12" ht="15" customHeight="1" x14ac:dyDescent="0.25">
      <c r="A3386" s="10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</row>
    <row r="3387" spans="1:12" ht="15" customHeight="1" x14ac:dyDescent="0.25">
      <c r="A3387" s="10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</row>
    <row r="3388" spans="1:12" ht="15" customHeight="1" x14ac:dyDescent="0.25">
      <c r="A3388" s="10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</row>
    <row r="3389" spans="1:12" ht="15" customHeight="1" x14ac:dyDescent="0.25">
      <c r="A3389" s="10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</row>
    <row r="3390" spans="1:12" ht="15" customHeight="1" x14ac:dyDescent="0.25">
      <c r="A3390" s="10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</row>
    <row r="3391" spans="1:12" ht="15" customHeight="1" x14ac:dyDescent="0.25">
      <c r="A3391" s="10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</row>
    <row r="3392" spans="1:12" ht="15" customHeight="1" x14ac:dyDescent="0.25">
      <c r="A3392" s="10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</row>
    <row r="3393" spans="1:12" ht="15" customHeight="1" x14ac:dyDescent="0.25">
      <c r="A3393" s="10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</row>
    <row r="3394" spans="1:12" ht="15" customHeight="1" x14ac:dyDescent="0.25">
      <c r="A3394" s="10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</row>
    <row r="3395" spans="1:12" ht="15" customHeight="1" x14ac:dyDescent="0.25">
      <c r="A3395" s="10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</row>
    <row r="3396" spans="1:12" ht="15" customHeight="1" x14ac:dyDescent="0.25">
      <c r="A3396" s="10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</row>
    <row r="3397" spans="1:12" ht="15" customHeight="1" x14ac:dyDescent="0.25">
      <c r="A3397" s="10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</row>
    <row r="3398" spans="1:12" ht="15" customHeight="1" x14ac:dyDescent="0.25">
      <c r="A3398" s="10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</row>
    <row r="3399" spans="1:12" ht="15" customHeight="1" x14ac:dyDescent="0.25">
      <c r="A3399" s="10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</row>
    <row r="3400" spans="1:12" ht="15" customHeight="1" x14ac:dyDescent="0.25">
      <c r="A3400" s="10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</row>
    <row r="3401" spans="1:12" ht="15" customHeight="1" x14ac:dyDescent="0.25">
      <c r="A3401" s="10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</row>
    <row r="3402" spans="1:12" ht="15" customHeight="1" x14ac:dyDescent="0.25">
      <c r="A3402" s="10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</row>
    <row r="3403" spans="1:12" ht="15" customHeight="1" x14ac:dyDescent="0.25">
      <c r="A3403" s="10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</row>
    <row r="3404" spans="1:12" ht="15" customHeight="1" x14ac:dyDescent="0.25">
      <c r="A3404" s="10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</row>
    <row r="3405" spans="1:12" ht="15" customHeight="1" x14ac:dyDescent="0.25">
      <c r="A3405" s="10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</row>
    <row r="3406" spans="1:12" ht="15" customHeight="1" x14ac:dyDescent="0.25">
      <c r="A3406" s="10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</row>
    <row r="3407" spans="1:12" ht="15" customHeight="1" x14ac:dyDescent="0.25">
      <c r="A3407" s="10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</row>
    <row r="3408" spans="1:12" ht="15" customHeight="1" x14ac:dyDescent="0.25">
      <c r="A3408" s="10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</row>
    <row r="3409" spans="1:12" ht="15" customHeight="1" x14ac:dyDescent="0.25">
      <c r="A3409" s="10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</row>
    <row r="3410" spans="1:12" ht="15" customHeight="1" x14ac:dyDescent="0.25">
      <c r="A3410" s="10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</row>
    <row r="3411" spans="1:12" ht="15" customHeight="1" x14ac:dyDescent="0.25">
      <c r="A3411" s="10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</row>
    <row r="3412" spans="1:12" ht="15" customHeight="1" x14ac:dyDescent="0.25">
      <c r="A3412" s="10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</row>
    <row r="3413" spans="1:12" ht="15" customHeight="1" x14ac:dyDescent="0.25">
      <c r="A3413" s="10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</row>
    <row r="3414" spans="1:12" ht="15" customHeight="1" x14ac:dyDescent="0.25">
      <c r="A3414" s="10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</row>
    <row r="3415" spans="1:12" ht="15" customHeight="1" x14ac:dyDescent="0.25">
      <c r="A3415" s="10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</row>
    <row r="3416" spans="1:12" ht="15" customHeight="1" x14ac:dyDescent="0.25">
      <c r="A3416" s="10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</row>
    <row r="3417" spans="1:12" ht="15" customHeight="1" x14ac:dyDescent="0.25">
      <c r="A3417" s="10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</row>
    <row r="3418" spans="1:12" ht="15" customHeight="1" x14ac:dyDescent="0.25">
      <c r="A3418" s="10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</row>
    <row r="3419" spans="1:12" ht="15" customHeight="1" x14ac:dyDescent="0.25">
      <c r="A3419" s="10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</row>
    <row r="3420" spans="1:12" ht="15" customHeight="1" x14ac:dyDescent="0.25">
      <c r="A3420" s="10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</row>
    <row r="3421" spans="1:12" ht="15" customHeight="1" x14ac:dyDescent="0.25">
      <c r="A3421" s="10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</row>
    <row r="3422" spans="1:12" ht="15" customHeight="1" x14ac:dyDescent="0.25">
      <c r="A3422" s="10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</row>
    <row r="3423" spans="1:12" ht="15" customHeight="1" x14ac:dyDescent="0.25">
      <c r="A3423" s="10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</row>
    <row r="3424" spans="1:12" ht="15" customHeight="1" x14ac:dyDescent="0.25">
      <c r="A3424" s="10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</row>
    <row r="3425" spans="1:12" ht="15" customHeight="1" x14ac:dyDescent="0.25">
      <c r="A3425" s="10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</row>
    <row r="3426" spans="1:12" ht="15" customHeight="1" x14ac:dyDescent="0.25">
      <c r="A3426" s="10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</row>
    <row r="3427" spans="1:12" ht="15" customHeight="1" x14ac:dyDescent="0.25">
      <c r="A3427" s="10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</row>
    <row r="3428" spans="1:12" ht="15" customHeight="1" x14ac:dyDescent="0.25">
      <c r="A3428" s="10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</row>
    <row r="3429" spans="1:12" ht="15" customHeight="1" x14ac:dyDescent="0.25">
      <c r="A3429" s="10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</row>
    <row r="3430" spans="1:12" ht="15" customHeight="1" x14ac:dyDescent="0.25">
      <c r="A3430" s="10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</row>
    <row r="3431" spans="1:12" ht="15" customHeight="1" x14ac:dyDescent="0.25">
      <c r="A3431" s="10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</row>
    <row r="3432" spans="1:12" ht="15" customHeight="1" x14ac:dyDescent="0.25">
      <c r="A3432" s="10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</row>
    <row r="3433" spans="1:12" ht="15" customHeight="1" x14ac:dyDescent="0.25">
      <c r="A3433" s="10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</row>
    <row r="3434" spans="1:12" ht="15" customHeight="1" x14ac:dyDescent="0.25">
      <c r="A3434" s="10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</row>
    <row r="3435" spans="1:12" ht="15" customHeight="1" x14ac:dyDescent="0.25">
      <c r="A3435" s="10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</row>
    <row r="3436" spans="1:12" ht="15" customHeight="1" x14ac:dyDescent="0.25">
      <c r="A3436" s="10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</row>
    <row r="3437" spans="1:12" ht="15" customHeight="1" x14ac:dyDescent="0.25">
      <c r="A3437" s="10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</row>
    <row r="3438" spans="1:12" ht="15" customHeight="1" x14ac:dyDescent="0.25">
      <c r="A3438" s="10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</row>
    <row r="3439" spans="1:12" ht="15" customHeight="1" x14ac:dyDescent="0.25">
      <c r="A3439" s="10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</row>
    <row r="3440" spans="1:12" ht="15" customHeight="1" x14ac:dyDescent="0.25">
      <c r="A3440" s="10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</row>
    <row r="3441" spans="1:12" ht="15" customHeight="1" x14ac:dyDescent="0.25">
      <c r="A3441" s="10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</row>
    <row r="3442" spans="1:12" ht="15" customHeight="1" x14ac:dyDescent="0.25">
      <c r="A3442" s="10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</row>
    <row r="3443" spans="1:12" ht="15" customHeight="1" x14ac:dyDescent="0.25">
      <c r="A3443" s="10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</row>
    <row r="3444" spans="1:12" ht="15" customHeight="1" x14ac:dyDescent="0.25">
      <c r="A3444" s="10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</row>
    <row r="3445" spans="1:12" ht="15" customHeight="1" x14ac:dyDescent="0.25">
      <c r="A3445" s="10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</row>
    <row r="3446" spans="1:12" ht="15" customHeight="1" x14ac:dyDescent="0.25">
      <c r="A3446" s="10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</row>
    <row r="3447" spans="1:12" ht="15" customHeight="1" x14ac:dyDescent="0.25">
      <c r="A3447" s="10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</row>
    <row r="3448" spans="1:12" ht="15" customHeight="1" x14ac:dyDescent="0.25">
      <c r="A3448" s="10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</row>
    <row r="3449" spans="1:12" ht="15" customHeight="1" x14ac:dyDescent="0.25">
      <c r="A3449" s="10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</row>
    <row r="3450" spans="1:12" ht="15" customHeight="1" x14ac:dyDescent="0.25">
      <c r="A3450" s="10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</row>
    <row r="3451" spans="1:12" ht="15" customHeight="1" x14ac:dyDescent="0.25">
      <c r="A3451" s="10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</row>
    <row r="3452" spans="1:12" ht="15" customHeight="1" x14ac:dyDescent="0.25">
      <c r="A3452" s="10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</row>
    <row r="3453" spans="1:12" ht="15" customHeight="1" x14ac:dyDescent="0.25">
      <c r="A3453" s="10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</row>
    <row r="3454" spans="1:12" ht="15" customHeight="1" x14ac:dyDescent="0.25">
      <c r="A3454" s="10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</row>
    <row r="3455" spans="1:12" ht="15" customHeight="1" x14ac:dyDescent="0.25">
      <c r="A3455" s="10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</row>
    <row r="3456" spans="1:12" ht="15" customHeight="1" x14ac:dyDescent="0.25">
      <c r="A3456" s="10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</row>
    <row r="3457" spans="1:12" ht="15" customHeight="1" x14ac:dyDescent="0.25">
      <c r="A3457" s="10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</row>
    <row r="3458" spans="1:12" ht="15" customHeight="1" x14ac:dyDescent="0.25">
      <c r="A3458" s="10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</row>
    <row r="3459" spans="1:12" ht="15" customHeight="1" x14ac:dyDescent="0.25">
      <c r="A3459" s="10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</row>
    <row r="3460" spans="1:12" ht="15" customHeight="1" x14ac:dyDescent="0.25">
      <c r="A3460" s="10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</row>
    <row r="3461" spans="1:12" ht="15" customHeight="1" x14ac:dyDescent="0.25">
      <c r="A3461" s="10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</row>
    <row r="3462" spans="1:12" ht="15" customHeight="1" x14ac:dyDescent="0.25">
      <c r="A3462" s="10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</row>
    <row r="3463" spans="1:12" ht="15" customHeight="1" x14ac:dyDescent="0.25">
      <c r="A3463" s="10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</row>
    <row r="3464" spans="1:12" ht="15" customHeight="1" x14ac:dyDescent="0.25">
      <c r="A3464" s="10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</row>
    <row r="3465" spans="1:12" ht="15" customHeight="1" x14ac:dyDescent="0.25">
      <c r="A3465" s="10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</row>
    <row r="3466" spans="1:12" ht="15" customHeight="1" x14ac:dyDescent="0.25">
      <c r="A3466" s="10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</row>
    <row r="3467" spans="1:12" ht="15" customHeight="1" x14ac:dyDescent="0.25">
      <c r="A3467" s="10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</row>
    <row r="3468" spans="1:12" ht="15" customHeight="1" x14ac:dyDescent="0.25">
      <c r="A3468" s="10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</row>
    <row r="3469" spans="1:12" ht="15" customHeight="1" x14ac:dyDescent="0.25">
      <c r="A3469" s="10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</row>
    <row r="3470" spans="1:12" ht="15" customHeight="1" x14ac:dyDescent="0.25">
      <c r="A3470" s="10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</row>
    <row r="3471" spans="1:12" ht="15" customHeight="1" x14ac:dyDescent="0.25">
      <c r="A3471" s="10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</row>
    <row r="3472" spans="1:12" ht="15" customHeight="1" x14ac:dyDescent="0.25">
      <c r="A3472" s="10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</row>
    <row r="3473" spans="1:12" ht="15" customHeight="1" x14ac:dyDescent="0.25">
      <c r="A3473" s="10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</row>
    <row r="3474" spans="1:12" ht="15" customHeight="1" x14ac:dyDescent="0.25">
      <c r="A3474" s="10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</row>
    <row r="3475" spans="1:12" ht="15" customHeight="1" x14ac:dyDescent="0.25">
      <c r="A3475" s="10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</row>
    <row r="3476" spans="1:12" ht="15" customHeight="1" x14ac:dyDescent="0.25">
      <c r="A3476" s="10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</row>
    <row r="3477" spans="1:12" ht="15" customHeight="1" x14ac:dyDescent="0.25">
      <c r="A3477" s="10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</row>
    <row r="3478" spans="1:12" ht="15" customHeight="1" x14ac:dyDescent="0.25">
      <c r="A3478" s="10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</row>
    <row r="3479" spans="1:12" ht="15" customHeight="1" x14ac:dyDescent="0.25">
      <c r="A3479" s="10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</row>
    <row r="3480" spans="1:12" ht="15" customHeight="1" x14ac:dyDescent="0.25">
      <c r="A3480" s="10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</row>
    <row r="3481" spans="1:12" ht="15" customHeight="1" x14ac:dyDescent="0.25">
      <c r="A3481" s="10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</row>
    <row r="3482" spans="1:12" ht="15" customHeight="1" x14ac:dyDescent="0.25">
      <c r="A3482" s="10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</row>
    <row r="3483" spans="1:12" ht="15" customHeight="1" x14ac:dyDescent="0.25">
      <c r="A3483" s="10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</row>
    <row r="3484" spans="1:12" ht="15" customHeight="1" x14ac:dyDescent="0.25">
      <c r="A3484" s="10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</row>
    <row r="3485" spans="1:12" ht="15" customHeight="1" x14ac:dyDescent="0.25">
      <c r="A3485" s="10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</row>
    <row r="3486" spans="1:12" ht="15" customHeight="1" x14ac:dyDescent="0.25">
      <c r="A3486" s="10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</row>
    <row r="3487" spans="1:12" ht="15" customHeight="1" x14ac:dyDescent="0.25">
      <c r="A3487" s="10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</row>
    <row r="3488" spans="1:12" ht="15" customHeight="1" x14ac:dyDescent="0.25">
      <c r="A3488" s="10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</row>
    <row r="3489" spans="1:12" ht="15" customHeight="1" x14ac:dyDescent="0.25">
      <c r="A3489" s="10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</row>
    <row r="3490" spans="1:12" ht="15" customHeight="1" x14ac:dyDescent="0.25">
      <c r="A3490" s="10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</row>
    <row r="3491" spans="1:12" ht="15" customHeight="1" x14ac:dyDescent="0.25">
      <c r="A3491" s="10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</row>
    <row r="3492" spans="1:12" ht="15" customHeight="1" x14ac:dyDescent="0.25">
      <c r="A3492" s="10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</row>
    <row r="3493" spans="1:12" ht="15" customHeight="1" x14ac:dyDescent="0.25">
      <c r="A3493" s="10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</row>
    <row r="3494" spans="1:12" ht="15" customHeight="1" x14ac:dyDescent="0.25">
      <c r="A3494" s="10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</row>
    <row r="3495" spans="1:12" ht="15" customHeight="1" x14ac:dyDescent="0.25">
      <c r="A3495" s="10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</row>
    <row r="3496" spans="1:12" ht="15" customHeight="1" x14ac:dyDescent="0.25">
      <c r="A3496" s="10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</row>
    <row r="3497" spans="1:12" ht="15" customHeight="1" x14ac:dyDescent="0.25">
      <c r="A3497" s="10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</row>
    <row r="3498" spans="1:12" ht="15" customHeight="1" x14ac:dyDescent="0.25">
      <c r="A3498" s="10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</row>
    <row r="3499" spans="1:12" ht="15" customHeight="1" x14ac:dyDescent="0.25">
      <c r="A3499" s="10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</row>
    <row r="3500" spans="1:12" ht="15" customHeight="1" x14ac:dyDescent="0.25">
      <c r="A3500" s="10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</row>
    <row r="3501" spans="1:12" ht="15" customHeight="1" x14ac:dyDescent="0.25">
      <c r="A3501" s="10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</row>
    <row r="3502" spans="1:12" ht="15" customHeight="1" x14ac:dyDescent="0.25">
      <c r="A3502" s="10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</row>
    <row r="3503" spans="1:12" ht="15" customHeight="1" x14ac:dyDescent="0.25">
      <c r="A3503" s="10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</row>
    <row r="3504" spans="1:12" ht="15" customHeight="1" x14ac:dyDescent="0.25">
      <c r="A3504" s="10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</row>
    <row r="3505" spans="1:12" ht="15" customHeight="1" x14ac:dyDescent="0.25">
      <c r="A3505" s="10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</row>
    <row r="3506" spans="1:12" ht="15" customHeight="1" x14ac:dyDescent="0.25">
      <c r="A3506" s="10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</row>
    <row r="3507" spans="1:12" ht="15" customHeight="1" x14ac:dyDescent="0.25">
      <c r="A3507" s="10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</row>
    <row r="3508" spans="1:12" ht="15" customHeight="1" x14ac:dyDescent="0.25">
      <c r="A3508" s="10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</row>
    <row r="3509" spans="1:12" ht="15" customHeight="1" x14ac:dyDescent="0.25">
      <c r="A3509" s="10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</row>
    <row r="3510" spans="1:12" ht="15" customHeight="1" x14ac:dyDescent="0.25">
      <c r="A3510" s="10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</row>
    <row r="3511" spans="1:12" ht="15" customHeight="1" x14ac:dyDescent="0.25">
      <c r="A3511" s="10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</row>
    <row r="3512" spans="1:12" ht="15" customHeight="1" x14ac:dyDescent="0.25">
      <c r="A3512" s="10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</row>
    <row r="3513" spans="1:12" ht="15" customHeight="1" x14ac:dyDescent="0.25">
      <c r="A3513" s="10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</row>
    <row r="3514" spans="1:12" ht="15" customHeight="1" x14ac:dyDescent="0.25">
      <c r="A3514" s="10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</row>
    <row r="3515" spans="1:12" ht="15" customHeight="1" x14ac:dyDescent="0.25">
      <c r="A3515" s="10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</row>
    <row r="3516" spans="1:12" ht="15" customHeight="1" x14ac:dyDescent="0.25">
      <c r="A3516" s="10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</row>
    <row r="3517" spans="1:12" ht="15" customHeight="1" x14ac:dyDescent="0.25">
      <c r="A3517" s="10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</row>
    <row r="3518" spans="1:12" ht="15" customHeight="1" x14ac:dyDescent="0.25">
      <c r="A3518" s="10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</row>
    <row r="3519" spans="1:12" ht="15" customHeight="1" x14ac:dyDescent="0.25">
      <c r="A3519" s="10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</row>
    <row r="3520" spans="1:12" ht="15" customHeight="1" x14ac:dyDescent="0.25">
      <c r="A3520" s="10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</row>
    <row r="3521" spans="1:12" ht="15" customHeight="1" x14ac:dyDescent="0.25">
      <c r="A3521" s="10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</row>
    <row r="3522" spans="1:12" ht="15" customHeight="1" x14ac:dyDescent="0.25">
      <c r="A3522" s="10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</row>
    <row r="3523" spans="1:12" ht="15" customHeight="1" x14ac:dyDescent="0.25">
      <c r="A3523" s="10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</row>
    <row r="3524" spans="1:12" ht="15" customHeight="1" x14ac:dyDescent="0.25">
      <c r="A3524" s="10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</row>
    <row r="3525" spans="1:12" ht="15" customHeight="1" x14ac:dyDescent="0.25">
      <c r="A3525" s="10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</row>
    <row r="3526" spans="1:12" ht="15" customHeight="1" x14ac:dyDescent="0.25">
      <c r="A3526" s="10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</row>
    <row r="3527" spans="1:12" ht="15" customHeight="1" x14ac:dyDescent="0.25">
      <c r="A3527" s="10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</row>
    <row r="3528" spans="1:12" ht="15" customHeight="1" x14ac:dyDescent="0.25">
      <c r="A3528" s="10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</row>
    <row r="3529" spans="1:12" ht="15" customHeight="1" x14ac:dyDescent="0.25">
      <c r="A3529" s="10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</row>
    <row r="3530" spans="1:12" ht="15" customHeight="1" x14ac:dyDescent="0.25">
      <c r="A3530" s="10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</row>
    <row r="3531" spans="1:12" ht="15" customHeight="1" x14ac:dyDescent="0.25">
      <c r="A3531" s="10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</row>
    <row r="3532" spans="1:12" ht="15" customHeight="1" x14ac:dyDescent="0.25">
      <c r="A3532" s="10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</row>
    <row r="3533" spans="1:12" ht="15" customHeight="1" x14ac:dyDescent="0.25">
      <c r="A3533" s="10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</row>
    <row r="3534" spans="1:12" ht="15" customHeight="1" x14ac:dyDescent="0.25">
      <c r="A3534" s="10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</row>
    <row r="3535" spans="1:12" ht="15" customHeight="1" x14ac:dyDescent="0.25">
      <c r="A3535" s="10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</row>
    <row r="3536" spans="1:12" ht="15" customHeight="1" x14ac:dyDescent="0.25">
      <c r="A3536" s="10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</row>
    <row r="3537" spans="1:12" ht="15" customHeight="1" x14ac:dyDescent="0.25">
      <c r="A3537" s="10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</row>
    <row r="3538" spans="1:12" ht="15" customHeight="1" x14ac:dyDescent="0.25">
      <c r="A3538" s="10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</row>
    <row r="3539" spans="1:12" ht="15" customHeight="1" x14ac:dyDescent="0.25">
      <c r="A3539" s="10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</row>
    <row r="3540" spans="1:12" ht="15" customHeight="1" x14ac:dyDescent="0.25">
      <c r="A3540" s="10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</row>
    <row r="3541" spans="1:12" ht="15" customHeight="1" x14ac:dyDescent="0.25">
      <c r="A3541" s="10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</row>
    <row r="3542" spans="1:12" ht="15" customHeight="1" x14ac:dyDescent="0.25">
      <c r="A3542" s="10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</row>
    <row r="3543" spans="1:12" ht="15" customHeight="1" x14ac:dyDescent="0.25">
      <c r="A3543" s="10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</row>
    <row r="3544" spans="1:12" ht="15" customHeight="1" x14ac:dyDescent="0.25">
      <c r="A3544" s="10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</row>
    <row r="3545" spans="1:12" ht="15" customHeight="1" x14ac:dyDescent="0.25">
      <c r="A3545" s="10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</row>
    <row r="3546" spans="1:12" ht="15" customHeight="1" x14ac:dyDescent="0.25">
      <c r="A3546" s="10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</row>
    <row r="3547" spans="1:12" ht="15" customHeight="1" x14ac:dyDescent="0.25">
      <c r="A3547" s="10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</row>
    <row r="3548" spans="1:12" ht="15" customHeight="1" x14ac:dyDescent="0.25">
      <c r="A3548" s="10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</row>
    <row r="3549" spans="1:12" ht="15" customHeight="1" x14ac:dyDescent="0.25">
      <c r="A3549" s="10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</row>
    <row r="3550" spans="1:12" ht="15" customHeight="1" x14ac:dyDescent="0.25">
      <c r="A3550" s="10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</row>
    <row r="3551" spans="1:12" ht="15" customHeight="1" x14ac:dyDescent="0.25">
      <c r="A3551" s="10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</row>
    <row r="3552" spans="1:12" ht="15" customHeight="1" x14ac:dyDescent="0.25">
      <c r="A3552" s="10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</row>
    <row r="3553" spans="1:12" ht="15" customHeight="1" x14ac:dyDescent="0.25">
      <c r="A3553" s="10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</row>
    <row r="3554" spans="1:12" ht="15" customHeight="1" x14ac:dyDescent="0.25">
      <c r="A3554" s="10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</row>
    <row r="3555" spans="1:12" ht="15" customHeight="1" x14ac:dyDescent="0.25">
      <c r="A3555" s="10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</row>
    <row r="3556" spans="1:12" ht="15" customHeight="1" x14ac:dyDescent="0.25">
      <c r="A3556" s="10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</row>
    <row r="3557" spans="1:12" ht="15" customHeight="1" x14ac:dyDescent="0.25">
      <c r="A3557" s="10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</row>
    <row r="3558" spans="1:12" ht="15" customHeight="1" x14ac:dyDescent="0.25">
      <c r="A3558" s="10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</row>
    <row r="3559" spans="1:12" ht="15" customHeight="1" x14ac:dyDescent="0.25">
      <c r="A3559" s="10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</row>
    <row r="3560" spans="1:12" ht="15" customHeight="1" x14ac:dyDescent="0.25">
      <c r="A3560" s="10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</row>
    <row r="3561" spans="1:12" ht="15" customHeight="1" x14ac:dyDescent="0.25">
      <c r="A3561" s="10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</row>
    <row r="3562" spans="1:12" ht="15" customHeight="1" x14ac:dyDescent="0.25">
      <c r="A3562" s="10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</row>
    <row r="3563" spans="1:12" ht="15" customHeight="1" x14ac:dyDescent="0.25">
      <c r="A3563" s="10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</row>
    <row r="3564" spans="1:12" ht="15" customHeight="1" x14ac:dyDescent="0.25">
      <c r="A3564" s="10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</row>
    <row r="3565" spans="1:12" ht="15" customHeight="1" x14ac:dyDescent="0.25">
      <c r="A3565" s="10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</row>
    <row r="3566" spans="1:12" ht="15" customHeight="1" x14ac:dyDescent="0.25">
      <c r="A3566" s="10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</row>
    <row r="3567" spans="1:12" ht="15" customHeight="1" x14ac:dyDescent="0.25">
      <c r="A3567" s="10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</row>
    <row r="3568" spans="1:12" ht="15" customHeight="1" x14ac:dyDescent="0.25">
      <c r="A3568" s="10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</row>
    <row r="3569" spans="1:12" ht="15" customHeight="1" x14ac:dyDescent="0.25">
      <c r="A3569" s="10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</row>
    <row r="3570" spans="1:12" ht="15" customHeight="1" x14ac:dyDescent="0.25">
      <c r="A3570" s="10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</row>
    <row r="3571" spans="1:12" ht="15" customHeight="1" x14ac:dyDescent="0.25">
      <c r="A3571" s="10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</row>
    <row r="3572" spans="1:12" ht="15" customHeight="1" x14ac:dyDescent="0.25">
      <c r="A3572" s="10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</row>
    <row r="3573" spans="1:12" ht="15" customHeight="1" x14ac:dyDescent="0.25">
      <c r="A3573" s="10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</row>
    <row r="3574" spans="1:12" ht="15" customHeight="1" x14ac:dyDescent="0.25">
      <c r="A3574" s="10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</row>
    <row r="3575" spans="1:12" ht="15" customHeight="1" x14ac:dyDescent="0.25">
      <c r="A3575" s="10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</row>
    <row r="3576" spans="1:12" ht="15" customHeight="1" x14ac:dyDescent="0.25">
      <c r="A3576" s="10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</row>
    <row r="3577" spans="1:12" ht="15" customHeight="1" x14ac:dyDescent="0.25">
      <c r="A3577" s="10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</row>
    <row r="3578" spans="1:12" ht="15" customHeight="1" x14ac:dyDescent="0.25">
      <c r="A3578" s="10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</row>
    <row r="3579" spans="1:12" ht="15" customHeight="1" x14ac:dyDescent="0.25">
      <c r="A3579" s="10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</row>
    <row r="3580" spans="1:12" ht="15" customHeight="1" x14ac:dyDescent="0.25">
      <c r="A3580" s="10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</row>
    <row r="3581" spans="1:12" ht="15" customHeight="1" x14ac:dyDescent="0.25">
      <c r="A3581" s="10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</row>
    <row r="3582" spans="1:12" ht="15" customHeight="1" x14ac:dyDescent="0.25">
      <c r="A3582" s="10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</row>
    <row r="3583" spans="1:12" ht="15" customHeight="1" x14ac:dyDescent="0.25">
      <c r="A3583" s="10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</row>
    <row r="3584" spans="1:12" ht="15" customHeight="1" x14ac:dyDescent="0.25">
      <c r="A3584" s="10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</row>
    <row r="3585" spans="1:12" ht="15" customHeight="1" x14ac:dyDescent="0.25">
      <c r="A3585" s="10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</row>
    <row r="3586" spans="1:12" ht="15" customHeight="1" x14ac:dyDescent="0.25">
      <c r="A3586" s="10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</row>
    <row r="3587" spans="1:12" ht="15" customHeight="1" x14ac:dyDescent="0.25">
      <c r="A3587" s="10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</row>
    <row r="3588" spans="1:12" ht="15" customHeight="1" x14ac:dyDescent="0.25">
      <c r="A3588" s="10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</row>
    <row r="3589" spans="1:12" ht="15" customHeight="1" x14ac:dyDescent="0.25">
      <c r="A3589" s="10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</row>
    <row r="3590" spans="1:12" ht="15" customHeight="1" x14ac:dyDescent="0.25">
      <c r="A3590" s="10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</row>
    <row r="3591" spans="1:12" ht="15" customHeight="1" x14ac:dyDescent="0.25">
      <c r="A3591" s="10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</row>
    <row r="3592" spans="1:12" ht="15" customHeight="1" x14ac:dyDescent="0.25">
      <c r="A3592" s="10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</row>
    <row r="3593" spans="1:12" ht="15" customHeight="1" x14ac:dyDescent="0.25">
      <c r="A3593" s="10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</row>
    <row r="3594" spans="1:12" ht="15" customHeight="1" x14ac:dyDescent="0.25">
      <c r="A3594" s="10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</row>
    <row r="3595" spans="1:12" ht="15" customHeight="1" x14ac:dyDescent="0.25">
      <c r="A3595" s="10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</row>
    <row r="3596" spans="1:12" ht="15" customHeight="1" x14ac:dyDescent="0.25">
      <c r="A3596" s="10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</row>
    <row r="3597" spans="1:12" ht="15" customHeight="1" x14ac:dyDescent="0.25">
      <c r="A3597" s="10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</row>
    <row r="3598" spans="1:12" ht="15" customHeight="1" x14ac:dyDescent="0.25">
      <c r="A3598" s="10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</row>
    <row r="3599" spans="1:12" ht="15" customHeight="1" x14ac:dyDescent="0.25">
      <c r="A3599" s="10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</row>
    <row r="3600" spans="1:12" ht="15" customHeight="1" x14ac:dyDescent="0.25">
      <c r="A3600" s="10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</row>
    <row r="3601" spans="1:12" ht="15" customHeight="1" x14ac:dyDescent="0.25">
      <c r="A3601" s="10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</row>
    <row r="3602" spans="1:12" ht="15" customHeight="1" x14ac:dyDescent="0.25">
      <c r="A3602" s="10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</row>
    <row r="3603" spans="1:12" ht="15" customHeight="1" x14ac:dyDescent="0.25">
      <c r="A3603" s="10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</row>
    <row r="3604" spans="1:12" ht="15" customHeight="1" x14ac:dyDescent="0.25">
      <c r="A3604" s="10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</row>
    <row r="3605" spans="1:12" ht="15" customHeight="1" x14ac:dyDescent="0.25">
      <c r="A3605" s="10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</row>
    <row r="3606" spans="1:12" ht="15" customHeight="1" x14ac:dyDescent="0.25">
      <c r="A3606" s="10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</row>
    <row r="3607" spans="1:12" ht="15" customHeight="1" x14ac:dyDescent="0.25">
      <c r="A3607" s="10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</row>
    <row r="3608" spans="1:12" ht="15" customHeight="1" x14ac:dyDescent="0.25">
      <c r="A3608" s="10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</row>
    <row r="3609" spans="1:12" ht="15" customHeight="1" x14ac:dyDescent="0.25">
      <c r="A3609" s="10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</row>
    <row r="3610" spans="1:12" ht="15" customHeight="1" x14ac:dyDescent="0.25">
      <c r="A3610" s="10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</row>
    <row r="3611" spans="1:12" ht="15" customHeight="1" x14ac:dyDescent="0.25">
      <c r="A3611" s="10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</row>
    <row r="3612" spans="1:12" ht="15" customHeight="1" x14ac:dyDescent="0.25">
      <c r="A3612" s="10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</row>
    <row r="3613" spans="1:12" ht="15" customHeight="1" x14ac:dyDescent="0.25">
      <c r="A3613" s="10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</row>
    <row r="3614" spans="1:12" ht="15" customHeight="1" x14ac:dyDescent="0.25">
      <c r="A3614" s="10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</row>
    <row r="3615" spans="1:12" ht="15" customHeight="1" x14ac:dyDescent="0.25">
      <c r="A3615" s="10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</row>
    <row r="3616" spans="1:12" ht="15" customHeight="1" x14ac:dyDescent="0.25">
      <c r="A3616" s="10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</row>
    <row r="3617" spans="1:12" ht="15" customHeight="1" x14ac:dyDescent="0.25">
      <c r="A3617" s="10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</row>
    <row r="3618" spans="1:12" ht="15" customHeight="1" x14ac:dyDescent="0.25">
      <c r="A3618" s="10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</row>
    <row r="3619" spans="1:12" ht="15" customHeight="1" x14ac:dyDescent="0.25">
      <c r="A3619" s="10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</row>
    <row r="3620" spans="1:12" ht="15" customHeight="1" x14ac:dyDescent="0.25">
      <c r="A3620" s="10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</row>
    <row r="3621" spans="1:12" ht="15" customHeight="1" x14ac:dyDescent="0.25">
      <c r="A3621" s="10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</row>
    <row r="3622" spans="1:12" ht="15" customHeight="1" x14ac:dyDescent="0.25">
      <c r="A3622" s="10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</row>
    <row r="3623" spans="1:12" ht="15" customHeight="1" x14ac:dyDescent="0.25">
      <c r="A3623" s="10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</row>
    <row r="3624" spans="1:12" ht="15" customHeight="1" x14ac:dyDescent="0.25">
      <c r="A3624" s="10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</row>
    <row r="3625" spans="1:12" ht="15" customHeight="1" x14ac:dyDescent="0.25">
      <c r="A3625" s="10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</row>
    <row r="3626" spans="1:12" ht="15" customHeight="1" x14ac:dyDescent="0.25">
      <c r="A3626" s="10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</row>
    <row r="3627" spans="1:12" ht="15" customHeight="1" x14ac:dyDescent="0.25">
      <c r="A3627" s="10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</row>
    <row r="3628" spans="1:12" ht="15" customHeight="1" x14ac:dyDescent="0.25">
      <c r="A3628" s="10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</row>
    <row r="3629" spans="1:12" ht="15" customHeight="1" x14ac:dyDescent="0.25">
      <c r="A3629" s="10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</row>
    <row r="3630" spans="1:12" ht="15" customHeight="1" x14ac:dyDescent="0.25">
      <c r="A3630" s="10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</row>
    <row r="3631" spans="1:12" ht="15" customHeight="1" x14ac:dyDescent="0.25">
      <c r="A3631" s="10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</row>
    <row r="3632" spans="1:12" ht="15" customHeight="1" x14ac:dyDescent="0.25">
      <c r="A3632" s="10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</row>
    <row r="3633" spans="1:12" ht="15" customHeight="1" x14ac:dyDescent="0.25">
      <c r="A3633" s="10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</row>
    <row r="3634" spans="1:12" ht="15" customHeight="1" x14ac:dyDescent="0.25">
      <c r="A3634" s="10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</row>
    <row r="3635" spans="1:12" ht="15" customHeight="1" x14ac:dyDescent="0.25">
      <c r="A3635" s="10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</row>
    <row r="3636" spans="1:12" ht="15" customHeight="1" x14ac:dyDescent="0.25">
      <c r="A3636" s="10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</row>
    <row r="3637" spans="1:12" ht="15" customHeight="1" x14ac:dyDescent="0.25">
      <c r="A3637" s="10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</row>
    <row r="3638" spans="1:12" ht="15" customHeight="1" x14ac:dyDescent="0.25">
      <c r="A3638" s="10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</row>
    <row r="3639" spans="1:12" ht="15" customHeight="1" x14ac:dyDescent="0.25">
      <c r="A3639" s="10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</row>
    <row r="3640" spans="1:12" ht="15" customHeight="1" x14ac:dyDescent="0.25">
      <c r="A3640" s="10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</row>
    <row r="3641" spans="1:12" ht="15" customHeight="1" x14ac:dyDescent="0.25">
      <c r="A3641" s="10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</row>
    <row r="3642" spans="1:12" ht="15" customHeight="1" x14ac:dyDescent="0.25">
      <c r="A3642" s="10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</row>
    <row r="3643" spans="1:12" ht="15" customHeight="1" x14ac:dyDescent="0.25">
      <c r="A3643" s="10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</row>
    <row r="3644" spans="1:12" ht="15" customHeight="1" x14ac:dyDescent="0.25">
      <c r="A3644" s="10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</row>
    <row r="3645" spans="1:12" ht="15" customHeight="1" x14ac:dyDescent="0.25">
      <c r="A3645" s="10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</row>
    <row r="3646" spans="1:12" ht="15" customHeight="1" x14ac:dyDescent="0.25">
      <c r="A3646" s="10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</row>
    <row r="3647" spans="1:12" ht="15" customHeight="1" x14ac:dyDescent="0.25">
      <c r="A3647" s="10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</row>
    <row r="3648" spans="1:12" ht="15" customHeight="1" x14ac:dyDescent="0.25">
      <c r="A3648" s="10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</row>
    <row r="3649" spans="1:12" ht="15" customHeight="1" x14ac:dyDescent="0.25">
      <c r="A3649" s="10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</row>
    <row r="3650" spans="1:12" ht="15" customHeight="1" x14ac:dyDescent="0.25">
      <c r="A3650" s="10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</row>
    <row r="3651" spans="1:12" ht="15" customHeight="1" x14ac:dyDescent="0.25">
      <c r="A3651" s="10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</row>
    <row r="3652" spans="1:12" ht="15" customHeight="1" x14ac:dyDescent="0.25">
      <c r="A3652" s="10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</row>
    <row r="3653" spans="1:12" ht="15" customHeight="1" x14ac:dyDescent="0.25">
      <c r="A3653" s="10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</row>
    <row r="3654" spans="1:12" ht="15" customHeight="1" x14ac:dyDescent="0.25">
      <c r="A3654" s="10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</row>
    <row r="3655" spans="1:12" ht="15" customHeight="1" x14ac:dyDescent="0.25">
      <c r="A3655" s="10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</row>
    <row r="3656" spans="1:12" ht="15" customHeight="1" x14ac:dyDescent="0.25">
      <c r="A3656" s="10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</row>
    <row r="3657" spans="1:12" ht="15" customHeight="1" x14ac:dyDescent="0.25">
      <c r="A3657" s="10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</row>
    <row r="3658" spans="1:12" ht="15" customHeight="1" x14ac:dyDescent="0.25">
      <c r="A3658" s="10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</row>
    <row r="3659" spans="1:12" ht="15" customHeight="1" x14ac:dyDescent="0.25">
      <c r="A3659" s="10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</row>
    <row r="3660" spans="1:12" ht="15" customHeight="1" x14ac:dyDescent="0.25">
      <c r="A3660" s="10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</row>
    <row r="3661" spans="1:12" ht="15" customHeight="1" x14ac:dyDescent="0.25">
      <c r="A3661" s="10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</row>
    <row r="3662" spans="1:12" ht="15" customHeight="1" x14ac:dyDescent="0.25">
      <c r="A3662" s="10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</row>
    <row r="3663" spans="1:12" ht="15" customHeight="1" x14ac:dyDescent="0.25">
      <c r="A3663" s="10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</row>
    <row r="3664" spans="1:12" ht="15" customHeight="1" x14ac:dyDescent="0.25">
      <c r="A3664" s="10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</row>
    <row r="3665" spans="1:12" ht="15" customHeight="1" x14ac:dyDescent="0.25">
      <c r="A3665" s="10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</row>
    <row r="3666" spans="1:12" ht="15" customHeight="1" x14ac:dyDescent="0.25">
      <c r="A3666" s="10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</row>
    <row r="3667" spans="1:12" ht="15" customHeight="1" x14ac:dyDescent="0.25">
      <c r="A3667" s="10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</row>
    <row r="3668" spans="1:12" ht="15" customHeight="1" x14ac:dyDescent="0.25">
      <c r="A3668" s="10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</row>
    <row r="3669" spans="1:12" ht="15" customHeight="1" x14ac:dyDescent="0.25">
      <c r="A3669" s="10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</row>
    <row r="3670" spans="1:12" ht="15" customHeight="1" x14ac:dyDescent="0.25">
      <c r="A3670" s="10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</row>
    <row r="3671" spans="1:12" ht="15" customHeight="1" x14ac:dyDescent="0.25">
      <c r="A3671" s="10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</row>
    <row r="3672" spans="1:12" ht="15" customHeight="1" x14ac:dyDescent="0.25">
      <c r="A3672" s="10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</row>
    <row r="3673" spans="1:12" ht="15" customHeight="1" x14ac:dyDescent="0.25">
      <c r="A3673" s="10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</row>
    <row r="3674" spans="1:12" ht="15" customHeight="1" x14ac:dyDescent="0.25">
      <c r="A3674" s="10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</row>
    <row r="3675" spans="1:12" ht="15" customHeight="1" x14ac:dyDescent="0.25">
      <c r="A3675" s="10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</row>
    <row r="3676" spans="1:12" ht="15" customHeight="1" x14ac:dyDescent="0.25">
      <c r="A3676" s="10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</row>
    <row r="3677" spans="1:12" ht="15" customHeight="1" x14ac:dyDescent="0.25">
      <c r="A3677" s="10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</row>
    <row r="3678" spans="1:12" ht="15" customHeight="1" x14ac:dyDescent="0.25">
      <c r="A3678" s="10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</row>
    <row r="3679" spans="1:12" ht="15" customHeight="1" x14ac:dyDescent="0.25">
      <c r="A3679" s="10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</row>
    <row r="3680" spans="1:12" ht="15" customHeight="1" x14ac:dyDescent="0.25">
      <c r="A3680" s="10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</row>
    <row r="3681" spans="1:12" ht="15" customHeight="1" x14ac:dyDescent="0.25">
      <c r="A3681" s="10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</row>
    <row r="3682" spans="1:12" ht="15" customHeight="1" x14ac:dyDescent="0.25">
      <c r="A3682" s="10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</row>
    <row r="3683" spans="1:12" ht="15" customHeight="1" x14ac:dyDescent="0.25">
      <c r="A3683" s="10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</row>
    <row r="3684" spans="1:12" ht="15" customHeight="1" x14ac:dyDescent="0.25">
      <c r="A3684" s="10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</row>
    <row r="3685" spans="1:12" ht="15" customHeight="1" x14ac:dyDescent="0.25">
      <c r="A3685" s="10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</row>
    <row r="3686" spans="1:12" ht="15" customHeight="1" x14ac:dyDescent="0.25">
      <c r="A3686" s="10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</row>
    <row r="3687" spans="1:12" ht="15" customHeight="1" x14ac:dyDescent="0.25">
      <c r="A3687" s="10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</row>
    <row r="3688" spans="1:12" ht="15" customHeight="1" x14ac:dyDescent="0.25">
      <c r="A3688" s="10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</row>
    <row r="3689" spans="1:12" ht="15" customHeight="1" x14ac:dyDescent="0.25">
      <c r="A3689" s="10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</row>
    <row r="3690" spans="1:12" ht="15" customHeight="1" x14ac:dyDescent="0.25">
      <c r="A3690" s="10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</row>
    <row r="3691" spans="1:12" ht="15" customHeight="1" x14ac:dyDescent="0.25">
      <c r="A3691" s="10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</row>
    <row r="3692" spans="1:12" ht="15" customHeight="1" x14ac:dyDescent="0.25">
      <c r="A3692" s="10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</row>
    <row r="3693" spans="1:12" ht="15" customHeight="1" x14ac:dyDescent="0.25">
      <c r="A3693" s="10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</row>
    <row r="3694" spans="1:12" ht="15" customHeight="1" x14ac:dyDescent="0.25">
      <c r="A3694" s="10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</row>
    <row r="3695" spans="1:12" ht="15" customHeight="1" x14ac:dyDescent="0.25">
      <c r="A3695" s="10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</row>
    <row r="3696" spans="1:12" ht="15" customHeight="1" x14ac:dyDescent="0.25">
      <c r="A3696" s="10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</row>
    <row r="3697" spans="1:12" ht="15" customHeight="1" x14ac:dyDescent="0.25">
      <c r="A3697" s="10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</row>
    <row r="3698" spans="1:12" ht="15" customHeight="1" x14ac:dyDescent="0.25">
      <c r="A3698" s="10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</row>
    <row r="3699" spans="1:12" ht="15" customHeight="1" x14ac:dyDescent="0.25">
      <c r="A3699" s="10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</row>
    <row r="3700" spans="1:12" ht="15" customHeight="1" x14ac:dyDescent="0.25">
      <c r="A3700" s="10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</row>
    <row r="3701" spans="1:12" ht="15" customHeight="1" x14ac:dyDescent="0.25">
      <c r="A3701" s="10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</row>
    <row r="3702" spans="1:12" ht="15" customHeight="1" x14ac:dyDescent="0.25">
      <c r="A3702" s="10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</row>
    <row r="3703" spans="1:12" ht="15" customHeight="1" x14ac:dyDescent="0.25">
      <c r="A3703" s="10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</row>
    <row r="3704" spans="1:12" ht="15" customHeight="1" x14ac:dyDescent="0.25">
      <c r="A3704" s="10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</row>
    <row r="3705" spans="1:12" ht="15" customHeight="1" x14ac:dyDescent="0.25">
      <c r="A3705" s="10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</row>
    <row r="3706" spans="1:12" ht="15" customHeight="1" x14ac:dyDescent="0.25">
      <c r="A3706" s="10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</row>
    <row r="3707" spans="1:12" ht="15" customHeight="1" x14ac:dyDescent="0.25">
      <c r="A3707" s="10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</row>
    <row r="3708" spans="1:12" ht="15" customHeight="1" x14ac:dyDescent="0.25">
      <c r="A3708" s="10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</row>
    <row r="3709" spans="1:12" ht="15" customHeight="1" x14ac:dyDescent="0.25">
      <c r="A3709" s="10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</row>
    <row r="3710" spans="1:12" ht="15" customHeight="1" x14ac:dyDescent="0.25">
      <c r="A3710" s="10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</row>
    <row r="3711" spans="1:12" ht="15" customHeight="1" x14ac:dyDescent="0.25">
      <c r="A3711" s="10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</row>
    <row r="3712" spans="1:12" ht="15" customHeight="1" x14ac:dyDescent="0.25">
      <c r="A3712" s="10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</row>
    <row r="3713" spans="1:12" ht="15" customHeight="1" x14ac:dyDescent="0.25">
      <c r="A3713" s="10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</row>
    <row r="3714" spans="1:12" ht="15" customHeight="1" x14ac:dyDescent="0.25">
      <c r="A3714" s="10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</row>
    <row r="3715" spans="1:12" ht="15" customHeight="1" x14ac:dyDescent="0.25">
      <c r="A3715" s="10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</row>
    <row r="3716" spans="1:12" ht="15" customHeight="1" x14ac:dyDescent="0.25">
      <c r="A3716" s="10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</row>
    <row r="3717" spans="1:12" ht="15" customHeight="1" x14ac:dyDescent="0.25">
      <c r="A3717" s="10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</row>
    <row r="3718" spans="1:12" ht="15" customHeight="1" x14ac:dyDescent="0.25">
      <c r="A3718" s="10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</row>
    <row r="3719" spans="1:12" ht="15" customHeight="1" x14ac:dyDescent="0.25">
      <c r="A3719" s="10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</row>
    <row r="3720" spans="1:12" ht="15" customHeight="1" x14ac:dyDescent="0.25">
      <c r="A3720" s="10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</row>
    <row r="3721" spans="1:12" ht="15" customHeight="1" x14ac:dyDescent="0.25">
      <c r="A3721" s="10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</row>
    <row r="3722" spans="1:12" ht="15" customHeight="1" x14ac:dyDescent="0.25">
      <c r="A3722" s="10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</row>
    <row r="3723" spans="1:12" ht="15" customHeight="1" x14ac:dyDescent="0.25">
      <c r="A3723" s="10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</row>
    <row r="3724" spans="1:12" ht="15" customHeight="1" x14ac:dyDescent="0.25">
      <c r="A3724" s="10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</row>
    <row r="3725" spans="1:12" ht="15" customHeight="1" x14ac:dyDescent="0.25">
      <c r="A3725" s="10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</row>
    <row r="3726" spans="1:12" ht="15" customHeight="1" x14ac:dyDescent="0.25">
      <c r="A3726" s="10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</row>
    <row r="3727" spans="1:12" ht="15" customHeight="1" x14ac:dyDescent="0.25">
      <c r="A3727" s="10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</row>
    <row r="3728" spans="1:12" ht="15" customHeight="1" x14ac:dyDescent="0.25">
      <c r="A3728" s="10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</row>
    <row r="3729" spans="1:12" ht="15" customHeight="1" x14ac:dyDescent="0.25">
      <c r="A3729" s="10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</row>
    <row r="3730" spans="1:12" ht="15" customHeight="1" x14ac:dyDescent="0.25">
      <c r="A3730" s="10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</row>
    <row r="3731" spans="1:12" ht="15" customHeight="1" x14ac:dyDescent="0.25">
      <c r="A3731" s="10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</row>
    <row r="3732" spans="1:12" ht="15" customHeight="1" x14ac:dyDescent="0.25">
      <c r="A3732" s="10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</row>
    <row r="3733" spans="1:12" ht="15" customHeight="1" x14ac:dyDescent="0.25">
      <c r="A3733" s="10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</row>
    <row r="3734" spans="1:12" ht="15" customHeight="1" x14ac:dyDescent="0.25">
      <c r="A3734" s="10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</row>
    <row r="3735" spans="1:12" ht="15" customHeight="1" x14ac:dyDescent="0.25">
      <c r="A3735" s="10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</row>
    <row r="3736" spans="1:12" ht="15" customHeight="1" x14ac:dyDescent="0.25">
      <c r="A3736" s="10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</row>
    <row r="3737" spans="1:12" ht="15" customHeight="1" x14ac:dyDescent="0.25">
      <c r="A3737" s="10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</row>
    <row r="3738" spans="1:12" ht="15" customHeight="1" x14ac:dyDescent="0.25">
      <c r="A3738" s="10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</row>
    <row r="3739" spans="1:12" ht="15" customHeight="1" x14ac:dyDescent="0.25">
      <c r="A3739" s="10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</row>
    <row r="3740" spans="1:12" ht="15" customHeight="1" x14ac:dyDescent="0.25">
      <c r="A3740" s="10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</row>
    <row r="3741" spans="1:12" ht="15" customHeight="1" x14ac:dyDescent="0.25">
      <c r="A3741" s="10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</row>
    <row r="3742" spans="1:12" ht="15" customHeight="1" x14ac:dyDescent="0.25">
      <c r="A3742" s="10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</row>
    <row r="3743" spans="1:12" ht="15" customHeight="1" x14ac:dyDescent="0.25">
      <c r="A3743" s="10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</row>
    <row r="3744" spans="1:12" ht="15" customHeight="1" x14ac:dyDescent="0.25">
      <c r="A3744" s="10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</row>
    <row r="3745" spans="1:12" ht="15" customHeight="1" x14ac:dyDescent="0.25">
      <c r="A3745" s="10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</row>
    <row r="3746" spans="1:12" ht="15" customHeight="1" x14ac:dyDescent="0.25">
      <c r="A3746" s="10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</row>
    <row r="3747" spans="1:12" ht="15" customHeight="1" x14ac:dyDescent="0.25">
      <c r="A3747" s="10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</row>
    <row r="3748" spans="1:12" ht="15" customHeight="1" x14ac:dyDescent="0.25">
      <c r="A3748" s="10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</row>
    <row r="3749" spans="1:12" ht="15" customHeight="1" x14ac:dyDescent="0.25">
      <c r="A3749" s="10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</row>
    <row r="3750" spans="1:12" ht="15" customHeight="1" x14ac:dyDescent="0.25">
      <c r="A3750" s="10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</row>
    <row r="3751" spans="1:12" ht="15" customHeight="1" x14ac:dyDescent="0.25">
      <c r="A3751" s="10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</row>
    <row r="3752" spans="1:12" ht="15" customHeight="1" x14ac:dyDescent="0.25">
      <c r="A3752" s="10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</row>
    <row r="3753" spans="1:12" ht="15" customHeight="1" x14ac:dyDescent="0.25">
      <c r="A3753" s="10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</row>
    <row r="3754" spans="1:12" ht="15" customHeight="1" x14ac:dyDescent="0.25">
      <c r="A3754" s="10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</row>
    <row r="3755" spans="1:12" ht="15" customHeight="1" x14ac:dyDescent="0.25">
      <c r="A3755" s="10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</row>
    <row r="3756" spans="1:12" ht="15" customHeight="1" x14ac:dyDescent="0.25">
      <c r="A3756" s="10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</row>
    <row r="3757" spans="1:12" ht="15" customHeight="1" x14ac:dyDescent="0.25">
      <c r="A3757" s="10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</row>
    <row r="3758" spans="1:12" ht="15" customHeight="1" x14ac:dyDescent="0.25">
      <c r="A3758" s="10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</row>
    <row r="3759" spans="1:12" ht="15" customHeight="1" x14ac:dyDescent="0.25">
      <c r="A3759" s="10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</row>
    <row r="3760" spans="1:12" ht="15" customHeight="1" x14ac:dyDescent="0.25">
      <c r="A3760" s="10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</row>
    <row r="3761" spans="1:12" ht="15" customHeight="1" x14ac:dyDescent="0.25">
      <c r="A3761" s="10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</row>
    <row r="3762" spans="1:12" ht="15" customHeight="1" x14ac:dyDescent="0.25">
      <c r="A3762" s="10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</row>
    <row r="3763" spans="1:12" ht="15" customHeight="1" x14ac:dyDescent="0.25">
      <c r="A3763" s="10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</row>
    <row r="3764" spans="1:12" ht="15" customHeight="1" x14ac:dyDescent="0.25">
      <c r="A3764" s="10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</row>
    <row r="3765" spans="1:12" ht="15" customHeight="1" x14ac:dyDescent="0.25">
      <c r="A3765" s="10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</row>
    <row r="3766" spans="1:12" ht="15" customHeight="1" x14ac:dyDescent="0.25">
      <c r="A3766" s="10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</row>
    <row r="3767" spans="1:12" ht="15" customHeight="1" x14ac:dyDescent="0.25">
      <c r="A3767" s="10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</row>
    <row r="3768" spans="1:12" ht="15" customHeight="1" x14ac:dyDescent="0.25">
      <c r="A3768" s="10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</row>
    <row r="3769" spans="1:12" ht="15" customHeight="1" x14ac:dyDescent="0.25">
      <c r="A3769" s="10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</row>
    <row r="3770" spans="1:12" ht="15" customHeight="1" x14ac:dyDescent="0.25">
      <c r="A3770" s="10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</row>
    <row r="3771" spans="1:12" ht="15" customHeight="1" x14ac:dyDescent="0.25">
      <c r="A3771" s="10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</row>
    <row r="3772" spans="1:12" ht="15" customHeight="1" x14ac:dyDescent="0.25">
      <c r="A3772" s="10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</row>
    <row r="3773" spans="1:12" ht="15" customHeight="1" x14ac:dyDescent="0.25">
      <c r="A3773" s="10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</row>
    <row r="3774" spans="1:12" ht="15" customHeight="1" x14ac:dyDescent="0.25">
      <c r="A3774" s="10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</row>
    <row r="3775" spans="1:12" ht="15" customHeight="1" x14ac:dyDescent="0.25">
      <c r="A3775" s="10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</row>
    <row r="3776" spans="1:12" ht="15" customHeight="1" x14ac:dyDescent="0.25">
      <c r="A3776" s="10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</row>
    <row r="3777" spans="1:12" ht="15" customHeight="1" x14ac:dyDescent="0.25">
      <c r="A3777" s="10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</row>
    <row r="3778" spans="1:12" ht="15" customHeight="1" x14ac:dyDescent="0.25">
      <c r="A3778" s="10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</row>
    <row r="3779" spans="1:12" ht="15" customHeight="1" x14ac:dyDescent="0.25">
      <c r="A3779" s="10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</row>
    <row r="3780" spans="1:12" ht="15" customHeight="1" x14ac:dyDescent="0.25">
      <c r="A3780" s="10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</row>
    <row r="3781" spans="1:12" ht="15" customHeight="1" x14ac:dyDescent="0.25">
      <c r="A3781" s="10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</row>
    <row r="3782" spans="1:12" ht="15" customHeight="1" x14ac:dyDescent="0.25">
      <c r="A3782" s="10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</row>
    <row r="3783" spans="1:12" ht="15" customHeight="1" x14ac:dyDescent="0.25">
      <c r="A3783" s="10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</row>
    <row r="3784" spans="1:12" ht="15" customHeight="1" x14ac:dyDescent="0.25">
      <c r="A3784" s="10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</row>
    <row r="3785" spans="1:12" ht="15" customHeight="1" x14ac:dyDescent="0.25">
      <c r="A3785" s="10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</row>
    <row r="3786" spans="1:12" ht="15" customHeight="1" x14ac:dyDescent="0.25">
      <c r="A3786" s="10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</row>
    <row r="3787" spans="1:12" ht="15" customHeight="1" x14ac:dyDescent="0.25">
      <c r="A3787" s="10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</row>
    <row r="3788" spans="1:12" ht="15" customHeight="1" x14ac:dyDescent="0.25">
      <c r="A3788" s="10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</row>
    <row r="3789" spans="1:12" ht="15" customHeight="1" x14ac:dyDescent="0.25">
      <c r="A3789" s="10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</row>
    <row r="3790" spans="1:12" ht="15" customHeight="1" x14ac:dyDescent="0.25">
      <c r="A3790" s="10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</row>
    <row r="3791" spans="1:12" ht="15" customHeight="1" x14ac:dyDescent="0.25">
      <c r="A3791" s="10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</row>
    <row r="3792" spans="1:12" ht="15" customHeight="1" x14ac:dyDescent="0.25">
      <c r="A3792" s="10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</row>
    <row r="3793" spans="1:12" ht="15" customHeight="1" x14ac:dyDescent="0.25">
      <c r="A3793" s="10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</row>
    <row r="3794" spans="1:12" ht="15" customHeight="1" x14ac:dyDescent="0.25">
      <c r="A3794" s="10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</row>
    <row r="3795" spans="1:12" ht="15" customHeight="1" x14ac:dyDescent="0.25">
      <c r="A3795" s="10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</row>
    <row r="3796" spans="1:12" ht="15" customHeight="1" x14ac:dyDescent="0.25">
      <c r="A3796" s="10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</row>
    <row r="3797" spans="1:12" ht="15" customHeight="1" x14ac:dyDescent="0.25">
      <c r="A3797" s="10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</row>
    <row r="3798" spans="1:12" ht="15" customHeight="1" x14ac:dyDescent="0.25">
      <c r="A3798" s="10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</row>
    <row r="3799" spans="1:12" ht="15" customHeight="1" x14ac:dyDescent="0.25">
      <c r="A3799" s="10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</row>
    <row r="3800" spans="1:12" ht="15" customHeight="1" x14ac:dyDescent="0.25">
      <c r="A3800" s="10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</row>
    <row r="3801" spans="1:12" ht="15" customHeight="1" x14ac:dyDescent="0.25">
      <c r="A3801" s="10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</row>
    <row r="3802" spans="1:12" ht="15" customHeight="1" x14ac:dyDescent="0.25">
      <c r="A3802" s="10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</row>
    <row r="3803" spans="1:12" ht="15" customHeight="1" x14ac:dyDescent="0.25">
      <c r="A3803" s="10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</row>
    <row r="3804" spans="1:12" ht="15" customHeight="1" x14ac:dyDescent="0.25">
      <c r="A3804" s="10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</row>
    <row r="3805" spans="1:12" ht="15" customHeight="1" x14ac:dyDescent="0.25">
      <c r="A3805" s="10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</row>
    <row r="3806" spans="1:12" ht="15" customHeight="1" x14ac:dyDescent="0.25">
      <c r="A3806" s="10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</row>
    <row r="3807" spans="1:12" ht="15" customHeight="1" x14ac:dyDescent="0.25">
      <c r="A3807" s="10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</row>
    <row r="3808" spans="1:12" ht="15" customHeight="1" x14ac:dyDescent="0.25">
      <c r="A3808" s="10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</row>
    <row r="3809" spans="1:12" ht="15" customHeight="1" x14ac:dyDescent="0.25">
      <c r="A3809" s="10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</row>
    <row r="3810" spans="1:12" ht="15" customHeight="1" x14ac:dyDescent="0.25">
      <c r="A3810" s="10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</row>
    <row r="3811" spans="1:12" ht="15" customHeight="1" x14ac:dyDescent="0.25">
      <c r="A3811" s="10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</row>
    <row r="3812" spans="1:12" ht="15" customHeight="1" x14ac:dyDescent="0.25">
      <c r="A3812" s="10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</row>
    <row r="3813" spans="1:12" ht="15" customHeight="1" x14ac:dyDescent="0.25">
      <c r="A3813" s="10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</row>
    <row r="3814" spans="1:12" ht="15" customHeight="1" x14ac:dyDescent="0.25">
      <c r="A3814" s="10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</row>
    <row r="3815" spans="1:12" ht="15" customHeight="1" x14ac:dyDescent="0.25">
      <c r="A3815" s="10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</row>
    <row r="3816" spans="1:12" ht="15" customHeight="1" x14ac:dyDescent="0.25">
      <c r="A3816" s="10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</row>
    <row r="3817" spans="1:12" ht="15" customHeight="1" x14ac:dyDescent="0.25">
      <c r="A3817" s="10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</row>
    <row r="3818" spans="1:12" ht="15" customHeight="1" x14ac:dyDescent="0.25">
      <c r="A3818" s="10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</row>
    <row r="3819" spans="1:12" ht="15" customHeight="1" x14ac:dyDescent="0.25">
      <c r="A3819" s="10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</row>
    <row r="3820" spans="1:12" ht="15" customHeight="1" x14ac:dyDescent="0.25">
      <c r="A3820" s="10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</row>
    <row r="3821" spans="1:12" ht="15" customHeight="1" x14ac:dyDescent="0.25">
      <c r="A3821" s="10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</row>
    <row r="3822" spans="1:12" ht="15" customHeight="1" x14ac:dyDescent="0.25">
      <c r="A3822" s="10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</row>
    <row r="3823" spans="1:12" ht="15" customHeight="1" x14ac:dyDescent="0.25">
      <c r="A3823" s="10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</row>
    <row r="3824" spans="1:12" ht="15" customHeight="1" x14ac:dyDescent="0.25">
      <c r="A3824" s="10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</row>
    <row r="3825" spans="1:12" ht="15" customHeight="1" x14ac:dyDescent="0.25">
      <c r="A3825" s="10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</row>
    <row r="3826" spans="1:12" ht="15" customHeight="1" x14ac:dyDescent="0.25">
      <c r="A3826" s="10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</row>
    <row r="3827" spans="1:12" ht="15" customHeight="1" x14ac:dyDescent="0.25">
      <c r="A3827" s="10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</row>
    <row r="3828" spans="1:12" ht="15" customHeight="1" x14ac:dyDescent="0.25">
      <c r="A3828" s="10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</row>
    <row r="3829" spans="1:12" ht="15" customHeight="1" x14ac:dyDescent="0.25">
      <c r="A3829" s="10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</row>
    <row r="3830" spans="1:12" ht="15" customHeight="1" x14ac:dyDescent="0.25">
      <c r="A3830" s="10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</row>
    <row r="3831" spans="1:12" ht="15" customHeight="1" x14ac:dyDescent="0.25">
      <c r="A3831" s="10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</row>
    <row r="3832" spans="1:12" ht="15" customHeight="1" x14ac:dyDescent="0.25">
      <c r="A3832" s="10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</row>
    <row r="3833" spans="1:12" ht="15" customHeight="1" x14ac:dyDescent="0.25">
      <c r="A3833" s="10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</row>
    <row r="3834" spans="1:12" ht="15" customHeight="1" x14ac:dyDescent="0.25">
      <c r="A3834" s="10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</row>
    <row r="3835" spans="1:12" ht="15" customHeight="1" x14ac:dyDescent="0.25">
      <c r="A3835" s="10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</row>
    <row r="3836" spans="1:12" ht="15" customHeight="1" x14ac:dyDescent="0.25">
      <c r="A3836" s="10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</row>
    <row r="3837" spans="1:12" ht="15" customHeight="1" x14ac:dyDescent="0.25">
      <c r="A3837" s="10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</row>
    <row r="3838" spans="1:12" ht="15" customHeight="1" x14ac:dyDescent="0.25">
      <c r="A3838" s="10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</row>
    <row r="3839" spans="1:12" ht="15" customHeight="1" x14ac:dyDescent="0.25">
      <c r="A3839" s="10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</row>
    <row r="3840" spans="1:12" ht="15" customHeight="1" x14ac:dyDescent="0.25">
      <c r="A3840" s="10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</row>
    <row r="3841" spans="1:12" ht="15" customHeight="1" x14ac:dyDescent="0.25">
      <c r="A3841" s="10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</row>
    <row r="3842" spans="1:12" ht="15" customHeight="1" x14ac:dyDescent="0.25">
      <c r="A3842" s="10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</row>
    <row r="3843" spans="1:12" ht="15" customHeight="1" x14ac:dyDescent="0.25">
      <c r="A3843" s="10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</row>
    <row r="3844" spans="1:12" ht="15" customHeight="1" x14ac:dyDescent="0.25">
      <c r="A3844" s="10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</row>
    <row r="3845" spans="1:12" ht="15" customHeight="1" x14ac:dyDescent="0.25">
      <c r="A3845" s="10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</row>
    <row r="3846" spans="1:12" ht="15" customHeight="1" x14ac:dyDescent="0.25">
      <c r="A3846" s="10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</row>
    <row r="3847" spans="1:12" ht="15" customHeight="1" x14ac:dyDescent="0.25">
      <c r="A3847" s="10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</row>
    <row r="3848" spans="1:12" ht="15" customHeight="1" x14ac:dyDescent="0.25">
      <c r="A3848" s="10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</row>
    <row r="3849" spans="1:12" ht="15" customHeight="1" x14ac:dyDescent="0.25">
      <c r="A3849" s="10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</row>
    <row r="3850" spans="1:12" ht="15" customHeight="1" x14ac:dyDescent="0.25">
      <c r="A3850" s="10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</row>
    <row r="3851" spans="1:12" ht="15" customHeight="1" x14ac:dyDescent="0.25">
      <c r="A3851" s="10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</row>
    <row r="3852" spans="1:12" ht="15" customHeight="1" x14ac:dyDescent="0.25">
      <c r="A3852" s="10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</row>
    <row r="3853" spans="1:12" ht="15" customHeight="1" x14ac:dyDescent="0.25">
      <c r="A3853" s="10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</row>
    <row r="3854" spans="1:12" ht="15" customHeight="1" x14ac:dyDescent="0.25">
      <c r="A3854" s="10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</row>
    <row r="3855" spans="1:12" ht="15" customHeight="1" x14ac:dyDescent="0.25">
      <c r="A3855" s="10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</row>
    <row r="3856" spans="1:12" ht="15" customHeight="1" x14ac:dyDescent="0.25">
      <c r="A3856" s="10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</row>
    <row r="3857" spans="1:12" ht="15" customHeight="1" x14ac:dyDescent="0.25">
      <c r="A3857" s="10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</row>
    <row r="3858" spans="1:12" ht="15" customHeight="1" x14ac:dyDescent="0.25">
      <c r="A3858" s="10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</row>
    <row r="3859" spans="1:12" ht="15" customHeight="1" x14ac:dyDescent="0.25">
      <c r="A3859" s="10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</row>
    <row r="3860" spans="1:12" ht="15" customHeight="1" x14ac:dyDescent="0.25">
      <c r="A3860" s="10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</row>
    <row r="3861" spans="1:12" ht="15" customHeight="1" x14ac:dyDescent="0.25">
      <c r="A3861" s="10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</row>
    <row r="3862" spans="1:12" ht="15" customHeight="1" x14ac:dyDescent="0.25">
      <c r="A3862" s="10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</row>
    <row r="3863" spans="1:12" ht="15" customHeight="1" x14ac:dyDescent="0.25">
      <c r="A3863" s="10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</row>
    <row r="3864" spans="1:12" ht="15" customHeight="1" x14ac:dyDescent="0.25">
      <c r="A3864" s="10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</row>
    <row r="3865" spans="1:12" ht="15" customHeight="1" x14ac:dyDescent="0.25">
      <c r="A3865" s="10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</row>
    <row r="3866" spans="1:12" ht="15" customHeight="1" x14ac:dyDescent="0.25">
      <c r="A3866" s="10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</row>
    <row r="3867" spans="1:12" ht="15" customHeight="1" x14ac:dyDescent="0.25">
      <c r="A3867" s="10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</row>
    <row r="3868" spans="1:12" ht="15" customHeight="1" x14ac:dyDescent="0.25">
      <c r="A3868" s="10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</row>
    <row r="3869" spans="1:12" ht="15" customHeight="1" x14ac:dyDescent="0.25">
      <c r="A3869" s="10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</row>
    <row r="3870" spans="1:12" ht="15" customHeight="1" x14ac:dyDescent="0.25">
      <c r="A3870" s="10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</row>
    <row r="3871" spans="1:12" ht="15" customHeight="1" x14ac:dyDescent="0.25">
      <c r="A3871" s="10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</row>
    <row r="3872" spans="1:12" ht="15" customHeight="1" x14ac:dyDescent="0.25">
      <c r="A3872" s="10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</row>
    <row r="3873" spans="1:12" ht="15" customHeight="1" x14ac:dyDescent="0.25">
      <c r="A3873" s="10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</row>
    <row r="3874" spans="1:12" ht="15" customHeight="1" x14ac:dyDescent="0.25">
      <c r="A3874" s="10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</row>
    <row r="3875" spans="1:12" ht="15" customHeight="1" x14ac:dyDescent="0.25">
      <c r="A3875" s="10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</row>
    <row r="3876" spans="1:12" ht="15" customHeight="1" x14ac:dyDescent="0.25">
      <c r="A3876" s="10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</row>
    <row r="3877" spans="1:12" ht="15" customHeight="1" x14ac:dyDescent="0.25">
      <c r="A3877" s="10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</row>
    <row r="3878" spans="1:12" ht="15" customHeight="1" x14ac:dyDescent="0.25">
      <c r="A3878" s="10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</row>
    <row r="3879" spans="1:12" ht="15" customHeight="1" x14ac:dyDescent="0.25">
      <c r="A3879" s="10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</row>
    <row r="3880" spans="1:12" ht="15" customHeight="1" x14ac:dyDescent="0.25">
      <c r="A3880" s="10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</row>
    <row r="3881" spans="1:12" ht="15" customHeight="1" x14ac:dyDescent="0.25">
      <c r="A3881" s="10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</row>
    <row r="3882" spans="1:12" ht="15" customHeight="1" x14ac:dyDescent="0.25">
      <c r="A3882" s="10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</row>
    <row r="3883" spans="1:12" ht="15" customHeight="1" x14ac:dyDescent="0.25">
      <c r="A3883" s="10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</row>
    <row r="3884" spans="1:12" ht="15" customHeight="1" x14ac:dyDescent="0.25">
      <c r="A3884" s="10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</row>
    <row r="3885" spans="1:12" ht="15" customHeight="1" x14ac:dyDescent="0.25">
      <c r="A3885" s="10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</row>
    <row r="3886" spans="1:12" ht="15" customHeight="1" x14ac:dyDescent="0.25">
      <c r="A3886" s="10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</row>
    <row r="3887" spans="1:12" ht="15" customHeight="1" x14ac:dyDescent="0.25">
      <c r="A3887" s="10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</row>
    <row r="3888" spans="1:12" ht="15" customHeight="1" x14ac:dyDescent="0.25">
      <c r="A3888" s="10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</row>
    <row r="3889" spans="1:12" ht="15" customHeight="1" x14ac:dyDescent="0.25">
      <c r="A3889" s="10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</row>
    <row r="3890" spans="1:12" ht="15" customHeight="1" x14ac:dyDescent="0.25">
      <c r="A3890" s="10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</row>
    <row r="3891" spans="1:12" ht="15" customHeight="1" x14ac:dyDescent="0.25">
      <c r="A3891" s="10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</row>
    <row r="3892" spans="1:12" ht="15" customHeight="1" x14ac:dyDescent="0.25">
      <c r="A3892" s="10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</row>
    <row r="3893" spans="1:12" ht="15" customHeight="1" x14ac:dyDescent="0.25">
      <c r="A3893" s="10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</row>
    <row r="3894" spans="1:12" ht="15" customHeight="1" x14ac:dyDescent="0.25">
      <c r="A3894" s="10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</row>
    <row r="3895" spans="1:12" ht="15" customHeight="1" x14ac:dyDescent="0.25">
      <c r="A3895" s="10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</row>
    <row r="3896" spans="1:12" ht="15" customHeight="1" x14ac:dyDescent="0.25">
      <c r="A3896" s="10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</row>
    <row r="3897" spans="1:12" ht="15" customHeight="1" x14ac:dyDescent="0.25">
      <c r="A3897" s="10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</row>
    <row r="3898" spans="1:12" ht="15" customHeight="1" x14ac:dyDescent="0.25">
      <c r="A3898" s="10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</row>
    <row r="3899" spans="1:12" ht="15" customHeight="1" x14ac:dyDescent="0.25">
      <c r="A3899" s="10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</row>
    <row r="3900" spans="1:12" ht="15" customHeight="1" x14ac:dyDescent="0.25">
      <c r="A3900" s="10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</row>
    <row r="3901" spans="1:12" ht="15" customHeight="1" x14ac:dyDescent="0.25">
      <c r="A3901" s="10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</row>
    <row r="3902" spans="1:12" ht="15" customHeight="1" x14ac:dyDescent="0.25">
      <c r="A3902" s="10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</row>
    <row r="3903" spans="1:12" ht="15" customHeight="1" x14ac:dyDescent="0.25">
      <c r="A3903" s="10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</row>
    <row r="3904" spans="1:12" ht="15" customHeight="1" x14ac:dyDescent="0.25">
      <c r="A3904" s="10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</row>
    <row r="3905" spans="1:12" ht="15" customHeight="1" x14ac:dyDescent="0.25">
      <c r="A3905" s="10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</row>
    <row r="3906" spans="1:12" ht="15" customHeight="1" x14ac:dyDescent="0.25">
      <c r="A3906" s="10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</row>
    <row r="3907" spans="1:12" ht="15" customHeight="1" x14ac:dyDescent="0.25">
      <c r="A3907" s="10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</row>
    <row r="3908" spans="1:12" ht="15" customHeight="1" x14ac:dyDescent="0.25">
      <c r="A3908" s="10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</row>
    <row r="3909" spans="1:12" ht="15" customHeight="1" x14ac:dyDescent="0.25">
      <c r="A3909" s="10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</row>
    <row r="3910" spans="1:12" ht="15" customHeight="1" x14ac:dyDescent="0.25">
      <c r="A3910" s="10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</row>
    <row r="3911" spans="1:12" ht="15" customHeight="1" x14ac:dyDescent="0.25">
      <c r="A3911" s="10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</row>
    <row r="3912" spans="1:12" ht="15" customHeight="1" x14ac:dyDescent="0.25">
      <c r="A3912" s="10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</row>
    <row r="3913" spans="1:12" ht="15" customHeight="1" x14ac:dyDescent="0.25">
      <c r="A3913" s="10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</row>
    <row r="3914" spans="1:12" ht="15" customHeight="1" x14ac:dyDescent="0.25">
      <c r="A3914" s="10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</row>
    <row r="3915" spans="1:12" ht="15" customHeight="1" x14ac:dyDescent="0.25">
      <c r="A3915" s="10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</row>
    <row r="3916" spans="1:12" ht="15" customHeight="1" x14ac:dyDescent="0.25">
      <c r="A3916" s="10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</row>
    <row r="3917" spans="1:12" ht="15" customHeight="1" x14ac:dyDescent="0.25">
      <c r="A3917" s="10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</row>
    <row r="3918" spans="1:12" ht="15" customHeight="1" x14ac:dyDescent="0.25">
      <c r="A3918" s="10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</row>
    <row r="3919" spans="1:12" ht="15" customHeight="1" x14ac:dyDescent="0.25">
      <c r="A3919" s="10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</row>
    <row r="3920" spans="1:12" ht="15" customHeight="1" x14ac:dyDescent="0.25">
      <c r="A3920" s="10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</row>
    <row r="3921" spans="1:12" ht="15" customHeight="1" x14ac:dyDescent="0.25">
      <c r="A3921" s="10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</row>
    <row r="3922" spans="1:12" ht="15" customHeight="1" x14ac:dyDescent="0.25">
      <c r="A3922" s="10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</row>
    <row r="3923" spans="1:12" ht="15" customHeight="1" x14ac:dyDescent="0.25">
      <c r="A3923" s="10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</row>
    <row r="3924" spans="1:12" ht="15" customHeight="1" x14ac:dyDescent="0.25">
      <c r="A3924" s="10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</row>
    <row r="3925" spans="1:12" ht="15" customHeight="1" x14ac:dyDescent="0.25">
      <c r="A3925" s="10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</row>
    <row r="3926" spans="1:12" ht="15" customHeight="1" x14ac:dyDescent="0.25">
      <c r="A3926" s="10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</row>
    <row r="3927" spans="1:12" ht="15" customHeight="1" x14ac:dyDescent="0.25">
      <c r="A3927" s="10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</row>
    <row r="3928" spans="1:12" ht="15" customHeight="1" x14ac:dyDescent="0.25">
      <c r="A3928" s="10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</row>
    <row r="3929" spans="1:12" ht="15" customHeight="1" x14ac:dyDescent="0.25">
      <c r="A3929" s="10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</row>
    <row r="3930" spans="1:12" ht="15" customHeight="1" x14ac:dyDescent="0.25">
      <c r="A3930" s="10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</row>
    <row r="3931" spans="1:12" ht="15" customHeight="1" x14ac:dyDescent="0.25">
      <c r="A3931" s="10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</row>
    <row r="3932" spans="1:12" ht="15" customHeight="1" x14ac:dyDescent="0.25">
      <c r="A3932" s="10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</row>
    <row r="3933" spans="1:12" ht="15" customHeight="1" x14ac:dyDescent="0.25">
      <c r="A3933" s="10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</row>
    <row r="3934" spans="1:12" ht="15" customHeight="1" x14ac:dyDescent="0.25">
      <c r="A3934" s="10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</row>
    <row r="3935" spans="1:12" ht="15" customHeight="1" x14ac:dyDescent="0.25">
      <c r="A3935" s="10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</row>
    <row r="3936" spans="1:12" ht="15" customHeight="1" x14ac:dyDescent="0.25">
      <c r="A3936" s="10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</row>
    <row r="3937" spans="1:12" ht="15" customHeight="1" x14ac:dyDescent="0.25">
      <c r="A3937" s="10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</row>
    <row r="3938" spans="1:12" ht="15" customHeight="1" x14ac:dyDescent="0.25">
      <c r="A3938" s="10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</row>
    <row r="3939" spans="1:12" ht="15" customHeight="1" x14ac:dyDescent="0.25">
      <c r="A3939" s="10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</row>
    <row r="3940" spans="1:12" ht="15" customHeight="1" x14ac:dyDescent="0.25">
      <c r="A3940" s="10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</row>
    <row r="3941" spans="1:12" ht="15" customHeight="1" x14ac:dyDescent="0.25">
      <c r="A3941" s="10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</row>
    <row r="3942" spans="1:12" ht="15" customHeight="1" x14ac:dyDescent="0.25">
      <c r="A3942" s="10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</row>
    <row r="3943" spans="1:12" ht="15" customHeight="1" x14ac:dyDescent="0.25">
      <c r="A3943" s="10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</row>
    <row r="3944" spans="1:12" ht="15" customHeight="1" x14ac:dyDescent="0.25">
      <c r="A3944" s="10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</row>
    <row r="3945" spans="1:12" ht="15" customHeight="1" x14ac:dyDescent="0.25">
      <c r="A3945" s="10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</row>
    <row r="3946" spans="1:12" ht="15" customHeight="1" x14ac:dyDescent="0.25">
      <c r="A3946" s="10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</row>
    <row r="3947" spans="1:12" ht="15" customHeight="1" x14ac:dyDescent="0.25">
      <c r="A3947" s="10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</row>
    <row r="3948" spans="1:12" ht="15" customHeight="1" x14ac:dyDescent="0.25">
      <c r="A3948" s="10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</row>
    <row r="3949" spans="1:12" ht="15" customHeight="1" x14ac:dyDescent="0.25">
      <c r="A3949" s="10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</row>
    <row r="3950" spans="1:12" ht="15" customHeight="1" x14ac:dyDescent="0.25">
      <c r="A3950" s="10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</row>
    <row r="3951" spans="1:12" ht="15" customHeight="1" x14ac:dyDescent="0.25">
      <c r="A3951" s="10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</row>
    <row r="3952" spans="1:12" ht="15" customHeight="1" x14ac:dyDescent="0.25">
      <c r="A3952" s="10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</row>
    <row r="3953" spans="1:12" ht="15" customHeight="1" x14ac:dyDescent="0.25">
      <c r="A3953" s="10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</row>
    <row r="3954" spans="1:12" ht="15" customHeight="1" x14ac:dyDescent="0.25">
      <c r="A3954" s="10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</row>
    <row r="3955" spans="1:12" ht="15" customHeight="1" x14ac:dyDescent="0.25">
      <c r="A3955" s="10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</row>
    <row r="3956" spans="1:12" ht="15" customHeight="1" x14ac:dyDescent="0.25">
      <c r="A3956" s="10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</row>
    <row r="3957" spans="1:12" ht="15" customHeight="1" x14ac:dyDescent="0.25">
      <c r="A3957" s="10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</row>
    <row r="3958" spans="1:12" ht="15" customHeight="1" x14ac:dyDescent="0.25">
      <c r="A3958" s="10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</row>
    <row r="3959" spans="1:12" ht="15" customHeight="1" x14ac:dyDescent="0.25">
      <c r="A3959" s="10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</row>
    <row r="3960" spans="1:12" ht="15" customHeight="1" x14ac:dyDescent="0.25">
      <c r="A3960" s="10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</row>
    <row r="3961" spans="1:12" ht="15" customHeight="1" x14ac:dyDescent="0.25">
      <c r="A3961" s="10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</row>
    <row r="3962" spans="1:12" ht="15" customHeight="1" x14ac:dyDescent="0.25">
      <c r="A3962" s="10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</row>
    <row r="3963" spans="1:12" ht="15" customHeight="1" x14ac:dyDescent="0.25">
      <c r="A3963" s="10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</row>
    <row r="3964" spans="1:12" ht="15" customHeight="1" x14ac:dyDescent="0.25">
      <c r="A3964" s="10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</row>
    <row r="3965" spans="1:12" ht="15" customHeight="1" x14ac:dyDescent="0.25">
      <c r="A3965" s="10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</row>
    <row r="3966" spans="1:12" ht="15" customHeight="1" x14ac:dyDescent="0.25">
      <c r="A3966" s="10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</row>
    <row r="3967" spans="1:12" ht="15" customHeight="1" x14ac:dyDescent="0.25">
      <c r="A3967" s="10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</row>
    <row r="3968" spans="1:12" ht="15" customHeight="1" x14ac:dyDescent="0.25">
      <c r="A3968" s="10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</row>
    <row r="3969" spans="1:12" ht="15" customHeight="1" x14ac:dyDescent="0.25">
      <c r="A3969" s="10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</row>
    <row r="3970" spans="1:12" ht="15" customHeight="1" x14ac:dyDescent="0.25">
      <c r="A3970" s="10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</row>
    <row r="3971" spans="1:12" ht="15" customHeight="1" x14ac:dyDescent="0.25">
      <c r="A3971" s="10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</row>
    <row r="3972" spans="1:12" ht="15" customHeight="1" x14ac:dyDescent="0.25">
      <c r="A3972" s="10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</row>
    <row r="3973" spans="1:12" ht="15" customHeight="1" x14ac:dyDescent="0.25">
      <c r="A3973" s="10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</row>
    <row r="3974" spans="1:12" ht="15" customHeight="1" x14ac:dyDescent="0.25">
      <c r="A3974" s="10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</row>
    <row r="3975" spans="1:12" ht="15" customHeight="1" x14ac:dyDescent="0.25">
      <c r="A3975" s="10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</row>
    <row r="3976" spans="1:12" ht="15" customHeight="1" x14ac:dyDescent="0.25">
      <c r="A3976" s="10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</row>
    <row r="3977" spans="1:12" ht="15" customHeight="1" x14ac:dyDescent="0.25">
      <c r="A3977" s="10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</row>
    <row r="3978" spans="1:12" ht="15" customHeight="1" x14ac:dyDescent="0.25">
      <c r="A3978" s="10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</row>
    <row r="3979" spans="1:12" ht="15" customHeight="1" x14ac:dyDescent="0.25">
      <c r="A3979" s="10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</row>
    <row r="3980" spans="1:12" ht="15" customHeight="1" x14ac:dyDescent="0.25">
      <c r="A3980" s="10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</row>
    <row r="3981" spans="1:12" ht="15" customHeight="1" x14ac:dyDescent="0.25">
      <c r="A3981" s="10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</row>
    <row r="3982" spans="1:12" ht="15" customHeight="1" x14ac:dyDescent="0.25">
      <c r="A3982" s="10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</row>
    <row r="3983" spans="1:12" ht="15" customHeight="1" x14ac:dyDescent="0.25">
      <c r="A3983" s="10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</row>
    <row r="3984" spans="1:12" ht="15" customHeight="1" x14ac:dyDescent="0.25">
      <c r="A3984" s="10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</row>
    <row r="3985" spans="1:12" ht="15" customHeight="1" x14ac:dyDescent="0.25">
      <c r="A3985" s="10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</row>
    <row r="3986" spans="1:12" ht="15" customHeight="1" x14ac:dyDescent="0.25">
      <c r="A3986" s="10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</row>
    <row r="3987" spans="1:12" ht="15" customHeight="1" x14ac:dyDescent="0.25">
      <c r="A3987" s="10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</row>
    <row r="3988" spans="1:12" ht="15" customHeight="1" x14ac:dyDescent="0.25">
      <c r="A3988" s="10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</row>
    <row r="3989" spans="1:12" ht="15" customHeight="1" x14ac:dyDescent="0.25">
      <c r="A3989" s="10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</row>
    <row r="3990" spans="1:12" ht="15" customHeight="1" x14ac:dyDescent="0.25">
      <c r="A3990" s="10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</row>
    <row r="3991" spans="1:12" ht="15" customHeight="1" x14ac:dyDescent="0.25">
      <c r="A3991" s="10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</row>
    <row r="3992" spans="1:12" ht="15" customHeight="1" x14ac:dyDescent="0.25">
      <c r="A3992" s="10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</row>
    <row r="3993" spans="1:12" ht="15" customHeight="1" x14ac:dyDescent="0.25">
      <c r="A3993" s="10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</row>
    <row r="3994" spans="1:12" ht="15" customHeight="1" x14ac:dyDescent="0.25">
      <c r="A3994" s="10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</row>
    <row r="3995" spans="1:12" ht="15" customHeight="1" x14ac:dyDescent="0.25">
      <c r="A3995" s="10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</row>
    <row r="3996" spans="1:12" ht="15" customHeight="1" x14ac:dyDescent="0.25">
      <c r="A3996" s="10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</row>
    <row r="3997" spans="1:12" ht="15" customHeight="1" x14ac:dyDescent="0.25">
      <c r="A3997" s="10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</row>
    <row r="3998" spans="1:12" ht="15" customHeight="1" x14ac:dyDescent="0.25">
      <c r="A3998" s="10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</row>
    <row r="3999" spans="1:12" ht="15" customHeight="1" x14ac:dyDescent="0.25">
      <c r="A3999" s="10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</row>
    <row r="4000" spans="1:12" ht="15" customHeight="1" x14ac:dyDescent="0.25">
      <c r="A4000" s="10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</row>
    <row r="4001" spans="1:12" ht="15" customHeight="1" x14ac:dyDescent="0.25">
      <c r="A4001" s="10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</row>
    <row r="4002" spans="1:12" ht="15" customHeight="1" x14ac:dyDescent="0.25">
      <c r="A4002" s="10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</row>
    <row r="4003" spans="1:12" ht="15" customHeight="1" x14ac:dyDescent="0.25">
      <c r="A4003" s="10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</row>
    <row r="4004" spans="1:12" ht="15" customHeight="1" x14ac:dyDescent="0.25">
      <c r="A4004" s="10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</row>
    <row r="4005" spans="1:12" ht="15" customHeight="1" x14ac:dyDescent="0.25">
      <c r="A4005" s="10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</row>
    <row r="4006" spans="1:12" ht="15" customHeight="1" x14ac:dyDescent="0.25">
      <c r="A4006" s="10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</row>
    <row r="4007" spans="1:12" ht="15" customHeight="1" x14ac:dyDescent="0.25">
      <c r="A4007" s="10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</row>
    <row r="4008" spans="1:12" ht="15" customHeight="1" x14ac:dyDescent="0.25">
      <c r="A4008" s="10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</row>
    <row r="4009" spans="1:12" ht="15" customHeight="1" x14ac:dyDescent="0.25">
      <c r="A4009" s="10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</row>
    <row r="4010" spans="1:12" ht="15" customHeight="1" x14ac:dyDescent="0.25">
      <c r="A4010" s="10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</row>
    <row r="4011" spans="1:12" ht="15" customHeight="1" x14ac:dyDescent="0.25">
      <c r="A4011" s="10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</row>
    <row r="4012" spans="1:12" ht="15" customHeight="1" x14ac:dyDescent="0.25">
      <c r="A4012" s="10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</row>
    <row r="4013" spans="1:12" ht="15" customHeight="1" x14ac:dyDescent="0.25">
      <c r="A4013" s="10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</row>
    <row r="4014" spans="1:12" ht="15" customHeight="1" x14ac:dyDescent="0.25">
      <c r="A4014" s="10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</row>
    <row r="4015" spans="1:12" ht="15" customHeight="1" x14ac:dyDescent="0.25">
      <c r="A4015" s="10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</row>
    <row r="4016" spans="1:12" ht="15" customHeight="1" x14ac:dyDescent="0.25">
      <c r="A4016" s="10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</row>
    <row r="4017" spans="1:12" ht="15" customHeight="1" x14ac:dyDescent="0.25">
      <c r="A4017" s="10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</row>
    <row r="4018" spans="1:12" ht="15" customHeight="1" x14ac:dyDescent="0.25">
      <c r="A4018" s="10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</row>
    <row r="4019" spans="1:12" ht="15" customHeight="1" x14ac:dyDescent="0.25">
      <c r="A4019" s="10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</row>
    <row r="4020" spans="1:12" ht="15" customHeight="1" x14ac:dyDescent="0.25">
      <c r="A4020" s="10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</row>
    <row r="4021" spans="1:12" ht="15" customHeight="1" x14ac:dyDescent="0.25">
      <c r="A4021" s="10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</row>
    <row r="4022" spans="1:12" ht="15" customHeight="1" x14ac:dyDescent="0.25">
      <c r="A4022" s="10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</row>
    <row r="4023" spans="1:12" ht="15" customHeight="1" x14ac:dyDescent="0.25">
      <c r="A4023" s="10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</row>
    <row r="4024" spans="1:12" ht="15" customHeight="1" x14ac:dyDescent="0.25">
      <c r="A4024" s="10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</row>
    <row r="4025" spans="1:12" ht="15" customHeight="1" x14ac:dyDescent="0.25">
      <c r="A4025" s="10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</row>
    <row r="4026" spans="1:12" ht="15" customHeight="1" x14ac:dyDescent="0.25">
      <c r="A4026" s="10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</row>
    <row r="4027" spans="1:12" ht="15" customHeight="1" x14ac:dyDescent="0.25">
      <c r="A4027" s="10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</row>
    <row r="4028" spans="1:12" ht="15" customHeight="1" x14ac:dyDescent="0.25">
      <c r="A4028" s="10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</row>
    <row r="4029" spans="1:12" ht="15" customHeight="1" x14ac:dyDescent="0.25">
      <c r="A4029" s="10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</row>
    <row r="4030" spans="1:12" ht="15" customHeight="1" x14ac:dyDescent="0.25">
      <c r="A4030" s="10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</row>
    <row r="4031" spans="1:12" ht="15" customHeight="1" x14ac:dyDescent="0.25">
      <c r="A4031" s="10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</row>
    <row r="4032" spans="1:12" ht="15" customHeight="1" x14ac:dyDescent="0.25">
      <c r="A4032" s="10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</row>
    <row r="4033" spans="1:12" ht="15" customHeight="1" x14ac:dyDescent="0.25">
      <c r="A4033" s="10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</row>
    <row r="4034" spans="1:12" ht="15" customHeight="1" x14ac:dyDescent="0.25">
      <c r="A4034" s="10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</row>
    <row r="4035" spans="1:12" ht="15" customHeight="1" x14ac:dyDescent="0.25">
      <c r="A4035" s="10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</row>
    <row r="4036" spans="1:12" ht="15" customHeight="1" x14ac:dyDescent="0.25">
      <c r="A4036" s="10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</row>
    <row r="4037" spans="1:12" ht="15" customHeight="1" x14ac:dyDescent="0.25">
      <c r="A4037" s="10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</row>
    <row r="4038" spans="1:12" ht="15" customHeight="1" x14ac:dyDescent="0.25">
      <c r="A4038" s="10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</row>
    <row r="4039" spans="1:12" ht="15" customHeight="1" x14ac:dyDescent="0.25">
      <c r="A4039" s="10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</row>
    <row r="4040" spans="1:12" ht="15" customHeight="1" x14ac:dyDescent="0.25">
      <c r="A4040" s="10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</row>
    <row r="4041" spans="1:12" ht="15" customHeight="1" x14ac:dyDescent="0.25">
      <c r="A4041" s="10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</row>
    <row r="4042" spans="1:12" ht="15" customHeight="1" x14ac:dyDescent="0.25">
      <c r="A4042" s="10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</row>
    <row r="4043" spans="1:12" ht="15" customHeight="1" x14ac:dyDescent="0.25">
      <c r="A4043" s="10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</row>
    <row r="4044" spans="1:12" ht="15" customHeight="1" x14ac:dyDescent="0.25">
      <c r="A4044" s="10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</row>
    <row r="4045" spans="1:12" ht="15" customHeight="1" x14ac:dyDescent="0.25">
      <c r="A4045" s="10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</row>
    <row r="4046" spans="1:12" ht="15" customHeight="1" x14ac:dyDescent="0.25">
      <c r="A4046" s="10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</row>
    <row r="4047" spans="1:12" ht="15" customHeight="1" x14ac:dyDescent="0.25">
      <c r="A4047" s="10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</row>
    <row r="4048" spans="1:12" ht="15" customHeight="1" x14ac:dyDescent="0.25">
      <c r="A4048" s="10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</row>
    <row r="4049" spans="1:12" ht="15" customHeight="1" x14ac:dyDescent="0.25">
      <c r="A4049" s="10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</row>
    <row r="4050" spans="1:12" ht="15" customHeight="1" x14ac:dyDescent="0.25">
      <c r="A4050" s="10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</row>
    <row r="4051" spans="1:12" ht="15" customHeight="1" x14ac:dyDescent="0.25">
      <c r="A4051" s="10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</row>
    <row r="4052" spans="1:12" ht="15" customHeight="1" x14ac:dyDescent="0.25">
      <c r="A4052" s="10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</row>
    <row r="4053" spans="1:12" ht="15" customHeight="1" x14ac:dyDescent="0.25">
      <c r="A4053" s="10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</row>
    <row r="4054" spans="1:12" ht="15" customHeight="1" x14ac:dyDescent="0.25">
      <c r="A4054" s="10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</row>
    <row r="4055" spans="1:12" ht="15" customHeight="1" x14ac:dyDescent="0.25">
      <c r="A4055" s="10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</row>
    <row r="4056" spans="1:12" ht="15" customHeight="1" x14ac:dyDescent="0.25">
      <c r="A4056" s="10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</row>
    <row r="4057" spans="1:12" ht="15" customHeight="1" x14ac:dyDescent="0.25">
      <c r="A4057" s="10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</row>
    <row r="4058" spans="1:12" ht="15" customHeight="1" x14ac:dyDescent="0.25">
      <c r="A4058" s="10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</row>
    <row r="4059" spans="1:12" ht="15" customHeight="1" x14ac:dyDescent="0.25">
      <c r="A4059" s="10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</row>
    <row r="4060" spans="1:12" ht="15" customHeight="1" x14ac:dyDescent="0.25">
      <c r="A4060" s="10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</row>
    <row r="4061" spans="1:12" ht="15" customHeight="1" x14ac:dyDescent="0.25">
      <c r="A4061" s="10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</row>
    <row r="4062" spans="1:12" ht="15" customHeight="1" x14ac:dyDescent="0.25">
      <c r="A4062" s="10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</row>
    <row r="4063" spans="1:12" ht="15" customHeight="1" x14ac:dyDescent="0.25">
      <c r="A4063" s="10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</row>
    <row r="4064" spans="1:12" ht="15" customHeight="1" x14ac:dyDescent="0.25">
      <c r="A4064" s="10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</row>
    <row r="4065" spans="1:12" ht="15" customHeight="1" x14ac:dyDescent="0.25">
      <c r="A4065" s="10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</row>
    <row r="4066" spans="1:12" ht="15" customHeight="1" x14ac:dyDescent="0.25">
      <c r="A4066" s="10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</row>
    <row r="4067" spans="1:12" ht="15" customHeight="1" x14ac:dyDescent="0.25">
      <c r="A4067" s="10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</row>
    <row r="4068" spans="1:12" ht="15" customHeight="1" x14ac:dyDescent="0.25">
      <c r="A4068" s="10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</row>
    <row r="4069" spans="1:12" ht="15" customHeight="1" x14ac:dyDescent="0.25">
      <c r="A4069" s="10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</row>
    <row r="4070" spans="1:12" ht="15" customHeight="1" x14ac:dyDescent="0.25">
      <c r="A4070" s="10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</row>
    <row r="4071" spans="1:12" ht="15" customHeight="1" x14ac:dyDescent="0.25">
      <c r="A4071" s="10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</row>
    <row r="4072" spans="1:12" ht="15" customHeight="1" x14ac:dyDescent="0.25">
      <c r="A4072" s="10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</row>
    <row r="4073" spans="1:12" ht="15" customHeight="1" x14ac:dyDescent="0.25">
      <c r="A4073" s="10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</row>
    <row r="4074" spans="1:12" ht="15" customHeight="1" x14ac:dyDescent="0.25">
      <c r="A4074" s="10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</row>
    <row r="4075" spans="1:12" ht="15" customHeight="1" x14ac:dyDescent="0.25">
      <c r="A4075" s="10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</row>
    <row r="4076" spans="1:12" ht="15" customHeight="1" x14ac:dyDescent="0.25">
      <c r="A4076" s="10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</row>
    <row r="4077" spans="1:12" ht="15" customHeight="1" x14ac:dyDescent="0.25">
      <c r="A4077" s="10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</row>
    <row r="4078" spans="1:12" ht="15" customHeight="1" x14ac:dyDescent="0.25">
      <c r="A4078" s="10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</row>
    <row r="4079" spans="1:12" ht="15" customHeight="1" x14ac:dyDescent="0.25">
      <c r="A4079" s="10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</row>
    <row r="4080" spans="1:12" ht="15" customHeight="1" x14ac:dyDescent="0.25">
      <c r="A4080" s="10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</row>
    <row r="4081" spans="1:12" ht="15" customHeight="1" x14ac:dyDescent="0.25">
      <c r="A4081" s="10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</row>
    <row r="4082" spans="1:12" ht="15" customHeight="1" x14ac:dyDescent="0.25">
      <c r="A4082" s="10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</row>
    <row r="4083" spans="1:12" ht="15" customHeight="1" x14ac:dyDescent="0.25">
      <c r="A4083" s="10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</row>
    <row r="4084" spans="1:12" ht="15" customHeight="1" x14ac:dyDescent="0.25">
      <c r="A4084" s="10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</row>
    <row r="4085" spans="1:12" ht="15" customHeight="1" x14ac:dyDescent="0.25">
      <c r="A4085" s="10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</row>
    <row r="4086" spans="1:12" ht="15" customHeight="1" x14ac:dyDescent="0.25">
      <c r="A4086" s="10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</row>
    <row r="4087" spans="1:12" ht="15" customHeight="1" x14ac:dyDescent="0.25">
      <c r="A4087" s="10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</row>
    <row r="4088" spans="1:12" ht="15" customHeight="1" x14ac:dyDescent="0.25">
      <c r="A4088" s="10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</row>
    <row r="4089" spans="1:12" ht="15" customHeight="1" x14ac:dyDescent="0.25">
      <c r="A4089" s="10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</row>
    <row r="4090" spans="1:12" ht="15" customHeight="1" x14ac:dyDescent="0.25">
      <c r="A4090" s="10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</row>
    <row r="4091" spans="1:12" ht="15" customHeight="1" x14ac:dyDescent="0.25">
      <c r="A4091" s="10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</row>
    <row r="4092" spans="1:12" ht="15" customHeight="1" x14ac:dyDescent="0.25">
      <c r="A4092" s="10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</row>
    <row r="4093" spans="1:12" ht="15" customHeight="1" x14ac:dyDescent="0.25">
      <c r="A4093" s="10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</row>
    <row r="4094" spans="1:12" ht="15" customHeight="1" x14ac:dyDescent="0.25">
      <c r="A4094" s="10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</row>
    <row r="4095" spans="1:12" ht="15" customHeight="1" x14ac:dyDescent="0.25">
      <c r="A4095" s="10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</row>
    <row r="4096" spans="1:12" ht="15" customHeight="1" x14ac:dyDescent="0.25">
      <c r="A4096" s="10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</row>
    <row r="4097" spans="1:12" ht="15" customHeight="1" x14ac:dyDescent="0.25">
      <c r="A4097" s="10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</row>
    <row r="4098" spans="1:12" ht="15" customHeight="1" x14ac:dyDescent="0.25">
      <c r="A4098" s="10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</row>
    <row r="4099" spans="1:12" ht="15" customHeight="1" x14ac:dyDescent="0.25">
      <c r="A4099" s="10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</row>
    <row r="4100" spans="1:12" ht="15" customHeight="1" x14ac:dyDescent="0.25">
      <c r="A4100" s="10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</row>
    <row r="4101" spans="1:12" ht="15" customHeight="1" x14ac:dyDescent="0.25">
      <c r="A4101" s="10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</row>
    <row r="4102" spans="1:12" ht="15" customHeight="1" x14ac:dyDescent="0.25">
      <c r="A4102" s="10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</row>
    <row r="4103" spans="1:12" ht="15" customHeight="1" x14ac:dyDescent="0.25">
      <c r="A4103" s="10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</row>
    <row r="4104" spans="1:12" ht="15" customHeight="1" x14ac:dyDescent="0.25">
      <c r="A4104" s="10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</row>
    <row r="4105" spans="1:12" ht="15" customHeight="1" x14ac:dyDescent="0.25">
      <c r="A4105" s="10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</row>
    <row r="4106" spans="1:12" ht="15" customHeight="1" x14ac:dyDescent="0.25">
      <c r="A4106" s="10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</row>
    <row r="4107" spans="1:12" ht="15" customHeight="1" x14ac:dyDescent="0.25">
      <c r="A4107" s="10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</row>
    <row r="4108" spans="1:12" ht="15" customHeight="1" x14ac:dyDescent="0.25">
      <c r="A4108" s="10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</row>
    <row r="4109" spans="1:12" ht="15" customHeight="1" x14ac:dyDescent="0.25">
      <c r="A4109" s="10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</row>
    <row r="4110" spans="1:12" ht="15" customHeight="1" x14ac:dyDescent="0.25">
      <c r="A4110" s="10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</row>
    <row r="4111" spans="1:12" ht="15" customHeight="1" x14ac:dyDescent="0.25">
      <c r="A4111" s="10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</row>
    <row r="4112" spans="1:12" ht="15" customHeight="1" x14ac:dyDescent="0.25">
      <c r="A4112" s="10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</row>
    <row r="4113" spans="1:12" ht="15" customHeight="1" x14ac:dyDescent="0.25">
      <c r="A4113" s="10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</row>
    <row r="4114" spans="1:12" ht="15" customHeight="1" x14ac:dyDescent="0.25">
      <c r="A4114" s="10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</row>
    <row r="4115" spans="1:12" ht="15" customHeight="1" x14ac:dyDescent="0.25">
      <c r="A4115" s="10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</row>
    <row r="4116" spans="1:12" ht="15" customHeight="1" x14ac:dyDescent="0.25">
      <c r="A4116" s="10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</row>
    <row r="4117" spans="1:12" ht="15" customHeight="1" x14ac:dyDescent="0.25">
      <c r="A4117" s="10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</row>
    <row r="4118" spans="1:12" ht="15" customHeight="1" x14ac:dyDescent="0.25">
      <c r="A4118" s="10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</row>
    <row r="4119" spans="1:12" ht="15" customHeight="1" x14ac:dyDescent="0.25">
      <c r="A4119" s="10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</row>
    <row r="4120" spans="1:12" ht="15" customHeight="1" x14ac:dyDescent="0.25">
      <c r="A4120" s="10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</row>
    <row r="4121" spans="1:12" ht="15" customHeight="1" x14ac:dyDescent="0.25">
      <c r="A4121" s="10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</row>
    <row r="4122" spans="1:12" ht="15" customHeight="1" x14ac:dyDescent="0.25">
      <c r="A4122" s="10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</row>
    <row r="4123" spans="1:12" ht="15" customHeight="1" x14ac:dyDescent="0.25">
      <c r="A4123" s="10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</row>
    <row r="4124" spans="1:12" ht="15" customHeight="1" x14ac:dyDescent="0.25">
      <c r="A4124" s="10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</row>
    <row r="4125" spans="1:12" ht="15" customHeight="1" x14ac:dyDescent="0.25">
      <c r="A4125" s="10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</row>
    <row r="4126" spans="1:12" ht="15" customHeight="1" x14ac:dyDescent="0.25">
      <c r="A4126" s="10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</row>
    <row r="4127" spans="1:12" ht="15" customHeight="1" x14ac:dyDescent="0.25">
      <c r="A4127" s="10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</row>
    <row r="4128" spans="1:12" ht="15" customHeight="1" x14ac:dyDescent="0.25">
      <c r="A4128" s="10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</row>
    <row r="4129" spans="1:12" ht="15" customHeight="1" x14ac:dyDescent="0.25">
      <c r="A4129" s="10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</row>
    <row r="4130" spans="1:12" ht="15" customHeight="1" x14ac:dyDescent="0.25">
      <c r="A4130" s="10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</row>
    <row r="4131" spans="1:12" ht="15" customHeight="1" x14ac:dyDescent="0.25">
      <c r="A4131" s="10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</row>
    <row r="4132" spans="1:12" ht="15" customHeight="1" x14ac:dyDescent="0.25">
      <c r="A4132" s="10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</row>
    <row r="4133" spans="1:12" ht="15" customHeight="1" x14ac:dyDescent="0.25">
      <c r="A4133" s="10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</row>
    <row r="4134" spans="1:12" ht="15" customHeight="1" x14ac:dyDescent="0.25">
      <c r="A4134" s="10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</row>
    <row r="4135" spans="1:12" ht="15" customHeight="1" x14ac:dyDescent="0.25">
      <c r="A4135" s="10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</row>
    <row r="4136" spans="1:12" ht="15" customHeight="1" x14ac:dyDescent="0.25">
      <c r="A4136" s="10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</row>
    <row r="4137" spans="1:12" ht="15" customHeight="1" x14ac:dyDescent="0.25">
      <c r="A4137" s="10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</row>
    <row r="4138" spans="1:12" ht="15" customHeight="1" x14ac:dyDescent="0.25">
      <c r="A4138" s="10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</row>
    <row r="4139" spans="1:12" ht="15" customHeight="1" x14ac:dyDescent="0.25">
      <c r="A4139" s="10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</row>
    <row r="4140" spans="1:12" ht="15" customHeight="1" x14ac:dyDescent="0.25">
      <c r="A4140" s="10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</row>
    <row r="4141" spans="1:12" ht="15" customHeight="1" x14ac:dyDescent="0.25">
      <c r="A4141" s="10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</row>
    <row r="4142" spans="1:12" ht="15" customHeight="1" x14ac:dyDescent="0.25">
      <c r="A4142" s="10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</row>
    <row r="4143" spans="1:12" ht="15" customHeight="1" x14ac:dyDescent="0.25">
      <c r="A4143" s="10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</row>
    <row r="4144" spans="1:12" ht="15" customHeight="1" x14ac:dyDescent="0.25">
      <c r="A4144" s="10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</row>
    <row r="4145" spans="1:12" ht="15" customHeight="1" x14ac:dyDescent="0.25">
      <c r="A4145" s="10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</row>
    <row r="4146" spans="1:12" ht="15" customHeight="1" x14ac:dyDescent="0.25">
      <c r="A4146" s="10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</row>
    <row r="4147" spans="1:12" ht="15" customHeight="1" x14ac:dyDescent="0.25">
      <c r="A4147" s="10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</row>
    <row r="4148" spans="1:12" ht="15" customHeight="1" x14ac:dyDescent="0.25">
      <c r="A4148" s="10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</row>
    <row r="4149" spans="1:12" ht="15" customHeight="1" x14ac:dyDescent="0.25">
      <c r="A4149" s="10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</row>
    <row r="4150" spans="1:12" ht="15" customHeight="1" x14ac:dyDescent="0.25">
      <c r="A4150" s="10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</row>
    <row r="4151" spans="1:12" ht="15" customHeight="1" x14ac:dyDescent="0.25">
      <c r="A4151" s="10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</row>
    <row r="4152" spans="1:12" ht="15" customHeight="1" x14ac:dyDescent="0.25">
      <c r="A4152" s="10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</row>
    <row r="4153" spans="1:12" ht="15" customHeight="1" x14ac:dyDescent="0.25">
      <c r="A4153" s="10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</row>
    <row r="4154" spans="1:12" ht="15" customHeight="1" x14ac:dyDescent="0.25">
      <c r="A4154" s="10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</row>
    <row r="4155" spans="1:12" ht="15" customHeight="1" x14ac:dyDescent="0.25">
      <c r="A4155" s="10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</row>
    <row r="4156" spans="1:12" ht="15" customHeight="1" x14ac:dyDescent="0.25">
      <c r="A4156" s="10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</row>
    <row r="4157" spans="1:12" ht="15" customHeight="1" x14ac:dyDescent="0.25">
      <c r="A4157" s="10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</row>
    <row r="4158" spans="1:12" ht="15" customHeight="1" x14ac:dyDescent="0.25">
      <c r="A4158" s="10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</row>
    <row r="4159" spans="1:12" ht="15" customHeight="1" x14ac:dyDescent="0.25">
      <c r="A4159" s="10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</row>
    <row r="4160" spans="1:12" ht="15" customHeight="1" x14ac:dyDescent="0.25">
      <c r="A4160" s="10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</row>
    <row r="4161" spans="1:12" ht="15" customHeight="1" x14ac:dyDescent="0.25">
      <c r="A4161" s="10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</row>
    <row r="4162" spans="1:12" ht="15" customHeight="1" x14ac:dyDescent="0.25">
      <c r="A4162" s="10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</row>
    <row r="4163" spans="1:12" ht="15" customHeight="1" x14ac:dyDescent="0.25">
      <c r="A4163" s="10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</row>
    <row r="4164" spans="1:12" ht="15" customHeight="1" x14ac:dyDescent="0.25">
      <c r="A4164" s="10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</row>
    <row r="4165" spans="1:12" ht="15" customHeight="1" x14ac:dyDescent="0.25">
      <c r="A4165" s="10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</row>
    <row r="4166" spans="1:12" ht="15" customHeight="1" x14ac:dyDescent="0.25">
      <c r="A4166" s="10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</row>
    <row r="4167" spans="1:12" ht="15" customHeight="1" x14ac:dyDescent="0.25">
      <c r="A4167" s="10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</row>
    <row r="4168" spans="1:12" ht="15" customHeight="1" x14ac:dyDescent="0.25">
      <c r="A4168" s="10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</row>
    <row r="4169" spans="1:12" ht="15" customHeight="1" x14ac:dyDescent="0.25">
      <c r="A4169" s="10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</row>
    <row r="4170" spans="1:12" ht="15" customHeight="1" x14ac:dyDescent="0.25">
      <c r="A4170" s="10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</row>
    <row r="4171" spans="1:12" ht="15" customHeight="1" x14ac:dyDescent="0.25">
      <c r="A4171" s="10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</row>
    <row r="4172" spans="1:12" ht="15" customHeight="1" x14ac:dyDescent="0.25">
      <c r="A4172" s="10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</row>
    <row r="4173" spans="1:12" ht="15" customHeight="1" x14ac:dyDescent="0.25">
      <c r="A4173" s="10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</row>
    <row r="4174" spans="1:12" ht="15" customHeight="1" x14ac:dyDescent="0.25">
      <c r="A4174" s="10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</row>
    <row r="4175" spans="1:12" ht="15" customHeight="1" x14ac:dyDescent="0.25">
      <c r="A4175" s="10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</row>
    <row r="4176" spans="1:12" ht="15" customHeight="1" x14ac:dyDescent="0.25">
      <c r="A4176" s="10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</row>
    <row r="4177" spans="1:12" ht="15" customHeight="1" x14ac:dyDescent="0.25">
      <c r="A4177" s="10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</row>
    <row r="4178" spans="1:12" ht="15" customHeight="1" x14ac:dyDescent="0.25">
      <c r="A4178" s="10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</row>
    <row r="4179" spans="1:12" ht="15" customHeight="1" x14ac:dyDescent="0.25">
      <c r="A4179" s="10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</row>
    <row r="4180" spans="1:12" ht="15" customHeight="1" x14ac:dyDescent="0.25">
      <c r="A4180" s="10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</row>
    <row r="4181" spans="1:12" ht="15" customHeight="1" x14ac:dyDescent="0.25">
      <c r="A4181" s="10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</row>
    <row r="4182" spans="1:12" ht="15" customHeight="1" x14ac:dyDescent="0.25">
      <c r="A4182" s="10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</row>
    <row r="4183" spans="1:12" ht="15" customHeight="1" x14ac:dyDescent="0.25">
      <c r="A4183" s="10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</row>
    <row r="4184" spans="1:12" ht="15" customHeight="1" x14ac:dyDescent="0.25">
      <c r="A4184" s="10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</row>
    <row r="4185" spans="1:12" ht="15" customHeight="1" x14ac:dyDescent="0.25">
      <c r="A4185" s="10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</row>
    <row r="4186" spans="1:12" ht="15" customHeight="1" x14ac:dyDescent="0.25">
      <c r="A4186" s="10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</row>
    <row r="4187" spans="1:12" ht="15" customHeight="1" x14ac:dyDescent="0.25">
      <c r="A4187" s="10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</row>
    <row r="4188" spans="1:12" ht="15" customHeight="1" x14ac:dyDescent="0.25">
      <c r="A4188" s="10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</row>
    <row r="4189" spans="1:12" ht="15" customHeight="1" x14ac:dyDescent="0.25">
      <c r="A4189" s="10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</row>
    <row r="4190" spans="1:12" ht="15" customHeight="1" x14ac:dyDescent="0.25">
      <c r="A4190" s="10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</row>
    <row r="4191" spans="1:12" ht="15" customHeight="1" x14ac:dyDescent="0.25">
      <c r="A4191" s="10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</row>
    <row r="4192" spans="1:12" ht="15" customHeight="1" x14ac:dyDescent="0.25">
      <c r="A4192" s="10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</row>
    <row r="4193" spans="1:12" ht="15" customHeight="1" x14ac:dyDescent="0.25">
      <c r="A4193" s="10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</row>
    <row r="4194" spans="1:12" ht="15" customHeight="1" x14ac:dyDescent="0.25">
      <c r="A4194" s="10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</row>
    <row r="4195" spans="1:12" ht="15" customHeight="1" x14ac:dyDescent="0.25">
      <c r="A4195" s="10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</row>
    <row r="4196" spans="1:12" ht="15" customHeight="1" x14ac:dyDescent="0.25">
      <c r="A4196" s="10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</row>
    <row r="4197" spans="1:12" ht="15" customHeight="1" x14ac:dyDescent="0.25">
      <c r="A4197" s="10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</row>
    <row r="4198" spans="1:12" ht="15" customHeight="1" x14ac:dyDescent="0.25">
      <c r="A4198" s="10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</row>
    <row r="4199" spans="1:12" ht="15" customHeight="1" x14ac:dyDescent="0.25">
      <c r="A4199" s="10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</row>
    <row r="4200" spans="1:12" ht="15" customHeight="1" x14ac:dyDescent="0.25">
      <c r="A4200" s="10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</row>
    <row r="4201" spans="1:12" ht="15" customHeight="1" x14ac:dyDescent="0.25">
      <c r="A4201" s="10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</row>
    <row r="4202" spans="1:12" ht="15" customHeight="1" x14ac:dyDescent="0.25">
      <c r="A4202" s="10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</row>
    <row r="4203" spans="1:12" ht="15" customHeight="1" x14ac:dyDescent="0.25">
      <c r="A4203" s="10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</row>
    <row r="4204" spans="1:12" ht="15" customHeight="1" x14ac:dyDescent="0.25">
      <c r="A4204" s="10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</row>
    <row r="4205" spans="1:12" ht="15" customHeight="1" x14ac:dyDescent="0.25">
      <c r="A4205" s="10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</row>
    <row r="4206" spans="1:12" ht="15" customHeight="1" x14ac:dyDescent="0.25">
      <c r="A4206" s="10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</row>
    <row r="4207" spans="1:12" ht="15" customHeight="1" x14ac:dyDescent="0.25">
      <c r="A4207" s="10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</row>
    <row r="4208" spans="1:12" ht="15" customHeight="1" x14ac:dyDescent="0.25">
      <c r="A4208" s="10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</row>
    <row r="4209" spans="1:12" ht="15" customHeight="1" x14ac:dyDescent="0.25">
      <c r="A4209" s="10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</row>
    <row r="4210" spans="1:12" ht="15" customHeight="1" x14ac:dyDescent="0.25">
      <c r="A4210" s="10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</row>
    <row r="4211" spans="1:12" ht="15" customHeight="1" x14ac:dyDescent="0.25">
      <c r="A4211" s="10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</row>
    <row r="4212" spans="1:12" ht="15" customHeight="1" x14ac:dyDescent="0.25">
      <c r="A4212" s="10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</row>
    <row r="4213" spans="1:12" ht="15" customHeight="1" x14ac:dyDescent="0.25">
      <c r="A4213" s="10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</row>
    <row r="4214" spans="1:12" ht="15" customHeight="1" x14ac:dyDescent="0.25">
      <c r="A4214" s="10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</row>
    <row r="4215" spans="1:12" ht="15" customHeight="1" x14ac:dyDescent="0.25">
      <c r="A4215" s="10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</row>
    <row r="4216" spans="1:12" ht="15" customHeight="1" x14ac:dyDescent="0.25">
      <c r="A4216" s="10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</row>
    <row r="4217" spans="1:12" ht="15" customHeight="1" x14ac:dyDescent="0.25">
      <c r="A4217" s="10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</row>
    <row r="4218" spans="1:12" ht="15" customHeight="1" x14ac:dyDescent="0.25">
      <c r="A4218" s="10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</row>
    <row r="4219" spans="1:12" ht="15" customHeight="1" x14ac:dyDescent="0.25">
      <c r="A4219" s="10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</row>
    <row r="4220" spans="1:12" ht="15" customHeight="1" x14ac:dyDescent="0.25">
      <c r="A4220" s="10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</row>
    <row r="4221" spans="1:12" ht="15" customHeight="1" x14ac:dyDescent="0.25">
      <c r="A4221" s="10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</row>
    <row r="4222" spans="1:12" ht="15" customHeight="1" x14ac:dyDescent="0.25">
      <c r="A4222" s="10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</row>
    <row r="4223" spans="1:12" ht="15" customHeight="1" x14ac:dyDescent="0.25">
      <c r="A4223" s="10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</row>
    <row r="4224" spans="1:12" ht="15" customHeight="1" x14ac:dyDescent="0.25">
      <c r="A4224" s="10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</row>
    <row r="4225" spans="1:12" ht="15" customHeight="1" x14ac:dyDescent="0.25">
      <c r="A4225" s="10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</row>
    <row r="4226" spans="1:12" ht="15" customHeight="1" x14ac:dyDescent="0.25">
      <c r="A4226" s="10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</row>
    <row r="4227" spans="1:12" ht="15" customHeight="1" x14ac:dyDescent="0.25">
      <c r="A4227" s="10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</row>
    <row r="4228" spans="1:12" ht="15" customHeight="1" x14ac:dyDescent="0.25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</row>
    <row r="4229" spans="1:12" ht="15" customHeight="1" x14ac:dyDescent="0.25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</row>
    <row r="4230" spans="1:12" ht="15" customHeight="1" x14ac:dyDescent="0.25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</row>
    <row r="4231" spans="1:12" ht="15" customHeight="1" x14ac:dyDescent="0.25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</row>
    <row r="4232" spans="1:12" ht="15" customHeight="1" x14ac:dyDescent="0.25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</row>
    <row r="4233" spans="1:12" ht="15" customHeight="1" x14ac:dyDescent="0.25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</row>
    <row r="4234" spans="1:12" ht="15" customHeight="1" x14ac:dyDescent="0.25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</row>
    <row r="4235" spans="1:12" ht="15" customHeight="1" x14ac:dyDescent="0.25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</row>
    <row r="4236" spans="1:12" ht="15" customHeight="1" x14ac:dyDescent="0.25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</row>
    <row r="4237" spans="1:12" ht="15" customHeight="1" x14ac:dyDescent="0.25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</row>
    <row r="4238" spans="1:12" ht="15" customHeight="1" x14ac:dyDescent="0.25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</row>
    <row r="4239" spans="1:12" ht="15" customHeight="1" x14ac:dyDescent="0.25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</row>
    <row r="4240" spans="1:12" ht="15" customHeight="1" x14ac:dyDescent="0.25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</row>
    <row r="4241" spans="1:12" ht="15" customHeight="1" x14ac:dyDescent="0.25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</row>
    <row r="4242" spans="1:12" ht="15" customHeight="1" x14ac:dyDescent="0.25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</row>
    <row r="4243" spans="1:12" ht="15" customHeight="1" x14ac:dyDescent="0.25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</row>
    <row r="4244" spans="1:12" ht="15" customHeight="1" x14ac:dyDescent="0.25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</row>
    <row r="4245" spans="1:12" ht="15" customHeight="1" x14ac:dyDescent="0.25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</row>
    <row r="4246" spans="1:12" ht="15" customHeight="1" x14ac:dyDescent="0.25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</row>
    <row r="4247" spans="1:12" ht="15" customHeight="1" x14ac:dyDescent="0.25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</row>
    <row r="4248" spans="1:12" ht="15" customHeight="1" x14ac:dyDescent="0.25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</row>
    <row r="4249" spans="1:12" ht="15" customHeight="1" x14ac:dyDescent="0.25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</row>
    <row r="4250" spans="1:12" ht="15" customHeight="1" x14ac:dyDescent="0.25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</row>
    <row r="4251" spans="1:12" ht="15" customHeight="1" x14ac:dyDescent="0.25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</row>
    <row r="4252" spans="1:12" ht="15" customHeight="1" x14ac:dyDescent="0.25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</row>
    <row r="4253" spans="1:12" ht="15" customHeight="1" x14ac:dyDescent="0.25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</row>
    <row r="4254" spans="1:12" ht="15" customHeight="1" x14ac:dyDescent="0.25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</row>
    <row r="4255" spans="1:12" ht="15" customHeight="1" x14ac:dyDescent="0.25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</row>
    <row r="4256" spans="1:12" ht="15" customHeight="1" x14ac:dyDescent="0.25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</row>
    <row r="4257" spans="1:12" ht="15" customHeight="1" x14ac:dyDescent="0.25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</row>
    <row r="4258" spans="1:12" ht="15" customHeight="1" x14ac:dyDescent="0.25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</row>
    <row r="4259" spans="1:12" ht="15" customHeight="1" x14ac:dyDescent="0.25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</row>
    <row r="4260" spans="1:12" ht="15" customHeight="1" x14ac:dyDescent="0.25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</row>
    <row r="4261" spans="1:12" ht="15" customHeight="1" x14ac:dyDescent="0.25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</row>
    <row r="4262" spans="1:12" ht="15" customHeight="1" x14ac:dyDescent="0.25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</row>
    <row r="4263" spans="1:12" ht="15" customHeight="1" x14ac:dyDescent="0.25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</row>
    <row r="4264" spans="1:12" ht="15" customHeight="1" x14ac:dyDescent="0.25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</row>
    <row r="4265" spans="1:12" ht="15" customHeight="1" x14ac:dyDescent="0.25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</row>
    <row r="4266" spans="1:12" ht="15" customHeight="1" x14ac:dyDescent="0.25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</row>
    <row r="4267" spans="1:12" ht="15" customHeight="1" x14ac:dyDescent="0.25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</row>
    <row r="4268" spans="1:12" ht="15" customHeight="1" x14ac:dyDescent="0.25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</row>
    <row r="4269" spans="1:12" ht="15" customHeight="1" x14ac:dyDescent="0.25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</row>
    <row r="4270" spans="1:12" ht="15" customHeight="1" x14ac:dyDescent="0.25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</row>
    <row r="4271" spans="1:12" ht="15" customHeight="1" x14ac:dyDescent="0.25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</row>
    <row r="4272" spans="1:12" ht="15" customHeight="1" x14ac:dyDescent="0.25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</row>
    <row r="4273" spans="1:12" ht="15" customHeight="1" x14ac:dyDescent="0.25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</row>
    <row r="4274" spans="1:12" ht="15" customHeight="1" x14ac:dyDescent="0.25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</row>
    <row r="4275" spans="1:12" ht="15" customHeight="1" x14ac:dyDescent="0.25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</row>
    <row r="4276" spans="1:12" ht="15" customHeight="1" x14ac:dyDescent="0.25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</row>
    <row r="4277" spans="1:12" ht="15" customHeight="1" x14ac:dyDescent="0.25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</row>
    <row r="4278" spans="1:12" ht="15" customHeight="1" x14ac:dyDescent="0.25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</row>
    <row r="4279" spans="1:12" ht="15" customHeight="1" x14ac:dyDescent="0.25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</row>
    <row r="4280" spans="1:12" ht="15" customHeight="1" x14ac:dyDescent="0.25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</row>
    <row r="4281" spans="1:12" ht="15" customHeight="1" x14ac:dyDescent="0.25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</row>
    <row r="4282" spans="1:12" ht="15" customHeight="1" x14ac:dyDescent="0.25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</row>
    <row r="4283" spans="1:12" ht="15" customHeight="1" x14ac:dyDescent="0.25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</row>
    <row r="4284" spans="1:12" ht="15" customHeight="1" x14ac:dyDescent="0.25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</row>
    <row r="4285" spans="1:12" ht="15" customHeight="1" x14ac:dyDescent="0.25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</row>
    <row r="4286" spans="1:12" ht="15" customHeight="1" x14ac:dyDescent="0.25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</row>
    <row r="4287" spans="1:12" ht="15" customHeight="1" x14ac:dyDescent="0.25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</row>
    <row r="4288" spans="1:12" ht="15" customHeight="1" x14ac:dyDescent="0.25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</row>
    <row r="4289" spans="1:12" ht="15" customHeight="1" x14ac:dyDescent="0.25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</row>
    <row r="4290" spans="1:12" ht="15" customHeight="1" x14ac:dyDescent="0.25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</row>
    <row r="4291" spans="1:12" ht="15" customHeight="1" x14ac:dyDescent="0.25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</row>
    <row r="4292" spans="1:12" ht="15" customHeight="1" x14ac:dyDescent="0.25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</row>
    <row r="4293" spans="1:12" ht="15" customHeight="1" x14ac:dyDescent="0.25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</row>
    <row r="4294" spans="1:12" ht="15" customHeight="1" x14ac:dyDescent="0.25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</row>
    <row r="4295" spans="1:12" ht="15" customHeight="1" x14ac:dyDescent="0.25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</row>
    <row r="4296" spans="1:12" ht="15" customHeight="1" x14ac:dyDescent="0.25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</row>
    <row r="4297" spans="1:12" ht="15" customHeight="1" x14ac:dyDescent="0.25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</row>
    <row r="4298" spans="1:12" ht="15" customHeight="1" x14ac:dyDescent="0.25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</row>
    <row r="4299" spans="1:12" ht="15" customHeight="1" x14ac:dyDescent="0.25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</row>
    <row r="4300" spans="1:12" ht="15" customHeight="1" x14ac:dyDescent="0.25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</row>
    <row r="4301" spans="1:12" ht="15" customHeight="1" x14ac:dyDescent="0.25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</row>
    <row r="4302" spans="1:12" ht="15" customHeight="1" x14ac:dyDescent="0.25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</row>
    <row r="4303" spans="1:12" ht="15" customHeight="1" x14ac:dyDescent="0.25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</row>
    <row r="4304" spans="1:12" ht="15" customHeight="1" x14ac:dyDescent="0.25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</row>
    <row r="4305" spans="1:12" ht="15" customHeight="1" x14ac:dyDescent="0.25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</row>
    <row r="4306" spans="1:12" ht="15" customHeight="1" x14ac:dyDescent="0.25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</row>
    <row r="4307" spans="1:12" ht="15" customHeight="1" x14ac:dyDescent="0.25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</row>
    <row r="4308" spans="1:12" ht="15" customHeight="1" x14ac:dyDescent="0.25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</row>
    <row r="4309" spans="1:12" ht="15" customHeight="1" x14ac:dyDescent="0.25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</row>
    <row r="4310" spans="1:12" ht="15" customHeight="1" x14ac:dyDescent="0.25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</row>
    <row r="4311" spans="1:12" ht="15" customHeight="1" x14ac:dyDescent="0.25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</row>
    <row r="4312" spans="1:12" ht="15" customHeight="1" x14ac:dyDescent="0.25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</row>
    <row r="4313" spans="1:12" ht="15" customHeight="1" x14ac:dyDescent="0.25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</row>
    <row r="4314" spans="1:12" ht="15" customHeight="1" x14ac:dyDescent="0.25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</row>
    <row r="4315" spans="1:12" ht="15" customHeight="1" x14ac:dyDescent="0.25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</row>
    <row r="4316" spans="1:12" ht="15" customHeight="1" x14ac:dyDescent="0.25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</row>
    <row r="4317" spans="1:12" ht="15" customHeight="1" x14ac:dyDescent="0.25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</row>
    <row r="4318" spans="1:12" ht="15" customHeight="1" x14ac:dyDescent="0.25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</row>
    <row r="4319" spans="1:12" ht="15" customHeight="1" x14ac:dyDescent="0.25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</row>
    <row r="4320" spans="1:12" ht="15" customHeight="1" x14ac:dyDescent="0.25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</row>
    <row r="4321" spans="1:12" ht="15" customHeight="1" x14ac:dyDescent="0.25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</row>
    <row r="4322" spans="1:12" ht="15" customHeight="1" x14ac:dyDescent="0.25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</row>
    <row r="4323" spans="1:12" ht="15" customHeight="1" x14ac:dyDescent="0.25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</row>
    <row r="4324" spans="1:12" ht="15" customHeight="1" x14ac:dyDescent="0.25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</row>
    <row r="4325" spans="1:12" ht="15" customHeight="1" x14ac:dyDescent="0.25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</row>
    <row r="4326" spans="1:12" ht="15" customHeight="1" x14ac:dyDescent="0.25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</row>
    <row r="4327" spans="1:12" ht="15" customHeight="1" x14ac:dyDescent="0.25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</row>
    <row r="4328" spans="1:12" ht="15" customHeight="1" x14ac:dyDescent="0.25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</row>
    <row r="4329" spans="1:12" ht="15" customHeight="1" x14ac:dyDescent="0.25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</row>
    <row r="4330" spans="1:12" ht="15" customHeight="1" x14ac:dyDescent="0.25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</row>
    <row r="4331" spans="1:12" ht="15" customHeight="1" x14ac:dyDescent="0.25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</row>
    <row r="4332" spans="1:12" ht="15" customHeight="1" x14ac:dyDescent="0.25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</row>
    <row r="4333" spans="1:12" ht="15" customHeight="1" x14ac:dyDescent="0.25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</row>
    <row r="4334" spans="1:12" ht="15" customHeight="1" x14ac:dyDescent="0.25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</row>
    <row r="4335" spans="1:12" ht="15" customHeight="1" x14ac:dyDescent="0.25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</row>
    <row r="4336" spans="1:12" ht="15" customHeight="1" x14ac:dyDescent="0.25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</row>
    <row r="4337" spans="1:12" ht="15" customHeight="1" x14ac:dyDescent="0.25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</row>
    <row r="4338" spans="1:12" ht="15" customHeight="1" x14ac:dyDescent="0.25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</row>
    <row r="4339" spans="1:12" ht="15" customHeight="1" x14ac:dyDescent="0.25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</row>
    <row r="4340" spans="1:12" ht="15" customHeight="1" x14ac:dyDescent="0.25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</row>
    <row r="4341" spans="1:12" ht="15" customHeight="1" x14ac:dyDescent="0.25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</row>
    <row r="4342" spans="1:12" ht="15" customHeight="1" x14ac:dyDescent="0.25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</row>
    <row r="4343" spans="1:12" ht="15" customHeight="1" x14ac:dyDescent="0.25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</row>
    <row r="4344" spans="1:12" ht="15" customHeight="1" x14ac:dyDescent="0.25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</row>
    <row r="4345" spans="1:12" ht="15" customHeight="1" x14ac:dyDescent="0.25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</row>
    <row r="4346" spans="1:12" ht="15" customHeight="1" x14ac:dyDescent="0.25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</row>
    <row r="4347" spans="1:12" ht="15" customHeight="1" x14ac:dyDescent="0.25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</row>
    <row r="4348" spans="1:12" ht="15" customHeight="1" x14ac:dyDescent="0.25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</row>
    <row r="4349" spans="1:12" ht="15" customHeight="1" x14ac:dyDescent="0.25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</row>
    <row r="4350" spans="1:12" ht="15" customHeight="1" x14ac:dyDescent="0.25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</row>
    <row r="4351" spans="1:12" ht="15" customHeight="1" x14ac:dyDescent="0.25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</row>
    <row r="4352" spans="1:12" ht="15" customHeight="1" x14ac:dyDescent="0.25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</row>
    <row r="4353" spans="1:12" ht="15" customHeight="1" x14ac:dyDescent="0.25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</row>
    <row r="4354" spans="1:12" ht="15" customHeight="1" x14ac:dyDescent="0.25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</row>
    <row r="4355" spans="1:12" ht="15" customHeight="1" x14ac:dyDescent="0.25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</row>
    <row r="4356" spans="1:12" ht="15" customHeight="1" x14ac:dyDescent="0.25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</row>
    <row r="4357" spans="1:12" ht="15" customHeight="1" x14ac:dyDescent="0.25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</row>
    <row r="4358" spans="1:12" ht="15" customHeight="1" x14ac:dyDescent="0.25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</row>
    <row r="4359" spans="1:12" ht="15" customHeight="1" x14ac:dyDescent="0.25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</row>
    <row r="4360" spans="1:12" ht="15" customHeight="1" x14ac:dyDescent="0.25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</row>
    <row r="4361" spans="1:12" ht="15" customHeight="1" x14ac:dyDescent="0.25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</row>
    <row r="4362" spans="1:12" ht="15" customHeight="1" x14ac:dyDescent="0.25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</row>
    <row r="4363" spans="1:12" ht="15" customHeight="1" x14ac:dyDescent="0.25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</row>
    <row r="4364" spans="1:12" ht="15" customHeight="1" x14ac:dyDescent="0.25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</row>
    <row r="4365" spans="1:12" ht="15" customHeight="1" x14ac:dyDescent="0.25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</row>
    <row r="4366" spans="1:12" ht="15" customHeight="1" x14ac:dyDescent="0.25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</row>
    <row r="4367" spans="1:12" ht="15" customHeight="1" x14ac:dyDescent="0.25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</row>
    <row r="4368" spans="1:12" ht="15" customHeight="1" x14ac:dyDescent="0.25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</row>
    <row r="4369" spans="1:12" ht="15" customHeight="1" x14ac:dyDescent="0.25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</row>
    <row r="4370" spans="1:12" ht="15" customHeight="1" x14ac:dyDescent="0.25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</row>
    <row r="4371" spans="1:12" ht="15" customHeight="1" x14ac:dyDescent="0.25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</row>
    <row r="4372" spans="1:12" ht="15" customHeight="1" x14ac:dyDescent="0.25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</row>
    <row r="4373" spans="1:12" ht="15" customHeight="1" x14ac:dyDescent="0.25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</row>
    <row r="4374" spans="1:12" ht="15" customHeight="1" x14ac:dyDescent="0.25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</row>
    <row r="4375" spans="1:12" ht="15" customHeight="1" x14ac:dyDescent="0.25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</row>
    <row r="4376" spans="1:12" ht="15" customHeight="1" x14ac:dyDescent="0.25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</row>
    <row r="4377" spans="1:12" ht="15" customHeight="1" x14ac:dyDescent="0.25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</row>
    <row r="4378" spans="1:12" ht="15" customHeight="1" x14ac:dyDescent="0.25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</row>
    <row r="4379" spans="1:12" ht="15" customHeight="1" x14ac:dyDescent="0.25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</row>
    <row r="4380" spans="1:12" ht="15" customHeight="1" x14ac:dyDescent="0.25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</row>
    <row r="4381" spans="1:12" ht="15" customHeight="1" x14ac:dyDescent="0.25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</row>
    <row r="4382" spans="1:12" ht="15" customHeight="1" x14ac:dyDescent="0.25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</row>
    <row r="4383" spans="1:12" ht="15" customHeight="1" x14ac:dyDescent="0.25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</row>
    <row r="4384" spans="1:12" ht="15" customHeight="1" x14ac:dyDescent="0.25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</row>
    <row r="4385" spans="1:12" ht="15" customHeight="1" x14ac:dyDescent="0.25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</row>
    <row r="4386" spans="1:12" ht="15" customHeight="1" x14ac:dyDescent="0.25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</row>
    <row r="4387" spans="1:12" ht="15" customHeight="1" x14ac:dyDescent="0.25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</row>
    <row r="4388" spans="1:12" ht="15" customHeight="1" x14ac:dyDescent="0.25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</row>
    <row r="4389" spans="1:12" ht="15" customHeight="1" x14ac:dyDescent="0.25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</row>
    <row r="4390" spans="1:12" ht="15" customHeight="1" x14ac:dyDescent="0.25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</row>
    <row r="4391" spans="1:12" ht="15" customHeight="1" x14ac:dyDescent="0.25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</row>
    <row r="4392" spans="1:12" ht="15" customHeight="1" x14ac:dyDescent="0.25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</row>
    <row r="4393" spans="1:12" ht="15" customHeight="1" x14ac:dyDescent="0.25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</row>
    <row r="4394" spans="1:12" ht="15" customHeight="1" x14ac:dyDescent="0.25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</row>
    <row r="4395" spans="1:12" ht="15" customHeight="1" x14ac:dyDescent="0.25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</row>
    <row r="4396" spans="1:12" ht="15" customHeight="1" x14ac:dyDescent="0.25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</row>
    <row r="4397" spans="1:12" ht="15" customHeight="1" x14ac:dyDescent="0.25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</row>
    <row r="4398" spans="1:12" ht="15" customHeight="1" x14ac:dyDescent="0.25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</row>
    <row r="4399" spans="1:12" ht="15" customHeight="1" x14ac:dyDescent="0.25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</row>
    <row r="4400" spans="1:12" ht="15" customHeight="1" x14ac:dyDescent="0.25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</row>
    <row r="4401" spans="1:12" ht="15" customHeight="1" x14ac:dyDescent="0.25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</row>
    <row r="4402" spans="1:12" ht="15" customHeight="1" x14ac:dyDescent="0.25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</row>
    <row r="4403" spans="1:12" ht="15" customHeight="1" x14ac:dyDescent="0.25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</row>
    <row r="4404" spans="1:12" ht="15" customHeight="1" x14ac:dyDescent="0.25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</row>
    <row r="4405" spans="1:12" ht="15" customHeight="1" x14ac:dyDescent="0.25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</row>
    <row r="4406" spans="1:12" ht="15" customHeight="1" x14ac:dyDescent="0.25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</row>
    <row r="4407" spans="1:12" ht="15" customHeight="1" x14ac:dyDescent="0.25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</row>
    <row r="4408" spans="1:12" ht="15" customHeight="1" x14ac:dyDescent="0.25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</row>
    <row r="4409" spans="1:12" ht="15" customHeight="1" x14ac:dyDescent="0.25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</row>
    <row r="4410" spans="1:12" ht="15" customHeight="1" x14ac:dyDescent="0.25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</row>
    <row r="4411" spans="1:12" ht="15" customHeight="1" x14ac:dyDescent="0.25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</row>
    <row r="4412" spans="1:12" ht="15" customHeight="1" x14ac:dyDescent="0.25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</row>
    <row r="4413" spans="1:12" ht="15" customHeight="1" x14ac:dyDescent="0.25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</row>
    <row r="4414" spans="1:12" ht="15" customHeight="1" x14ac:dyDescent="0.25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</row>
    <row r="4415" spans="1:12" ht="15" customHeight="1" x14ac:dyDescent="0.25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</row>
    <row r="4416" spans="1:12" ht="15" customHeight="1" x14ac:dyDescent="0.25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</row>
    <row r="4417" spans="1:12" ht="15" customHeight="1" x14ac:dyDescent="0.25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</row>
    <row r="4418" spans="1:12" ht="15" customHeight="1" x14ac:dyDescent="0.25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</row>
    <row r="4419" spans="1:12" ht="15" customHeight="1" x14ac:dyDescent="0.25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</row>
    <row r="4420" spans="1:12" ht="15" customHeight="1" x14ac:dyDescent="0.25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</row>
    <row r="4421" spans="1:12" ht="15" customHeight="1" x14ac:dyDescent="0.25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</row>
    <row r="4422" spans="1:12" ht="15" customHeight="1" x14ac:dyDescent="0.25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</row>
    <row r="4423" spans="1:12" ht="15" customHeight="1" x14ac:dyDescent="0.25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</row>
    <row r="4424" spans="1:12" ht="15" customHeight="1" x14ac:dyDescent="0.25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</row>
    <row r="4425" spans="1:12" ht="15" customHeight="1" x14ac:dyDescent="0.25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</row>
    <row r="4426" spans="1:12" ht="15" customHeight="1" x14ac:dyDescent="0.25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</row>
    <row r="4427" spans="1:12" ht="15" customHeight="1" x14ac:dyDescent="0.25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</row>
    <row r="4428" spans="1:12" ht="15" customHeight="1" x14ac:dyDescent="0.25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</row>
    <row r="4429" spans="1:12" ht="15" customHeight="1" x14ac:dyDescent="0.25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</row>
    <row r="4430" spans="1:12" ht="15" customHeight="1" x14ac:dyDescent="0.25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</row>
    <row r="4431" spans="1:12" ht="15" customHeight="1" x14ac:dyDescent="0.25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</row>
    <row r="4432" spans="1:12" ht="15" customHeight="1" x14ac:dyDescent="0.25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</row>
    <row r="4433" spans="1:12" ht="15" customHeight="1" x14ac:dyDescent="0.25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</row>
    <row r="4434" spans="1:12" ht="15" customHeight="1" x14ac:dyDescent="0.25">
      <c r="A4434" s="10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</row>
    <row r="4435" spans="1:12" ht="15" customHeight="1" x14ac:dyDescent="0.25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</row>
    <row r="4436" spans="1:12" ht="15" customHeight="1" x14ac:dyDescent="0.25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</row>
    <row r="4437" spans="1:12" ht="15" customHeight="1" x14ac:dyDescent="0.25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</row>
    <row r="4438" spans="1:12" ht="15" customHeight="1" x14ac:dyDescent="0.25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</row>
    <row r="4439" spans="1:12" ht="15" customHeight="1" x14ac:dyDescent="0.25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</row>
    <row r="4440" spans="1:12" ht="15" customHeight="1" x14ac:dyDescent="0.25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</row>
    <row r="4441" spans="1:12" ht="15" customHeight="1" x14ac:dyDescent="0.25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</row>
    <row r="4442" spans="1:12" ht="15" customHeight="1" x14ac:dyDescent="0.25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</row>
    <row r="4443" spans="1:12" ht="15" customHeight="1" x14ac:dyDescent="0.25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</row>
    <row r="4444" spans="1:12" ht="15" customHeight="1" x14ac:dyDescent="0.25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</row>
    <row r="4445" spans="1:12" ht="15" customHeight="1" x14ac:dyDescent="0.25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</row>
    <row r="4446" spans="1:12" ht="15" customHeight="1" x14ac:dyDescent="0.25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</row>
    <row r="4447" spans="1:12" ht="15" customHeight="1" x14ac:dyDescent="0.25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</row>
    <row r="4448" spans="1:12" ht="15" customHeight="1" x14ac:dyDescent="0.25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</row>
    <row r="4449" spans="1:12" ht="15" customHeight="1" x14ac:dyDescent="0.25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</row>
    <row r="4450" spans="1:12" ht="15" customHeight="1" x14ac:dyDescent="0.25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</row>
    <row r="4451" spans="1:12" ht="15" customHeight="1" x14ac:dyDescent="0.25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</row>
    <row r="4452" spans="1:12" ht="15" customHeight="1" x14ac:dyDescent="0.25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</row>
    <row r="4453" spans="1:12" ht="15" customHeight="1" x14ac:dyDescent="0.25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</row>
    <row r="4454" spans="1:12" ht="15" customHeight="1" x14ac:dyDescent="0.25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</row>
    <row r="4455" spans="1:12" ht="15" customHeight="1" x14ac:dyDescent="0.25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</row>
    <row r="4456" spans="1:12" ht="15" customHeight="1" x14ac:dyDescent="0.25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</row>
    <row r="4457" spans="1:12" ht="15" customHeight="1" x14ac:dyDescent="0.25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</row>
    <row r="4458" spans="1:12" ht="15" customHeight="1" x14ac:dyDescent="0.25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</row>
    <row r="4459" spans="1:12" ht="15" customHeight="1" x14ac:dyDescent="0.25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</row>
    <row r="4460" spans="1:12" ht="15" customHeight="1" x14ac:dyDescent="0.25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</row>
    <row r="4461" spans="1:12" ht="15" customHeight="1" x14ac:dyDescent="0.25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</row>
    <row r="4462" spans="1:12" ht="15" customHeight="1" x14ac:dyDescent="0.25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</row>
    <row r="4463" spans="1:12" ht="15" customHeight="1" x14ac:dyDescent="0.25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</row>
    <row r="4464" spans="1:12" ht="15" customHeight="1" x14ac:dyDescent="0.25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</row>
    <row r="4465" spans="1:12" ht="15" customHeight="1" x14ac:dyDescent="0.25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</row>
    <row r="4466" spans="1:12" ht="15" customHeight="1" x14ac:dyDescent="0.25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</row>
    <row r="4467" spans="1:12" ht="15" customHeight="1" x14ac:dyDescent="0.25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</row>
    <row r="4468" spans="1:12" ht="15" customHeight="1" x14ac:dyDescent="0.25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</row>
    <row r="4469" spans="1:12" ht="15" customHeight="1" x14ac:dyDescent="0.25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</row>
    <row r="4470" spans="1:12" ht="15" customHeight="1" x14ac:dyDescent="0.25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</row>
    <row r="4471" spans="1:12" ht="15" customHeight="1" x14ac:dyDescent="0.25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</row>
    <row r="4472" spans="1:12" ht="15" customHeight="1" x14ac:dyDescent="0.25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</row>
    <row r="4473" spans="1:12" ht="15" customHeight="1" x14ac:dyDescent="0.25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</row>
    <row r="4474" spans="1:12" ht="15" customHeight="1" x14ac:dyDescent="0.25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</row>
    <row r="4475" spans="1:12" ht="15" customHeight="1" x14ac:dyDescent="0.25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</row>
    <row r="4476" spans="1:12" ht="15" customHeight="1" x14ac:dyDescent="0.25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</row>
    <row r="4477" spans="1:12" ht="15" customHeight="1" x14ac:dyDescent="0.25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</row>
    <row r="4478" spans="1:12" ht="15" customHeight="1" x14ac:dyDescent="0.25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</row>
    <row r="4479" spans="1:12" ht="15" customHeight="1" x14ac:dyDescent="0.25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</row>
    <row r="4480" spans="1:12" ht="15" customHeight="1" x14ac:dyDescent="0.25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</row>
    <row r="4481" spans="1:12" ht="15" customHeight="1" x14ac:dyDescent="0.25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</row>
    <row r="4482" spans="1:12" ht="15" customHeight="1" x14ac:dyDescent="0.25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</row>
    <row r="4483" spans="1:12" ht="15" customHeight="1" x14ac:dyDescent="0.25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</row>
    <row r="4484" spans="1:12" ht="15" customHeight="1" x14ac:dyDescent="0.25">
      <c r="A4484" s="10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</row>
    <row r="4485" spans="1:12" ht="15" customHeight="1" x14ac:dyDescent="0.25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</row>
    <row r="4486" spans="1:12" ht="15" customHeight="1" x14ac:dyDescent="0.25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</row>
    <row r="4487" spans="1:12" ht="15" customHeight="1" x14ac:dyDescent="0.25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</row>
    <row r="4488" spans="1:12" ht="15" customHeight="1" x14ac:dyDescent="0.25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</row>
    <row r="4489" spans="1:12" ht="15" customHeight="1" x14ac:dyDescent="0.25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</row>
    <row r="4490" spans="1:12" ht="15" customHeight="1" x14ac:dyDescent="0.25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</row>
    <row r="4491" spans="1:12" ht="15" customHeight="1" x14ac:dyDescent="0.25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</row>
    <row r="4492" spans="1:12" ht="15" customHeight="1" x14ac:dyDescent="0.25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</row>
    <row r="4493" spans="1:12" ht="15" customHeight="1" x14ac:dyDescent="0.25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</row>
    <row r="4494" spans="1:12" ht="15" customHeight="1" x14ac:dyDescent="0.25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</row>
    <row r="4495" spans="1:12" ht="15" customHeight="1" x14ac:dyDescent="0.25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</row>
    <row r="4496" spans="1:12" ht="15" customHeight="1" x14ac:dyDescent="0.25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</row>
    <row r="4497" spans="1:12" ht="15" customHeight="1" x14ac:dyDescent="0.25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</row>
    <row r="4498" spans="1:12" ht="15" customHeight="1" x14ac:dyDescent="0.25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</row>
    <row r="4499" spans="1:12" ht="15" customHeight="1" x14ac:dyDescent="0.25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</row>
    <row r="4500" spans="1:12" ht="15" customHeight="1" x14ac:dyDescent="0.25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</row>
    <row r="4501" spans="1:12" ht="15" customHeight="1" x14ac:dyDescent="0.25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</row>
    <row r="4502" spans="1:12" ht="15" customHeight="1" x14ac:dyDescent="0.25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</row>
    <row r="4503" spans="1:12" ht="15" customHeight="1" x14ac:dyDescent="0.25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</row>
    <row r="4504" spans="1:12" ht="15" customHeight="1" x14ac:dyDescent="0.25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</row>
    <row r="4505" spans="1:12" ht="15" customHeight="1" x14ac:dyDescent="0.25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</row>
    <row r="4506" spans="1:12" ht="15" customHeight="1" x14ac:dyDescent="0.25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</row>
    <row r="4507" spans="1:12" ht="15" customHeight="1" x14ac:dyDescent="0.25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</row>
    <row r="4508" spans="1:12" ht="15" customHeight="1" x14ac:dyDescent="0.25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</row>
    <row r="4509" spans="1:12" ht="15" customHeight="1" x14ac:dyDescent="0.25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</row>
    <row r="4510" spans="1:12" ht="15" customHeight="1" x14ac:dyDescent="0.25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</row>
    <row r="4511" spans="1:12" ht="15" customHeight="1" x14ac:dyDescent="0.25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</row>
    <row r="4512" spans="1:12" ht="15" customHeight="1" x14ac:dyDescent="0.25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</row>
    <row r="4513" spans="1:12" ht="15" customHeight="1" x14ac:dyDescent="0.25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</row>
    <row r="4514" spans="1:12" ht="15" customHeight="1" x14ac:dyDescent="0.25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</row>
    <row r="4515" spans="1:12" ht="15" customHeight="1" x14ac:dyDescent="0.25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</row>
    <row r="4516" spans="1:12" ht="15" customHeight="1" x14ac:dyDescent="0.25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</row>
    <row r="4517" spans="1:12" ht="15" customHeight="1" x14ac:dyDescent="0.25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</row>
    <row r="4518" spans="1:12" ht="15" customHeight="1" x14ac:dyDescent="0.25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</row>
    <row r="4519" spans="1:12" ht="15" customHeight="1" x14ac:dyDescent="0.25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</row>
    <row r="4520" spans="1:12" ht="15" customHeight="1" x14ac:dyDescent="0.25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</row>
    <row r="4521" spans="1:12" ht="15" customHeight="1" x14ac:dyDescent="0.25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</row>
    <row r="4522" spans="1:12" ht="15" customHeight="1" x14ac:dyDescent="0.25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</row>
    <row r="4523" spans="1:12" ht="15" customHeight="1" x14ac:dyDescent="0.25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</row>
    <row r="4524" spans="1:12" ht="15" customHeight="1" x14ac:dyDescent="0.25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</row>
    <row r="4525" spans="1:12" ht="15" customHeight="1" x14ac:dyDescent="0.25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</row>
    <row r="4526" spans="1:12" ht="15" customHeight="1" x14ac:dyDescent="0.25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</row>
    <row r="4527" spans="1:12" ht="15" customHeight="1" x14ac:dyDescent="0.25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</row>
    <row r="4528" spans="1:12" ht="15" customHeight="1" x14ac:dyDescent="0.25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</row>
    <row r="4529" spans="1:12" ht="15" customHeight="1" x14ac:dyDescent="0.25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</row>
    <row r="4530" spans="1:12" ht="15" customHeight="1" x14ac:dyDescent="0.25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</row>
    <row r="4531" spans="1:12" ht="15" customHeight="1" x14ac:dyDescent="0.25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</row>
    <row r="4532" spans="1:12" ht="15" customHeight="1" x14ac:dyDescent="0.25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</row>
    <row r="4533" spans="1:12" ht="15" customHeight="1" x14ac:dyDescent="0.25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</row>
    <row r="4534" spans="1:12" ht="15" customHeight="1" x14ac:dyDescent="0.25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</row>
    <row r="4535" spans="1:12" ht="15" customHeight="1" x14ac:dyDescent="0.25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</row>
    <row r="4536" spans="1:12" ht="15" customHeight="1" x14ac:dyDescent="0.25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</row>
    <row r="4537" spans="1:12" ht="15" customHeight="1" x14ac:dyDescent="0.25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</row>
    <row r="4538" spans="1:12" ht="15" customHeight="1" x14ac:dyDescent="0.25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</row>
    <row r="4539" spans="1:12" ht="15" customHeight="1" x14ac:dyDescent="0.25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</row>
    <row r="4540" spans="1:12" ht="15" customHeight="1" x14ac:dyDescent="0.25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</row>
    <row r="4541" spans="1:12" ht="15" customHeight="1" x14ac:dyDescent="0.25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</row>
    <row r="4542" spans="1:12" ht="15" customHeight="1" x14ac:dyDescent="0.25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</row>
    <row r="4543" spans="1:12" ht="15" customHeight="1" x14ac:dyDescent="0.25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</row>
    <row r="4544" spans="1:12" ht="15" customHeight="1" x14ac:dyDescent="0.25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</row>
    <row r="4545" spans="1:12" ht="15" customHeight="1" x14ac:dyDescent="0.25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</row>
    <row r="4546" spans="1:12" ht="15" customHeight="1" x14ac:dyDescent="0.25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</row>
    <row r="4547" spans="1:12" ht="15" customHeight="1" x14ac:dyDescent="0.25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</row>
    <row r="4548" spans="1:12" ht="15" customHeight="1" x14ac:dyDescent="0.25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</row>
    <row r="4549" spans="1:12" ht="15" customHeight="1" x14ac:dyDescent="0.25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</row>
    <row r="4550" spans="1:12" ht="15" customHeight="1" x14ac:dyDescent="0.25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</row>
    <row r="4551" spans="1:12" ht="15" customHeight="1" x14ac:dyDescent="0.25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</row>
    <row r="4552" spans="1:12" ht="15" customHeight="1" x14ac:dyDescent="0.25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</row>
    <row r="4553" spans="1:12" ht="15" customHeight="1" x14ac:dyDescent="0.25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</row>
    <row r="4554" spans="1:12" ht="15" customHeight="1" x14ac:dyDescent="0.25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</row>
    <row r="4555" spans="1:12" ht="15" customHeight="1" x14ac:dyDescent="0.25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</row>
    <row r="4556" spans="1:12" ht="15" customHeight="1" x14ac:dyDescent="0.25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</row>
    <row r="4557" spans="1:12" ht="15" customHeight="1" x14ac:dyDescent="0.25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</row>
    <row r="4558" spans="1:12" ht="15" customHeight="1" x14ac:dyDescent="0.25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</row>
    <row r="4559" spans="1:12" ht="15" customHeight="1" x14ac:dyDescent="0.25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</row>
    <row r="4560" spans="1:12" ht="15" customHeight="1" x14ac:dyDescent="0.25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</row>
    <row r="4561" spans="1:12" ht="15" customHeight="1" x14ac:dyDescent="0.25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</row>
    <row r="4562" spans="1:12" ht="15" customHeight="1" x14ac:dyDescent="0.25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</row>
    <row r="4563" spans="1:12" ht="15" customHeight="1" x14ac:dyDescent="0.25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</row>
    <row r="4564" spans="1:12" ht="15" customHeight="1" x14ac:dyDescent="0.25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</row>
    <row r="4565" spans="1:12" ht="15" customHeight="1" x14ac:dyDescent="0.25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</row>
    <row r="4566" spans="1:12" ht="15" customHeight="1" x14ac:dyDescent="0.25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</row>
    <row r="4567" spans="1:12" ht="15" customHeight="1" x14ac:dyDescent="0.25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</row>
    <row r="4568" spans="1:12" ht="15" customHeight="1" x14ac:dyDescent="0.25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</row>
    <row r="4569" spans="1:12" ht="15" customHeight="1" x14ac:dyDescent="0.25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</row>
    <row r="4570" spans="1:12" ht="15" customHeight="1" x14ac:dyDescent="0.25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</row>
    <row r="4571" spans="1:12" ht="15" customHeight="1" x14ac:dyDescent="0.25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</row>
    <row r="4572" spans="1:12" ht="15" customHeight="1" x14ac:dyDescent="0.25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</row>
    <row r="4573" spans="1:12" ht="15" customHeight="1" x14ac:dyDescent="0.25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</row>
    <row r="4574" spans="1:12" ht="15" customHeight="1" x14ac:dyDescent="0.25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</row>
    <row r="4575" spans="1:12" ht="15" customHeight="1" x14ac:dyDescent="0.25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</row>
    <row r="4576" spans="1:12" ht="15" customHeight="1" x14ac:dyDescent="0.25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</row>
    <row r="4577" spans="1:12" ht="15" customHeight="1" x14ac:dyDescent="0.25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</row>
    <row r="4578" spans="1:12" ht="15" customHeight="1" x14ac:dyDescent="0.25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</row>
    <row r="4579" spans="1:12" ht="15" customHeight="1" x14ac:dyDescent="0.25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</row>
    <row r="4580" spans="1:12" ht="15" customHeight="1" x14ac:dyDescent="0.25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</row>
    <row r="4581" spans="1:12" ht="15" customHeight="1" x14ac:dyDescent="0.25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</row>
    <row r="4582" spans="1:12" ht="15" customHeight="1" x14ac:dyDescent="0.25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</row>
    <row r="4583" spans="1:12" ht="15" customHeight="1" x14ac:dyDescent="0.25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</row>
    <row r="4584" spans="1:12" ht="15" customHeight="1" x14ac:dyDescent="0.25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</row>
    <row r="4585" spans="1:12" ht="15" customHeight="1" x14ac:dyDescent="0.25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</row>
    <row r="4586" spans="1:12" ht="15" customHeight="1" x14ac:dyDescent="0.25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</row>
    <row r="4587" spans="1:12" ht="15" customHeight="1" x14ac:dyDescent="0.25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</row>
    <row r="4588" spans="1:12" ht="15" customHeight="1" x14ac:dyDescent="0.25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</row>
    <row r="4589" spans="1:12" ht="15" customHeight="1" x14ac:dyDescent="0.25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</row>
    <row r="4590" spans="1:12" ht="15" customHeight="1" x14ac:dyDescent="0.25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</row>
    <row r="4591" spans="1:12" ht="15" customHeight="1" x14ac:dyDescent="0.25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</row>
    <row r="4592" spans="1:12" ht="15" customHeight="1" x14ac:dyDescent="0.25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</row>
    <row r="4593" spans="1:12" ht="15" customHeight="1" x14ac:dyDescent="0.25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</row>
    <row r="4594" spans="1:12" ht="15" customHeight="1" x14ac:dyDescent="0.25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</row>
    <row r="4595" spans="1:12" ht="15" customHeight="1" x14ac:dyDescent="0.25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</row>
    <row r="4596" spans="1:12" ht="15" customHeight="1" x14ac:dyDescent="0.25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</row>
    <row r="4597" spans="1:12" ht="15" customHeight="1" x14ac:dyDescent="0.25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</row>
    <row r="4598" spans="1:12" ht="15" customHeight="1" x14ac:dyDescent="0.25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</row>
    <row r="4599" spans="1:12" ht="15" customHeight="1" x14ac:dyDescent="0.25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</row>
    <row r="4600" spans="1:12" ht="15" customHeight="1" x14ac:dyDescent="0.25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</row>
    <row r="4601" spans="1:12" ht="15" customHeight="1" x14ac:dyDescent="0.25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</row>
    <row r="4602" spans="1:12" ht="15" customHeight="1" x14ac:dyDescent="0.25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</row>
    <row r="4603" spans="1:12" ht="15" customHeight="1" x14ac:dyDescent="0.25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</row>
    <row r="4604" spans="1:12" ht="15" customHeight="1" x14ac:dyDescent="0.25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</row>
    <row r="4605" spans="1:12" ht="15" customHeight="1" x14ac:dyDescent="0.25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</row>
    <row r="4606" spans="1:12" ht="15" customHeight="1" x14ac:dyDescent="0.25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</row>
    <row r="4607" spans="1:12" ht="15" customHeight="1" x14ac:dyDescent="0.25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</row>
    <row r="4608" spans="1:12" ht="15" customHeight="1" x14ac:dyDescent="0.25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</row>
    <row r="4609" spans="1:12" ht="15" customHeight="1" x14ac:dyDescent="0.25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</row>
    <row r="4610" spans="1:12" ht="15" customHeight="1" x14ac:dyDescent="0.25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</row>
    <row r="4611" spans="1:12" ht="15" customHeight="1" x14ac:dyDescent="0.25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</row>
    <row r="4612" spans="1:12" ht="15" customHeight="1" x14ac:dyDescent="0.25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</row>
    <row r="4613" spans="1:12" ht="15" customHeight="1" x14ac:dyDescent="0.25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</row>
    <row r="4614" spans="1:12" ht="15" customHeight="1" x14ac:dyDescent="0.25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</row>
    <row r="4615" spans="1:12" ht="15" customHeight="1" x14ac:dyDescent="0.25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</row>
    <row r="4616" spans="1:12" ht="15" customHeight="1" x14ac:dyDescent="0.25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</row>
    <row r="4617" spans="1:12" ht="15" customHeight="1" x14ac:dyDescent="0.25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</row>
    <row r="4618" spans="1:12" ht="15" customHeight="1" x14ac:dyDescent="0.25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</row>
    <row r="4619" spans="1:12" ht="15" customHeight="1" x14ac:dyDescent="0.25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</row>
    <row r="4620" spans="1:12" ht="15" customHeight="1" x14ac:dyDescent="0.25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</row>
    <row r="4621" spans="1:12" ht="15" customHeight="1" x14ac:dyDescent="0.25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</row>
    <row r="4622" spans="1:12" ht="15" customHeight="1" x14ac:dyDescent="0.25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</row>
    <row r="4623" spans="1:12" ht="15" customHeight="1" x14ac:dyDescent="0.25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</row>
    <row r="4624" spans="1:12" ht="15" customHeight="1" x14ac:dyDescent="0.25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</row>
    <row r="4625" spans="1:12" ht="15" customHeight="1" x14ac:dyDescent="0.25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</row>
    <row r="4626" spans="1:12" ht="15" customHeight="1" x14ac:dyDescent="0.25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</row>
    <row r="4627" spans="1:12" ht="15" customHeight="1" x14ac:dyDescent="0.25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</row>
    <row r="4628" spans="1:12" ht="15" customHeight="1" x14ac:dyDescent="0.25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</row>
    <row r="4629" spans="1:12" ht="15" customHeight="1" x14ac:dyDescent="0.25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</row>
    <row r="4630" spans="1:12" ht="15" customHeight="1" x14ac:dyDescent="0.25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</row>
    <row r="4631" spans="1:12" ht="15" customHeight="1" x14ac:dyDescent="0.25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</row>
    <row r="4632" spans="1:12" ht="15" customHeight="1" x14ac:dyDescent="0.25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</row>
    <row r="4633" spans="1:12" ht="15" customHeight="1" x14ac:dyDescent="0.25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</row>
    <row r="4634" spans="1:12" ht="15" customHeight="1" x14ac:dyDescent="0.25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</row>
    <row r="4635" spans="1:12" ht="15" customHeight="1" x14ac:dyDescent="0.25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</row>
    <row r="4636" spans="1:12" ht="15" customHeight="1" x14ac:dyDescent="0.25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</row>
    <row r="4637" spans="1:12" ht="15" customHeight="1" x14ac:dyDescent="0.25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</row>
    <row r="4638" spans="1:12" ht="15" customHeight="1" x14ac:dyDescent="0.25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</row>
    <row r="4639" spans="1:12" ht="15" customHeight="1" x14ac:dyDescent="0.25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</row>
    <row r="4640" spans="1:12" ht="15" customHeight="1" x14ac:dyDescent="0.25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</row>
    <row r="4641" spans="1:12" ht="15" customHeight="1" x14ac:dyDescent="0.25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</row>
    <row r="4642" spans="1:12" ht="15" customHeight="1" x14ac:dyDescent="0.25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</row>
    <row r="4643" spans="1:12" ht="15" customHeight="1" x14ac:dyDescent="0.25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</row>
    <row r="4644" spans="1:12" ht="15" customHeight="1" x14ac:dyDescent="0.25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</row>
    <row r="4645" spans="1:12" ht="15" customHeight="1" x14ac:dyDescent="0.25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</row>
    <row r="4646" spans="1:12" ht="15" customHeight="1" x14ac:dyDescent="0.25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</row>
    <row r="4647" spans="1:12" ht="15" customHeight="1" x14ac:dyDescent="0.25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</row>
    <row r="4648" spans="1:12" ht="15" customHeight="1" x14ac:dyDescent="0.25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</row>
    <row r="4649" spans="1:12" ht="15" customHeight="1" x14ac:dyDescent="0.25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</row>
    <row r="4650" spans="1:12" ht="15" customHeight="1" x14ac:dyDescent="0.25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</row>
    <row r="4651" spans="1:12" ht="15" customHeight="1" x14ac:dyDescent="0.25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</row>
    <row r="4652" spans="1:12" ht="15" customHeight="1" x14ac:dyDescent="0.25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</row>
    <row r="4653" spans="1:12" ht="15" customHeight="1" x14ac:dyDescent="0.25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</row>
    <row r="4654" spans="1:12" ht="15" customHeight="1" x14ac:dyDescent="0.25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</row>
    <row r="4655" spans="1:12" ht="15" customHeight="1" x14ac:dyDescent="0.25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</row>
    <row r="4656" spans="1:12" ht="15" customHeight="1" x14ac:dyDescent="0.25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</row>
    <row r="4657" spans="1:12" ht="15" customHeight="1" x14ac:dyDescent="0.25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</row>
    <row r="4658" spans="1:12" ht="15" customHeight="1" x14ac:dyDescent="0.25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</row>
    <row r="4659" spans="1:12" ht="15" customHeight="1" x14ac:dyDescent="0.25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</row>
    <row r="4660" spans="1:12" ht="15" customHeight="1" x14ac:dyDescent="0.25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</row>
    <row r="4661" spans="1:12" ht="15" customHeight="1" x14ac:dyDescent="0.25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</row>
    <row r="4662" spans="1:12" ht="15" customHeight="1" x14ac:dyDescent="0.25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</row>
    <row r="4663" spans="1:12" ht="15" customHeight="1" x14ac:dyDescent="0.25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</row>
    <row r="4664" spans="1:12" ht="15" customHeight="1" x14ac:dyDescent="0.25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</row>
    <row r="4665" spans="1:12" ht="15" customHeight="1" x14ac:dyDescent="0.25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</row>
    <row r="4666" spans="1:12" ht="15" customHeight="1" x14ac:dyDescent="0.25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</row>
    <row r="4667" spans="1:12" ht="15" customHeight="1" x14ac:dyDescent="0.25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</row>
    <row r="4668" spans="1:12" ht="15" customHeight="1" x14ac:dyDescent="0.25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</row>
    <row r="4669" spans="1:12" ht="15" customHeight="1" x14ac:dyDescent="0.25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</row>
    <row r="4670" spans="1:12" ht="15" customHeight="1" x14ac:dyDescent="0.25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</row>
    <row r="4671" spans="1:12" ht="15" customHeight="1" x14ac:dyDescent="0.25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</row>
    <row r="4672" spans="1:12" ht="15" customHeight="1" x14ac:dyDescent="0.25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</row>
    <row r="4673" spans="1:12" ht="15" customHeight="1" x14ac:dyDescent="0.25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</row>
    <row r="4674" spans="1:12" ht="15" customHeight="1" x14ac:dyDescent="0.25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</row>
    <row r="4675" spans="1:12" ht="15" customHeight="1" x14ac:dyDescent="0.25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</row>
    <row r="4676" spans="1:12" ht="15" customHeight="1" x14ac:dyDescent="0.25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</row>
    <row r="4677" spans="1:12" ht="15" customHeight="1" x14ac:dyDescent="0.25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</row>
    <row r="4678" spans="1:12" ht="15" customHeight="1" x14ac:dyDescent="0.25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</row>
    <row r="4679" spans="1:12" ht="15" customHeight="1" x14ac:dyDescent="0.25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</row>
    <row r="4680" spans="1:12" ht="15" customHeight="1" x14ac:dyDescent="0.25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</row>
    <row r="4681" spans="1:12" ht="15" customHeight="1" x14ac:dyDescent="0.25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</row>
    <row r="4682" spans="1:12" ht="15" customHeight="1" x14ac:dyDescent="0.25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</row>
    <row r="4683" spans="1:12" ht="15" customHeight="1" x14ac:dyDescent="0.25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</row>
    <row r="4684" spans="1:12" ht="15" customHeight="1" x14ac:dyDescent="0.25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</row>
    <row r="4685" spans="1:12" ht="15" customHeight="1" x14ac:dyDescent="0.25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</row>
    <row r="4686" spans="1:12" ht="15" customHeight="1" x14ac:dyDescent="0.25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</row>
    <row r="4687" spans="1:12" ht="15" customHeight="1" x14ac:dyDescent="0.25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</row>
    <row r="4688" spans="1:12" ht="15" customHeight="1" x14ac:dyDescent="0.25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</row>
    <row r="4689" spans="1:12" ht="15" customHeight="1" x14ac:dyDescent="0.25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</row>
    <row r="4690" spans="1:12" ht="15" customHeight="1" x14ac:dyDescent="0.25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</row>
    <row r="4691" spans="1:12" ht="15" customHeight="1" x14ac:dyDescent="0.25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</row>
    <row r="4692" spans="1:12" ht="15" customHeight="1" x14ac:dyDescent="0.25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</row>
    <row r="4693" spans="1:12" ht="15" customHeight="1" x14ac:dyDescent="0.25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</row>
    <row r="4694" spans="1:12" ht="15" customHeight="1" x14ac:dyDescent="0.25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</row>
    <row r="4695" spans="1:12" ht="15" customHeight="1" x14ac:dyDescent="0.25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</row>
    <row r="4696" spans="1:12" ht="15" customHeight="1" x14ac:dyDescent="0.25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</row>
    <row r="4697" spans="1:12" ht="15" customHeight="1" x14ac:dyDescent="0.25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</row>
    <row r="4698" spans="1:12" ht="15" customHeight="1" x14ac:dyDescent="0.25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</row>
    <row r="4699" spans="1:12" ht="15" customHeight="1" x14ac:dyDescent="0.25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</row>
    <row r="4700" spans="1:12" ht="15" customHeight="1" x14ac:dyDescent="0.25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</row>
    <row r="4701" spans="1:12" ht="15" customHeight="1" x14ac:dyDescent="0.25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</row>
    <row r="4702" spans="1:12" ht="15" customHeight="1" x14ac:dyDescent="0.25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</row>
    <row r="4703" spans="1:12" ht="15" customHeight="1" x14ac:dyDescent="0.25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</row>
    <row r="4704" spans="1:12" ht="15" customHeight="1" x14ac:dyDescent="0.25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</row>
    <row r="4705" spans="1:12" ht="15" customHeight="1" x14ac:dyDescent="0.25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</row>
    <row r="4706" spans="1:12" ht="15" customHeight="1" x14ac:dyDescent="0.25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</row>
    <row r="4707" spans="1:12" ht="15" customHeight="1" x14ac:dyDescent="0.25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</row>
    <row r="4708" spans="1:12" ht="15" customHeight="1" x14ac:dyDescent="0.25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</row>
    <row r="4709" spans="1:12" ht="15" customHeight="1" x14ac:dyDescent="0.25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</row>
    <row r="4710" spans="1:12" ht="15" customHeight="1" x14ac:dyDescent="0.25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</row>
    <row r="4711" spans="1:12" ht="15" customHeight="1" x14ac:dyDescent="0.25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</row>
    <row r="4712" spans="1:12" ht="15" customHeight="1" x14ac:dyDescent="0.25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</row>
    <row r="4713" spans="1:12" ht="15" customHeight="1" x14ac:dyDescent="0.25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</row>
    <row r="4714" spans="1:12" ht="15" customHeight="1" x14ac:dyDescent="0.25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</row>
    <row r="4715" spans="1:12" ht="15" customHeight="1" x14ac:dyDescent="0.25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</row>
    <row r="4716" spans="1:12" ht="15" customHeight="1" x14ac:dyDescent="0.25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</row>
    <row r="4717" spans="1:12" ht="15" customHeight="1" x14ac:dyDescent="0.25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</row>
    <row r="4718" spans="1:12" ht="15" customHeight="1" x14ac:dyDescent="0.25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</row>
    <row r="4719" spans="1:12" ht="15" customHeight="1" x14ac:dyDescent="0.25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</row>
    <row r="4720" spans="1:12" ht="15" customHeight="1" x14ac:dyDescent="0.25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</row>
    <row r="4721" spans="1:12" ht="15" customHeight="1" x14ac:dyDescent="0.25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</row>
    <row r="4722" spans="1:12" ht="15" customHeight="1" x14ac:dyDescent="0.25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</row>
    <row r="4723" spans="1:12" ht="15" customHeight="1" x14ac:dyDescent="0.25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</row>
    <row r="4724" spans="1:12" ht="15" customHeight="1" x14ac:dyDescent="0.25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</row>
    <row r="4725" spans="1:12" ht="15" customHeight="1" x14ac:dyDescent="0.25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</row>
    <row r="4726" spans="1:12" ht="15" customHeight="1" x14ac:dyDescent="0.25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</row>
    <row r="4727" spans="1:12" ht="15" customHeight="1" x14ac:dyDescent="0.25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</row>
    <row r="4728" spans="1:12" ht="15" customHeight="1" x14ac:dyDescent="0.25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</row>
    <row r="4729" spans="1:12" ht="15" customHeight="1" x14ac:dyDescent="0.25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</row>
    <row r="4730" spans="1:12" ht="15" customHeight="1" x14ac:dyDescent="0.25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</row>
    <row r="4731" spans="1:12" ht="15" customHeight="1" x14ac:dyDescent="0.25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</row>
    <row r="4732" spans="1:12" ht="15" customHeight="1" x14ac:dyDescent="0.25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</row>
    <row r="4733" spans="1:12" ht="15" customHeight="1" x14ac:dyDescent="0.25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</row>
    <row r="4734" spans="1:12" ht="15" customHeight="1" x14ac:dyDescent="0.25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</row>
    <row r="4735" spans="1:12" ht="15" customHeight="1" x14ac:dyDescent="0.25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</row>
    <row r="4736" spans="1:12" ht="15" customHeight="1" x14ac:dyDescent="0.25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</row>
    <row r="4737" spans="1:12" ht="15" customHeight="1" x14ac:dyDescent="0.25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</row>
    <row r="4738" spans="1:12" ht="15" customHeight="1" x14ac:dyDescent="0.25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</row>
    <row r="4739" spans="1:12" ht="15" customHeight="1" x14ac:dyDescent="0.25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</row>
    <row r="4740" spans="1:12" ht="15" customHeight="1" x14ac:dyDescent="0.25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</row>
    <row r="4741" spans="1:12" ht="15" customHeight="1" x14ac:dyDescent="0.25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</row>
    <row r="4742" spans="1:12" ht="15" customHeight="1" x14ac:dyDescent="0.25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</row>
    <row r="4743" spans="1:12" ht="15" customHeight="1" x14ac:dyDescent="0.25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</row>
    <row r="4744" spans="1:12" ht="15" customHeight="1" x14ac:dyDescent="0.25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</row>
    <row r="4745" spans="1:12" ht="15" customHeight="1" x14ac:dyDescent="0.25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</row>
    <row r="4746" spans="1:12" ht="15" customHeight="1" x14ac:dyDescent="0.25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</row>
    <row r="4747" spans="1:12" ht="15" customHeight="1" x14ac:dyDescent="0.25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</row>
    <row r="4748" spans="1:12" ht="15" customHeight="1" x14ac:dyDescent="0.25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</row>
    <row r="4749" spans="1:12" ht="15" customHeight="1" x14ac:dyDescent="0.25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</row>
    <row r="4750" spans="1:12" ht="15" customHeight="1" x14ac:dyDescent="0.25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</row>
    <row r="4751" spans="1:12" ht="15" customHeight="1" x14ac:dyDescent="0.25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</row>
    <row r="4752" spans="1:12" ht="15" customHeight="1" x14ac:dyDescent="0.25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</row>
    <row r="4753" spans="1:12" ht="15" customHeight="1" x14ac:dyDescent="0.25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</row>
    <row r="4754" spans="1:12" ht="15" customHeight="1" x14ac:dyDescent="0.25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</row>
    <row r="4755" spans="1:12" ht="15" customHeight="1" x14ac:dyDescent="0.25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</row>
    <row r="4756" spans="1:12" ht="15" customHeight="1" x14ac:dyDescent="0.25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</row>
    <row r="4757" spans="1:12" ht="15" customHeight="1" x14ac:dyDescent="0.25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</row>
    <row r="4758" spans="1:12" ht="15" customHeight="1" x14ac:dyDescent="0.25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</row>
    <row r="4759" spans="1:12" ht="15" customHeight="1" x14ac:dyDescent="0.25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</row>
    <row r="4760" spans="1:12" ht="15" customHeight="1" x14ac:dyDescent="0.25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</row>
    <row r="4761" spans="1:12" ht="15" customHeight="1" x14ac:dyDescent="0.25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</row>
    <row r="4762" spans="1:12" ht="15" customHeight="1" x14ac:dyDescent="0.25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</row>
    <row r="4763" spans="1:12" ht="15" customHeight="1" x14ac:dyDescent="0.25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</row>
    <row r="4764" spans="1:12" ht="15" customHeight="1" x14ac:dyDescent="0.25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</row>
    <row r="4765" spans="1:12" ht="15" customHeight="1" x14ac:dyDescent="0.25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</row>
    <row r="4766" spans="1:12" ht="15" customHeight="1" x14ac:dyDescent="0.25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</row>
    <row r="4767" spans="1:12" ht="15" customHeight="1" x14ac:dyDescent="0.25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</row>
    <row r="4768" spans="1:12" ht="15" customHeight="1" x14ac:dyDescent="0.25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</row>
    <row r="4769" spans="1:12" ht="15" customHeight="1" x14ac:dyDescent="0.25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</row>
    <row r="4770" spans="1:12" ht="15" customHeight="1" x14ac:dyDescent="0.25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</row>
    <row r="4771" spans="1:12" ht="15" customHeight="1" x14ac:dyDescent="0.25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</row>
    <row r="4772" spans="1:12" ht="15" customHeight="1" x14ac:dyDescent="0.25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</row>
    <row r="4773" spans="1:12" ht="15" customHeight="1" x14ac:dyDescent="0.25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</row>
    <row r="4774" spans="1:12" ht="15" customHeight="1" x14ac:dyDescent="0.25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</row>
    <row r="4775" spans="1:12" ht="15" customHeight="1" x14ac:dyDescent="0.25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</row>
    <row r="4776" spans="1:12" ht="15" customHeight="1" x14ac:dyDescent="0.25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</row>
    <row r="4777" spans="1:12" ht="15" customHeight="1" x14ac:dyDescent="0.25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</row>
    <row r="4778" spans="1:12" ht="15" customHeight="1" x14ac:dyDescent="0.25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</row>
    <row r="4779" spans="1:12" ht="15" customHeight="1" x14ac:dyDescent="0.25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</row>
    <row r="4780" spans="1:12" ht="15" customHeight="1" x14ac:dyDescent="0.25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</row>
    <row r="4781" spans="1:12" ht="15" customHeight="1" x14ac:dyDescent="0.25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</row>
    <row r="4782" spans="1:12" ht="15" customHeight="1" x14ac:dyDescent="0.25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</row>
    <row r="4783" spans="1:12" ht="15" customHeight="1" x14ac:dyDescent="0.25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</row>
    <row r="4784" spans="1:12" ht="15" customHeight="1" x14ac:dyDescent="0.25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</row>
    <row r="4785" spans="1:12" ht="15" customHeight="1" x14ac:dyDescent="0.25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</row>
    <row r="4786" spans="1:12" ht="15" customHeight="1" x14ac:dyDescent="0.25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</row>
    <row r="4787" spans="1:12" ht="15" customHeight="1" x14ac:dyDescent="0.25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</row>
    <row r="4788" spans="1:12" ht="15" customHeight="1" x14ac:dyDescent="0.25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</row>
    <row r="4789" spans="1:12" ht="15" customHeight="1" x14ac:dyDescent="0.25">
      <c r="A4789" s="10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</row>
    <row r="4790" spans="1:12" ht="15" customHeight="1" x14ac:dyDescent="0.25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</row>
    <row r="4791" spans="1:12" ht="15" customHeight="1" x14ac:dyDescent="0.25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</row>
    <row r="4792" spans="1:12" ht="15" customHeight="1" x14ac:dyDescent="0.25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</row>
    <row r="4793" spans="1:12" ht="15" customHeight="1" x14ac:dyDescent="0.25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</row>
    <row r="4794" spans="1:12" ht="15" customHeight="1" x14ac:dyDescent="0.25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</row>
    <row r="4795" spans="1:12" ht="15" customHeight="1" x14ac:dyDescent="0.25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</row>
    <row r="4796" spans="1:12" ht="15" customHeight="1" x14ac:dyDescent="0.25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</row>
    <row r="4797" spans="1:12" ht="15" customHeight="1" x14ac:dyDescent="0.25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</row>
    <row r="4798" spans="1:12" ht="15" customHeight="1" x14ac:dyDescent="0.25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</row>
    <row r="4799" spans="1:12" ht="15" customHeight="1" x14ac:dyDescent="0.25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</row>
    <row r="4800" spans="1:12" ht="15" customHeight="1" x14ac:dyDescent="0.25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</row>
    <row r="4801" spans="1:12" ht="15" customHeight="1" x14ac:dyDescent="0.25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</row>
    <row r="4802" spans="1:12" ht="15" customHeight="1" x14ac:dyDescent="0.25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</row>
    <row r="4803" spans="1:12" ht="15" customHeight="1" x14ac:dyDescent="0.25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</row>
    <row r="4804" spans="1:12" ht="15" customHeight="1" x14ac:dyDescent="0.25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</row>
    <row r="4805" spans="1:12" ht="15" customHeight="1" x14ac:dyDescent="0.25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</row>
    <row r="4806" spans="1:12" ht="15" customHeight="1" x14ac:dyDescent="0.25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</row>
    <row r="4807" spans="1:12" ht="15" customHeight="1" x14ac:dyDescent="0.25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</row>
    <row r="4808" spans="1:12" ht="15" customHeight="1" x14ac:dyDescent="0.25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</row>
    <row r="4809" spans="1:12" ht="15" customHeight="1" x14ac:dyDescent="0.25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</row>
    <row r="4810" spans="1:12" ht="15" customHeight="1" x14ac:dyDescent="0.25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</row>
    <row r="4811" spans="1:12" ht="15" customHeight="1" x14ac:dyDescent="0.25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</row>
    <row r="4812" spans="1:12" ht="15" customHeight="1" x14ac:dyDescent="0.25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</row>
    <row r="4813" spans="1:12" ht="15" customHeight="1" x14ac:dyDescent="0.25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</row>
    <row r="4814" spans="1:12" ht="15" customHeight="1" x14ac:dyDescent="0.25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</row>
    <row r="4815" spans="1:12" ht="15" customHeight="1" x14ac:dyDescent="0.25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</row>
    <row r="4816" spans="1:12" ht="15" customHeight="1" x14ac:dyDescent="0.25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</row>
    <row r="4817" spans="1:12" ht="15" customHeight="1" x14ac:dyDescent="0.25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</row>
    <row r="4818" spans="1:12" ht="15" customHeight="1" x14ac:dyDescent="0.25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</row>
    <row r="4819" spans="1:12" ht="15" customHeight="1" x14ac:dyDescent="0.25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</row>
    <row r="4820" spans="1:12" ht="15" customHeight="1" x14ac:dyDescent="0.25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</row>
    <row r="4821" spans="1:12" ht="15" customHeight="1" x14ac:dyDescent="0.25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</row>
    <row r="4822" spans="1:12" ht="15" customHeight="1" x14ac:dyDescent="0.25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</row>
    <row r="4823" spans="1:12" ht="15" customHeight="1" x14ac:dyDescent="0.25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</row>
    <row r="4824" spans="1:12" ht="15" customHeight="1" x14ac:dyDescent="0.25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</row>
    <row r="4825" spans="1:12" ht="15" customHeight="1" x14ac:dyDescent="0.25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</row>
    <row r="4826" spans="1:12" ht="15" customHeight="1" x14ac:dyDescent="0.25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</row>
    <row r="4827" spans="1:12" ht="15" customHeight="1" x14ac:dyDescent="0.25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</row>
    <row r="4828" spans="1:12" ht="15" customHeight="1" x14ac:dyDescent="0.25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</row>
    <row r="4829" spans="1:12" ht="15" customHeight="1" x14ac:dyDescent="0.25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</row>
    <row r="4830" spans="1:12" ht="15" customHeight="1" x14ac:dyDescent="0.25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</row>
    <row r="4831" spans="1:12" ht="15" customHeight="1" x14ac:dyDescent="0.25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</row>
    <row r="4832" spans="1:12" ht="15" customHeight="1" x14ac:dyDescent="0.25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</row>
    <row r="4833" spans="1:12" ht="15" customHeight="1" x14ac:dyDescent="0.25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</row>
    <row r="4834" spans="1:12" ht="15" customHeight="1" x14ac:dyDescent="0.25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</row>
    <row r="4835" spans="1:12" ht="15" customHeight="1" x14ac:dyDescent="0.25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</row>
    <row r="4836" spans="1:12" ht="15" customHeight="1" x14ac:dyDescent="0.25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</row>
    <row r="4837" spans="1:12" ht="15" customHeight="1" x14ac:dyDescent="0.25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</row>
    <row r="4838" spans="1:12" ht="15" customHeight="1" x14ac:dyDescent="0.25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</row>
    <row r="4839" spans="1:12" ht="15" customHeight="1" x14ac:dyDescent="0.25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</row>
    <row r="4840" spans="1:12" ht="15" customHeight="1" x14ac:dyDescent="0.25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</row>
    <row r="4841" spans="1:12" ht="15" customHeight="1" x14ac:dyDescent="0.25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</row>
    <row r="4842" spans="1:12" ht="15" customHeight="1" x14ac:dyDescent="0.25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</row>
    <row r="4843" spans="1:12" ht="15" customHeight="1" x14ac:dyDescent="0.25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</row>
    <row r="4844" spans="1:12" ht="15" customHeight="1" x14ac:dyDescent="0.25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</row>
    <row r="4845" spans="1:12" ht="15" customHeight="1" x14ac:dyDescent="0.25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</row>
    <row r="4846" spans="1:12" ht="15" customHeight="1" x14ac:dyDescent="0.25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</row>
    <row r="4847" spans="1:12" ht="15" customHeight="1" x14ac:dyDescent="0.25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</row>
    <row r="4848" spans="1:12" ht="15" customHeight="1" x14ac:dyDescent="0.25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</row>
    <row r="4849" spans="1:12" ht="15" customHeight="1" x14ac:dyDescent="0.25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</row>
    <row r="4850" spans="1:12" ht="15" customHeight="1" x14ac:dyDescent="0.25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</row>
    <row r="4851" spans="1:12" ht="15" customHeight="1" x14ac:dyDescent="0.25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</row>
    <row r="4852" spans="1:12" ht="15" customHeight="1" x14ac:dyDescent="0.25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</row>
    <row r="4853" spans="1:12" ht="15" customHeight="1" x14ac:dyDescent="0.25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</row>
    <row r="4854" spans="1:12" ht="15" customHeight="1" x14ac:dyDescent="0.25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</row>
    <row r="4855" spans="1:12" ht="15" customHeight="1" x14ac:dyDescent="0.25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</row>
    <row r="4856" spans="1:12" ht="15" customHeight="1" x14ac:dyDescent="0.25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</row>
    <row r="4857" spans="1:12" ht="15" customHeight="1" x14ac:dyDescent="0.25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</row>
    <row r="4858" spans="1:12" ht="15" customHeight="1" x14ac:dyDescent="0.25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</row>
    <row r="4859" spans="1:12" ht="15" customHeight="1" x14ac:dyDescent="0.25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</row>
    <row r="4860" spans="1:12" ht="15" customHeight="1" x14ac:dyDescent="0.25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</row>
    <row r="4861" spans="1:12" ht="15" customHeight="1" x14ac:dyDescent="0.25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</row>
    <row r="4862" spans="1:12" ht="15" customHeight="1" x14ac:dyDescent="0.25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</row>
    <row r="4863" spans="1:12" ht="15" customHeight="1" x14ac:dyDescent="0.25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</row>
    <row r="4864" spans="1:12" ht="15" customHeight="1" x14ac:dyDescent="0.25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</row>
    <row r="4865" spans="1:12" ht="15" customHeight="1" x14ac:dyDescent="0.25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</row>
    <row r="4866" spans="1:12" ht="15" customHeight="1" x14ac:dyDescent="0.25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</row>
    <row r="4867" spans="1:12" ht="15" customHeight="1" x14ac:dyDescent="0.25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</row>
    <row r="4868" spans="1:12" ht="15" customHeight="1" x14ac:dyDescent="0.25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</row>
    <row r="4869" spans="1:12" ht="15" customHeight="1" x14ac:dyDescent="0.25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</row>
    <row r="4870" spans="1:12" ht="15" customHeight="1" x14ac:dyDescent="0.25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</row>
    <row r="4871" spans="1:12" ht="15" customHeight="1" x14ac:dyDescent="0.25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</row>
    <row r="4872" spans="1:12" ht="15" customHeight="1" x14ac:dyDescent="0.25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</row>
    <row r="4873" spans="1:12" ht="15" customHeight="1" x14ac:dyDescent="0.25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</row>
    <row r="4874" spans="1:12" ht="15" customHeight="1" x14ac:dyDescent="0.25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</row>
    <row r="4875" spans="1:12" ht="15" customHeight="1" x14ac:dyDescent="0.25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</row>
    <row r="4876" spans="1:12" ht="15" customHeight="1" x14ac:dyDescent="0.25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</row>
    <row r="4877" spans="1:12" ht="15" customHeight="1" x14ac:dyDescent="0.25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</row>
    <row r="4878" spans="1:12" ht="15" customHeight="1" x14ac:dyDescent="0.25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</row>
    <row r="4879" spans="1:12" ht="15" customHeight="1" x14ac:dyDescent="0.25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</row>
    <row r="4880" spans="1:12" ht="15" customHeight="1" x14ac:dyDescent="0.25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</row>
    <row r="4881" spans="1:12" ht="15" customHeight="1" x14ac:dyDescent="0.25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</row>
    <row r="4882" spans="1:12" ht="15" customHeight="1" x14ac:dyDescent="0.25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</row>
    <row r="4883" spans="1:12" ht="15" customHeight="1" x14ac:dyDescent="0.25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</row>
    <row r="4884" spans="1:12" ht="15" customHeight="1" x14ac:dyDescent="0.25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</row>
    <row r="4885" spans="1:12" ht="15" customHeight="1" x14ac:dyDescent="0.25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</row>
    <row r="4886" spans="1:12" ht="15" customHeight="1" x14ac:dyDescent="0.25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</row>
    <row r="4887" spans="1:12" ht="15" customHeight="1" x14ac:dyDescent="0.25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</row>
    <row r="4888" spans="1:12" ht="15" customHeight="1" x14ac:dyDescent="0.25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</row>
    <row r="4889" spans="1:12" ht="15" customHeight="1" x14ac:dyDescent="0.25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</row>
    <row r="4890" spans="1:12" ht="15" customHeight="1" x14ac:dyDescent="0.25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</row>
    <row r="4891" spans="1:12" ht="15" customHeight="1" x14ac:dyDescent="0.25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</row>
    <row r="4892" spans="1:12" ht="15" customHeight="1" x14ac:dyDescent="0.25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</row>
    <row r="4893" spans="1:12" ht="15" customHeight="1" x14ac:dyDescent="0.25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</row>
    <row r="4894" spans="1:12" ht="15" customHeight="1" x14ac:dyDescent="0.25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</row>
    <row r="4895" spans="1:12" ht="15" customHeight="1" x14ac:dyDescent="0.25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</row>
    <row r="4896" spans="1:12" ht="15" customHeight="1" x14ac:dyDescent="0.25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</row>
    <row r="4897" spans="1:12" ht="15" customHeight="1" x14ac:dyDescent="0.25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</row>
    <row r="4898" spans="1:12" ht="15" customHeight="1" x14ac:dyDescent="0.25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</row>
    <row r="4899" spans="1:12" ht="15" customHeight="1" x14ac:dyDescent="0.25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</row>
    <row r="4900" spans="1:12" ht="15" customHeight="1" x14ac:dyDescent="0.25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</row>
    <row r="4901" spans="1:12" ht="15" customHeight="1" x14ac:dyDescent="0.25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</row>
    <row r="4902" spans="1:12" ht="15" customHeight="1" x14ac:dyDescent="0.25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</row>
    <row r="4903" spans="1:12" ht="15" customHeight="1" x14ac:dyDescent="0.25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</row>
    <row r="4904" spans="1:12" ht="15" customHeight="1" x14ac:dyDescent="0.25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</row>
    <row r="4905" spans="1:12" ht="15" customHeight="1" x14ac:dyDescent="0.25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</row>
    <row r="4906" spans="1:12" ht="15" customHeight="1" x14ac:dyDescent="0.25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</row>
    <row r="4907" spans="1:12" ht="15" customHeight="1" x14ac:dyDescent="0.25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</row>
    <row r="4908" spans="1:12" ht="15" customHeight="1" x14ac:dyDescent="0.25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</row>
    <row r="4909" spans="1:12" ht="15" customHeight="1" x14ac:dyDescent="0.25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</row>
    <row r="4910" spans="1:12" ht="15" customHeight="1" x14ac:dyDescent="0.25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</row>
    <row r="4911" spans="1:12" ht="15" customHeight="1" x14ac:dyDescent="0.25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</row>
    <row r="4912" spans="1:12" ht="15" customHeight="1" x14ac:dyDescent="0.25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</row>
    <row r="4913" spans="1:12" ht="15" customHeight="1" x14ac:dyDescent="0.25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</row>
    <row r="4914" spans="1:12" ht="15" customHeight="1" x14ac:dyDescent="0.25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</row>
    <row r="4915" spans="1:12" ht="15" customHeight="1" x14ac:dyDescent="0.25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</row>
    <row r="4916" spans="1:12" ht="15" customHeight="1" x14ac:dyDescent="0.25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</row>
    <row r="4917" spans="1:12" ht="15" customHeight="1" x14ac:dyDescent="0.25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</row>
    <row r="4918" spans="1:12" ht="15" customHeight="1" x14ac:dyDescent="0.25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</row>
    <row r="4919" spans="1:12" ht="15" customHeight="1" x14ac:dyDescent="0.25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</row>
    <row r="4920" spans="1:12" ht="15" customHeight="1" x14ac:dyDescent="0.25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</row>
    <row r="4921" spans="1:12" ht="15" customHeight="1" x14ac:dyDescent="0.25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</row>
    <row r="4922" spans="1:12" ht="15" customHeight="1" x14ac:dyDescent="0.25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</row>
    <row r="4923" spans="1:12" ht="15" customHeight="1" x14ac:dyDescent="0.25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</row>
    <row r="4924" spans="1:12" ht="15" customHeight="1" x14ac:dyDescent="0.25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</row>
    <row r="4925" spans="1:12" ht="15" customHeight="1" x14ac:dyDescent="0.25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</row>
    <row r="4926" spans="1:12" ht="15" customHeight="1" x14ac:dyDescent="0.25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</row>
    <row r="4927" spans="1:12" ht="15" customHeight="1" x14ac:dyDescent="0.25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</row>
    <row r="4928" spans="1:12" ht="15" customHeight="1" x14ac:dyDescent="0.25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</row>
    <row r="4929" spans="1:12" ht="15" customHeight="1" x14ac:dyDescent="0.25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</row>
    <row r="4930" spans="1:12" ht="15" customHeight="1" x14ac:dyDescent="0.25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</row>
    <row r="4931" spans="1:12" ht="15" customHeight="1" x14ac:dyDescent="0.25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</row>
    <row r="4932" spans="1:12" ht="15" customHeight="1" x14ac:dyDescent="0.25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</row>
    <row r="4933" spans="1:12" ht="15" customHeight="1" x14ac:dyDescent="0.25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</row>
    <row r="4934" spans="1:12" ht="15" customHeight="1" x14ac:dyDescent="0.25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</row>
    <row r="4935" spans="1:12" ht="15" customHeight="1" x14ac:dyDescent="0.25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</row>
    <row r="4936" spans="1:12" ht="15" customHeight="1" x14ac:dyDescent="0.25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</row>
    <row r="4937" spans="1:12" ht="15" customHeight="1" x14ac:dyDescent="0.25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</row>
    <row r="4938" spans="1:12" ht="15" customHeight="1" x14ac:dyDescent="0.25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</row>
    <row r="4939" spans="1:12" ht="15" customHeight="1" x14ac:dyDescent="0.25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</row>
    <row r="4940" spans="1:12" ht="15" customHeight="1" x14ac:dyDescent="0.25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</row>
    <row r="4941" spans="1:12" ht="15" customHeight="1" x14ac:dyDescent="0.25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</row>
    <row r="4942" spans="1:12" ht="15" customHeight="1" x14ac:dyDescent="0.25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</row>
    <row r="4943" spans="1:12" ht="15" customHeight="1" x14ac:dyDescent="0.25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</row>
    <row r="4944" spans="1:12" ht="15" customHeight="1" x14ac:dyDescent="0.25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</row>
    <row r="4945" spans="1:12" ht="15" customHeight="1" x14ac:dyDescent="0.25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</row>
    <row r="4946" spans="1:12" ht="15" customHeight="1" x14ac:dyDescent="0.25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</row>
    <row r="4947" spans="1:12" ht="15" customHeight="1" x14ac:dyDescent="0.25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</row>
    <row r="4948" spans="1:12" ht="15" customHeight="1" x14ac:dyDescent="0.25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</row>
    <row r="4949" spans="1:12" ht="15" customHeight="1" x14ac:dyDescent="0.25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</row>
    <row r="4950" spans="1:12" ht="15" customHeight="1" x14ac:dyDescent="0.25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</row>
    <row r="4951" spans="1:12" ht="15" customHeight="1" x14ac:dyDescent="0.25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</row>
    <row r="4952" spans="1:12" ht="15" customHeight="1" x14ac:dyDescent="0.25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</row>
    <row r="4953" spans="1:12" ht="15" customHeight="1" x14ac:dyDescent="0.25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</row>
    <row r="4954" spans="1:12" ht="15" customHeight="1" x14ac:dyDescent="0.25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</row>
    <row r="4955" spans="1:12" ht="15" customHeight="1" x14ac:dyDescent="0.25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</row>
    <row r="4956" spans="1:12" ht="15" customHeight="1" x14ac:dyDescent="0.25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</row>
    <row r="4957" spans="1:12" ht="15" customHeight="1" x14ac:dyDescent="0.25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</row>
    <row r="4958" spans="1:12" ht="15" customHeight="1" x14ac:dyDescent="0.25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</row>
    <row r="4959" spans="1:12" ht="15" customHeight="1" x14ac:dyDescent="0.25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</row>
    <row r="4960" spans="1:12" ht="15" customHeight="1" x14ac:dyDescent="0.25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</row>
    <row r="4961" spans="1:12" ht="15" customHeight="1" x14ac:dyDescent="0.25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</row>
    <row r="4962" spans="1:12" ht="15" customHeight="1" x14ac:dyDescent="0.25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</row>
    <row r="4963" spans="1:12" ht="15" customHeight="1" x14ac:dyDescent="0.25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</row>
    <row r="4964" spans="1:12" ht="15" customHeight="1" x14ac:dyDescent="0.25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</row>
    <row r="4965" spans="1:12" ht="15" customHeight="1" x14ac:dyDescent="0.25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</row>
    <row r="4966" spans="1:12" ht="15" customHeight="1" x14ac:dyDescent="0.25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</row>
    <row r="4967" spans="1:12" ht="15" customHeight="1" x14ac:dyDescent="0.25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</row>
    <row r="4968" spans="1:12" ht="15" customHeight="1" x14ac:dyDescent="0.25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</row>
    <row r="4969" spans="1:12" ht="15" customHeight="1" x14ac:dyDescent="0.25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</row>
    <row r="4970" spans="1:12" ht="15" customHeight="1" x14ac:dyDescent="0.25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</row>
    <row r="4971" spans="1:12" ht="15" customHeight="1" x14ac:dyDescent="0.25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</row>
    <row r="4972" spans="1:12" ht="15" customHeight="1" x14ac:dyDescent="0.25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</row>
    <row r="4973" spans="1:12" ht="15" customHeight="1" x14ac:dyDescent="0.25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</row>
    <row r="4974" spans="1:12" ht="15" customHeight="1" x14ac:dyDescent="0.25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</row>
    <row r="4975" spans="1:12" ht="15" customHeight="1" x14ac:dyDescent="0.25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</row>
    <row r="4976" spans="1:12" ht="15" customHeight="1" x14ac:dyDescent="0.25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</row>
    <row r="4977" spans="1:12" ht="15" customHeight="1" x14ac:dyDescent="0.25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</row>
    <row r="4978" spans="1:12" ht="15" customHeight="1" x14ac:dyDescent="0.25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</row>
    <row r="4979" spans="1:12" ht="15" customHeight="1" x14ac:dyDescent="0.25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</row>
    <row r="4980" spans="1:12" ht="15" customHeight="1" x14ac:dyDescent="0.25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</row>
    <row r="4981" spans="1:12" ht="15" customHeight="1" x14ac:dyDescent="0.25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</row>
    <row r="4982" spans="1:12" ht="15" customHeight="1" x14ac:dyDescent="0.25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</row>
    <row r="4983" spans="1:12" ht="15" customHeight="1" x14ac:dyDescent="0.25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</row>
    <row r="4984" spans="1:12" ht="15" customHeight="1" x14ac:dyDescent="0.25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</row>
    <row r="4985" spans="1:12" ht="15" customHeight="1" x14ac:dyDescent="0.25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</row>
    <row r="4986" spans="1:12" ht="15" customHeight="1" x14ac:dyDescent="0.25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</row>
    <row r="4987" spans="1:12" ht="15" customHeight="1" x14ac:dyDescent="0.25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</row>
    <row r="4988" spans="1:12" ht="15" customHeight="1" x14ac:dyDescent="0.25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</row>
    <row r="4989" spans="1:12" ht="15" customHeight="1" x14ac:dyDescent="0.25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</row>
    <row r="4990" spans="1:12" ht="15" customHeight="1" x14ac:dyDescent="0.25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</row>
    <row r="4991" spans="1:12" ht="15" customHeight="1" x14ac:dyDescent="0.25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</row>
    <row r="4992" spans="1:12" ht="15" customHeight="1" x14ac:dyDescent="0.25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</row>
    <row r="4993" spans="1:12" ht="15" customHeight="1" x14ac:dyDescent="0.25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</row>
    <row r="4994" spans="1:12" ht="15" customHeight="1" x14ac:dyDescent="0.25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</row>
    <row r="4995" spans="1:12" ht="15" customHeight="1" x14ac:dyDescent="0.25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</row>
    <row r="4996" spans="1:12" ht="15" customHeight="1" x14ac:dyDescent="0.25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</row>
    <row r="4997" spans="1:12" ht="15" customHeight="1" x14ac:dyDescent="0.25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</row>
    <row r="4998" spans="1:12" ht="15" customHeight="1" x14ac:dyDescent="0.25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</row>
    <row r="4999" spans="1:12" ht="15" customHeight="1" x14ac:dyDescent="0.25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</row>
    <row r="5000" spans="1:12" ht="15" customHeight="1" x14ac:dyDescent="0.25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</row>
    <row r="5001" spans="1:12" ht="15" customHeight="1" x14ac:dyDescent="0.25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</row>
    <row r="5002" spans="1:12" ht="15" customHeight="1" x14ac:dyDescent="0.25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</row>
    <row r="5003" spans="1:12" ht="15" customHeight="1" x14ac:dyDescent="0.25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</row>
    <row r="5004" spans="1:12" ht="15" customHeight="1" x14ac:dyDescent="0.25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</row>
    <row r="5005" spans="1:12" ht="15" customHeight="1" x14ac:dyDescent="0.25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</row>
    <row r="5006" spans="1:12" ht="15" customHeight="1" x14ac:dyDescent="0.25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</row>
    <row r="5007" spans="1:12" ht="15" customHeight="1" x14ac:dyDescent="0.25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</row>
    <row r="5008" spans="1:12" ht="15" customHeight="1" x14ac:dyDescent="0.25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</row>
    <row r="5009" spans="1:12" ht="15" customHeight="1" x14ac:dyDescent="0.25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</row>
    <row r="5010" spans="1:12" ht="15" customHeight="1" x14ac:dyDescent="0.25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</row>
    <row r="5011" spans="1:12" ht="15" customHeight="1" x14ac:dyDescent="0.25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</row>
    <row r="5012" spans="1:12" ht="15" customHeight="1" x14ac:dyDescent="0.25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</row>
    <row r="5013" spans="1:12" ht="15" customHeight="1" x14ac:dyDescent="0.25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</row>
    <row r="5014" spans="1:12" ht="15" customHeight="1" x14ac:dyDescent="0.25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</row>
    <row r="5015" spans="1:12" ht="15" customHeight="1" x14ac:dyDescent="0.25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</row>
    <row r="5016" spans="1:12" ht="15" customHeight="1" x14ac:dyDescent="0.25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</row>
    <row r="5017" spans="1:12" ht="15" customHeight="1" x14ac:dyDescent="0.25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</row>
    <row r="5018" spans="1:12" ht="15" customHeight="1" x14ac:dyDescent="0.25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</row>
    <row r="5019" spans="1:12" ht="15" customHeight="1" x14ac:dyDescent="0.25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</row>
    <row r="5020" spans="1:12" ht="15" customHeight="1" x14ac:dyDescent="0.25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</row>
    <row r="5021" spans="1:12" ht="15" customHeight="1" x14ac:dyDescent="0.25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</row>
    <row r="5022" spans="1:12" ht="15" customHeight="1" x14ac:dyDescent="0.25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</row>
    <row r="5023" spans="1:12" ht="15" customHeight="1" x14ac:dyDescent="0.25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</row>
    <row r="5024" spans="1:12" ht="15" customHeight="1" x14ac:dyDescent="0.25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</row>
    <row r="5025" spans="1:12" ht="15" customHeight="1" x14ac:dyDescent="0.25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</row>
    <row r="5026" spans="1:12" ht="15" customHeight="1" x14ac:dyDescent="0.25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</row>
    <row r="5027" spans="1:12" ht="15" customHeight="1" x14ac:dyDescent="0.25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</row>
    <row r="5028" spans="1:12" ht="15" customHeight="1" x14ac:dyDescent="0.25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</row>
    <row r="5029" spans="1:12" ht="15" customHeight="1" x14ac:dyDescent="0.25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</row>
    <row r="5030" spans="1:12" ht="15" customHeight="1" x14ac:dyDescent="0.25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</row>
    <row r="5031" spans="1:12" ht="15" customHeight="1" x14ac:dyDescent="0.25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</row>
    <row r="5032" spans="1:12" ht="15" customHeight="1" x14ac:dyDescent="0.25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</row>
    <row r="5033" spans="1:12" ht="15" customHeight="1" x14ac:dyDescent="0.25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</row>
    <row r="5034" spans="1:12" ht="15" customHeight="1" x14ac:dyDescent="0.25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</row>
    <row r="5035" spans="1:12" ht="15" customHeight="1" x14ac:dyDescent="0.25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</row>
    <row r="5036" spans="1:12" ht="15" customHeight="1" x14ac:dyDescent="0.25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</row>
    <row r="5037" spans="1:12" ht="15" customHeight="1" x14ac:dyDescent="0.25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</row>
    <row r="5038" spans="1:12" ht="15" customHeight="1" x14ac:dyDescent="0.25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</row>
    <row r="5039" spans="1:12" ht="15" customHeight="1" x14ac:dyDescent="0.25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</row>
    <row r="5040" spans="1:12" ht="15" customHeight="1" x14ac:dyDescent="0.25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</row>
    <row r="5041" spans="1:12" ht="15" customHeight="1" x14ac:dyDescent="0.25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</row>
    <row r="5042" spans="1:12" ht="15" customHeight="1" x14ac:dyDescent="0.25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</row>
    <row r="5043" spans="1:12" ht="15" customHeight="1" x14ac:dyDescent="0.25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</row>
    <row r="5044" spans="1:12" ht="15" customHeight="1" x14ac:dyDescent="0.25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</row>
    <row r="5045" spans="1:12" ht="15" customHeight="1" x14ac:dyDescent="0.25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</row>
    <row r="5046" spans="1:12" ht="15" customHeight="1" x14ac:dyDescent="0.25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</row>
    <row r="5047" spans="1:12" ht="15" customHeight="1" x14ac:dyDescent="0.25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</row>
    <row r="5048" spans="1:12" ht="15" customHeight="1" x14ac:dyDescent="0.25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</row>
    <row r="5049" spans="1:12" ht="15" customHeight="1" x14ac:dyDescent="0.25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</row>
    <row r="5050" spans="1:12" ht="15" customHeight="1" x14ac:dyDescent="0.25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</row>
    <row r="5051" spans="1:12" ht="15" customHeight="1" x14ac:dyDescent="0.25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</row>
    <row r="5052" spans="1:12" ht="15" customHeight="1" x14ac:dyDescent="0.25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</row>
    <row r="5053" spans="1:12" ht="15" customHeight="1" x14ac:dyDescent="0.25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</row>
    <row r="5054" spans="1:12" ht="15" customHeight="1" x14ac:dyDescent="0.25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</row>
    <row r="5055" spans="1:12" ht="15" customHeight="1" x14ac:dyDescent="0.25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</row>
    <row r="5056" spans="1:12" ht="15" customHeight="1" x14ac:dyDescent="0.25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</row>
    <row r="5057" spans="1:12" ht="15" customHeight="1" x14ac:dyDescent="0.25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</row>
    <row r="5058" spans="1:12" ht="15" customHeight="1" x14ac:dyDescent="0.25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</row>
    <row r="5059" spans="1:12" ht="15" customHeight="1" x14ac:dyDescent="0.25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</row>
    <row r="5060" spans="1:12" ht="15" customHeight="1" x14ac:dyDescent="0.25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</row>
    <row r="5061" spans="1:12" ht="15" customHeight="1" x14ac:dyDescent="0.25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</row>
    <row r="5062" spans="1:12" ht="15" customHeight="1" x14ac:dyDescent="0.25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</row>
    <row r="5063" spans="1:12" ht="15" customHeight="1" x14ac:dyDescent="0.25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</row>
    <row r="5064" spans="1:12" ht="15" customHeight="1" x14ac:dyDescent="0.25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</row>
    <row r="5065" spans="1:12" ht="15" customHeight="1" x14ac:dyDescent="0.25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</row>
    <row r="5066" spans="1:12" ht="15" customHeight="1" x14ac:dyDescent="0.25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</row>
    <row r="5067" spans="1:12" ht="15" customHeight="1" x14ac:dyDescent="0.25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</row>
    <row r="5068" spans="1:12" ht="15" customHeight="1" x14ac:dyDescent="0.25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</row>
    <row r="5069" spans="1:12" ht="15" customHeight="1" x14ac:dyDescent="0.25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</row>
    <row r="5070" spans="1:12" ht="15" customHeight="1" x14ac:dyDescent="0.25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</row>
    <row r="5071" spans="1:12" ht="15" customHeight="1" x14ac:dyDescent="0.25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</row>
    <row r="5072" spans="1:12" ht="15" customHeight="1" x14ac:dyDescent="0.25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</row>
    <row r="5073" spans="1:12" ht="15" customHeight="1" x14ac:dyDescent="0.25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</row>
    <row r="5074" spans="1:12" ht="15" customHeight="1" x14ac:dyDescent="0.25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</row>
    <row r="5075" spans="1:12" ht="15" customHeight="1" x14ac:dyDescent="0.25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</row>
    <row r="5076" spans="1:12" ht="15" customHeight="1" x14ac:dyDescent="0.25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</row>
    <row r="5077" spans="1:12" ht="15" customHeight="1" x14ac:dyDescent="0.25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</row>
    <row r="5078" spans="1:12" ht="15" customHeight="1" x14ac:dyDescent="0.25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</row>
    <row r="5079" spans="1:12" ht="15" customHeight="1" x14ac:dyDescent="0.25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</row>
    <row r="5080" spans="1:12" ht="15" customHeight="1" x14ac:dyDescent="0.25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</row>
    <row r="5081" spans="1:12" ht="15" customHeight="1" x14ac:dyDescent="0.25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</row>
    <row r="5082" spans="1:12" ht="15" customHeight="1" x14ac:dyDescent="0.25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</row>
    <row r="5083" spans="1:12" ht="15" customHeight="1" x14ac:dyDescent="0.25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</row>
    <row r="5084" spans="1:12" ht="15" customHeight="1" x14ac:dyDescent="0.25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</row>
    <row r="5085" spans="1:12" ht="15" customHeight="1" x14ac:dyDescent="0.25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</row>
    <row r="5086" spans="1:12" ht="15" customHeight="1" x14ac:dyDescent="0.25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</row>
    <row r="5087" spans="1:12" ht="15" customHeight="1" x14ac:dyDescent="0.25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</row>
    <row r="5088" spans="1:12" ht="15" customHeight="1" x14ac:dyDescent="0.25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</row>
    <row r="5089" spans="1:12" ht="15" customHeight="1" x14ac:dyDescent="0.25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</row>
    <row r="5090" spans="1:12" ht="15" customHeight="1" x14ac:dyDescent="0.25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</row>
    <row r="5091" spans="1:12" ht="15" customHeight="1" x14ac:dyDescent="0.25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</row>
    <row r="5092" spans="1:12" ht="15" customHeight="1" x14ac:dyDescent="0.25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</row>
    <row r="5093" spans="1:12" ht="15" customHeight="1" x14ac:dyDescent="0.25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</row>
    <row r="5094" spans="1:12" ht="15" customHeight="1" x14ac:dyDescent="0.25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</row>
    <row r="5095" spans="1:12" ht="15" customHeight="1" x14ac:dyDescent="0.25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</row>
    <row r="5096" spans="1:12" ht="15" customHeight="1" x14ac:dyDescent="0.25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</row>
    <row r="5097" spans="1:12" ht="15" customHeight="1" x14ac:dyDescent="0.25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</row>
    <row r="5098" spans="1:12" ht="15" customHeight="1" x14ac:dyDescent="0.25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</row>
    <row r="5099" spans="1:12" ht="15" customHeight="1" x14ac:dyDescent="0.25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</row>
    <row r="5100" spans="1:12" ht="15" customHeight="1" x14ac:dyDescent="0.25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</row>
    <row r="5101" spans="1:12" ht="15" customHeight="1" x14ac:dyDescent="0.25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</row>
    <row r="5102" spans="1:12" ht="15" customHeight="1" x14ac:dyDescent="0.25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</row>
    <row r="5103" spans="1:12" ht="15" customHeight="1" x14ac:dyDescent="0.25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</row>
    <row r="5104" spans="1:12" ht="15" customHeight="1" x14ac:dyDescent="0.25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</row>
    <row r="5105" spans="1:12" ht="15" customHeight="1" x14ac:dyDescent="0.25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</row>
    <row r="5106" spans="1:12" ht="15" customHeight="1" x14ac:dyDescent="0.25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</row>
    <row r="5107" spans="1:12" ht="15" customHeight="1" x14ac:dyDescent="0.25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</row>
    <row r="5108" spans="1:12" ht="15" customHeight="1" x14ac:dyDescent="0.25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</row>
    <row r="5109" spans="1:12" ht="15" customHeight="1" x14ac:dyDescent="0.25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</row>
    <row r="5110" spans="1:12" ht="15" customHeight="1" x14ac:dyDescent="0.25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</row>
    <row r="5111" spans="1:12" ht="15" customHeight="1" x14ac:dyDescent="0.25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</row>
    <row r="5112" spans="1:12" ht="15" customHeight="1" x14ac:dyDescent="0.25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</row>
    <row r="5113" spans="1:12" ht="15" customHeight="1" x14ac:dyDescent="0.25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</row>
    <row r="5114" spans="1:12" ht="15" customHeight="1" x14ac:dyDescent="0.25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</row>
    <row r="5115" spans="1:12" ht="15" customHeight="1" x14ac:dyDescent="0.25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</row>
    <row r="5116" spans="1:12" ht="15" customHeight="1" x14ac:dyDescent="0.25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</row>
    <row r="5117" spans="1:12" ht="15" customHeight="1" x14ac:dyDescent="0.25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</row>
    <row r="5118" spans="1:12" ht="15" customHeight="1" x14ac:dyDescent="0.25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</row>
    <row r="5119" spans="1:12" ht="15" customHeight="1" x14ac:dyDescent="0.25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</row>
    <row r="5120" spans="1:12" ht="15" customHeight="1" x14ac:dyDescent="0.25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</row>
    <row r="5121" spans="1:12" ht="15" customHeight="1" x14ac:dyDescent="0.25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</row>
    <row r="5122" spans="1:12" ht="15" customHeight="1" x14ac:dyDescent="0.25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</row>
    <row r="5123" spans="1:12" ht="15" customHeight="1" x14ac:dyDescent="0.25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</row>
    <row r="5124" spans="1:12" ht="15" customHeight="1" x14ac:dyDescent="0.25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</row>
    <row r="5125" spans="1:12" ht="15" customHeight="1" x14ac:dyDescent="0.25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</row>
    <row r="5126" spans="1:12" ht="15" customHeight="1" x14ac:dyDescent="0.25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</row>
    <row r="5127" spans="1:12" ht="15" customHeight="1" x14ac:dyDescent="0.25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</row>
    <row r="5128" spans="1:12" ht="15" customHeight="1" x14ac:dyDescent="0.25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</row>
    <row r="5129" spans="1:12" ht="15" customHeight="1" x14ac:dyDescent="0.25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</row>
    <row r="5130" spans="1:12" ht="15" customHeight="1" x14ac:dyDescent="0.25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</row>
    <row r="5131" spans="1:12" ht="15" customHeight="1" x14ac:dyDescent="0.25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</row>
    <row r="5132" spans="1:12" ht="15" customHeight="1" x14ac:dyDescent="0.25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</row>
    <row r="5133" spans="1:12" ht="15" customHeight="1" x14ac:dyDescent="0.25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</row>
    <row r="5134" spans="1:12" ht="15" customHeight="1" x14ac:dyDescent="0.25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</row>
    <row r="5135" spans="1:12" ht="15" customHeight="1" x14ac:dyDescent="0.25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</row>
    <row r="5136" spans="1:12" ht="15" customHeight="1" x14ac:dyDescent="0.25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</row>
    <row r="5137" spans="1:12" ht="15" customHeight="1" x14ac:dyDescent="0.25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</row>
    <row r="5138" spans="1:12" ht="15" customHeight="1" x14ac:dyDescent="0.25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</row>
    <row r="5139" spans="1:12" ht="15" customHeight="1" x14ac:dyDescent="0.25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</row>
    <row r="5140" spans="1:12" ht="15" customHeight="1" x14ac:dyDescent="0.25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</row>
    <row r="5141" spans="1:12" ht="15" customHeight="1" x14ac:dyDescent="0.25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</row>
    <row r="5142" spans="1:12" ht="15" customHeight="1" x14ac:dyDescent="0.25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</row>
    <row r="5143" spans="1:12" ht="15" customHeight="1" x14ac:dyDescent="0.25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</row>
    <row r="5144" spans="1:12" ht="15" customHeight="1" x14ac:dyDescent="0.25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</row>
    <row r="5145" spans="1:12" ht="15" customHeight="1" x14ac:dyDescent="0.25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</row>
    <row r="5146" spans="1:12" ht="15" customHeight="1" x14ac:dyDescent="0.25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</row>
    <row r="5147" spans="1:12" ht="15" customHeight="1" x14ac:dyDescent="0.25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</row>
    <row r="5148" spans="1:12" ht="15" customHeight="1" x14ac:dyDescent="0.25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</row>
    <row r="5149" spans="1:12" ht="15" customHeight="1" x14ac:dyDescent="0.25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</row>
    <row r="5150" spans="1:12" ht="15" customHeight="1" x14ac:dyDescent="0.25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</row>
    <row r="5151" spans="1:12" ht="15" customHeight="1" x14ac:dyDescent="0.25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</row>
    <row r="5152" spans="1:12" ht="15" customHeight="1" x14ac:dyDescent="0.25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</row>
    <row r="5153" spans="1:12" ht="15" customHeight="1" x14ac:dyDescent="0.25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</row>
    <row r="5154" spans="1:12" ht="15" customHeight="1" x14ac:dyDescent="0.25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</row>
    <row r="5155" spans="1:12" ht="15" customHeight="1" x14ac:dyDescent="0.25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</row>
    <row r="5156" spans="1:12" ht="15" customHeight="1" x14ac:dyDescent="0.25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</row>
    <row r="5157" spans="1:12" ht="15" customHeight="1" x14ac:dyDescent="0.25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</row>
    <row r="5158" spans="1:12" ht="15" customHeight="1" x14ac:dyDescent="0.25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</row>
    <row r="5159" spans="1:12" ht="15" customHeight="1" x14ac:dyDescent="0.25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</row>
    <row r="5160" spans="1:12" ht="15" customHeight="1" x14ac:dyDescent="0.25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</row>
    <row r="5161" spans="1:12" ht="15" customHeight="1" x14ac:dyDescent="0.25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</row>
    <row r="5162" spans="1:12" ht="15" customHeight="1" x14ac:dyDescent="0.25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</row>
    <row r="5163" spans="1:12" ht="15" customHeight="1" x14ac:dyDescent="0.25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</row>
    <row r="5164" spans="1:12" ht="15" customHeight="1" x14ac:dyDescent="0.25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</row>
    <row r="5165" spans="1:12" ht="15" customHeight="1" x14ac:dyDescent="0.25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</row>
    <row r="5166" spans="1:12" ht="15" customHeight="1" x14ac:dyDescent="0.25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</row>
    <row r="5167" spans="1:12" ht="15" customHeight="1" x14ac:dyDescent="0.25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</row>
    <row r="5168" spans="1:12" ht="15" customHeight="1" x14ac:dyDescent="0.25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</row>
    <row r="5169" spans="1:12" ht="15" customHeight="1" x14ac:dyDescent="0.25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</row>
    <row r="5170" spans="1:12" ht="15" customHeight="1" x14ac:dyDescent="0.25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</row>
    <row r="5171" spans="1:12" ht="15" customHeight="1" x14ac:dyDescent="0.25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</row>
    <row r="5172" spans="1:12" ht="15" customHeight="1" x14ac:dyDescent="0.25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</row>
    <row r="5173" spans="1:12" ht="15" customHeight="1" x14ac:dyDescent="0.25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</row>
    <row r="5174" spans="1:12" ht="15" customHeight="1" x14ac:dyDescent="0.25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</row>
    <row r="5175" spans="1:12" ht="15" customHeight="1" x14ac:dyDescent="0.25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</row>
    <row r="5176" spans="1:12" ht="15" customHeight="1" x14ac:dyDescent="0.25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</row>
    <row r="5177" spans="1:12" ht="15" customHeight="1" x14ac:dyDescent="0.25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</row>
    <row r="5178" spans="1:12" ht="15" customHeight="1" x14ac:dyDescent="0.25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</row>
    <row r="5179" spans="1:12" ht="15" customHeight="1" x14ac:dyDescent="0.25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</row>
    <row r="5180" spans="1:12" ht="15" customHeight="1" x14ac:dyDescent="0.25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</row>
    <row r="5181" spans="1:12" ht="15" customHeight="1" x14ac:dyDescent="0.25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</row>
    <row r="5182" spans="1:12" ht="15" customHeight="1" x14ac:dyDescent="0.25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</row>
    <row r="5183" spans="1:12" ht="15" customHeight="1" x14ac:dyDescent="0.25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</row>
    <row r="5184" spans="1:12" ht="15" customHeight="1" x14ac:dyDescent="0.25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</row>
    <row r="5185" spans="1:12" ht="15" customHeight="1" x14ac:dyDescent="0.25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</row>
    <row r="5186" spans="1:12" ht="15" customHeight="1" x14ac:dyDescent="0.25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</row>
    <row r="5187" spans="1:12" ht="15" customHeight="1" x14ac:dyDescent="0.25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</row>
    <row r="5188" spans="1:12" ht="15" customHeight="1" x14ac:dyDescent="0.25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</row>
    <row r="5189" spans="1:12" ht="15" customHeight="1" x14ac:dyDescent="0.25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</row>
    <row r="5190" spans="1:12" ht="15" customHeight="1" x14ac:dyDescent="0.25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</row>
    <row r="5191" spans="1:12" ht="15" customHeight="1" x14ac:dyDescent="0.25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</row>
    <row r="5192" spans="1:12" ht="15" customHeight="1" x14ac:dyDescent="0.25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</row>
    <row r="5193" spans="1:12" ht="15" customHeight="1" x14ac:dyDescent="0.25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</row>
    <row r="5194" spans="1:12" ht="15" customHeight="1" x14ac:dyDescent="0.25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</row>
    <row r="5195" spans="1:12" ht="15" customHeight="1" x14ac:dyDescent="0.25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</row>
    <row r="5196" spans="1:12" ht="15" customHeight="1" x14ac:dyDescent="0.25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</row>
    <row r="5197" spans="1:12" ht="15" customHeight="1" x14ac:dyDescent="0.25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</row>
    <row r="5198" spans="1:12" ht="15" customHeight="1" x14ac:dyDescent="0.25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</row>
    <row r="5199" spans="1:12" ht="15" customHeight="1" x14ac:dyDescent="0.25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</row>
    <row r="5200" spans="1:12" ht="15" customHeight="1" x14ac:dyDescent="0.25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</row>
    <row r="5201" spans="1:12" ht="15" customHeight="1" x14ac:dyDescent="0.25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</row>
    <row r="5202" spans="1:12" ht="15" customHeight="1" x14ac:dyDescent="0.25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</row>
    <row r="5203" spans="1:12" ht="15" customHeight="1" x14ac:dyDescent="0.25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</row>
    <row r="5204" spans="1:12" ht="15" customHeight="1" x14ac:dyDescent="0.25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</row>
    <row r="5205" spans="1:12" ht="15" customHeight="1" x14ac:dyDescent="0.25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</row>
    <row r="5206" spans="1:12" ht="15" customHeight="1" x14ac:dyDescent="0.25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</row>
    <row r="5207" spans="1:12" ht="15" customHeight="1" x14ac:dyDescent="0.25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</row>
    <row r="5208" spans="1:12" ht="15" customHeight="1" x14ac:dyDescent="0.25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</row>
    <row r="5209" spans="1:12" ht="15" customHeight="1" x14ac:dyDescent="0.25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</row>
    <row r="5210" spans="1:12" ht="15" customHeight="1" x14ac:dyDescent="0.25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</row>
    <row r="5211" spans="1:12" ht="15" customHeight="1" x14ac:dyDescent="0.25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</row>
    <row r="5212" spans="1:12" ht="15" customHeight="1" x14ac:dyDescent="0.25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</row>
    <row r="5213" spans="1:12" ht="15" customHeight="1" x14ac:dyDescent="0.25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</row>
    <row r="5214" spans="1:12" ht="15" customHeight="1" x14ac:dyDescent="0.25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</row>
    <row r="5215" spans="1:12" ht="15" customHeight="1" x14ac:dyDescent="0.25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</row>
    <row r="5216" spans="1:12" ht="15" customHeight="1" x14ac:dyDescent="0.25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</row>
    <row r="5217" spans="1:12" ht="15" customHeight="1" x14ac:dyDescent="0.25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</row>
    <row r="5218" spans="1:12" ht="15" customHeight="1" x14ac:dyDescent="0.25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</row>
    <row r="5219" spans="1:12" ht="15" customHeight="1" x14ac:dyDescent="0.25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</row>
    <row r="5220" spans="1:12" ht="15" customHeight="1" x14ac:dyDescent="0.25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</row>
    <row r="5221" spans="1:12" ht="15" customHeight="1" x14ac:dyDescent="0.25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</row>
    <row r="5222" spans="1:12" ht="15" customHeight="1" x14ac:dyDescent="0.25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</row>
    <row r="5223" spans="1:12" ht="15" customHeight="1" x14ac:dyDescent="0.25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</row>
    <row r="5224" spans="1:12" ht="15" customHeight="1" x14ac:dyDescent="0.25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</row>
    <row r="5225" spans="1:12" ht="15" customHeight="1" x14ac:dyDescent="0.25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</row>
    <row r="5226" spans="1:12" ht="15" customHeight="1" x14ac:dyDescent="0.25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</row>
    <row r="5227" spans="1:12" ht="15" customHeight="1" x14ac:dyDescent="0.25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</row>
    <row r="5228" spans="1:12" ht="15" customHeight="1" x14ac:dyDescent="0.25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</row>
    <row r="5229" spans="1:12" ht="15" customHeight="1" x14ac:dyDescent="0.25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</row>
    <row r="5230" spans="1:12" ht="15" customHeight="1" x14ac:dyDescent="0.25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</row>
    <row r="5231" spans="1:12" ht="15" customHeight="1" x14ac:dyDescent="0.25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</row>
    <row r="5232" spans="1:12" ht="15" customHeight="1" x14ac:dyDescent="0.25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</row>
    <row r="5233" spans="1:12" ht="15" customHeight="1" x14ac:dyDescent="0.25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</row>
    <row r="5234" spans="1:12" ht="15" customHeight="1" x14ac:dyDescent="0.25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</row>
    <row r="5235" spans="1:12" ht="15" customHeight="1" x14ac:dyDescent="0.25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</row>
    <row r="5236" spans="1:12" ht="15" customHeight="1" x14ac:dyDescent="0.25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</row>
    <row r="5237" spans="1:12" ht="15" customHeight="1" x14ac:dyDescent="0.25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</row>
    <row r="5238" spans="1:12" ht="15" customHeight="1" x14ac:dyDescent="0.25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</row>
    <row r="5239" spans="1:12" ht="15" customHeight="1" x14ac:dyDescent="0.25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</row>
    <row r="5240" spans="1:12" ht="15" customHeight="1" x14ac:dyDescent="0.25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</row>
    <row r="5241" spans="1:12" ht="15" customHeight="1" x14ac:dyDescent="0.25">
      <c r="A5241" s="10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</row>
    <row r="5242" spans="1:12" ht="15" customHeight="1" x14ac:dyDescent="0.25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</row>
    <row r="5243" spans="1:12" ht="15" customHeight="1" x14ac:dyDescent="0.25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</row>
    <row r="5244" spans="1:12" ht="15" customHeight="1" x14ac:dyDescent="0.25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</row>
    <row r="5245" spans="1:12" ht="15" customHeight="1" x14ac:dyDescent="0.25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</row>
    <row r="5246" spans="1:12" ht="15" customHeight="1" x14ac:dyDescent="0.25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</row>
    <row r="5247" spans="1:12" ht="15" customHeight="1" x14ac:dyDescent="0.25">
      <c r="A5247" s="10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</row>
    <row r="5248" spans="1:12" ht="15" customHeight="1" x14ac:dyDescent="0.25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</row>
    <row r="5249" spans="1:12" ht="15" customHeight="1" x14ac:dyDescent="0.25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</row>
    <row r="5250" spans="1:12" ht="15" customHeight="1" x14ac:dyDescent="0.25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</row>
    <row r="5251" spans="1:12" ht="15" customHeight="1" x14ac:dyDescent="0.25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</row>
    <row r="5252" spans="1:12" ht="15" customHeight="1" x14ac:dyDescent="0.25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</row>
    <row r="5253" spans="1:12" ht="15" customHeight="1" x14ac:dyDescent="0.25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</row>
    <row r="5254" spans="1:12" ht="15" customHeight="1" x14ac:dyDescent="0.25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</row>
    <row r="5255" spans="1:12" ht="15" customHeight="1" x14ac:dyDescent="0.25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</row>
    <row r="5256" spans="1:12" ht="15" customHeight="1" x14ac:dyDescent="0.25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</row>
    <row r="5257" spans="1:12" ht="15" customHeight="1" x14ac:dyDescent="0.25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</row>
    <row r="5258" spans="1:12" ht="15" customHeight="1" x14ac:dyDescent="0.25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</row>
    <row r="5259" spans="1:12" ht="15" customHeight="1" x14ac:dyDescent="0.25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</row>
    <row r="5260" spans="1:12" ht="15" customHeight="1" x14ac:dyDescent="0.25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</row>
    <row r="5261" spans="1:12" ht="15" customHeight="1" x14ac:dyDescent="0.25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</row>
    <row r="5262" spans="1:12" ht="15" customHeight="1" x14ac:dyDescent="0.25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</row>
    <row r="5263" spans="1:12" ht="15" customHeight="1" x14ac:dyDescent="0.25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</row>
    <row r="5264" spans="1:12" ht="15" customHeight="1" x14ac:dyDescent="0.25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</row>
    <row r="5265" spans="1:12" ht="15" customHeight="1" x14ac:dyDescent="0.25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</row>
    <row r="5266" spans="1:12" ht="15" customHeight="1" x14ac:dyDescent="0.25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</row>
    <row r="5267" spans="1:12" ht="15" customHeight="1" x14ac:dyDescent="0.25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</row>
    <row r="5268" spans="1:12" ht="15" customHeight="1" x14ac:dyDescent="0.25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</row>
    <row r="5269" spans="1:12" ht="15" customHeight="1" x14ac:dyDescent="0.25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</row>
    <row r="5270" spans="1:12" ht="15" customHeight="1" x14ac:dyDescent="0.25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</row>
    <row r="5271" spans="1:12" ht="15" customHeight="1" x14ac:dyDescent="0.25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</row>
    <row r="5272" spans="1:12" ht="15" customHeight="1" x14ac:dyDescent="0.25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</row>
    <row r="5273" spans="1:12" ht="15" customHeight="1" x14ac:dyDescent="0.25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</row>
    <row r="5274" spans="1:12" ht="15" customHeight="1" x14ac:dyDescent="0.25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</row>
    <row r="5275" spans="1:12" ht="15" customHeight="1" x14ac:dyDescent="0.25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</row>
    <row r="5276" spans="1:12" ht="15" customHeight="1" x14ac:dyDescent="0.25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</row>
    <row r="5277" spans="1:12" ht="15" customHeight="1" x14ac:dyDescent="0.25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</row>
    <row r="5278" spans="1:12" ht="15" customHeight="1" x14ac:dyDescent="0.25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</row>
    <row r="5279" spans="1:12" ht="15" customHeight="1" x14ac:dyDescent="0.25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</row>
    <row r="5280" spans="1:12" ht="15" customHeight="1" x14ac:dyDescent="0.25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</row>
    <row r="5281" spans="1:12" ht="15" customHeight="1" x14ac:dyDescent="0.25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</row>
    <row r="5282" spans="1:12" ht="15" customHeight="1" x14ac:dyDescent="0.25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</row>
    <row r="5283" spans="1:12" ht="15" customHeight="1" x14ac:dyDescent="0.25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</row>
    <row r="5284" spans="1:12" ht="15" customHeight="1" x14ac:dyDescent="0.25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</row>
    <row r="5285" spans="1:12" ht="15" customHeight="1" x14ac:dyDescent="0.25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</row>
    <row r="5286" spans="1:12" ht="15" customHeight="1" x14ac:dyDescent="0.25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</row>
    <row r="5287" spans="1:12" ht="15" customHeight="1" x14ac:dyDescent="0.25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</row>
    <row r="5288" spans="1:12" ht="15" customHeight="1" x14ac:dyDescent="0.25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</row>
    <row r="5289" spans="1:12" ht="15" customHeight="1" x14ac:dyDescent="0.25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</row>
    <row r="5290" spans="1:12" ht="15" customHeight="1" x14ac:dyDescent="0.25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</row>
    <row r="5291" spans="1:12" ht="15" customHeight="1" x14ac:dyDescent="0.25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</row>
    <row r="5292" spans="1:12" ht="15" customHeight="1" x14ac:dyDescent="0.25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</row>
    <row r="5293" spans="1:12" ht="15" customHeight="1" x14ac:dyDescent="0.25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</row>
    <row r="5294" spans="1:12" ht="15" customHeight="1" x14ac:dyDescent="0.25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</row>
    <row r="5295" spans="1:12" ht="15" customHeight="1" x14ac:dyDescent="0.25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</row>
    <row r="5296" spans="1:12" ht="15" customHeight="1" x14ac:dyDescent="0.25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</row>
    <row r="5297" spans="1:12" ht="15" customHeight="1" x14ac:dyDescent="0.25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</row>
    <row r="5298" spans="1:12" ht="15" customHeight="1" x14ac:dyDescent="0.25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</row>
    <row r="5299" spans="1:12" ht="15" customHeight="1" x14ac:dyDescent="0.25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</row>
    <row r="5300" spans="1:12" ht="15" customHeight="1" x14ac:dyDescent="0.25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</row>
    <row r="5301" spans="1:12" ht="15" customHeight="1" x14ac:dyDescent="0.25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</row>
    <row r="5302" spans="1:12" ht="15" customHeight="1" x14ac:dyDescent="0.25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</row>
    <row r="5303" spans="1:12" ht="15" customHeight="1" x14ac:dyDescent="0.25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</row>
    <row r="5304" spans="1:12" ht="15" customHeight="1" x14ac:dyDescent="0.25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</row>
    <row r="5305" spans="1:12" ht="15" customHeight="1" x14ac:dyDescent="0.25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</row>
    <row r="5306" spans="1:12" ht="15" customHeight="1" x14ac:dyDescent="0.25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</row>
    <row r="5307" spans="1:12" ht="15" customHeight="1" x14ac:dyDescent="0.25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</row>
    <row r="5308" spans="1:12" ht="15" customHeight="1" x14ac:dyDescent="0.25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</row>
    <row r="5309" spans="1:12" ht="15" customHeight="1" x14ac:dyDescent="0.25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</row>
    <row r="5310" spans="1:12" ht="15" customHeight="1" x14ac:dyDescent="0.25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</row>
    <row r="5311" spans="1:12" ht="15" customHeight="1" x14ac:dyDescent="0.25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</row>
    <row r="5312" spans="1:12" ht="15" customHeight="1" x14ac:dyDescent="0.25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</row>
    <row r="5313" spans="1:12" ht="15" customHeight="1" x14ac:dyDescent="0.25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</row>
    <row r="5314" spans="1:12" ht="15" customHeight="1" x14ac:dyDescent="0.25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</row>
    <row r="5315" spans="1:12" ht="15" customHeight="1" x14ac:dyDescent="0.25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</row>
    <row r="5316" spans="1:12" ht="15" customHeight="1" x14ac:dyDescent="0.25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</row>
    <row r="5317" spans="1:12" ht="15" customHeight="1" x14ac:dyDescent="0.25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</row>
    <row r="5318" spans="1:12" ht="15" customHeight="1" x14ac:dyDescent="0.25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</row>
    <row r="5319" spans="1:12" ht="15" customHeight="1" x14ac:dyDescent="0.25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</row>
    <row r="5320" spans="1:12" ht="15" customHeight="1" x14ac:dyDescent="0.25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</row>
    <row r="5321" spans="1:12" ht="15" customHeight="1" x14ac:dyDescent="0.25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</row>
    <row r="5322" spans="1:12" ht="15" customHeight="1" x14ac:dyDescent="0.25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</row>
    <row r="5323" spans="1:12" ht="15" customHeight="1" x14ac:dyDescent="0.25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</row>
    <row r="5324" spans="1:12" ht="15" customHeight="1" x14ac:dyDescent="0.25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</row>
    <row r="5325" spans="1:12" ht="15" customHeight="1" x14ac:dyDescent="0.25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</row>
    <row r="5326" spans="1:12" ht="15" customHeight="1" x14ac:dyDescent="0.25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</row>
    <row r="5327" spans="1:12" ht="15" customHeight="1" x14ac:dyDescent="0.25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</row>
    <row r="5328" spans="1:12" ht="15" customHeight="1" x14ac:dyDescent="0.25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</row>
    <row r="5329" spans="1:12" ht="15" customHeight="1" x14ac:dyDescent="0.25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</row>
    <row r="5330" spans="1:12" ht="15" customHeight="1" x14ac:dyDescent="0.25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</row>
    <row r="5331" spans="1:12" ht="15" customHeight="1" x14ac:dyDescent="0.25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</row>
    <row r="5332" spans="1:12" ht="15" customHeight="1" x14ac:dyDescent="0.25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</row>
    <row r="5333" spans="1:12" ht="15" customHeight="1" x14ac:dyDescent="0.25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</row>
    <row r="5334" spans="1:12" ht="15" customHeight="1" x14ac:dyDescent="0.25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</row>
    <row r="5335" spans="1:12" ht="15" customHeight="1" x14ac:dyDescent="0.25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</row>
    <row r="5336" spans="1:12" ht="15" customHeight="1" x14ac:dyDescent="0.25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</row>
    <row r="5337" spans="1:12" ht="15" customHeight="1" x14ac:dyDescent="0.25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</row>
    <row r="5338" spans="1:12" ht="15" customHeight="1" x14ac:dyDescent="0.25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</row>
    <row r="5339" spans="1:12" ht="15" customHeight="1" x14ac:dyDescent="0.25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</row>
    <row r="5340" spans="1:12" ht="15" customHeight="1" x14ac:dyDescent="0.25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</row>
    <row r="5341" spans="1:12" ht="15" customHeight="1" x14ac:dyDescent="0.25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</row>
    <row r="5342" spans="1:12" ht="15" customHeight="1" x14ac:dyDescent="0.25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</row>
    <row r="5343" spans="1:12" ht="15" customHeight="1" x14ac:dyDescent="0.25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</row>
    <row r="5344" spans="1:12" ht="15" customHeight="1" x14ac:dyDescent="0.25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</row>
    <row r="5345" spans="1:12" ht="15" customHeight="1" x14ac:dyDescent="0.25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</row>
    <row r="5346" spans="1:12" ht="15" customHeight="1" x14ac:dyDescent="0.25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</row>
    <row r="5347" spans="1:12" ht="15" customHeight="1" x14ac:dyDescent="0.25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</row>
    <row r="5348" spans="1:12" ht="15" customHeight="1" x14ac:dyDescent="0.25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</row>
    <row r="5349" spans="1:12" ht="15" customHeight="1" x14ac:dyDescent="0.25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</row>
    <row r="5350" spans="1:12" ht="15" customHeight="1" x14ac:dyDescent="0.25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</row>
    <row r="5351" spans="1:12" ht="15" customHeight="1" x14ac:dyDescent="0.25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</row>
    <row r="5352" spans="1:12" ht="15" customHeight="1" x14ac:dyDescent="0.25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</row>
    <row r="5353" spans="1:12" ht="15" customHeight="1" x14ac:dyDescent="0.25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</row>
    <row r="5354" spans="1:12" ht="15" customHeight="1" x14ac:dyDescent="0.25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</row>
    <row r="5355" spans="1:12" ht="15" customHeight="1" x14ac:dyDescent="0.25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</row>
    <row r="5356" spans="1:12" ht="15" customHeight="1" x14ac:dyDescent="0.25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</row>
    <row r="5357" spans="1:12" ht="15" customHeight="1" x14ac:dyDescent="0.25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</row>
    <row r="5358" spans="1:12" ht="15" customHeight="1" x14ac:dyDescent="0.25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</row>
    <row r="5359" spans="1:12" ht="15" customHeight="1" x14ac:dyDescent="0.25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</row>
    <row r="5360" spans="1:12" ht="15" customHeight="1" x14ac:dyDescent="0.25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</row>
    <row r="5361" spans="1:12" ht="15" customHeight="1" x14ac:dyDescent="0.25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</row>
    <row r="5362" spans="1:12" ht="15" customHeight="1" x14ac:dyDescent="0.25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</row>
    <row r="5363" spans="1:12" ht="15" customHeight="1" x14ac:dyDescent="0.25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</row>
    <row r="5364" spans="1:12" ht="15" customHeight="1" x14ac:dyDescent="0.25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</row>
    <row r="5365" spans="1:12" ht="15" customHeight="1" x14ac:dyDescent="0.25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</row>
    <row r="5366" spans="1:12" ht="15" customHeight="1" x14ac:dyDescent="0.25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</row>
    <row r="5367" spans="1:12" ht="15" customHeight="1" x14ac:dyDescent="0.25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</row>
    <row r="5368" spans="1:12" ht="15" customHeight="1" x14ac:dyDescent="0.25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</row>
    <row r="5369" spans="1:12" ht="15" customHeight="1" x14ac:dyDescent="0.25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</row>
    <row r="5370" spans="1:12" ht="15" customHeight="1" x14ac:dyDescent="0.25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</row>
    <row r="5371" spans="1:12" ht="15" customHeight="1" x14ac:dyDescent="0.25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</row>
    <row r="5372" spans="1:12" ht="15" customHeight="1" x14ac:dyDescent="0.25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</row>
    <row r="5373" spans="1:12" ht="15" customHeight="1" x14ac:dyDescent="0.25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</row>
    <row r="5374" spans="1:12" ht="15" customHeight="1" x14ac:dyDescent="0.25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</row>
    <row r="5375" spans="1:12" ht="15" customHeight="1" x14ac:dyDescent="0.25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</row>
    <row r="5376" spans="1:12" ht="15" customHeight="1" x14ac:dyDescent="0.25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</row>
    <row r="5377" spans="1:12" ht="15" customHeight="1" x14ac:dyDescent="0.25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</row>
    <row r="5378" spans="1:12" ht="15" customHeight="1" x14ac:dyDescent="0.25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</row>
    <row r="5379" spans="1:12" ht="15" customHeight="1" x14ac:dyDescent="0.25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</row>
    <row r="5380" spans="1:12" ht="15" customHeight="1" x14ac:dyDescent="0.25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</row>
    <row r="5381" spans="1:12" ht="15" customHeight="1" x14ac:dyDescent="0.25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</row>
    <row r="5382" spans="1:12" ht="15" customHeight="1" x14ac:dyDescent="0.25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</row>
    <row r="5383" spans="1:12" ht="15" customHeight="1" x14ac:dyDescent="0.25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</row>
    <row r="5384" spans="1:12" ht="15" customHeight="1" x14ac:dyDescent="0.25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</row>
    <row r="5385" spans="1:12" ht="15" customHeight="1" x14ac:dyDescent="0.25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</row>
    <row r="5386" spans="1:12" ht="15" customHeight="1" x14ac:dyDescent="0.25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</row>
    <row r="5387" spans="1:12" ht="15" customHeight="1" x14ac:dyDescent="0.25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</row>
    <row r="5388" spans="1:12" ht="15" customHeight="1" x14ac:dyDescent="0.25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</row>
    <row r="5389" spans="1:12" ht="15" customHeight="1" x14ac:dyDescent="0.25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</row>
    <row r="5390" spans="1:12" ht="15" customHeight="1" x14ac:dyDescent="0.25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</row>
    <row r="5391" spans="1:12" ht="15" customHeight="1" x14ac:dyDescent="0.25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</row>
    <row r="5392" spans="1:12" ht="15" customHeight="1" x14ac:dyDescent="0.25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</row>
    <row r="5393" spans="1:12" ht="15" customHeight="1" x14ac:dyDescent="0.25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</row>
    <row r="5394" spans="1:12" ht="15" customHeight="1" x14ac:dyDescent="0.25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</row>
    <row r="5395" spans="1:12" ht="15" customHeight="1" x14ac:dyDescent="0.25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</row>
    <row r="5396" spans="1:12" ht="15" customHeight="1" x14ac:dyDescent="0.25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</row>
    <row r="5397" spans="1:12" ht="15" customHeight="1" x14ac:dyDescent="0.25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</row>
    <row r="5398" spans="1:12" ht="15" customHeight="1" x14ac:dyDescent="0.25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</row>
    <row r="5399" spans="1:12" ht="15" customHeight="1" x14ac:dyDescent="0.25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</row>
    <row r="5400" spans="1:12" ht="15" customHeight="1" x14ac:dyDescent="0.25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</row>
    <row r="5401" spans="1:12" ht="15" customHeight="1" x14ac:dyDescent="0.25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</row>
    <row r="5402" spans="1:12" ht="15" customHeight="1" x14ac:dyDescent="0.25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</row>
    <row r="5403" spans="1:12" ht="15" customHeight="1" x14ac:dyDescent="0.25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</row>
    <row r="5404" spans="1:12" ht="15" customHeight="1" x14ac:dyDescent="0.25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</row>
    <row r="5405" spans="1:12" ht="15" customHeight="1" x14ac:dyDescent="0.25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</row>
    <row r="5406" spans="1:12" ht="15" customHeight="1" x14ac:dyDescent="0.25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</row>
    <row r="5407" spans="1:12" ht="15" customHeight="1" x14ac:dyDescent="0.25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</row>
    <row r="5408" spans="1:12" ht="15" customHeight="1" x14ac:dyDescent="0.25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</row>
    <row r="5409" spans="1:12" ht="15" customHeight="1" x14ac:dyDescent="0.25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</row>
    <row r="5410" spans="1:12" ht="15" customHeight="1" x14ac:dyDescent="0.25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</row>
    <row r="5411" spans="1:12" ht="15" customHeight="1" x14ac:dyDescent="0.25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</row>
    <row r="5412" spans="1:12" ht="15" customHeight="1" x14ac:dyDescent="0.25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</row>
    <row r="5413" spans="1:12" ht="15" customHeight="1" x14ac:dyDescent="0.25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</row>
    <row r="5414" spans="1:12" ht="15" customHeight="1" x14ac:dyDescent="0.25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</row>
    <row r="5415" spans="1:12" ht="15" customHeight="1" x14ac:dyDescent="0.25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</row>
    <row r="5416" spans="1:12" ht="15" customHeight="1" x14ac:dyDescent="0.25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</row>
    <row r="5417" spans="1:12" ht="15" customHeight="1" x14ac:dyDescent="0.25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</row>
    <row r="5418" spans="1:12" ht="15" customHeight="1" x14ac:dyDescent="0.25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</row>
    <row r="5419" spans="1:12" ht="15" customHeight="1" x14ac:dyDescent="0.25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</row>
    <row r="5420" spans="1:12" ht="15" customHeight="1" x14ac:dyDescent="0.25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</row>
    <row r="5421" spans="1:12" ht="15" customHeight="1" x14ac:dyDescent="0.25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</row>
    <row r="5422" spans="1:12" ht="15" customHeight="1" x14ac:dyDescent="0.25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</row>
    <row r="5423" spans="1:12" ht="15" customHeight="1" x14ac:dyDescent="0.25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</row>
    <row r="5424" spans="1:12" ht="15" customHeight="1" x14ac:dyDescent="0.25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</row>
    <row r="5425" spans="1:12" ht="15" customHeight="1" x14ac:dyDescent="0.25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</row>
    <row r="5426" spans="1:12" ht="15" customHeight="1" x14ac:dyDescent="0.25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</row>
    <row r="5427" spans="1:12" ht="15" customHeight="1" x14ac:dyDescent="0.25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</row>
    <row r="5428" spans="1:12" ht="15" customHeight="1" x14ac:dyDescent="0.25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</row>
    <row r="5429" spans="1:12" ht="15" customHeight="1" x14ac:dyDescent="0.25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</row>
    <row r="5430" spans="1:12" ht="15" customHeight="1" x14ac:dyDescent="0.25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</row>
    <row r="5431" spans="1:12" ht="15" customHeight="1" x14ac:dyDescent="0.25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</row>
    <row r="5432" spans="1:12" ht="15" customHeight="1" x14ac:dyDescent="0.25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</row>
    <row r="5433" spans="1:12" ht="15" customHeight="1" x14ac:dyDescent="0.25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</row>
    <row r="5434" spans="1:12" ht="15" customHeight="1" x14ac:dyDescent="0.25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</row>
    <row r="5435" spans="1:12" ht="15" customHeight="1" x14ac:dyDescent="0.25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</row>
    <row r="5436" spans="1:12" ht="15" customHeight="1" x14ac:dyDescent="0.25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</row>
    <row r="5437" spans="1:12" ht="15" customHeight="1" x14ac:dyDescent="0.25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</row>
    <row r="5438" spans="1:12" ht="15" customHeight="1" x14ac:dyDescent="0.25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</row>
    <row r="5439" spans="1:12" ht="15" customHeight="1" x14ac:dyDescent="0.25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</row>
    <row r="5440" spans="1:12" ht="15" customHeight="1" x14ac:dyDescent="0.25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</row>
    <row r="5441" spans="1:12" ht="15" customHeight="1" x14ac:dyDescent="0.25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</row>
    <row r="5442" spans="1:12" ht="15" customHeight="1" x14ac:dyDescent="0.25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</row>
    <row r="5443" spans="1:12" ht="15" customHeight="1" x14ac:dyDescent="0.25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</row>
    <row r="5444" spans="1:12" ht="15" customHeight="1" x14ac:dyDescent="0.25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</row>
    <row r="5445" spans="1:12" ht="15" customHeight="1" x14ac:dyDescent="0.25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</row>
    <row r="5446" spans="1:12" ht="15" customHeight="1" x14ac:dyDescent="0.25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</row>
    <row r="5447" spans="1:12" ht="15" customHeight="1" x14ac:dyDescent="0.25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</row>
    <row r="5448" spans="1:12" ht="15" customHeight="1" x14ac:dyDescent="0.25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</row>
    <row r="5449" spans="1:12" ht="15" customHeight="1" x14ac:dyDescent="0.25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</row>
    <row r="5450" spans="1:12" ht="15" customHeight="1" x14ac:dyDescent="0.25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</row>
    <row r="5451" spans="1:12" ht="15" customHeight="1" x14ac:dyDescent="0.25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</row>
    <row r="5452" spans="1:12" ht="15" customHeight="1" x14ac:dyDescent="0.25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</row>
    <row r="5453" spans="1:12" ht="15" customHeight="1" x14ac:dyDescent="0.25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</row>
    <row r="5454" spans="1:12" ht="15" customHeight="1" x14ac:dyDescent="0.25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</row>
    <row r="5455" spans="1:12" ht="15" customHeight="1" x14ac:dyDescent="0.25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</row>
    <row r="5456" spans="1:12" ht="15" customHeight="1" x14ac:dyDescent="0.25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</row>
    <row r="5457" spans="1:12" ht="15" customHeight="1" x14ac:dyDescent="0.25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</row>
    <row r="5458" spans="1:12" ht="15" customHeight="1" x14ac:dyDescent="0.25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</row>
    <row r="5459" spans="1:12" ht="15" customHeight="1" x14ac:dyDescent="0.25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</row>
    <row r="5460" spans="1:12" ht="15" customHeight="1" x14ac:dyDescent="0.25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</row>
    <row r="5461" spans="1:12" ht="15" customHeight="1" x14ac:dyDescent="0.25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</row>
    <row r="5462" spans="1:12" ht="15" customHeight="1" x14ac:dyDescent="0.25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</row>
    <row r="5463" spans="1:12" ht="15" customHeight="1" x14ac:dyDescent="0.25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</row>
    <row r="5464" spans="1:12" ht="15" customHeight="1" x14ac:dyDescent="0.25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</row>
    <row r="5465" spans="1:12" ht="15" customHeight="1" x14ac:dyDescent="0.25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</row>
    <row r="5466" spans="1:12" ht="15" customHeight="1" x14ac:dyDescent="0.25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</row>
    <row r="5467" spans="1:12" ht="15" customHeight="1" x14ac:dyDescent="0.25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</row>
    <row r="5468" spans="1:12" ht="15" customHeight="1" x14ac:dyDescent="0.25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</row>
    <row r="5469" spans="1:12" ht="15" customHeight="1" x14ac:dyDescent="0.25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</row>
    <row r="5470" spans="1:12" ht="15" customHeight="1" x14ac:dyDescent="0.25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</row>
    <row r="5471" spans="1:12" ht="15" customHeight="1" x14ac:dyDescent="0.25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</row>
    <row r="5472" spans="1:12" ht="15" customHeight="1" x14ac:dyDescent="0.25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</row>
    <row r="5473" spans="1:12" ht="15" customHeight="1" x14ac:dyDescent="0.25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</row>
    <row r="5474" spans="1:12" ht="15" customHeight="1" x14ac:dyDescent="0.25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</row>
    <row r="5475" spans="1:12" ht="15" customHeight="1" x14ac:dyDescent="0.25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</row>
    <row r="5476" spans="1:12" ht="15" customHeight="1" x14ac:dyDescent="0.25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</row>
    <row r="5477" spans="1:12" ht="15" customHeight="1" x14ac:dyDescent="0.25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</row>
    <row r="5478" spans="1:12" ht="15" customHeight="1" x14ac:dyDescent="0.25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</row>
    <row r="5479" spans="1:12" ht="15" customHeight="1" x14ac:dyDescent="0.25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</row>
    <row r="5480" spans="1:12" ht="15" customHeight="1" x14ac:dyDescent="0.25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</row>
    <row r="5481" spans="1:12" ht="15" customHeight="1" x14ac:dyDescent="0.25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</row>
    <row r="5482" spans="1:12" ht="15" customHeight="1" x14ac:dyDescent="0.25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</row>
    <row r="5483" spans="1:12" ht="15" customHeight="1" x14ac:dyDescent="0.25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</row>
    <row r="5484" spans="1:12" ht="15" customHeight="1" x14ac:dyDescent="0.25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</row>
    <row r="5485" spans="1:12" ht="15" customHeight="1" x14ac:dyDescent="0.25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</row>
    <row r="5486" spans="1:12" ht="15" customHeight="1" x14ac:dyDescent="0.25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</row>
    <row r="5487" spans="1:12" ht="15" customHeight="1" x14ac:dyDescent="0.25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</row>
    <row r="5488" spans="1:12" ht="15" customHeight="1" x14ac:dyDescent="0.25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</row>
    <row r="5489" spans="1:12" ht="15" customHeight="1" x14ac:dyDescent="0.25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</row>
    <row r="5490" spans="1:12" ht="15" customHeight="1" x14ac:dyDescent="0.25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</row>
    <row r="5491" spans="1:12" ht="15" customHeight="1" x14ac:dyDescent="0.25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</row>
    <row r="5492" spans="1:12" ht="15" customHeight="1" x14ac:dyDescent="0.25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</row>
    <row r="5493" spans="1:12" ht="15" customHeight="1" x14ac:dyDescent="0.25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</row>
    <row r="5494" spans="1:12" ht="15" customHeight="1" x14ac:dyDescent="0.25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</row>
    <row r="5495" spans="1:12" ht="15" customHeight="1" x14ac:dyDescent="0.25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</row>
    <row r="5496" spans="1:12" ht="15" customHeight="1" x14ac:dyDescent="0.25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</row>
    <row r="5497" spans="1:12" ht="15" customHeight="1" x14ac:dyDescent="0.25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</row>
    <row r="5498" spans="1:12" ht="15" customHeight="1" x14ac:dyDescent="0.25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</row>
    <row r="5499" spans="1:12" ht="15" customHeight="1" x14ac:dyDescent="0.25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</row>
    <row r="5500" spans="1:12" ht="15" customHeight="1" x14ac:dyDescent="0.25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</row>
    <row r="5501" spans="1:12" ht="15" customHeight="1" x14ac:dyDescent="0.25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</row>
    <row r="5502" spans="1:12" ht="15" customHeight="1" x14ac:dyDescent="0.25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</row>
    <row r="5503" spans="1:12" ht="15" customHeight="1" x14ac:dyDescent="0.25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</row>
    <row r="5504" spans="1:12" ht="15" customHeight="1" x14ac:dyDescent="0.25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</row>
    <row r="5505" spans="1:12" ht="15" customHeight="1" x14ac:dyDescent="0.25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</row>
    <row r="5506" spans="1:12" ht="15" customHeight="1" x14ac:dyDescent="0.25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</row>
    <row r="5507" spans="1:12" ht="15" customHeight="1" x14ac:dyDescent="0.25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</row>
    <row r="5508" spans="1:12" ht="15" customHeight="1" x14ac:dyDescent="0.25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</row>
    <row r="5509" spans="1:12" ht="15" customHeight="1" x14ac:dyDescent="0.25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</row>
    <row r="5510" spans="1:12" ht="15" customHeight="1" x14ac:dyDescent="0.25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</row>
    <row r="5511" spans="1:12" ht="15" customHeight="1" x14ac:dyDescent="0.25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</row>
    <row r="5512" spans="1:12" ht="15" customHeight="1" x14ac:dyDescent="0.25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</row>
    <row r="5513" spans="1:12" ht="15" customHeight="1" x14ac:dyDescent="0.25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</row>
    <row r="5514" spans="1:12" ht="15" customHeight="1" x14ac:dyDescent="0.25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</row>
    <row r="5515" spans="1:12" ht="15" customHeight="1" x14ac:dyDescent="0.25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</row>
    <row r="5516" spans="1:12" ht="15" customHeight="1" x14ac:dyDescent="0.25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</row>
    <row r="5517" spans="1:12" ht="15" customHeight="1" x14ac:dyDescent="0.25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</row>
    <row r="5518" spans="1:12" ht="15" customHeight="1" x14ac:dyDescent="0.25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</row>
    <row r="5519" spans="1:12" ht="15" customHeight="1" x14ac:dyDescent="0.25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</row>
    <row r="5520" spans="1:12" ht="15" customHeight="1" x14ac:dyDescent="0.25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</row>
    <row r="5521" spans="1:12" ht="15" customHeight="1" x14ac:dyDescent="0.25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</row>
    <row r="5522" spans="1:12" ht="15" customHeight="1" x14ac:dyDescent="0.25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</row>
    <row r="5523" spans="1:12" ht="15" customHeight="1" x14ac:dyDescent="0.25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</row>
    <row r="5524" spans="1:12" ht="15" customHeight="1" x14ac:dyDescent="0.25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</row>
    <row r="5525" spans="1:12" ht="15" customHeight="1" x14ac:dyDescent="0.25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</row>
    <row r="5526" spans="1:12" ht="15" customHeight="1" x14ac:dyDescent="0.25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</row>
    <row r="5527" spans="1:12" ht="15" customHeight="1" x14ac:dyDescent="0.25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</row>
    <row r="5528" spans="1:12" ht="15" customHeight="1" x14ac:dyDescent="0.25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</row>
    <row r="5529" spans="1:12" ht="15" customHeight="1" x14ac:dyDescent="0.25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</row>
    <row r="5530" spans="1:12" ht="15" customHeight="1" x14ac:dyDescent="0.25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</row>
    <row r="5531" spans="1:12" ht="15" customHeight="1" x14ac:dyDescent="0.25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</row>
    <row r="5532" spans="1:12" ht="15" customHeight="1" x14ac:dyDescent="0.25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</row>
    <row r="5533" spans="1:12" ht="15" customHeight="1" x14ac:dyDescent="0.25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</row>
    <row r="5534" spans="1:12" ht="15" customHeight="1" x14ac:dyDescent="0.25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</row>
    <row r="5535" spans="1:12" ht="15" customHeight="1" x14ac:dyDescent="0.25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</row>
    <row r="5536" spans="1:12" ht="15" customHeight="1" x14ac:dyDescent="0.25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</row>
    <row r="5537" spans="1:12" ht="15" customHeight="1" x14ac:dyDescent="0.25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</row>
    <row r="5538" spans="1:12" ht="15" customHeight="1" x14ac:dyDescent="0.25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</row>
    <row r="5539" spans="1:12" ht="15" customHeight="1" x14ac:dyDescent="0.25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</row>
    <row r="5540" spans="1:12" ht="15" customHeight="1" x14ac:dyDescent="0.25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</row>
    <row r="5541" spans="1:12" ht="15" customHeight="1" x14ac:dyDescent="0.25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</row>
    <row r="5542" spans="1:12" ht="15" customHeight="1" x14ac:dyDescent="0.25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</row>
    <row r="5543" spans="1:12" ht="15" customHeight="1" x14ac:dyDescent="0.25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</row>
    <row r="5544" spans="1:12" ht="15" customHeight="1" x14ac:dyDescent="0.25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</row>
    <row r="5545" spans="1:12" ht="15" customHeight="1" x14ac:dyDescent="0.25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</row>
    <row r="5546" spans="1:12" ht="15" customHeight="1" x14ac:dyDescent="0.25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</row>
    <row r="5547" spans="1:12" ht="15" customHeight="1" x14ac:dyDescent="0.25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</row>
    <row r="5548" spans="1:12" ht="15" customHeight="1" x14ac:dyDescent="0.25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</row>
    <row r="5549" spans="1:12" ht="15" customHeight="1" x14ac:dyDescent="0.25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</row>
    <row r="5550" spans="1:12" ht="15" customHeight="1" x14ac:dyDescent="0.25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</row>
    <row r="5551" spans="1:12" ht="15" customHeight="1" x14ac:dyDescent="0.25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</row>
    <row r="5552" spans="1:12" ht="15" customHeight="1" x14ac:dyDescent="0.25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</row>
    <row r="5553" spans="1:12" ht="15" customHeight="1" x14ac:dyDescent="0.25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</row>
    <row r="5554" spans="1:12" ht="15" customHeight="1" x14ac:dyDescent="0.25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</row>
    <row r="5555" spans="1:12" ht="15" customHeight="1" x14ac:dyDescent="0.25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</row>
    <row r="5556" spans="1:12" ht="15" customHeight="1" x14ac:dyDescent="0.25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</row>
    <row r="5557" spans="1:12" ht="15" customHeight="1" x14ac:dyDescent="0.25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</row>
    <row r="5558" spans="1:12" ht="15" customHeight="1" x14ac:dyDescent="0.25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</row>
    <row r="5559" spans="1:12" ht="15" customHeight="1" x14ac:dyDescent="0.25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</row>
    <row r="5560" spans="1:12" ht="15" customHeight="1" x14ac:dyDescent="0.25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</row>
    <row r="5561" spans="1:12" ht="15" customHeight="1" x14ac:dyDescent="0.25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</row>
    <row r="5562" spans="1:12" ht="15" customHeight="1" x14ac:dyDescent="0.25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</row>
    <row r="5563" spans="1:12" ht="15" customHeight="1" x14ac:dyDescent="0.25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</row>
    <row r="5564" spans="1:12" ht="15" customHeight="1" x14ac:dyDescent="0.25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</row>
    <row r="5565" spans="1:12" ht="15" customHeight="1" x14ac:dyDescent="0.25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</row>
    <row r="5566" spans="1:12" ht="15" customHeight="1" x14ac:dyDescent="0.25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</row>
    <row r="5567" spans="1:12" ht="15" customHeight="1" x14ac:dyDescent="0.25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</row>
    <row r="5568" spans="1:12" ht="15" customHeight="1" x14ac:dyDescent="0.25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</row>
    <row r="5569" spans="1:12" ht="15" customHeight="1" x14ac:dyDescent="0.25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</row>
    <row r="5570" spans="1:12" ht="15" customHeight="1" x14ac:dyDescent="0.25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</row>
    <row r="5571" spans="1:12" ht="15" customHeight="1" x14ac:dyDescent="0.25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</row>
    <row r="5572" spans="1:12" ht="15" customHeight="1" x14ac:dyDescent="0.25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</row>
    <row r="5573" spans="1:12" ht="15" customHeight="1" x14ac:dyDescent="0.25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</row>
    <row r="5574" spans="1:12" ht="15" customHeight="1" x14ac:dyDescent="0.25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</row>
    <row r="5575" spans="1:12" ht="15" customHeight="1" x14ac:dyDescent="0.25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</row>
    <row r="5576" spans="1:12" ht="15" customHeight="1" x14ac:dyDescent="0.25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</row>
    <row r="5577" spans="1:12" ht="15" customHeight="1" x14ac:dyDescent="0.25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</row>
    <row r="5578" spans="1:12" ht="15" customHeight="1" x14ac:dyDescent="0.25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</row>
    <row r="5579" spans="1:12" ht="15" customHeight="1" x14ac:dyDescent="0.25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</row>
    <row r="5580" spans="1:12" ht="15" customHeight="1" x14ac:dyDescent="0.25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</row>
    <row r="5581" spans="1:12" ht="15" customHeight="1" x14ac:dyDescent="0.25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</row>
    <row r="5582" spans="1:12" ht="15" customHeight="1" x14ac:dyDescent="0.25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</row>
    <row r="5583" spans="1:12" ht="15" customHeight="1" x14ac:dyDescent="0.25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</row>
    <row r="5584" spans="1:12" ht="15" customHeight="1" x14ac:dyDescent="0.25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</row>
    <row r="5585" spans="1:12" ht="15" customHeight="1" x14ac:dyDescent="0.25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</row>
    <row r="5586" spans="1:12" ht="15" customHeight="1" x14ac:dyDescent="0.25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</row>
    <row r="5587" spans="1:12" ht="15" customHeight="1" x14ac:dyDescent="0.25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</row>
    <row r="5588" spans="1:12" ht="15" customHeight="1" x14ac:dyDescent="0.25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</row>
    <row r="5589" spans="1:12" ht="15" customHeight="1" x14ac:dyDescent="0.25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</row>
    <row r="5590" spans="1:12" ht="15" customHeight="1" x14ac:dyDescent="0.25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</row>
    <row r="5591" spans="1:12" ht="15" customHeight="1" x14ac:dyDescent="0.25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</row>
    <row r="5592" spans="1:12" ht="15" customHeight="1" x14ac:dyDescent="0.25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</row>
    <row r="5593" spans="1:12" ht="15" customHeight="1" x14ac:dyDescent="0.25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</row>
    <row r="5594" spans="1:12" ht="15" customHeight="1" x14ac:dyDescent="0.25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</row>
    <row r="5595" spans="1:12" ht="15" customHeight="1" x14ac:dyDescent="0.25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</row>
    <row r="5596" spans="1:12" ht="15" customHeight="1" x14ac:dyDescent="0.25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</row>
    <row r="5597" spans="1:12" ht="15" customHeight="1" x14ac:dyDescent="0.25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</row>
    <row r="5598" spans="1:12" ht="15" customHeight="1" x14ac:dyDescent="0.25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</row>
    <row r="5599" spans="1:12" ht="15" customHeight="1" x14ac:dyDescent="0.25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</row>
    <row r="5600" spans="1:12" ht="15" customHeight="1" x14ac:dyDescent="0.25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</row>
    <row r="5601" spans="1:12" ht="15" customHeight="1" x14ac:dyDescent="0.25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</row>
    <row r="5602" spans="1:12" ht="15" customHeight="1" x14ac:dyDescent="0.25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</row>
    <row r="5603" spans="1:12" ht="15" customHeight="1" x14ac:dyDescent="0.25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</row>
    <row r="5604" spans="1:12" ht="15" customHeight="1" x14ac:dyDescent="0.25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</row>
    <row r="5605" spans="1:12" ht="15" customHeight="1" x14ac:dyDescent="0.25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</row>
    <row r="5606" spans="1:12" ht="15" customHeight="1" x14ac:dyDescent="0.25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</row>
    <row r="5607" spans="1:12" ht="15" customHeight="1" x14ac:dyDescent="0.25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</row>
    <row r="5608" spans="1:12" ht="15" customHeight="1" x14ac:dyDescent="0.25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</row>
    <row r="5609" spans="1:12" ht="15" customHeight="1" x14ac:dyDescent="0.25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</row>
    <row r="5610" spans="1:12" ht="15" customHeight="1" x14ac:dyDescent="0.25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</row>
    <row r="5611" spans="1:12" ht="15" customHeight="1" x14ac:dyDescent="0.25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</row>
    <row r="5612" spans="1:12" ht="15" customHeight="1" x14ac:dyDescent="0.25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</row>
    <row r="5613" spans="1:12" ht="15" customHeight="1" x14ac:dyDescent="0.25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</row>
    <row r="5614" spans="1:12" ht="15" customHeight="1" x14ac:dyDescent="0.25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</row>
    <row r="5615" spans="1:12" ht="15" customHeight="1" x14ac:dyDescent="0.25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</row>
    <row r="5616" spans="1:12" ht="15" customHeight="1" x14ac:dyDescent="0.25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</row>
    <row r="5617" spans="1:12" ht="15" customHeight="1" x14ac:dyDescent="0.25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</row>
    <row r="5618" spans="1:12" ht="15" customHeight="1" x14ac:dyDescent="0.25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</row>
    <row r="5619" spans="1:12" ht="15" customHeight="1" x14ac:dyDescent="0.25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</row>
    <row r="5620" spans="1:12" ht="15" customHeight="1" x14ac:dyDescent="0.25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</row>
    <row r="5621" spans="1:12" ht="15" customHeight="1" x14ac:dyDescent="0.25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</row>
    <row r="5622" spans="1:12" ht="15" customHeight="1" x14ac:dyDescent="0.25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</row>
    <row r="5623" spans="1:12" ht="15" customHeight="1" x14ac:dyDescent="0.25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</row>
    <row r="5624" spans="1:12" ht="15" customHeight="1" x14ac:dyDescent="0.25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</row>
    <row r="5625" spans="1:12" ht="15" customHeight="1" x14ac:dyDescent="0.25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</row>
    <row r="5626" spans="1:12" ht="15" customHeight="1" x14ac:dyDescent="0.25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</row>
    <row r="5627" spans="1:12" ht="15" customHeight="1" x14ac:dyDescent="0.25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</row>
    <row r="5628" spans="1:12" ht="15" customHeight="1" x14ac:dyDescent="0.25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</row>
    <row r="5629" spans="1:12" ht="15" customHeight="1" x14ac:dyDescent="0.25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</row>
    <row r="5630" spans="1:12" ht="15" customHeight="1" x14ac:dyDescent="0.25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</row>
    <row r="5631" spans="1:12" ht="15" customHeight="1" x14ac:dyDescent="0.25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</row>
    <row r="5632" spans="1:12" ht="15" customHeight="1" x14ac:dyDescent="0.25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</row>
    <row r="5633" spans="1:12" ht="15" customHeight="1" x14ac:dyDescent="0.25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</row>
    <row r="5634" spans="1:12" ht="15" customHeight="1" x14ac:dyDescent="0.25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</row>
    <row r="5635" spans="1:12" ht="15" customHeight="1" x14ac:dyDescent="0.25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</row>
    <row r="5636" spans="1:12" ht="15" customHeight="1" x14ac:dyDescent="0.25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</row>
    <row r="5637" spans="1:12" ht="15" customHeight="1" x14ac:dyDescent="0.25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</row>
    <row r="5638" spans="1:12" ht="15" customHeight="1" x14ac:dyDescent="0.25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</row>
    <row r="5639" spans="1:12" ht="15" customHeight="1" x14ac:dyDescent="0.25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</row>
    <row r="5640" spans="1:12" ht="15" customHeight="1" x14ac:dyDescent="0.25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</row>
    <row r="5641" spans="1:12" ht="15" customHeight="1" x14ac:dyDescent="0.25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</row>
    <row r="5642" spans="1:12" ht="15" customHeight="1" x14ac:dyDescent="0.25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</row>
    <row r="5643" spans="1:12" ht="15" customHeight="1" x14ac:dyDescent="0.25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</row>
    <row r="5644" spans="1:12" ht="15" customHeight="1" x14ac:dyDescent="0.25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</row>
    <row r="5645" spans="1:12" ht="15" customHeight="1" x14ac:dyDescent="0.25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</row>
    <row r="5646" spans="1:12" ht="15" customHeight="1" x14ac:dyDescent="0.25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</row>
    <row r="5647" spans="1:12" ht="15" customHeight="1" x14ac:dyDescent="0.25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</row>
    <row r="5648" spans="1:12" ht="15" customHeight="1" x14ac:dyDescent="0.25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</row>
    <row r="5649" spans="1:12" ht="15" customHeight="1" x14ac:dyDescent="0.25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</row>
    <row r="5650" spans="1:12" ht="15" customHeight="1" x14ac:dyDescent="0.25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</row>
    <row r="5651" spans="1:12" ht="15" customHeight="1" x14ac:dyDescent="0.25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</row>
    <row r="5652" spans="1:12" ht="15" customHeight="1" x14ac:dyDescent="0.25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</row>
    <row r="5653" spans="1:12" ht="15" customHeight="1" x14ac:dyDescent="0.25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</row>
    <row r="5654" spans="1:12" ht="15" customHeight="1" x14ac:dyDescent="0.25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</row>
    <row r="5655" spans="1:12" ht="15" customHeight="1" x14ac:dyDescent="0.25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</row>
    <row r="5656" spans="1:12" ht="15" customHeight="1" x14ac:dyDescent="0.25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</row>
    <row r="5657" spans="1:12" ht="15" customHeight="1" x14ac:dyDescent="0.25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</row>
    <row r="5658" spans="1:12" ht="15" customHeight="1" x14ac:dyDescent="0.25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</row>
    <row r="5659" spans="1:12" ht="15" customHeight="1" x14ac:dyDescent="0.25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</row>
    <row r="5660" spans="1:12" ht="15" customHeight="1" x14ac:dyDescent="0.25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</row>
    <row r="5661" spans="1:12" ht="15" customHeight="1" x14ac:dyDescent="0.25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</row>
    <row r="5662" spans="1:12" ht="15" customHeight="1" x14ac:dyDescent="0.25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</row>
    <row r="5663" spans="1:12" ht="15" customHeight="1" x14ac:dyDescent="0.25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</row>
    <row r="5664" spans="1:12" ht="15" customHeight="1" x14ac:dyDescent="0.25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</row>
    <row r="5665" spans="1:12" ht="15" customHeight="1" x14ac:dyDescent="0.25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</row>
    <row r="5666" spans="1:12" ht="15" customHeight="1" x14ac:dyDescent="0.25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</row>
    <row r="5667" spans="1:12" ht="15" customHeight="1" x14ac:dyDescent="0.25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</row>
    <row r="5668" spans="1:12" ht="15" customHeight="1" x14ac:dyDescent="0.25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</row>
    <row r="5669" spans="1:12" ht="15" customHeight="1" x14ac:dyDescent="0.25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</row>
    <row r="5670" spans="1:12" ht="15" customHeight="1" x14ac:dyDescent="0.25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</row>
    <row r="5671" spans="1:12" ht="15" customHeight="1" x14ac:dyDescent="0.25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</row>
    <row r="5672" spans="1:12" ht="15" customHeight="1" x14ac:dyDescent="0.25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</row>
    <row r="5673" spans="1:12" ht="15" customHeight="1" x14ac:dyDescent="0.25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</row>
    <row r="5674" spans="1:12" ht="15" customHeight="1" x14ac:dyDescent="0.25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</row>
    <row r="5675" spans="1:12" ht="15" customHeight="1" x14ac:dyDescent="0.25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</row>
    <row r="5676" spans="1:12" ht="15" customHeight="1" x14ac:dyDescent="0.25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</row>
    <row r="5677" spans="1:12" ht="15" customHeight="1" x14ac:dyDescent="0.25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</row>
    <row r="5678" spans="1:12" ht="15" customHeight="1" x14ac:dyDescent="0.25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</row>
    <row r="5679" spans="1:12" ht="15" customHeight="1" x14ac:dyDescent="0.25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</row>
    <row r="5680" spans="1:12" ht="15" customHeight="1" x14ac:dyDescent="0.25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</row>
    <row r="5681" spans="1:12" ht="15" customHeight="1" x14ac:dyDescent="0.25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</row>
    <row r="5682" spans="1:12" ht="15" customHeight="1" x14ac:dyDescent="0.25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</row>
    <row r="5683" spans="1:12" ht="15" customHeight="1" x14ac:dyDescent="0.25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</row>
    <row r="5684" spans="1:12" ht="15" customHeight="1" x14ac:dyDescent="0.25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</row>
    <row r="5685" spans="1:12" ht="15" customHeight="1" x14ac:dyDescent="0.25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</row>
    <row r="5686" spans="1:12" ht="15" customHeight="1" x14ac:dyDescent="0.25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</row>
    <row r="5687" spans="1:12" ht="15" customHeight="1" x14ac:dyDescent="0.25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</row>
    <row r="5688" spans="1:12" ht="15" customHeight="1" x14ac:dyDescent="0.25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</row>
    <row r="5689" spans="1:12" ht="15" customHeight="1" x14ac:dyDescent="0.25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</row>
    <row r="5690" spans="1:12" ht="15" customHeight="1" x14ac:dyDescent="0.25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</row>
    <row r="5691" spans="1:12" ht="15" customHeight="1" x14ac:dyDescent="0.25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</row>
    <row r="5692" spans="1:12" ht="15" customHeight="1" x14ac:dyDescent="0.25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</row>
    <row r="5693" spans="1:12" ht="15" customHeight="1" x14ac:dyDescent="0.25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</row>
    <row r="5694" spans="1:12" ht="15" customHeight="1" x14ac:dyDescent="0.25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</row>
    <row r="5695" spans="1:12" ht="15" customHeight="1" x14ac:dyDescent="0.25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</row>
    <row r="5696" spans="1:12" ht="15" customHeight="1" x14ac:dyDescent="0.25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</row>
    <row r="5697" spans="1:12" ht="15" customHeight="1" x14ac:dyDescent="0.25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</row>
    <row r="5698" spans="1:12" ht="15" customHeight="1" x14ac:dyDescent="0.25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</row>
    <row r="5699" spans="1:12" ht="15" customHeight="1" x14ac:dyDescent="0.25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</row>
    <row r="5700" spans="1:12" ht="15" customHeight="1" x14ac:dyDescent="0.25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</row>
    <row r="5701" spans="1:12" ht="15" customHeight="1" x14ac:dyDescent="0.25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</row>
    <row r="5702" spans="1:12" ht="15" customHeight="1" x14ac:dyDescent="0.25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</row>
    <row r="5703" spans="1:12" ht="15" customHeight="1" x14ac:dyDescent="0.25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</row>
    <row r="5704" spans="1:12" ht="15" customHeight="1" x14ac:dyDescent="0.25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</row>
    <row r="5705" spans="1:12" ht="15" customHeight="1" x14ac:dyDescent="0.25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</row>
    <row r="5706" spans="1:12" ht="15" customHeight="1" x14ac:dyDescent="0.25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</row>
    <row r="5707" spans="1:12" ht="15" customHeight="1" x14ac:dyDescent="0.25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</row>
    <row r="5708" spans="1:12" ht="15" customHeight="1" x14ac:dyDescent="0.25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</row>
    <row r="5709" spans="1:12" ht="15" customHeight="1" x14ac:dyDescent="0.25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</row>
    <row r="5710" spans="1:12" ht="15" customHeight="1" x14ac:dyDescent="0.25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</row>
    <row r="5711" spans="1:12" ht="15" customHeight="1" x14ac:dyDescent="0.25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</row>
    <row r="5712" spans="1:12" ht="15" customHeight="1" x14ac:dyDescent="0.25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</row>
    <row r="5713" spans="1:12" ht="15" customHeight="1" x14ac:dyDescent="0.25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</row>
    <row r="5714" spans="1:12" ht="15" customHeight="1" x14ac:dyDescent="0.25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</row>
    <row r="5715" spans="1:12" ht="15" customHeight="1" x14ac:dyDescent="0.25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</row>
    <row r="5716" spans="1:12" ht="15" customHeight="1" x14ac:dyDescent="0.25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</row>
    <row r="5717" spans="1:12" ht="15" customHeight="1" x14ac:dyDescent="0.25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</row>
    <row r="5718" spans="1:12" ht="15" customHeight="1" x14ac:dyDescent="0.25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</row>
    <row r="5719" spans="1:12" ht="15" customHeight="1" x14ac:dyDescent="0.25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</row>
    <row r="5720" spans="1:12" ht="15" customHeight="1" x14ac:dyDescent="0.25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</row>
    <row r="5721" spans="1:12" ht="15" customHeight="1" x14ac:dyDescent="0.25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</row>
    <row r="5722" spans="1:12" ht="15" customHeight="1" x14ac:dyDescent="0.25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</row>
    <row r="5723" spans="1:12" ht="15" customHeight="1" x14ac:dyDescent="0.25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</row>
    <row r="5724" spans="1:12" ht="15" customHeight="1" x14ac:dyDescent="0.25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</row>
    <row r="5725" spans="1:12" ht="15" customHeight="1" x14ac:dyDescent="0.25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</row>
    <row r="5726" spans="1:12" ht="15" customHeight="1" x14ac:dyDescent="0.25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</row>
    <row r="5727" spans="1:12" ht="15" customHeight="1" x14ac:dyDescent="0.25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</row>
    <row r="5728" spans="1:12" ht="15" customHeight="1" x14ac:dyDescent="0.25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</row>
    <row r="5729" spans="1:12" ht="15" customHeight="1" x14ac:dyDescent="0.25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</row>
    <row r="5730" spans="1:12" ht="15" customHeight="1" x14ac:dyDescent="0.25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</row>
    <row r="5731" spans="1:12" ht="15" customHeight="1" x14ac:dyDescent="0.25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</row>
    <row r="5732" spans="1:12" ht="15" customHeight="1" x14ac:dyDescent="0.25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</row>
    <row r="5733" spans="1:12" ht="15" customHeight="1" x14ac:dyDescent="0.25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</row>
    <row r="5734" spans="1:12" ht="15" customHeight="1" x14ac:dyDescent="0.25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</row>
    <row r="5735" spans="1:12" ht="15" customHeight="1" x14ac:dyDescent="0.25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</row>
    <row r="5736" spans="1:12" ht="15" customHeight="1" x14ac:dyDescent="0.25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</row>
    <row r="5737" spans="1:12" ht="15" customHeight="1" x14ac:dyDescent="0.25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</row>
    <row r="5738" spans="1:12" ht="15" customHeight="1" x14ac:dyDescent="0.25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</row>
    <row r="5739" spans="1:12" ht="15" customHeight="1" x14ac:dyDescent="0.25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</row>
    <row r="5740" spans="1:12" ht="15" customHeight="1" x14ac:dyDescent="0.25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</row>
    <row r="5741" spans="1:12" ht="15" customHeight="1" x14ac:dyDescent="0.25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</row>
    <row r="5742" spans="1:12" ht="15" customHeight="1" x14ac:dyDescent="0.25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</row>
    <row r="5743" spans="1:12" ht="15" customHeight="1" x14ac:dyDescent="0.25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</row>
    <row r="5744" spans="1:12" ht="15" customHeight="1" x14ac:dyDescent="0.25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</row>
    <row r="5745" spans="1:12" ht="15" customHeight="1" x14ac:dyDescent="0.25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</row>
    <row r="5746" spans="1:12" ht="15" customHeight="1" x14ac:dyDescent="0.25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</row>
    <row r="5747" spans="1:12" ht="15" customHeight="1" x14ac:dyDescent="0.25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</row>
    <row r="5748" spans="1:12" ht="15" customHeight="1" x14ac:dyDescent="0.25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</row>
    <row r="5749" spans="1:12" ht="15" customHeight="1" x14ac:dyDescent="0.25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</row>
    <row r="5750" spans="1:12" ht="15" customHeight="1" x14ac:dyDescent="0.25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</row>
    <row r="5751" spans="1:12" ht="15" customHeight="1" x14ac:dyDescent="0.25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</row>
    <row r="5752" spans="1:12" ht="15" customHeight="1" x14ac:dyDescent="0.25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</row>
    <row r="5753" spans="1:12" ht="15" customHeight="1" x14ac:dyDescent="0.25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</row>
    <row r="5754" spans="1:12" ht="15" customHeight="1" x14ac:dyDescent="0.25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</row>
    <row r="5755" spans="1:12" ht="15" customHeight="1" x14ac:dyDescent="0.25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</row>
    <row r="5756" spans="1:12" ht="15" customHeight="1" x14ac:dyDescent="0.25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</row>
    <row r="5757" spans="1:12" ht="15" customHeight="1" x14ac:dyDescent="0.25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</row>
    <row r="5758" spans="1:12" ht="15" customHeight="1" x14ac:dyDescent="0.25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</row>
    <row r="5759" spans="1:12" ht="15" customHeight="1" x14ac:dyDescent="0.25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</row>
    <row r="5760" spans="1:12" ht="15" customHeight="1" x14ac:dyDescent="0.25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</row>
    <row r="5761" spans="1:12" ht="15" customHeight="1" x14ac:dyDescent="0.25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</row>
    <row r="5762" spans="1:12" ht="15" customHeight="1" x14ac:dyDescent="0.25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</row>
    <row r="5763" spans="1:12" ht="15" customHeight="1" x14ac:dyDescent="0.25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</row>
    <row r="5764" spans="1:12" ht="15" customHeight="1" x14ac:dyDescent="0.25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</row>
    <row r="5765" spans="1:12" ht="15" customHeight="1" x14ac:dyDescent="0.25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</row>
    <row r="5766" spans="1:12" ht="15" customHeight="1" x14ac:dyDescent="0.25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</row>
    <row r="5767" spans="1:12" ht="15" customHeight="1" x14ac:dyDescent="0.25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</row>
    <row r="5768" spans="1:12" ht="15" customHeight="1" x14ac:dyDescent="0.25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</row>
    <row r="5769" spans="1:12" ht="15" customHeight="1" x14ac:dyDescent="0.25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</row>
    <row r="5770" spans="1:12" ht="15" customHeight="1" x14ac:dyDescent="0.25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</row>
    <row r="5771" spans="1:12" ht="15" customHeight="1" x14ac:dyDescent="0.25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</row>
    <row r="5772" spans="1:12" ht="15" customHeight="1" x14ac:dyDescent="0.25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</row>
    <row r="5773" spans="1:12" ht="15" customHeight="1" x14ac:dyDescent="0.25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</row>
    <row r="5774" spans="1:12" ht="15" customHeight="1" x14ac:dyDescent="0.25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</row>
    <row r="5775" spans="1:12" ht="15" customHeight="1" x14ac:dyDescent="0.25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</row>
    <row r="5776" spans="1:12" ht="15" customHeight="1" x14ac:dyDescent="0.25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</row>
    <row r="5777" spans="1:12" ht="15" customHeight="1" x14ac:dyDescent="0.25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</row>
    <row r="5778" spans="1:12" ht="15" customHeight="1" x14ac:dyDescent="0.25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</row>
    <row r="5779" spans="1:12" ht="15" customHeight="1" x14ac:dyDescent="0.25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</row>
    <row r="5780" spans="1:12" ht="15" customHeight="1" x14ac:dyDescent="0.25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</row>
    <row r="5781" spans="1:12" ht="15" customHeight="1" x14ac:dyDescent="0.25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</row>
    <row r="5782" spans="1:12" ht="15" customHeight="1" x14ac:dyDescent="0.25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</row>
    <row r="5783" spans="1:12" ht="15" customHeight="1" x14ac:dyDescent="0.25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</row>
    <row r="5784" spans="1:12" ht="15" customHeight="1" x14ac:dyDescent="0.25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</row>
    <row r="5785" spans="1:12" ht="15" customHeight="1" x14ac:dyDescent="0.25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</row>
    <row r="5786" spans="1:12" ht="15" customHeight="1" x14ac:dyDescent="0.25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</row>
    <row r="5787" spans="1:12" ht="15" customHeight="1" x14ac:dyDescent="0.25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</row>
    <row r="5788" spans="1:12" ht="15" customHeight="1" x14ac:dyDescent="0.25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</row>
    <row r="5789" spans="1:12" ht="15" customHeight="1" x14ac:dyDescent="0.25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</row>
    <row r="5790" spans="1:12" ht="15" customHeight="1" x14ac:dyDescent="0.25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</row>
    <row r="5791" spans="1:12" ht="15" customHeight="1" x14ac:dyDescent="0.25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</row>
    <row r="5792" spans="1:12" ht="15" customHeight="1" x14ac:dyDescent="0.25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</row>
    <row r="5793" spans="1:12" ht="15" customHeight="1" x14ac:dyDescent="0.25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</row>
    <row r="5794" spans="1:12" ht="15" customHeight="1" x14ac:dyDescent="0.25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</row>
    <row r="5795" spans="1:12" ht="15" customHeight="1" x14ac:dyDescent="0.25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</row>
    <row r="5796" spans="1:12" ht="15" customHeight="1" x14ac:dyDescent="0.25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</row>
    <row r="5797" spans="1:12" ht="15" customHeight="1" x14ac:dyDescent="0.25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</row>
    <row r="5798" spans="1:12" ht="15" customHeight="1" x14ac:dyDescent="0.25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</row>
    <row r="5799" spans="1:12" ht="15" customHeight="1" x14ac:dyDescent="0.25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</row>
    <row r="5800" spans="1:12" ht="15" customHeight="1" x14ac:dyDescent="0.25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</row>
    <row r="5801" spans="1:12" ht="15" customHeight="1" x14ac:dyDescent="0.25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</row>
    <row r="5802" spans="1:12" ht="15" customHeight="1" x14ac:dyDescent="0.25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</row>
    <row r="5803" spans="1:12" ht="15" customHeight="1" x14ac:dyDescent="0.25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</row>
    <row r="5804" spans="1:12" ht="15" customHeight="1" x14ac:dyDescent="0.25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</row>
    <row r="5805" spans="1:12" ht="15" customHeight="1" x14ac:dyDescent="0.25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</row>
    <row r="5806" spans="1:12" ht="15" customHeight="1" x14ac:dyDescent="0.25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</row>
    <row r="5807" spans="1:12" ht="15" customHeight="1" x14ac:dyDescent="0.25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</row>
    <row r="5808" spans="1:12" ht="15" customHeight="1" x14ac:dyDescent="0.25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</row>
    <row r="5809" spans="1:12" ht="15" customHeight="1" x14ac:dyDescent="0.25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</row>
    <row r="5810" spans="1:12" ht="15" customHeight="1" x14ac:dyDescent="0.25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</row>
    <row r="5811" spans="1:12" ht="15" customHeight="1" x14ac:dyDescent="0.25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</row>
    <row r="5812" spans="1:12" ht="15" customHeight="1" x14ac:dyDescent="0.25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</row>
    <row r="5813" spans="1:12" ht="15" customHeight="1" x14ac:dyDescent="0.25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</row>
    <row r="5814" spans="1:12" ht="15" customHeight="1" x14ac:dyDescent="0.25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</row>
    <row r="5815" spans="1:12" ht="15" customHeight="1" x14ac:dyDescent="0.25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</row>
    <row r="5816" spans="1:12" ht="15" customHeight="1" x14ac:dyDescent="0.25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</row>
    <row r="5817" spans="1:12" ht="15" customHeight="1" x14ac:dyDescent="0.25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</row>
    <row r="5818" spans="1:12" ht="15" customHeight="1" x14ac:dyDescent="0.25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</row>
    <row r="5819" spans="1:12" ht="15" customHeight="1" x14ac:dyDescent="0.25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</row>
    <row r="5820" spans="1:12" ht="15" customHeight="1" x14ac:dyDescent="0.25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</row>
    <row r="5821" spans="1:12" ht="15" customHeight="1" x14ac:dyDescent="0.25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</row>
    <row r="5822" spans="1:12" ht="15" customHeight="1" x14ac:dyDescent="0.25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</row>
    <row r="5823" spans="1:12" ht="15" customHeight="1" x14ac:dyDescent="0.25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</row>
    <row r="5824" spans="1:12" ht="15" customHeight="1" x14ac:dyDescent="0.25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</row>
    <row r="5825" spans="1:12" ht="15" customHeight="1" x14ac:dyDescent="0.25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</row>
    <row r="5826" spans="1:12" ht="15" customHeight="1" x14ac:dyDescent="0.25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</row>
    <row r="5827" spans="1:12" ht="15" customHeight="1" x14ac:dyDescent="0.25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</row>
    <row r="5828" spans="1:12" ht="15" customHeight="1" x14ac:dyDescent="0.25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</row>
    <row r="5829" spans="1:12" ht="15" customHeight="1" x14ac:dyDescent="0.25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</row>
    <row r="5830" spans="1:12" ht="15" customHeight="1" x14ac:dyDescent="0.25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</row>
    <row r="5831" spans="1:12" ht="15" customHeight="1" x14ac:dyDescent="0.25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</row>
    <row r="5832" spans="1:12" ht="15" customHeight="1" x14ac:dyDescent="0.25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</row>
    <row r="5833" spans="1:12" ht="15" customHeight="1" x14ac:dyDescent="0.25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</row>
    <row r="5834" spans="1:12" ht="15" customHeight="1" x14ac:dyDescent="0.25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</row>
    <row r="5835" spans="1:12" ht="15" customHeight="1" x14ac:dyDescent="0.25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</row>
    <row r="5836" spans="1:12" ht="15" customHeight="1" x14ac:dyDescent="0.25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</row>
    <row r="5837" spans="1:12" ht="15" customHeight="1" x14ac:dyDescent="0.25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</row>
    <row r="5838" spans="1:12" ht="15" customHeight="1" x14ac:dyDescent="0.25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</row>
    <row r="5839" spans="1:12" ht="15" customHeight="1" x14ac:dyDescent="0.25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</row>
    <row r="5840" spans="1:12" ht="15" customHeight="1" x14ac:dyDescent="0.25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</row>
    <row r="5841" spans="1:12" ht="15" customHeight="1" x14ac:dyDescent="0.25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</row>
    <row r="5842" spans="1:12" ht="15" customHeight="1" x14ac:dyDescent="0.25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</row>
    <row r="5843" spans="1:12" ht="15" customHeight="1" x14ac:dyDescent="0.25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</row>
    <row r="5844" spans="1:12" ht="15" customHeight="1" x14ac:dyDescent="0.25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</row>
    <row r="5845" spans="1:12" ht="15" customHeight="1" x14ac:dyDescent="0.25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</row>
    <row r="5846" spans="1:12" ht="15" customHeight="1" x14ac:dyDescent="0.25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</row>
    <row r="5847" spans="1:12" ht="15" customHeight="1" x14ac:dyDescent="0.25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</row>
    <row r="5848" spans="1:12" ht="15" customHeight="1" x14ac:dyDescent="0.25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</row>
    <row r="5849" spans="1:12" ht="15" customHeight="1" x14ac:dyDescent="0.25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</row>
    <row r="5850" spans="1:12" ht="15" customHeight="1" x14ac:dyDescent="0.25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</row>
    <row r="5851" spans="1:12" ht="15" customHeight="1" x14ac:dyDescent="0.25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</row>
    <row r="5852" spans="1:12" ht="15" customHeight="1" x14ac:dyDescent="0.25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</row>
    <row r="5853" spans="1:12" ht="15" customHeight="1" x14ac:dyDescent="0.25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</row>
    <row r="5854" spans="1:12" ht="15" customHeight="1" x14ac:dyDescent="0.25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</row>
    <row r="5855" spans="1:12" ht="15" customHeight="1" x14ac:dyDescent="0.25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</row>
    <row r="5856" spans="1:12" ht="15" customHeight="1" x14ac:dyDescent="0.25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</row>
    <row r="5857" spans="1:12" ht="15" customHeight="1" x14ac:dyDescent="0.25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</row>
    <row r="5858" spans="1:12" ht="15" customHeight="1" x14ac:dyDescent="0.25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</row>
    <row r="5859" spans="1:12" ht="15" customHeight="1" x14ac:dyDescent="0.25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</row>
    <row r="5860" spans="1:12" ht="15" customHeight="1" x14ac:dyDescent="0.25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</row>
    <row r="5861" spans="1:12" ht="15" customHeight="1" x14ac:dyDescent="0.25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</row>
    <row r="5862" spans="1:12" ht="15" customHeight="1" x14ac:dyDescent="0.25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</row>
    <row r="5863" spans="1:12" ht="15" customHeight="1" x14ac:dyDescent="0.25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</row>
    <row r="5864" spans="1:12" ht="15" customHeight="1" x14ac:dyDescent="0.25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</row>
    <row r="5865" spans="1:12" ht="15" customHeight="1" x14ac:dyDescent="0.25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</row>
    <row r="5866" spans="1:12" ht="15" customHeight="1" x14ac:dyDescent="0.25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</row>
    <row r="5867" spans="1:12" ht="15" customHeight="1" x14ac:dyDescent="0.25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</row>
    <row r="5868" spans="1:12" ht="15" customHeight="1" x14ac:dyDescent="0.25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</row>
    <row r="5869" spans="1:12" ht="15" customHeight="1" x14ac:dyDescent="0.25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</row>
    <row r="5870" spans="1:12" ht="15" customHeight="1" x14ac:dyDescent="0.25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</row>
    <row r="5871" spans="1:12" ht="15" customHeight="1" x14ac:dyDescent="0.25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</row>
    <row r="5872" spans="1:12" ht="15" customHeight="1" x14ac:dyDescent="0.25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</row>
    <row r="5873" spans="1:12" ht="15" customHeight="1" x14ac:dyDescent="0.25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</row>
    <row r="5874" spans="1:12" ht="15" customHeight="1" x14ac:dyDescent="0.25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</row>
    <row r="5875" spans="1:12" ht="15" customHeight="1" x14ac:dyDescent="0.25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</row>
    <row r="5876" spans="1:12" ht="15" customHeight="1" x14ac:dyDescent="0.25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</row>
    <row r="5877" spans="1:12" ht="15" customHeight="1" x14ac:dyDescent="0.25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</row>
    <row r="5878" spans="1:12" ht="15" customHeight="1" x14ac:dyDescent="0.25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</row>
    <row r="5879" spans="1:12" ht="15" customHeight="1" x14ac:dyDescent="0.25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</row>
    <row r="5880" spans="1:12" ht="15" customHeight="1" x14ac:dyDescent="0.25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</row>
    <row r="5881" spans="1:12" ht="15" customHeight="1" x14ac:dyDescent="0.25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</row>
    <row r="5882" spans="1:12" ht="15" customHeight="1" x14ac:dyDescent="0.25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</row>
    <row r="5883" spans="1:12" ht="15" customHeight="1" x14ac:dyDescent="0.25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</row>
    <row r="5884" spans="1:12" ht="15" customHeight="1" x14ac:dyDescent="0.25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</row>
    <row r="5885" spans="1:12" ht="15" customHeight="1" x14ac:dyDescent="0.25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</row>
    <row r="5886" spans="1:12" ht="15" customHeight="1" x14ac:dyDescent="0.25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</row>
    <row r="5887" spans="1:12" ht="15" customHeight="1" x14ac:dyDescent="0.25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</row>
    <row r="5888" spans="1:12" ht="15" customHeight="1" x14ac:dyDescent="0.25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</row>
    <row r="5889" spans="1:12" ht="15" customHeight="1" x14ac:dyDescent="0.25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</row>
    <row r="5890" spans="1:12" ht="15" customHeight="1" x14ac:dyDescent="0.25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</row>
    <row r="5891" spans="1:12" ht="15" customHeight="1" x14ac:dyDescent="0.25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</row>
    <row r="5892" spans="1:12" ht="15" customHeight="1" x14ac:dyDescent="0.25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</row>
    <row r="5893" spans="1:12" ht="15" customHeight="1" x14ac:dyDescent="0.25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</row>
    <row r="5894" spans="1:12" ht="15" customHeight="1" x14ac:dyDescent="0.25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</row>
    <row r="5895" spans="1:12" ht="15" customHeight="1" x14ac:dyDescent="0.25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</row>
    <row r="5896" spans="1:12" ht="15" customHeight="1" x14ac:dyDescent="0.25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</row>
    <row r="5897" spans="1:12" ht="15" customHeight="1" x14ac:dyDescent="0.25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</row>
    <row r="5898" spans="1:12" ht="15" customHeight="1" x14ac:dyDescent="0.25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</row>
    <row r="5899" spans="1:12" ht="15" customHeight="1" x14ac:dyDescent="0.25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</row>
    <row r="5900" spans="1:12" ht="15" customHeight="1" x14ac:dyDescent="0.25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</row>
    <row r="5901" spans="1:12" ht="15" customHeight="1" x14ac:dyDescent="0.25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</row>
    <row r="5902" spans="1:12" ht="15" customHeight="1" x14ac:dyDescent="0.25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</row>
    <row r="5903" spans="1:12" ht="15" customHeight="1" x14ac:dyDescent="0.25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</row>
    <row r="5904" spans="1:12" ht="15" customHeight="1" x14ac:dyDescent="0.25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</row>
    <row r="5905" spans="1:12" ht="15" customHeight="1" x14ac:dyDescent="0.25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</row>
    <row r="5906" spans="1:12" ht="15" customHeight="1" x14ac:dyDescent="0.25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</row>
    <row r="5907" spans="1:12" ht="15" customHeight="1" x14ac:dyDescent="0.25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</row>
    <row r="5908" spans="1:12" ht="15" customHeight="1" x14ac:dyDescent="0.25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</row>
    <row r="5909" spans="1:12" ht="15" customHeight="1" x14ac:dyDescent="0.25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</row>
    <row r="5910" spans="1:12" ht="15" customHeight="1" x14ac:dyDescent="0.25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</row>
    <row r="5911" spans="1:12" ht="15" customHeight="1" x14ac:dyDescent="0.25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</row>
    <row r="5912" spans="1:12" ht="15" customHeight="1" x14ac:dyDescent="0.25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</row>
    <row r="5913" spans="1:12" ht="15" customHeight="1" x14ac:dyDescent="0.25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</row>
    <row r="5914" spans="1:12" ht="15" customHeight="1" x14ac:dyDescent="0.25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</row>
    <row r="5915" spans="1:12" ht="15" customHeight="1" x14ac:dyDescent="0.25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</row>
    <row r="5916" spans="1:12" ht="15" customHeight="1" x14ac:dyDescent="0.25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</row>
    <row r="5917" spans="1:12" ht="15" customHeight="1" x14ac:dyDescent="0.25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</row>
    <row r="5918" spans="1:12" ht="15" customHeight="1" x14ac:dyDescent="0.25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</row>
    <row r="5919" spans="1:12" ht="15" customHeight="1" x14ac:dyDescent="0.25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</row>
    <row r="5920" spans="1:12" ht="15" customHeight="1" x14ac:dyDescent="0.25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</row>
    <row r="5921" spans="1:12" ht="15" customHeight="1" x14ac:dyDescent="0.25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</row>
    <row r="5922" spans="1:12" ht="15" customHeight="1" x14ac:dyDescent="0.25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</row>
    <row r="5923" spans="1:12" ht="15" customHeight="1" x14ac:dyDescent="0.25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</row>
    <row r="5924" spans="1:12" ht="15" customHeight="1" x14ac:dyDescent="0.25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</row>
    <row r="5925" spans="1:12" ht="15" customHeight="1" x14ac:dyDescent="0.25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</row>
    <row r="5926" spans="1:12" ht="15" customHeight="1" x14ac:dyDescent="0.25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</row>
    <row r="5927" spans="1:12" ht="15" customHeight="1" x14ac:dyDescent="0.25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</row>
    <row r="5928" spans="1:12" ht="15" customHeight="1" x14ac:dyDescent="0.25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</row>
    <row r="5929" spans="1:12" ht="15" customHeight="1" x14ac:dyDescent="0.25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</row>
    <row r="5930" spans="1:12" ht="15" customHeight="1" x14ac:dyDescent="0.25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</row>
    <row r="5931" spans="1:12" ht="15" customHeight="1" x14ac:dyDescent="0.25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</row>
    <row r="5932" spans="1:12" ht="15" customHeight="1" x14ac:dyDescent="0.25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</row>
    <row r="5933" spans="1:12" ht="15" customHeight="1" x14ac:dyDescent="0.25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</row>
    <row r="5934" spans="1:12" ht="15" customHeight="1" x14ac:dyDescent="0.25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</row>
    <row r="5935" spans="1:12" ht="15" customHeight="1" x14ac:dyDescent="0.25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</row>
    <row r="5936" spans="1:12" ht="15" customHeight="1" x14ac:dyDescent="0.25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</row>
    <row r="5937" spans="1:12" ht="15" customHeight="1" x14ac:dyDescent="0.25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</row>
    <row r="5938" spans="1:12" ht="15" customHeight="1" x14ac:dyDescent="0.25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</row>
    <row r="5939" spans="1:12" ht="15" customHeight="1" x14ac:dyDescent="0.25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</row>
    <row r="5940" spans="1:12" ht="15" customHeight="1" x14ac:dyDescent="0.25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</row>
    <row r="5941" spans="1:12" ht="15" customHeight="1" x14ac:dyDescent="0.25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</row>
    <row r="5942" spans="1:12" ht="15" customHeight="1" x14ac:dyDescent="0.25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</row>
    <row r="5943" spans="1:12" ht="15" customHeight="1" x14ac:dyDescent="0.25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</row>
    <row r="5944" spans="1:12" ht="15" customHeight="1" x14ac:dyDescent="0.25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</row>
    <row r="5945" spans="1:12" ht="15" customHeight="1" x14ac:dyDescent="0.25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</row>
    <row r="5946" spans="1:12" ht="15" customHeight="1" x14ac:dyDescent="0.25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</row>
    <row r="5947" spans="1:12" ht="15" customHeight="1" x14ac:dyDescent="0.25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</row>
    <row r="5948" spans="1:12" ht="15" customHeight="1" x14ac:dyDescent="0.25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</row>
    <row r="5949" spans="1:12" ht="15" customHeight="1" x14ac:dyDescent="0.25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</row>
    <row r="5950" spans="1:12" ht="15" customHeight="1" x14ac:dyDescent="0.25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</row>
    <row r="5951" spans="1:12" ht="15" customHeight="1" x14ac:dyDescent="0.25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</row>
    <row r="5952" spans="1:12" ht="15" customHeight="1" x14ac:dyDescent="0.25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</row>
    <row r="5953" spans="1:12" ht="15" customHeight="1" x14ac:dyDescent="0.25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</row>
    <row r="5954" spans="1:12" ht="15" customHeight="1" x14ac:dyDescent="0.25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</row>
    <row r="5955" spans="1:12" ht="15" customHeight="1" x14ac:dyDescent="0.25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</row>
    <row r="5956" spans="1:12" ht="15" customHeight="1" x14ac:dyDescent="0.25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</row>
    <row r="5957" spans="1:12" ht="15" customHeight="1" x14ac:dyDescent="0.25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</row>
    <row r="5958" spans="1:12" ht="15" customHeight="1" x14ac:dyDescent="0.25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</row>
    <row r="5959" spans="1:12" ht="15" customHeight="1" x14ac:dyDescent="0.25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</row>
    <row r="5960" spans="1:12" ht="15" customHeight="1" x14ac:dyDescent="0.25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</row>
    <row r="5961" spans="1:12" ht="15" customHeight="1" x14ac:dyDescent="0.25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</row>
    <row r="5962" spans="1:12" ht="15" customHeight="1" x14ac:dyDescent="0.25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</row>
    <row r="5963" spans="1:12" ht="15" customHeight="1" x14ac:dyDescent="0.25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</row>
    <row r="5964" spans="1:12" ht="15" customHeight="1" x14ac:dyDescent="0.25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</row>
    <row r="5965" spans="1:12" ht="15" customHeight="1" x14ac:dyDescent="0.25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</row>
    <row r="5966" spans="1:12" ht="15" customHeight="1" x14ac:dyDescent="0.25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</row>
    <row r="5967" spans="1:12" ht="15" customHeight="1" x14ac:dyDescent="0.25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</row>
    <row r="5968" spans="1:12" ht="15" customHeight="1" x14ac:dyDescent="0.25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</row>
    <row r="5969" spans="1:12" ht="15" customHeight="1" x14ac:dyDescent="0.25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</row>
    <row r="5970" spans="1:12" ht="15" customHeight="1" x14ac:dyDescent="0.25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</row>
    <row r="5971" spans="1:12" ht="15" customHeight="1" x14ac:dyDescent="0.25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</row>
    <row r="5972" spans="1:12" ht="15" customHeight="1" x14ac:dyDescent="0.25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</row>
    <row r="5973" spans="1:12" ht="15" customHeight="1" x14ac:dyDescent="0.25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</row>
    <row r="5974" spans="1:12" ht="15" customHeight="1" x14ac:dyDescent="0.25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</row>
    <row r="5975" spans="1:12" ht="15" customHeight="1" x14ac:dyDescent="0.25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</row>
    <row r="5976" spans="1:12" ht="15" customHeight="1" x14ac:dyDescent="0.25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</row>
    <row r="5977" spans="1:12" ht="15" customHeight="1" x14ac:dyDescent="0.25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</row>
    <row r="5978" spans="1:12" ht="15" customHeight="1" x14ac:dyDescent="0.25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</row>
    <row r="5979" spans="1:12" ht="15" customHeight="1" x14ac:dyDescent="0.25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</row>
    <row r="5980" spans="1:12" ht="15" customHeight="1" x14ac:dyDescent="0.25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</row>
    <row r="5981" spans="1:12" ht="15" customHeight="1" x14ac:dyDescent="0.25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</row>
    <row r="5982" spans="1:12" ht="15" customHeight="1" x14ac:dyDescent="0.25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</row>
    <row r="5983" spans="1:12" ht="15" customHeight="1" x14ac:dyDescent="0.25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</row>
    <row r="5984" spans="1:12" ht="15" customHeight="1" x14ac:dyDescent="0.25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</row>
    <row r="5985" spans="1:12" ht="15" customHeight="1" x14ac:dyDescent="0.25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</row>
    <row r="5986" spans="1:12" ht="15" customHeight="1" x14ac:dyDescent="0.25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</row>
    <row r="5987" spans="1:12" ht="15" customHeight="1" x14ac:dyDescent="0.25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</row>
    <row r="5988" spans="1:12" ht="15" customHeight="1" x14ac:dyDescent="0.25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</row>
    <row r="5989" spans="1:12" ht="15" customHeight="1" x14ac:dyDescent="0.25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</row>
    <row r="5990" spans="1:12" ht="15" customHeight="1" x14ac:dyDescent="0.25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</row>
    <row r="5991" spans="1:12" ht="15" customHeight="1" x14ac:dyDescent="0.25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</row>
    <row r="5992" spans="1:12" ht="15" customHeight="1" x14ac:dyDescent="0.25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</row>
    <row r="5993" spans="1:12" ht="15" customHeight="1" x14ac:dyDescent="0.25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</row>
    <row r="5994" spans="1:12" ht="15" customHeight="1" x14ac:dyDescent="0.25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</row>
    <row r="5995" spans="1:12" ht="15" customHeight="1" x14ac:dyDescent="0.25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</row>
    <row r="5996" spans="1:12" ht="15" customHeight="1" x14ac:dyDescent="0.25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</row>
    <row r="5997" spans="1:12" ht="15" customHeight="1" x14ac:dyDescent="0.25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</row>
    <row r="5998" spans="1:12" ht="15" customHeight="1" x14ac:dyDescent="0.25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</row>
    <row r="5999" spans="1:12" ht="15" customHeight="1" x14ac:dyDescent="0.25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</row>
    <row r="6000" spans="1:12" ht="15" customHeight="1" x14ac:dyDescent="0.25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</row>
    <row r="6001" spans="1:12" ht="15" customHeight="1" x14ac:dyDescent="0.25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</row>
    <row r="6002" spans="1:12" ht="15" customHeight="1" x14ac:dyDescent="0.25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</row>
    <row r="6003" spans="1:12" ht="15" customHeight="1" x14ac:dyDescent="0.25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</row>
    <row r="6004" spans="1:12" ht="15" customHeight="1" x14ac:dyDescent="0.25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</row>
    <row r="6005" spans="1:12" ht="15" customHeight="1" x14ac:dyDescent="0.25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</row>
    <row r="6006" spans="1:12" ht="15" customHeight="1" x14ac:dyDescent="0.25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</row>
    <row r="6007" spans="1:12" ht="15" customHeight="1" x14ac:dyDescent="0.25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</row>
    <row r="6008" spans="1:12" ht="15" customHeight="1" x14ac:dyDescent="0.25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</row>
    <row r="6009" spans="1:12" ht="15" customHeight="1" x14ac:dyDescent="0.25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</row>
    <row r="6010" spans="1:12" ht="15" customHeight="1" x14ac:dyDescent="0.25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</row>
    <row r="6011" spans="1:12" ht="15" customHeight="1" x14ac:dyDescent="0.25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</row>
    <row r="6012" spans="1:12" ht="15" customHeight="1" x14ac:dyDescent="0.25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</row>
    <row r="6013" spans="1:12" ht="15" customHeight="1" x14ac:dyDescent="0.25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</row>
    <row r="6014" spans="1:12" ht="15" customHeight="1" x14ac:dyDescent="0.25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</row>
    <row r="6015" spans="1:12" ht="15" customHeight="1" x14ac:dyDescent="0.25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</row>
    <row r="6016" spans="1:12" ht="15" customHeight="1" x14ac:dyDescent="0.25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</row>
    <row r="6017" spans="1:12" ht="15" customHeight="1" x14ac:dyDescent="0.25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</row>
    <row r="6018" spans="1:12" ht="15" customHeight="1" x14ac:dyDescent="0.25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</row>
    <row r="6019" spans="1:12" ht="15" customHeight="1" x14ac:dyDescent="0.25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</row>
    <row r="6020" spans="1:12" ht="15" customHeight="1" x14ac:dyDescent="0.25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</row>
    <row r="6021" spans="1:12" ht="15" customHeight="1" x14ac:dyDescent="0.25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</row>
    <row r="6022" spans="1:12" ht="15" customHeight="1" x14ac:dyDescent="0.25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</row>
    <row r="6023" spans="1:12" ht="15" customHeight="1" x14ac:dyDescent="0.25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</row>
    <row r="6024" spans="1:12" ht="15" customHeight="1" x14ac:dyDescent="0.25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</row>
    <row r="6025" spans="1:12" ht="15" customHeight="1" x14ac:dyDescent="0.25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</row>
    <row r="6026" spans="1:12" ht="15" customHeight="1" x14ac:dyDescent="0.25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</row>
    <row r="6027" spans="1:12" ht="15" customHeight="1" x14ac:dyDescent="0.25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</row>
    <row r="6028" spans="1:12" ht="15" customHeight="1" x14ac:dyDescent="0.25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</row>
    <row r="6029" spans="1:12" ht="15" customHeight="1" x14ac:dyDescent="0.25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</row>
    <row r="6030" spans="1:12" ht="15" customHeight="1" x14ac:dyDescent="0.25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</row>
    <row r="6031" spans="1:12" ht="15" customHeight="1" x14ac:dyDescent="0.25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</row>
    <row r="6032" spans="1:12" ht="15" customHeight="1" x14ac:dyDescent="0.25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</row>
    <row r="6033" spans="1:12" ht="15" customHeight="1" x14ac:dyDescent="0.25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</row>
    <row r="6034" spans="1:12" ht="15" customHeight="1" x14ac:dyDescent="0.25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</row>
    <row r="6035" spans="1:12" ht="15" customHeight="1" x14ac:dyDescent="0.25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</row>
    <row r="6036" spans="1:12" ht="15" customHeight="1" x14ac:dyDescent="0.25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</row>
    <row r="6037" spans="1:12" ht="15" customHeight="1" x14ac:dyDescent="0.25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</row>
    <row r="6038" spans="1:12" ht="15" customHeight="1" x14ac:dyDescent="0.25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</row>
    <row r="6039" spans="1:12" ht="15" customHeight="1" x14ac:dyDescent="0.25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</row>
    <row r="6040" spans="1:12" ht="15" customHeight="1" x14ac:dyDescent="0.25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</row>
    <row r="6041" spans="1:12" ht="15" customHeight="1" x14ac:dyDescent="0.25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</row>
    <row r="6042" spans="1:12" ht="15" customHeight="1" x14ac:dyDescent="0.25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</row>
    <row r="6043" spans="1:12" ht="15" customHeight="1" x14ac:dyDescent="0.25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</row>
    <row r="6044" spans="1:12" ht="15" customHeight="1" x14ac:dyDescent="0.25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</row>
    <row r="6045" spans="1:12" ht="15" customHeight="1" x14ac:dyDescent="0.25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</row>
    <row r="6046" spans="1:12" ht="15" customHeight="1" x14ac:dyDescent="0.25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</row>
    <row r="6047" spans="1:12" ht="15" customHeight="1" x14ac:dyDescent="0.25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</row>
    <row r="6048" spans="1:12" ht="15" customHeight="1" x14ac:dyDescent="0.25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</row>
    <row r="6049" spans="1:12" ht="15" customHeight="1" x14ac:dyDescent="0.25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</row>
    <row r="6050" spans="1:12" ht="15" customHeight="1" x14ac:dyDescent="0.25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</row>
    <row r="6051" spans="1:12" ht="15" customHeight="1" x14ac:dyDescent="0.25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</row>
    <row r="6052" spans="1:12" ht="15" customHeight="1" x14ac:dyDescent="0.25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</row>
    <row r="6053" spans="1:12" ht="15" customHeight="1" x14ac:dyDescent="0.25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</row>
    <row r="6054" spans="1:12" ht="15" customHeight="1" x14ac:dyDescent="0.25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</row>
    <row r="6055" spans="1:12" ht="15" customHeight="1" x14ac:dyDescent="0.25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</row>
    <row r="6056" spans="1:12" ht="15" customHeight="1" x14ac:dyDescent="0.25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</row>
    <row r="6057" spans="1:12" ht="15" customHeight="1" x14ac:dyDescent="0.25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</row>
    <row r="6058" spans="1:12" ht="15" customHeight="1" x14ac:dyDescent="0.25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</row>
    <row r="6059" spans="1:12" ht="15" customHeight="1" x14ac:dyDescent="0.25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</row>
    <row r="6060" spans="1:12" ht="15" customHeight="1" x14ac:dyDescent="0.25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</row>
    <row r="6061" spans="1:12" ht="15" customHeight="1" x14ac:dyDescent="0.25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</row>
    <row r="6062" spans="1:12" ht="15" customHeight="1" x14ac:dyDescent="0.25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</row>
    <row r="6063" spans="1:12" ht="15" customHeight="1" x14ac:dyDescent="0.25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</row>
    <row r="6064" spans="1:12" ht="15" customHeight="1" x14ac:dyDescent="0.25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</row>
    <row r="6065" spans="1:12" ht="15" customHeight="1" x14ac:dyDescent="0.25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</row>
    <row r="6066" spans="1:12" ht="15" customHeight="1" x14ac:dyDescent="0.25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</row>
    <row r="6067" spans="1:12" ht="15" customHeight="1" x14ac:dyDescent="0.25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</row>
    <row r="6068" spans="1:12" ht="15" customHeight="1" x14ac:dyDescent="0.25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</row>
    <row r="6069" spans="1:12" ht="15" customHeight="1" x14ac:dyDescent="0.25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</row>
    <row r="6070" spans="1:12" ht="15" customHeight="1" x14ac:dyDescent="0.25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</row>
    <row r="6071" spans="1:12" ht="15" customHeight="1" x14ac:dyDescent="0.25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</row>
    <row r="6072" spans="1:12" ht="15" customHeight="1" x14ac:dyDescent="0.25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</row>
    <row r="6073" spans="1:12" ht="15" customHeight="1" x14ac:dyDescent="0.25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</row>
    <row r="6074" spans="1:12" ht="15" customHeight="1" x14ac:dyDescent="0.25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</row>
    <row r="6075" spans="1:12" ht="15" customHeight="1" x14ac:dyDescent="0.25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</row>
    <row r="6076" spans="1:12" ht="15" customHeight="1" x14ac:dyDescent="0.25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</row>
    <row r="6077" spans="1:12" ht="15" customHeight="1" x14ac:dyDescent="0.25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</row>
    <row r="6078" spans="1:12" ht="15" customHeight="1" x14ac:dyDescent="0.25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</row>
    <row r="6079" spans="1:12" ht="15" customHeight="1" x14ac:dyDescent="0.25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</row>
    <row r="6080" spans="1:12" ht="15" customHeight="1" x14ac:dyDescent="0.25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</row>
    <row r="6081" spans="1:12" ht="15" customHeight="1" x14ac:dyDescent="0.25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</row>
    <row r="6082" spans="1:12" ht="15" customHeight="1" x14ac:dyDescent="0.25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</row>
    <row r="6083" spans="1:12" ht="15" customHeight="1" x14ac:dyDescent="0.25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</row>
    <row r="6084" spans="1:12" ht="15" customHeight="1" x14ac:dyDescent="0.25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</row>
    <row r="6085" spans="1:12" ht="15" customHeight="1" x14ac:dyDescent="0.25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</row>
    <row r="6086" spans="1:12" ht="15" customHeight="1" x14ac:dyDescent="0.25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</row>
    <row r="6087" spans="1:12" ht="15" customHeight="1" x14ac:dyDescent="0.25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</row>
    <row r="6088" spans="1:12" ht="15" customHeight="1" x14ac:dyDescent="0.25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</row>
    <row r="6089" spans="1:12" ht="15" customHeight="1" x14ac:dyDescent="0.25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</row>
    <row r="6090" spans="1:12" ht="15" customHeight="1" x14ac:dyDescent="0.25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</row>
    <row r="6091" spans="1:12" ht="15" customHeight="1" x14ac:dyDescent="0.25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</row>
    <row r="6092" spans="1:12" ht="15" customHeight="1" x14ac:dyDescent="0.25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</row>
    <row r="6093" spans="1:12" ht="15" customHeight="1" x14ac:dyDescent="0.25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</row>
    <row r="6094" spans="1:12" ht="15" customHeight="1" x14ac:dyDescent="0.25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</row>
    <row r="6095" spans="1:12" ht="15" customHeight="1" x14ac:dyDescent="0.25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</row>
    <row r="6096" spans="1:12" ht="15" customHeight="1" x14ac:dyDescent="0.25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</row>
    <row r="6097" spans="1:12" ht="15" customHeight="1" x14ac:dyDescent="0.25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</row>
    <row r="6098" spans="1:12" ht="15" customHeight="1" x14ac:dyDescent="0.25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</row>
    <row r="6099" spans="1:12" ht="15" customHeight="1" x14ac:dyDescent="0.25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</row>
    <row r="6100" spans="1:12" ht="15" customHeight="1" x14ac:dyDescent="0.25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</row>
    <row r="6101" spans="1:12" ht="15" customHeight="1" x14ac:dyDescent="0.25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</row>
    <row r="6102" spans="1:12" ht="15" customHeight="1" x14ac:dyDescent="0.25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</row>
    <row r="6103" spans="1:12" ht="15" customHeight="1" x14ac:dyDescent="0.25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</row>
    <row r="6104" spans="1:12" ht="15" customHeight="1" x14ac:dyDescent="0.25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</row>
    <row r="6105" spans="1:12" ht="15" customHeight="1" x14ac:dyDescent="0.25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</row>
    <row r="6106" spans="1:12" ht="15" customHeight="1" x14ac:dyDescent="0.25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</row>
    <row r="6107" spans="1:12" ht="15" customHeight="1" x14ac:dyDescent="0.25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</row>
    <row r="6108" spans="1:12" ht="15" customHeight="1" x14ac:dyDescent="0.25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</row>
    <row r="6109" spans="1:12" ht="15" customHeight="1" x14ac:dyDescent="0.25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</row>
    <row r="6110" spans="1:12" ht="15" customHeight="1" x14ac:dyDescent="0.25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</row>
    <row r="6111" spans="1:12" ht="15" customHeight="1" x14ac:dyDescent="0.25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</row>
    <row r="6112" spans="1:12" ht="15" customHeight="1" x14ac:dyDescent="0.25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</row>
    <row r="6113" spans="1:12" ht="15" customHeight="1" x14ac:dyDescent="0.25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</row>
    <row r="6114" spans="1:12" ht="15" customHeight="1" x14ac:dyDescent="0.25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</row>
    <row r="6115" spans="1:12" ht="15" customHeight="1" x14ac:dyDescent="0.25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</row>
    <row r="6116" spans="1:12" ht="15" customHeight="1" x14ac:dyDescent="0.25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</row>
    <row r="6117" spans="1:12" ht="15" customHeight="1" x14ac:dyDescent="0.25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</row>
    <row r="6118" spans="1:12" ht="15" customHeight="1" x14ac:dyDescent="0.25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</row>
    <row r="6119" spans="1:12" ht="15" customHeight="1" x14ac:dyDescent="0.25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</row>
    <row r="6120" spans="1:12" ht="15" customHeight="1" x14ac:dyDescent="0.25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</row>
    <row r="6121" spans="1:12" ht="15" customHeight="1" x14ac:dyDescent="0.25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</row>
    <row r="6122" spans="1:12" ht="15" customHeight="1" x14ac:dyDescent="0.25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</row>
    <row r="6123" spans="1:12" ht="15" customHeight="1" x14ac:dyDescent="0.25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</row>
    <row r="6124" spans="1:12" ht="15" customHeight="1" x14ac:dyDescent="0.25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</row>
    <row r="6125" spans="1:12" ht="15" customHeight="1" x14ac:dyDescent="0.25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</row>
    <row r="6126" spans="1:12" ht="15" customHeight="1" x14ac:dyDescent="0.25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</row>
    <row r="6127" spans="1:12" ht="15" customHeight="1" x14ac:dyDescent="0.25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</row>
    <row r="6128" spans="1:12" ht="15" customHeight="1" x14ac:dyDescent="0.25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</row>
    <row r="6129" spans="1:12" ht="15" customHeight="1" x14ac:dyDescent="0.25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</row>
    <row r="6130" spans="1:12" ht="15" customHeight="1" x14ac:dyDescent="0.25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</row>
    <row r="6131" spans="1:12" ht="15" customHeight="1" x14ac:dyDescent="0.25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</row>
    <row r="6132" spans="1:12" ht="15" customHeight="1" x14ac:dyDescent="0.25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</row>
    <row r="6133" spans="1:12" ht="15" customHeight="1" x14ac:dyDescent="0.25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</row>
    <row r="6134" spans="1:12" ht="15" customHeight="1" x14ac:dyDescent="0.25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</row>
    <row r="6135" spans="1:12" ht="15" customHeight="1" x14ac:dyDescent="0.25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</row>
    <row r="6136" spans="1:12" ht="15" customHeight="1" x14ac:dyDescent="0.25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</row>
    <row r="6137" spans="1:12" ht="15" customHeight="1" x14ac:dyDescent="0.25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</row>
    <row r="6138" spans="1:12" ht="15" customHeight="1" x14ac:dyDescent="0.25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</row>
    <row r="6139" spans="1:12" ht="15" customHeight="1" x14ac:dyDescent="0.25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</row>
    <row r="6140" spans="1:12" ht="15" customHeight="1" x14ac:dyDescent="0.25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</row>
    <row r="6141" spans="1:12" ht="15" customHeight="1" x14ac:dyDescent="0.25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</row>
    <row r="6142" spans="1:12" ht="15" customHeight="1" x14ac:dyDescent="0.25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</row>
    <row r="6143" spans="1:12" ht="15" customHeight="1" x14ac:dyDescent="0.25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</row>
    <row r="6144" spans="1:12" ht="15" customHeight="1" x14ac:dyDescent="0.25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</row>
    <row r="6145" spans="1:12" ht="15" customHeight="1" x14ac:dyDescent="0.25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</row>
    <row r="6146" spans="1:12" ht="15" customHeight="1" x14ac:dyDescent="0.25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</row>
    <row r="6147" spans="1:12" ht="15" customHeight="1" x14ac:dyDescent="0.25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</row>
    <row r="6148" spans="1:12" ht="15" customHeight="1" x14ac:dyDescent="0.25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</row>
    <row r="6149" spans="1:12" ht="15" customHeight="1" x14ac:dyDescent="0.25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</row>
    <row r="6150" spans="1:12" ht="15" customHeight="1" x14ac:dyDescent="0.25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</row>
    <row r="6151" spans="1:12" ht="15" customHeight="1" x14ac:dyDescent="0.25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</row>
    <row r="6152" spans="1:12" ht="15" customHeight="1" x14ac:dyDescent="0.25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</row>
    <row r="6153" spans="1:12" ht="15" customHeight="1" x14ac:dyDescent="0.25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</row>
    <row r="6154" spans="1:12" ht="15" customHeight="1" x14ac:dyDescent="0.25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</row>
    <row r="6155" spans="1:12" ht="15" customHeight="1" x14ac:dyDescent="0.25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</row>
    <row r="6156" spans="1:12" ht="15" customHeight="1" x14ac:dyDescent="0.25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</row>
    <row r="6157" spans="1:12" ht="15" customHeight="1" x14ac:dyDescent="0.25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</row>
    <row r="6158" spans="1:12" ht="15" customHeight="1" x14ac:dyDescent="0.25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</row>
    <row r="6159" spans="1:12" ht="15" customHeight="1" x14ac:dyDescent="0.25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</row>
    <row r="6160" spans="1:12" ht="15" customHeight="1" x14ac:dyDescent="0.25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</row>
    <row r="6161" spans="1:12" ht="15" customHeight="1" x14ac:dyDescent="0.25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</row>
    <row r="6162" spans="1:12" ht="15" customHeight="1" x14ac:dyDescent="0.25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</row>
    <row r="6163" spans="1:12" ht="15" customHeight="1" x14ac:dyDescent="0.25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</row>
    <row r="6164" spans="1:12" ht="15" customHeight="1" x14ac:dyDescent="0.25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</row>
    <row r="6165" spans="1:12" ht="15" customHeight="1" x14ac:dyDescent="0.25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</row>
    <row r="6166" spans="1:12" ht="15" customHeight="1" x14ac:dyDescent="0.25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</row>
    <row r="6167" spans="1:12" ht="15" customHeight="1" x14ac:dyDescent="0.25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</row>
    <row r="6168" spans="1:12" ht="15" customHeight="1" x14ac:dyDescent="0.25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</row>
    <row r="6169" spans="1:12" ht="15" customHeight="1" x14ac:dyDescent="0.25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</row>
    <row r="6170" spans="1:12" ht="15" customHeight="1" x14ac:dyDescent="0.25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</row>
    <row r="6171" spans="1:12" ht="15" customHeight="1" x14ac:dyDescent="0.25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</row>
    <row r="6172" spans="1:12" ht="15" customHeight="1" x14ac:dyDescent="0.25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</row>
    <row r="6173" spans="1:12" ht="15" customHeight="1" x14ac:dyDescent="0.25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</row>
    <row r="6174" spans="1:12" ht="15" customHeight="1" x14ac:dyDescent="0.25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</row>
    <row r="6175" spans="1:12" ht="15" customHeight="1" x14ac:dyDescent="0.25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</row>
    <row r="6176" spans="1:12" ht="15" customHeight="1" x14ac:dyDescent="0.25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</row>
    <row r="6177" spans="1:12" ht="15" customHeight="1" x14ac:dyDescent="0.25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</row>
    <row r="6178" spans="1:12" ht="15" customHeight="1" x14ac:dyDescent="0.25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</row>
    <row r="6179" spans="1:12" ht="15" customHeight="1" x14ac:dyDescent="0.25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</row>
    <row r="6180" spans="1:12" ht="15" customHeight="1" x14ac:dyDescent="0.25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</row>
    <row r="6181" spans="1:12" ht="15" customHeight="1" x14ac:dyDescent="0.25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</row>
    <row r="6182" spans="1:12" ht="15" customHeight="1" x14ac:dyDescent="0.25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</row>
    <row r="6183" spans="1:12" ht="15" customHeight="1" x14ac:dyDescent="0.25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</row>
    <row r="6184" spans="1:12" ht="15" customHeight="1" x14ac:dyDescent="0.25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</row>
    <row r="6185" spans="1:12" ht="15" customHeight="1" x14ac:dyDescent="0.25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</row>
    <row r="6186" spans="1:12" ht="15" customHeight="1" x14ac:dyDescent="0.25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</row>
    <row r="6187" spans="1:12" ht="15" customHeight="1" x14ac:dyDescent="0.25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</row>
    <row r="6188" spans="1:12" ht="15" customHeight="1" x14ac:dyDescent="0.25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</row>
    <row r="6189" spans="1:12" ht="15" customHeight="1" x14ac:dyDescent="0.25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</row>
    <row r="6190" spans="1:12" ht="15" customHeight="1" x14ac:dyDescent="0.25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</row>
    <row r="6191" spans="1:12" ht="15" customHeight="1" x14ac:dyDescent="0.25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</row>
    <row r="6192" spans="1:12" ht="15" customHeight="1" x14ac:dyDescent="0.25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</row>
    <row r="6193" spans="1:12" ht="15" customHeight="1" x14ac:dyDescent="0.25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</row>
    <row r="6194" spans="1:12" ht="15" customHeight="1" x14ac:dyDescent="0.25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</row>
    <row r="6195" spans="1:12" ht="15" customHeight="1" x14ac:dyDescent="0.25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</row>
    <row r="6196" spans="1:12" ht="15" customHeight="1" x14ac:dyDescent="0.25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</row>
    <row r="6197" spans="1:12" ht="15" customHeight="1" x14ac:dyDescent="0.25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</row>
    <row r="6198" spans="1:12" ht="15" customHeight="1" x14ac:dyDescent="0.25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</row>
    <row r="6199" spans="1:12" ht="15" customHeight="1" x14ac:dyDescent="0.25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</row>
    <row r="6200" spans="1:12" ht="15" customHeight="1" x14ac:dyDescent="0.25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</row>
    <row r="6201" spans="1:12" ht="15" customHeight="1" x14ac:dyDescent="0.25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</row>
    <row r="6202" spans="1:12" ht="15" customHeight="1" x14ac:dyDescent="0.25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</row>
    <row r="6203" spans="1:12" ht="15" customHeight="1" x14ac:dyDescent="0.25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</row>
    <row r="6204" spans="1:12" ht="15" customHeight="1" x14ac:dyDescent="0.25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</row>
    <row r="6205" spans="1:12" ht="15" customHeight="1" x14ac:dyDescent="0.25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</row>
    <row r="6206" spans="1:12" ht="15" customHeight="1" x14ac:dyDescent="0.25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</row>
    <row r="6207" spans="1:12" ht="15" customHeight="1" x14ac:dyDescent="0.25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</row>
    <row r="6208" spans="1:12" ht="15" customHeight="1" x14ac:dyDescent="0.25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</row>
    <row r="6209" spans="1:12" ht="15" customHeight="1" x14ac:dyDescent="0.25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</row>
    <row r="6210" spans="1:12" ht="15" customHeight="1" x14ac:dyDescent="0.25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</row>
    <row r="6211" spans="1:12" ht="15" customHeight="1" x14ac:dyDescent="0.25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</row>
    <row r="6212" spans="1:12" ht="15" customHeight="1" x14ac:dyDescent="0.25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</row>
    <row r="6213" spans="1:12" ht="15" customHeight="1" x14ac:dyDescent="0.25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</row>
    <row r="6214" spans="1:12" ht="15" customHeight="1" x14ac:dyDescent="0.25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</row>
    <row r="6215" spans="1:12" ht="15" customHeight="1" x14ac:dyDescent="0.25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</row>
    <row r="6216" spans="1:12" ht="15" customHeight="1" x14ac:dyDescent="0.25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</row>
    <row r="6217" spans="1:12" ht="15" customHeight="1" x14ac:dyDescent="0.25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</row>
    <row r="6218" spans="1:12" ht="15" customHeight="1" x14ac:dyDescent="0.25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</row>
    <row r="6219" spans="1:12" ht="15" customHeight="1" x14ac:dyDescent="0.25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</row>
    <row r="6220" spans="1:12" ht="15" customHeight="1" x14ac:dyDescent="0.25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</row>
    <row r="6221" spans="1:12" ht="15" customHeight="1" x14ac:dyDescent="0.25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</row>
    <row r="6222" spans="1:12" ht="15" customHeight="1" x14ac:dyDescent="0.25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</row>
    <row r="6223" spans="1:12" ht="15" customHeight="1" x14ac:dyDescent="0.25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</row>
    <row r="6224" spans="1:12" ht="15" customHeight="1" x14ac:dyDescent="0.25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</row>
    <row r="6225" spans="1:12" ht="15" customHeight="1" x14ac:dyDescent="0.25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</row>
    <row r="6226" spans="1:12" ht="15" customHeight="1" x14ac:dyDescent="0.25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</row>
    <row r="6227" spans="1:12" ht="15" customHeight="1" x14ac:dyDescent="0.25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</row>
    <row r="6228" spans="1:12" ht="15" customHeight="1" x14ac:dyDescent="0.25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</row>
    <row r="6229" spans="1:12" ht="15" customHeight="1" x14ac:dyDescent="0.25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</row>
    <row r="6230" spans="1:12" ht="15" customHeight="1" x14ac:dyDescent="0.25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</row>
    <row r="6231" spans="1:12" ht="15" customHeight="1" x14ac:dyDescent="0.25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</row>
    <row r="6232" spans="1:12" ht="15" customHeight="1" x14ac:dyDescent="0.25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</row>
    <row r="6233" spans="1:12" ht="15" customHeight="1" x14ac:dyDescent="0.25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</row>
    <row r="6234" spans="1:12" ht="15" customHeight="1" x14ac:dyDescent="0.25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</row>
    <row r="6235" spans="1:12" ht="15" customHeight="1" x14ac:dyDescent="0.25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</row>
    <row r="6236" spans="1:12" ht="15" customHeight="1" x14ac:dyDescent="0.25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</row>
    <row r="6237" spans="1:12" ht="15" customHeight="1" x14ac:dyDescent="0.25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</row>
    <row r="6238" spans="1:12" ht="15" customHeight="1" x14ac:dyDescent="0.25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</row>
    <row r="6239" spans="1:12" ht="15" customHeight="1" x14ac:dyDescent="0.25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</row>
    <row r="6240" spans="1:12" ht="15" customHeight="1" x14ac:dyDescent="0.25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</row>
    <row r="6241" spans="1:12" ht="15" customHeight="1" x14ac:dyDescent="0.25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</row>
    <row r="6242" spans="1:12" ht="15" customHeight="1" x14ac:dyDescent="0.25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</row>
    <row r="6243" spans="1:12" ht="15" customHeight="1" x14ac:dyDescent="0.25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</row>
    <row r="6244" spans="1:12" ht="15" customHeight="1" x14ac:dyDescent="0.25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</row>
    <row r="6245" spans="1:12" ht="15" customHeight="1" x14ac:dyDescent="0.25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</row>
    <row r="6246" spans="1:12" ht="15" customHeight="1" x14ac:dyDescent="0.25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</row>
    <row r="6247" spans="1:12" ht="15" customHeight="1" x14ac:dyDescent="0.25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</row>
    <row r="6248" spans="1:12" ht="15" customHeight="1" x14ac:dyDescent="0.25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</row>
    <row r="6249" spans="1:12" ht="15" customHeight="1" x14ac:dyDescent="0.25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</row>
    <row r="6250" spans="1:12" ht="15" customHeight="1" x14ac:dyDescent="0.25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</row>
    <row r="6251" spans="1:12" ht="15" customHeight="1" x14ac:dyDescent="0.25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</row>
    <row r="6252" spans="1:12" ht="15" customHeight="1" x14ac:dyDescent="0.25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</row>
    <row r="6253" spans="1:12" ht="15" customHeight="1" x14ac:dyDescent="0.25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</row>
    <row r="6254" spans="1:12" ht="15" customHeight="1" x14ac:dyDescent="0.25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</row>
    <row r="6255" spans="1:12" ht="15" customHeight="1" x14ac:dyDescent="0.25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</row>
    <row r="6256" spans="1:12" ht="15" customHeight="1" x14ac:dyDescent="0.25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</row>
    <row r="6257" spans="1:12" ht="15" customHeight="1" x14ac:dyDescent="0.25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</row>
    <row r="6258" spans="1:12" ht="15" customHeight="1" x14ac:dyDescent="0.25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</row>
    <row r="6259" spans="1:12" ht="15" customHeight="1" x14ac:dyDescent="0.25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</row>
    <row r="6260" spans="1:12" ht="15" customHeight="1" x14ac:dyDescent="0.25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</row>
    <row r="6261" spans="1:12" ht="15" customHeight="1" x14ac:dyDescent="0.25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</row>
    <row r="6262" spans="1:12" ht="15" customHeight="1" x14ac:dyDescent="0.25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</row>
    <row r="6263" spans="1:12" ht="15" customHeight="1" x14ac:dyDescent="0.25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</row>
    <row r="6264" spans="1:12" ht="15" customHeight="1" x14ac:dyDescent="0.25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</row>
    <row r="6265" spans="1:12" ht="15" customHeight="1" x14ac:dyDescent="0.25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</row>
    <row r="6266" spans="1:12" ht="15" customHeight="1" x14ac:dyDescent="0.25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</row>
    <row r="6267" spans="1:12" ht="15" customHeight="1" x14ac:dyDescent="0.25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</row>
    <row r="6268" spans="1:12" ht="15" customHeight="1" x14ac:dyDescent="0.25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</row>
    <row r="6269" spans="1:12" ht="15" customHeight="1" x14ac:dyDescent="0.25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</row>
    <row r="6270" spans="1:12" ht="15" customHeight="1" x14ac:dyDescent="0.25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</row>
    <row r="6271" spans="1:12" ht="15" customHeight="1" x14ac:dyDescent="0.25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</row>
    <row r="6272" spans="1:12" ht="15" customHeight="1" x14ac:dyDescent="0.25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</row>
    <row r="6273" spans="1:12" ht="15" customHeight="1" x14ac:dyDescent="0.25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</row>
    <row r="6274" spans="1:12" ht="15" customHeight="1" x14ac:dyDescent="0.25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</row>
    <row r="6275" spans="1:12" ht="15" customHeight="1" x14ac:dyDescent="0.25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</row>
    <row r="6276" spans="1:12" ht="15" customHeight="1" x14ac:dyDescent="0.25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</row>
    <row r="6277" spans="1:12" ht="15" customHeight="1" x14ac:dyDescent="0.25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</row>
    <row r="6278" spans="1:12" ht="15" customHeight="1" x14ac:dyDescent="0.25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</row>
    <row r="6279" spans="1:12" ht="15" customHeight="1" x14ac:dyDescent="0.25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</row>
    <row r="6280" spans="1:12" ht="15" customHeight="1" x14ac:dyDescent="0.25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</row>
    <row r="6281" spans="1:12" ht="15" customHeight="1" x14ac:dyDescent="0.25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</row>
    <row r="6282" spans="1:12" ht="15" customHeight="1" x14ac:dyDescent="0.25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</row>
    <row r="6283" spans="1:12" ht="15" customHeight="1" x14ac:dyDescent="0.25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</row>
    <row r="6284" spans="1:12" ht="15" customHeight="1" x14ac:dyDescent="0.25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</row>
    <row r="6285" spans="1:12" ht="15" customHeight="1" x14ac:dyDescent="0.25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</row>
    <row r="6286" spans="1:12" ht="15" customHeight="1" x14ac:dyDescent="0.25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</row>
    <row r="6287" spans="1:12" ht="15" customHeight="1" x14ac:dyDescent="0.25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</row>
    <row r="6288" spans="1:12" ht="15" customHeight="1" x14ac:dyDescent="0.25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</row>
    <row r="6289" spans="1:12" ht="15" customHeight="1" x14ac:dyDescent="0.25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</row>
    <row r="6290" spans="1:12" ht="15" customHeight="1" x14ac:dyDescent="0.25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</row>
    <row r="6291" spans="1:12" ht="15" customHeight="1" x14ac:dyDescent="0.25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</row>
    <row r="6292" spans="1:12" ht="15" customHeight="1" x14ac:dyDescent="0.25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</row>
    <row r="6293" spans="1:12" ht="15" customHeight="1" x14ac:dyDescent="0.25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</row>
    <row r="6294" spans="1:12" ht="15" customHeight="1" x14ac:dyDescent="0.25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</row>
    <row r="6295" spans="1:12" ht="15" customHeight="1" x14ac:dyDescent="0.25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</row>
    <row r="6296" spans="1:12" ht="15" customHeight="1" x14ac:dyDescent="0.25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</row>
    <row r="6297" spans="1:12" ht="15" customHeight="1" x14ac:dyDescent="0.25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</row>
    <row r="6298" spans="1:12" ht="15" customHeight="1" x14ac:dyDescent="0.25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</row>
    <row r="6299" spans="1:12" ht="15" customHeight="1" x14ac:dyDescent="0.25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</row>
    <row r="6300" spans="1:12" ht="15" customHeight="1" x14ac:dyDescent="0.25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</row>
    <row r="6301" spans="1:12" ht="15" customHeight="1" x14ac:dyDescent="0.25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</row>
    <row r="6302" spans="1:12" ht="15" customHeight="1" x14ac:dyDescent="0.25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</row>
    <row r="6303" spans="1:12" ht="15" customHeight="1" x14ac:dyDescent="0.25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</row>
    <row r="6304" spans="1:12" ht="15" customHeight="1" x14ac:dyDescent="0.25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</row>
    <row r="6305" spans="1:12" ht="15" customHeight="1" x14ac:dyDescent="0.25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</row>
    <row r="6306" spans="1:12" ht="15" customHeight="1" x14ac:dyDescent="0.25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</row>
    <row r="6307" spans="1:12" ht="15" customHeight="1" x14ac:dyDescent="0.25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</row>
    <row r="6308" spans="1:12" ht="15" customHeight="1" x14ac:dyDescent="0.25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</row>
    <row r="6309" spans="1:12" ht="15" customHeight="1" x14ac:dyDescent="0.25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</row>
    <row r="6310" spans="1:12" ht="15" customHeight="1" x14ac:dyDescent="0.25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</row>
    <row r="6311" spans="1:12" ht="15" customHeight="1" x14ac:dyDescent="0.25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</row>
    <row r="6312" spans="1:12" ht="15" customHeight="1" x14ac:dyDescent="0.25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</row>
    <row r="6313" spans="1:12" ht="15" customHeight="1" x14ac:dyDescent="0.25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</row>
    <row r="6314" spans="1:12" ht="15" customHeight="1" x14ac:dyDescent="0.25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</row>
    <row r="6315" spans="1:12" ht="15" customHeight="1" x14ac:dyDescent="0.25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</row>
    <row r="6316" spans="1:12" ht="15" customHeight="1" x14ac:dyDescent="0.25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</row>
    <row r="6317" spans="1:12" ht="15" customHeight="1" x14ac:dyDescent="0.25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</row>
    <row r="6318" spans="1:12" ht="15" customHeight="1" x14ac:dyDescent="0.25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</row>
    <row r="6319" spans="1:12" ht="15" customHeight="1" x14ac:dyDescent="0.25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</row>
    <row r="6320" spans="1:12" ht="15" customHeight="1" x14ac:dyDescent="0.25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</row>
    <row r="6321" spans="1:12" ht="15" customHeight="1" x14ac:dyDescent="0.25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</row>
    <row r="6322" spans="1:12" ht="15" customHeight="1" x14ac:dyDescent="0.25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</row>
    <row r="6323" spans="1:12" ht="15" customHeight="1" x14ac:dyDescent="0.25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</row>
    <row r="6324" spans="1:12" ht="15" customHeight="1" x14ac:dyDescent="0.25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</row>
    <row r="6325" spans="1:12" ht="15" customHeight="1" x14ac:dyDescent="0.25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</row>
    <row r="6326" spans="1:12" ht="15" customHeight="1" x14ac:dyDescent="0.25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</row>
    <row r="6327" spans="1:12" ht="15" customHeight="1" x14ac:dyDescent="0.25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</row>
    <row r="6328" spans="1:12" ht="15" customHeight="1" x14ac:dyDescent="0.25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</row>
    <row r="6329" spans="1:12" ht="15" customHeight="1" x14ac:dyDescent="0.25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</row>
    <row r="6330" spans="1:12" ht="15" customHeight="1" x14ac:dyDescent="0.25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</row>
    <row r="6331" spans="1:12" ht="15" customHeight="1" x14ac:dyDescent="0.25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</row>
    <row r="6332" spans="1:12" ht="15" customHeight="1" x14ac:dyDescent="0.25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</row>
    <row r="6333" spans="1:12" ht="15" customHeight="1" x14ac:dyDescent="0.25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</row>
    <row r="6334" spans="1:12" ht="15" customHeight="1" x14ac:dyDescent="0.25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</row>
    <row r="6335" spans="1:12" ht="15" customHeight="1" x14ac:dyDescent="0.25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</row>
    <row r="6336" spans="1:12" ht="15" customHeight="1" x14ac:dyDescent="0.25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</row>
    <row r="6337" spans="1:12" ht="15" customHeight="1" x14ac:dyDescent="0.25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</row>
    <row r="6338" spans="1:12" ht="15" customHeight="1" x14ac:dyDescent="0.25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</row>
    <row r="6339" spans="1:12" ht="15" customHeight="1" x14ac:dyDescent="0.25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</row>
    <row r="6340" spans="1:12" ht="15" customHeight="1" x14ac:dyDescent="0.25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</row>
    <row r="6341" spans="1:12" ht="15" customHeight="1" x14ac:dyDescent="0.25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</row>
    <row r="6342" spans="1:12" ht="15" customHeight="1" x14ac:dyDescent="0.25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</row>
    <row r="6343" spans="1:12" ht="15" customHeight="1" x14ac:dyDescent="0.25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</row>
    <row r="6344" spans="1:12" ht="15" customHeight="1" x14ac:dyDescent="0.25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</row>
    <row r="6345" spans="1:12" ht="15" customHeight="1" x14ac:dyDescent="0.25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</row>
    <row r="6346" spans="1:12" ht="15" customHeight="1" x14ac:dyDescent="0.25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</row>
    <row r="6347" spans="1:12" ht="15" customHeight="1" x14ac:dyDescent="0.25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</row>
    <row r="6348" spans="1:12" ht="15" customHeight="1" x14ac:dyDescent="0.25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</row>
    <row r="6349" spans="1:12" ht="15" customHeight="1" x14ac:dyDescent="0.25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</row>
    <row r="6350" spans="1:12" ht="15" customHeight="1" x14ac:dyDescent="0.25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</row>
    <row r="6351" spans="1:12" ht="15" customHeight="1" x14ac:dyDescent="0.25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</row>
    <row r="6352" spans="1:12" ht="15" customHeight="1" x14ac:dyDescent="0.25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</row>
    <row r="6353" spans="1:12" ht="15" customHeight="1" x14ac:dyDescent="0.25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</row>
    <row r="6354" spans="1:12" ht="15" customHeight="1" x14ac:dyDescent="0.25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</row>
    <row r="6355" spans="1:12" ht="15" customHeight="1" x14ac:dyDescent="0.25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</row>
    <row r="6356" spans="1:12" ht="15" customHeight="1" x14ac:dyDescent="0.25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</row>
    <row r="6357" spans="1:12" ht="15" customHeight="1" x14ac:dyDescent="0.25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</row>
    <row r="6358" spans="1:12" ht="15" customHeight="1" x14ac:dyDescent="0.25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</row>
    <row r="6359" spans="1:12" ht="15" customHeight="1" x14ac:dyDescent="0.25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</row>
    <row r="6360" spans="1:12" ht="15" customHeight="1" x14ac:dyDescent="0.25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</row>
    <row r="6361" spans="1:12" ht="15" customHeight="1" x14ac:dyDescent="0.25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</row>
    <row r="6362" spans="1:12" ht="15" customHeight="1" x14ac:dyDescent="0.25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</row>
    <row r="6363" spans="1:12" ht="15" customHeight="1" x14ac:dyDescent="0.25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</row>
    <row r="6364" spans="1:12" ht="15" customHeight="1" x14ac:dyDescent="0.25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</row>
    <row r="6365" spans="1:12" ht="15" customHeight="1" x14ac:dyDescent="0.25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</row>
    <row r="6366" spans="1:12" ht="15" customHeight="1" x14ac:dyDescent="0.25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</row>
    <row r="6367" spans="1:12" ht="15" customHeight="1" x14ac:dyDescent="0.25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</row>
    <row r="6368" spans="1:12" ht="15" customHeight="1" x14ac:dyDescent="0.25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</row>
    <row r="6369" spans="1:12" ht="15" customHeight="1" x14ac:dyDescent="0.25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</row>
    <row r="6370" spans="1:12" ht="15" customHeight="1" x14ac:dyDescent="0.25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</row>
    <row r="6371" spans="1:12" ht="15" customHeight="1" x14ac:dyDescent="0.25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</row>
    <row r="6372" spans="1:12" ht="15" customHeight="1" x14ac:dyDescent="0.25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</row>
    <row r="6373" spans="1:12" ht="15" customHeight="1" x14ac:dyDescent="0.25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</row>
    <row r="6374" spans="1:12" ht="15" customHeight="1" x14ac:dyDescent="0.25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</row>
    <row r="6375" spans="1:12" ht="15" customHeight="1" x14ac:dyDescent="0.25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</row>
    <row r="6376" spans="1:12" ht="15" customHeight="1" x14ac:dyDescent="0.25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</row>
    <row r="6377" spans="1:12" ht="15" customHeight="1" x14ac:dyDescent="0.25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</row>
    <row r="6378" spans="1:12" ht="15" customHeight="1" x14ac:dyDescent="0.25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</row>
    <row r="6379" spans="1:12" ht="15" customHeight="1" x14ac:dyDescent="0.25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</row>
    <row r="6380" spans="1:12" ht="15" customHeight="1" x14ac:dyDescent="0.25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</row>
    <row r="6381" spans="1:12" ht="15" customHeight="1" x14ac:dyDescent="0.25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</row>
    <row r="6382" spans="1:12" ht="15" customHeight="1" x14ac:dyDescent="0.25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</row>
    <row r="6383" spans="1:12" ht="15" customHeight="1" x14ac:dyDescent="0.25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</row>
    <row r="6384" spans="1:12" ht="15" customHeight="1" x14ac:dyDescent="0.25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</row>
    <row r="6385" spans="1:12" ht="15" customHeight="1" x14ac:dyDescent="0.25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</row>
    <row r="6386" spans="1:12" ht="15" customHeight="1" x14ac:dyDescent="0.25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</row>
    <row r="6387" spans="1:12" ht="15" customHeight="1" x14ac:dyDescent="0.25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</row>
    <row r="6388" spans="1:12" ht="15" customHeight="1" x14ac:dyDescent="0.25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</row>
    <row r="6389" spans="1:12" ht="15" customHeight="1" x14ac:dyDescent="0.25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</row>
    <row r="6390" spans="1:12" ht="15" customHeight="1" x14ac:dyDescent="0.25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</row>
    <row r="6391" spans="1:12" ht="15" customHeight="1" x14ac:dyDescent="0.25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</row>
    <row r="6392" spans="1:12" ht="15" customHeight="1" x14ac:dyDescent="0.25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</row>
    <row r="6393" spans="1:12" ht="15" customHeight="1" x14ac:dyDescent="0.25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</row>
    <row r="6394" spans="1:12" ht="15" customHeight="1" x14ac:dyDescent="0.25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</row>
    <row r="6395" spans="1:12" ht="15" customHeight="1" x14ac:dyDescent="0.25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</row>
    <row r="6396" spans="1:12" ht="15" customHeight="1" x14ac:dyDescent="0.25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</row>
    <row r="6397" spans="1:12" ht="15" customHeight="1" x14ac:dyDescent="0.25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</row>
    <row r="6398" spans="1:12" ht="15" customHeight="1" x14ac:dyDescent="0.25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</row>
    <row r="6399" spans="1:12" ht="15" customHeight="1" x14ac:dyDescent="0.25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</row>
    <row r="6400" spans="1:12" ht="15" customHeight="1" x14ac:dyDescent="0.25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</row>
    <row r="6401" spans="1:12" ht="15" customHeight="1" x14ac:dyDescent="0.25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</row>
    <row r="6402" spans="1:12" ht="15" customHeight="1" x14ac:dyDescent="0.25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</row>
    <row r="6403" spans="1:12" ht="15" customHeight="1" x14ac:dyDescent="0.25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</row>
    <row r="6404" spans="1:12" ht="15" customHeight="1" x14ac:dyDescent="0.25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</row>
    <row r="6405" spans="1:12" ht="15" customHeight="1" x14ac:dyDescent="0.25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</row>
    <row r="6406" spans="1:12" ht="15" customHeight="1" x14ac:dyDescent="0.25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</row>
    <row r="6407" spans="1:12" ht="15" customHeight="1" x14ac:dyDescent="0.25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</row>
    <row r="6408" spans="1:12" ht="15" customHeight="1" x14ac:dyDescent="0.25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</row>
    <row r="6409" spans="1:12" ht="15" customHeight="1" x14ac:dyDescent="0.25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</row>
    <row r="6410" spans="1:12" ht="15" customHeight="1" x14ac:dyDescent="0.25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</row>
    <row r="6411" spans="1:12" ht="15" customHeight="1" x14ac:dyDescent="0.25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</row>
    <row r="6412" spans="1:12" ht="15" customHeight="1" x14ac:dyDescent="0.25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</row>
    <row r="6413" spans="1:12" ht="15" customHeight="1" x14ac:dyDescent="0.25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</row>
    <row r="6414" spans="1:12" ht="15" customHeight="1" x14ac:dyDescent="0.25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</row>
    <row r="6415" spans="1:12" ht="15" customHeight="1" x14ac:dyDescent="0.25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</row>
    <row r="6416" spans="1:12" ht="15" customHeight="1" x14ac:dyDescent="0.25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</row>
    <row r="6417" spans="1:12" ht="15" customHeight="1" x14ac:dyDescent="0.25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</row>
    <row r="6418" spans="1:12" ht="15" customHeight="1" x14ac:dyDescent="0.25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</row>
    <row r="6419" spans="1:12" ht="15" customHeight="1" x14ac:dyDescent="0.25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</row>
    <row r="6420" spans="1:12" ht="15" customHeight="1" x14ac:dyDescent="0.25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</row>
    <row r="6421" spans="1:12" ht="15" customHeight="1" x14ac:dyDescent="0.25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</row>
    <row r="6422" spans="1:12" ht="15" customHeight="1" x14ac:dyDescent="0.25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</row>
    <row r="6423" spans="1:12" ht="15" customHeight="1" x14ac:dyDescent="0.25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</row>
    <row r="6424" spans="1:12" ht="15" customHeight="1" x14ac:dyDescent="0.25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</row>
    <row r="6425" spans="1:12" ht="15" customHeight="1" x14ac:dyDescent="0.25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</row>
    <row r="6426" spans="1:12" ht="15" customHeight="1" x14ac:dyDescent="0.25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</row>
    <row r="6427" spans="1:12" ht="15" customHeight="1" x14ac:dyDescent="0.25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</row>
    <row r="6428" spans="1:12" ht="15" customHeight="1" x14ac:dyDescent="0.25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</row>
    <row r="6429" spans="1:12" ht="15" customHeight="1" x14ac:dyDescent="0.25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</row>
    <row r="6430" spans="1:12" ht="15" customHeight="1" x14ac:dyDescent="0.25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</row>
    <row r="6431" spans="1:12" ht="15" customHeight="1" x14ac:dyDescent="0.25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</row>
    <row r="6432" spans="1:12" ht="15" customHeight="1" x14ac:dyDescent="0.25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</row>
    <row r="6433" spans="1:12" ht="15" customHeight="1" x14ac:dyDescent="0.25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</row>
    <row r="6434" spans="1:12" ht="15" customHeight="1" x14ac:dyDescent="0.25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</row>
    <row r="6435" spans="1:12" ht="15" customHeight="1" x14ac:dyDescent="0.25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</row>
    <row r="6436" spans="1:12" ht="15" customHeight="1" x14ac:dyDescent="0.25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</row>
    <row r="6437" spans="1:12" ht="15" customHeight="1" x14ac:dyDescent="0.25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</row>
    <row r="6438" spans="1:12" ht="15" customHeight="1" x14ac:dyDescent="0.25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</row>
    <row r="6439" spans="1:12" ht="15" customHeight="1" x14ac:dyDescent="0.25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</row>
    <row r="6440" spans="1:12" ht="15" customHeight="1" x14ac:dyDescent="0.25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</row>
    <row r="6441" spans="1:12" ht="15" customHeight="1" x14ac:dyDescent="0.25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</row>
    <row r="6442" spans="1:12" ht="15" customHeight="1" x14ac:dyDescent="0.25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</row>
    <row r="6443" spans="1:12" ht="15" customHeight="1" x14ac:dyDescent="0.25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</row>
    <row r="6444" spans="1:12" ht="15" customHeight="1" x14ac:dyDescent="0.25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</row>
    <row r="6445" spans="1:12" ht="15" customHeight="1" x14ac:dyDescent="0.25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</row>
    <row r="6446" spans="1:12" ht="15" customHeight="1" x14ac:dyDescent="0.25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</row>
    <row r="6447" spans="1:12" ht="15" customHeight="1" x14ac:dyDescent="0.25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</row>
    <row r="6448" spans="1:12" ht="15" customHeight="1" x14ac:dyDescent="0.25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</row>
    <row r="6449" spans="1:12" ht="15" customHeight="1" x14ac:dyDescent="0.25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</row>
    <row r="6450" spans="1:12" ht="15" customHeight="1" x14ac:dyDescent="0.25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</row>
    <row r="6451" spans="1:12" ht="15" customHeight="1" x14ac:dyDescent="0.25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</row>
    <row r="6452" spans="1:12" ht="15" customHeight="1" x14ac:dyDescent="0.25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</row>
    <row r="6453" spans="1:12" ht="15" customHeight="1" x14ac:dyDescent="0.25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</row>
    <row r="6454" spans="1:12" ht="15" customHeight="1" x14ac:dyDescent="0.25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</row>
    <row r="6455" spans="1:12" ht="15" customHeight="1" x14ac:dyDescent="0.25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</row>
    <row r="6456" spans="1:12" ht="15" customHeight="1" x14ac:dyDescent="0.25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</row>
    <row r="6457" spans="1:12" ht="15" customHeight="1" x14ac:dyDescent="0.25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</row>
    <row r="6458" spans="1:12" ht="15" customHeight="1" x14ac:dyDescent="0.25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</row>
    <row r="6459" spans="1:12" ht="15" customHeight="1" x14ac:dyDescent="0.25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</row>
    <row r="6460" spans="1:12" ht="15" customHeight="1" x14ac:dyDescent="0.25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</row>
    <row r="6461" spans="1:12" ht="15" customHeight="1" x14ac:dyDescent="0.25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</row>
    <row r="6462" spans="1:12" ht="15" customHeight="1" x14ac:dyDescent="0.25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</row>
    <row r="6463" spans="1:12" ht="15" customHeight="1" x14ac:dyDescent="0.25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</row>
    <row r="6464" spans="1:12" ht="15" customHeight="1" x14ac:dyDescent="0.25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</row>
    <row r="6465" spans="1:12" ht="15" customHeight="1" x14ac:dyDescent="0.25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</row>
    <row r="6466" spans="1:12" ht="15" customHeight="1" x14ac:dyDescent="0.25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</row>
    <row r="6467" spans="1:12" ht="15" customHeight="1" x14ac:dyDescent="0.25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</row>
    <row r="6468" spans="1:12" ht="15" customHeight="1" x14ac:dyDescent="0.25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</row>
    <row r="6469" spans="1:12" ht="15" customHeight="1" x14ac:dyDescent="0.25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</row>
    <row r="6470" spans="1:12" ht="15" customHeight="1" x14ac:dyDescent="0.25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</row>
    <row r="6471" spans="1:12" ht="15" customHeight="1" x14ac:dyDescent="0.25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</row>
    <row r="6472" spans="1:12" ht="15" customHeight="1" x14ac:dyDescent="0.25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</row>
    <row r="6473" spans="1:12" ht="15" customHeight="1" x14ac:dyDescent="0.25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</row>
    <row r="6474" spans="1:12" ht="15" customHeight="1" x14ac:dyDescent="0.25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</row>
    <row r="6475" spans="1:12" ht="15" customHeight="1" x14ac:dyDescent="0.25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</row>
    <row r="6476" spans="1:12" ht="15" customHeight="1" x14ac:dyDescent="0.25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</row>
    <row r="6477" spans="1:12" ht="15" customHeight="1" x14ac:dyDescent="0.25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</row>
    <row r="6478" spans="1:12" ht="15" customHeight="1" x14ac:dyDescent="0.25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</row>
    <row r="6479" spans="1:12" ht="15" customHeight="1" x14ac:dyDescent="0.25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</row>
    <row r="6480" spans="1:12" ht="15" customHeight="1" x14ac:dyDescent="0.25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</row>
    <row r="6481" spans="1:12" ht="15" customHeight="1" x14ac:dyDescent="0.25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</row>
    <row r="6482" spans="1:12" ht="15" customHeight="1" x14ac:dyDescent="0.25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</row>
    <row r="6483" spans="1:12" ht="15" customHeight="1" x14ac:dyDescent="0.25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</row>
    <row r="6484" spans="1:12" ht="15" customHeight="1" x14ac:dyDescent="0.25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</row>
    <row r="6485" spans="1:12" ht="15" customHeight="1" x14ac:dyDescent="0.25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</row>
    <row r="6486" spans="1:12" ht="15" customHeight="1" x14ac:dyDescent="0.25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</row>
    <row r="6487" spans="1:12" ht="15" customHeight="1" x14ac:dyDescent="0.25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</row>
    <row r="6488" spans="1:12" ht="15" customHeight="1" x14ac:dyDescent="0.25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</row>
    <row r="6489" spans="1:12" ht="15" customHeight="1" x14ac:dyDescent="0.25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</row>
    <row r="6490" spans="1:12" ht="15" customHeight="1" x14ac:dyDescent="0.25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</row>
    <row r="6491" spans="1:12" ht="15" customHeight="1" x14ac:dyDescent="0.25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</row>
    <row r="6492" spans="1:12" ht="15" customHeight="1" x14ac:dyDescent="0.25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</row>
    <row r="6493" spans="1:12" ht="15" customHeight="1" x14ac:dyDescent="0.25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</row>
    <row r="6494" spans="1:12" ht="15" customHeight="1" x14ac:dyDescent="0.25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</row>
    <row r="6495" spans="1:12" ht="15" customHeight="1" x14ac:dyDescent="0.25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</row>
    <row r="6496" spans="1:12" ht="15" customHeight="1" x14ac:dyDescent="0.25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</row>
    <row r="6497" spans="1:12" ht="15" customHeight="1" x14ac:dyDescent="0.25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</row>
    <row r="6498" spans="1:12" ht="15" customHeight="1" x14ac:dyDescent="0.25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</row>
    <row r="6499" spans="1:12" ht="15" customHeight="1" x14ac:dyDescent="0.25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</row>
    <row r="6500" spans="1:12" ht="15" customHeight="1" x14ac:dyDescent="0.25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</row>
    <row r="6501" spans="1:12" ht="15" customHeight="1" x14ac:dyDescent="0.25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</row>
    <row r="6502" spans="1:12" ht="15" customHeight="1" x14ac:dyDescent="0.25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</row>
    <row r="6503" spans="1:12" ht="15" customHeight="1" x14ac:dyDescent="0.25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</row>
    <row r="6504" spans="1:12" ht="15" customHeight="1" x14ac:dyDescent="0.25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</row>
    <row r="6505" spans="1:12" ht="15" customHeight="1" x14ac:dyDescent="0.25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</row>
    <row r="6506" spans="1:12" ht="15" customHeight="1" x14ac:dyDescent="0.25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</row>
    <row r="6507" spans="1:12" ht="15" customHeight="1" x14ac:dyDescent="0.25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</row>
    <row r="6508" spans="1:12" ht="15" customHeight="1" x14ac:dyDescent="0.25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</row>
    <row r="6509" spans="1:12" ht="15" customHeight="1" x14ac:dyDescent="0.25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</row>
    <row r="6510" spans="1:12" ht="15" customHeight="1" x14ac:dyDescent="0.25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</row>
    <row r="6511" spans="1:12" ht="15" customHeight="1" x14ac:dyDescent="0.25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</row>
    <row r="6512" spans="1:12" ht="15" customHeight="1" x14ac:dyDescent="0.25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</row>
    <row r="6513" spans="1:12" ht="15" customHeight="1" x14ac:dyDescent="0.25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</row>
    <row r="6514" spans="1:12" ht="15" customHeight="1" x14ac:dyDescent="0.25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</row>
    <row r="6515" spans="1:12" ht="15" customHeight="1" x14ac:dyDescent="0.25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</row>
    <row r="6516" spans="1:12" ht="15" customHeight="1" x14ac:dyDescent="0.25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</row>
    <row r="6517" spans="1:12" ht="15" customHeight="1" x14ac:dyDescent="0.25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</row>
    <row r="6518" spans="1:12" ht="15" customHeight="1" x14ac:dyDescent="0.25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</row>
    <row r="6519" spans="1:12" ht="15" customHeight="1" x14ac:dyDescent="0.25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</row>
    <row r="6520" spans="1:12" ht="15" customHeight="1" x14ac:dyDescent="0.25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</row>
    <row r="6521" spans="1:12" ht="15" customHeight="1" x14ac:dyDescent="0.25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</row>
    <row r="6522" spans="1:12" ht="15" customHeight="1" x14ac:dyDescent="0.25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</row>
    <row r="6523" spans="1:12" ht="15" customHeight="1" x14ac:dyDescent="0.25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</row>
    <row r="6524" spans="1:12" ht="15" customHeight="1" x14ac:dyDescent="0.25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</row>
    <row r="6525" spans="1:12" ht="15" customHeight="1" x14ac:dyDescent="0.25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</row>
    <row r="6526" spans="1:12" ht="15" customHeight="1" x14ac:dyDescent="0.25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</row>
    <row r="6527" spans="1:12" ht="15" customHeight="1" x14ac:dyDescent="0.25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</row>
    <row r="6528" spans="1:12" ht="15" customHeight="1" x14ac:dyDescent="0.25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</row>
    <row r="6529" spans="1:12" ht="15" customHeight="1" x14ac:dyDescent="0.25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</row>
    <row r="6530" spans="1:12" ht="15" customHeight="1" x14ac:dyDescent="0.25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</row>
    <row r="6531" spans="1:12" ht="15" customHeight="1" x14ac:dyDescent="0.25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</row>
    <row r="6532" spans="1:12" ht="15" customHeight="1" x14ac:dyDescent="0.25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</row>
    <row r="6533" spans="1:12" ht="15" customHeight="1" x14ac:dyDescent="0.25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</row>
    <row r="6534" spans="1:12" ht="15" customHeight="1" x14ac:dyDescent="0.25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</row>
    <row r="6535" spans="1:12" ht="15" customHeight="1" x14ac:dyDescent="0.25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</row>
    <row r="6536" spans="1:12" ht="15" customHeight="1" x14ac:dyDescent="0.25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</row>
    <row r="6537" spans="1:12" ht="15" customHeight="1" x14ac:dyDescent="0.25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</row>
    <row r="6538" spans="1:12" ht="15" customHeight="1" x14ac:dyDescent="0.25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</row>
    <row r="6539" spans="1:12" ht="15" customHeight="1" x14ac:dyDescent="0.25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</row>
    <row r="6540" spans="1:12" ht="15" customHeight="1" x14ac:dyDescent="0.25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</row>
    <row r="6541" spans="1:12" ht="15" customHeight="1" x14ac:dyDescent="0.25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</row>
    <row r="6542" spans="1:12" ht="15" customHeight="1" x14ac:dyDescent="0.25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</row>
    <row r="6543" spans="1:12" ht="15" customHeight="1" x14ac:dyDescent="0.25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</row>
    <row r="6544" spans="1:12" ht="15" customHeight="1" x14ac:dyDescent="0.25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</row>
    <row r="6545" spans="1:12" ht="15" customHeight="1" x14ac:dyDescent="0.25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</row>
    <row r="6546" spans="1:12" ht="15" customHeight="1" x14ac:dyDescent="0.25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</row>
    <row r="6547" spans="1:12" ht="15" customHeight="1" x14ac:dyDescent="0.25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</row>
    <row r="6548" spans="1:12" ht="15" customHeight="1" x14ac:dyDescent="0.25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</row>
    <row r="6549" spans="1:12" ht="15" customHeight="1" x14ac:dyDescent="0.25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</row>
    <row r="6550" spans="1:12" ht="15" customHeight="1" x14ac:dyDescent="0.25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</row>
    <row r="6551" spans="1:12" ht="15" customHeight="1" x14ac:dyDescent="0.25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</row>
    <row r="6552" spans="1:12" ht="15" customHeight="1" x14ac:dyDescent="0.25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</row>
    <row r="6553" spans="1:12" ht="15" customHeight="1" x14ac:dyDescent="0.25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</row>
    <row r="6554" spans="1:12" ht="15" customHeight="1" x14ac:dyDescent="0.25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</row>
    <row r="6555" spans="1:12" ht="15" customHeight="1" x14ac:dyDescent="0.25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</row>
    <row r="6556" spans="1:12" ht="15" customHeight="1" x14ac:dyDescent="0.25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</row>
    <row r="6557" spans="1:12" ht="15" customHeight="1" x14ac:dyDescent="0.25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</row>
    <row r="6558" spans="1:12" ht="15" customHeight="1" x14ac:dyDescent="0.25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</row>
    <row r="6559" spans="1:12" ht="15" customHeight="1" x14ac:dyDescent="0.25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</row>
    <row r="6560" spans="1:12" ht="15" customHeight="1" x14ac:dyDescent="0.25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</row>
    <row r="6561" spans="1:12" ht="15" customHeight="1" x14ac:dyDescent="0.25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</row>
    <row r="6562" spans="1:12" ht="15" customHeight="1" x14ac:dyDescent="0.25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</row>
    <row r="6563" spans="1:12" ht="15" customHeight="1" x14ac:dyDescent="0.25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</row>
    <row r="6564" spans="1:12" ht="15" customHeight="1" x14ac:dyDescent="0.25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</row>
    <row r="6565" spans="1:12" ht="15" customHeight="1" x14ac:dyDescent="0.25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</row>
    <row r="6566" spans="1:12" ht="15" customHeight="1" x14ac:dyDescent="0.25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</row>
    <row r="6567" spans="1:12" ht="15" customHeight="1" x14ac:dyDescent="0.25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</row>
    <row r="6568" spans="1:12" ht="15" customHeight="1" x14ac:dyDescent="0.25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</row>
    <row r="6569" spans="1:12" ht="15" customHeight="1" x14ac:dyDescent="0.25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</row>
    <row r="6570" spans="1:12" ht="15" customHeight="1" x14ac:dyDescent="0.25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</row>
    <row r="6571" spans="1:12" ht="15" customHeight="1" x14ac:dyDescent="0.25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</row>
    <row r="6572" spans="1:12" ht="15" customHeight="1" x14ac:dyDescent="0.25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</row>
    <row r="6573" spans="1:12" ht="15" customHeight="1" x14ac:dyDescent="0.25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</row>
    <row r="6574" spans="1:12" ht="15" customHeight="1" x14ac:dyDescent="0.25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</row>
    <row r="6575" spans="1:12" ht="15" customHeight="1" x14ac:dyDescent="0.25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</row>
    <row r="6576" spans="1:12" ht="15" customHeight="1" x14ac:dyDescent="0.25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</row>
    <row r="6577" spans="1:12" ht="15" customHeight="1" x14ac:dyDescent="0.25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</row>
    <row r="6578" spans="1:12" ht="15" customHeight="1" x14ac:dyDescent="0.25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</row>
    <row r="6579" spans="1:12" ht="15" customHeight="1" x14ac:dyDescent="0.25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</row>
    <row r="6580" spans="1:12" ht="15" customHeight="1" x14ac:dyDescent="0.25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</row>
    <row r="6581" spans="1:12" ht="15" customHeight="1" x14ac:dyDescent="0.25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</row>
    <row r="6582" spans="1:12" ht="15" customHeight="1" x14ac:dyDescent="0.25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</row>
    <row r="6583" spans="1:12" ht="15" customHeight="1" x14ac:dyDescent="0.25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</row>
    <row r="6584" spans="1:12" ht="15" customHeight="1" x14ac:dyDescent="0.25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</row>
    <row r="6585" spans="1:12" ht="15" customHeight="1" x14ac:dyDescent="0.25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</row>
    <row r="6586" spans="1:12" ht="15" customHeight="1" x14ac:dyDescent="0.25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</row>
    <row r="6587" spans="1:12" ht="15" customHeight="1" x14ac:dyDescent="0.25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</row>
    <row r="6588" spans="1:12" ht="15" customHeight="1" x14ac:dyDescent="0.25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</row>
    <row r="6589" spans="1:12" ht="15" customHeight="1" x14ac:dyDescent="0.25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</row>
    <row r="6590" spans="1:12" ht="15" customHeight="1" x14ac:dyDescent="0.25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</row>
    <row r="6591" spans="1:12" ht="15" customHeight="1" x14ac:dyDescent="0.25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</row>
    <row r="6592" spans="1:12" ht="15" customHeight="1" x14ac:dyDescent="0.25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</row>
    <row r="6593" spans="1:12" ht="15" customHeight="1" x14ac:dyDescent="0.25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</row>
    <row r="6594" spans="1:12" ht="15" customHeight="1" x14ac:dyDescent="0.25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</row>
    <row r="6595" spans="1:12" ht="15" customHeight="1" x14ac:dyDescent="0.25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</row>
    <row r="6596" spans="1:12" ht="15" customHeight="1" x14ac:dyDescent="0.25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</row>
    <row r="6597" spans="1:12" ht="15" customHeight="1" x14ac:dyDescent="0.25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</row>
    <row r="6598" spans="1:12" ht="15" customHeight="1" x14ac:dyDescent="0.25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</row>
    <row r="6599" spans="1:12" ht="15" customHeight="1" x14ac:dyDescent="0.25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</row>
    <row r="6600" spans="1:12" ht="15" customHeight="1" x14ac:dyDescent="0.25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</row>
    <row r="6601" spans="1:12" ht="15" customHeight="1" x14ac:dyDescent="0.25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</row>
    <row r="6602" spans="1:12" ht="15" customHeight="1" x14ac:dyDescent="0.25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</row>
    <row r="6603" spans="1:12" ht="15" customHeight="1" x14ac:dyDescent="0.25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</row>
    <row r="6604" spans="1:12" ht="15" customHeight="1" x14ac:dyDescent="0.25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</row>
    <row r="6605" spans="1:12" ht="15" customHeight="1" x14ac:dyDescent="0.25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</row>
    <row r="6606" spans="1:12" ht="15" customHeight="1" x14ac:dyDescent="0.25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</row>
    <row r="6607" spans="1:12" ht="15" customHeight="1" x14ac:dyDescent="0.25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</row>
    <row r="6608" spans="1:12" ht="15" customHeight="1" x14ac:dyDescent="0.25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</row>
    <row r="6609" spans="1:12" ht="15" customHeight="1" x14ac:dyDescent="0.25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</row>
    <row r="6610" spans="1:12" ht="15" customHeight="1" x14ac:dyDescent="0.25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</row>
    <row r="6611" spans="1:12" ht="15" customHeight="1" x14ac:dyDescent="0.25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</row>
    <row r="6612" spans="1:12" ht="15" customHeight="1" x14ac:dyDescent="0.25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</row>
    <row r="6613" spans="1:12" ht="15" customHeight="1" x14ac:dyDescent="0.25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</row>
    <row r="6614" spans="1:12" ht="15" customHeight="1" x14ac:dyDescent="0.25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</row>
    <row r="6615" spans="1:12" ht="15" customHeight="1" x14ac:dyDescent="0.25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</row>
    <row r="6616" spans="1:12" ht="15" customHeight="1" x14ac:dyDescent="0.25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</row>
    <row r="6617" spans="1:12" ht="15" customHeight="1" x14ac:dyDescent="0.25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</row>
    <row r="6618" spans="1:12" ht="15" customHeight="1" x14ac:dyDescent="0.25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</row>
    <row r="6619" spans="1:12" ht="15" customHeight="1" x14ac:dyDescent="0.25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</row>
    <row r="6620" spans="1:12" ht="15" customHeight="1" x14ac:dyDescent="0.25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</row>
    <row r="6621" spans="1:12" ht="15" customHeight="1" x14ac:dyDescent="0.25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</row>
    <row r="6622" spans="1:12" ht="15" customHeight="1" x14ac:dyDescent="0.25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</row>
    <row r="6623" spans="1:12" ht="15" customHeight="1" x14ac:dyDescent="0.25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</row>
    <row r="6624" spans="1:12" ht="15" customHeight="1" x14ac:dyDescent="0.25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</row>
    <row r="6625" spans="1:12" ht="15" customHeight="1" x14ac:dyDescent="0.25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</row>
    <row r="6626" spans="1:12" ht="15" customHeight="1" x14ac:dyDescent="0.25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</row>
    <row r="6627" spans="1:12" ht="15" customHeight="1" x14ac:dyDescent="0.25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</row>
    <row r="6628" spans="1:12" ht="15" customHeight="1" x14ac:dyDescent="0.25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</row>
    <row r="6629" spans="1:12" ht="15" customHeight="1" x14ac:dyDescent="0.25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</row>
    <row r="6630" spans="1:12" ht="15" customHeight="1" x14ac:dyDescent="0.25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</row>
    <row r="6631" spans="1:12" ht="15" customHeight="1" x14ac:dyDescent="0.25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</row>
    <row r="6632" spans="1:12" ht="15" customHeight="1" x14ac:dyDescent="0.25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</row>
    <row r="6633" spans="1:12" ht="15" customHeight="1" x14ac:dyDescent="0.25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</row>
    <row r="6634" spans="1:12" ht="15" customHeight="1" x14ac:dyDescent="0.25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</row>
    <row r="6635" spans="1:12" ht="15" customHeight="1" x14ac:dyDescent="0.25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</row>
    <row r="6636" spans="1:12" ht="15" customHeight="1" x14ac:dyDescent="0.25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</row>
    <row r="6637" spans="1:12" ht="15" customHeight="1" x14ac:dyDescent="0.25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</row>
    <row r="6638" spans="1:12" ht="15" customHeight="1" x14ac:dyDescent="0.25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</row>
    <row r="6639" spans="1:12" ht="15" customHeight="1" x14ac:dyDescent="0.25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</row>
    <row r="6640" spans="1:12" ht="15" customHeight="1" x14ac:dyDescent="0.25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</row>
    <row r="6641" spans="1:12" ht="15" customHeight="1" x14ac:dyDescent="0.25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</row>
    <row r="6642" spans="1:12" ht="15" customHeight="1" x14ac:dyDescent="0.25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</row>
    <row r="6643" spans="1:12" ht="15" customHeight="1" x14ac:dyDescent="0.25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</row>
    <row r="6644" spans="1:12" ht="15" customHeight="1" x14ac:dyDescent="0.25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</row>
    <row r="6645" spans="1:12" ht="15" customHeight="1" x14ac:dyDescent="0.25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</row>
    <row r="6646" spans="1:12" ht="15" customHeight="1" x14ac:dyDescent="0.25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</row>
    <row r="6647" spans="1:12" ht="15" customHeight="1" x14ac:dyDescent="0.25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</row>
    <row r="6648" spans="1:12" ht="15" customHeight="1" x14ac:dyDescent="0.25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</row>
    <row r="6649" spans="1:12" ht="15" customHeight="1" x14ac:dyDescent="0.25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</row>
    <row r="6650" spans="1:12" ht="15" customHeight="1" x14ac:dyDescent="0.25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</row>
    <row r="6651" spans="1:12" ht="15" customHeight="1" x14ac:dyDescent="0.25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</row>
    <row r="6652" spans="1:12" ht="15" customHeight="1" x14ac:dyDescent="0.25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</row>
    <row r="6653" spans="1:12" ht="15" customHeight="1" x14ac:dyDescent="0.25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</row>
    <row r="6654" spans="1:12" ht="15" customHeight="1" x14ac:dyDescent="0.25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</row>
    <row r="6655" spans="1:12" ht="15" customHeight="1" x14ac:dyDescent="0.25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</row>
    <row r="6656" spans="1:12" ht="15" customHeight="1" x14ac:dyDescent="0.25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</row>
    <row r="6657" spans="1:12" ht="15" customHeight="1" x14ac:dyDescent="0.25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</row>
    <row r="6658" spans="1:12" ht="15" customHeight="1" x14ac:dyDescent="0.25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</row>
    <row r="6659" spans="1:12" ht="15" customHeight="1" x14ac:dyDescent="0.25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</row>
    <row r="6660" spans="1:12" ht="15" customHeight="1" x14ac:dyDescent="0.25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</row>
    <row r="6661" spans="1:12" ht="15" customHeight="1" x14ac:dyDescent="0.25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</row>
    <row r="6662" spans="1:12" ht="15" customHeight="1" x14ac:dyDescent="0.25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</row>
    <row r="6663" spans="1:12" ht="15" customHeight="1" x14ac:dyDescent="0.25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</row>
    <row r="6664" spans="1:12" ht="15" customHeight="1" x14ac:dyDescent="0.25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</row>
    <row r="6665" spans="1:12" ht="15" customHeight="1" x14ac:dyDescent="0.25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</row>
    <row r="6666" spans="1:12" ht="15" customHeight="1" x14ac:dyDescent="0.25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</row>
    <row r="6667" spans="1:12" ht="15" customHeight="1" x14ac:dyDescent="0.25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</row>
    <row r="6668" spans="1:12" ht="15" customHeight="1" x14ac:dyDescent="0.25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</row>
    <row r="6669" spans="1:12" ht="15" customHeight="1" x14ac:dyDescent="0.25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</row>
    <row r="6670" spans="1:12" ht="15" customHeight="1" x14ac:dyDescent="0.25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</row>
    <row r="6671" spans="1:12" ht="15" customHeight="1" x14ac:dyDescent="0.25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</row>
    <row r="6672" spans="1:12" ht="15" customHeight="1" x14ac:dyDescent="0.25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</row>
    <row r="6673" spans="1:12" ht="15" customHeight="1" x14ac:dyDescent="0.25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</row>
    <row r="6674" spans="1:12" ht="15" customHeight="1" x14ac:dyDescent="0.25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</row>
    <row r="6675" spans="1:12" ht="15" customHeight="1" x14ac:dyDescent="0.25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</row>
    <row r="6676" spans="1:12" ht="15" customHeight="1" x14ac:dyDescent="0.25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</row>
    <row r="6677" spans="1:12" ht="15" customHeight="1" x14ac:dyDescent="0.25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</row>
    <row r="6678" spans="1:12" ht="15" customHeight="1" x14ac:dyDescent="0.25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</row>
    <row r="6679" spans="1:12" ht="15" customHeight="1" x14ac:dyDescent="0.25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</row>
    <row r="6680" spans="1:12" ht="15" customHeight="1" x14ac:dyDescent="0.25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</row>
    <row r="6681" spans="1:12" ht="15" customHeight="1" x14ac:dyDescent="0.25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</row>
    <row r="6682" spans="1:12" ht="15" customHeight="1" x14ac:dyDescent="0.25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</row>
    <row r="6683" spans="1:12" ht="15" customHeight="1" x14ac:dyDescent="0.25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</row>
    <row r="6684" spans="1:12" ht="15" customHeight="1" x14ac:dyDescent="0.25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</row>
    <row r="6685" spans="1:12" ht="15" customHeight="1" x14ac:dyDescent="0.25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</row>
    <row r="6686" spans="1:12" ht="15" customHeight="1" x14ac:dyDescent="0.25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</row>
    <row r="6687" spans="1:12" ht="15" customHeight="1" x14ac:dyDescent="0.25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</row>
    <row r="6688" spans="1:12" ht="15" customHeight="1" x14ac:dyDescent="0.25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</row>
    <row r="6689" spans="1:12" ht="15" customHeight="1" x14ac:dyDescent="0.25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</row>
    <row r="6690" spans="1:12" ht="15" customHeight="1" x14ac:dyDescent="0.25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</row>
    <row r="6691" spans="1:12" ht="15" customHeight="1" x14ac:dyDescent="0.25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</row>
    <row r="6692" spans="1:12" ht="15" customHeight="1" x14ac:dyDescent="0.25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</row>
    <row r="6693" spans="1:12" ht="15" customHeight="1" x14ac:dyDescent="0.25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</row>
    <row r="6694" spans="1:12" ht="15" customHeight="1" x14ac:dyDescent="0.25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</row>
    <row r="6695" spans="1:12" ht="15" customHeight="1" x14ac:dyDescent="0.25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</row>
    <row r="6696" spans="1:12" ht="15" customHeight="1" x14ac:dyDescent="0.25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</row>
    <row r="6697" spans="1:12" ht="15" customHeight="1" x14ac:dyDescent="0.25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</row>
    <row r="6698" spans="1:12" ht="15" customHeight="1" x14ac:dyDescent="0.25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</row>
    <row r="6699" spans="1:12" ht="15" customHeight="1" x14ac:dyDescent="0.25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</row>
    <row r="6700" spans="1:12" ht="15" customHeight="1" x14ac:dyDescent="0.25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</row>
    <row r="6701" spans="1:12" ht="15" customHeight="1" x14ac:dyDescent="0.25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</row>
    <row r="6702" spans="1:12" ht="15" customHeight="1" x14ac:dyDescent="0.25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</row>
    <row r="6703" spans="1:12" ht="15" customHeight="1" x14ac:dyDescent="0.25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</row>
    <row r="6704" spans="1:12" ht="15" customHeight="1" x14ac:dyDescent="0.25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</row>
    <row r="6705" spans="1:12" ht="15" customHeight="1" x14ac:dyDescent="0.25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</row>
    <row r="6706" spans="1:12" ht="15" customHeight="1" x14ac:dyDescent="0.25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</row>
    <row r="6707" spans="1:12" ht="15" customHeight="1" x14ac:dyDescent="0.25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</row>
    <row r="6708" spans="1:12" ht="15" customHeight="1" x14ac:dyDescent="0.25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</row>
    <row r="6709" spans="1:12" ht="15" customHeight="1" x14ac:dyDescent="0.25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</row>
    <row r="6710" spans="1:12" ht="15" customHeight="1" x14ac:dyDescent="0.25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</row>
    <row r="6711" spans="1:12" ht="15" customHeight="1" x14ac:dyDescent="0.25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</row>
    <row r="6712" spans="1:12" ht="15" customHeight="1" x14ac:dyDescent="0.25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</row>
    <row r="6713" spans="1:12" ht="15" customHeight="1" x14ac:dyDescent="0.25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</row>
    <row r="6714" spans="1:12" ht="15" customHeight="1" x14ac:dyDescent="0.25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</row>
    <row r="6715" spans="1:12" ht="15" customHeight="1" x14ac:dyDescent="0.25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</row>
    <row r="6716" spans="1:12" ht="15" customHeight="1" x14ac:dyDescent="0.25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</row>
    <row r="6717" spans="1:12" ht="15" customHeight="1" x14ac:dyDescent="0.25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</row>
    <row r="6718" spans="1:12" ht="15" customHeight="1" x14ac:dyDescent="0.25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</row>
    <row r="6719" spans="1:12" ht="15" customHeight="1" x14ac:dyDescent="0.25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</row>
    <row r="6720" spans="1:12" ht="15" customHeight="1" x14ac:dyDescent="0.25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</row>
    <row r="6721" spans="1:12" ht="15" customHeight="1" x14ac:dyDescent="0.25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</row>
    <row r="6722" spans="1:12" ht="15" customHeight="1" x14ac:dyDescent="0.25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</row>
    <row r="6723" spans="1:12" ht="15" customHeight="1" x14ac:dyDescent="0.25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</row>
    <row r="6724" spans="1:12" ht="15" customHeight="1" x14ac:dyDescent="0.25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</row>
    <row r="6725" spans="1:12" ht="15" customHeight="1" x14ac:dyDescent="0.25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</row>
    <row r="6726" spans="1:12" ht="15" customHeight="1" x14ac:dyDescent="0.25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</row>
    <row r="6727" spans="1:12" ht="15" customHeight="1" x14ac:dyDescent="0.25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</row>
    <row r="6728" spans="1:12" ht="15" customHeight="1" x14ac:dyDescent="0.25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</row>
    <row r="6729" spans="1:12" ht="15" customHeight="1" x14ac:dyDescent="0.25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</row>
    <row r="6730" spans="1:12" ht="15" customHeight="1" x14ac:dyDescent="0.25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</row>
    <row r="6731" spans="1:12" ht="15" customHeight="1" x14ac:dyDescent="0.25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</row>
    <row r="6732" spans="1:12" ht="15" customHeight="1" x14ac:dyDescent="0.25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</row>
    <row r="6733" spans="1:12" ht="15" customHeight="1" x14ac:dyDescent="0.25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</row>
    <row r="6734" spans="1:12" ht="15" customHeight="1" x14ac:dyDescent="0.25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</row>
    <row r="6735" spans="1:12" ht="15" customHeight="1" x14ac:dyDescent="0.25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</row>
    <row r="6736" spans="1:12" ht="15" customHeight="1" x14ac:dyDescent="0.25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</row>
    <row r="6737" spans="1:12" ht="15" customHeight="1" x14ac:dyDescent="0.25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</row>
    <row r="6738" spans="1:12" ht="15" customHeight="1" x14ac:dyDescent="0.25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</row>
    <row r="6739" spans="1:12" ht="15" customHeight="1" x14ac:dyDescent="0.25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</row>
    <row r="6740" spans="1:12" ht="15" customHeight="1" x14ac:dyDescent="0.25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</row>
    <row r="6741" spans="1:12" ht="15" customHeight="1" x14ac:dyDescent="0.25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</row>
    <row r="6742" spans="1:12" ht="15" customHeight="1" x14ac:dyDescent="0.25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</row>
    <row r="6743" spans="1:12" ht="15" customHeight="1" x14ac:dyDescent="0.25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</row>
    <row r="6744" spans="1:12" ht="15" customHeight="1" x14ac:dyDescent="0.25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</row>
    <row r="6745" spans="1:12" ht="15" customHeight="1" x14ac:dyDescent="0.25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</row>
    <row r="6746" spans="1:12" ht="15" customHeight="1" x14ac:dyDescent="0.25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</row>
    <row r="6747" spans="1:12" ht="15" customHeight="1" x14ac:dyDescent="0.25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</row>
    <row r="6748" spans="1:12" ht="15" customHeight="1" x14ac:dyDescent="0.25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</row>
    <row r="6749" spans="1:12" ht="15" customHeight="1" x14ac:dyDescent="0.25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</row>
    <row r="6750" spans="1:12" ht="15" customHeight="1" x14ac:dyDescent="0.25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</row>
    <row r="6751" spans="1:12" ht="15" customHeight="1" x14ac:dyDescent="0.25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</row>
    <row r="6752" spans="1:12" ht="15" customHeight="1" x14ac:dyDescent="0.25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</row>
    <row r="6753" spans="1:12" ht="15" customHeight="1" x14ac:dyDescent="0.25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</row>
    <row r="6754" spans="1:12" ht="15" customHeight="1" x14ac:dyDescent="0.25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</row>
    <row r="6755" spans="1:12" ht="15" customHeight="1" x14ac:dyDescent="0.25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</row>
    <row r="6756" spans="1:12" ht="15" customHeight="1" x14ac:dyDescent="0.25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</row>
    <row r="6757" spans="1:12" ht="15" customHeight="1" x14ac:dyDescent="0.25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</row>
    <row r="6758" spans="1:12" ht="15" customHeight="1" x14ac:dyDescent="0.25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</row>
    <row r="6759" spans="1:12" ht="15" customHeight="1" x14ac:dyDescent="0.25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</row>
    <row r="6760" spans="1:12" ht="15" customHeight="1" x14ac:dyDescent="0.25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</row>
    <row r="6761" spans="1:12" ht="15" customHeight="1" x14ac:dyDescent="0.25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</row>
    <row r="6762" spans="1:12" ht="15" customHeight="1" x14ac:dyDescent="0.25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</row>
    <row r="6763" spans="1:12" ht="15" customHeight="1" x14ac:dyDescent="0.25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</row>
    <row r="6764" spans="1:12" ht="15" customHeight="1" x14ac:dyDescent="0.25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</row>
    <row r="6765" spans="1:12" ht="15" customHeight="1" x14ac:dyDescent="0.25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</row>
    <row r="6766" spans="1:12" ht="15" customHeight="1" x14ac:dyDescent="0.25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</row>
    <row r="6767" spans="1:12" ht="15" customHeight="1" x14ac:dyDescent="0.25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</row>
    <row r="6768" spans="1:12" ht="15" customHeight="1" x14ac:dyDescent="0.25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</row>
    <row r="6769" spans="1:12" ht="15" customHeight="1" x14ac:dyDescent="0.25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</row>
    <row r="6770" spans="1:12" ht="15" customHeight="1" x14ac:dyDescent="0.25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</row>
    <row r="6771" spans="1:12" ht="15" customHeight="1" x14ac:dyDescent="0.25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</row>
    <row r="6772" spans="1:12" ht="15" customHeight="1" x14ac:dyDescent="0.25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</row>
    <row r="6773" spans="1:12" ht="15" customHeight="1" x14ac:dyDescent="0.25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</row>
    <row r="6774" spans="1:12" ht="15" customHeight="1" x14ac:dyDescent="0.25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</row>
    <row r="6775" spans="1:12" ht="15" customHeight="1" x14ac:dyDescent="0.25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</row>
    <row r="6776" spans="1:12" ht="15" customHeight="1" x14ac:dyDescent="0.25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</row>
    <row r="6777" spans="1:12" ht="15" customHeight="1" x14ac:dyDescent="0.25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</row>
    <row r="6778" spans="1:12" ht="15" customHeight="1" x14ac:dyDescent="0.25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</row>
    <row r="6779" spans="1:12" ht="15" customHeight="1" x14ac:dyDescent="0.25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</row>
    <row r="6780" spans="1:12" ht="15" customHeight="1" x14ac:dyDescent="0.25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</row>
    <row r="6781" spans="1:12" ht="15" customHeight="1" x14ac:dyDescent="0.25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</row>
    <row r="6782" spans="1:12" ht="15" customHeight="1" x14ac:dyDescent="0.25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</row>
    <row r="6783" spans="1:12" ht="15" customHeight="1" x14ac:dyDescent="0.25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</row>
    <row r="6784" spans="1:12" ht="15" customHeight="1" x14ac:dyDescent="0.25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</row>
    <row r="6785" spans="1:12" ht="15" customHeight="1" x14ac:dyDescent="0.25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</row>
    <row r="6786" spans="1:12" ht="15" customHeight="1" x14ac:dyDescent="0.25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</row>
    <row r="6787" spans="1:12" ht="15" customHeight="1" x14ac:dyDescent="0.25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</row>
    <row r="6788" spans="1:12" ht="15" customHeight="1" x14ac:dyDescent="0.25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</row>
    <row r="6789" spans="1:12" ht="15" customHeight="1" x14ac:dyDescent="0.25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</row>
    <row r="6790" spans="1:12" ht="15" customHeight="1" x14ac:dyDescent="0.25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</row>
    <row r="6791" spans="1:12" ht="15" customHeight="1" x14ac:dyDescent="0.25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</row>
    <row r="6792" spans="1:12" ht="15" customHeight="1" x14ac:dyDescent="0.25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</row>
    <row r="6793" spans="1:12" ht="15" customHeight="1" x14ac:dyDescent="0.25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</row>
    <row r="6794" spans="1:12" ht="15" customHeight="1" x14ac:dyDescent="0.25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</row>
    <row r="6795" spans="1:12" ht="15" customHeight="1" x14ac:dyDescent="0.25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</row>
    <row r="6796" spans="1:12" ht="15" customHeight="1" x14ac:dyDescent="0.25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</row>
    <row r="6797" spans="1:12" ht="15" customHeight="1" x14ac:dyDescent="0.25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</row>
    <row r="6798" spans="1:12" ht="15" customHeight="1" x14ac:dyDescent="0.25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</row>
    <row r="6799" spans="1:12" ht="15" customHeight="1" x14ac:dyDescent="0.25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</row>
    <row r="6800" spans="1:12" ht="15" customHeight="1" x14ac:dyDescent="0.25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</row>
    <row r="6801" spans="1:12" ht="15" customHeight="1" x14ac:dyDescent="0.25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</row>
    <row r="6802" spans="1:12" ht="15" customHeight="1" x14ac:dyDescent="0.25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</row>
    <row r="6803" spans="1:12" ht="15" customHeight="1" x14ac:dyDescent="0.25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</row>
    <row r="6804" spans="1:12" ht="15" customHeight="1" x14ac:dyDescent="0.25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</row>
    <row r="6805" spans="1:12" ht="15" customHeight="1" x14ac:dyDescent="0.25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</row>
    <row r="6806" spans="1:12" ht="15" customHeight="1" x14ac:dyDescent="0.25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</row>
    <row r="6807" spans="1:12" ht="15" customHeight="1" x14ac:dyDescent="0.25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</row>
    <row r="6808" spans="1:12" ht="15" customHeight="1" x14ac:dyDescent="0.25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</row>
    <row r="6809" spans="1:12" ht="15" customHeight="1" x14ac:dyDescent="0.25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</row>
    <row r="6810" spans="1:12" ht="15" customHeight="1" x14ac:dyDescent="0.25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</row>
    <row r="6811" spans="1:12" ht="15" customHeight="1" x14ac:dyDescent="0.25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</row>
    <row r="6812" spans="1:12" ht="15" customHeight="1" x14ac:dyDescent="0.25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</row>
    <row r="6813" spans="1:12" ht="15" customHeight="1" x14ac:dyDescent="0.25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</row>
    <row r="6814" spans="1:12" ht="15" customHeight="1" x14ac:dyDescent="0.25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</row>
    <row r="6815" spans="1:12" ht="15" customHeight="1" x14ac:dyDescent="0.25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</row>
    <row r="6816" spans="1:12" ht="15" customHeight="1" x14ac:dyDescent="0.25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</row>
    <row r="6817" spans="1:12" ht="15" customHeight="1" x14ac:dyDescent="0.25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</row>
    <row r="6818" spans="1:12" ht="15" customHeight="1" x14ac:dyDescent="0.25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</row>
    <row r="6819" spans="1:12" ht="15" customHeight="1" x14ac:dyDescent="0.25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</row>
    <row r="6820" spans="1:12" ht="15" customHeight="1" x14ac:dyDescent="0.25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</row>
    <row r="6821" spans="1:12" ht="15" customHeight="1" x14ac:dyDescent="0.25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</row>
    <row r="6822" spans="1:12" ht="15" customHeight="1" x14ac:dyDescent="0.25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</row>
    <row r="6823" spans="1:12" ht="15" customHeight="1" x14ac:dyDescent="0.25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</row>
    <row r="6824" spans="1:12" ht="15" customHeight="1" x14ac:dyDescent="0.25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</row>
    <row r="6825" spans="1:12" ht="15" customHeight="1" x14ac:dyDescent="0.25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</row>
    <row r="6826" spans="1:12" ht="15" customHeight="1" x14ac:dyDescent="0.25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</row>
    <row r="6827" spans="1:12" ht="15" customHeight="1" x14ac:dyDescent="0.25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</row>
    <row r="6828" spans="1:12" ht="15" customHeight="1" x14ac:dyDescent="0.25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</row>
    <row r="6829" spans="1:12" ht="15" customHeight="1" x14ac:dyDescent="0.25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</row>
    <row r="6830" spans="1:12" ht="15" customHeight="1" x14ac:dyDescent="0.25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</row>
    <row r="6831" spans="1:12" ht="15" customHeight="1" x14ac:dyDescent="0.25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</row>
    <row r="6832" spans="1:12" ht="15" customHeight="1" x14ac:dyDescent="0.25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</row>
    <row r="6833" spans="1:12" ht="15" customHeight="1" x14ac:dyDescent="0.25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</row>
    <row r="6834" spans="1:12" ht="15" customHeight="1" x14ac:dyDescent="0.25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</row>
    <row r="6835" spans="1:12" ht="15" customHeight="1" x14ac:dyDescent="0.25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</row>
    <row r="6836" spans="1:12" ht="15" customHeight="1" x14ac:dyDescent="0.25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</row>
    <row r="6837" spans="1:12" ht="15" customHeight="1" x14ac:dyDescent="0.25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</row>
    <row r="6838" spans="1:12" ht="15" customHeight="1" x14ac:dyDescent="0.25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</row>
    <row r="6839" spans="1:12" ht="15" customHeight="1" x14ac:dyDescent="0.25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</row>
    <row r="6840" spans="1:12" ht="15" customHeight="1" x14ac:dyDescent="0.25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</row>
    <row r="6841" spans="1:12" ht="15" customHeight="1" x14ac:dyDescent="0.25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</row>
    <row r="6842" spans="1:12" ht="15" customHeight="1" x14ac:dyDescent="0.25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</row>
    <row r="6843" spans="1:12" ht="15" customHeight="1" x14ac:dyDescent="0.25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</row>
    <row r="6844" spans="1:12" ht="15" customHeight="1" x14ac:dyDescent="0.25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</row>
    <row r="6845" spans="1:12" ht="15" customHeight="1" x14ac:dyDescent="0.25">
      <c r="A6845" s="10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</row>
    <row r="6846" spans="1:12" ht="15" customHeight="1" x14ac:dyDescent="0.25">
      <c r="A6846" s="10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</row>
    <row r="6847" spans="1:12" ht="15" customHeight="1" x14ac:dyDescent="0.25">
      <c r="A6847" s="10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</row>
    <row r="6848" spans="1:12" ht="15" customHeight="1" x14ac:dyDescent="0.25">
      <c r="A6848" s="10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</row>
    <row r="6849" spans="1:12" ht="15" customHeight="1" x14ac:dyDescent="0.25">
      <c r="A6849" s="10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</row>
    <row r="6850" spans="1:12" ht="15" customHeight="1" x14ac:dyDescent="0.25">
      <c r="A6850" s="10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</row>
    <row r="6851" spans="1:12" ht="15" customHeight="1" x14ac:dyDescent="0.25">
      <c r="A6851" s="10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</row>
    <row r="6852" spans="1:12" ht="15" customHeight="1" x14ac:dyDescent="0.25">
      <c r="A6852" s="10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</row>
    <row r="6853" spans="1:12" ht="15" customHeight="1" x14ac:dyDescent="0.25">
      <c r="A6853" s="10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</row>
    <row r="6854" spans="1:12" ht="15" customHeight="1" x14ac:dyDescent="0.25">
      <c r="A6854" s="10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</row>
    <row r="6855" spans="1:12" ht="15" customHeight="1" x14ac:dyDescent="0.25">
      <c r="A6855" s="10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</row>
    <row r="6856" spans="1:12" ht="15" customHeight="1" x14ac:dyDescent="0.25">
      <c r="A6856" s="10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</row>
    <row r="6857" spans="1:12" ht="15" customHeight="1" x14ac:dyDescent="0.25">
      <c r="A6857" s="10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</row>
    <row r="6858" spans="1:12" ht="15" customHeight="1" x14ac:dyDescent="0.25">
      <c r="A6858" s="10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</row>
    <row r="6859" spans="1:12" ht="15" customHeight="1" x14ac:dyDescent="0.25">
      <c r="A6859" s="10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</row>
    <row r="6860" spans="1:12" ht="15" customHeight="1" x14ac:dyDescent="0.25">
      <c r="A6860" s="10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</row>
    <row r="6861" spans="1:12" ht="15" customHeight="1" x14ac:dyDescent="0.25">
      <c r="A6861" s="10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</row>
    <row r="6862" spans="1:12" ht="15" customHeight="1" x14ac:dyDescent="0.25">
      <c r="A6862" s="10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</row>
    <row r="6863" spans="1:12" ht="15" customHeight="1" x14ac:dyDescent="0.25">
      <c r="A6863" s="10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</row>
    <row r="6864" spans="1:12" ht="15" customHeight="1" x14ac:dyDescent="0.25">
      <c r="A6864" s="10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</row>
    <row r="6865" spans="1:12" ht="15" customHeight="1" x14ac:dyDescent="0.25">
      <c r="A6865" s="10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</row>
    <row r="6866" spans="1:12" ht="15" customHeight="1" x14ac:dyDescent="0.25">
      <c r="A6866" s="10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</row>
    <row r="6867" spans="1:12" ht="15" customHeight="1" x14ac:dyDescent="0.25">
      <c r="A6867" s="10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</row>
    <row r="6868" spans="1:12" ht="15" customHeight="1" x14ac:dyDescent="0.25">
      <c r="A6868" s="10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</row>
    <row r="6869" spans="1:12" ht="15" customHeight="1" x14ac:dyDescent="0.25">
      <c r="A6869" s="10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</row>
    <row r="6870" spans="1:12" ht="15" customHeight="1" x14ac:dyDescent="0.25">
      <c r="A6870" s="10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</row>
    <row r="6871" spans="1:12" ht="15" customHeight="1" x14ac:dyDescent="0.25">
      <c r="A6871" s="10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</row>
    <row r="6872" spans="1:12" ht="15" customHeight="1" x14ac:dyDescent="0.25">
      <c r="A6872" s="10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</row>
    <row r="6873" spans="1:12" ht="15" customHeight="1" x14ac:dyDescent="0.25">
      <c r="A6873" s="10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</row>
    <row r="6874" spans="1:12" ht="15" customHeight="1" x14ac:dyDescent="0.25">
      <c r="A6874" s="10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</row>
    <row r="6875" spans="1:12" ht="15" customHeight="1" x14ac:dyDescent="0.25">
      <c r="A6875" s="10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</row>
    <row r="6876" spans="1:12" ht="15" customHeight="1" x14ac:dyDescent="0.25">
      <c r="A6876" s="10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</row>
    <row r="6877" spans="1:12" ht="15" customHeight="1" x14ac:dyDescent="0.25">
      <c r="A6877" s="10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</row>
    <row r="6878" spans="1:12" ht="15" customHeight="1" x14ac:dyDescent="0.25">
      <c r="A6878" s="10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</row>
    <row r="6879" spans="1:12" ht="15" customHeight="1" x14ac:dyDescent="0.25">
      <c r="A6879" s="10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</row>
    <row r="6880" spans="1:12" ht="15" customHeight="1" x14ac:dyDescent="0.25">
      <c r="A6880" s="10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</row>
    <row r="6881" spans="1:12" ht="15" customHeight="1" x14ac:dyDescent="0.25">
      <c r="A6881" s="10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</row>
    <row r="6882" spans="1:12" ht="15" customHeight="1" x14ac:dyDescent="0.25">
      <c r="A6882" s="10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</row>
    <row r="6883" spans="1:12" ht="15" customHeight="1" x14ac:dyDescent="0.25">
      <c r="A6883" s="10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</row>
    <row r="6884" spans="1:12" ht="15" customHeight="1" x14ac:dyDescent="0.25">
      <c r="A6884" s="10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</row>
    <row r="6885" spans="1:12" ht="15" customHeight="1" x14ac:dyDescent="0.25">
      <c r="A6885" s="10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</row>
    <row r="6886" spans="1:12" ht="15" customHeight="1" x14ac:dyDescent="0.25">
      <c r="A6886" s="10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</row>
    <row r="6887" spans="1:12" ht="15" customHeight="1" x14ac:dyDescent="0.25">
      <c r="A6887" s="10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</row>
    <row r="6888" spans="1:12" ht="15" customHeight="1" x14ac:dyDescent="0.25">
      <c r="A6888" s="10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</row>
    <row r="6889" spans="1:12" ht="15" customHeight="1" x14ac:dyDescent="0.25">
      <c r="A6889" s="10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</row>
    <row r="6890" spans="1:12" ht="15" customHeight="1" x14ac:dyDescent="0.25">
      <c r="A6890" s="10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</row>
    <row r="6891" spans="1:12" ht="15" customHeight="1" x14ac:dyDescent="0.25">
      <c r="A6891" s="10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</row>
    <row r="6892" spans="1:12" ht="15" customHeight="1" x14ac:dyDescent="0.25">
      <c r="A6892" s="10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</row>
    <row r="6893" spans="1:12" ht="15" customHeight="1" x14ac:dyDescent="0.25">
      <c r="A6893" s="10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</row>
    <row r="6894" spans="1:12" ht="15" customHeight="1" x14ac:dyDescent="0.25">
      <c r="A6894" s="10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</row>
    <row r="6895" spans="1:12" ht="15" customHeight="1" x14ac:dyDescent="0.25">
      <c r="A6895" s="10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</row>
    <row r="6896" spans="1:12" ht="15" customHeight="1" x14ac:dyDescent="0.25">
      <c r="A6896" s="10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</row>
    <row r="6897" spans="1:12" ht="15" customHeight="1" x14ac:dyDescent="0.25">
      <c r="A6897" s="10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</row>
    <row r="6898" spans="1:12" ht="15" customHeight="1" x14ac:dyDescent="0.25">
      <c r="A6898" s="10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</row>
    <row r="6899" spans="1:12" ht="15" customHeight="1" x14ac:dyDescent="0.25">
      <c r="A6899" s="10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</row>
    <row r="6900" spans="1:12" ht="15" customHeight="1" x14ac:dyDescent="0.25">
      <c r="A6900" s="10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</row>
    <row r="6901" spans="1:12" ht="15" customHeight="1" x14ac:dyDescent="0.25">
      <c r="A6901" s="10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</row>
    <row r="6902" spans="1:12" ht="15" customHeight="1" x14ac:dyDescent="0.25">
      <c r="A6902" s="10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</row>
    <row r="6903" spans="1:12" ht="15" customHeight="1" x14ac:dyDescent="0.25">
      <c r="A6903" s="10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</row>
    <row r="6904" spans="1:12" ht="15" customHeight="1" x14ac:dyDescent="0.25">
      <c r="A6904" s="10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</row>
    <row r="6905" spans="1:12" ht="15" customHeight="1" x14ac:dyDescent="0.25">
      <c r="A6905" s="10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</row>
    <row r="6906" spans="1:12" ht="15" customHeight="1" x14ac:dyDescent="0.25">
      <c r="A6906" s="10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</row>
    <row r="6907" spans="1:12" ht="15" customHeight="1" x14ac:dyDescent="0.25">
      <c r="A6907" s="10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</row>
    <row r="6908" spans="1:12" ht="15" customHeight="1" x14ac:dyDescent="0.25">
      <c r="A6908" s="10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</row>
    <row r="6909" spans="1:12" ht="15" customHeight="1" x14ac:dyDescent="0.25">
      <c r="A6909" s="10"/>
      <c r="B6909" s="10"/>
      <c r="C6909" s="10"/>
      <c r="D6909" s="10"/>
      <c r="E6909" s="10"/>
      <c r="F6909" s="10"/>
      <c r="G6909" s="10"/>
      <c r="H6909" s="10"/>
      <c r="I6909" s="10"/>
      <c r="J6909" s="10"/>
      <c r="K6909" s="10"/>
      <c r="L6909" s="10"/>
    </row>
    <row r="6910" spans="1:12" ht="15" customHeight="1" x14ac:dyDescent="0.25">
      <c r="A6910" s="10"/>
      <c r="B6910" s="10"/>
      <c r="C6910" s="10"/>
      <c r="D6910" s="10"/>
      <c r="E6910" s="10"/>
      <c r="F6910" s="10"/>
      <c r="G6910" s="10"/>
      <c r="H6910" s="10"/>
      <c r="I6910" s="10"/>
      <c r="J6910" s="10"/>
      <c r="K6910" s="10"/>
      <c r="L6910" s="10"/>
    </row>
    <row r="6911" spans="1:12" ht="15" customHeight="1" x14ac:dyDescent="0.25">
      <c r="A6911" s="10"/>
      <c r="B6911" s="10"/>
      <c r="C6911" s="10"/>
      <c r="D6911" s="10"/>
      <c r="E6911" s="10"/>
      <c r="F6911" s="10"/>
      <c r="G6911" s="10"/>
      <c r="H6911" s="10"/>
      <c r="I6911" s="10"/>
      <c r="J6911" s="10"/>
      <c r="K6911" s="10"/>
      <c r="L6911" s="10"/>
    </row>
    <row r="6912" spans="1:12" ht="15" customHeight="1" x14ac:dyDescent="0.25">
      <c r="A6912" s="10"/>
      <c r="B6912" s="10"/>
      <c r="C6912" s="10"/>
      <c r="D6912" s="10"/>
      <c r="E6912" s="10"/>
      <c r="F6912" s="10"/>
      <c r="G6912" s="10"/>
      <c r="H6912" s="10"/>
      <c r="I6912" s="10"/>
      <c r="J6912" s="10"/>
      <c r="K6912" s="10"/>
      <c r="L6912" s="10"/>
    </row>
    <row r="6913" spans="1:12" ht="15" customHeight="1" x14ac:dyDescent="0.25">
      <c r="A6913" s="10"/>
      <c r="B6913" s="10"/>
      <c r="C6913" s="10"/>
      <c r="D6913" s="10"/>
      <c r="E6913" s="10"/>
      <c r="F6913" s="10"/>
      <c r="G6913" s="10"/>
      <c r="H6913" s="10"/>
      <c r="I6913" s="10"/>
      <c r="J6913" s="10"/>
      <c r="K6913" s="10"/>
      <c r="L6913" s="10"/>
    </row>
    <row r="6914" spans="1:12" ht="15" customHeight="1" x14ac:dyDescent="0.25">
      <c r="A6914" s="10"/>
      <c r="B6914" s="10"/>
      <c r="C6914" s="10"/>
      <c r="D6914" s="10"/>
      <c r="E6914" s="10"/>
      <c r="F6914" s="10"/>
      <c r="G6914" s="10"/>
      <c r="H6914" s="10"/>
      <c r="I6914" s="10"/>
      <c r="J6914" s="10"/>
      <c r="K6914" s="10"/>
      <c r="L6914" s="10"/>
    </row>
    <row r="6915" spans="1:12" ht="15" customHeight="1" x14ac:dyDescent="0.25">
      <c r="A6915" s="10"/>
      <c r="B6915" s="10"/>
      <c r="C6915" s="10"/>
      <c r="D6915" s="10"/>
      <c r="E6915" s="10"/>
      <c r="F6915" s="10"/>
      <c r="G6915" s="10"/>
      <c r="H6915" s="10"/>
      <c r="I6915" s="10"/>
      <c r="J6915" s="10"/>
      <c r="K6915" s="10"/>
      <c r="L6915" s="10"/>
    </row>
    <row r="6916" spans="1:12" ht="15" customHeight="1" x14ac:dyDescent="0.25">
      <c r="A6916" s="10"/>
      <c r="B6916" s="10"/>
      <c r="C6916" s="10"/>
      <c r="D6916" s="10"/>
      <c r="E6916" s="10"/>
      <c r="F6916" s="10"/>
      <c r="G6916" s="10"/>
      <c r="H6916" s="10"/>
      <c r="I6916" s="10"/>
      <c r="J6916" s="10"/>
      <c r="K6916" s="10"/>
      <c r="L6916" s="10"/>
    </row>
    <row r="6917" spans="1:12" ht="15" customHeight="1" x14ac:dyDescent="0.25">
      <c r="A6917" s="10"/>
      <c r="B6917" s="10"/>
      <c r="C6917" s="10"/>
      <c r="D6917" s="10"/>
      <c r="E6917" s="10"/>
      <c r="F6917" s="10"/>
      <c r="G6917" s="10"/>
      <c r="H6917" s="10"/>
      <c r="I6917" s="10"/>
      <c r="J6917" s="10"/>
      <c r="K6917" s="10"/>
      <c r="L6917" s="10"/>
    </row>
    <row r="6918" spans="1:12" ht="15" customHeight="1" x14ac:dyDescent="0.25">
      <c r="A6918" s="10"/>
      <c r="B6918" s="10"/>
      <c r="C6918" s="10"/>
      <c r="D6918" s="10"/>
      <c r="E6918" s="10"/>
      <c r="F6918" s="10"/>
      <c r="G6918" s="10"/>
      <c r="H6918" s="10"/>
      <c r="I6918" s="10"/>
      <c r="J6918" s="10"/>
      <c r="K6918" s="10"/>
      <c r="L6918" s="10"/>
    </row>
    <row r="6919" spans="1:12" ht="15" customHeight="1" x14ac:dyDescent="0.25">
      <c r="A6919" s="10"/>
      <c r="B6919" s="10"/>
      <c r="C6919" s="10"/>
      <c r="D6919" s="10"/>
      <c r="E6919" s="10"/>
      <c r="F6919" s="10"/>
      <c r="G6919" s="10"/>
      <c r="H6919" s="10"/>
      <c r="I6919" s="10"/>
      <c r="J6919" s="10"/>
      <c r="K6919" s="10"/>
      <c r="L6919" s="10"/>
    </row>
    <row r="6920" spans="1:12" ht="15" customHeight="1" x14ac:dyDescent="0.25">
      <c r="A6920" s="10"/>
      <c r="B6920" s="10"/>
      <c r="C6920" s="10"/>
      <c r="D6920" s="10"/>
      <c r="E6920" s="10"/>
      <c r="F6920" s="10"/>
      <c r="G6920" s="10"/>
      <c r="H6920" s="10"/>
      <c r="I6920" s="10"/>
      <c r="J6920" s="10"/>
      <c r="K6920" s="10"/>
      <c r="L6920" s="10"/>
    </row>
    <row r="6921" spans="1:12" ht="15" customHeight="1" x14ac:dyDescent="0.25">
      <c r="A6921" s="10"/>
      <c r="B6921" s="10"/>
      <c r="C6921" s="10"/>
      <c r="D6921" s="10"/>
      <c r="E6921" s="10"/>
      <c r="F6921" s="10"/>
      <c r="G6921" s="10"/>
      <c r="H6921" s="10"/>
      <c r="I6921" s="10"/>
      <c r="J6921" s="10"/>
      <c r="K6921" s="10"/>
      <c r="L6921" s="10"/>
    </row>
    <row r="6922" spans="1:12" ht="15" customHeight="1" x14ac:dyDescent="0.25">
      <c r="A6922" s="10"/>
      <c r="B6922" s="10"/>
      <c r="C6922" s="10"/>
      <c r="D6922" s="10"/>
      <c r="E6922" s="10"/>
      <c r="F6922" s="10"/>
      <c r="G6922" s="10"/>
      <c r="H6922" s="10"/>
      <c r="I6922" s="10"/>
      <c r="J6922" s="10"/>
      <c r="K6922" s="10"/>
      <c r="L6922" s="10"/>
    </row>
    <row r="6923" spans="1:12" ht="15" customHeight="1" x14ac:dyDescent="0.25">
      <c r="A6923" s="10"/>
      <c r="B6923" s="10"/>
      <c r="C6923" s="10"/>
      <c r="D6923" s="10"/>
      <c r="E6923" s="10"/>
      <c r="F6923" s="10"/>
      <c r="G6923" s="10"/>
      <c r="H6923" s="10"/>
      <c r="I6923" s="10"/>
      <c r="J6923" s="10"/>
      <c r="K6923" s="10"/>
      <c r="L6923" s="10"/>
    </row>
    <row r="6924" spans="1:12" ht="15" customHeight="1" x14ac:dyDescent="0.25">
      <c r="A6924" s="10"/>
      <c r="B6924" s="10"/>
      <c r="C6924" s="10"/>
      <c r="D6924" s="10"/>
      <c r="E6924" s="10"/>
      <c r="F6924" s="10"/>
      <c r="G6924" s="10"/>
      <c r="H6924" s="10"/>
      <c r="I6924" s="10"/>
      <c r="J6924" s="10"/>
      <c r="K6924" s="10"/>
      <c r="L6924" s="10"/>
    </row>
    <row r="6925" spans="1:12" ht="15" customHeight="1" x14ac:dyDescent="0.25">
      <c r="A6925" s="10"/>
      <c r="B6925" s="10"/>
      <c r="C6925" s="10"/>
      <c r="D6925" s="10"/>
      <c r="E6925" s="10"/>
      <c r="F6925" s="10"/>
      <c r="G6925" s="10"/>
      <c r="H6925" s="10"/>
      <c r="I6925" s="10"/>
      <c r="J6925" s="10"/>
      <c r="K6925" s="10"/>
      <c r="L6925" s="10"/>
    </row>
    <row r="6926" spans="1:12" ht="15" customHeight="1" x14ac:dyDescent="0.25">
      <c r="A6926" s="10"/>
      <c r="B6926" s="10"/>
      <c r="C6926" s="10"/>
      <c r="D6926" s="10"/>
      <c r="E6926" s="10"/>
      <c r="F6926" s="10"/>
      <c r="G6926" s="10"/>
      <c r="H6926" s="10"/>
      <c r="I6926" s="10"/>
      <c r="J6926" s="10"/>
      <c r="K6926" s="10"/>
      <c r="L6926" s="10"/>
    </row>
    <row r="6927" spans="1:12" ht="15" customHeight="1" x14ac:dyDescent="0.25">
      <c r="A6927" s="10"/>
      <c r="B6927" s="10"/>
      <c r="C6927" s="10"/>
      <c r="D6927" s="10"/>
      <c r="E6927" s="10"/>
      <c r="F6927" s="10"/>
      <c r="G6927" s="10"/>
      <c r="H6927" s="10"/>
      <c r="I6927" s="10"/>
      <c r="J6927" s="10"/>
      <c r="K6927" s="10"/>
      <c r="L6927" s="10"/>
    </row>
    <row r="6928" spans="1:12" ht="15" customHeight="1" x14ac:dyDescent="0.25">
      <c r="A6928" s="10"/>
      <c r="B6928" s="10"/>
      <c r="C6928" s="10"/>
      <c r="D6928" s="10"/>
      <c r="E6928" s="10"/>
      <c r="F6928" s="10"/>
      <c r="G6928" s="10"/>
      <c r="H6928" s="10"/>
      <c r="I6928" s="10"/>
      <c r="J6928" s="10"/>
      <c r="K6928" s="10"/>
      <c r="L6928" s="10"/>
    </row>
    <row r="6929" spans="1:12" ht="15" customHeight="1" x14ac:dyDescent="0.25">
      <c r="A6929" s="10"/>
      <c r="B6929" s="10"/>
      <c r="C6929" s="10"/>
      <c r="D6929" s="10"/>
      <c r="E6929" s="10"/>
      <c r="F6929" s="10"/>
      <c r="G6929" s="10"/>
      <c r="H6929" s="10"/>
      <c r="I6929" s="10"/>
      <c r="J6929" s="10"/>
      <c r="K6929" s="10"/>
      <c r="L6929" s="10"/>
    </row>
    <row r="6930" spans="1:12" ht="15" customHeight="1" x14ac:dyDescent="0.25">
      <c r="A6930" s="10"/>
      <c r="B6930" s="10"/>
      <c r="C6930" s="10"/>
      <c r="D6930" s="10"/>
      <c r="E6930" s="10"/>
      <c r="F6930" s="10"/>
      <c r="G6930" s="10"/>
      <c r="H6930" s="10"/>
      <c r="I6930" s="10"/>
      <c r="J6930" s="10"/>
      <c r="K6930" s="10"/>
      <c r="L6930" s="10"/>
    </row>
    <row r="6931" spans="1:12" ht="15" customHeight="1" x14ac:dyDescent="0.25">
      <c r="A6931" s="10"/>
      <c r="B6931" s="10"/>
      <c r="C6931" s="10"/>
      <c r="D6931" s="10"/>
      <c r="E6931" s="10"/>
      <c r="F6931" s="10"/>
      <c r="G6931" s="10"/>
      <c r="H6931" s="10"/>
      <c r="I6931" s="10"/>
      <c r="J6931" s="10"/>
      <c r="K6931" s="10"/>
      <c r="L6931" s="10"/>
    </row>
    <row r="6932" spans="1:12" ht="15" customHeight="1" x14ac:dyDescent="0.25">
      <c r="A6932" s="10"/>
      <c r="B6932" s="10"/>
      <c r="C6932" s="10"/>
      <c r="D6932" s="10"/>
      <c r="E6932" s="10"/>
      <c r="F6932" s="10"/>
      <c r="G6932" s="10"/>
      <c r="H6932" s="10"/>
      <c r="I6932" s="10"/>
      <c r="J6932" s="10"/>
      <c r="K6932" s="10"/>
      <c r="L6932" s="10"/>
    </row>
    <row r="6933" spans="1:12" ht="15" customHeight="1" x14ac:dyDescent="0.25">
      <c r="A6933" s="10"/>
      <c r="B6933" s="10"/>
      <c r="C6933" s="10"/>
      <c r="D6933" s="10"/>
      <c r="E6933" s="10"/>
      <c r="F6933" s="10"/>
      <c r="G6933" s="10"/>
      <c r="H6933" s="10"/>
      <c r="I6933" s="10"/>
      <c r="J6933" s="10"/>
      <c r="K6933" s="10"/>
      <c r="L6933" s="10"/>
    </row>
    <row r="6934" spans="1:12" ht="15" customHeight="1" x14ac:dyDescent="0.25">
      <c r="A6934" s="10"/>
      <c r="B6934" s="10"/>
      <c r="C6934" s="10"/>
      <c r="D6934" s="10"/>
      <c r="E6934" s="10"/>
      <c r="F6934" s="10"/>
      <c r="G6934" s="10"/>
      <c r="H6934" s="10"/>
      <c r="I6934" s="10"/>
      <c r="J6934" s="10"/>
      <c r="K6934" s="10"/>
      <c r="L6934" s="10"/>
    </row>
    <row r="6935" spans="1:12" ht="15" customHeight="1" x14ac:dyDescent="0.25">
      <c r="A6935" s="10"/>
      <c r="B6935" s="10"/>
      <c r="C6935" s="10"/>
      <c r="D6935" s="10"/>
      <c r="E6935" s="10"/>
      <c r="F6935" s="10"/>
      <c r="G6935" s="10"/>
      <c r="H6935" s="10"/>
      <c r="I6935" s="10"/>
      <c r="J6935" s="10"/>
      <c r="K6935" s="10"/>
      <c r="L6935" s="10"/>
    </row>
    <row r="6936" spans="1:12" ht="15" customHeight="1" x14ac:dyDescent="0.25">
      <c r="A6936" s="10"/>
      <c r="B6936" s="10"/>
      <c r="C6936" s="10"/>
      <c r="D6936" s="10"/>
      <c r="E6936" s="10"/>
      <c r="F6936" s="10"/>
      <c r="G6936" s="10"/>
      <c r="H6936" s="10"/>
      <c r="I6936" s="10"/>
      <c r="J6936" s="10"/>
      <c r="K6936" s="10"/>
      <c r="L6936" s="10"/>
    </row>
    <row r="6937" spans="1:12" ht="15" customHeight="1" x14ac:dyDescent="0.25">
      <c r="A6937" s="10"/>
      <c r="B6937" s="10"/>
      <c r="C6937" s="10"/>
      <c r="D6937" s="10"/>
      <c r="E6937" s="10"/>
      <c r="F6937" s="10"/>
      <c r="G6937" s="10"/>
      <c r="H6937" s="10"/>
      <c r="I6937" s="10"/>
      <c r="J6937" s="10"/>
      <c r="K6937" s="10"/>
      <c r="L6937" s="10"/>
    </row>
    <row r="6938" spans="1:12" ht="15" customHeight="1" x14ac:dyDescent="0.25">
      <c r="A6938" s="10"/>
      <c r="B6938" s="10"/>
      <c r="C6938" s="10"/>
      <c r="D6938" s="10"/>
      <c r="E6938" s="10"/>
      <c r="F6938" s="10"/>
      <c r="G6938" s="10"/>
      <c r="H6938" s="10"/>
      <c r="I6938" s="10"/>
      <c r="J6938" s="10"/>
      <c r="K6938" s="10"/>
      <c r="L6938" s="10"/>
    </row>
    <row r="6939" spans="1:12" ht="15" customHeight="1" x14ac:dyDescent="0.25">
      <c r="A6939" s="10"/>
      <c r="B6939" s="10"/>
      <c r="C6939" s="10"/>
      <c r="D6939" s="10"/>
      <c r="E6939" s="10"/>
      <c r="F6939" s="10"/>
      <c r="G6939" s="10"/>
      <c r="H6939" s="10"/>
      <c r="I6939" s="10"/>
      <c r="J6939" s="10"/>
      <c r="K6939" s="10"/>
      <c r="L6939" s="10"/>
    </row>
    <row r="6940" spans="1:12" ht="15" customHeight="1" x14ac:dyDescent="0.25">
      <c r="A6940" s="10"/>
      <c r="B6940" s="10"/>
      <c r="C6940" s="10"/>
      <c r="D6940" s="10"/>
      <c r="E6940" s="10"/>
      <c r="F6940" s="10"/>
      <c r="G6940" s="10"/>
      <c r="H6940" s="10"/>
      <c r="I6940" s="10"/>
      <c r="J6940" s="10"/>
      <c r="K6940" s="10"/>
      <c r="L6940" s="10"/>
    </row>
    <row r="6941" spans="1:12" ht="15" customHeight="1" x14ac:dyDescent="0.25">
      <c r="A6941" s="10"/>
      <c r="B6941" s="10"/>
      <c r="C6941" s="10"/>
      <c r="D6941" s="10"/>
      <c r="E6941" s="10"/>
      <c r="F6941" s="10"/>
      <c r="G6941" s="10"/>
      <c r="H6941" s="10"/>
      <c r="I6941" s="10"/>
      <c r="J6941" s="10"/>
      <c r="K6941" s="10"/>
      <c r="L6941" s="10"/>
    </row>
    <row r="6942" spans="1:12" ht="15" customHeight="1" x14ac:dyDescent="0.25">
      <c r="A6942" s="10"/>
      <c r="B6942" s="10"/>
      <c r="C6942" s="10"/>
      <c r="D6942" s="10"/>
      <c r="E6942" s="10"/>
      <c r="F6942" s="10"/>
      <c r="G6942" s="10"/>
      <c r="H6942" s="10"/>
      <c r="I6942" s="10"/>
      <c r="J6942" s="10"/>
      <c r="K6942" s="10"/>
      <c r="L6942" s="10"/>
    </row>
    <row r="6943" spans="1:12" ht="15" customHeight="1" x14ac:dyDescent="0.25">
      <c r="A6943" s="10"/>
      <c r="B6943" s="10"/>
      <c r="C6943" s="10"/>
      <c r="D6943" s="10"/>
      <c r="E6943" s="10"/>
      <c r="F6943" s="10"/>
      <c r="G6943" s="10"/>
      <c r="H6943" s="10"/>
      <c r="I6943" s="10"/>
      <c r="J6943" s="10"/>
      <c r="K6943" s="10"/>
      <c r="L6943" s="10"/>
    </row>
    <row r="6944" spans="1:12" ht="15" customHeight="1" x14ac:dyDescent="0.25">
      <c r="A6944" s="10"/>
      <c r="B6944" s="10"/>
      <c r="C6944" s="10"/>
      <c r="D6944" s="10"/>
      <c r="E6944" s="10"/>
      <c r="F6944" s="10"/>
      <c r="G6944" s="10"/>
      <c r="H6944" s="10"/>
      <c r="I6944" s="10"/>
      <c r="J6944" s="10"/>
      <c r="K6944" s="10"/>
      <c r="L6944" s="10"/>
    </row>
    <row r="6945" spans="1:12" ht="15" customHeight="1" x14ac:dyDescent="0.25">
      <c r="A6945" s="10"/>
      <c r="B6945" s="10"/>
      <c r="C6945" s="10"/>
      <c r="D6945" s="10"/>
      <c r="E6945" s="10"/>
      <c r="F6945" s="10"/>
      <c r="G6945" s="10"/>
      <c r="H6945" s="10"/>
      <c r="I6945" s="10"/>
      <c r="J6945" s="10"/>
      <c r="K6945" s="10"/>
      <c r="L6945" s="10"/>
    </row>
    <row r="6946" spans="1:12" ht="15" customHeight="1" x14ac:dyDescent="0.25">
      <c r="A6946" s="10"/>
      <c r="B6946" s="10"/>
      <c r="C6946" s="10"/>
      <c r="D6946" s="10"/>
      <c r="E6946" s="10"/>
      <c r="F6946" s="10"/>
      <c r="G6946" s="10"/>
      <c r="H6946" s="10"/>
      <c r="I6946" s="10"/>
      <c r="J6946" s="10"/>
      <c r="K6946" s="10"/>
      <c r="L6946" s="10"/>
    </row>
    <row r="6947" spans="1:12" ht="15" customHeight="1" x14ac:dyDescent="0.25">
      <c r="A6947" s="10"/>
      <c r="B6947" s="10"/>
      <c r="C6947" s="10"/>
      <c r="D6947" s="10"/>
      <c r="E6947" s="10"/>
      <c r="F6947" s="10"/>
      <c r="G6947" s="10"/>
      <c r="H6947" s="10"/>
      <c r="I6947" s="10"/>
      <c r="J6947" s="10"/>
      <c r="K6947" s="10"/>
      <c r="L6947" s="10"/>
    </row>
    <row r="6948" spans="1:12" ht="15" customHeight="1" x14ac:dyDescent="0.25">
      <c r="A6948" s="10"/>
      <c r="B6948" s="10"/>
      <c r="C6948" s="10"/>
      <c r="D6948" s="10"/>
      <c r="E6948" s="10"/>
      <c r="F6948" s="10"/>
      <c r="G6948" s="10"/>
      <c r="H6948" s="10"/>
      <c r="I6948" s="10"/>
      <c r="J6948" s="10"/>
      <c r="K6948" s="10"/>
      <c r="L6948" s="10"/>
    </row>
    <row r="6949" spans="1:12" ht="15" customHeight="1" x14ac:dyDescent="0.25">
      <c r="A6949" s="10"/>
      <c r="B6949" s="10"/>
      <c r="C6949" s="10"/>
      <c r="D6949" s="10"/>
      <c r="E6949" s="10"/>
      <c r="F6949" s="10"/>
      <c r="G6949" s="10"/>
      <c r="H6949" s="10"/>
      <c r="I6949" s="10"/>
      <c r="J6949" s="10"/>
      <c r="K6949" s="10"/>
      <c r="L6949" s="10"/>
    </row>
    <row r="6950" spans="1:12" ht="15" customHeight="1" x14ac:dyDescent="0.25">
      <c r="A6950" s="10"/>
      <c r="B6950" s="10"/>
      <c r="C6950" s="10"/>
      <c r="D6950" s="10"/>
      <c r="E6950" s="10"/>
      <c r="F6950" s="10"/>
      <c r="G6950" s="10"/>
      <c r="H6950" s="10"/>
      <c r="I6950" s="10"/>
      <c r="J6950" s="10"/>
      <c r="K6950" s="10"/>
      <c r="L6950" s="10"/>
    </row>
    <row r="6951" spans="1:12" ht="15" customHeight="1" x14ac:dyDescent="0.25">
      <c r="A6951" s="10"/>
      <c r="B6951" s="10"/>
      <c r="C6951" s="10"/>
      <c r="D6951" s="10"/>
      <c r="E6951" s="10"/>
      <c r="F6951" s="10"/>
      <c r="G6951" s="10"/>
      <c r="H6951" s="10"/>
      <c r="I6951" s="10"/>
      <c r="J6951" s="10"/>
      <c r="K6951" s="10"/>
      <c r="L6951" s="10"/>
    </row>
    <row r="6952" spans="1:12" ht="15" customHeight="1" x14ac:dyDescent="0.25">
      <c r="A6952" s="10"/>
      <c r="B6952" s="10"/>
      <c r="C6952" s="10"/>
      <c r="D6952" s="10"/>
      <c r="E6952" s="10"/>
      <c r="F6952" s="10"/>
      <c r="G6952" s="10"/>
      <c r="H6952" s="10"/>
      <c r="I6952" s="10"/>
      <c r="J6952" s="10"/>
      <c r="K6952" s="10"/>
      <c r="L6952" s="10"/>
    </row>
    <row r="6953" spans="1:12" ht="15" customHeight="1" x14ac:dyDescent="0.25">
      <c r="A6953" s="10"/>
      <c r="B6953" s="10"/>
      <c r="C6953" s="10"/>
      <c r="D6953" s="10"/>
      <c r="E6953" s="10"/>
      <c r="F6953" s="10"/>
      <c r="G6953" s="10"/>
      <c r="H6953" s="10"/>
      <c r="I6953" s="10"/>
      <c r="J6953" s="10"/>
      <c r="K6953" s="10"/>
      <c r="L6953" s="10"/>
    </row>
    <row r="6954" spans="1:12" ht="15" customHeight="1" x14ac:dyDescent="0.25">
      <c r="A6954" s="10"/>
      <c r="B6954" s="10"/>
      <c r="C6954" s="10"/>
      <c r="D6954" s="10"/>
      <c r="E6954" s="10"/>
      <c r="F6954" s="10"/>
      <c r="G6954" s="10"/>
      <c r="H6954" s="10"/>
      <c r="I6954" s="10"/>
      <c r="J6954" s="10"/>
      <c r="K6954" s="10"/>
      <c r="L6954" s="10"/>
    </row>
    <row r="6955" spans="1:12" ht="15" customHeight="1" x14ac:dyDescent="0.25">
      <c r="A6955" s="10"/>
      <c r="B6955" s="10"/>
      <c r="C6955" s="10"/>
      <c r="D6955" s="10"/>
      <c r="E6955" s="10"/>
      <c r="F6955" s="10"/>
      <c r="G6955" s="10"/>
      <c r="H6955" s="10"/>
      <c r="I6955" s="10"/>
      <c r="J6955" s="10"/>
      <c r="K6955" s="10"/>
      <c r="L6955" s="10"/>
    </row>
    <row r="6956" spans="1:12" ht="15" customHeight="1" x14ac:dyDescent="0.25">
      <c r="A6956" s="10"/>
      <c r="B6956" s="10"/>
      <c r="C6956" s="10"/>
      <c r="D6956" s="10"/>
      <c r="E6956" s="10"/>
      <c r="F6956" s="10"/>
      <c r="G6956" s="10"/>
      <c r="H6956" s="10"/>
      <c r="I6956" s="10"/>
      <c r="J6956" s="10"/>
      <c r="K6956" s="10"/>
      <c r="L6956" s="10"/>
    </row>
    <row r="6957" spans="1:12" ht="15" customHeight="1" x14ac:dyDescent="0.25">
      <c r="A6957" s="10"/>
      <c r="B6957" s="10"/>
      <c r="C6957" s="10"/>
      <c r="D6957" s="10"/>
      <c r="E6957" s="10"/>
      <c r="F6957" s="10"/>
      <c r="G6957" s="10"/>
      <c r="H6957" s="10"/>
      <c r="I6957" s="10"/>
      <c r="J6957" s="10"/>
      <c r="K6957" s="10"/>
      <c r="L6957" s="10"/>
    </row>
    <row r="6958" spans="1:12" ht="15" customHeight="1" x14ac:dyDescent="0.25">
      <c r="A6958" s="10"/>
      <c r="B6958" s="10"/>
      <c r="C6958" s="10"/>
      <c r="D6958" s="10"/>
      <c r="E6958" s="10"/>
      <c r="F6958" s="10"/>
      <c r="G6958" s="10"/>
      <c r="H6958" s="10"/>
      <c r="I6958" s="10"/>
      <c r="J6958" s="10"/>
      <c r="K6958" s="10"/>
      <c r="L6958" s="10"/>
    </row>
    <row r="6959" spans="1:12" ht="15" customHeight="1" x14ac:dyDescent="0.25">
      <c r="A6959" s="10"/>
      <c r="B6959" s="10"/>
      <c r="C6959" s="10"/>
      <c r="D6959" s="10"/>
      <c r="E6959" s="10"/>
      <c r="F6959" s="10"/>
      <c r="G6959" s="10"/>
      <c r="H6959" s="10"/>
      <c r="I6959" s="10"/>
      <c r="J6959" s="10"/>
      <c r="K6959" s="10"/>
      <c r="L6959" s="10"/>
    </row>
    <row r="6960" spans="1:12" ht="15" customHeight="1" x14ac:dyDescent="0.25">
      <c r="A6960" s="10"/>
      <c r="B6960" s="10"/>
      <c r="C6960" s="10"/>
      <c r="D6960" s="10"/>
      <c r="E6960" s="10"/>
      <c r="F6960" s="10"/>
      <c r="G6960" s="10"/>
      <c r="H6960" s="10"/>
      <c r="I6960" s="10"/>
      <c r="J6960" s="10"/>
      <c r="K6960" s="10"/>
      <c r="L6960" s="10"/>
    </row>
    <row r="6961" spans="1:12" ht="15" customHeight="1" x14ac:dyDescent="0.25">
      <c r="A6961" s="10"/>
      <c r="B6961" s="10"/>
      <c r="C6961" s="10"/>
      <c r="D6961" s="10"/>
      <c r="E6961" s="10"/>
      <c r="F6961" s="10"/>
      <c r="G6961" s="10"/>
      <c r="H6961" s="10"/>
      <c r="I6961" s="10"/>
      <c r="J6961" s="10"/>
      <c r="K6961" s="10"/>
      <c r="L6961" s="10"/>
    </row>
    <row r="6962" spans="1:12" ht="15" customHeight="1" x14ac:dyDescent="0.25">
      <c r="A6962" s="10"/>
      <c r="B6962" s="10"/>
      <c r="C6962" s="10"/>
      <c r="D6962" s="10"/>
      <c r="E6962" s="10"/>
      <c r="F6962" s="10"/>
      <c r="G6962" s="10"/>
      <c r="H6962" s="10"/>
      <c r="I6962" s="10"/>
      <c r="J6962" s="10"/>
      <c r="K6962" s="10"/>
      <c r="L6962" s="10"/>
    </row>
    <row r="6963" spans="1:12" ht="15" customHeight="1" x14ac:dyDescent="0.25">
      <c r="A6963" s="10"/>
      <c r="B6963" s="10"/>
      <c r="C6963" s="10"/>
      <c r="D6963" s="10"/>
      <c r="E6963" s="10"/>
      <c r="F6963" s="10"/>
      <c r="G6963" s="10"/>
      <c r="H6963" s="10"/>
      <c r="I6963" s="10"/>
      <c r="J6963" s="10"/>
      <c r="K6963" s="10"/>
      <c r="L6963" s="10"/>
    </row>
    <row r="6964" spans="1:12" ht="15" customHeight="1" x14ac:dyDescent="0.25">
      <c r="A6964" s="10"/>
      <c r="B6964" s="10"/>
      <c r="C6964" s="10"/>
      <c r="D6964" s="10"/>
      <c r="E6964" s="10"/>
      <c r="F6964" s="10"/>
      <c r="G6964" s="10"/>
      <c r="H6964" s="10"/>
      <c r="I6964" s="10"/>
      <c r="J6964" s="10"/>
      <c r="K6964" s="10"/>
      <c r="L6964" s="10"/>
    </row>
    <row r="6965" spans="1:12" ht="15" customHeight="1" x14ac:dyDescent="0.25">
      <c r="A6965" s="10"/>
      <c r="B6965" s="10"/>
      <c r="C6965" s="10"/>
      <c r="D6965" s="10"/>
      <c r="E6965" s="10"/>
      <c r="F6965" s="10"/>
      <c r="G6965" s="10"/>
      <c r="H6965" s="10"/>
      <c r="I6965" s="10"/>
      <c r="J6965" s="10"/>
      <c r="K6965" s="10"/>
      <c r="L6965" s="10"/>
    </row>
    <row r="6966" spans="1:12" ht="15" customHeight="1" x14ac:dyDescent="0.25">
      <c r="A6966" s="10"/>
      <c r="B6966" s="10"/>
      <c r="C6966" s="10"/>
      <c r="D6966" s="10"/>
      <c r="E6966" s="10"/>
      <c r="F6966" s="10"/>
      <c r="G6966" s="10"/>
      <c r="H6966" s="10"/>
      <c r="I6966" s="10"/>
      <c r="J6966" s="10"/>
      <c r="K6966" s="10"/>
      <c r="L6966" s="10"/>
    </row>
    <row r="6967" spans="1:12" ht="15" customHeight="1" x14ac:dyDescent="0.25">
      <c r="A6967" s="10"/>
      <c r="B6967" s="10"/>
      <c r="C6967" s="10"/>
      <c r="D6967" s="10"/>
      <c r="E6967" s="10"/>
      <c r="F6967" s="10"/>
      <c r="G6967" s="10"/>
      <c r="H6967" s="10"/>
      <c r="I6967" s="10"/>
      <c r="J6967" s="10"/>
      <c r="K6967" s="10"/>
      <c r="L6967" s="10"/>
    </row>
    <row r="6968" spans="1:12" ht="15" customHeight="1" x14ac:dyDescent="0.25">
      <c r="A6968" s="10"/>
      <c r="B6968" s="10"/>
      <c r="C6968" s="10"/>
      <c r="D6968" s="10"/>
      <c r="E6968" s="10"/>
      <c r="F6968" s="10"/>
      <c r="G6968" s="10"/>
      <c r="H6968" s="10"/>
      <c r="I6968" s="10"/>
      <c r="J6968" s="10"/>
      <c r="K6968" s="10"/>
      <c r="L6968" s="10"/>
    </row>
    <row r="6969" spans="1:12" ht="15" customHeight="1" x14ac:dyDescent="0.25">
      <c r="A6969" s="10"/>
      <c r="B6969" s="10"/>
      <c r="C6969" s="10"/>
      <c r="D6969" s="10"/>
      <c r="E6969" s="10"/>
      <c r="F6969" s="10"/>
      <c r="G6969" s="10"/>
      <c r="H6969" s="10"/>
      <c r="I6969" s="10"/>
      <c r="J6969" s="10"/>
      <c r="K6969" s="10"/>
      <c r="L6969" s="10"/>
    </row>
    <row r="6970" spans="1:12" ht="15" customHeight="1" x14ac:dyDescent="0.25">
      <c r="A6970" s="10"/>
      <c r="B6970" s="10"/>
      <c r="C6970" s="10"/>
      <c r="D6970" s="10"/>
      <c r="E6970" s="10"/>
      <c r="F6970" s="10"/>
      <c r="G6970" s="10"/>
      <c r="H6970" s="10"/>
      <c r="I6970" s="10"/>
      <c r="J6970" s="10"/>
      <c r="K6970" s="10"/>
      <c r="L6970" s="10"/>
    </row>
    <row r="6971" spans="1:12" ht="15" customHeight="1" x14ac:dyDescent="0.25">
      <c r="A6971" s="10"/>
      <c r="B6971" s="10"/>
      <c r="C6971" s="10"/>
      <c r="D6971" s="10"/>
      <c r="E6971" s="10"/>
      <c r="F6971" s="10"/>
      <c r="G6971" s="10"/>
      <c r="H6971" s="10"/>
      <c r="I6971" s="10"/>
      <c r="J6971" s="10"/>
      <c r="K6971" s="10"/>
      <c r="L6971" s="10"/>
    </row>
    <row r="6972" spans="1:12" ht="15" customHeight="1" x14ac:dyDescent="0.25">
      <c r="A6972" s="10"/>
      <c r="B6972" s="10"/>
      <c r="C6972" s="10"/>
      <c r="D6972" s="10"/>
      <c r="E6972" s="10"/>
      <c r="F6972" s="10"/>
      <c r="G6972" s="10"/>
      <c r="H6972" s="10"/>
      <c r="I6972" s="10"/>
      <c r="J6972" s="10"/>
      <c r="K6972" s="10"/>
      <c r="L6972" s="10"/>
    </row>
    <row r="6973" spans="1:12" ht="15" customHeight="1" x14ac:dyDescent="0.25">
      <c r="A6973" s="10"/>
      <c r="B6973" s="10"/>
      <c r="C6973" s="10"/>
      <c r="D6973" s="10"/>
      <c r="E6973" s="10"/>
      <c r="F6973" s="10"/>
      <c r="G6973" s="10"/>
      <c r="H6973" s="10"/>
      <c r="I6973" s="10"/>
      <c r="J6973" s="10"/>
      <c r="K6973" s="10"/>
      <c r="L6973" s="10"/>
    </row>
    <row r="6974" spans="1:12" ht="15" customHeight="1" x14ac:dyDescent="0.25">
      <c r="A6974" s="10"/>
      <c r="B6974" s="10"/>
      <c r="C6974" s="10"/>
      <c r="D6974" s="10"/>
      <c r="E6974" s="10"/>
      <c r="F6974" s="10"/>
      <c r="G6974" s="10"/>
      <c r="H6974" s="10"/>
      <c r="I6974" s="10"/>
      <c r="J6974" s="10"/>
      <c r="K6974" s="10"/>
      <c r="L6974" s="10"/>
    </row>
    <row r="6975" spans="1:12" ht="15" customHeight="1" x14ac:dyDescent="0.25">
      <c r="A6975" s="10"/>
      <c r="B6975" s="10"/>
      <c r="C6975" s="10"/>
      <c r="D6975" s="10"/>
      <c r="E6975" s="10"/>
      <c r="F6975" s="10"/>
      <c r="G6975" s="10"/>
      <c r="H6975" s="10"/>
      <c r="I6975" s="10"/>
      <c r="J6975" s="10"/>
      <c r="K6975" s="10"/>
      <c r="L6975" s="10"/>
    </row>
    <row r="6976" spans="1:12" ht="15" customHeight="1" x14ac:dyDescent="0.25">
      <c r="A6976" s="10"/>
      <c r="B6976" s="10"/>
      <c r="C6976" s="10"/>
      <c r="D6976" s="10"/>
      <c r="E6976" s="10"/>
      <c r="F6976" s="10"/>
      <c r="G6976" s="10"/>
      <c r="H6976" s="10"/>
      <c r="I6976" s="10"/>
      <c r="J6976" s="10"/>
      <c r="K6976" s="10"/>
      <c r="L6976" s="10"/>
    </row>
    <row r="6977" spans="1:12" ht="15" customHeight="1" x14ac:dyDescent="0.25">
      <c r="A6977" s="10"/>
      <c r="B6977" s="10"/>
      <c r="C6977" s="10"/>
      <c r="D6977" s="10"/>
      <c r="E6977" s="10"/>
      <c r="F6977" s="10"/>
      <c r="G6977" s="10"/>
      <c r="H6977" s="10"/>
      <c r="I6977" s="10"/>
      <c r="J6977" s="10"/>
      <c r="K6977" s="10"/>
      <c r="L6977" s="10"/>
    </row>
    <row r="6978" spans="1:12" ht="15" customHeight="1" x14ac:dyDescent="0.25">
      <c r="A6978" s="10"/>
      <c r="B6978" s="10"/>
      <c r="C6978" s="10"/>
      <c r="D6978" s="10"/>
      <c r="E6978" s="10"/>
      <c r="F6978" s="10"/>
      <c r="G6978" s="10"/>
      <c r="H6978" s="10"/>
      <c r="I6978" s="10"/>
      <c r="J6978" s="10"/>
      <c r="K6978" s="10"/>
      <c r="L6978" s="10"/>
    </row>
    <row r="6979" spans="1:12" ht="15" customHeight="1" x14ac:dyDescent="0.25">
      <c r="A6979" s="10"/>
      <c r="B6979" s="10"/>
      <c r="C6979" s="10"/>
      <c r="D6979" s="10"/>
      <c r="E6979" s="10"/>
      <c r="F6979" s="10"/>
      <c r="G6979" s="10"/>
      <c r="H6979" s="10"/>
      <c r="I6979" s="10"/>
      <c r="J6979" s="10"/>
      <c r="K6979" s="10"/>
      <c r="L6979" s="10"/>
    </row>
    <row r="6980" spans="1:12" ht="15" customHeight="1" x14ac:dyDescent="0.25">
      <c r="A6980" s="10"/>
      <c r="B6980" s="10"/>
      <c r="C6980" s="10"/>
      <c r="D6980" s="10"/>
      <c r="E6980" s="10"/>
      <c r="F6980" s="10"/>
      <c r="G6980" s="10"/>
      <c r="H6980" s="10"/>
      <c r="I6980" s="10"/>
      <c r="J6980" s="10"/>
      <c r="K6980" s="10"/>
      <c r="L6980" s="10"/>
    </row>
    <row r="6981" spans="1:12" ht="15" customHeight="1" x14ac:dyDescent="0.25">
      <c r="A6981" s="10"/>
      <c r="B6981" s="10"/>
      <c r="C6981" s="10"/>
      <c r="D6981" s="10"/>
      <c r="E6981" s="10"/>
      <c r="F6981" s="10"/>
      <c r="G6981" s="10"/>
      <c r="H6981" s="10"/>
      <c r="I6981" s="10"/>
      <c r="J6981" s="10"/>
      <c r="K6981" s="10"/>
      <c r="L6981" s="10"/>
    </row>
    <row r="6982" spans="1:12" ht="15" customHeight="1" x14ac:dyDescent="0.25">
      <c r="A6982" s="10"/>
      <c r="B6982" s="10"/>
      <c r="C6982" s="10"/>
      <c r="D6982" s="10"/>
      <c r="E6982" s="10"/>
      <c r="F6982" s="10"/>
      <c r="G6982" s="10"/>
      <c r="H6982" s="10"/>
      <c r="I6982" s="10"/>
      <c r="J6982" s="10"/>
      <c r="K6982" s="10"/>
      <c r="L6982" s="10"/>
    </row>
    <row r="6983" spans="1:12" ht="15" customHeight="1" x14ac:dyDescent="0.25">
      <c r="A6983" s="10"/>
      <c r="B6983" s="10"/>
      <c r="C6983" s="10"/>
      <c r="D6983" s="10"/>
      <c r="E6983" s="10"/>
      <c r="F6983" s="10"/>
      <c r="G6983" s="10"/>
      <c r="H6983" s="10"/>
      <c r="I6983" s="10"/>
      <c r="J6983" s="10"/>
      <c r="K6983" s="10"/>
      <c r="L6983" s="10"/>
    </row>
    <row r="6984" spans="1:12" ht="15" customHeight="1" x14ac:dyDescent="0.25">
      <c r="A6984" s="10"/>
      <c r="B6984" s="10"/>
      <c r="C6984" s="10"/>
      <c r="D6984" s="10"/>
      <c r="E6984" s="10"/>
      <c r="F6984" s="10"/>
      <c r="G6984" s="10"/>
      <c r="H6984" s="10"/>
      <c r="I6984" s="10"/>
      <c r="J6984" s="10"/>
      <c r="K6984" s="10"/>
      <c r="L6984" s="10"/>
    </row>
    <row r="6985" spans="1:12" ht="15" customHeight="1" x14ac:dyDescent="0.25">
      <c r="A6985" s="10"/>
      <c r="B6985" s="10"/>
      <c r="C6985" s="10"/>
      <c r="D6985" s="10"/>
      <c r="E6985" s="10"/>
      <c r="F6985" s="10"/>
      <c r="G6985" s="10"/>
      <c r="H6985" s="10"/>
      <c r="I6985" s="10"/>
      <c r="J6985" s="10"/>
      <c r="K6985" s="10"/>
      <c r="L6985" s="10"/>
    </row>
    <row r="6986" spans="1:12" ht="15" customHeight="1" x14ac:dyDescent="0.25">
      <c r="A6986" s="10"/>
      <c r="B6986" s="10"/>
      <c r="C6986" s="10"/>
      <c r="D6986" s="10"/>
      <c r="E6986" s="10"/>
      <c r="F6986" s="10"/>
      <c r="G6986" s="10"/>
      <c r="H6986" s="10"/>
      <c r="I6986" s="10"/>
      <c r="J6986" s="10"/>
      <c r="K6986" s="10"/>
      <c r="L6986" s="10"/>
    </row>
    <row r="6987" spans="1:12" ht="15" customHeight="1" x14ac:dyDescent="0.25">
      <c r="A6987" s="10"/>
      <c r="B6987" s="10"/>
      <c r="C6987" s="10"/>
      <c r="D6987" s="10"/>
      <c r="E6987" s="10"/>
      <c r="F6987" s="10"/>
      <c r="G6987" s="10"/>
      <c r="H6987" s="10"/>
      <c r="I6987" s="10"/>
      <c r="J6987" s="10"/>
      <c r="K6987" s="10"/>
      <c r="L6987" s="10"/>
    </row>
    <row r="6988" spans="1:12" ht="15" customHeight="1" x14ac:dyDescent="0.25">
      <c r="A6988" s="10"/>
      <c r="B6988" s="10"/>
      <c r="C6988" s="10"/>
      <c r="D6988" s="10"/>
      <c r="E6988" s="10"/>
      <c r="F6988" s="10"/>
      <c r="G6988" s="10"/>
      <c r="H6988" s="10"/>
      <c r="I6988" s="10"/>
      <c r="J6988" s="10"/>
      <c r="K6988" s="10"/>
      <c r="L6988" s="10"/>
    </row>
    <row r="6989" spans="1:12" ht="15" customHeight="1" x14ac:dyDescent="0.25">
      <c r="A6989" s="10"/>
      <c r="B6989" s="10"/>
      <c r="C6989" s="10"/>
      <c r="D6989" s="10"/>
      <c r="E6989" s="10"/>
      <c r="F6989" s="10"/>
      <c r="G6989" s="10"/>
      <c r="H6989" s="10"/>
      <c r="I6989" s="10"/>
      <c r="J6989" s="10"/>
      <c r="K6989" s="10"/>
      <c r="L6989" s="10"/>
    </row>
    <row r="6990" spans="1:12" ht="15" customHeight="1" x14ac:dyDescent="0.25">
      <c r="A6990" s="10"/>
      <c r="B6990" s="10"/>
      <c r="C6990" s="10"/>
      <c r="D6990" s="10"/>
      <c r="E6990" s="10"/>
      <c r="F6990" s="10"/>
      <c r="G6990" s="10"/>
      <c r="H6990" s="10"/>
      <c r="I6990" s="10"/>
      <c r="J6990" s="10"/>
      <c r="K6990" s="10"/>
      <c r="L6990" s="10"/>
    </row>
    <row r="6991" spans="1:12" ht="15" customHeight="1" x14ac:dyDescent="0.25">
      <c r="A6991" s="10"/>
      <c r="B6991" s="10"/>
      <c r="C6991" s="10"/>
      <c r="D6991" s="10"/>
      <c r="E6991" s="10"/>
      <c r="F6991" s="10"/>
      <c r="G6991" s="10"/>
      <c r="H6991" s="10"/>
      <c r="I6991" s="10"/>
      <c r="J6991" s="10"/>
      <c r="K6991" s="10"/>
      <c r="L6991" s="10"/>
    </row>
    <row r="6992" spans="1:12" ht="15" customHeight="1" x14ac:dyDescent="0.25">
      <c r="A6992" s="10"/>
      <c r="B6992" s="10"/>
      <c r="C6992" s="10"/>
      <c r="D6992" s="10"/>
      <c r="E6992" s="10"/>
      <c r="F6992" s="10"/>
      <c r="G6992" s="10"/>
      <c r="H6992" s="10"/>
      <c r="I6992" s="10"/>
      <c r="J6992" s="10"/>
      <c r="K6992" s="10"/>
      <c r="L6992" s="10"/>
    </row>
    <row r="6993" spans="1:12" ht="15" customHeight="1" x14ac:dyDescent="0.25">
      <c r="A6993" s="10"/>
      <c r="B6993" s="10"/>
      <c r="C6993" s="10"/>
      <c r="D6993" s="10"/>
      <c r="E6993" s="10"/>
      <c r="F6993" s="10"/>
      <c r="G6993" s="10"/>
      <c r="H6993" s="10"/>
      <c r="I6993" s="10"/>
      <c r="J6993" s="10"/>
      <c r="K6993" s="10"/>
      <c r="L6993" s="10"/>
    </row>
    <row r="6994" spans="1:12" ht="15" customHeight="1" x14ac:dyDescent="0.25">
      <c r="A6994" s="10"/>
      <c r="B6994" s="10"/>
      <c r="C6994" s="10"/>
      <c r="D6994" s="10"/>
      <c r="E6994" s="10"/>
      <c r="F6994" s="10"/>
      <c r="G6994" s="10"/>
      <c r="H6994" s="10"/>
      <c r="I6994" s="10"/>
      <c r="J6994" s="10"/>
      <c r="K6994" s="10"/>
      <c r="L6994" s="10"/>
    </row>
    <row r="6995" spans="1:12" ht="15" customHeight="1" x14ac:dyDescent="0.25">
      <c r="A6995" s="10"/>
      <c r="B6995" s="10"/>
      <c r="C6995" s="10"/>
      <c r="D6995" s="10"/>
      <c r="E6995" s="10"/>
      <c r="F6995" s="10"/>
      <c r="G6995" s="10"/>
      <c r="H6995" s="10"/>
      <c r="I6995" s="10"/>
      <c r="J6995" s="10"/>
      <c r="K6995" s="10"/>
      <c r="L6995" s="10"/>
    </row>
    <row r="6996" spans="1:12" ht="15" customHeight="1" x14ac:dyDescent="0.25">
      <c r="A6996" s="10"/>
      <c r="B6996" s="10"/>
      <c r="C6996" s="10"/>
      <c r="D6996" s="10"/>
      <c r="E6996" s="10"/>
      <c r="F6996" s="10"/>
      <c r="G6996" s="10"/>
      <c r="H6996" s="10"/>
      <c r="I6996" s="10"/>
      <c r="J6996" s="10"/>
      <c r="K6996" s="10"/>
      <c r="L6996" s="10"/>
    </row>
    <row r="6997" spans="1:12" ht="15" customHeight="1" x14ac:dyDescent="0.25">
      <c r="A6997" s="10"/>
      <c r="B6997" s="10"/>
      <c r="C6997" s="10"/>
      <c r="D6997" s="10"/>
      <c r="E6997" s="10"/>
      <c r="F6997" s="10"/>
      <c r="G6997" s="10"/>
      <c r="H6997" s="10"/>
      <c r="I6997" s="10"/>
      <c r="J6997" s="10"/>
      <c r="K6997" s="10"/>
      <c r="L6997" s="10"/>
    </row>
    <row r="6998" spans="1:12" ht="15" customHeight="1" x14ac:dyDescent="0.25">
      <c r="A6998" s="10"/>
      <c r="B6998" s="10"/>
      <c r="C6998" s="10"/>
      <c r="D6998" s="10"/>
      <c r="E6998" s="10"/>
      <c r="F6998" s="10"/>
      <c r="G6998" s="10"/>
      <c r="H6998" s="10"/>
      <c r="I6998" s="10"/>
      <c r="J6998" s="10"/>
      <c r="K6998" s="10"/>
      <c r="L6998" s="10"/>
    </row>
    <row r="6999" spans="1:12" ht="15" customHeight="1" x14ac:dyDescent="0.25">
      <c r="A6999" s="10"/>
      <c r="B6999" s="10"/>
      <c r="C6999" s="10"/>
      <c r="D6999" s="10"/>
      <c r="E6999" s="10"/>
      <c r="F6999" s="10"/>
      <c r="G6999" s="10"/>
      <c r="H6999" s="10"/>
      <c r="I6999" s="10"/>
      <c r="J6999" s="10"/>
      <c r="K6999" s="10"/>
      <c r="L6999" s="10"/>
    </row>
    <row r="7000" spans="1:12" ht="15" customHeight="1" x14ac:dyDescent="0.25">
      <c r="A7000" s="10"/>
      <c r="B7000" s="10"/>
      <c r="C7000" s="10"/>
      <c r="D7000" s="10"/>
      <c r="E7000" s="10"/>
      <c r="F7000" s="10"/>
      <c r="G7000" s="10"/>
      <c r="H7000" s="10"/>
      <c r="I7000" s="10"/>
      <c r="J7000" s="10"/>
      <c r="K7000" s="10"/>
      <c r="L7000" s="10"/>
    </row>
    <row r="7001" spans="1:12" ht="15" customHeight="1" x14ac:dyDescent="0.25">
      <c r="A7001" s="10"/>
      <c r="B7001" s="10"/>
      <c r="C7001" s="10"/>
      <c r="D7001" s="10"/>
      <c r="E7001" s="10"/>
      <c r="F7001" s="10"/>
      <c r="G7001" s="10"/>
      <c r="H7001" s="10"/>
      <c r="I7001" s="10"/>
      <c r="J7001" s="10"/>
      <c r="K7001" s="10"/>
      <c r="L7001" s="10"/>
    </row>
    <row r="7002" spans="1:12" ht="15" customHeight="1" x14ac:dyDescent="0.25">
      <c r="A7002" s="10"/>
      <c r="B7002" s="10"/>
      <c r="C7002" s="10"/>
      <c r="D7002" s="10"/>
      <c r="E7002" s="10"/>
      <c r="F7002" s="10"/>
      <c r="G7002" s="10"/>
      <c r="H7002" s="10"/>
      <c r="I7002" s="10"/>
      <c r="J7002" s="10"/>
      <c r="K7002" s="10"/>
      <c r="L7002" s="10"/>
    </row>
    <row r="7003" spans="1:12" ht="15" customHeight="1" x14ac:dyDescent="0.25">
      <c r="A7003" s="10"/>
      <c r="B7003" s="10"/>
      <c r="C7003" s="10"/>
      <c r="D7003" s="10"/>
      <c r="E7003" s="10"/>
      <c r="F7003" s="10"/>
      <c r="G7003" s="10"/>
      <c r="H7003" s="10"/>
      <c r="I7003" s="10"/>
      <c r="J7003" s="10"/>
      <c r="K7003" s="10"/>
      <c r="L7003" s="10"/>
    </row>
    <row r="7004" spans="1:12" ht="15" customHeight="1" x14ac:dyDescent="0.25">
      <c r="A7004" s="10"/>
      <c r="B7004" s="10"/>
      <c r="C7004" s="10"/>
      <c r="D7004" s="10"/>
      <c r="E7004" s="10"/>
      <c r="F7004" s="10"/>
      <c r="G7004" s="10"/>
      <c r="H7004" s="10"/>
      <c r="I7004" s="10"/>
      <c r="J7004" s="10"/>
      <c r="K7004" s="10"/>
      <c r="L7004" s="10"/>
    </row>
    <row r="7005" spans="1:12" ht="15" customHeight="1" x14ac:dyDescent="0.25">
      <c r="A7005" s="10"/>
      <c r="B7005" s="10"/>
      <c r="C7005" s="10"/>
      <c r="D7005" s="10"/>
      <c r="E7005" s="10"/>
      <c r="F7005" s="10"/>
      <c r="G7005" s="10"/>
      <c r="H7005" s="10"/>
      <c r="I7005" s="10"/>
      <c r="J7005" s="10"/>
      <c r="K7005" s="10"/>
      <c r="L7005" s="10"/>
    </row>
    <row r="7006" spans="1:12" ht="15" customHeight="1" x14ac:dyDescent="0.25">
      <c r="A7006" s="10"/>
      <c r="B7006" s="10"/>
      <c r="C7006" s="10"/>
      <c r="D7006" s="10"/>
      <c r="E7006" s="10"/>
      <c r="F7006" s="10"/>
      <c r="G7006" s="10"/>
      <c r="H7006" s="10"/>
      <c r="I7006" s="10"/>
      <c r="J7006" s="10"/>
      <c r="K7006" s="10"/>
      <c r="L7006" s="10"/>
    </row>
    <row r="7007" spans="1:12" ht="15" customHeight="1" x14ac:dyDescent="0.25">
      <c r="A7007" s="10"/>
      <c r="B7007" s="10"/>
      <c r="C7007" s="10"/>
      <c r="D7007" s="10"/>
      <c r="E7007" s="10"/>
      <c r="F7007" s="10"/>
      <c r="G7007" s="10"/>
      <c r="H7007" s="10"/>
      <c r="I7007" s="10"/>
      <c r="J7007" s="10"/>
      <c r="K7007" s="10"/>
      <c r="L7007" s="10"/>
    </row>
    <row r="7008" spans="1:12" ht="15" customHeight="1" x14ac:dyDescent="0.25">
      <c r="A7008" s="10"/>
      <c r="B7008" s="10"/>
      <c r="C7008" s="10"/>
      <c r="D7008" s="10"/>
      <c r="E7008" s="10"/>
      <c r="F7008" s="10"/>
      <c r="G7008" s="10"/>
      <c r="H7008" s="10"/>
      <c r="I7008" s="10"/>
      <c r="J7008" s="10"/>
      <c r="K7008" s="10"/>
      <c r="L7008" s="10"/>
    </row>
    <row r="7009" spans="1:12" ht="15" customHeight="1" x14ac:dyDescent="0.25">
      <c r="A7009" s="10"/>
      <c r="B7009" s="10"/>
      <c r="C7009" s="10"/>
      <c r="D7009" s="10"/>
      <c r="E7009" s="10"/>
      <c r="F7009" s="10"/>
      <c r="G7009" s="10"/>
      <c r="H7009" s="10"/>
      <c r="I7009" s="10"/>
      <c r="J7009" s="10"/>
      <c r="K7009" s="10"/>
      <c r="L7009" s="10"/>
    </row>
    <row r="7010" spans="1:12" ht="15" customHeight="1" x14ac:dyDescent="0.25">
      <c r="A7010" s="10"/>
      <c r="B7010" s="10"/>
      <c r="C7010" s="10"/>
      <c r="D7010" s="10"/>
      <c r="E7010" s="10"/>
      <c r="F7010" s="10"/>
      <c r="G7010" s="10"/>
      <c r="H7010" s="10"/>
      <c r="I7010" s="10"/>
      <c r="J7010" s="10"/>
      <c r="K7010" s="10"/>
      <c r="L7010" s="10"/>
    </row>
    <row r="7011" spans="1:12" ht="15" customHeight="1" x14ac:dyDescent="0.25">
      <c r="A7011" s="10"/>
      <c r="B7011" s="10"/>
      <c r="C7011" s="10"/>
      <c r="D7011" s="10"/>
      <c r="E7011" s="10"/>
      <c r="F7011" s="10"/>
      <c r="G7011" s="10"/>
      <c r="H7011" s="10"/>
      <c r="I7011" s="10"/>
      <c r="J7011" s="10"/>
      <c r="K7011" s="10"/>
      <c r="L7011" s="10"/>
    </row>
    <row r="7012" spans="1:12" ht="15" customHeight="1" x14ac:dyDescent="0.25">
      <c r="A7012" s="10"/>
      <c r="B7012" s="10"/>
      <c r="C7012" s="10"/>
      <c r="D7012" s="10"/>
      <c r="E7012" s="10"/>
      <c r="F7012" s="10"/>
      <c r="G7012" s="10"/>
      <c r="H7012" s="10"/>
      <c r="I7012" s="10"/>
      <c r="J7012" s="10"/>
      <c r="K7012" s="10"/>
      <c r="L7012" s="10"/>
    </row>
    <row r="7013" spans="1:12" ht="15" customHeight="1" x14ac:dyDescent="0.25">
      <c r="A7013" s="10"/>
      <c r="B7013" s="10"/>
      <c r="C7013" s="10"/>
      <c r="D7013" s="10"/>
      <c r="E7013" s="10"/>
      <c r="F7013" s="10"/>
      <c r="G7013" s="10"/>
      <c r="H7013" s="10"/>
      <c r="I7013" s="10"/>
      <c r="J7013" s="10"/>
      <c r="K7013" s="10"/>
      <c r="L7013" s="10"/>
    </row>
    <row r="7014" spans="1:12" ht="15" customHeight="1" x14ac:dyDescent="0.25">
      <c r="A7014" s="10"/>
      <c r="B7014" s="10"/>
      <c r="C7014" s="10"/>
      <c r="D7014" s="10"/>
      <c r="E7014" s="10"/>
      <c r="F7014" s="10"/>
      <c r="G7014" s="10"/>
      <c r="H7014" s="10"/>
      <c r="I7014" s="10"/>
      <c r="J7014" s="10"/>
      <c r="K7014" s="10"/>
      <c r="L7014" s="10"/>
    </row>
    <row r="7015" spans="1:12" ht="15" customHeight="1" x14ac:dyDescent="0.25">
      <c r="A7015" s="10"/>
      <c r="B7015" s="10"/>
      <c r="C7015" s="10"/>
      <c r="D7015" s="10"/>
      <c r="E7015" s="10"/>
      <c r="F7015" s="10"/>
      <c r="G7015" s="10"/>
      <c r="H7015" s="10"/>
      <c r="I7015" s="10"/>
      <c r="J7015" s="10"/>
      <c r="K7015" s="10"/>
      <c r="L7015" s="10"/>
    </row>
    <row r="7016" spans="1:12" ht="15" customHeight="1" x14ac:dyDescent="0.25">
      <c r="A7016" s="10"/>
      <c r="B7016" s="10"/>
      <c r="C7016" s="10"/>
      <c r="D7016" s="10"/>
      <c r="E7016" s="10"/>
      <c r="F7016" s="10"/>
      <c r="G7016" s="10"/>
      <c r="H7016" s="10"/>
      <c r="I7016" s="10"/>
      <c r="J7016" s="10"/>
      <c r="K7016" s="10"/>
      <c r="L7016" s="10"/>
    </row>
    <row r="7017" spans="1:12" ht="15" customHeight="1" x14ac:dyDescent="0.25">
      <c r="A7017" s="10"/>
      <c r="B7017" s="10"/>
      <c r="C7017" s="10"/>
      <c r="D7017" s="10"/>
      <c r="E7017" s="10"/>
      <c r="F7017" s="10"/>
      <c r="G7017" s="10"/>
      <c r="H7017" s="10"/>
      <c r="I7017" s="10"/>
      <c r="J7017" s="10"/>
      <c r="K7017" s="10"/>
      <c r="L7017" s="10"/>
    </row>
    <row r="7018" spans="1:12" ht="15" customHeight="1" x14ac:dyDescent="0.25">
      <c r="A7018" s="10"/>
      <c r="B7018" s="10"/>
      <c r="C7018" s="10"/>
      <c r="D7018" s="10"/>
      <c r="E7018" s="10"/>
      <c r="F7018" s="10"/>
      <c r="G7018" s="10"/>
      <c r="H7018" s="10"/>
      <c r="I7018" s="10"/>
      <c r="J7018" s="10"/>
      <c r="K7018" s="10"/>
      <c r="L7018" s="10"/>
    </row>
    <row r="7019" spans="1:12" ht="15" customHeight="1" x14ac:dyDescent="0.25">
      <c r="A7019" s="10"/>
      <c r="B7019" s="10"/>
      <c r="C7019" s="10"/>
      <c r="D7019" s="10"/>
      <c r="E7019" s="10"/>
      <c r="F7019" s="10"/>
      <c r="G7019" s="10"/>
      <c r="H7019" s="10"/>
      <c r="I7019" s="10"/>
      <c r="J7019" s="10"/>
      <c r="K7019" s="10"/>
      <c r="L7019" s="10"/>
    </row>
    <row r="7020" spans="1:12" ht="15" customHeight="1" x14ac:dyDescent="0.25">
      <c r="A7020" s="10"/>
      <c r="B7020" s="10"/>
      <c r="C7020" s="10"/>
      <c r="D7020" s="10"/>
      <c r="E7020" s="10"/>
      <c r="F7020" s="10"/>
      <c r="G7020" s="10"/>
      <c r="H7020" s="10"/>
      <c r="I7020" s="10"/>
      <c r="J7020" s="10"/>
      <c r="K7020" s="10"/>
      <c r="L7020" s="10"/>
    </row>
    <row r="7021" spans="1:12" ht="15" customHeight="1" x14ac:dyDescent="0.25">
      <c r="A7021" s="10"/>
      <c r="B7021" s="10"/>
      <c r="C7021" s="10"/>
      <c r="D7021" s="10"/>
      <c r="E7021" s="10"/>
      <c r="F7021" s="10"/>
      <c r="G7021" s="10"/>
      <c r="H7021" s="10"/>
      <c r="I7021" s="10"/>
      <c r="J7021" s="10"/>
      <c r="K7021" s="10"/>
      <c r="L7021" s="10"/>
    </row>
    <row r="7022" spans="1:12" ht="15" customHeight="1" x14ac:dyDescent="0.25">
      <c r="A7022" s="10"/>
      <c r="B7022" s="10"/>
      <c r="C7022" s="10"/>
      <c r="D7022" s="10"/>
      <c r="E7022" s="10"/>
      <c r="F7022" s="10"/>
      <c r="G7022" s="10"/>
      <c r="H7022" s="10"/>
      <c r="I7022" s="10"/>
      <c r="J7022" s="10"/>
      <c r="K7022" s="10"/>
      <c r="L7022" s="10"/>
    </row>
    <row r="7023" spans="1:12" ht="15" customHeight="1" x14ac:dyDescent="0.25">
      <c r="A7023" s="10"/>
      <c r="B7023" s="10"/>
      <c r="C7023" s="10"/>
      <c r="D7023" s="10"/>
      <c r="E7023" s="10"/>
      <c r="F7023" s="10"/>
      <c r="G7023" s="10"/>
      <c r="H7023" s="10"/>
      <c r="I7023" s="10"/>
      <c r="J7023" s="10"/>
      <c r="K7023" s="10"/>
      <c r="L7023" s="10"/>
    </row>
    <row r="7024" spans="1:12" ht="15" customHeight="1" x14ac:dyDescent="0.25">
      <c r="A7024" s="10"/>
      <c r="B7024" s="10"/>
      <c r="C7024" s="10"/>
      <c r="D7024" s="10"/>
      <c r="E7024" s="10"/>
      <c r="F7024" s="10"/>
      <c r="G7024" s="10"/>
      <c r="H7024" s="10"/>
      <c r="I7024" s="10"/>
      <c r="J7024" s="10"/>
      <c r="K7024" s="10"/>
      <c r="L7024" s="10"/>
    </row>
    <row r="7025" spans="1:12" ht="15" customHeight="1" x14ac:dyDescent="0.25">
      <c r="A7025" s="10"/>
      <c r="B7025" s="10"/>
      <c r="C7025" s="10"/>
      <c r="D7025" s="10"/>
      <c r="E7025" s="10"/>
      <c r="F7025" s="10"/>
      <c r="G7025" s="10"/>
      <c r="H7025" s="10"/>
      <c r="I7025" s="10"/>
      <c r="J7025" s="10"/>
      <c r="K7025" s="10"/>
      <c r="L7025" s="10"/>
    </row>
    <row r="7026" spans="1:12" ht="15" customHeight="1" x14ac:dyDescent="0.25">
      <c r="A7026" s="10"/>
      <c r="B7026" s="10"/>
      <c r="C7026" s="10"/>
      <c r="D7026" s="10"/>
      <c r="E7026" s="10"/>
      <c r="F7026" s="10"/>
      <c r="G7026" s="10"/>
      <c r="H7026" s="10"/>
      <c r="I7026" s="10"/>
      <c r="J7026" s="10"/>
      <c r="K7026" s="10"/>
      <c r="L7026" s="10"/>
    </row>
    <row r="7027" spans="1:12" ht="15" customHeight="1" x14ac:dyDescent="0.25">
      <c r="A7027" s="10"/>
      <c r="B7027" s="10"/>
      <c r="C7027" s="10"/>
      <c r="D7027" s="10"/>
      <c r="E7027" s="10"/>
      <c r="F7027" s="10"/>
      <c r="G7027" s="10"/>
      <c r="H7027" s="10"/>
      <c r="I7027" s="10"/>
      <c r="J7027" s="10"/>
      <c r="K7027" s="10"/>
      <c r="L7027" s="10"/>
    </row>
    <row r="7028" spans="1:12" ht="15" customHeight="1" x14ac:dyDescent="0.25">
      <c r="A7028" s="10"/>
      <c r="B7028" s="10"/>
      <c r="C7028" s="10"/>
      <c r="D7028" s="10"/>
      <c r="E7028" s="10"/>
      <c r="F7028" s="10"/>
      <c r="G7028" s="10"/>
      <c r="H7028" s="10"/>
      <c r="I7028" s="10"/>
      <c r="J7028" s="10"/>
      <c r="K7028" s="10"/>
      <c r="L7028" s="10"/>
    </row>
    <row r="7029" spans="1:12" ht="15" customHeight="1" x14ac:dyDescent="0.25">
      <c r="A7029" s="10"/>
      <c r="B7029" s="10"/>
      <c r="C7029" s="10"/>
      <c r="D7029" s="10"/>
      <c r="E7029" s="10"/>
      <c r="F7029" s="10"/>
      <c r="G7029" s="10"/>
      <c r="H7029" s="10"/>
      <c r="I7029" s="10"/>
      <c r="J7029" s="10"/>
      <c r="K7029" s="10"/>
      <c r="L7029" s="10"/>
    </row>
    <row r="7030" spans="1:12" ht="15" customHeight="1" x14ac:dyDescent="0.25">
      <c r="A7030" s="10"/>
      <c r="B7030" s="10"/>
      <c r="C7030" s="10"/>
      <c r="D7030" s="10"/>
      <c r="E7030" s="10"/>
      <c r="F7030" s="10"/>
      <c r="G7030" s="10"/>
      <c r="H7030" s="10"/>
      <c r="I7030" s="10"/>
      <c r="J7030" s="10"/>
      <c r="K7030" s="10"/>
      <c r="L7030" s="10"/>
    </row>
    <row r="7031" spans="1:12" ht="15" customHeight="1" x14ac:dyDescent="0.25">
      <c r="A7031" s="10"/>
      <c r="B7031" s="10"/>
      <c r="C7031" s="10"/>
      <c r="D7031" s="10"/>
      <c r="E7031" s="10"/>
      <c r="F7031" s="10"/>
      <c r="G7031" s="10"/>
      <c r="H7031" s="10"/>
      <c r="I7031" s="10"/>
      <c r="J7031" s="10"/>
      <c r="K7031" s="10"/>
      <c r="L7031" s="10"/>
    </row>
    <row r="7032" spans="1:12" ht="15" customHeight="1" x14ac:dyDescent="0.25">
      <c r="A7032" s="10"/>
      <c r="B7032" s="10"/>
      <c r="C7032" s="10"/>
      <c r="D7032" s="10"/>
      <c r="E7032" s="10"/>
      <c r="F7032" s="10"/>
      <c r="G7032" s="10"/>
      <c r="H7032" s="10"/>
      <c r="I7032" s="10"/>
      <c r="J7032" s="10"/>
      <c r="K7032" s="10"/>
      <c r="L7032" s="10"/>
    </row>
    <row r="7033" spans="1:12" ht="15" customHeight="1" x14ac:dyDescent="0.25">
      <c r="A7033" s="10"/>
      <c r="B7033" s="10"/>
      <c r="C7033" s="10"/>
      <c r="D7033" s="10"/>
      <c r="E7033" s="10"/>
      <c r="F7033" s="10"/>
      <c r="G7033" s="10"/>
      <c r="H7033" s="10"/>
      <c r="I7033" s="10"/>
      <c r="J7033" s="10"/>
      <c r="K7033" s="10"/>
      <c r="L7033" s="10"/>
    </row>
    <row r="7034" spans="1:12" ht="15" customHeight="1" x14ac:dyDescent="0.25">
      <c r="A7034" s="10"/>
      <c r="B7034" s="10"/>
      <c r="C7034" s="10"/>
      <c r="D7034" s="10"/>
      <c r="E7034" s="10"/>
      <c r="F7034" s="10"/>
      <c r="G7034" s="10"/>
      <c r="H7034" s="10"/>
      <c r="I7034" s="10"/>
      <c r="J7034" s="10"/>
      <c r="K7034" s="10"/>
      <c r="L7034" s="10"/>
    </row>
    <row r="7035" spans="1:12" ht="15" customHeight="1" x14ac:dyDescent="0.25">
      <c r="A7035" s="10"/>
      <c r="B7035" s="10"/>
      <c r="C7035" s="10"/>
      <c r="D7035" s="10"/>
      <c r="E7035" s="10"/>
      <c r="F7035" s="10"/>
      <c r="G7035" s="10"/>
      <c r="H7035" s="10"/>
      <c r="I7035" s="10"/>
      <c r="J7035" s="10"/>
      <c r="K7035" s="10"/>
      <c r="L7035" s="10"/>
    </row>
    <row r="7036" spans="1:12" ht="15" customHeight="1" x14ac:dyDescent="0.25">
      <c r="A7036" s="10"/>
      <c r="B7036" s="10"/>
      <c r="C7036" s="10"/>
      <c r="D7036" s="10"/>
      <c r="E7036" s="10"/>
      <c r="F7036" s="10"/>
      <c r="G7036" s="10"/>
      <c r="H7036" s="10"/>
      <c r="I7036" s="10"/>
      <c r="J7036" s="10"/>
      <c r="K7036" s="10"/>
      <c r="L7036" s="10"/>
    </row>
    <row r="7037" spans="1:12" ht="15" customHeight="1" x14ac:dyDescent="0.25">
      <c r="A7037" s="10"/>
      <c r="B7037" s="10"/>
      <c r="C7037" s="10"/>
      <c r="D7037" s="10"/>
      <c r="E7037" s="10"/>
      <c r="F7037" s="10"/>
      <c r="G7037" s="10"/>
      <c r="H7037" s="10"/>
      <c r="I7037" s="10"/>
      <c r="J7037" s="10"/>
      <c r="K7037" s="10"/>
      <c r="L7037" s="10"/>
    </row>
    <row r="7038" spans="1:12" ht="15" customHeight="1" x14ac:dyDescent="0.25">
      <c r="A7038" s="10"/>
      <c r="B7038" s="10"/>
      <c r="C7038" s="10"/>
      <c r="D7038" s="10"/>
      <c r="E7038" s="10"/>
      <c r="F7038" s="10"/>
      <c r="G7038" s="10"/>
      <c r="H7038" s="10"/>
      <c r="I7038" s="10"/>
      <c r="J7038" s="10"/>
      <c r="K7038" s="10"/>
      <c r="L7038" s="10"/>
    </row>
    <row r="7039" spans="1:12" ht="15" customHeight="1" x14ac:dyDescent="0.25">
      <c r="A7039" s="10"/>
      <c r="B7039" s="10"/>
      <c r="C7039" s="10"/>
      <c r="D7039" s="10"/>
      <c r="E7039" s="10"/>
      <c r="F7039" s="10"/>
      <c r="G7039" s="10"/>
      <c r="H7039" s="10"/>
      <c r="I7039" s="10"/>
      <c r="J7039" s="10"/>
      <c r="K7039" s="10"/>
      <c r="L7039" s="10"/>
    </row>
    <row r="7040" spans="1:12" ht="15" customHeight="1" x14ac:dyDescent="0.25">
      <c r="A7040" s="10"/>
      <c r="B7040" s="10"/>
      <c r="C7040" s="10"/>
      <c r="D7040" s="10"/>
      <c r="E7040" s="10"/>
      <c r="F7040" s="10"/>
      <c r="G7040" s="10"/>
      <c r="H7040" s="10"/>
      <c r="I7040" s="10"/>
      <c r="J7040" s="10"/>
      <c r="K7040" s="10"/>
      <c r="L7040" s="10"/>
    </row>
    <row r="7041" spans="1:12" ht="15" customHeight="1" x14ac:dyDescent="0.25">
      <c r="A7041" s="10"/>
      <c r="B7041" s="10"/>
      <c r="C7041" s="10"/>
      <c r="D7041" s="10"/>
      <c r="E7041" s="10"/>
      <c r="F7041" s="10"/>
      <c r="G7041" s="10"/>
      <c r="H7041" s="10"/>
      <c r="I7041" s="10"/>
      <c r="J7041" s="10"/>
      <c r="K7041" s="10"/>
      <c r="L7041" s="10"/>
    </row>
    <row r="7042" spans="1:12" ht="15" customHeight="1" x14ac:dyDescent="0.25">
      <c r="A7042" s="10"/>
      <c r="B7042" s="10"/>
      <c r="C7042" s="10"/>
      <c r="D7042" s="10"/>
      <c r="E7042" s="10"/>
      <c r="F7042" s="10"/>
      <c r="G7042" s="10"/>
      <c r="H7042" s="10"/>
      <c r="I7042" s="10"/>
      <c r="J7042" s="10"/>
      <c r="K7042" s="10"/>
      <c r="L7042" s="10"/>
    </row>
    <row r="7043" spans="1:12" ht="15" customHeight="1" x14ac:dyDescent="0.25">
      <c r="A7043" s="10"/>
      <c r="B7043" s="10"/>
      <c r="C7043" s="10"/>
      <c r="D7043" s="10"/>
      <c r="E7043" s="10"/>
      <c r="F7043" s="10"/>
      <c r="G7043" s="10"/>
      <c r="H7043" s="10"/>
      <c r="I7043" s="10"/>
      <c r="J7043" s="10"/>
      <c r="K7043" s="10"/>
      <c r="L7043" s="10"/>
    </row>
    <row r="7044" spans="1:12" ht="15" customHeight="1" x14ac:dyDescent="0.25">
      <c r="A7044" s="10"/>
      <c r="B7044" s="10"/>
      <c r="C7044" s="10"/>
      <c r="D7044" s="10"/>
      <c r="E7044" s="10"/>
      <c r="F7044" s="10"/>
      <c r="G7044" s="10"/>
      <c r="H7044" s="10"/>
      <c r="I7044" s="10"/>
      <c r="J7044" s="10"/>
      <c r="K7044" s="10"/>
      <c r="L7044" s="10"/>
    </row>
    <row r="7045" spans="1:12" ht="15" customHeight="1" x14ac:dyDescent="0.25">
      <c r="A7045" s="10"/>
      <c r="B7045" s="10"/>
      <c r="C7045" s="10"/>
      <c r="D7045" s="10"/>
      <c r="E7045" s="10"/>
      <c r="F7045" s="10"/>
      <c r="G7045" s="10"/>
      <c r="H7045" s="10"/>
      <c r="I7045" s="10"/>
      <c r="J7045" s="10"/>
      <c r="K7045" s="10"/>
      <c r="L7045" s="10"/>
    </row>
    <row r="7046" spans="1:12" ht="15" customHeight="1" x14ac:dyDescent="0.25">
      <c r="A7046" s="10"/>
      <c r="B7046" s="10"/>
      <c r="C7046" s="10"/>
      <c r="D7046" s="10"/>
      <c r="E7046" s="10"/>
      <c r="F7046" s="10"/>
      <c r="G7046" s="10"/>
      <c r="H7046" s="10"/>
      <c r="I7046" s="10"/>
      <c r="J7046" s="10"/>
      <c r="K7046" s="10"/>
      <c r="L7046" s="10"/>
    </row>
    <row r="7047" spans="1:12" ht="15" customHeight="1" x14ac:dyDescent="0.25">
      <c r="A7047" s="10"/>
      <c r="B7047" s="10"/>
      <c r="C7047" s="10"/>
      <c r="D7047" s="10"/>
      <c r="E7047" s="10"/>
      <c r="F7047" s="10"/>
      <c r="G7047" s="10"/>
      <c r="H7047" s="10"/>
      <c r="I7047" s="10"/>
      <c r="J7047" s="10"/>
      <c r="K7047" s="10"/>
      <c r="L7047" s="10"/>
    </row>
    <row r="7048" spans="1:12" ht="15" customHeight="1" x14ac:dyDescent="0.25">
      <c r="A7048" s="10"/>
      <c r="B7048" s="10"/>
      <c r="C7048" s="10"/>
      <c r="D7048" s="10"/>
      <c r="E7048" s="10"/>
      <c r="F7048" s="10"/>
      <c r="G7048" s="10"/>
      <c r="H7048" s="10"/>
      <c r="I7048" s="10"/>
      <c r="J7048" s="10"/>
      <c r="K7048" s="10"/>
      <c r="L7048" s="10"/>
    </row>
    <row r="7049" spans="1:12" ht="15" customHeight="1" x14ac:dyDescent="0.25">
      <c r="A7049" s="10"/>
      <c r="B7049" s="10"/>
      <c r="C7049" s="10"/>
      <c r="D7049" s="10"/>
      <c r="E7049" s="10"/>
      <c r="F7049" s="10"/>
      <c r="G7049" s="10"/>
      <c r="H7049" s="10"/>
      <c r="I7049" s="10"/>
      <c r="J7049" s="10"/>
      <c r="K7049" s="10"/>
      <c r="L7049" s="10"/>
    </row>
    <row r="7050" spans="1:12" ht="15" customHeight="1" x14ac:dyDescent="0.25">
      <c r="A7050" s="10"/>
      <c r="B7050" s="10"/>
      <c r="C7050" s="10"/>
      <c r="D7050" s="10"/>
      <c r="E7050" s="10"/>
      <c r="F7050" s="10"/>
      <c r="G7050" s="10"/>
      <c r="H7050" s="10"/>
      <c r="I7050" s="10"/>
      <c r="J7050" s="10"/>
      <c r="K7050" s="10"/>
      <c r="L7050" s="10"/>
    </row>
    <row r="7051" spans="1:12" ht="15" customHeight="1" x14ac:dyDescent="0.25">
      <c r="A7051" s="10"/>
      <c r="B7051" s="10"/>
      <c r="C7051" s="10"/>
      <c r="D7051" s="10"/>
      <c r="E7051" s="10"/>
      <c r="F7051" s="10"/>
      <c r="G7051" s="10"/>
      <c r="H7051" s="10"/>
      <c r="I7051" s="10"/>
      <c r="J7051" s="10"/>
      <c r="K7051" s="10"/>
      <c r="L7051" s="10"/>
    </row>
    <row r="7052" spans="1:12" ht="15" customHeight="1" x14ac:dyDescent="0.25">
      <c r="A7052" s="10"/>
      <c r="B7052" s="10"/>
      <c r="C7052" s="10"/>
      <c r="D7052" s="10"/>
      <c r="E7052" s="10"/>
      <c r="F7052" s="10"/>
      <c r="G7052" s="10"/>
      <c r="H7052" s="10"/>
      <c r="I7052" s="10"/>
      <c r="J7052" s="10"/>
      <c r="K7052" s="10"/>
      <c r="L7052" s="10"/>
    </row>
    <row r="7053" spans="1:12" ht="15" customHeight="1" x14ac:dyDescent="0.25">
      <c r="A7053" s="10"/>
      <c r="B7053" s="10"/>
      <c r="C7053" s="10"/>
      <c r="D7053" s="10"/>
      <c r="E7053" s="10"/>
      <c r="F7053" s="10"/>
      <c r="G7053" s="10"/>
      <c r="H7053" s="10"/>
      <c r="I7053" s="10"/>
      <c r="J7053" s="10"/>
      <c r="K7053" s="10"/>
      <c r="L7053" s="10"/>
    </row>
    <row r="7054" spans="1:12" ht="15" customHeight="1" x14ac:dyDescent="0.25">
      <c r="A7054" s="10"/>
      <c r="B7054" s="10"/>
      <c r="C7054" s="10"/>
      <c r="D7054" s="10"/>
      <c r="E7054" s="10"/>
      <c r="F7054" s="10"/>
      <c r="G7054" s="10"/>
      <c r="H7054" s="10"/>
      <c r="I7054" s="10"/>
      <c r="J7054" s="10"/>
      <c r="K7054" s="10"/>
      <c r="L7054" s="10"/>
    </row>
    <row r="7055" spans="1:12" ht="15" customHeight="1" x14ac:dyDescent="0.25">
      <c r="A7055" s="10"/>
      <c r="B7055" s="10"/>
      <c r="C7055" s="10"/>
      <c r="D7055" s="10"/>
      <c r="E7055" s="10"/>
      <c r="F7055" s="10"/>
      <c r="G7055" s="10"/>
      <c r="H7055" s="10"/>
      <c r="I7055" s="10"/>
      <c r="J7055" s="10"/>
      <c r="K7055" s="10"/>
      <c r="L7055" s="10"/>
    </row>
    <row r="7056" spans="1:12" ht="15" customHeight="1" x14ac:dyDescent="0.25">
      <c r="A7056" s="10"/>
      <c r="B7056" s="10"/>
      <c r="C7056" s="10"/>
      <c r="D7056" s="10"/>
      <c r="E7056" s="10"/>
      <c r="F7056" s="10"/>
      <c r="G7056" s="10"/>
      <c r="H7056" s="10"/>
      <c r="I7056" s="10"/>
      <c r="J7056" s="10"/>
      <c r="K7056" s="10"/>
      <c r="L7056" s="10"/>
    </row>
    <row r="7057" spans="1:12" ht="15" customHeight="1" x14ac:dyDescent="0.25">
      <c r="A7057" s="10"/>
      <c r="B7057" s="10"/>
      <c r="C7057" s="10"/>
      <c r="D7057" s="10"/>
      <c r="E7057" s="10"/>
      <c r="F7057" s="10"/>
      <c r="G7057" s="10"/>
      <c r="H7057" s="10"/>
      <c r="I7057" s="10"/>
      <c r="J7057" s="10"/>
      <c r="K7057" s="10"/>
      <c r="L7057" s="10"/>
    </row>
    <row r="7058" spans="1:12" ht="15" customHeight="1" x14ac:dyDescent="0.25">
      <c r="A7058" s="10"/>
      <c r="B7058" s="10"/>
      <c r="C7058" s="10"/>
      <c r="D7058" s="10"/>
      <c r="E7058" s="10"/>
      <c r="F7058" s="10"/>
      <c r="G7058" s="10"/>
      <c r="H7058" s="10"/>
      <c r="I7058" s="10"/>
      <c r="J7058" s="10"/>
      <c r="K7058" s="10"/>
      <c r="L7058" s="10"/>
    </row>
    <row r="7059" spans="1:12" ht="15" customHeight="1" x14ac:dyDescent="0.25">
      <c r="A7059" s="10"/>
      <c r="B7059" s="10"/>
      <c r="C7059" s="10"/>
      <c r="D7059" s="10"/>
      <c r="E7059" s="10"/>
      <c r="F7059" s="10"/>
      <c r="G7059" s="10"/>
      <c r="H7059" s="10"/>
      <c r="I7059" s="10"/>
      <c r="J7059" s="10"/>
      <c r="K7059" s="10"/>
      <c r="L7059" s="10"/>
    </row>
    <row r="7060" spans="1:12" ht="15" customHeight="1" x14ac:dyDescent="0.25">
      <c r="A7060" s="10"/>
      <c r="B7060" s="10"/>
      <c r="C7060" s="10"/>
      <c r="D7060" s="10"/>
      <c r="E7060" s="10"/>
      <c r="F7060" s="10"/>
      <c r="G7060" s="10"/>
      <c r="H7060" s="10"/>
      <c r="I7060" s="10"/>
      <c r="J7060" s="10"/>
      <c r="K7060" s="10"/>
      <c r="L7060" s="10"/>
    </row>
    <row r="7061" spans="1:12" ht="15" customHeight="1" x14ac:dyDescent="0.25">
      <c r="A7061" s="10"/>
      <c r="B7061" s="10"/>
      <c r="C7061" s="10"/>
      <c r="D7061" s="10"/>
      <c r="E7061" s="10"/>
      <c r="F7061" s="10"/>
      <c r="G7061" s="10"/>
      <c r="H7061" s="10"/>
      <c r="I7061" s="10"/>
      <c r="J7061" s="10"/>
      <c r="K7061" s="10"/>
      <c r="L7061" s="10"/>
    </row>
    <row r="7062" spans="1:12" ht="15" customHeight="1" x14ac:dyDescent="0.25">
      <c r="A7062" s="10"/>
      <c r="B7062" s="10"/>
      <c r="C7062" s="10"/>
      <c r="D7062" s="10"/>
      <c r="E7062" s="10"/>
      <c r="F7062" s="10"/>
      <c r="G7062" s="10"/>
      <c r="H7062" s="10"/>
      <c r="I7062" s="10"/>
      <c r="J7062" s="10"/>
      <c r="K7062" s="10"/>
      <c r="L7062" s="10"/>
    </row>
    <row r="7063" spans="1:12" ht="15" customHeight="1" x14ac:dyDescent="0.25">
      <c r="A7063" s="10"/>
      <c r="B7063" s="10"/>
      <c r="C7063" s="10"/>
      <c r="D7063" s="10"/>
      <c r="E7063" s="10"/>
      <c r="F7063" s="10"/>
      <c r="G7063" s="10"/>
      <c r="H7063" s="10"/>
      <c r="I7063" s="10"/>
      <c r="J7063" s="10"/>
      <c r="K7063" s="10"/>
      <c r="L7063" s="10"/>
    </row>
    <row r="7064" spans="1:12" ht="15" customHeight="1" x14ac:dyDescent="0.25">
      <c r="A7064" s="10"/>
      <c r="B7064" s="10"/>
      <c r="C7064" s="10"/>
      <c r="D7064" s="10"/>
      <c r="E7064" s="10"/>
      <c r="F7064" s="10"/>
      <c r="G7064" s="10"/>
      <c r="H7064" s="10"/>
      <c r="I7064" s="10"/>
      <c r="J7064" s="10"/>
      <c r="K7064" s="10"/>
      <c r="L7064" s="10"/>
    </row>
    <row r="7065" spans="1:12" ht="15" customHeight="1" x14ac:dyDescent="0.25">
      <c r="A7065" s="10"/>
      <c r="B7065" s="10"/>
      <c r="C7065" s="10"/>
      <c r="D7065" s="10"/>
      <c r="E7065" s="10"/>
      <c r="F7065" s="10"/>
      <c r="G7065" s="10"/>
      <c r="H7065" s="10"/>
      <c r="I7065" s="10"/>
      <c r="J7065" s="10"/>
      <c r="K7065" s="10"/>
      <c r="L7065" s="10"/>
    </row>
    <row r="7066" spans="1:12" ht="15" customHeight="1" x14ac:dyDescent="0.25">
      <c r="A7066" s="10"/>
      <c r="B7066" s="10"/>
      <c r="C7066" s="10"/>
      <c r="D7066" s="10"/>
      <c r="E7066" s="10"/>
      <c r="F7066" s="10"/>
      <c r="G7066" s="10"/>
      <c r="H7066" s="10"/>
      <c r="I7066" s="10"/>
      <c r="J7066" s="10"/>
      <c r="K7066" s="10"/>
      <c r="L7066" s="10"/>
    </row>
    <row r="7067" spans="1:12" ht="15" customHeight="1" x14ac:dyDescent="0.25">
      <c r="A7067" s="10"/>
      <c r="B7067" s="10"/>
      <c r="C7067" s="10"/>
      <c r="D7067" s="10"/>
      <c r="E7067" s="10"/>
      <c r="F7067" s="10"/>
      <c r="G7067" s="10"/>
      <c r="H7067" s="10"/>
      <c r="I7067" s="10"/>
      <c r="J7067" s="10"/>
      <c r="K7067" s="10"/>
      <c r="L7067" s="10"/>
    </row>
    <row r="7068" spans="1:12" ht="15" customHeight="1" x14ac:dyDescent="0.25">
      <c r="A7068" s="10"/>
      <c r="B7068" s="10"/>
      <c r="C7068" s="10"/>
      <c r="D7068" s="10"/>
      <c r="E7068" s="10"/>
      <c r="F7068" s="10"/>
      <c r="G7068" s="10"/>
      <c r="H7068" s="10"/>
      <c r="I7068" s="10"/>
      <c r="J7068" s="10"/>
      <c r="K7068" s="10"/>
      <c r="L7068" s="10"/>
    </row>
    <row r="7069" spans="1:12" ht="15" customHeight="1" x14ac:dyDescent="0.25">
      <c r="A7069" s="10"/>
      <c r="B7069" s="10"/>
      <c r="C7069" s="10"/>
      <c r="D7069" s="10"/>
      <c r="E7069" s="10"/>
      <c r="F7069" s="10"/>
      <c r="G7069" s="10"/>
      <c r="H7069" s="10"/>
      <c r="I7069" s="10"/>
      <c r="J7069" s="10"/>
      <c r="K7069" s="10"/>
      <c r="L7069" s="10"/>
    </row>
    <row r="7070" spans="1:12" ht="15" customHeight="1" x14ac:dyDescent="0.25">
      <c r="A7070" s="10"/>
      <c r="B7070" s="10"/>
      <c r="C7070" s="10"/>
      <c r="D7070" s="10"/>
      <c r="E7070" s="10"/>
      <c r="F7070" s="10"/>
      <c r="G7070" s="10"/>
      <c r="H7070" s="10"/>
      <c r="I7070" s="10"/>
      <c r="J7070" s="10"/>
      <c r="K7070" s="10"/>
      <c r="L7070" s="10"/>
    </row>
    <row r="7071" spans="1:12" ht="15" customHeight="1" x14ac:dyDescent="0.25">
      <c r="A7071" s="10"/>
      <c r="B7071" s="10"/>
      <c r="C7071" s="10"/>
      <c r="D7071" s="10"/>
      <c r="E7071" s="10"/>
      <c r="F7071" s="10"/>
      <c r="G7071" s="10"/>
      <c r="H7071" s="10"/>
      <c r="I7071" s="10"/>
      <c r="J7071" s="10"/>
      <c r="K7071" s="10"/>
      <c r="L7071" s="10"/>
    </row>
    <row r="7072" spans="1:12" ht="15" customHeight="1" x14ac:dyDescent="0.25">
      <c r="A7072" s="10"/>
      <c r="B7072" s="10"/>
      <c r="C7072" s="10"/>
      <c r="D7072" s="10"/>
      <c r="E7072" s="10"/>
      <c r="F7072" s="10"/>
      <c r="G7072" s="10"/>
      <c r="H7072" s="10"/>
      <c r="I7072" s="10"/>
      <c r="J7072" s="10"/>
      <c r="K7072" s="10"/>
      <c r="L7072" s="10"/>
    </row>
    <row r="7073" spans="1:12" ht="15" customHeight="1" x14ac:dyDescent="0.25">
      <c r="A7073" s="10"/>
      <c r="B7073" s="10"/>
      <c r="C7073" s="10"/>
      <c r="D7073" s="10"/>
      <c r="E7073" s="10"/>
      <c r="F7073" s="10"/>
      <c r="G7073" s="10"/>
      <c r="H7073" s="10"/>
      <c r="I7073" s="10"/>
      <c r="J7073" s="10"/>
      <c r="K7073" s="10"/>
      <c r="L7073" s="10"/>
    </row>
    <row r="7074" spans="1:12" ht="15" customHeight="1" x14ac:dyDescent="0.25">
      <c r="A7074" s="10"/>
      <c r="B7074" s="10"/>
      <c r="C7074" s="10"/>
      <c r="D7074" s="10"/>
      <c r="E7074" s="10"/>
      <c r="F7074" s="10"/>
      <c r="G7074" s="10"/>
      <c r="H7074" s="10"/>
      <c r="I7074" s="10"/>
      <c r="J7074" s="10"/>
      <c r="K7074" s="10"/>
      <c r="L7074" s="10"/>
    </row>
    <row r="7075" spans="1:12" ht="15" customHeight="1" x14ac:dyDescent="0.25">
      <c r="A7075" s="10"/>
      <c r="B7075" s="10"/>
      <c r="C7075" s="10"/>
      <c r="D7075" s="10"/>
      <c r="E7075" s="10"/>
      <c r="F7075" s="10"/>
      <c r="G7075" s="10"/>
      <c r="H7075" s="10"/>
      <c r="I7075" s="10"/>
      <c r="J7075" s="10"/>
      <c r="K7075" s="10"/>
      <c r="L7075" s="10"/>
    </row>
    <row r="7076" spans="1:12" ht="15" customHeight="1" x14ac:dyDescent="0.25">
      <c r="A7076" s="10"/>
      <c r="B7076" s="10"/>
      <c r="C7076" s="10"/>
      <c r="D7076" s="10"/>
      <c r="E7076" s="10"/>
      <c r="F7076" s="10"/>
      <c r="G7076" s="10"/>
      <c r="H7076" s="10"/>
      <c r="I7076" s="10"/>
      <c r="J7076" s="10"/>
      <c r="K7076" s="10"/>
      <c r="L7076" s="10"/>
    </row>
    <row r="7077" spans="1:12" ht="15" customHeight="1" x14ac:dyDescent="0.25">
      <c r="A7077" s="10"/>
      <c r="B7077" s="10"/>
      <c r="C7077" s="10"/>
      <c r="D7077" s="10"/>
      <c r="E7077" s="10"/>
      <c r="F7077" s="10"/>
      <c r="G7077" s="10"/>
      <c r="H7077" s="10"/>
      <c r="I7077" s="10"/>
      <c r="J7077" s="10"/>
      <c r="K7077" s="10"/>
      <c r="L7077" s="10"/>
    </row>
    <row r="7078" spans="1:12" ht="15" customHeight="1" x14ac:dyDescent="0.25">
      <c r="A7078" s="10"/>
      <c r="B7078" s="10"/>
      <c r="C7078" s="10"/>
      <c r="D7078" s="10"/>
      <c r="E7078" s="10"/>
      <c r="F7078" s="10"/>
      <c r="G7078" s="10"/>
      <c r="H7078" s="10"/>
      <c r="I7078" s="10"/>
      <c r="J7078" s="10"/>
      <c r="K7078" s="10"/>
      <c r="L7078" s="10"/>
    </row>
    <row r="7079" spans="1:12" ht="15" customHeight="1" x14ac:dyDescent="0.25">
      <c r="A7079" s="10"/>
      <c r="B7079" s="10"/>
      <c r="C7079" s="10"/>
      <c r="D7079" s="10"/>
      <c r="E7079" s="10"/>
      <c r="F7079" s="10"/>
      <c r="G7079" s="10"/>
      <c r="H7079" s="10"/>
      <c r="I7079" s="10"/>
      <c r="J7079" s="10"/>
      <c r="K7079" s="10"/>
      <c r="L7079" s="10"/>
    </row>
    <row r="7080" spans="1:12" ht="15" customHeight="1" x14ac:dyDescent="0.25">
      <c r="A7080" s="10"/>
      <c r="B7080" s="10"/>
      <c r="C7080" s="10"/>
      <c r="D7080" s="10"/>
      <c r="E7080" s="10"/>
      <c r="F7080" s="10"/>
      <c r="G7080" s="10"/>
      <c r="H7080" s="10"/>
      <c r="I7080" s="10"/>
      <c r="J7080" s="10"/>
      <c r="K7080" s="10"/>
      <c r="L7080" s="10"/>
    </row>
    <row r="7081" spans="1:12" ht="15" customHeight="1" x14ac:dyDescent="0.25">
      <c r="A7081" s="10"/>
      <c r="B7081" s="10"/>
      <c r="C7081" s="10"/>
      <c r="D7081" s="10"/>
      <c r="E7081" s="10"/>
      <c r="F7081" s="10"/>
      <c r="G7081" s="10"/>
      <c r="H7081" s="10"/>
      <c r="I7081" s="10"/>
      <c r="J7081" s="10"/>
      <c r="K7081" s="10"/>
      <c r="L7081" s="10"/>
    </row>
    <row r="7082" spans="1:12" ht="15" customHeight="1" x14ac:dyDescent="0.25">
      <c r="A7082" s="10"/>
      <c r="B7082" s="10"/>
      <c r="C7082" s="10"/>
      <c r="D7082" s="10"/>
      <c r="E7082" s="10"/>
      <c r="F7082" s="10"/>
      <c r="G7082" s="10"/>
      <c r="H7082" s="10"/>
      <c r="I7082" s="10"/>
      <c r="J7082" s="10"/>
      <c r="K7082" s="10"/>
      <c r="L7082" s="10"/>
    </row>
    <row r="7083" spans="1:12" ht="15" customHeight="1" x14ac:dyDescent="0.25">
      <c r="A7083" s="10"/>
      <c r="B7083" s="10"/>
      <c r="C7083" s="10"/>
      <c r="D7083" s="10"/>
      <c r="E7083" s="10"/>
      <c r="F7083" s="10"/>
      <c r="G7083" s="10"/>
      <c r="H7083" s="10"/>
      <c r="I7083" s="10"/>
      <c r="J7083" s="10"/>
      <c r="K7083" s="10"/>
      <c r="L7083" s="10"/>
    </row>
    <row r="7084" spans="1:12" ht="15" customHeight="1" x14ac:dyDescent="0.25">
      <c r="A7084" s="10"/>
      <c r="B7084" s="10"/>
      <c r="C7084" s="10"/>
      <c r="D7084" s="10"/>
      <c r="E7084" s="10"/>
      <c r="F7084" s="10"/>
      <c r="G7084" s="10"/>
      <c r="H7084" s="10"/>
      <c r="I7084" s="10"/>
      <c r="J7084" s="10"/>
      <c r="K7084" s="10"/>
      <c r="L7084" s="10"/>
    </row>
    <row r="7085" spans="1:12" ht="15" customHeight="1" x14ac:dyDescent="0.25">
      <c r="A7085" s="10"/>
      <c r="B7085" s="10"/>
      <c r="C7085" s="10"/>
      <c r="D7085" s="10"/>
      <c r="E7085" s="10"/>
      <c r="F7085" s="10"/>
      <c r="G7085" s="10"/>
      <c r="H7085" s="10"/>
      <c r="I7085" s="10"/>
      <c r="J7085" s="10"/>
      <c r="K7085" s="10"/>
      <c r="L7085" s="10"/>
    </row>
    <row r="7086" spans="1:12" ht="15" customHeight="1" x14ac:dyDescent="0.25">
      <c r="A7086" s="10"/>
      <c r="B7086" s="10"/>
      <c r="C7086" s="10"/>
      <c r="D7086" s="10"/>
      <c r="E7086" s="10"/>
      <c r="F7086" s="10"/>
      <c r="G7086" s="10"/>
      <c r="H7086" s="10"/>
      <c r="I7086" s="10"/>
      <c r="J7086" s="10"/>
      <c r="K7086" s="10"/>
      <c r="L7086" s="10"/>
    </row>
    <row r="7087" spans="1:12" ht="15" customHeight="1" x14ac:dyDescent="0.25">
      <c r="A7087" s="10"/>
      <c r="B7087" s="10"/>
      <c r="C7087" s="10"/>
      <c r="D7087" s="10"/>
      <c r="E7087" s="10"/>
      <c r="F7087" s="10"/>
      <c r="G7087" s="10"/>
      <c r="H7087" s="10"/>
      <c r="I7087" s="10"/>
      <c r="J7087" s="10"/>
      <c r="K7087" s="10"/>
      <c r="L7087" s="10"/>
    </row>
    <row r="7088" spans="1:12" ht="15" customHeight="1" x14ac:dyDescent="0.25">
      <c r="A7088" s="10"/>
      <c r="B7088" s="10"/>
      <c r="C7088" s="10"/>
      <c r="D7088" s="10"/>
      <c r="E7088" s="10"/>
      <c r="F7088" s="10"/>
      <c r="G7088" s="10"/>
      <c r="H7088" s="10"/>
      <c r="I7088" s="10"/>
      <c r="J7088" s="10"/>
      <c r="K7088" s="10"/>
      <c r="L7088" s="10"/>
    </row>
    <row r="7089" spans="1:12" ht="15" customHeight="1" x14ac:dyDescent="0.25">
      <c r="A7089" s="10"/>
      <c r="B7089" s="10"/>
      <c r="C7089" s="10"/>
      <c r="D7089" s="10"/>
      <c r="E7089" s="10"/>
      <c r="F7089" s="10"/>
      <c r="G7089" s="10"/>
      <c r="H7089" s="10"/>
      <c r="I7089" s="10"/>
      <c r="J7089" s="10"/>
      <c r="K7089" s="10"/>
      <c r="L7089" s="10"/>
    </row>
    <row r="7090" spans="1:12" ht="15" customHeight="1" x14ac:dyDescent="0.25">
      <c r="A7090" s="10"/>
      <c r="B7090" s="10"/>
      <c r="C7090" s="10"/>
      <c r="D7090" s="10"/>
      <c r="E7090" s="10"/>
      <c r="F7090" s="10"/>
      <c r="G7090" s="10"/>
      <c r="H7090" s="10"/>
      <c r="I7090" s="10"/>
      <c r="J7090" s="10"/>
      <c r="K7090" s="10"/>
      <c r="L7090" s="10"/>
    </row>
    <row r="7091" spans="1:12" ht="15" customHeight="1" x14ac:dyDescent="0.25">
      <c r="A7091" s="10"/>
      <c r="B7091" s="10"/>
      <c r="C7091" s="10"/>
      <c r="D7091" s="10"/>
      <c r="E7091" s="10"/>
      <c r="F7091" s="10"/>
      <c r="G7091" s="10"/>
      <c r="H7091" s="10"/>
      <c r="I7091" s="10"/>
      <c r="J7091" s="10"/>
      <c r="K7091" s="10"/>
      <c r="L7091" s="10"/>
    </row>
    <row r="7092" spans="1:12" ht="15" customHeight="1" x14ac:dyDescent="0.25">
      <c r="A7092" s="10"/>
      <c r="B7092" s="10"/>
      <c r="C7092" s="10"/>
      <c r="D7092" s="10"/>
      <c r="E7092" s="10"/>
      <c r="F7092" s="10"/>
      <c r="G7092" s="10"/>
      <c r="H7092" s="10"/>
      <c r="I7092" s="10"/>
      <c r="J7092" s="10"/>
      <c r="K7092" s="10"/>
      <c r="L7092" s="10"/>
    </row>
    <row r="7093" spans="1:12" ht="15" customHeight="1" x14ac:dyDescent="0.25">
      <c r="A7093" s="10"/>
      <c r="B7093" s="10"/>
      <c r="C7093" s="10"/>
      <c r="D7093" s="10"/>
      <c r="E7093" s="10"/>
      <c r="F7093" s="10"/>
      <c r="G7093" s="10"/>
      <c r="H7093" s="10"/>
      <c r="I7093" s="10"/>
      <c r="J7093" s="10"/>
      <c r="K7093" s="10"/>
      <c r="L7093" s="10"/>
    </row>
    <row r="7094" spans="1:12" ht="15" customHeight="1" x14ac:dyDescent="0.25">
      <c r="A7094" s="10"/>
      <c r="B7094" s="10"/>
      <c r="C7094" s="10"/>
      <c r="D7094" s="10"/>
      <c r="E7094" s="10"/>
      <c r="F7094" s="10"/>
      <c r="G7094" s="10"/>
      <c r="H7094" s="10"/>
      <c r="I7094" s="10"/>
      <c r="J7094" s="10"/>
      <c r="K7094" s="10"/>
      <c r="L7094" s="10"/>
    </row>
    <row r="7095" spans="1:12" ht="15" customHeight="1" x14ac:dyDescent="0.25">
      <c r="A7095" s="10"/>
      <c r="B7095" s="10"/>
      <c r="C7095" s="10"/>
      <c r="D7095" s="10"/>
      <c r="E7095" s="10"/>
      <c r="F7095" s="10"/>
      <c r="G7095" s="10"/>
      <c r="H7095" s="10"/>
      <c r="I7095" s="10"/>
      <c r="J7095" s="10"/>
      <c r="K7095" s="10"/>
      <c r="L7095" s="10"/>
    </row>
    <row r="7096" spans="1:12" ht="15" customHeight="1" x14ac:dyDescent="0.25">
      <c r="A7096" s="10"/>
      <c r="B7096" s="10"/>
      <c r="C7096" s="10"/>
      <c r="D7096" s="10"/>
      <c r="E7096" s="10"/>
      <c r="F7096" s="10"/>
      <c r="G7096" s="10"/>
      <c r="H7096" s="10"/>
      <c r="I7096" s="10"/>
      <c r="J7096" s="10"/>
      <c r="K7096" s="10"/>
      <c r="L7096" s="10"/>
    </row>
    <row r="7097" spans="1:12" ht="15" customHeight="1" x14ac:dyDescent="0.25">
      <c r="A7097" s="10"/>
      <c r="B7097" s="10"/>
      <c r="C7097" s="10"/>
      <c r="D7097" s="10"/>
      <c r="E7097" s="10"/>
      <c r="F7097" s="10"/>
      <c r="G7097" s="10"/>
      <c r="H7097" s="10"/>
      <c r="I7097" s="10"/>
      <c r="J7097" s="10"/>
      <c r="K7097" s="10"/>
      <c r="L7097" s="10"/>
    </row>
    <row r="7098" spans="1:12" ht="15" customHeight="1" x14ac:dyDescent="0.25">
      <c r="A7098" s="10"/>
      <c r="B7098" s="10"/>
      <c r="C7098" s="10"/>
      <c r="D7098" s="10"/>
      <c r="E7098" s="10"/>
      <c r="F7098" s="10"/>
      <c r="G7098" s="10"/>
      <c r="H7098" s="10"/>
      <c r="I7098" s="10"/>
      <c r="J7098" s="10"/>
      <c r="K7098" s="10"/>
      <c r="L7098" s="10"/>
    </row>
    <row r="7099" spans="1:12" ht="15" customHeight="1" x14ac:dyDescent="0.25">
      <c r="A7099" s="10"/>
      <c r="B7099" s="10"/>
      <c r="C7099" s="10"/>
      <c r="D7099" s="10"/>
      <c r="E7099" s="10"/>
      <c r="F7099" s="10"/>
      <c r="G7099" s="10"/>
      <c r="H7099" s="10"/>
      <c r="I7099" s="10"/>
      <c r="J7099" s="10"/>
      <c r="K7099" s="10"/>
      <c r="L7099" s="10"/>
    </row>
    <row r="7100" spans="1:12" ht="15" customHeight="1" x14ac:dyDescent="0.25">
      <c r="A7100" s="10"/>
      <c r="B7100" s="10"/>
      <c r="C7100" s="10"/>
      <c r="D7100" s="10"/>
      <c r="E7100" s="10"/>
      <c r="F7100" s="10"/>
      <c r="G7100" s="10"/>
      <c r="H7100" s="10"/>
      <c r="I7100" s="10"/>
      <c r="J7100" s="10"/>
      <c r="K7100" s="10"/>
      <c r="L7100" s="10"/>
    </row>
    <row r="7101" spans="1:12" ht="15" customHeight="1" x14ac:dyDescent="0.25">
      <c r="A7101" s="10"/>
      <c r="B7101" s="10"/>
      <c r="C7101" s="10"/>
      <c r="D7101" s="10"/>
      <c r="E7101" s="10"/>
      <c r="F7101" s="10"/>
      <c r="G7101" s="10"/>
      <c r="H7101" s="10"/>
      <c r="I7101" s="10"/>
      <c r="J7101" s="10"/>
      <c r="K7101" s="10"/>
      <c r="L7101" s="10"/>
    </row>
    <row r="7102" spans="1:12" ht="15" customHeight="1" x14ac:dyDescent="0.25">
      <c r="A7102" s="10"/>
      <c r="B7102" s="10"/>
      <c r="C7102" s="10"/>
      <c r="D7102" s="10"/>
      <c r="E7102" s="10"/>
      <c r="F7102" s="10"/>
      <c r="G7102" s="10"/>
      <c r="H7102" s="10"/>
      <c r="I7102" s="10"/>
      <c r="J7102" s="10"/>
      <c r="K7102" s="10"/>
      <c r="L7102" s="10"/>
    </row>
    <row r="7103" spans="1:12" ht="15" customHeight="1" x14ac:dyDescent="0.25">
      <c r="A7103" s="10"/>
      <c r="B7103" s="10"/>
      <c r="C7103" s="10"/>
      <c r="D7103" s="10"/>
      <c r="E7103" s="10"/>
      <c r="F7103" s="10"/>
      <c r="G7103" s="10"/>
      <c r="H7103" s="10"/>
      <c r="I7103" s="10"/>
      <c r="J7103" s="10"/>
      <c r="K7103" s="10"/>
      <c r="L7103" s="10"/>
    </row>
    <row r="7104" spans="1:12" ht="15" customHeight="1" x14ac:dyDescent="0.25">
      <c r="A7104" s="10"/>
      <c r="B7104" s="10"/>
      <c r="C7104" s="10"/>
      <c r="D7104" s="10"/>
      <c r="E7104" s="10"/>
      <c r="F7104" s="10"/>
      <c r="G7104" s="10"/>
      <c r="H7104" s="10"/>
      <c r="I7104" s="10"/>
      <c r="J7104" s="10"/>
      <c r="K7104" s="10"/>
      <c r="L7104" s="10"/>
    </row>
    <row r="7105" spans="1:12" ht="15" customHeight="1" x14ac:dyDescent="0.25">
      <c r="A7105" s="10"/>
      <c r="B7105" s="10"/>
      <c r="C7105" s="10"/>
      <c r="D7105" s="10"/>
      <c r="E7105" s="10"/>
      <c r="F7105" s="10"/>
      <c r="G7105" s="10"/>
      <c r="H7105" s="10"/>
      <c r="I7105" s="10"/>
      <c r="J7105" s="10"/>
      <c r="K7105" s="10"/>
      <c r="L7105" s="10"/>
    </row>
    <row r="7106" spans="1:12" ht="15" customHeight="1" x14ac:dyDescent="0.25">
      <c r="A7106" s="10"/>
      <c r="B7106" s="10"/>
      <c r="C7106" s="10"/>
      <c r="D7106" s="10"/>
      <c r="E7106" s="10"/>
      <c r="F7106" s="10"/>
      <c r="G7106" s="10"/>
      <c r="H7106" s="10"/>
      <c r="I7106" s="10"/>
      <c r="J7106" s="10"/>
      <c r="K7106" s="10"/>
      <c r="L7106" s="10"/>
    </row>
    <row r="7107" spans="1:12" ht="15" customHeight="1" x14ac:dyDescent="0.25">
      <c r="A7107" s="10"/>
      <c r="B7107" s="10"/>
      <c r="C7107" s="10"/>
      <c r="D7107" s="10"/>
      <c r="E7107" s="10"/>
      <c r="F7107" s="10"/>
      <c r="G7107" s="10"/>
      <c r="H7107" s="10"/>
      <c r="I7107" s="10"/>
      <c r="J7107" s="10"/>
      <c r="K7107" s="10"/>
      <c r="L7107" s="10"/>
    </row>
    <row r="7108" spans="1:12" ht="15" customHeight="1" x14ac:dyDescent="0.25">
      <c r="A7108" s="10"/>
      <c r="B7108" s="10"/>
      <c r="C7108" s="10"/>
      <c r="D7108" s="10"/>
      <c r="E7108" s="10"/>
      <c r="F7108" s="10"/>
      <c r="G7108" s="10"/>
      <c r="H7108" s="10"/>
      <c r="I7108" s="10"/>
      <c r="J7108" s="10"/>
      <c r="K7108" s="10"/>
      <c r="L7108" s="10"/>
    </row>
    <row r="7109" spans="1:12" ht="15" customHeight="1" x14ac:dyDescent="0.25">
      <c r="A7109" s="10"/>
      <c r="B7109" s="10"/>
      <c r="C7109" s="10"/>
      <c r="D7109" s="10"/>
      <c r="E7109" s="10"/>
      <c r="F7109" s="10"/>
      <c r="G7109" s="10"/>
      <c r="H7109" s="10"/>
      <c r="I7109" s="10"/>
      <c r="J7109" s="10"/>
      <c r="K7109" s="10"/>
      <c r="L7109" s="10"/>
    </row>
    <row r="7110" spans="1:12" ht="15" customHeight="1" x14ac:dyDescent="0.25">
      <c r="A7110" s="10"/>
      <c r="B7110" s="10"/>
      <c r="C7110" s="10"/>
      <c r="D7110" s="10"/>
      <c r="E7110" s="10"/>
      <c r="F7110" s="10"/>
      <c r="G7110" s="10"/>
      <c r="H7110" s="10"/>
      <c r="I7110" s="10"/>
      <c r="J7110" s="10"/>
      <c r="K7110" s="10"/>
      <c r="L7110" s="10"/>
    </row>
    <row r="7111" spans="1:12" ht="15" customHeight="1" x14ac:dyDescent="0.25">
      <c r="A7111" s="10"/>
      <c r="B7111" s="10"/>
      <c r="C7111" s="10"/>
      <c r="D7111" s="10"/>
      <c r="E7111" s="10"/>
      <c r="F7111" s="10"/>
      <c r="G7111" s="10"/>
      <c r="H7111" s="10"/>
      <c r="I7111" s="10"/>
      <c r="J7111" s="10"/>
      <c r="K7111" s="10"/>
      <c r="L7111" s="10"/>
    </row>
    <row r="7112" spans="1:12" ht="15" customHeight="1" x14ac:dyDescent="0.25">
      <c r="A7112" s="10"/>
      <c r="B7112" s="10"/>
      <c r="C7112" s="10"/>
      <c r="D7112" s="10"/>
      <c r="E7112" s="10"/>
      <c r="F7112" s="10"/>
      <c r="G7112" s="10"/>
      <c r="H7112" s="10"/>
      <c r="I7112" s="10"/>
      <c r="J7112" s="10"/>
      <c r="K7112" s="10"/>
      <c r="L7112" s="10"/>
    </row>
    <row r="7113" spans="1:12" ht="15" customHeight="1" x14ac:dyDescent="0.25">
      <c r="A7113" s="10"/>
      <c r="B7113" s="10"/>
      <c r="C7113" s="10"/>
      <c r="D7113" s="10"/>
      <c r="E7113" s="10"/>
      <c r="F7113" s="10"/>
      <c r="G7113" s="10"/>
      <c r="H7113" s="10"/>
      <c r="I7113" s="10"/>
      <c r="J7113" s="10"/>
      <c r="K7113" s="10"/>
      <c r="L7113" s="10"/>
    </row>
    <row r="7114" spans="1:12" ht="15" customHeight="1" x14ac:dyDescent="0.25">
      <c r="A7114" s="10"/>
      <c r="B7114" s="10"/>
      <c r="C7114" s="10"/>
      <c r="D7114" s="10"/>
      <c r="E7114" s="10"/>
      <c r="F7114" s="10"/>
      <c r="G7114" s="10"/>
      <c r="H7114" s="10"/>
      <c r="I7114" s="10"/>
      <c r="J7114" s="10"/>
      <c r="K7114" s="10"/>
      <c r="L7114" s="10"/>
    </row>
    <row r="7115" spans="1:12" ht="15" customHeight="1" x14ac:dyDescent="0.25">
      <c r="A7115" s="10"/>
      <c r="B7115" s="10"/>
      <c r="C7115" s="10"/>
      <c r="D7115" s="10"/>
      <c r="E7115" s="10"/>
      <c r="F7115" s="10"/>
      <c r="G7115" s="10"/>
      <c r="H7115" s="10"/>
      <c r="I7115" s="10"/>
      <c r="J7115" s="10"/>
      <c r="K7115" s="10"/>
      <c r="L7115" s="10"/>
    </row>
    <row r="7116" spans="1:12" ht="15" customHeight="1" x14ac:dyDescent="0.25">
      <c r="A7116" s="10"/>
      <c r="B7116" s="10"/>
      <c r="C7116" s="10"/>
      <c r="D7116" s="10"/>
      <c r="E7116" s="10"/>
      <c r="F7116" s="10"/>
      <c r="G7116" s="10"/>
      <c r="H7116" s="10"/>
      <c r="I7116" s="10"/>
      <c r="J7116" s="10"/>
      <c r="K7116" s="10"/>
      <c r="L7116" s="10"/>
    </row>
    <row r="7117" spans="1:12" ht="15" customHeight="1" x14ac:dyDescent="0.25">
      <c r="A7117" s="10"/>
      <c r="B7117" s="10"/>
      <c r="C7117" s="10"/>
      <c r="D7117" s="10"/>
      <c r="E7117" s="10"/>
      <c r="F7117" s="10"/>
      <c r="G7117" s="10"/>
      <c r="H7117" s="10"/>
      <c r="I7117" s="10"/>
      <c r="J7117" s="10"/>
      <c r="K7117" s="10"/>
      <c r="L7117" s="10"/>
    </row>
    <row r="7118" spans="1:12" ht="15" customHeight="1" x14ac:dyDescent="0.25">
      <c r="A7118" s="10"/>
      <c r="B7118" s="10"/>
      <c r="C7118" s="10"/>
      <c r="D7118" s="10"/>
      <c r="E7118" s="10"/>
      <c r="F7118" s="10"/>
      <c r="G7118" s="10"/>
      <c r="H7118" s="10"/>
      <c r="I7118" s="10"/>
      <c r="J7118" s="10"/>
      <c r="K7118" s="10"/>
      <c r="L7118" s="10"/>
    </row>
    <row r="7119" spans="1:12" ht="15" customHeight="1" x14ac:dyDescent="0.25">
      <c r="A7119" s="10"/>
      <c r="B7119" s="10"/>
      <c r="C7119" s="10"/>
      <c r="D7119" s="10"/>
      <c r="E7119" s="10"/>
      <c r="F7119" s="10"/>
      <c r="G7119" s="10"/>
      <c r="H7119" s="10"/>
      <c r="I7119" s="10"/>
      <c r="J7119" s="10"/>
      <c r="K7119" s="10"/>
      <c r="L7119" s="10"/>
    </row>
    <row r="7120" spans="1:12" ht="15" customHeight="1" x14ac:dyDescent="0.25">
      <c r="A7120" s="10"/>
      <c r="B7120" s="10"/>
      <c r="C7120" s="10"/>
      <c r="D7120" s="10"/>
      <c r="E7120" s="10"/>
      <c r="F7120" s="10"/>
      <c r="G7120" s="10"/>
      <c r="H7120" s="10"/>
      <c r="I7120" s="10"/>
      <c r="J7120" s="10"/>
      <c r="K7120" s="10"/>
      <c r="L7120" s="10"/>
    </row>
    <row r="7121" spans="1:12" ht="15" customHeight="1" x14ac:dyDescent="0.25">
      <c r="A7121" s="10"/>
      <c r="B7121" s="10"/>
      <c r="C7121" s="10"/>
      <c r="D7121" s="10"/>
      <c r="E7121" s="10"/>
      <c r="F7121" s="10"/>
      <c r="G7121" s="10"/>
      <c r="H7121" s="10"/>
      <c r="I7121" s="10"/>
      <c r="J7121" s="10"/>
      <c r="K7121" s="10"/>
      <c r="L7121" s="10"/>
    </row>
    <row r="7122" spans="1:12" ht="15" customHeight="1" x14ac:dyDescent="0.25">
      <c r="A7122" s="10"/>
      <c r="B7122" s="10"/>
      <c r="C7122" s="10"/>
      <c r="D7122" s="10"/>
      <c r="E7122" s="10"/>
      <c r="F7122" s="10"/>
      <c r="G7122" s="10"/>
      <c r="H7122" s="10"/>
      <c r="I7122" s="10"/>
      <c r="J7122" s="10"/>
      <c r="K7122" s="10"/>
      <c r="L7122" s="10"/>
    </row>
    <row r="7123" spans="1:12" ht="15" customHeight="1" x14ac:dyDescent="0.25">
      <c r="A7123" s="10"/>
      <c r="B7123" s="10"/>
      <c r="C7123" s="10"/>
      <c r="D7123" s="10"/>
      <c r="E7123" s="10"/>
      <c r="F7123" s="10"/>
      <c r="G7123" s="10"/>
      <c r="H7123" s="10"/>
      <c r="I7123" s="10"/>
      <c r="J7123" s="10"/>
      <c r="K7123" s="10"/>
      <c r="L7123" s="10"/>
    </row>
    <row r="7124" spans="1:12" ht="15" customHeight="1" x14ac:dyDescent="0.25">
      <c r="A7124" s="10"/>
      <c r="B7124" s="10"/>
      <c r="C7124" s="10"/>
      <c r="D7124" s="10"/>
      <c r="E7124" s="10"/>
      <c r="F7124" s="10"/>
      <c r="G7124" s="10"/>
      <c r="H7124" s="10"/>
      <c r="I7124" s="10"/>
      <c r="J7124" s="10"/>
      <c r="K7124" s="10"/>
      <c r="L7124" s="10"/>
    </row>
    <row r="7125" spans="1:12" ht="15" customHeight="1" x14ac:dyDescent="0.25">
      <c r="A7125" s="10"/>
      <c r="B7125" s="10"/>
      <c r="C7125" s="10"/>
      <c r="D7125" s="10"/>
      <c r="E7125" s="10"/>
      <c r="F7125" s="10"/>
      <c r="G7125" s="10"/>
      <c r="H7125" s="10"/>
      <c r="I7125" s="10"/>
      <c r="J7125" s="10"/>
      <c r="K7125" s="10"/>
      <c r="L7125" s="10"/>
    </row>
    <row r="7126" spans="1:12" ht="15" customHeight="1" x14ac:dyDescent="0.25">
      <c r="A7126" s="10"/>
      <c r="B7126" s="10"/>
      <c r="C7126" s="10"/>
      <c r="D7126" s="10"/>
      <c r="E7126" s="10"/>
      <c r="F7126" s="10"/>
      <c r="G7126" s="10"/>
      <c r="H7126" s="10"/>
      <c r="I7126" s="10"/>
      <c r="J7126" s="10"/>
      <c r="K7126" s="10"/>
      <c r="L7126" s="10"/>
    </row>
    <row r="7127" spans="1:12" ht="15" customHeight="1" x14ac:dyDescent="0.25">
      <c r="A7127" s="10"/>
      <c r="B7127" s="10"/>
      <c r="C7127" s="10"/>
      <c r="D7127" s="10"/>
      <c r="E7127" s="10"/>
      <c r="F7127" s="10"/>
      <c r="G7127" s="10"/>
      <c r="H7127" s="10"/>
      <c r="I7127" s="10"/>
      <c r="J7127" s="10"/>
      <c r="K7127" s="10"/>
      <c r="L7127" s="10"/>
    </row>
    <row r="7128" spans="1:12" ht="15" customHeight="1" x14ac:dyDescent="0.25">
      <c r="A7128" s="10"/>
      <c r="B7128" s="10"/>
      <c r="C7128" s="10"/>
      <c r="D7128" s="10"/>
      <c r="E7128" s="10"/>
      <c r="F7128" s="10"/>
      <c r="G7128" s="10"/>
      <c r="H7128" s="10"/>
      <c r="I7128" s="10"/>
      <c r="J7128" s="10"/>
      <c r="K7128" s="10"/>
      <c r="L7128" s="10"/>
    </row>
    <row r="7129" spans="1:12" ht="15" customHeight="1" x14ac:dyDescent="0.25">
      <c r="A7129" s="10"/>
      <c r="B7129" s="10"/>
      <c r="C7129" s="10"/>
      <c r="D7129" s="10"/>
      <c r="E7129" s="10"/>
      <c r="F7129" s="10"/>
      <c r="G7129" s="10"/>
      <c r="H7129" s="10"/>
      <c r="I7129" s="10"/>
      <c r="J7129" s="10"/>
      <c r="K7129" s="10"/>
      <c r="L7129" s="10"/>
    </row>
    <row r="7130" spans="1:12" ht="15" customHeight="1" x14ac:dyDescent="0.25">
      <c r="A7130" s="10"/>
      <c r="B7130" s="10"/>
      <c r="C7130" s="10"/>
      <c r="D7130" s="10"/>
      <c r="E7130" s="10"/>
      <c r="F7130" s="10"/>
      <c r="G7130" s="10"/>
      <c r="H7130" s="10"/>
      <c r="I7130" s="10"/>
      <c r="J7130" s="10"/>
      <c r="K7130" s="10"/>
      <c r="L7130" s="10"/>
    </row>
    <row r="7131" spans="1:12" ht="15" customHeight="1" x14ac:dyDescent="0.25">
      <c r="A7131" s="10"/>
      <c r="B7131" s="10"/>
      <c r="C7131" s="10"/>
      <c r="D7131" s="10"/>
      <c r="E7131" s="10"/>
      <c r="F7131" s="10"/>
      <c r="G7131" s="10"/>
      <c r="H7131" s="10"/>
      <c r="I7131" s="10"/>
      <c r="J7131" s="10"/>
      <c r="K7131" s="10"/>
      <c r="L7131" s="10"/>
    </row>
    <row r="7132" spans="1:12" ht="15" customHeight="1" x14ac:dyDescent="0.25">
      <c r="A7132" s="10"/>
      <c r="B7132" s="10"/>
      <c r="C7132" s="10"/>
      <c r="D7132" s="10"/>
      <c r="E7132" s="10"/>
      <c r="F7132" s="10"/>
      <c r="G7132" s="10"/>
      <c r="H7132" s="10"/>
      <c r="I7132" s="10"/>
      <c r="J7132" s="10"/>
      <c r="K7132" s="10"/>
      <c r="L7132" s="10"/>
    </row>
    <row r="7133" spans="1:12" ht="15" customHeight="1" x14ac:dyDescent="0.25">
      <c r="A7133" s="10"/>
      <c r="B7133" s="10"/>
      <c r="C7133" s="10"/>
      <c r="D7133" s="10"/>
      <c r="E7133" s="10"/>
      <c r="F7133" s="10"/>
      <c r="G7133" s="10"/>
      <c r="H7133" s="10"/>
      <c r="I7133" s="10"/>
      <c r="J7133" s="10"/>
      <c r="K7133" s="10"/>
      <c r="L7133" s="10"/>
    </row>
    <row r="7134" spans="1:12" ht="15" customHeight="1" x14ac:dyDescent="0.25">
      <c r="A7134" s="10"/>
      <c r="B7134" s="10"/>
      <c r="C7134" s="10"/>
      <c r="D7134" s="10"/>
      <c r="E7134" s="10"/>
      <c r="F7134" s="10"/>
      <c r="G7134" s="10"/>
      <c r="H7134" s="10"/>
      <c r="I7134" s="10"/>
      <c r="J7134" s="10"/>
      <c r="K7134" s="10"/>
      <c r="L7134" s="10"/>
    </row>
    <row r="7135" spans="1:12" ht="15" customHeight="1" x14ac:dyDescent="0.25">
      <c r="A7135" s="10"/>
      <c r="B7135" s="10"/>
      <c r="C7135" s="10"/>
      <c r="D7135" s="10"/>
      <c r="E7135" s="10"/>
      <c r="F7135" s="10"/>
      <c r="G7135" s="10"/>
      <c r="H7135" s="10"/>
      <c r="I7135" s="10"/>
      <c r="J7135" s="10"/>
      <c r="K7135" s="10"/>
      <c r="L7135" s="10"/>
    </row>
    <row r="7136" spans="1:12" ht="15" customHeight="1" x14ac:dyDescent="0.25">
      <c r="A7136" s="10"/>
      <c r="B7136" s="10"/>
      <c r="C7136" s="10"/>
      <c r="D7136" s="10"/>
      <c r="E7136" s="10"/>
      <c r="F7136" s="10"/>
      <c r="G7136" s="10"/>
      <c r="H7136" s="10"/>
      <c r="I7136" s="10"/>
      <c r="J7136" s="10"/>
      <c r="K7136" s="10"/>
      <c r="L7136" s="10"/>
    </row>
    <row r="7137" spans="1:12" ht="15" customHeight="1" x14ac:dyDescent="0.25">
      <c r="A7137" s="10"/>
      <c r="B7137" s="10"/>
      <c r="C7137" s="10"/>
      <c r="D7137" s="10"/>
      <c r="E7137" s="10"/>
      <c r="F7137" s="10"/>
      <c r="G7137" s="10"/>
      <c r="H7137" s="10"/>
      <c r="I7137" s="10"/>
      <c r="J7137" s="10"/>
      <c r="K7137" s="10"/>
      <c r="L7137" s="10"/>
    </row>
    <row r="7138" spans="1:12" ht="15" customHeight="1" x14ac:dyDescent="0.25">
      <c r="A7138" s="10"/>
      <c r="B7138" s="10"/>
      <c r="C7138" s="10"/>
      <c r="D7138" s="10"/>
      <c r="E7138" s="10"/>
      <c r="F7138" s="10"/>
      <c r="G7138" s="10"/>
      <c r="H7138" s="10"/>
      <c r="I7138" s="10"/>
      <c r="J7138" s="10"/>
      <c r="K7138" s="10"/>
      <c r="L7138" s="10"/>
    </row>
    <row r="7139" spans="1:12" ht="15" customHeight="1" x14ac:dyDescent="0.25">
      <c r="A7139" s="10"/>
      <c r="B7139" s="10"/>
      <c r="C7139" s="10"/>
      <c r="D7139" s="10"/>
      <c r="E7139" s="10"/>
      <c r="F7139" s="10"/>
      <c r="G7139" s="10"/>
      <c r="H7139" s="10"/>
      <c r="I7139" s="10"/>
      <c r="J7139" s="10"/>
      <c r="K7139" s="10"/>
      <c r="L7139" s="10"/>
    </row>
    <row r="7140" spans="1:12" ht="15" customHeight="1" x14ac:dyDescent="0.25">
      <c r="A7140" s="10"/>
      <c r="B7140" s="10"/>
      <c r="C7140" s="10"/>
      <c r="D7140" s="10"/>
      <c r="E7140" s="10"/>
      <c r="F7140" s="10"/>
      <c r="G7140" s="10"/>
      <c r="H7140" s="10"/>
      <c r="I7140" s="10"/>
      <c r="J7140" s="10"/>
      <c r="K7140" s="10"/>
      <c r="L7140" s="10"/>
    </row>
    <row r="7141" spans="1:12" ht="15" customHeight="1" x14ac:dyDescent="0.25">
      <c r="A7141" s="10"/>
      <c r="B7141" s="10"/>
      <c r="C7141" s="10"/>
      <c r="D7141" s="10"/>
      <c r="E7141" s="10"/>
      <c r="F7141" s="10"/>
      <c r="G7141" s="10"/>
      <c r="H7141" s="10"/>
      <c r="I7141" s="10"/>
      <c r="J7141" s="10"/>
      <c r="K7141" s="10"/>
      <c r="L7141" s="10"/>
    </row>
    <row r="7142" spans="1:12" ht="15" customHeight="1" x14ac:dyDescent="0.25">
      <c r="A7142" s="10"/>
      <c r="B7142" s="10"/>
      <c r="C7142" s="10"/>
      <c r="D7142" s="10"/>
      <c r="E7142" s="10"/>
      <c r="F7142" s="10"/>
      <c r="G7142" s="10"/>
      <c r="H7142" s="10"/>
      <c r="I7142" s="10"/>
      <c r="J7142" s="10"/>
      <c r="K7142" s="10"/>
      <c r="L7142" s="10"/>
    </row>
    <row r="7143" spans="1:12" ht="15" customHeight="1" x14ac:dyDescent="0.25">
      <c r="A7143" s="10"/>
      <c r="B7143" s="10"/>
      <c r="C7143" s="10"/>
      <c r="D7143" s="10"/>
      <c r="E7143" s="10"/>
      <c r="F7143" s="10"/>
      <c r="G7143" s="10"/>
      <c r="H7143" s="10"/>
      <c r="I7143" s="10"/>
      <c r="J7143" s="10"/>
      <c r="K7143" s="10"/>
      <c r="L7143" s="10"/>
    </row>
    <row r="7144" spans="1:12" ht="15" customHeight="1" x14ac:dyDescent="0.25">
      <c r="A7144" s="10"/>
      <c r="B7144" s="10"/>
      <c r="C7144" s="10"/>
      <c r="D7144" s="10"/>
      <c r="E7144" s="10"/>
      <c r="F7144" s="10"/>
      <c r="G7144" s="10"/>
      <c r="H7144" s="10"/>
      <c r="I7144" s="10"/>
      <c r="J7144" s="10"/>
      <c r="K7144" s="10"/>
      <c r="L7144" s="10"/>
    </row>
    <row r="7145" spans="1:12" ht="15" customHeight="1" x14ac:dyDescent="0.25">
      <c r="A7145" s="10"/>
      <c r="B7145" s="10"/>
      <c r="C7145" s="10"/>
      <c r="D7145" s="10"/>
      <c r="E7145" s="10"/>
      <c r="F7145" s="10"/>
      <c r="G7145" s="10"/>
      <c r="H7145" s="10"/>
      <c r="I7145" s="10"/>
      <c r="J7145" s="10"/>
      <c r="K7145" s="10"/>
      <c r="L7145" s="10"/>
    </row>
    <row r="7146" spans="1:12" ht="15" customHeight="1" x14ac:dyDescent="0.25">
      <c r="A7146" s="10"/>
      <c r="B7146" s="10"/>
      <c r="C7146" s="10"/>
      <c r="D7146" s="10"/>
      <c r="E7146" s="10"/>
      <c r="F7146" s="10"/>
      <c r="G7146" s="10"/>
      <c r="H7146" s="10"/>
      <c r="I7146" s="10"/>
      <c r="J7146" s="10"/>
      <c r="K7146" s="10"/>
      <c r="L7146" s="10"/>
    </row>
    <row r="7147" spans="1:12" ht="15" customHeight="1" x14ac:dyDescent="0.25">
      <c r="A7147" s="10"/>
      <c r="B7147" s="10"/>
      <c r="C7147" s="10"/>
      <c r="D7147" s="10"/>
      <c r="E7147" s="10"/>
      <c r="F7147" s="10"/>
      <c r="G7147" s="10"/>
      <c r="H7147" s="10"/>
      <c r="I7147" s="10"/>
      <c r="J7147" s="10"/>
      <c r="K7147" s="10"/>
      <c r="L7147" s="10"/>
    </row>
    <row r="7148" spans="1:12" ht="15" customHeight="1" x14ac:dyDescent="0.25">
      <c r="A7148" s="10"/>
      <c r="B7148" s="10"/>
      <c r="C7148" s="10"/>
      <c r="D7148" s="10"/>
      <c r="E7148" s="10"/>
      <c r="F7148" s="10"/>
      <c r="G7148" s="10"/>
      <c r="H7148" s="10"/>
      <c r="I7148" s="10"/>
      <c r="J7148" s="10"/>
      <c r="K7148" s="10"/>
      <c r="L7148" s="10"/>
    </row>
    <row r="7149" spans="1:12" ht="15" customHeight="1" x14ac:dyDescent="0.25">
      <c r="A7149" s="10"/>
      <c r="B7149" s="10"/>
      <c r="C7149" s="10"/>
      <c r="D7149" s="10"/>
      <c r="E7149" s="10"/>
      <c r="F7149" s="10"/>
      <c r="G7149" s="10"/>
      <c r="H7149" s="10"/>
      <c r="I7149" s="10"/>
      <c r="J7149" s="10"/>
      <c r="K7149" s="10"/>
      <c r="L7149" s="10"/>
    </row>
    <row r="7150" spans="1:12" ht="15" customHeight="1" x14ac:dyDescent="0.25">
      <c r="A7150" s="10"/>
      <c r="B7150" s="10"/>
      <c r="C7150" s="10"/>
      <c r="D7150" s="10"/>
      <c r="E7150" s="10"/>
      <c r="F7150" s="10"/>
      <c r="G7150" s="10"/>
      <c r="H7150" s="10"/>
      <c r="I7150" s="10"/>
      <c r="J7150" s="10"/>
      <c r="K7150" s="10"/>
      <c r="L7150" s="10"/>
    </row>
    <row r="7151" spans="1:12" ht="15" customHeight="1" x14ac:dyDescent="0.25">
      <c r="A7151" s="10"/>
      <c r="B7151" s="10"/>
      <c r="C7151" s="10"/>
      <c r="D7151" s="10"/>
      <c r="E7151" s="10"/>
      <c r="F7151" s="10"/>
      <c r="G7151" s="10"/>
      <c r="H7151" s="10"/>
      <c r="I7151" s="10"/>
      <c r="J7151" s="10"/>
      <c r="K7151" s="10"/>
      <c r="L7151" s="10"/>
    </row>
    <row r="7152" spans="1:12" ht="15" customHeight="1" x14ac:dyDescent="0.25">
      <c r="A7152" s="10"/>
      <c r="B7152" s="10"/>
      <c r="C7152" s="10"/>
      <c r="D7152" s="10"/>
      <c r="E7152" s="10"/>
      <c r="F7152" s="10"/>
      <c r="G7152" s="10"/>
      <c r="H7152" s="10"/>
      <c r="I7152" s="10"/>
      <c r="J7152" s="10"/>
      <c r="K7152" s="10"/>
      <c r="L7152" s="10"/>
    </row>
    <row r="7153" spans="1:12" ht="15" customHeight="1" x14ac:dyDescent="0.25">
      <c r="A7153" s="10"/>
      <c r="B7153" s="10"/>
      <c r="C7153" s="10"/>
      <c r="D7153" s="10"/>
      <c r="E7153" s="10"/>
      <c r="F7153" s="10"/>
      <c r="G7153" s="10"/>
      <c r="H7153" s="10"/>
      <c r="I7153" s="10"/>
      <c r="J7153" s="10"/>
      <c r="K7153" s="10"/>
      <c r="L7153" s="10"/>
    </row>
    <row r="7154" spans="1:12" ht="15" customHeight="1" x14ac:dyDescent="0.25">
      <c r="A7154" s="10"/>
      <c r="B7154" s="10"/>
      <c r="C7154" s="10"/>
      <c r="D7154" s="10"/>
      <c r="E7154" s="10"/>
      <c r="F7154" s="10"/>
      <c r="G7154" s="10"/>
      <c r="H7154" s="10"/>
      <c r="I7154" s="10"/>
      <c r="J7154" s="10"/>
      <c r="K7154" s="10"/>
      <c r="L7154" s="10"/>
    </row>
    <row r="7155" spans="1:12" ht="15" customHeight="1" x14ac:dyDescent="0.25">
      <c r="A7155" s="10"/>
      <c r="B7155" s="10"/>
      <c r="C7155" s="10"/>
      <c r="D7155" s="10"/>
      <c r="E7155" s="10"/>
      <c r="F7155" s="10"/>
      <c r="G7155" s="10"/>
      <c r="H7155" s="10"/>
      <c r="I7155" s="10"/>
      <c r="J7155" s="10"/>
      <c r="K7155" s="10"/>
      <c r="L7155" s="10"/>
    </row>
    <row r="7156" spans="1:12" ht="15" customHeight="1" x14ac:dyDescent="0.25">
      <c r="A7156" s="10"/>
      <c r="B7156" s="10"/>
      <c r="C7156" s="10"/>
      <c r="D7156" s="10"/>
      <c r="E7156" s="10"/>
      <c r="F7156" s="10"/>
      <c r="G7156" s="10"/>
      <c r="H7156" s="10"/>
      <c r="I7156" s="10"/>
      <c r="J7156" s="10"/>
      <c r="K7156" s="10"/>
      <c r="L7156" s="10"/>
    </row>
    <row r="7157" spans="1:12" ht="15" customHeight="1" x14ac:dyDescent="0.25">
      <c r="A7157" s="10"/>
      <c r="B7157" s="10"/>
      <c r="C7157" s="10"/>
      <c r="D7157" s="10"/>
      <c r="E7157" s="10"/>
      <c r="F7157" s="10"/>
      <c r="G7157" s="10"/>
      <c r="H7157" s="10"/>
      <c r="I7157" s="10"/>
      <c r="J7157" s="10"/>
      <c r="K7157" s="10"/>
      <c r="L7157" s="10"/>
    </row>
    <row r="7158" spans="1:12" ht="15" customHeight="1" x14ac:dyDescent="0.25">
      <c r="A7158" s="10"/>
      <c r="B7158" s="10"/>
      <c r="C7158" s="10"/>
      <c r="D7158" s="10"/>
      <c r="E7158" s="10"/>
      <c r="F7158" s="10"/>
      <c r="G7158" s="10"/>
      <c r="H7158" s="10"/>
      <c r="I7158" s="10"/>
      <c r="J7158" s="10"/>
      <c r="K7158" s="10"/>
      <c r="L7158" s="10"/>
    </row>
    <row r="7159" spans="1:12" ht="15" customHeight="1" x14ac:dyDescent="0.25">
      <c r="A7159" s="10"/>
      <c r="B7159" s="10"/>
      <c r="C7159" s="10"/>
      <c r="D7159" s="10"/>
      <c r="E7159" s="10"/>
      <c r="F7159" s="10"/>
      <c r="G7159" s="10"/>
      <c r="H7159" s="10"/>
      <c r="I7159" s="10"/>
      <c r="J7159" s="10"/>
      <c r="K7159" s="10"/>
      <c r="L7159" s="10"/>
    </row>
    <row r="7160" spans="1:12" ht="15" customHeight="1" x14ac:dyDescent="0.25">
      <c r="A7160" s="10"/>
      <c r="B7160" s="10"/>
      <c r="C7160" s="10"/>
      <c r="D7160" s="10"/>
      <c r="E7160" s="10"/>
      <c r="F7160" s="10"/>
      <c r="G7160" s="10"/>
      <c r="H7160" s="10"/>
      <c r="I7160" s="10"/>
      <c r="J7160" s="10"/>
      <c r="K7160" s="10"/>
      <c r="L7160" s="10"/>
    </row>
    <row r="7161" spans="1:12" ht="15" customHeight="1" x14ac:dyDescent="0.25">
      <c r="A7161" s="10"/>
      <c r="B7161" s="10"/>
      <c r="C7161" s="10"/>
      <c r="D7161" s="10"/>
      <c r="E7161" s="10"/>
      <c r="F7161" s="10"/>
      <c r="G7161" s="10"/>
      <c r="H7161" s="10"/>
      <c r="I7161" s="10"/>
      <c r="J7161" s="10"/>
      <c r="K7161" s="10"/>
      <c r="L7161" s="10"/>
    </row>
    <row r="7162" spans="1:12" ht="15" customHeight="1" x14ac:dyDescent="0.25">
      <c r="A7162" s="10"/>
      <c r="B7162" s="10"/>
      <c r="C7162" s="10"/>
      <c r="D7162" s="10"/>
      <c r="E7162" s="10"/>
      <c r="F7162" s="10"/>
      <c r="G7162" s="10"/>
      <c r="H7162" s="10"/>
      <c r="I7162" s="10"/>
      <c r="J7162" s="10"/>
      <c r="K7162" s="10"/>
      <c r="L7162" s="10"/>
    </row>
    <row r="7163" spans="1:12" ht="15" customHeight="1" x14ac:dyDescent="0.25">
      <c r="A7163" s="10"/>
      <c r="B7163" s="10"/>
      <c r="C7163" s="10"/>
      <c r="D7163" s="10"/>
      <c r="E7163" s="10"/>
      <c r="F7163" s="10"/>
      <c r="G7163" s="10"/>
      <c r="H7163" s="10"/>
      <c r="I7163" s="10"/>
      <c r="J7163" s="10"/>
      <c r="K7163" s="10"/>
      <c r="L7163" s="10"/>
    </row>
    <row r="7164" spans="1:12" ht="15" customHeight="1" x14ac:dyDescent="0.25">
      <c r="A7164" s="10"/>
      <c r="B7164" s="10"/>
      <c r="C7164" s="10"/>
      <c r="D7164" s="10"/>
      <c r="E7164" s="10"/>
      <c r="F7164" s="10"/>
      <c r="G7164" s="10"/>
      <c r="H7164" s="10"/>
      <c r="I7164" s="10"/>
      <c r="J7164" s="10"/>
      <c r="K7164" s="10"/>
      <c r="L7164" s="10"/>
    </row>
    <row r="7165" spans="1:12" ht="15" customHeight="1" x14ac:dyDescent="0.25">
      <c r="A7165" s="10"/>
      <c r="B7165" s="10"/>
      <c r="C7165" s="10"/>
      <c r="D7165" s="10"/>
      <c r="E7165" s="10"/>
      <c r="F7165" s="10"/>
      <c r="G7165" s="10"/>
      <c r="H7165" s="10"/>
      <c r="I7165" s="10"/>
      <c r="J7165" s="10"/>
      <c r="K7165" s="10"/>
      <c r="L7165" s="10"/>
    </row>
    <row r="7166" spans="1:12" ht="15" customHeight="1" x14ac:dyDescent="0.25">
      <c r="A7166" s="10"/>
      <c r="B7166" s="10"/>
      <c r="C7166" s="10"/>
      <c r="D7166" s="10"/>
      <c r="E7166" s="10"/>
      <c r="F7166" s="10"/>
      <c r="G7166" s="10"/>
      <c r="H7166" s="10"/>
      <c r="I7166" s="10"/>
      <c r="J7166" s="10"/>
      <c r="K7166" s="10"/>
      <c r="L7166" s="10"/>
    </row>
    <row r="7167" spans="1:12" ht="15" customHeight="1" x14ac:dyDescent="0.25">
      <c r="A7167" s="10"/>
      <c r="B7167" s="10"/>
      <c r="C7167" s="10"/>
      <c r="D7167" s="10"/>
      <c r="E7167" s="10"/>
      <c r="F7167" s="10"/>
      <c r="G7167" s="10"/>
      <c r="H7167" s="10"/>
      <c r="I7167" s="10"/>
      <c r="J7167" s="10"/>
      <c r="K7167" s="10"/>
      <c r="L7167" s="10"/>
    </row>
    <row r="7168" spans="1:12" ht="15" customHeight="1" x14ac:dyDescent="0.25">
      <c r="A7168" s="10"/>
      <c r="B7168" s="10"/>
      <c r="C7168" s="10"/>
      <c r="D7168" s="10"/>
      <c r="E7168" s="10"/>
      <c r="F7168" s="10"/>
      <c r="G7168" s="10"/>
      <c r="H7168" s="10"/>
      <c r="I7168" s="10"/>
      <c r="J7168" s="10"/>
      <c r="K7168" s="10"/>
      <c r="L7168" s="10"/>
    </row>
    <row r="7169" spans="1:12" ht="15" customHeight="1" x14ac:dyDescent="0.25">
      <c r="A7169" s="10"/>
      <c r="B7169" s="10"/>
      <c r="C7169" s="10"/>
      <c r="D7169" s="10"/>
      <c r="E7169" s="10"/>
      <c r="F7169" s="10"/>
      <c r="G7169" s="10"/>
      <c r="H7169" s="10"/>
      <c r="I7169" s="10"/>
      <c r="J7169" s="10"/>
      <c r="K7169" s="10"/>
      <c r="L7169" s="10"/>
    </row>
    <row r="7170" spans="1:12" ht="15" customHeight="1" x14ac:dyDescent="0.25">
      <c r="A7170" s="10"/>
      <c r="B7170" s="10"/>
      <c r="C7170" s="10"/>
      <c r="D7170" s="10"/>
      <c r="E7170" s="10"/>
      <c r="F7170" s="10"/>
      <c r="G7170" s="10"/>
      <c r="H7170" s="10"/>
      <c r="I7170" s="10"/>
      <c r="J7170" s="10"/>
      <c r="K7170" s="10"/>
      <c r="L7170" s="10"/>
    </row>
    <row r="7171" spans="1:12" ht="15" customHeight="1" x14ac:dyDescent="0.25">
      <c r="A7171" s="10"/>
      <c r="B7171" s="10"/>
      <c r="C7171" s="10"/>
      <c r="D7171" s="10"/>
      <c r="E7171" s="10"/>
      <c r="F7171" s="10"/>
      <c r="G7171" s="10"/>
      <c r="H7171" s="10"/>
      <c r="I7171" s="10"/>
      <c r="J7171" s="10"/>
      <c r="K7171" s="10"/>
      <c r="L7171" s="10"/>
    </row>
    <row r="7172" spans="1:12" ht="15" customHeight="1" x14ac:dyDescent="0.25">
      <c r="A7172" s="10"/>
      <c r="B7172" s="10"/>
      <c r="C7172" s="10"/>
      <c r="D7172" s="10"/>
      <c r="E7172" s="10"/>
      <c r="F7172" s="10"/>
      <c r="G7172" s="10"/>
      <c r="H7172" s="10"/>
      <c r="I7172" s="10"/>
      <c r="J7172" s="10"/>
      <c r="K7172" s="10"/>
      <c r="L7172" s="10"/>
    </row>
    <row r="7173" spans="1:12" ht="15" customHeight="1" x14ac:dyDescent="0.25">
      <c r="A7173" s="10"/>
      <c r="B7173" s="10"/>
      <c r="C7173" s="10"/>
      <c r="D7173" s="10"/>
      <c r="E7173" s="10"/>
      <c r="F7173" s="10"/>
      <c r="G7173" s="10"/>
      <c r="H7173" s="10"/>
      <c r="I7173" s="10"/>
      <c r="J7173" s="10"/>
      <c r="K7173" s="10"/>
      <c r="L7173" s="10"/>
    </row>
    <row r="7174" spans="1:12" ht="15" customHeight="1" x14ac:dyDescent="0.25">
      <c r="A7174" s="10"/>
      <c r="B7174" s="10"/>
      <c r="C7174" s="10"/>
      <c r="D7174" s="10"/>
      <c r="E7174" s="10"/>
      <c r="F7174" s="10"/>
      <c r="G7174" s="10"/>
      <c r="H7174" s="10"/>
      <c r="I7174" s="10"/>
      <c r="J7174" s="10"/>
      <c r="K7174" s="10"/>
      <c r="L7174" s="10"/>
    </row>
    <row r="7175" spans="1:12" ht="15" customHeight="1" x14ac:dyDescent="0.25">
      <c r="A7175" s="10"/>
      <c r="B7175" s="10"/>
      <c r="C7175" s="10"/>
      <c r="D7175" s="10"/>
      <c r="E7175" s="10"/>
      <c r="F7175" s="10"/>
      <c r="G7175" s="10"/>
      <c r="H7175" s="10"/>
      <c r="I7175" s="10"/>
      <c r="J7175" s="10"/>
      <c r="K7175" s="10"/>
      <c r="L7175" s="10"/>
    </row>
    <row r="7176" spans="1:12" ht="15" customHeight="1" x14ac:dyDescent="0.25">
      <c r="A7176" s="10"/>
      <c r="B7176" s="10"/>
      <c r="C7176" s="10"/>
      <c r="D7176" s="10"/>
      <c r="E7176" s="10"/>
      <c r="F7176" s="10"/>
      <c r="G7176" s="10"/>
      <c r="H7176" s="10"/>
      <c r="I7176" s="10"/>
      <c r="J7176" s="10"/>
      <c r="K7176" s="10"/>
      <c r="L7176" s="10"/>
    </row>
    <row r="7177" spans="1:12" ht="15" customHeight="1" x14ac:dyDescent="0.25">
      <c r="A7177" s="10"/>
      <c r="B7177" s="10"/>
      <c r="C7177" s="10"/>
      <c r="D7177" s="10"/>
      <c r="E7177" s="10"/>
      <c r="F7177" s="10"/>
      <c r="G7177" s="10"/>
      <c r="H7177" s="10"/>
      <c r="I7177" s="10"/>
      <c r="J7177" s="10"/>
      <c r="K7177" s="10"/>
      <c r="L7177" s="10"/>
    </row>
    <row r="7178" spans="1:12" ht="15" customHeight="1" x14ac:dyDescent="0.25">
      <c r="A7178" s="10"/>
      <c r="B7178" s="10"/>
      <c r="C7178" s="10"/>
      <c r="D7178" s="10"/>
      <c r="E7178" s="10"/>
      <c r="F7178" s="10"/>
      <c r="G7178" s="10"/>
      <c r="H7178" s="10"/>
      <c r="I7178" s="10"/>
      <c r="J7178" s="10"/>
      <c r="K7178" s="10"/>
      <c r="L7178" s="10"/>
    </row>
    <row r="7179" spans="1:12" ht="15" customHeight="1" x14ac:dyDescent="0.25">
      <c r="A7179" s="10"/>
      <c r="B7179" s="10"/>
      <c r="C7179" s="10"/>
      <c r="D7179" s="10"/>
      <c r="E7179" s="10"/>
      <c r="F7179" s="10"/>
      <c r="G7179" s="10"/>
      <c r="H7179" s="10"/>
      <c r="I7179" s="10"/>
      <c r="J7179" s="10"/>
      <c r="K7179" s="10"/>
      <c r="L7179" s="10"/>
    </row>
    <row r="7180" spans="1:12" ht="15" customHeight="1" x14ac:dyDescent="0.25">
      <c r="A7180" s="10"/>
      <c r="B7180" s="10"/>
      <c r="C7180" s="10"/>
      <c r="D7180" s="10"/>
      <c r="E7180" s="10"/>
      <c r="F7180" s="10"/>
      <c r="G7180" s="10"/>
      <c r="H7180" s="10"/>
      <c r="I7180" s="10"/>
      <c r="J7180" s="10"/>
      <c r="K7180" s="10"/>
      <c r="L7180" s="10"/>
    </row>
    <row r="7181" spans="1:12" ht="15" customHeight="1" x14ac:dyDescent="0.25">
      <c r="A7181" s="10"/>
      <c r="B7181" s="10"/>
      <c r="C7181" s="10"/>
      <c r="D7181" s="10"/>
      <c r="E7181" s="10"/>
      <c r="F7181" s="10"/>
      <c r="G7181" s="10"/>
      <c r="H7181" s="10"/>
      <c r="I7181" s="10"/>
      <c r="J7181" s="10"/>
      <c r="K7181" s="10"/>
      <c r="L7181" s="10"/>
    </row>
    <row r="7182" spans="1:12" ht="15" customHeight="1" x14ac:dyDescent="0.25">
      <c r="A7182" s="10"/>
      <c r="B7182" s="10"/>
      <c r="C7182" s="10"/>
      <c r="D7182" s="10"/>
      <c r="E7182" s="10"/>
      <c r="F7182" s="10"/>
      <c r="G7182" s="10"/>
      <c r="H7182" s="10"/>
      <c r="I7182" s="10"/>
      <c r="J7182" s="10"/>
      <c r="K7182" s="10"/>
      <c r="L7182" s="10"/>
    </row>
    <row r="7183" spans="1:12" ht="15" customHeight="1" x14ac:dyDescent="0.25">
      <c r="A7183" s="10"/>
      <c r="B7183" s="10"/>
      <c r="C7183" s="10"/>
      <c r="D7183" s="10"/>
      <c r="E7183" s="10"/>
      <c r="F7183" s="10"/>
      <c r="G7183" s="10"/>
      <c r="H7183" s="10"/>
      <c r="I7183" s="10"/>
      <c r="J7183" s="10"/>
      <c r="K7183" s="10"/>
      <c r="L7183" s="10"/>
    </row>
    <row r="7184" spans="1:12" ht="15" customHeight="1" x14ac:dyDescent="0.25">
      <c r="A7184" s="10"/>
      <c r="B7184" s="10"/>
      <c r="C7184" s="10"/>
      <c r="D7184" s="10"/>
      <c r="E7184" s="10"/>
      <c r="F7184" s="10"/>
      <c r="G7184" s="10"/>
      <c r="H7184" s="10"/>
      <c r="I7184" s="10"/>
      <c r="J7184" s="10"/>
      <c r="K7184" s="10"/>
      <c r="L7184" s="10"/>
    </row>
    <row r="7185" spans="1:12" ht="15" customHeight="1" x14ac:dyDescent="0.25">
      <c r="A7185" s="10"/>
      <c r="B7185" s="10"/>
      <c r="C7185" s="10"/>
      <c r="D7185" s="10"/>
      <c r="E7185" s="10"/>
      <c r="F7185" s="10"/>
      <c r="G7185" s="10"/>
      <c r="H7185" s="10"/>
      <c r="I7185" s="10"/>
      <c r="J7185" s="10"/>
      <c r="K7185" s="10"/>
      <c r="L7185" s="10"/>
    </row>
    <row r="7186" spans="1:12" ht="15" customHeight="1" x14ac:dyDescent="0.25">
      <c r="A7186" s="10"/>
      <c r="B7186" s="10"/>
      <c r="C7186" s="10"/>
      <c r="D7186" s="10"/>
      <c r="E7186" s="10"/>
      <c r="F7186" s="10"/>
      <c r="G7186" s="10"/>
      <c r="H7186" s="10"/>
      <c r="I7186" s="10"/>
      <c r="J7186" s="10"/>
      <c r="K7186" s="10"/>
      <c r="L7186" s="10"/>
    </row>
    <row r="7187" spans="1:12" ht="15" customHeight="1" x14ac:dyDescent="0.25">
      <c r="A7187" s="10"/>
      <c r="B7187" s="10"/>
      <c r="C7187" s="10"/>
      <c r="D7187" s="10"/>
      <c r="E7187" s="10"/>
      <c r="F7187" s="10"/>
      <c r="G7187" s="10"/>
      <c r="H7187" s="10"/>
      <c r="I7187" s="10"/>
      <c r="J7187" s="10"/>
      <c r="K7187" s="10"/>
      <c r="L7187" s="10"/>
    </row>
    <row r="7188" spans="1:12" ht="15" customHeight="1" x14ac:dyDescent="0.25">
      <c r="A7188" s="10"/>
      <c r="B7188" s="10"/>
      <c r="C7188" s="10"/>
      <c r="D7188" s="10"/>
      <c r="E7188" s="10"/>
      <c r="F7188" s="10"/>
      <c r="G7188" s="10"/>
      <c r="H7188" s="10"/>
      <c r="I7188" s="10"/>
      <c r="J7188" s="10"/>
      <c r="K7188" s="10"/>
      <c r="L7188" s="10"/>
    </row>
    <row r="7189" spans="1:12" ht="15" customHeight="1" x14ac:dyDescent="0.25">
      <c r="A7189" s="10"/>
      <c r="B7189" s="10"/>
      <c r="C7189" s="10"/>
      <c r="D7189" s="10"/>
      <c r="E7189" s="10"/>
      <c r="F7189" s="10"/>
      <c r="G7189" s="10"/>
      <c r="H7189" s="10"/>
      <c r="I7189" s="10"/>
      <c r="J7189" s="10"/>
      <c r="K7189" s="10"/>
      <c r="L7189" s="10"/>
    </row>
    <row r="7190" spans="1:12" ht="15" customHeight="1" x14ac:dyDescent="0.25">
      <c r="A7190" s="10"/>
      <c r="B7190" s="10"/>
      <c r="C7190" s="10"/>
      <c r="D7190" s="10"/>
      <c r="E7190" s="10"/>
      <c r="F7190" s="10"/>
      <c r="G7190" s="10"/>
      <c r="H7190" s="10"/>
      <c r="I7190" s="10"/>
      <c r="J7190" s="10"/>
      <c r="K7190" s="10"/>
      <c r="L7190" s="10"/>
    </row>
    <row r="7191" spans="1:12" ht="15" customHeight="1" x14ac:dyDescent="0.25">
      <c r="A7191" s="10"/>
      <c r="B7191" s="10"/>
      <c r="C7191" s="10"/>
      <c r="D7191" s="10"/>
      <c r="E7191" s="10"/>
      <c r="F7191" s="10"/>
      <c r="G7191" s="10"/>
      <c r="H7191" s="10"/>
      <c r="I7191" s="10"/>
      <c r="J7191" s="10"/>
      <c r="K7191" s="10"/>
      <c r="L7191" s="10"/>
    </row>
    <row r="7192" spans="1:12" ht="15" customHeight="1" x14ac:dyDescent="0.25">
      <c r="A7192" s="10"/>
      <c r="B7192" s="10"/>
      <c r="C7192" s="10"/>
      <c r="D7192" s="10"/>
      <c r="E7192" s="10"/>
      <c r="F7192" s="10"/>
      <c r="G7192" s="10"/>
      <c r="H7192" s="10"/>
      <c r="I7192" s="10"/>
      <c r="J7192" s="10"/>
      <c r="K7192" s="10"/>
      <c r="L7192" s="10"/>
    </row>
    <row r="7193" spans="1:12" ht="15" customHeight="1" x14ac:dyDescent="0.25">
      <c r="A7193" s="10"/>
      <c r="B7193" s="10"/>
      <c r="C7193" s="10"/>
      <c r="D7193" s="10"/>
      <c r="E7193" s="10"/>
      <c r="F7193" s="10"/>
      <c r="G7193" s="10"/>
      <c r="H7193" s="10"/>
      <c r="I7193" s="10"/>
      <c r="J7193" s="10"/>
      <c r="K7193" s="10"/>
      <c r="L7193" s="10"/>
    </row>
    <row r="7194" spans="1:12" ht="15" customHeight="1" x14ac:dyDescent="0.25">
      <c r="A7194" s="10"/>
      <c r="B7194" s="10"/>
      <c r="C7194" s="10"/>
      <c r="D7194" s="10"/>
      <c r="E7194" s="10"/>
      <c r="F7194" s="10"/>
      <c r="G7194" s="10"/>
      <c r="H7194" s="10"/>
      <c r="I7194" s="10"/>
      <c r="J7194" s="10"/>
      <c r="K7194" s="10"/>
      <c r="L7194" s="10"/>
    </row>
    <row r="7195" spans="1:12" ht="15" customHeight="1" x14ac:dyDescent="0.25">
      <c r="A7195" s="10"/>
      <c r="B7195" s="10"/>
      <c r="C7195" s="10"/>
      <c r="D7195" s="10"/>
      <c r="E7195" s="10"/>
      <c r="F7195" s="10"/>
      <c r="G7195" s="10"/>
      <c r="H7195" s="10"/>
      <c r="I7195" s="10"/>
      <c r="J7195" s="10"/>
      <c r="K7195" s="10"/>
      <c r="L7195" s="10"/>
    </row>
    <row r="7196" spans="1:12" ht="15" customHeight="1" x14ac:dyDescent="0.25">
      <c r="A7196" s="10"/>
      <c r="B7196" s="10"/>
      <c r="C7196" s="10"/>
      <c r="D7196" s="10"/>
      <c r="E7196" s="10"/>
      <c r="F7196" s="10"/>
      <c r="G7196" s="10"/>
      <c r="H7196" s="10"/>
      <c r="I7196" s="10"/>
      <c r="J7196" s="10"/>
      <c r="K7196" s="10"/>
      <c r="L7196" s="10"/>
    </row>
    <row r="7197" spans="1:12" ht="15" customHeight="1" x14ac:dyDescent="0.25">
      <c r="A7197" s="10"/>
      <c r="B7197" s="10"/>
      <c r="C7197" s="10"/>
      <c r="D7197" s="10"/>
      <c r="E7197" s="10"/>
      <c r="F7197" s="10"/>
      <c r="G7197" s="10"/>
      <c r="H7197" s="10"/>
      <c r="I7197" s="10"/>
      <c r="J7197" s="10"/>
      <c r="K7197" s="10"/>
      <c r="L7197" s="10"/>
    </row>
    <row r="7198" spans="1:12" ht="15" customHeight="1" x14ac:dyDescent="0.25">
      <c r="A7198" s="10"/>
      <c r="B7198" s="10"/>
      <c r="C7198" s="10"/>
      <c r="D7198" s="10"/>
      <c r="E7198" s="10"/>
      <c r="F7198" s="10"/>
      <c r="G7198" s="10"/>
      <c r="H7198" s="10"/>
      <c r="I7198" s="10"/>
      <c r="J7198" s="10"/>
      <c r="K7198" s="10"/>
      <c r="L7198" s="10"/>
    </row>
    <row r="7199" spans="1:12" ht="15" customHeight="1" x14ac:dyDescent="0.25">
      <c r="A7199" s="10"/>
      <c r="B7199" s="10"/>
      <c r="C7199" s="10"/>
      <c r="D7199" s="10"/>
      <c r="E7199" s="10"/>
      <c r="F7199" s="10"/>
      <c r="G7199" s="10"/>
      <c r="H7199" s="10"/>
      <c r="I7199" s="10"/>
      <c r="J7199" s="10"/>
      <c r="K7199" s="10"/>
      <c r="L7199" s="10"/>
    </row>
    <row r="7200" spans="1:12" ht="15" customHeight="1" x14ac:dyDescent="0.25">
      <c r="A7200" s="10"/>
      <c r="B7200" s="10"/>
      <c r="C7200" s="10"/>
      <c r="D7200" s="10"/>
      <c r="E7200" s="10"/>
      <c r="F7200" s="10"/>
      <c r="G7200" s="10"/>
      <c r="H7200" s="10"/>
      <c r="I7200" s="10"/>
      <c r="J7200" s="10"/>
      <c r="K7200" s="10"/>
      <c r="L7200" s="10"/>
    </row>
    <row r="7201" spans="1:12" ht="15" customHeight="1" x14ac:dyDescent="0.25">
      <c r="A7201" s="10"/>
      <c r="B7201" s="10"/>
      <c r="C7201" s="10"/>
      <c r="D7201" s="10"/>
      <c r="E7201" s="10"/>
      <c r="F7201" s="10"/>
      <c r="G7201" s="10"/>
      <c r="H7201" s="10"/>
      <c r="I7201" s="10"/>
      <c r="J7201" s="10"/>
      <c r="K7201" s="10"/>
      <c r="L7201" s="10"/>
    </row>
    <row r="7202" spans="1:12" ht="15" customHeight="1" x14ac:dyDescent="0.25">
      <c r="A7202" s="10"/>
      <c r="B7202" s="10"/>
      <c r="C7202" s="10"/>
      <c r="D7202" s="10"/>
      <c r="E7202" s="10"/>
      <c r="F7202" s="10"/>
      <c r="G7202" s="10"/>
      <c r="H7202" s="10"/>
      <c r="I7202" s="10"/>
      <c r="J7202" s="10"/>
      <c r="K7202" s="10"/>
      <c r="L7202" s="10"/>
    </row>
    <row r="7203" spans="1:12" ht="15" customHeight="1" x14ac:dyDescent="0.25">
      <c r="A7203" s="10"/>
      <c r="B7203" s="10"/>
      <c r="C7203" s="10"/>
      <c r="D7203" s="10"/>
      <c r="E7203" s="10"/>
      <c r="F7203" s="10"/>
      <c r="G7203" s="10"/>
      <c r="H7203" s="10"/>
      <c r="I7203" s="10"/>
      <c r="J7203" s="10"/>
      <c r="K7203" s="10"/>
      <c r="L7203" s="10"/>
    </row>
    <row r="7204" spans="1:12" ht="15" customHeight="1" x14ac:dyDescent="0.25">
      <c r="A7204" s="10"/>
      <c r="B7204" s="10"/>
      <c r="C7204" s="10"/>
      <c r="D7204" s="10"/>
      <c r="E7204" s="10"/>
      <c r="F7204" s="10"/>
      <c r="G7204" s="10"/>
      <c r="H7204" s="10"/>
      <c r="I7204" s="10"/>
      <c r="J7204" s="10"/>
      <c r="K7204" s="10"/>
      <c r="L7204" s="10"/>
    </row>
    <row r="7205" spans="1:12" ht="15" customHeight="1" x14ac:dyDescent="0.25">
      <c r="A7205" s="10"/>
      <c r="B7205" s="10"/>
      <c r="C7205" s="10"/>
      <c r="D7205" s="10"/>
      <c r="E7205" s="10"/>
      <c r="F7205" s="10"/>
      <c r="G7205" s="10"/>
      <c r="H7205" s="10"/>
      <c r="I7205" s="10"/>
      <c r="J7205" s="10"/>
      <c r="K7205" s="10"/>
      <c r="L7205" s="10"/>
    </row>
    <row r="7206" spans="1:12" ht="15" customHeight="1" x14ac:dyDescent="0.25">
      <c r="A7206" s="10"/>
      <c r="B7206" s="10"/>
      <c r="C7206" s="10"/>
      <c r="D7206" s="10"/>
      <c r="E7206" s="10"/>
      <c r="F7206" s="10"/>
      <c r="G7206" s="10"/>
      <c r="H7206" s="10"/>
      <c r="I7206" s="10"/>
      <c r="J7206" s="10"/>
      <c r="K7206" s="10"/>
      <c r="L7206" s="10"/>
    </row>
    <row r="7207" spans="1:12" ht="15" customHeight="1" x14ac:dyDescent="0.25">
      <c r="A7207" s="10"/>
      <c r="B7207" s="10"/>
      <c r="C7207" s="10"/>
      <c r="D7207" s="10"/>
      <c r="E7207" s="10"/>
      <c r="F7207" s="10"/>
      <c r="G7207" s="10"/>
      <c r="H7207" s="10"/>
      <c r="I7207" s="10"/>
      <c r="J7207" s="10"/>
      <c r="K7207" s="10"/>
      <c r="L7207" s="10"/>
    </row>
    <row r="7208" spans="1:12" ht="15" customHeight="1" x14ac:dyDescent="0.25">
      <c r="A7208" s="10"/>
      <c r="B7208" s="10"/>
      <c r="C7208" s="10"/>
      <c r="D7208" s="10"/>
      <c r="E7208" s="10"/>
      <c r="F7208" s="10"/>
      <c r="G7208" s="10"/>
      <c r="H7208" s="10"/>
      <c r="I7208" s="10"/>
      <c r="J7208" s="10"/>
      <c r="K7208" s="10"/>
      <c r="L7208" s="10"/>
    </row>
    <row r="7209" spans="1:12" ht="15" customHeight="1" x14ac:dyDescent="0.25">
      <c r="A7209" s="10"/>
      <c r="B7209" s="10"/>
      <c r="C7209" s="10"/>
      <c r="D7209" s="10"/>
      <c r="E7209" s="10"/>
      <c r="F7209" s="10"/>
      <c r="G7209" s="10"/>
      <c r="H7209" s="10"/>
      <c r="I7209" s="10"/>
      <c r="J7209" s="10"/>
      <c r="K7209" s="10"/>
      <c r="L7209" s="10"/>
    </row>
    <row r="7210" spans="1:12" ht="15" customHeight="1" x14ac:dyDescent="0.25">
      <c r="A7210" s="10"/>
      <c r="B7210" s="10"/>
      <c r="C7210" s="10"/>
      <c r="D7210" s="10"/>
      <c r="E7210" s="10"/>
      <c r="F7210" s="10"/>
      <c r="G7210" s="10"/>
      <c r="H7210" s="10"/>
      <c r="I7210" s="10"/>
      <c r="J7210" s="10"/>
      <c r="K7210" s="10"/>
      <c r="L7210" s="10"/>
    </row>
    <row r="7211" spans="1:12" ht="15" customHeight="1" x14ac:dyDescent="0.25">
      <c r="A7211" s="10"/>
      <c r="B7211" s="10"/>
      <c r="C7211" s="10"/>
      <c r="D7211" s="10"/>
      <c r="E7211" s="10"/>
      <c r="F7211" s="10"/>
      <c r="G7211" s="10"/>
      <c r="H7211" s="10"/>
      <c r="I7211" s="10"/>
      <c r="J7211" s="10"/>
      <c r="K7211" s="10"/>
      <c r="L7211" s="10"/>
    </row>
    <row r="7212" spans="1:12" ht="15" customHeight="1" x14ac:dyDescent="0.25">
      <c r="A7212" s="10"/>
      <c r="B7212" s="10"/>
      <c r="C7212" s="10"/>
      <c r="D7212" s="10"/>
      <c r="E7212" s="10"/>
      <c r="F7212" s="10"/>
      <c r="G7212" s="10"/>
      <c r="H7212" s="10"/>
      <c r="I7212" s="10"/>
      <c r="J7212" s="10"/>
      <c r="K7212" s="10"/>
      <c r="L7212" s="10"/>
    </row>
    <row r="7213" spans="1:12" ht="15" customHeight="1" x14ac:dyDescent="0.25">
      <c r="A7213" s="10"/>
      <c r="B7213" s="10"/>
      <c r="C7213" s="10"/>
      <c r="D7213" s="10"/>
      <c r="E7213" s="10"/>
      <c r="F7213" s="10"/>
      <c r="G7213" s="10"/>
      <c r="H7213" s="10"/>
      <c r="I7213" s="10"/>
      <c r="J7213" s="10"/>
      <c r="K7213" s="10"/>
      <c r="L7213" s="10"/>
    </row>
    <row r="7214" spans="1:12" ht="15" customHeight="1" x14ac:dyDescent="0.25">
      <c r="A7214" s="10"/>
      <c r="B7214" s="10"/>
      <c r="C7214" s="10"/>
      <c r="D7214" s="10"/>
      <c r="E7214" s="10"/>
      <c r="F7214" s="10"/>
      <c r="G7214" s="10"/>
      <c r="H7214" s="10"/>
      <c r="I7214" s="10"/>
      <c r="J7214" s="10"/>
      <c r="K7214" s="10"/>
      <c r="L7214" s="10"/>
    </row>
    <row r="7215" spans="1:12" ht="15" customHeight="1" x14ac:dyDescent="0.25">
      <c r="A7215" s="10"/>
      <c r="B7215" s="10"/>
      <c r="C7215" s="10"/>
      <c r="D7215" s="10"/>
      <c r="E7215" s="10"/>
      <c r="F7215" s="10"/>
      <c r="G7215" s="10"/>
      <c r="H7215" s="10"/>
      <c r="I7215" s="10"/>
      <c r="J7215" s="10"/>
      <c r="K7215" s="10"/>
      <c r="L7215" s="10"/>
    </row>
    <row r="7216" spans="1:12" ht="15" customHeight="1" x14ac:dyDescent="0.25">
      <c r="A7216" s="10"/>
      <c r="B7216" s="10"/>
      <c r="C7216" s="10"/>
      <c r="D7216" s="10"/>
      <c r="E7216" s="10"/>
      <c r="F7216" s="10"/>
      <c r="G7216" s="10"/>
      <c r="H7216" s="10"/>
      <c r="I7216" s="10"/>
      <c r="J7216" s="10"/>
      <c r="K7216" s="10"/>
      <c r="L7216" s="10"/>
    </row>
    <row r="7217" spans="1:12" ht="15" customHeight="1" x14ac:dyDescent="0.25">
      <c r="A7217" s="10"/>
      <c r="B7217" s="10"/>
      <c r="C7217" s="10"/>
      <c r="D7217" s="10"/>
      <c r="E7217" s="10"/>
      <c r="F7217" s="10"/>
      <c r="G7217" s="10"/>
      <c r="H7217" s="10"/>
      <c r="I7217" s="10"/>
      <c r="J7217" s="10"/>
      <c r="K7217" s="10"/>
      <c r="L7217" s="10"/>
    </row>
    <row r="7218" spans="1:12" ht="15" customHeight="1" x14ac:dyDescent="0.25">
      <c r="A7218" s="10"/>
      <c r="B7218" s="10"/>
      <c r="C7218" s="10"/>
      <c r="D7218" s="10"/>
      <c r="E7218" s="10"/>
      <c r="F7218" s="10"/>
      <c r="G7218" s="10"/>
      <c r="H7218" s="10"/>
      <c r="I7218" s="10"/>
      <c r="J7218" s="10"/>
      <c r="K7218" s="10"/>
      <c r="L7218" s="10"/>
    </row>
    <row r="7219" spans="1:12" ht="15" customHeight="1" x14ac:dyDescent="0.25">
      <c r="A7219" s="10"/>
      <c r="B7219" s="10"/>
      <c r="C7219" s="10"/>
      <c r="D7219" s="10"/>
      <c r="E7219" s="10"/>
      <c r="F7219" s="10"/>
      <c r="G7219" s="10"/>
      <c r="H7219" s="10"/>
      <c r="I7219" s="10"/>
      <c r="J7219" s="10"/>
      <c r="K7219" s="10"/>
      <c r="L7219" s="10"/>
    </row>
    <row r="7220" spans="1:12" ht="15" customHeight="1" x14ac:dyDescent="0.25">
      <c r="A7220" s="10"/>
      <c r="B7220" s="10"/>
      <c r="C7220" s="10"/>
      <c r="D7220" s="10"/>
      <c r="E7220" s="10"/>
      <c r="F7220" s="10"/>
      <c r="G7220" s="10"/>
      <c r="H7220" s="10"/>
      <c r="I7220" s="10"/>
      <c r="J7220" s="10"/>
      <c r="K7220" s="10"/>
      <c r="L7220" s="10"/>
    </row>
    <row r="7221" spans="1:12" ht="15" customHeight="1" x14ac:dyDescent="0.25">
      <c r="A7221" s="10"/>
      <c r="B7221" s="10"/>
      <c r="C7221" s="10"/>
      <c r="D7221" s="10"/>
      <c r="E7221" s="10"/>
      <c r="F7221" s="10"/>
      <c r="G7221" s="10"/>
      <c r="H7221" s="10"/>
      <c r="I7221" s="10"/>
      <c r="J7221" s="10"/>
      <c r="K7221" s="10"/>
      <c r="L7221" s="10"/>
    </row>
    <row r="7222" spans="1:12" ht="15" customHeight="1" x14ac:dyDescent="0.25">
      <c r="A7222" s="10"/>
      <c r="B7222" s="10"/>
      <c r="C7222" s="10"/>
      <c r="D7222" s="10"/>
      <c r="E7222" s="10"/>
      <c r="F7222" s="10"/>
      <c r="G7222" s="10"/>
      <c r="H7222" s="10"/>
      <c r="I7222" s="10"/>
      <c r="J7222" s="10"/>
      <c r="K7222" s="10"/>
      <c r="L7222" s="10"/>
    </row>
    <row r="7223" spans="1:12" ht="15" customHeight="1" x14ac:dyDescent="0.25">
      <c r="A7223" s="10"/>
      <c r="B7223" s="10"/>
      <c r="C7223" s="10"/>
      <c r="D7223" s="10"/>
      <c r="E7223" s="10"/>
      <c r="F7223" s="10"/>
      <c r="G7223" s="10"/>
      <c r="H7223" s="10"/>
      <c r="I7223" s="10"/>
      <c r="J7223" s="10"/>
      <c r="K7223" s="10"/>
      <c r="L7223" s="10"/>
    </row>
    <row r="7224" spans="1:12" ht="15" customHeight="1" x14ac:dyDescent="0.25">
      <c r="A7224" s="10"/>
      <c r="B7224" s="10"/>
      <c r="C7224" s="10"/>
      <c r="D7224" s="10"/>
      <c r="E7224" s="10"/>
      <c r="F7224" s="10"/>
      <c r="G7224" s="10"/>
      <c r="H7224" s="10"/>
      <c r="I7224" s="10"/>
      <c r="J7224" s="10"/>
      <c r="K7224" s="10"/>
      <c r="L7224" s="10"/>
    </row>
    <row r="7225" spans="1:12" ht="15" customHeight="1" x14ac:dyDescent="0.25">
      <c r="A7225" s="10"/>
      <c r="B7225" s="10"/>
      <c r="C7225" s="10"/>
      <c r="D7225" s="10"/>
      <c r="E7225" s="10"/>
      <c r="F7225" s="10"/>
      <c r="G7225" s="10"/>
      <c r="H7225" s="10"/>
      <c r="I7225" s="10"/>
      <c r="J7225" s="10"/>
      <c r="K7225" s="10"/>
      <c r="L7225" s="10"/>
    </row>
    <row r="7226" spans="1:12" ht="15" customHeight="1" x14ac:dyDescent="0.25">
      <c r="A7226" s="10"/>
      <c r="B7226" s="10"/>
      <c r="C7226" s="10"/>
      <c r="D7226" s="10"/>
      <c r="E7226" s="10"/>
      <c r="F7226" s="10"/>
      <c r="G7226" s="10"/>
      <c r="H7226" s="10"/>
      <c r="I7226" s="10"/>
      <c r="J7226" s="10"/>
      <c r="K7226" s="10"/>
      <c r="L7226" s="10"/>
    </row>
    <row r="7227" spans="1:12" ht="15" customHeight="1" x14ac:dyDescent="0.25">
      <c r="A7227" s="10"/>
      <c r="B7227" s="10"/>
      <c r="C7227" s="10"/>
      <c r="D7227" s="10"/>
      <c r="E7227" s="10"/>
      <c r="F7227" s="10"/>
      <c r="G7227" s="10"/>
      <c r="H7227" s="10"/>
      <c r="I7227" s="10"/>
      <c r="J7227" s="10"/>
      <c r="K7227" s="10"/>
      <c r="L7227" s="10"/>
    </row>
    <row r="7228" spans="1:12" ht="15" customHeight="1" x14ac:dyDescent="0.25">
      <c r="A7228" s="10"/>
      <c r="B7228" s="10"/>
      <c r="C7228" s="10"/>
      <c r="D7228" s="10"/>
      <c r="E7228" s="10"/>
      <c r="F7228" s="10"/>
      <c r="G7228" s="10"/>
      <c r="H7228" s="10"/>
      <c r="I7228" s="10"/>
      <c r="J7228" s="10"/>
      <c r="K7228" s="10"/>
      <c r="L7228" s="10"/>
    </row>
    <row r="7229" spans="1:12" ht="15" customHeight="1" x14ac:dyDescent="0.25">
      <c r="A7229" s="10"/>
      <c r="B7229" s="10"/>
      <c r="C7229" s="10"/>
      <c r="D7229" s="10"/>
      <c r="E7229" s="10"/>
      <c r="F7229" s="10"/>
      <c r="G7229" s="10"/>
      <c r="H7229" s="10"/>
      <c r="I7229" s="10"/>
      <c r="J7229" s="10"/>
      <c r="K7229" s="10"/>
      <c r="L7229" s="10"/>
    </row>
    <row r="7230" spans="1:12" ht="15" customHeight="1" x14ac:dyDescent="0.25">
      <c r="A7230" s="10"/>
      <c r="B7230" s="10"/>
      <c r="C7230" s="10"/>
      <c r="D7230" s="10"/>
      <c r="E7230" s="10"/>
      <c r="F7230" s="10"/>
      <c r="G7230" s="10"/>
      <c r="H7230" s="10"/>
      <c r="I7230" s="10"/>
      <c r="J7230" s="10"/>
      <c r="K7230" s="10"/>
      <c r="L7230" s="10"/>
    </row>
    <row r="7231" spans="1:12" ht="15" customHeight="1" x14ac:dyDescent="0.25">
      <c r="A7231" s="10"/>
      <c r="B7231" s="10"/>
      <c r="C7231" s="10"/>
      <c r="D7231" s="10"/>
      <c r="E7231" s="10"/>
      <c r="F7231" s="10"/>
      <c r="G7231" s="10"/>
      <c r="H7231" s="10"/>
      <c r="I7231" s="10"/>
      <c r="J7231" s="10"/>
      <c r="K7231" s="10"/>
      <c r="L7231" s="10"/>
    </row>
    <row r="7232" spans="1:12" ht="15" customHeight="1" x14ac:dyDescent="0.25">
      <c r="A7232" s="10"/>
      <c r="B7232" s="10"/>
      <c r="C7232" s="10"/>
      <c r="D7232" s="10"/>
      <c r="E7232" s="10"/>
      <c r="F7232" s="10"/>
      <c r="G7232" s="10"/>
      <c r="H7232" s="10"/>
      <c r="I7232" s="10"/>
      <c r="J7232" s="10"/>
      <c r="K7232" s="10"/>
      <c r="L7232" s="10"/>
    </row>
    <row r="7233" spans="1:12" ht="15" customHeight="1" x14ac:dyDescent="0.25">
      <c r="A7233" s="10"/>
      <c r="B7233" s="10"/>
      <c r="C7233" s="10"/>
      <c r="D7233" s="10"/>
      <c r="E7233" s="10"/>
      <c r="F7233" s="10"/>
      <c r="G7233" s="10"/>
      <c r="H7233" s="10"/>
      <c r="I7233" s="10"/>
      <c r="J7233" s="10"/>
      <c r="K7233" s="10"/>
      <c r="L7233" s="10"/>
    </row>
    <row r="7234" spans="1:12" ht="15" customHeight="1" x14ac:dyDescent="0.25">
      <c r="A7234" s="10"/>
      <c r="B7234" s="10"/>
      <c r="C7234" s="10"/>
      <c r="D7234" s="10"/>
      <c r="E7234" s="10"/>
      <c r="F7234" s="10"/>
      <c r="G7234" s="10"/>
      <c r="H7234" s="10"/>
      <c r="I7234" s="10"/>
      <c r="J7234" s="10"/>
      <c r="K7234" s="10"/>
      <c r="L7234" s="10"/>
    </row>
    <row r="7235" spans="1:12" ht="15" customHeight="1" x14ac:dyDescent="0.25">
      <c r="A7235" s="10"/>
      <c r="B7235" s="10"/>
      <c r="C7235" s="10"/>
      <c r="D7235" s="10"/>
      <c r="E7235" s="10"/>
      <c r="F7235" s="10"/>
      <c r="G7235" s="10"/>
      <c r="H7235" s="10"/>
      <c r="I7235" s="10"/>
      <c r="J7235" s="10"/>
      <c r="K7235" s="10"/>
      <c r="L7235" s="10"/>
    </row>
    <row r="7236" spans="1:12" ht="15" customHeight="1" x14ac:dyDescent="0.25">
      <c r="A7236" s="10"/>
      <c r="B7236" s="10"/>
      <c r="C7236" s="10"/>
      <c r="D7236" s="10"/>
      <c r="E7236" s="10"/>
      <c r="F7236" s="10"/>
      <c r="G7236" s="10"/>
      <c r="H7236" s="10"/>
      <c r="I7236" s="10"/>
      <c r="J7236" s="10"/>
      <c r="K7236" s="10"/>
      <c r="L7236" s="10"/>
    </row>
    <row r="7237" spans="1:12" ht="15" customHeight="1" x14ac:dyDescent="0.25">
      <c r="A7237" s="10"/>
      <c r="B7237" s="10"/>
      <c r="C7237" s="10"/>
      <c r="D7237" s="10"/>
      <c r="E7237" s="10"/>
      <c r="F7237" s="10"/>
      <c r="G7237" s="10"/>
      <c r="H7237" s="10"/>
      <c r="I7237" s="10"/>
      <c r="J7237" s="10"/>
      <c r="K7237" s="10"/>
      <c r="L7237" s="10"/>
    </row>
    <row r="7238" spans="1:12" ht="15" customHeight="1" x14ac:dyDescent="0.25">
      <c r="A7238" s="10"/>
      <c r="B7238" s="10"/>
      <c r="C7238" s="10"/>
      <c r="D7238" s="10"/>
      <c r="E7238" s="10"/>
      <c r="F7238" s="10"/>
      <c r="G7238" s="10"/>
      <c r="H7238" s="10"/>
      <c r="I7238" s="10"/>
      <c r="J7238" s="10"/>
      <c r="K7238" s="10"/>
      <c r="L7238" s="10"/>
    </row>
    <row r="7239" spans="1:12" ht="15" customHeight="1" x14ac:dyDescent="0.25">
      <c r="A7239" s="10"/>
      <c r="B7239" s="10"/>
      <c r="C7239" s="10"/>
      <c r="D7239" s="10"/>
      <c r="E7239" s="10"/>
      <c r="F7239" s="10"/>
      <c r="G7239" s="10"/>
      <c r="H7239" s="10"/>
      <c r="I7239" s="10"/>
      <c r="J7239" s="10"/>
      <c r="K7239" s="10"/>
      <c r="L7239" s="10"/>
    </row>
    <row r="7240" spans="1:12" ht="15" customHeight="1" x14ac:dyDescent="0.25">
      <c r="A7240" s="10"/>
      <c r="B7240" s="10"/>
      <c r="C7240" s="10"/>
      <c r="D7240" s="10"/>
      <c r="E7240" s="10"/>
      <c r="F7240" s="10"/>
      <c r="G7240" s="10"/>
      <c r="H7240" s="10"/>
      <c r="I7240" s="10"/>
      <c r="J7240" s="10"/>
      <c r="K7240" s="10"/>
      <c r="L7240" s="10"/>
    </row>
    <row r="7241" spans="1:12" ht="15" customHeight="1" x14ac:dyDescent="0.25">
      <c r="A7241" s="10"/>
      <c r="B7241" s="10"/>
      <c r="C7241" s="10"/>
      <c r="D7241" s="10"/>
      <c r="E7241" s="10"/>
      <c r="F7241" s="10"/>
      <c r="G7241" s="10"/>
      <c r="H7241" s="10"/>
      <c r="I7241" s="10"/>
      <c r="J7241" s="10"/>
      <c r="K7241" s="10"/>
      <c r="L7241" s="10"/>
    </row>
    <row r="7242" spans="1:12" ht="15" customHeight="1" x14ac:dyDescent="0.25">
      <c r="A7242" s="10"/>
      <c r="B7242" s="10"/>
      <c r="C7242" s="10"/>
      <c r="D7242" s="10"/>
      <c r="E7242" s="10"/>
      <c r="F7242" s="10"/>
      <c r="G7242" s="10"/>
      <c r="H7242" s="10"/>
      <c r="I7242" s="10"/>
      <c r="J7242" s="10"/>
      <c r="K7242" s="10"/>
      <c r="L7242" s="10"/>
    </row>
    <row r="7243" spans="1:12" ht="15" customHeight="1" x14ac:dyDescent="0.25">
      <c r="A7243" s="10"/>
      <c r="B7243" s="10"/>
      <c r="C7243" s="10"/>
      <c r="D7243" s="10"/>
      <c r="E7243" s="10"/>
      <c r="F7243" s="10"/>
      <c r="G7243" s="10"/>
      <c r="H7243" s="10"/>
      <c r="I7243" s="10"/>
      <c r="J7243" s="10"/>
      <c r="K7243" s="10"/>
      <c r="L7243" s="10"/>
    </row>
    <row r="7244" spans="1:12" ht="15" customHeight="1" x14ac:dyDescent="0.25">
      <c r="A7244" s="10"/>
      <c r="B7244" s="10"/>
      <c r="C7244" s="10"/>
      <c r="D7244" s="10"/>
      <c r="E7244" s="10"/>
      <c r="F7244" s="10"/>
      <c r="G7244" s="10"/>
      <c r="H7244" s="10"/>
      <c r="I7244" s="10"/>
      <c r="J7244" s="10"/>
      <c r="K7244" s="10"/>
      <c r="L7244" s="10"/>
    </row>
    <row r="7245" spans="1:12" ht="15" customHeight="1" x14ac:dyDescent="0.25">
      <c r="A7245" s="10"/>
      <c r="B7245" s="10"/>
      <c r="C7245" s="10"/>
      <c r="D7245" s="10"/>
      <c r="E7245" s="10"/>
      <c r="F7245" s="10"/>
      <c r="G7245" s="10"/>
      <c r="H7245" s="10"/>
      <c r="I7245" s="10"/>
      <c r="J7245" s="10"/>
      <c r="K7245" s="10"/>
      <c r="L7245" s="10"/>
    </row>
    <row r="7246" spans="1:12" ht="15" customHeight="1" x14ac:dyDescent="0.25">
      <c r="A7246" s="10"/>
      <c r="B7246" s="10"/>
      <c r="C7246" s="10"/>
      <c r="D7246" s="10"/>
      <c r="E7246" s="10"/>
      <c r="F7246" s="10"/>
      <c r="G7246" s="10"/>
      <c r="H7246" s="10"/>
      <c r="I7246" s="10"/>
      <c r="J7246" s="10"/>
      <c r="K7246" s="10"/>
      <c r="L7246" s="10"/>
    </row>
    <row r="7247" spans="1:12" ht="15" customHeight="1" x14ac:dyDescent="0.25">
      <c r="A7247" s="10"/>
      <c r="B7247" s="10"/>
      <c r="C7247" s="10"/>
      <c r="D7247" s="10"/>
      <c r="E7247" s="10"/>
      <c r="F7247" s="10"/>
      <c r="G7247" s="10"/>
      <c r="H7247" s="10"/>
      <c r="I7247" s="10"/>
      <c r="J7247" s="10"/>
      <c r="K7247" s="10"/>
      <c r="L7247" s="10"/>
    </row>
    <row r="7248" spans="1:12" ht="15" customHeight="1" x14ac:dyDescent="0.25">
      <c r="A7248" s="10"/>
      <c r="B7248" s="10"/>
      <c r="C7248" s="10"/>
      <c r="D7248" s="10"/>
      <c r="E7248" s="10"/>
      <c r="F7248" s="10"/>
      <c r="G7248" s="10"/>
      <c r="H7248" s="10"/>
      <c r="I7248" s="10"/>
      <c r="J7248" s="10"/>
      <c r="K7248" s="10"/>
      <c r="L7248" s="10"/>
    </row>
    <row r="7249" spans="1:12" ht="15" customHeight="1" x14ac:dyDescent="0.25">
      <c r="A7249" s="10"/>
      <c r="B7249" s="10"/>
      <c r="C7249" s="10"/>
      <c r="D7249" s="10"/>
      <c r="E7249" s="10"/>
      <c r="F7249" s="10"/>
      <c r="G7249" s="10"/>
      <c r="H7249" s="10"/>
      <c r="I7249" s="10"/>
      <c r="J7249" s="10"/>
      <c r="K7249" s="10"/>
      <c r="L7249" s="10"/>
    </row>
    <row r="7250" spans="1:12" ht="15" customHeight="1" x14ac:dyDescent="0.25">
      <c r="A7250" s="10"/>
      <c r="B7250" s="10"/>
      <c r="C7250" s="10"/>
      <c r="D7250" s="10"/>
      <c r="E7250" s="10"/>
      <c r="F7250" s="10"/>
      <c r="G7250" s="10"/>
      <c r="H7250" s="10"/>
      <c r="I7250" s="10"/>
      <c r="J7250" s="10"/>
      <c r="K7250" s="10"/>
      <c r="L7250" s="10"/>
    </row>
    <row r="7251" spans="1:12" ht="15" customHeight="1" x14ac:dyDescent="0.25">
      <c r="A7251" s="10"/>
      <c r="B7251" s="10"/>
      <c r="C7251" s="10"/>
      <c r="D7251" s="10"/>
      <c r="E7251" s="10"/>
      <c r="F7251" s="10"/>
      <c r="G7251" s="10"/>
      <c r="H7251" s="10"/>
      <c r="I7251" s="10"/>
      <c r="J7251" s="10"/>
      <c r="K7251" s="10"/>
      <c r="L7251" s="10"/>
    </row>
    <row r="7252" spans="1:12" ht="15" customHeight="1" x14ac:dyDescent="0.25">
      <c r="A7252" s="10"/>
      <c r="B7252" s="10"/>
      <c r="C7252" s="10"/>
      <c r="D7252" s="10"/>
      <c r="E7252" s="10"/>
      <c r="F7252" s="10"/>
      <c r="G7252" s="10"/>
      <c r="H7252" s="10"/>
      <c r="I7252" s="10"/>
      <c r="J7252" s="10"/>
      <c r="K7252" s="10"/>
      <c r="L7252" s="10"/>
    </row>
    <row r="7253" spans="1:12" ht="15" customHeight="1" x14ac:dyDescent="0.25">
      <c r="A7253" s="10"/>
      <c r="B7253" s="10"/>
      <c r="C7253" s="10"/>
      <c r="D7253" s="10"/>
      <c r="E7253" s="10"/>
      <c r="F7253" s="10"/>
      <c r="G7253" s="10"/>
      <c r="H7253" s="10"/>
      <c r="I7253" s="10"/>
      <c r="J7253" s="10"/>
      <c r="K7253" s="10"/>
      <c r="L7253" s="10"/>
    </row>
    <row r="7254" spans="1:12" ht="15" customHeight="1" x14ac:dyDescent="0.25">
      <c r="A7254" s="10"/>
      <c r="B7254" s="10"/>
      <c r="C7254" s="10"/>
      <c r="D7254" s="10"/>
      <c r="E7254" s="10"/>
      <c r="F7254" s="10"/>
      <c r="G7254" s="10"/>
      <c r="H7254" s="10"/>
      <c r="I7254" s="10"/>
      <c r="J7254" s="10"/>
      <c r="K7254" s="10"/>
      <c r="L7254" s="10"/>
    </row>
    <row r="7255" spans="1:12" ht="15" customHeight="1" x14ac:dyDescent="0.25">
      <c r="A7255" s="10"/>
      <c r="B7255" s="10"/>
      <c r="C7255" s="10"/>
      <c r="D7255" s="10"/>
      <c r="E7255" s="10"/>
      <c r="F7255" s="10"/>
      <c r="G7255" s="10"/>
      <c r="H7255" s="10"/>
      <c r="I7255" s="10"/>
      <c r="J7255" s="10"/>
      <c r="K7255" s="10"/>
      <c r="L7255" s="10"/>
    </row>
    <row r="7256" spans="1:12" ht="15" customHeight="1" x14ac:dyDescent="0.25">
      <c r="A7256" s="10"/>
      <c r="B7256" s="10"/>
      <c r="C7256" s="10"/>
      <c r="D7256" s="10"/>
      <c r="E7256" s="10"/>
      <c r="F7256" s="10"/>
      <c r="G7256" s="10"/>
      <c r="H7256" s="10"/>
      <c r="I7256" s="10"/>
      <c r="J7256" s="10"/>
      <c r="K7256" s="10"/>
      <c r="L7256" s="10"/>
    </row>
    <row r="7257" spans="1:12" ht="15" customHeight="1" x14ac:dyDescent="0.25">
      <c r="A7257" s="10"/>
      <c r="B7257" s="10"/>
      <c r="C7257" s="10"/>
      <c r="D7257" s="10"/>
      <c r="E7257" s="10"/>
      <c r="F7257" s="10"/>
      <c r="G7257" s="10"/>
      <c r="H7257" s="10"/>
      <c r="I7257" s="10"/>
      <c r="J7257" s="10"/>
      <c r="K7257" s="10"/>
      <c r="L7257" s="10"/>
    </row>
    <row r="7258" spans="1:12" ht="15" customHeight="1" x14ac:dyDescent="0.25">
      <c r="A7258" s="10"/>
      <c r="B7258" s="10"/>
      <c r="C7258" s="10"/>
      <c r="D7258" s="10"/>
      <c r="E7258" s="10"/>
      <c r="F7258" s="10"/>
      <c r="G7258" s="10"/>
      <c r="H7258" s="10"/>
      <c r="I7258" s="10"/>
      <c r="J7258" s="10"/>
      <c r="K7258" s="10"/>
      <c r="L7258" s="10"/>
    </row>
    <row r="7259" spans="1:12" ht="15" customHeight="1" x14ac:dyDescent="0.25">
      <c r="A7259" s="10"/>
      <c r="B7259" s="10"/>
      <c r="C7259" s="10"/>
      <c r="D7259" s="10"/>
      <c r="E7259" s="10"/>
      <c r="F7259" s="10"/>
      <c r="G7259" s="10"/>
      <c r="H7259" s="10"/>
      <c r="I7259" s="10"/>
      <c r="J7259" s="10"/>
      <c r="K7259" s="10"/>
      <c r="L7259" s="10"/>
    </row>
    <row r="7260" spans="1:12" ht="15" customHeight="1" x14ac:dyDescent="0.25">
      <c r="A7260" s="10"/>
      <c r="B7260" s="10"/>
      <c r="C7260" s="10"/>
      <c r="D7260" s="10"/>
      <c r="E7260" s="10"/>
      <c r="F7260" s="10"/>
      <c r="G7260" s="10"/>
      <c r="H7260" s="10"/>
      <c r="I7260" s="10"/>
      <c r="J7260" s="10"/>
      <c r="K7260" s="10"/>
      <c r="L7260" s="10"/>
    </row>
    <row r="7261" spans="1:12" ht="15" customHeight="1" x14ac:dyDescent="0.25">
      <c r="A7261" s="10"/>
      <c r="B7261" s="10"/>
      <c r="C7261" s="10"/>
      <c r="D7261" s="10"/>
      <c r="E7261" s="10"/>
      <c r="F7261" s="10"/>
      <c r="G7261" s="10"/>
      <c r="H7261" s="10"/>
      <c r="I7261" s="10"/>
      <c r="J7261" s="10"/>
      <c r="K7261" s="10"/>
      <c r="L7261" s="10"/>
    </row>
    <row r="7262" spans="1:12" ht="15" customHeight="1" x14ac:dyDescent="0.25">
      <c r="A7262" s="10"/>
      <c r="B7262" s="10"/>
      <c r="C7262" s="10"/>
      <c r="D7262" s="10"/>
      <c r="E7262" s="10"/>
      <c r="F7262" s="10"/>
      <c r="G7262" s="10"/>
      <c r="H7262" s="10"/>
      <c r="I7262" s="10"/>
      <c r="J7262" s="10"/>
      <c r="K7262" s="10"/>
      <c r="L7262" s="10"/>
    </row>
    <row r="7263" spans="1:12" ht="15" customHeight="1" x14ac:dyDescent="0.25">
      <c r="A7263" s="10"/>
      <c r="B7263" s="10"/>
      <c r="C7263" s="10"/>
      <c r="D7263" s="10"/>
      <c r="E7263" s="10"/>
      <c r="F7263" s="10"/>
      <c r="G7263" s="10"/>
      <c r="H7263" s="10"/>
      <c r="I7263" s="10"/>
      <c r="J7263" s="10"/>
      <c r="K7263" s="10"/>
      <c r="L7263" s="10"/>
    </row>
    <row r="7264" spans="1:12" ht="15" customHeight="1" x14ac:dyDescent="0.25">
      <c r="A7264" s="10"/>
      <c r="B7264" s="10"/>
      <c r="C7264" s="10"/>
      <c r="D7264" s="10"/>
      <c r="E7264" s="10"/>
      <c r="F7264" s="10"/>
      <c r="G7264" s="10"/>
      <c r="H7264" s="10"/>
      <c r="I7264" s="10"/>
      <c r="J7264" s="10"/>
      <c r="K7264" s="10"/>
      <c r="L7264" s="10"/>
    </row>
    <row r="7265" spans="1:12" ht="15" customHeight="1" x14ac:dyDescent="0.25">
      <c r="A7265" s="10"/>
      <c r="B7265" s="10"/>
      <c r="C7265" s="10"/>
      <c r="D7265" s="10"/>
      <c r="E7265" s="10"/>
      <c r="F7265" s="10"/>
      <c r="G7265" s="10"/>
      <c r="H7265" s="10"/>
      <c r="I7265" s="10"/>
      <c r="J7265" s="10"/>
      <c r="K7265" s="10"/>
      <c r="L7265" s="10"/>
    </row>
    <row r="7266" spans="1:12" ht="15" customHeight="1" x14ac:dyDescent="0.25">
      <c r="A7266" s="10"/>
      <c r="B7266" s="10"/>
      <c r="C7266" s="10"/>
      <c r="D7266" s="10"/>
      <c r="E7266" s="10"/>
      <c r="F7266" s="10"/>
      <c r="G7266" s="10"/>
      <c r="H7266" s="10"/>
      <c r="I7266" s="10"/>
      <c r="J7266" s="10"/>
      <c r="K7266" s="10"/>
      <c r="L7266" s="10"/>
    </row>
    <row r="7267" spans="1:12" ht="15" customHeight="1" x14ac:dyDescent="0.25">
      <c r="A7267" s="10"/>
      <c r="B7267" s="10"/>
      <c r="C7267" s="10"/>
      <c r="D7267" s="10"/>
      <c r="E7267" s="10"/>
      <c r="F7267" s="10"/>
      <c r="G7267" s="10"/>
      <c r="H7267" s="10"/>
      <c r="I7267" s="10"/>
      <c r="J7267" s="10"/>
      <c r="K7267" s="10"/>
      <c r="L7267" s="10"/>
    </row>
    <row r="7268" spans="1:12" ht="15" customHeight="1" x14ac:dyDescent="0.25">
      <c r="A7268" s="10"/>
      <c r="B7268" s="10"/>
      <c r="C7268" s="10"/>
      <c r="D7268" s="10"/>
      <c r="E7268" s="10"/>
      <c r="F7268" s="10"/>
      <c r="G7268" s="10"/>
      <c r="H7268" s="10"/>
      <c r="I7268" s="10"/>
      <c r="J7268" s="10"/>
      <c r="K7268" s="10"/>
      <c r="L7268" s="10"/>
    </row>
    <row r="7269" spans="1:12" ht="15" customHeight="1" x14ac:dyDescent="0.25">
      <c r="A7269" s="10"/>
      <c r="B7269" s="10"/>
      <c r="C7269" s="10"/>
      <c r="D7269" s="10"/>
      <c r="E7269" s="10"/>
      <c r="F7269" s="10"/>
      <c r="G7269" s="10"/>
      <c r="H7269" s="10"/>
      <c r="I7269" s="10"/>
      <c r="J7269" s="10"/>
      <c r="K7269" s="10"/>
      <c r="L7269" s="10"/>
    </row>
    <row r="7270" spans="1:12" ht="15" customHeight="1" x14ac:dyDescent="0.25">
      <c r="A7270" s="10"/>
      <c r="B7270" s="10"/>
      <c r="C7270" s="10"/>
      <c r="D7270" s="10"/>
      <c r="E7270" s="10"/>
      <c r="F7270" s="10"/>
      <c r="G7270" s="10"/>
      <c r="H7270" s="10"/>
      <c r="I7270" s="10"/>
      <c r="J7270" s="10"/>
      <c r="K7270" s="10"/>
      <c r="L7270" s="10"/>
    </row>
    <row r="7271" spans="1:12" ht="15" customHeight="1" x14ac:dyDescent="0.25">
      <c r="A7271" s="10"/>
      <c r="B7271" s="10"/>
      <c r="C7271" s="10"/>
      <c r="D7271" s="10"/>
      <c r="E7271" s="10"/>
      <c r="F7271" s="10"/>
      <c r="G7271" s="10"/>
      <c r="H7271" s="10"/>
      <c r="I7271" s="10"/>
      <c r="J7271" s="10"/>
      <c r="K7271" s="10"/>
      <c r="L7271" s="10"/>
    </row>
    <row r="7272" spans="1:12" ht="15" customHeight="1" x14ac:dyDescent="0.25">
      <c r="A7272" s="10"/>
      <c r="B7272" s="10"/>
      <c r="C7272" s="10"/>
      <c r="D7272" s="10"/>
      <c r="E7272" s="10"/>
      <c r="F7272" s="10"/>
      <c r="G7272" s="10"/>
      <c r="H7272" s="10"/>
      <c r="I7272" s="10"/>
      <c r="J7272" s="10"/>
      <c r="K7272" s="10"/>
      <c r="L7272" s="10"/>
    </row>
    <row r="7273" spans="1:12" ht="15" customHeight="1" x14ac:dyDescent="0.25">
      <c r="A7273" s="10"/>
      <c r="B7273" s="10"/>
      <c r="C7273" s="10"/>
      <c r="D7273" s="10"/>
      <c r="E7273" s="10"/>
      <c r="F7273" s="10"/>
      <c r="G7273" s="10"/>
      <c r="H7273" s="10"/>
      <c r="I7273" s="10"/>
      <c r="J7273" s="10"/>
      <c r="K7273" s="10"/>
      <c r="L7273" s="10"/>
    </row>
    <row r="7274" spans="1:12" ht="15" customHeight="1" x14ac:dyDescent="0.25">
      <c r="A7274" s="10"/>
      <c r="B7274" s="10"/>
      <c r="C7274" s="10"/>
      <c r="D7274" s="10"/>
      <c r="E7274" s="10"/>
      <c r="F7274" s="10"/>
      <c r="G7274" s="10"/>
      <c r="H7274" s="10"/>
      <c r="I7274" s="10"/>
      <c r="J7274" s="10"/>
      <c r="K7274" s="10"/>
      <c r="L7274" s="10"/>
    </row>
    <row r="7275" spans="1:12" ht="15" customHeight="1" x14ac:dyDescent="0.25">
      <c r="A7275" s="10"/>
      <c r="B7275" s="10"/>
      <c r="C7275" s="10"/>
      <c r="D7275" s="10"/>
      <c r="E7275" s="10"/>
      <c r="F7275" s="10"/>
      <c r="G7275" s="10"/>
      <c r="H7275" s="10"/>
      <c r="I7275" s="10"/>
      <c r="J7275" s="10"/>
      <c r="K7275" s="10"/>
      <c r="L7275" s="10"/>
    </row>
    <row r="7276" spans="1:12" ht="15" customHeight="1" x14ac:dyDescent="0.25">
      <c r="A7276" s="10"/>
      <c r="B7276" s="10"/>
      <c r="C7276" s="10"/>
      <c r="D7276" s="10"/>
      <c r="E7276" s="10"/>
      <c r="F7276" s="10"/>
      <c r="G7276" s="10"/>
      <c r="H7276" s="10"/>
      <c r="I7276" s="10"/>
      <c r="J7276" s="10"/>
      <c r="K7276" s="10"/>
      <c r="L7276" s="10"/>
    </row>
    <row r="7277" spans="1:12" ht="15" customHeight="1" x14ac:dyDescent="0.25">
      <c r="A7277" s="10"/>
      <c r="B7277" s="10"/>
      <c r="C7277" s="10"/>
      <c r="D7277" s="10"/>
      <c r="E7277" s="10"/>
      <c r="F7277" s="10"/>
      <c r="G7277" s="10"/>
      <c r="H7277" s="10"/>
      <c r="I7277" s="10"/>
      <c r="J7277" s="10"/>
      <c r="K7277" s="10"/>
      <c r="L7277" s="10"/>
    </row>
    <row r="7278" spans="1:12" ht="15" customHeight="1" x14ac:dyDescent="0.25">
      <c r="A7278" s="10"/>
      <c r="B7278" s="10"/>
      <c r="C7278" s="10"/>
      <c r="D7278" s="10"/>
      <c r="E7278" s="10"/>
      <c r="F7278" s="10"/>
      <c r="G7278" s="10"/>
      <c r="H7278" s="10"/>
      <c r="I7278" s="10"/>
      <c r="J7278" s="10"/>
      <c r="K7278" s="10"/>
      <c r="L7278" s="10"/>
    </row>
    <row r="7279" spans="1:12" ht="15" customHeight="1" x14ac:dyDescent="0.25">
      <c r="A7279" s="10"/>
      <c r="B7279" s="10"/>
      <c r="C7279" s="10"/>
      <c r="D7279" s="10"/>
      <c r="E7279" s="10"/>
      <c r="F7279" s="10"/>
      <c r="G7279" s="10"/>
      <c r="H7279" s="10"/>
      <c r="I7279" s="10"/>
      <c r="J7279" s="10"/>
      <c r="K7279" s="10"/>
      <c r="L7279" s="10"/>
    </row>
    <row r="7280" spans="1:12" ht="15" customHeight="1" x14ac:dyDescent="0.25">
      <c r="A7280" s="10"/>
      <c r="B7280" s="10"/>
      <c r="C7280" s="10"/>
      <c r="D7280" s="10"/>
      <c r="E7280" s="10"/>
      <c r="F7280" s="10"/>
      <c r="G7280" s="10"/>
      <c r="H7280" s="10"/>
      <c r="I7280" s="10"/>
      <c r="J7280" s="10"/>
      <c r="K7280" s="10"/>
      <c r="L7280" s="10"/>
    </row>
    <row r="7281" spans="1:12" ht="15" customHeight="1" x14ac:dyDescent="0.25">
      <c r="A7281" s="10"/>
      <c r="B7281" s="10"/>
      <c r="C7281" s="10"/>
      <c r="D7281" s="10"/>
      <c r="E7281" s="10"/>
      <c r="F7281" s="10"/>
      <c r="G7281" s="10"/>
      <c r="H7281" s="10"/>
      <c r="I7281" s="10"/>
      <c r="J7281" s="10"/>
      <c r="K7281" s="10"/>
      <c r="L7281" s="10"/>
    </row>
    <row r="7282" spans="1:12" ht="15" customHeight="1" x14ac:dyDescent="0.25">
      <c r="A7282" s="10"/>
      <c r="B7282" s="10"/>
      <c r="C7282" s="10"/>
      <c r="D7282" s="10"/>
      <c r="E7282" s="10"/>
      <c r="F7282" s="10"/>
      <c r="G7282" s="10"/>
      <c r="H7282" s="10"/>
      <c r="I7282" s="10"/>
      <c r="J7282" s="10"/>
      <c r="K7282" s="10"/>
      <c r="L7282" s="10"/>
    </row>
    <row r="7283" spans="1:12" ht="15" customHeight="1" x14ac:dyDescent="0.25">
      <c r="A7283" s="10"/>
      <c r="B7283" s="10"/>
      <c r="C7283" s="10"/>
      <c r="D7283" s="10"/>
      <c r="E7283" s="10"/>
      <c r="F7283" s="10"/>
      <c r="G7283" s="10"/>
      <c r="H7283" s="10"/>
      <c r="I7283" s="10"/>
      <c r="J7283" s="10"/>
      <c r="K7283" s="10"/>
      <c r="L7283" s="10"/>
    </row>
    <row r="7284" spans="1:12" ht="15" customHeight="1" x14ac:dyDescent="0.25">
      <c r="A7284" s="10"/>
      <c r="B7284" s="10"/>
      <c r="C7284" s="10"/>
      <c r="D7284" s="10"/>
      <c r="E7284" s="10"/>
      <c r="F7284" s="10"/>
      <c r="G7284" s="10"/>
      <c r="H7284" s="10"/>
      <c r="I7284" s="10"/>
      <c r="J7284" s="10"/>
      <c r="K7284" s="10"/>
      <c r="L7284" s="10"/>
    </row>
    <row r="7285" spans="1:12" ht="15" customHeight="1" x14ac:dyDescent="0.25">
      <c r="A7285" s="10"/>
      <c r="B7285" s="10"/>
      <c r="C7285" s="10"/>
      <c r="D7285" s="10"/>
      <c r="E7285" s="10"/>
      <c r="F7285" s="10"/>
      <c r="G7285" s="10"/>
      <c r="H7285" s="10"/>
      <c r="I7285" s="10"/>
      <c r="J7285" s="10"/>
      <c r="K7285" s="10"/>
      <c r="L7285" s="10"/>
    </row>
    <row r="7286" spans="1:12" ht="15" customHeight="1" x14ac:dyDescent="0.25">
      <c r="A7286" s="10"/>
      <c r="B7286" s="10"/>
      <c r="C7286" s="10"/>
      <c r="D7286" s="10"/>
      <c r="E7286" s="10"/>
      <c r="F7286" s="10"/>
      <c r="G7286" s="10"/>
      <c r="H7286" s="10"/>
      <c r="I7286" s="10"/>
      <c r="J7286" s="10"/>
      <c r="K7286" s="10"/>
      <c r="L7286" s="10"/>
    </row>
    <row r="7287" spans="1:12" ht="15" customHeight="1" x14ac:dyDescent="0.25">
      <c r="A7287" s="10"/>
      <c r="B7287" s="10"/>
      <c r="C7287" s="10"/>
      <c r="D7287" s="10"/>
      <c r="E7287" s="10"/>
      <c r="F7287" s="10"/>
      <c r="G7287" s="10"/>
      <c r="H7287" s="10"/>
      <c r="I7287" s="10"/>
      <c r="J7287" s="10"/>
      <c r="K7287" s="10"/>
      <c r="L7287" s="10"/>
    </row>
    <row r="7288" spans="1:12" ht="15" customHeight="1" x14ac:dyDescent="0.25">
      <c r="A7288" s="10"/>
      <c r="B7288" s="10"/>
      <c r="C7288" s="10"/>
      <c r="D7288" s="10"/>
      <c r="E7288" s="10"/>
      <c r="F7288" s="10"/>
      <c r="G7288" s="10"/>
      <c r="H7288" s="10"/>
      <c r="I7288" s="10"/>
      <c r="J7288" s="10"/>
      <c r="K7288" s="10"/>
      <c r="L7288" s="10"/>
    </row>
    <row r="7289" spans="1:12" ht="15" customHeight="1" x14ac:dyDescent="0.25">
      <c r="A7289" s="10"/>
      <c r="B7289" s="10"/>
      <c r="C7289" s="10"/>
      <c r="D7289" s="10"/>
      <c r="E7289" s="10"/>
      <c r="F7289" s="10"/>
      <c r="G7289" s="10"/>
      <c r="H7289" s="10"/>
      <c r="I7289" s="10"/>
      <c r="J7289" s="10"/>
      <c r="K7289" s="10"/>
      <c r="L7289" s="10"/>
    </row>
    <row r="7290" spans="1:12" ht="15" customHeight="1" x14ac:dyDescent="0.25">
      <c r="A7290" s="10"/>
      <c r="B7290" s="10"/>
      <c r="C7290" s="10"/>
      <c r="D7290" s="10"/>
      <c r="E7290" s="10"/>
      <c r="F7290" s="10"/>
      <c r="G7290" s="10"/>
      <c r="H7290" s="10"/>
      <c r="I7290" s="10"/>
      <c r="J7290" s="10"/>
      <c r="K7290" s="10"/>
      <c r="L7290" s="10"/>
    </row>
    <row r="7291" spans="1:12" ht="15" customHeight="1" x14ac:dyDescent="0.25">
      <c r="A7291" s="10"/>
      <c r="B7291" s="10"/>
      <c r="C7291" s="10"/>
      <c r="D7291" s="10"/>
      <c r="E7291" s="10"/>
      <c r="F7291" s="10"/>
      <c r="G7291" s="10"/>
      <c r="H7291" s="10"/>
      <c r="I7291" s="10"/>
      <c r="J7291" s="10"/>
      <c r="K7291" s="10"/>
      <c r="L7291" s="10"/>
    </row>
    <row r="7292" spans="1:12" ht="15" customHeight="1" x14ac:dyDescent="0.25">
      <c r="A7292" s="10"/>
      <c r="B7292" s="10"/>
      <c r="C7292" s="10"/>
      <c r="D7292" s="10"/>
      <c r="E7292" s="10"/>
      <c r="F7292" s="10"/>
      <c r="G7292" s="10"/>
      <c r="H7292" s="10"/>
      <c r="I7292" s="10"/>
      <c r="J7292" s="10"/>
      <c r="K7292" s="10"/>
      <c r="L7292" s="10"/>
    </row>
    <row r="7293" spans="1:12" ht="15" customHeight="1" x14ac:dyDescent="0.25">
      <c r="A7293" s="10"/>
      <c r="B7293" s="10"/>
      <c r="C7293" s="10"/>
      <c r="D7293" s="10"/>
      <c r="E7293" s="10"/>
      <c r="F7293" s="10"/>
      <c r="G7293" s="10"/>
      <c r="H7293" s="10"/>
      <c r="I7293" s="10"/>
      <c r="J7293" s="10"/>
      <c r="K7293" s="10"/>
      <c r="L7293" s="10"/>
    </row>
    <row r="7294" spans="1:12" ht="15" customHeight="1" x14ac:dyDescent="0.25">
      <c r="A7294" s="10"/>
      <c r="B7294" s="10"/>
      <c r="C7294" s="10"/>
      <c r="D7294" s="10"/>
      <c r="E7294" s="10"/>
      <c r="F7294" s="10"/>
      <c r="G7294" s="10"/>
      <c r="H7294" s="10"/>
      <c r="I7294" s="10"/>
      <c r="J7294" s="10"/>
      <c r="K7294" s="10"/>
      <c r="L7294" s="10"/>
    </row>
    <row r="7295" spans="1:12" ht="15" customHeight="1" x14ac:dyDescent="0.25">
      <c r="A7295" s="10"/>
      <c r="B7295" s="10"/>
      <c r="C7295" s="10"/>
      <c r="D7295" s="10"/>
      <c r="E7295" s="10"/>
      <c r="F7295" s="10"/>
      <c r="G7295" s="10"/>
      <c r="H7295" s="10"/>
      <c r="I7295" s="10"/>
      <c r="J7295" s="10"/>
      <c r="K7295" s="10"/>
      <c r="L7295" s="10"/>
    </row>
    <row r="7296" spans="1:12" ht="15" customHeight="1" x14ac:dyDescent="0.25">
      <c r="A7296" s="10"/>
      <c r="B7296" s="10"/>
      <c r="C7296" s="10"/>
      <c r="D7296" s="10"/>
      <c r="E7296" s="10"/>
      <c r="F7296" s="10"/>
      <c r="G7296" s="10"/>
      <c r="H7296" s="10"/>
      <c r="I7296" s="10"/>
      <c r="J7296" s="10"/>
      <c r="K7296" s="10"/>
      <c r="L7296" s="10"/>
    </row>
    <row r="7297" spans="1:12" ht="15" customHeight="1" x14ac:dyDescent="0.25">
      <c r="A7297" s="10"/>
      <c r="B7297" s="10"/>
      <c r="C7297" s="10"/>
      <c r="D7297" s="10"/>
      <c r="E7297" s="10"/>
      <c r="F7297" s="10"/>
      <c r="G7297" s="10"/>
      <c r="H7297" s="10"/>
      <c r="I7297" s="10"/>
      <c r="J7297" s="10"/>
      <c r="K7297" s="10"/>
      <c r="L7297" s="10"/>
    </row>
    <row r="7298" spans="1:12" ht="15" customHeight="1" x14ac:dyDescent="0.25">
      <c r="A7298" s="10"/>
      <c r="B7298" s="10"/>
      <c r="C7298" s="10"/>
      <c r="D7298" s="10"/>
      <c r="E7298" s="10"/>
      <c r="F7298" s="10"/>
      <c r="G7298" s="10"/>
      <c r="H7298" s="10"/>
      <c r="I7298" s="10"/>
      <c r="J7298" s="10"/>
      <c r="K7298" s="10"/>
      <c r="L7298" s="10"/>
    </row>
    <row r="7299" spans="1:12" ht="15" customHeight="1" x14ac:dyDescent="0.25">
      <c r="A7299" s="10"/>
      <c r="B7299" s="10"/>
      <c r="C7299" s="10"/>
      <c r="D7299" s="10"/>
      <c r="E7299" s="10"/>
      <c r="F7299" s="10"/>
      <c r="G7299" s="10"/>
      <c r="H7299" s="10"/>
      <c r="I7299" s="10"/>
      <c r="J7299" s="10"/>
      <c r="K7299" s="10"/>
      <c r="L7299" s="10"/>
    </row>
    <row r="7300" spans="1:12" ht="15" customHeight="1" x14ac:dyDescent="0.25">
      <c r="A7300" s="10"/>
      <c r="B7300" s="10"/>
      <c r="C7300" s="10"/>
      <c r="D7300" s="10"/>
      <c r="E7300" s="10"/>
      <c r="F7300" s="10"/>
      <c r="G7300" s="10"/>
      <c r="H7300" s="10"/>
      <c r="I7300" s="10"/>
      <c r="J7300" s="10"/>
      <c r="K7300" s="10"/>
      <c r="L7300" s="10"/>
    </row>
    <row r="7301" spans="1:12" ht="15" customHeight="1" x14ac:dyDescent="0.25">
      <c r="A7301" s="10"/>
      <c r="B7301" s="10"/>
      <c r="C7301" s="10"/>
      <c r="D7301" s="10"/>
      <c r="E7301" s="10"/>
      <c r="F7301" s="10"/>
      <c r="G7301" s="10"/>
      <c r="H7301" s="10"/>
      <c r="I7301" s="10"/>
      <c r="J7301" s="10"/>
      <c r="K7301" s="10"/>
      <c r="L7301" s="10"/>
    </row>
    <row r="7302" spans="1:12" ht="15" customHeight="1" x14ac:dyDescent="0.25">
      <c r="A7302" s="10"/>
      <c r="B7302" s="10"/>
      <c r="C7302" s="10"/>
      <c r="D7302" s="10"/>
      <c r="E7302" s="10"/>
      <c r="F7302" s="10"/>
      <c r="G7302" s="10"/>
      <c r="H7302" s="10"/>
      <c r="I7302" s="10"/>
      <c r="J7302" s="10"/>
      <c r="K7302" s="10"/>
      <c r="L7302" s="10"/>
    </row>
    <row r="7303" spans="1:12" ht="15" customHeight="1" x14ac:dyDescent="0.25">
      <c r="A7303" s="10"/>
      <c r="B7303" s="10"/>
      <c r="C7303" s="10"/>
      <c r="D7303" s="10"/>
      <c r="E7303" s="10"/>
      <c r="F7303" s="10"/>
      <c r="G7303" s="10"/>
      <c r="H7303" s="10"/>
      <c r="I7303" s="10"/>
      <c r="J7303" s="10"/>
      <c r="K7303" s="10"/>
      <c r="L7303" s="10"/>
    </row>
    <row r="7304" spans="1:12" ht="15" customHeight="1" x14ac:dyDescent="0.25">
      <c r="A7304" s="10"/>
      <c r="B7304" s="10"/>
      <c r="C7304" s="10"/>
      <c r="D7304" s="10"/>
      <c r="E7304" s="10"/>
      <c r="F7304" s="10"/>
      <c r="G7304" s="10"/>
      <c r="H7304" s="10"/>
      <c r="I7304" s="10"/>
      <c r="J7304" s="10"/>
      <c r="K7304" s="10"/>
      <c r="L7304" s="10"/>
    </row>
    <row r="7305" spans="1:12" ht="15" customHeight="1" x14ac:dyDescent="0.25">
      <c r="A7305" s="10"/>
      <c r="B7305" s="10"/>
      <c r="C7305" s="10"/>
      <c r="D7305" s="10"/>
      <c r="E7305" s="10"/>
      <c r="F7305" s="10"/>
      <c r="G7305" s="10"/>
      <c r="H7305" s="10"/>
      <c r="I7305" s="10"/>
      <c r="J7305" s="10"/>
      <c r="K7305" s="10"/>
      <c r="L7305" s="10"/>
    </row>
    <row r="7306" spans="1:12" ht="15" customHeight="1" x14ac:dyDescent="0.25">
      <c r="A7306" s="10"/>
      <c r="B7306" s="10"/>
      <c r="C7306" s="10"/>
      <c r="D7306" s="10"/>
      <c r="E7306" s="10"/>
      <c r="F7306" s="10"/>
      <c r="G7306" s="10"/>
      <c r="H7306" s="10"/>
      <c r="I7306" s="10"/>
      <c r="J7306" s="10"/>
      <c r="K7306" s="10"/>
      <c r="L7306" s="10"/>
    </row>
    <row r="7307" spans="1:12" ht="15" customHeight="1" x14ac:dyDescent="0.25">
      <c r="A7307" s="10"/>
      <c r="B7307" s="10"/>
      <c r="C7307" s="10"/>
      <c r="D7307" s="10"/>
      <c r="E7307" s="10"/>
      <c r="F7307" s="10"/>
      <c r="G7307" s="10"/>
      <c r="H7307" s="10"/>
      <c r="I7307" s="10"/>
      <c r="J7307" s="10"/>
      <c r="K7307" s="10"/>
      <c r="L7307" s="10"/>
    </row>
    <row r="7308" spans="1:12" ht="15" customHeight="1" x14ac:dyDescent="0.25">
      <c r="A7308" s="10"/>
      <c r="B7308" s="10"/>
      <c r="C7308" s="10"/>
      <c r="D7308" s="10"/>
      <c r="E7308" s="10"/>
      <c r="F7308" s="10"/>
      <c r="G7308" s="10"/>
      <c r="H7308" s="10"/>
      <c r="I7308" s="10"/>
      <c r="J7308" s="10"/>
      <c r="K7308" s="10"/>
      <c r="L7308" s="10"/>
    </row>
    <row r="7309" spans="1:12" ht="15" customHeight="1" x14ac:dyDescent="0.25">
      <c r="A7309" s="10"/>
      <c r="B7309" s="10"/>
      <c r="C7309" s="10"/>
      <c r="D7309" s="10"/>
      <c r="E7309" s="10"/>
      <c r="F7309" s="10"/>
      <c r="G7309" s="10"/>
      <c r="H7309" s="10"/>
      <c r="I7309" s="10"/>
      <c r="J7309" s="10"/>
      <c r="K7309" s="10"/>
      <c r="L7309" s="10"/>
    </row>
    <row r="7310" spans="1:12" ht="15" customHeight="1" x14ac:dyDescent="0.25">
      <c r="A7310" s="10"/>
      <c r="B7310" s="10"/>
      <c r="C7310" s="10"/>
      <c r="D7310" s="10"/>
      <c r="E7310" s="10"/>
      <c r="F7310" s="10"/>
      <c r="G7310" s="10"/>
      <c r="H7310" s="10"/>
      <c r="I7310" s="10"/>
      <c r="J7310" s="10"/>
      <c r="K7310" s="10"/>
      <c r="L7310" s="10"/>
    </row>
    <row r="7311" spans="1:12" ht="15" customHeight="1" x14ac:dyDescent="0.25">
      <c r="A7311" s="10"/>
      <c r="B7311" s="10"/>
      <c r="C7311" s="10"/>
      <c r="D7311" s="10"/>
      <c r="E7311" s="10"/>
      <c r="F7311" s="10"/>
      <c r="G7311" s="10"/>
      <c r="H7311" s="10"/>
      <c r="I7311" s="10"/>
      <c r="J7311" s="10"/>
      <c r="K7311" s="10"/>
      <c r="L7311" s="10"/>
    </row>
    <row r="7312" spans="1:12" ht="15" customHeight="1" x14ac:dyDescent="0.25">
      <c r="A7312" s="10"/>
      <c r="B7312" s="10"/>
      <c r="C7312" s="10"/>
      <c r="D7312" s="10"/>
      <c r="E7312" s="10"/>
      <c r="F7312" s="10"/>
      <c r="G7312" s="10"/>
      <c r="H7312" s="10"/>
      <c r="I7312" s="10"/>
      <c r="J7312" s="10"/>
      <c r="K7312" s="10"/>
      <c r="L7312" s="10"/>
    </row>
    <row r="7313" spans="1:12" ht="15" customHeight="1" x14ac:dyDescent="0.25">
      <c r="A7313" s="10"/>
      <c r="B7313" s="10"/>
      <c r="C7313" s="10"/>
      <c r="D7313" s="10"/>
      <c r="E7313" s="10"/>
      <c r="F7313" s="10"/>
      <c r="G7313" s="10"/>
      <c r="H7313" s="10"/>
      <c r="I7313" s="10"/>
      <c r="J7313" s="10"/>
      <c r="K7313" s="10"/>
      <c r="L7313" s="10"/>
    </row>
    <row r="7314" spans="1:12" ht="15" customHeight="1" x14ac:dyDescent="0.25">
      <c r="A7314" s="10"/>
      <c r="B7314" s="10"/>
      <c r="C7314" s="10"/>
      <c r="D7314" s="10"/>
      <c r="E7314" s="10"/>
      <c r="F7314" s="10"/>
      <c r="G7314" s="10"/>
      <c r="H7314" s="10"/>
      <c r="I7314" s="10"/>
      <c r="J7314" s="10"/>
      <c r="K7314" s="10"/>
      <c r="L7314" s="10"/>
    </row>
    <row r="7315" spans="1:12" ht="15" customHeight="1" x14ac:dyDescent="0.25">
      <c r="A7315" s="10"/>
      <c r="B7315" s="10"/>
      <c r="C7315" s="10"/>
      <c r="D7315" s="10"/>
      <c r="E7315" s="10"/>
      <c r="F7315" s="10"/>
      <c r="G7315" s="10"/>
      <c r="H7315" s="10"/>
      <c r="I7315" s="10"/>
      <c r="J7315" s="10"/>
      <c r="K7315" s="10"/>
      <c r="L7315" s="10"/>
    </row>
    <row r="7316" spans="1:12" ht="15" customHeight="1" x14ac:dyDescent="0.25">
      <c r="A7316" s="10"/>
      <c r="B7316" s="10"/>
      <c r="C7316" s="10"/>
      <c r="D7316" s="10"/>
      <c r="E7316" s="10"/>
      <c r="F7316" s="10"/>
      <c r="G7316" s="10"/>
      <c r="H7316" s="10"/>
      <c r="I7316" s="10"/>
      <c r="J7316" s="10"/>
      <c r="K7316" s="10"/>
      <c r="L7316" s="10"/>
    </row>
    <row r="7317" spans="1:12" ht="15" customHeight="1" x14ac:dyDescent="0.25">
      <c r="A7317" s="10"/>
      <c r="B7317" s="10"/>
      <c r="C7317" s="10"/>
      <c r="D7317" s="10"/>
      <c r="E7317" s="10"/>
      <c r="F7317" s="10"/>
      <c r="G7317" s="10"/>
      <c r="H7317" s="10"/>
      <c r="I7317" s="10"/>
      <c r="J7317" s="10"/>
      <c r="K7317" s="10"/>
      <c r="L7317" s="10"/>
    </row>
    <row r="7318" spans="1:12" ht="15" customHeight="1" x14ac:dyDescent="0.25">
      <c r="A7318" s="10"/>
      <c r="B7318" s="10"/>
      <c r="C7318" s="10"/>
      <c r="D7318" s="10"/>
      <c r="E7318" s="10"/>
      <c r="F7318" s="10"/>
      <c r="G7318" s="10"/>
      <c r="H7318" s="10"/>
      <c r="I7318" s="10"/>
      <c r="J7318" s="10"/>
      <c r="K7318" s="10"/>
      <c r="L7318" s="10"/>
    </row>
    <row r="7319" spans="1:12" ht="15" customHeight="1" x14ac:dyDescent="0.25">
      <c r="A7319" s="10"/>
      <c r="B7319" s="10"/>
      <c r="C7319" s="10"/>
      <c r="D7319" s="10"/>
      <c r="E7319" s="10"/>
      <c r="F7319" s="10"/>
      <c r="G7319" s="10"/>
      <c r="H7319" s="10"/>
      <c r="I7319" s="10"/>
      <c r="J7319" s="10"/>
      <c r="K7319" s="10"/>
      <c r="L7319" s="10"/>
    </row>
    <row r="7320" spans="1:12" ht="15" customHeight="1" x14ac:dyDescent="0.25">
      <c r="A7320" s="10"/>
      <c r="B7320" s="10"/>
      <c r="C7320" s="10"/>
      <c r="D7320" s="10"/>
      <c r="E7320" s="10"/>
      <c r="F7320" s="10"/>
      <c r="G7320" s="10"/>
      <c r="H7320" s="10"/>
      <c r="I7320" s="10"/>
      <c r="J7320" s="10"/>
      <c r="K7320" s="10"/>
      <c r="L7320" s="10"/>
    </row>
    <row r="7321" spans="1:12" ht="15" customHeight="1" x14ac:dyDescent="0.25">
      <c r="A7321" s="10"/>
      <c r="B7321" s="10"/>
      <c r="C7321" s="10"/>
      <c r="D7321" s="10"/>
      <c r="E7321" s="10"/>
      <c r="F7321" s="10"/>
      <c r="G7321" s="10"/>
      <c r="H7321" s="10"/>
      <c r="I7321" s="10"/>
      <c r="J7321" s="10"/>
      <c r="K7321" s="10"/>
      <c r="L7321" s="10"/>
    </row>
    <row r="7322" spans="1:12" ht="15" customHeight="1" x14ac:dyDescent="0.25">
      <c r="A7322" s="10"/>
      <c r="B7322" s="10"/>
      <c r="C7322" s="10"/>
      <c r="D7322" s="10"/>
      <c r="E7322" s="10"/>
      <c r="F7322" s="10"/>
      <c r="G7322" s="10"/>
      <c r="H7322" s="10"/>
      <c r="I7322" s="10"/>
      <c r="J7322" s="10"/>
      <c r="K7322" s="10"/>
      <c r="L7322" s="10"/>
    </row>
    <row r="7323" spans="1:12" ht="15" customHeight="1" x14ac:dyDescent="0.25">
      <c r="A7323" s="10"/>
      <c r="B7323" s="10"/>
      <c r="C7323" s="10"/>
      <c r="D7323" s="10"/>
      <c r="E7323" s="10"/>
      <c r="F7323" s="10"/>
      <c r="G7323" s="10"/>
      <c r="H7323" s="10"/>
      <c r="I7323" s="10"/>
      <c r="J7323" s="10"/>
      <c r="K7323" s="10"/>
      <c r="L7323" s="10"/>
    </row>
    <row r="7324" spans="1:12" ht="15" customHeight="1" x14ac:dyDescent="0.25">
      <c r="A7324" s="10"/>
      <c r="B7324" s="10"/>
      <c r="C7324" s="10"/>
      <c r="D7324" s="10"/>
      <c r="E7324" s="10"/>
      <c r="F7324" s="10"/>
      <c r="G7324" s="10"/>
      <c r="H7324" s="10"/>
      <c r="I7324" s="10"/>
      <c r="J7324" s="10"/>
      <c r="K7324" s="10"/>
      <c r="L7324" s="10"/>
    </row>
    <row r="7325" spans="1:12" ht="15" customHeight="1" x14ac:dyDescent="0.25">
      <c r="A7325" s="10"/>
      <c r="B7325" s="10"/>
      <c r="C7325" s="10"/>
      <c r="D7325" s="10"/>
      <c r="E7325" s="10"/>
      <c r="F7325" s="10"/>
      <c r="G7325" s="10"/>
      <c r="H7325" s="10"/>
      <c r="I7325" s="10"/>
      <c r="J7325" s="10"/>
      <c r="K7325" s="10"/>
      <c r="L7325" s="10"/>
    </row>
    <row r="7326" spans="1:12" ht="15" customHeight="1" x14ac:dyDescent="0.25">
      <c r="A7326" s="10"/>
      <c r="B7326" s="10"/>
      <c r="C7326" s="10"/>
      <c r="D7326" s="10"/>
      <c r="E7326" s="10"/>
      <c r="F7326" s="10"/>
      <c r="G7326" s="10"/>
      <c r="H7326" s="10"/>
      <c r="I7326" s="10"/>
      <c r="J7326" s="10"/>
      <c r="K7326" s="10"/>
      <c r="L7326" s="10"/>
    </row>
    <row r="7327" spans="1:12" ht="15" customHeight="1" x14ac:dyDescent="0.25">
      <c r="A7327" s="10"/>
      <c r="B7327" s="10"/>
      <c r="C7327" s="10"/>
      <c r="D7327" s="10"/>
      <c r="E7327" s="10"/>
      <c r="F7327" s="10"/>
      <c r="G7327" s="10"/>
      <c r="H7327" s="10"/>
      <c r="I7327" s="10"/>
      <c r="J7327" s="10"/>
      <c r="K7327" s="10"/>
      <c r="L7327" s="10"/>
    </row>
    <row r="7328" spans="1:12" ht="15" customHeight="1" x14ac:dyDescent="0.25">
      <c r="A7328" s="10"/>
      <c r="B7328" s="10"/>
      <c r="C7328" s="10"/>
      <c r="D7328" s="10"/>
      <c r="E7328" s="10"/>
      <c r="F7328" s="10"/>
      <c r="G7328" s="10"/>
      <c r="H7328" s="10"/>
      <c r="I7328" s="10"/>
      <c r="J7328" s="10"/>
      <c r="K7328" s="10"/>
      <c r="L7328" s="10"/>
    </row>
    <row r="7329" spans="1:12" ht="15" customHeight="1" x14ac:dyDescent="0.25">
      <c r="A7329" s="10"/>
      <c r="B7329" s="10"/>
      <c r="C7329" s="10"/>
      <c r="D7329" s="10"/>
      <c r="E7329" s="10"/>
      <c r="F7329" s="10"/>
      <c r="G7329" s="10"/>
      <c r="H7329" s="10"/>
      <c r="I7329" s="10"/>
      <c r="J7329" s="10"/>
      <c r="K7329" s="10"/>
      <c r="L7329" s="10"/>
    </row>
    <row r="7330" spans="1:12" ht="15" customHeight="1" x14ac:dyDescent="0.25">
      <c r="A7330" s="10"/>
      <c r="B7330" s="10"/>
      <c r="C7330" s="10"/>
      <c r="D7330" s="10"/>
      <c r="E7330" s="10"/>
      <c r="F7330" s="10"/>
      <c r="G7330" s="10"/>
      <c r="H7330" s="10"/>
      <c r="I7330" s="10"/>
      <c r="J7330" s="10"/>
      <c r="K7330" s="10"/>
      <c r="L7330" s="10"/>
    </row>
    <row r="7331" spans="1:12" ht="15" customHeight="1" x14ac:dyDescent="0.25">
      <c r="A7331" s="10"/>
      <c r="B7331" s="10"/>
      <c r="C7331" s="10"/>
      <c r="D7331" s="10"/>
      <c r="E7331" s="10"/>
      <c r="F7331" s="10"/>
      <c r="G7331" s="10"/>
      <c r="H7331" s="10"/>
      <c r="I7331" s="10"/>
      <c r="J7331" s="10"/>
      <c r="K7331" s="10"/>
      <c r="L7331" s="10"/>
    </row>
    <row r="7332" spans="1:12" ht="15" customHeight="1" x14ac:dyDescent="0.25">
      <c r="A7332" s="10"/>
      <c r="B7332" s="10"/>
      <c r="C7332" s="10"/>
      <c r="D7332" s="10"/>
      <c r="E7332" s="10"/>
      <c r="F7332" s="10"/>
      <c r="G7332" s="10"/>
      <c r="H7332" s="10"/>
      <c r="I7332" s="10"/>
      <c r="J7332" s="10"/>
      <c r="K7332" s="10"/>
      <c r="L7332" s="10"/>
    </row>
    <row r="7333" spans="1:12" ht="15" customHeight="1" x14ac:dyDescent="0.25">
      <c r="A7333" s="10"/>
      <c r="B7333" s="10"/>
      <c r="C7333" s="10"/>
      <c r="D7333" s="10"/>
      <c r="E7333" s="10"/>
      <c r="F7333" s="10"/>
      <c r="G7333" s="10"/>
      <c r="H7333" s="10"/>
      <c r="I7333" s="10"/>
      <c r="J7333" s="10"/>
      <c r="K7333" s="10"/>
      <c r="L7333" s="10"/>
    </row>
    <row r="7334" spans="1:12" ht="15" customHeight="1" x14ac:dyDescent="0.25">
      <c r="A7334" s="10"/>
      <c r="B7334" s="10"/>
      <c r="C7334" s="10"/>
      <c r="D7334" s="10"/>
      <c r="E7334" s="10"/>
      <c r="F7334" s="10"/>
      <c r="G7334" s="10"/>
      <c r="H7334" s="10"/>
      <c r="I7334" s="10"/>
      <c r="J7334" s="10"/>
      <c r="K7334" s="10"/>
      <c r="L7334" s="10"/>
    </row>
    <row r="7335" spans="1:12" ht="15" customHeight="1" x14ac:dyDescent="0.25">
      <c r="A7335" s="10"/>
      <c r="B7335" s="10"/>
      <c r="C7335" s="10"/>
      <c r="D7335" s="10"/>
      <c r="E7335" s="10"/>
      <c r="F7335" s="10"/>
      <c r="G7335" s="10"/>
      <c r="H7335" s="10"/>
      <c r="I7335" s="10"/>
      <c r="J7335" s="10"/>
      <c r="K7335" s="10"/>
      <c r="L7335" s="10"/>
    </row>
    <row r="7336" spans="1:12" ht="15" customHeight="1" x14ac:dyDescent="0.25">
      <c r="A7336" s="10"/>
      <c r="B7336" s="10"/>
      <c r="C7336" s="10"/>
      <c r="D7336" s="10"/>
      <c r="E7336" s="10"/>
      <c r="F7336" s="10"/>
      <c r="G7336" s="10"/>
      <c r="H7336" s="10"/>
      <c r="I7336" s="10"/>
      <c r="J7336" s="10"/>
      <c r="K7336" s="10"/>
      <c r="L7336" s="10"/>
    </row>
    <row r="7337" spans="1:12" ht="15" customHeight="1" x14ac:dyDescent="0.25">
      <c r="A7337" s="10"/>
      <c r="B7337" s="10"/>
      <c r="C7337" s="10"/>
      <c r="D7337" s="10"/>
      <c r="E7337" s="10"/>
      <c r="F7337" s="10"/>
      <c r="G7337" s="10"/>
      <c r="H7337" s="10"/>
      <c r="I7337" s="10"/>
      <c r="J7337" s="10"/>
      <c r="K7337" s="10"/>
      <c r="L7337" s="10"/>
    </row>
    <row r="7338" spans="1:12" ht="15" customHeight="1" x14ac:dyDescent="0.25">
      <c r="A7338" s="10"/>
      <c r="B7338" s="10"/>
      <c r="C7338" s="10"/>
      <c r="D7338" s="10"/>
      <c r="E7338" s="10"/>
      <c r="F7338" s="10"/>
      <c r="G7338" s="10"/>
      <c r="H7338" s="10"/>
      <c r="I7338" s="10"/>
      <c r="J7338" s="10"/>
      <c r="K7338" s="10"/>
      <c r="L7338" s="10"/>
    </row>
    <row r="7339" spans="1:12" ht="15" customHeight="1" x14ac:dyDescent="0.25">
      <c r="A7339" s="10"/>
      <c r="B7339" s="10"/>
      <c r="C7339" s="10"/>
      <c r="D7339" s="10"/>
      <c r="E7339" s="10"/>
      <c r="F7339" s="10"/>
      <c r="G7339" s="10"/>
      <c r="H7339" s="10"/>
      <c r="I7339" s="10"/>
      <c r="J7339" s="10"/>
      <c r="K7339" s="10"/>
      <c r="L7339" s="10"/>
    </row>
    <row r="7340" spans="1:12" ht="15" customHeight="1" x14ac:dyDescent="0.25">
      <c r="A7340" s="10"/>
      <c r="B7340" s="10"/>
      <c r="C7340" s="10"/>
      <c r="D7340" s="10"/>
      <c r="E7340" s="10"/>
      <c r="F7340" s="10"/>
      <c r="G7340" s="10"/>
      <c r="H7340" s="10"/>
      <c r="I7340" s="10"/>
      <c r="J7340" s="10"/>
      <c r="K7340" s="10"/>
      <c r="L7340" s="10"/>
    </row>
    <row r="7341" spans="1:12" ht="15" customHeight="1" x14ac:dyDescent="0.25">
      <c r="A7341" s="10"/>
      <c r="B7341" s="10"/>
      <c r="C7341" s="10"/>
      <c r="D7341" s="10"/>
      <c r="E7341" s="10"/>
      <c r="F7341" s="10"/>
      <c r="G7341" s="10"/>
      <c r="H7341" s="10"/>
      <c r="I7341" s="10"/>
      <c r="J7341" s="10"/>
      <c r="K7341" s="10"/>
      <c r="L7341" s="10"/>
    </row>
    <row r="7342" spans="1:12" ht="15" customHeight="1" x14ac:dyDescent="0.25">
      <c r="A7342" s="10"/>
      <c r="B7342" s="10"/>
      <c r="C7342" s="10"/>
      <c r="D7342" s="10"/>
      <c r="E7342" s="10"/>
      <c r="F7342" s="10"/>
      <c r="G7342" s="10"/>
      <c r="H7342" s="10"/>
      <c r="I7342" s="10"/>
      <c r="J7342" s="10"/>
      <c r="K7342" s="10"/>
      <c r="L7342" s="10"/>
    </row>
    <row r="7343" spans="1:12" ht="15" customHeight="1" x14ac:dyDescent="0.25">
      <c r="A7343" s="10"/>
      <c r="B7343" s="10"/>
      <c r="C7343" s="10"/>
      <c r="D7343" s="10"/>
      <c r="E7343" s="10"/>
      <c r="F7343" s="10"/>
      <c r="G7343" s="10"/>
      <c r="H7343" s="10"/>
      <c r="I7343" s="10"/>
      <c r="J7343" s="10"/>
      <c r="K7343" s="10"/>
      <c r="L7343" s="10"/>
    </row>
    <row r="7344" spans="1:12" ht="15" customHeight="1" x14ac:dyDescent="0.25">
      <c r="A7344" s="10"/>
      <c r="B7344" s="10"/>
      <c r="C7344" s="10"/>
      <c r="D7344" s="10"/>
      <c r="E7344" s="10"/>
      <c r="F7344" s="10"/>
      <c r="G7344" s="10"/>
      <c r="H7344" s="10"/>
      <c r="I7344" s="10"/>
      <c r="J7344" s="10"/>
      <c r="K7344" s="10"/>
      <c r="L7344" s="10"/>
    </row>
    <row r="7345" spans="1:12" ht="15" customHeight="1" x14ac:dyDescent="0.25">
      <c r="A7345" s="10"/>
      <c r="B7345" s="10"/>
      <c r="C7345" s="10"/>
      <c r="D7345" s="10"/>
      <c r="E7345" s="10"/>
      <c r="F7345" s="10"/>
      <c r="G7345" s="10"/>
      <c r="H7345" s="10"/>
      <c r="I7345" s="10"/>
      <c r="J7345" s="10"/>
      <c r="K7345" s="10"/>
      <c r="L7345" s="10"/>
    </row>
    <row r="7346" spans="1:12" ht="15" customHeight="1" x14ac:dyDescent="0.25">
      <c r="A7346" s="10"/>
      <c r="B7346" s="10"/>
      <c r="C7346" s="10"/>
      <c r="D7346" s="10"/>
      <c r="E7346" s="10"/>
      <c r="F7346" s="10"/>
      <c r="G7346" s="10"/>
      <c r="H7346" s="10"/>
      <c r="I7346" s="10"/>
      <c r="J7346" s="10"/>
      <c r="K7346" s="10"/>
      <c r="L7346" s="10"/>
    </row>
    <row r="7347" spans="1:12" ht="15" customHeight="1" x14ac:dyDescent="0.25">
      <c r="A7347" s="10"/>
      <c r="B7347" s="10"/>
      <c r="C7347" s="10"/>
      <c r="D7347" s="10"/>
      <c r="E7347" s="10"/>
      <c r="F7347" s="10"/>
      <c r="G7347" s="10"/>
      <c r="H7347" s="10"/>
      <c r="I7347" s="10"/>
      <c r="J7347" s="10"/>
      <c r="K7347" s="10"/>
      <c r="L7347" s="10"/>
    </row>
    <row r="7348" spans="1:12" ht="15" customHeight="1" x14ac:dyDescent="0.25">
      <c r="A7348" s="10"/>
      <c r="B7348" s="10"/>
      <c r="C7348" s="10"/>
      <c r="D7348" s="10"/>
      <c r="E7348" s="10"/>
      <c r="F7348" s="10"/>
      <c r="G7348" s="10"/>
      <c r="H7348" s="10"/>
      <c r="I7348" s="10"/>
      <c r="J7348" s="10"/>
      <c r="K7348" s="10"/>
      <c r="L7348" s="10"/>
    </row>
    <row r="7349" spans="1:12" ht="15" customHeight="1" x14ac:dyDescent="0.25">
      <c r="A7349" s="10"/>
      <c r="B7349" s="10"/>
      <c r="C7349" s="10"/>
      <c r="D7349" s="10"/>
      <c r="E7349" s="10"/>
      <c r="F7349" s="10"/>
      <c r="G7349" s="10"/>
      <c r="H7349" s="10"/>
      <c r="I7349" s="10"/>
      <c r="J7349" s="10"/>
      <c r="K7349" s="10"/>
      <c r="L7349" s="10"/>
    </row>
    <row r="7350" spans="1:12" ht="15" customHeight="1" x14ac:dyDescent="0.25">
      <c r="A7350" s="10"/>
      <c r="B7350" s="10"/>
      <c r="C7350" s="10"/>
      <c r="D7350" s="10"/>
      <c r="E7350" s="10"/>
      <c r="F7350" s="10"/>
      <c r="G7350" s="10"/>
      <c r="H7350" s="10"/>
      <c r="I7350" s="10"/>
      <c r="J7350" s="10"/>
      <c r="K7350" s="10"/>
      <c r="L7350" s="10"/>
    </row>
    <row r="7351" spans="1:12" ht="15" customHeight="1" x14ac:dyDescent="0.25">
      <c r="A7351" s="10"/>
      <c r="B7351" s="10"/>
      <c r="C7351" s="10"/>
      <c r="D7351" s="10"/>
      <c r="E7351" s="10"/>
      <c r="F7351" s="10"/>
      <c r="G7351" s="10"/>
      <c r="H7351" s="10"/>
      <c r="I7351" s="10"/>
      <c r="J7351" s="10"/>
      <c r="K7351" s="10"/>
      <c r="L7351" s="10"/>
    </row>
    <row r="7352" spans="1:12" ht="15" customHeight="1" x14ac:dyDescent="0.25">
      <c r="A7352" s="10"/>
      <c r="B7352" s="10"/>
      <c r="C7352" s="10"/>
      <c r="D7352" s="10"/>
      <c r="E7352" s="10"/>
      <c r="F7352" s="10"/>
      <c r="G7352" s="10"/>
      <c r="H7352" s="10"/>
      <c r="I7352" s="10"/>
      <c r="J7352" s="10"/>
      <c r="K7352" s="10"/>
      <c r="L7352" s="10"/>
    </row>
    <row r="7353" spans="1:12" ht="15" customHeight="1" x14ac:dyDescent="0.25">
      <c r="A7353" s="10"/>
      <c r="B7353" s="10"/>
      <c r="C7353" s="10"/>
      <c r="D7353" s="10"/>
      <c r="E7353" s="10"/>
      <c r="F7353" s="10"/>
      <c r="G7353" s="10"/>
      <c r="H7353" s="10"/>
      <c r="I7353" s="10"/>
      <c r="J7353" s="10"/>
      <c r="K7353" s="10"/>
      <c r="L7353" s="10"/>
    </row>
    <row r="7354" spans="1:12" ht="15" customHeight="1" x14ac:dyDescent="0.25">
      <c r="A7354" s="10"/>
      <c r="B7354" s="10"/>
      <c r="C7354" s="10"/>
      <c r="D7354" s="10"/>
      <c r="E7354" s="10"/>
      <c r="F7354" s="10"/>
      <c r="G7354" s="10"/>
      <c r="H7354" s="10"/>
      <c r="I7354" s="10"/>
      <c r="J7354" s="10"/>
      <c r="K7354" s="10"/>
      <c r="L7354" s="10"/>
    </row>
    <row r="7355" spans="1:12" ht="15" customHeight="1" x14ac:dyDescent="0.25">
      <c r="A7355" s="10"/>
      <c r="B7355" s="10"/>
      <c r="C7355" s="10"/>
      <c r="D7355" s="10"/>
      <c r="E7355" s="10"/>
      <c r="F7355" s="10"/>
      <c r="G7355" s="10"/>
      <c r="H7355" s="10"/>
      <c r="I7355" s="10"/>
      <c r="J7355" s="10"/>
      <c r="K7355" s="10"/>
      <c r="L7355" s="10"/>
    </row>
    <row r="7356" spans="1:12" ht="15" customHeight="1" x14ac:dyDescent="0.25">
      <c r="A7356" s="10"/>
      <c r="B7356" s="10"/>
      <c r="C7356" s="10"/>
      <c r="D7356" s="10"/>
      <c r="E7356" s="10"/>
      <c r="F7356" s="10"/>
      <c r="G7356" s="10"/>
      <c r="H7356" s="10"/>
      <c r="I7356" s="10"/>
      <c r="J7356" s="10"/>
      <c r="K7356" s="10"/>
      <c r="L7356" s="10"/>
    </row>
    <row r="7357" spans="1:12" ht="15" customHeight="1" x14ac:dyDescent="0.25">
      <c r="A7357" s="10"/>
      <c r="B7357" s="10"/>
      <c r="C7357" s="10"/>
      <c r="D7357" s="10"/>
      <c r="E7357" s="10"/>
      <c r="F7357" s="10"/>
      <c r="G7357" s="10"/>
      <c r="H7357" s="10"/>
      <c r="I7357" s="10"/>
      <c r="J7357" s="10"/>
      <c r="K7357" s="10"/>
      <c r="L7357" s="10"/>
    </row>
    <row r="7358" spans="1:12" ht="15" customHeight="1" x14ac:dyDescent="0.25">
      <c r="A7358" s="10"/>
      <c r="B7358" s="10"/>
      <c r="C7358" s="10"/>
      <c r="D7358" s="10"/>
      <c r="E7358" s="10"/>
      <c r="F7358" s="10"/>
      <c r="G7358" s="10"/>
      <c r="H7358" s="10"/>
      <c r="I7358" s="10"/>
      <c r="J7358" s="10"/>
      <c r="K7358" s="10"/>
      <c r="L7358" s="10"/>
    </row>
    <row r="7359" spans="1:12" ht="15" customHeight="1" x14ac:dyDescent="0.25">
      <c r="A7359" s="10"/>
      <c r="B7359" s="10"/>
      <c r="C7359" s="10"/>
      <c r="D7359" s="10"/>
      <c r="E7359" s="10"/>
      <c r="F7359" s="10"/>
      <c r="G7359" s="10"/>
      <c r="H7359" s="10"/>
      <c r="I7359" s="10"/>
      <c r="J7359" s="10"/>
      <c r="K7359" s="10"/>
      <c r="L7359" s="10"/>
    </row>
    <row r="7360" spans="1:12" ht="15" customHeight="1" x14ac:dyDescent="0.25">
      <c r="A7360" s="10"/>
      <c r="B7360" s="10"/>
      <c r="C7360" s="10"/>
      <c r="D7360" s="10"/>
      <c r="E7360" s="10"/>
      <c r="F7360" s="10"/>
      <c r="G7360" s="10"/>
      <c r="H7360" s="10"/>
      <c r="I7360" s="10"/>
      <c r="J7360" s="10"/>
      <c r="K7360" s="10"/>
      <c r="L7360" s="10"/>
    </row>
    <row r="7361" spans="1:12" ht="15" customHeight="1" x14ac:dyDescent="0.25">
      <c r="A7361" s="10"/>
      <c r="B7361" s="10"/>
      <c r="C7361" s="10"/>
      <c r="D7361" s="10"/>
      <c r="E7361" s="10"/>
      <c r="F7361" s="10"/>
      <c r="G7361" s="10"/>
      <c r="H7361" s="10"/>
      <c r="I7361" s="10"/>
      <c r="J7361" s="10"/>
      <c r="K7361" s="10"/>
      <c r="L7361" s="10"/>
    </row>
    <row r="7362" spans="1:12" ht="15" customHeight="1" x14ac:dyDescent="0.25">
      <c r="A7362" s="10"/>
      <c r="B7362" s="10"/>
      <c r="C7362" s="10"/>
      <c r="D7362" s="10"/>
      <c r="E7362" s="10"/>
      <c r="F7362" s="10"/>
      <c r="G7362" s="10"/>
      <c r="H7362" s="10"/>
      <c r="I7362" s="10"/>
      <c r="J7362" s="10"/>
      <c r="K7362" s="10"/>
      <c r="L7362" s="10"/>
    </row>
    <row r="7363" spans="1:12" ht="15" customHeight="1" x14ac:dyDescent="0.25">
      <c r="A7363" s="10"/>
      <c r="B7363" s="10"/>
      <c r="C7363" s="10"/>
      <c r="D7363" s="10"/>
      <c r="E7363" s="10"/>
      <c r="F7363" s="10"/>
      <c r="G7363" s="10"/>
      <c r="H7363" s="10"/>
      <c r="I7363" s="10"/>
      <c r="J7363" s="10"/>
      <c r="K7363" s="10"/>
      <c r="L7363" s="10"/>
    </row>
    <row r="7364" spans="1:12" ht="15" customHeight="1" x14ac:dyDescent="0.25">
      <c r="A7364" s="10"/>
      <c r="B7364" s="10"/>
      <c r="C7364" s="10"/>
      <c r="D7364" s="10"/>
      <c r="E7364" s="10"/>
      <c r="F7364" s="10"/>
      <c r="G7364" s="10"/>
      <c r="H7364" s="10"/>
      <c r="I7364" s="10"/>
      <c r="J7364" s="10"/>
      <c r="K7364" s="10"/>
      <c r="L7364" s="10"/>
    </row>
    <row r="7365" spans="1:12" ht="15" customHeight="1" x14ac:dyDescent="0.25">
      <c r="A7365" s="10"/>
      <c r="B7365" s="10"/>
      <c r="C7365" s="10"/>
      <c r="D7365" s="10"/>
      <c r="E7365" s="10"/>
      <c r="F7365" s="10"/>
      <c r="G7365" s="10"/>
      <c r="H7365" s="10"/>
      <c r="I7365" s="10"/>
      <c r="J7365" s="10"/>
      <c r="K7365" s="10"/>
      <c r="L7365" s="10"/>
    </row>
    <row r="7366" spans="1:12" ht="15" customHeight="1" x14ac:dyDescent="0.25">
      <c r="A7366" s="10"/>
      <c r="B7366" s="10"/>
      <c r="C7366" s="10"/>
      <c r="D7366" s="10"/>
      <c r="E7366" s="10"/>
      <c r="F7366" s="10"/>
      <c r="G7366" s="10"/>
      <c r="H7366" s="10"/>
      <c r="I7366" s="10"/>
      <c r="J7366" s="10"/>
      <c r="K7366" s="10"/>
      <c r="L7366" s="10"/>
    </row>
    <row r="7367" spans="1:12" ht="15" customHeight="1" x14ac:dyDescent="0.25">
      <c r="A7367" s="10"/>
      <c r="B7367" s="10"/>
      <c r="C7367" s="10"/>
      <c r="D7367" s="10"/>
      <c r="E7367" s="10"/>
      <c r="F7367" s="10"/>
      <c r="G7367" s="10"/>
      <c r="H7367" s="10"/>
      <c r="I7367" s="10"/>
      <c r="J7367" s="10"/>
      <c r="K7367" s="10"/>
      <c r="L7367" s="10"/>
    </row>
    <row r="7368" spans="1:12" ht="15" customHeight="1" x14ac:dyDescent="0.25">
      <c r="A7368" s="10"/>
      <c r="B7368" s="10"/>
      <c r="C7368" s="10"/>
      <c r="D7368" s="10"/>
      <c r="E7368" s="10"/>
      <c r="F7368" s="10"/>
      <c r="G7368" s="10"/>
      <c r="H7368" s="10"/>
      <c r="I7368" s="10"/>
      <c r="J7368" s="10"/>
      <c r="K7368" s="10"/>
      <c r="L7368" s="10"/>
    </row>
    <row r="7369" spans="1:12" ht="15" customHeight="1" x14ac:dyDescent="0.25">
      <c r="A7369" s="10"/>
      <c r="B7369" s="10"/>
      <c r="C7369" s="10"/>
      <c r="D7369" s="10"/>
      <c r="E7369" s="10"/>
      <c r="F7369" s="10"/>
      <c r="G7369" s="10"/>
      <c r="H7369" s="10"/>
      <c r="I7369" s="10"/>
      <c r="J7369" s="10"/>
      <c r="K7369" s="10"/>
      <c r="L7369" s="10"/>
    </row>
    <row r="7370" spans="1:12" ht="15" customHeight="1" x14ac:dyDescent="0.25">
      <c r="A7370" s="10"/>
      <c r="B7370" s="10"/>
      <c r="C7370" s="10"/>
      <c r="D7370" s="10"/>
      <c r="E7370" s="10"/>
      <c r="F7370" s="10"/>
      <c r="G7370" s="10"/>
      <c r="H7370" s="10"/>
      <c r="I7370" s="10"/>
      <c r="J7370" s="10"/>
      <c r="K7370" s="10"/>
      <c r="L7370" s="10"/>
    </row>
    <row r="7371" spans="1:12" ht="15" customHeight="1" x14ac:dyDescent="0.25">
      <c r="A7371" s="10"/>
      <c r="B7371" s="10"/>
      <c r="C7371" s="10"/>
      <c r="D7371" s="10"/>
      <c r="E7371" s="10"/>
      <c r="F7371" s="10"/>
      <c r="G7371" s="10"/>
      <c r="H7371" s="10"/>
      <c r="I7371" s="10"/>
      <c r="J7371" s="10"/>
      <c r="K7371" s="10"/>
      <c r="L7371" s="10"/>
    </row>
    <row r="7372" spans="1:12" ht="15" customHeight="1" x14ac:dyDescent="0.25">
      <c r="A7372" s="10"/>
      <c r="B7372" s="10"/>
      <c r="C7372" s="10"/>
      <c r="D7372" s="10"/>
      <c r="E7372" s="10"/>
      <c r="F7372" s="10"/>
      <c r="G7372" s="10"/>
      <c r="H7372" s="10"/>
      <c r="I7372" s="10"/>
      <c r="J7372" s="10"/>
      <c r="K7372" s="10"/>
      <c r="L7372" s="10"/>
    </row>
    <row r="7373" spans="1:12" ht="15" customHeight="1" x14ac:dyDescent="0.25">
      <c r="A7373" s="10"/>
      <c r="B7373" s="10"/>
      <c r="C7373" s="10"/>
      <c r="D7373" s="10"/>
      <c r="E7373" s="10"/>
      <c r="F7373" s="10"/>
      <c r="G7373" s="10"/>
      <c r="H7373" s="10"/>
      <c r="I7373" s="10"/>
      <c r="J7373" s="10"/>
      <c r="K7373" s="10"/>
      <c r="L7373" s="10"/>
    </row>
    <row r="7374" spans="1:12" ht="15" customHeight="1" x14ac:dyDescent="0.25">
      <c r="A7374" s="10"/>
      <c r="B7374" s="10"/>
      <c r="C7374" s="10"/>
      <c r="D7374" s="10"/>
      <c r="E7374" s="10"/>
      <c r="F7374" s="10"/>
      <c r="G7374" s="10"/>
      <c r="H7374" s="10"/>
      <c r="I7374" s="10"/>
      <c r="J7374" s="10"/>
      <c r="K7374" s="10"/>
      <c r="L7374" s="10"/>
    </row>
    <row r="7375" spans="1:12" ht="15" customHeight="1" x14ac:dyDescent="0.25">
      <c r="A7375" s="10"/>
      <c r="B7375" s="10"/>
      <c r="C7375" s="10"/>
      <c r="D7375" s="10"/>
      <c r="E7375" s="10"/>
      <c r="F7375" s="10"/>
      <c r="G7375" s="10"/>
      <c r="H7375" s="10"/>
      <c r="I7375" s="10"/>
      <c r="J7375" s="10"/>
      <c r="K7375" s="10"/>
      <c r="L7375" s="10"/>
    </row>
    <row r="7376" spans="1:12" ht="15" customHeight="1" x14ac:dyDescent="0.25">
      <c r="A7376" s="10"/>
      <c r="B7376" s="10"/>
      <c r="C7376" s="10"/>
      <c r="D7376" s="10"/>
      <c r="E7376" s="10"/>
      <c r="F7376" s="10"/>
      <c r="G7376" s="10"/>
      <c r="H7376" s="10"/>
      <c r="I7376" s="10"/>
      <c r="J7376" s="10"/>
      <c r="K7376" s="10"/>
      <c r="L7376" s="10"/>
    </row>
    <row r="7377" spans="1:12" ht="15" customHeight="1" x14ac:dyDescent="0.25">
      <c r="A7377" s="10"/>
      <c r="B7377" s="10"/>
      <c r="C7377" s="10"/>
      <c r="D7377" s="10"/>
      <c r="E7377" s="10"/>
      <c r="F7377" s="10"/>
      <c r="G7377" s="10"/>
      <c r="H7377" s="10"/>
      <c r="I7377" s="10"/>
      <c r="J7377" s="10"/>
      <c r="K7377" s="10"/>
      <c r="L7377" s="10"/>
    </row>
    <row r="7378" spans="1:12" ht="15" customHeight="1" x14ac:dyDescent="0.25">
      <c r="A7378" s="10"/>
      <c r="B7378" s="10"/>
      <c r="C7378" s="10"/>
      <c r="D7378" s="10"/>
      <c r="E7378" s="10"/>
      <c r="F7378" s="10"/>
      <c r="G7378" s="10"/>
      <c r="H7378" s="10"/>
      <c r="I7378" s="10"/>
      <c r="J7378" s="10"/>
      <c r="K7378" s="10"/>
      <c r="L7378" s="10"/>
    </row>
    <row r="7379" spans="1:12" ht="15" customHeight="1" x14ac:dyDescent="0.25">
      <c r="A7379" s="10"/>
      <c r="B7379" s="10"/>
      <c r="C7379" s="10"/>
      <c r="D7379" s="10"/>
      <c r="E7379" s="10"/>
      <c r="F7379" s="10"/>
      <c r="G7379" s="10"/>
      <c r="H7379" s="10"/>
      <c r="I7379" s="10"/>
      <c r="J7379" s="10"/>
      <c r="K7379" s="10"/>
      <c r="L7379" s="10"/>
    </row>
    <row r="7380" spans="1:12" ht="15" customHeight="1" x14ac:dyDescent="0.25">
      <c r="A7380" s="10"/>
      <c r="B7380" s="10"/>
      <c r="C7380" s="10"/>
      <c r="D7380" s="10"/>
      <c r="E7380" s="10"/>
      <c r="F7380" s="10"/>
      <c r="G7380" s="10"/>
      <c r="H7380" s="10"/>
      <c r="I7380" s="10"/>
      <c r="J7380" s="10"/>
      <c r="K7380" s="10"/>
      <c r="L7380" s="10"/>
    </row>
    <row r="7381" spans="1:12" ht="15" customHeight="1" x14ac:dyDescent="0.25">
      <c r="A7381" s="10"/>
      <c r="B7381" s="10"/>
      <c r="C7381" s="10"/>
      <c r="D7381" s="10"/>
      <c r="E7381" s="10"/>
      <c r="F7381" s="10"/>
      <c r="G7381" s="10"/>
      <c r="H7381" s="10"/>
      <c r="I7381" s="10"/>
      <c r="J7381" s="10"/>
      <c r="K7381" s="10"/>
      <c r="L7381" s="10"/>
    </row>
    <row r="7382" spans="1:12" ht="15" customHeight="1" x14ac:dyDescent="0.25">
      <c r="A7382" s="10"/>
      <c r="B7382" s="10"/>
      <c r="C7382" s="10"/>
      <c r="D7382" s="10"/>
      <c r="E7382" s="10"/>
      <c r="F7382" s="10"/>
      <c r="G7382" s="10"/>
      <c r="H7382" s="10"/>
      <c r="I7382" s="10"/>
      <c r="J7382" s="10"/>
      <c r="K7382" s="10"/>
      <c r="L7382" s="10"/>
    </row>
    <row r="7383" spans="1:12" ht="15" customHeight="1" x14ac:dyDescent="0.25">
      <c r="A7383" s="10"/>
      <c r="B7383" s="10"/>
      <c r="C7383" s="10"/>
      <c r="D7383" s="10"/>
      <c r="E7383" s="10"/>
      <c r="F7383" s="10"/>
      <c r="G7383" s="10"/>
      <c r="H7383" s="10"/>
      <c r="I7383" s="10"/>
      <c r="J7383" s="10"/>
      <c r="K7383" s="10"/>
      <c r="L7383" s="10"/>
    </row>
    <row r="7384" spans="1:12" ht="15" customHeight="1" x14ac:dyDescent="0.25">
      <c r="A7384" s="10"/>
      <c r="B7384" s="10"/>
      <c r="C7384" s="10"/>
      <c r="D7384" s="10"/>
      <c r="E7384" s="10"/>
      <c r="F7384" s="10"/>
      <c r="G7384" s="10"/>
      <c r="H7384" s="10"/>
      <c r="I7384" s="10"/>
      <c r="J7384" s="10"/>
      <c r="K7384" s="10"/>
      <c r="L7384" s="10"/>
    </row>
    <row r="7385" spans="1:12" ht="15" customHeight="1" x14ac:dyDescent="0.25">
      <c r="A7385" s="10"/>
      <c r="B7385" s="10"/>
      <c r="C7385" s="10"/>
      <c r="D7385" s="10"/>
      <c r="E7385" s="10"/>
      <c r="F7385" s="10"/>
      <c r="G7385" s="10"/>
      <c r="H7385" s="10"/>
      <c r="I7385" s="10"/>
      <c r="J7385" s="10"/>
      <c r="K7385" s="10"/>
      <c r="L7385" s="10"/>
    </row>
    <row r="7386" spans="1:12" ht="15" customHeight="1" x14ac:dyDescent="0.25">
      <c r="A7386" s="10"/>
      <c r="B7386" s="10"/>
      <c r="C7386" s="10"/>
      <c r="D7386" s="10"/>
      <c r="E7386" s="10"/>
      <c r="F7386" s="10"/>
      <c r="G7386" s="10"/>
      <c r="H7386" s="10"/>
      <c r="I7386" s="10"/>
      <c r="J7386" s="10"/>
      <c r="K7386" s="10"/>
      <c r="L7386" s="10"/>
    </row>
    <row r="7387" spans="1:12" ht="15" customHeight="1" x14ac:dyDescent="0.25">
      <c r="A7387" s="10"/>
      <c r="B7387" s="10"/>
      <c r="C7387" s="10"/>
      <c r="D7387" s="10"/>
      <c r="E7387" s="10"/>
      <c r="F7387" s="10"/>
      <c r="G7387" s="10"/>
      <c r="H7387" s="10"/>
      <c r="I7387" s="10"/>
      <c r="J7387" s="10"/>
      <c r="K7387" s="10"/>
      <c r="L7387" s="10"/>
    </row>
    <row r="7388" spans="1:12" ht="15" customHeight="1" x14ac:dyDescent="0.25">
      <c r="A7388" s="10"/>
      <c r="B7388" s="10"/>
      <c r="C7388" s="10"/>
      <c r="D7388" s="10"/>
      <c r="E7388" s="10"/>
      <c r="F7388" s="10"/>
      <c r="G7388" s="10"/>
      <c r="H7388" s="10"/>
      <c r="I7388" s="10"/>
      <c r="J7388" s="10"/>
      <c r="K7388" s="10"/>
      <c r="L7388" s="10"/>
    </row>
    <row r="7389" spans="1:12" ht="15" customHeight="1" x14ac:dyDescent="0.25">
      <c r="A7389" s="10"/>
      <c r="B7389" s="10"/>
      <c r="C7389" s="10"/>
      <c r="D7389" s="10"/>
      <c r="E7389" s="10"/>
      <c r="F7389" s="10"/>
      <c r="G7389" s="10"/>
      <c r="H7389" s="10"/>
      <c r="I7389" s="10"/>
      <c r="J7389" s="10"/>
      <c r="K7389" s="10"/>
      <c r="L7389" s="10"/>
    </row>
    <row r="7390" spans="1:12" ht="15" customHeight="1" x14ac:dyDescent="0.25">
      <c r="A7390" s="10"/>
      <c r="B7390" s="10"/>
      <c r="C7390" s="10"/>
      <c r="D7390" s="10"/>
      <c r="E7390" s="10"/>
      <c r="F7390" s="10"/>
      <c r="G7390" s="10"/>
      <c r="H7390" s="10"/>
      <c r="I7390" s="10"/>
      <c r="J7390" s="10"/>
      <c r="K7390" s="10"/>
      <c r="L7390" s="10"/>
    </row>
    <row r="7391" spans="1:12" ht="15" customHeight="1" x14ac:dyDescent="0.25">
      <c r="A7391" s="10"/>
      <c r="B7391" s="10"/>
      <c r="C7391" s="10"/>
      <c r="D7391" s="10"/>
      <c r="E7391" s="10"/>
      <c r="F7391" s="10"/>
      <c r="G7391" s="10"/>
      <c r="H7391" s="10"/>
      <c r="I7391" s="10"/>
      <c r="J7391" s="10"/>
      <c r="K7391" s="10"/>
      <c r="L7391" s="10"/>
    </row>
    <row r="7392" spans="1:12" ht="15" customHeight="1" x14ac:dyDescent="0.25">
      <c r="A7392" s="10"/>
      <c r="B7392" s="10"/>
      <c r="C7392" s="10"/>
      <c r="D7392" s="10"/>
      <c r="E7392" s="10"/>
      <c r="F7392" s="10"/>
      <c r="G7392" s="10"/>
      <c r="H7392" s="10"/>
      <c r="I7392" s="10"/>
      <c r="J7392" s="10"/>
      <c r="K7392" s="10"/>
      <c r="L7392" s="10"/>
    </row>
    <row r="7393" spans="1:12" ht="15" customHeight="1" x14ac:dyDescent="0.25">
      <c r="A7393" s="10"/>
      <c r="B7393" s="10"/>
      <c r="C7393" s="10"/>
      <c r="D7393" s="10"/>
      <c r="E7393" s="10"/>
      <c r="F7393" s="10"/>
      <c r="G7393" s="10"/>
      <c r="H7393" s="10"/>
      <c r="I7393" s="10"/>
      <c r="J7393" s="10"/>
      <c r="K7393" s="10"/>
      <c r="L7393" s="10"/>
    </row>
    <row r="7394" spans="1:12" ht="15" customHeight="1" x14ac:dyDescent="0.25">
      <c r="A7394" s="10"/>
      <c r="B7394" s="10"/>
      <c r="C7394" s="10"/>
      <c r="D7394" s="10"/>
      <c r="E7394" s="10"/>
      <c r="F7394" s="10"/>
      <c r="G7394" s="10"/>
      <c r="H7394" s="10"/>
      <c r="I7394" s="10"/>
      <c r="J7394" s="10"/>
      <c r="K7394" s="10"/>
      <c r="L7394" s="10"/>
    </row>
    <row r="7395" spans="1:12" ht="15" customHeight="1" x14ac:dyDescent="0.25">
      <c r="A7395" s="10"/>
      <c r="B7395" s="10"/>
      <c r="C7395" s="10"/>
      <c r="D7395" s="10"/>
      <c r="E7395" s="10"/>
      <c r="F7395" s="10"/>
      <c r="G7395" s="10"/>
      <c r="H7395" s="10"/>
      <c r="I7395" s="10"/>
      <c r="J7395" s="10"/>
      <c r="K7395" s="10"/>
      <c r="L7395" s="10"/>
    </row>
    <row r="7396" spans="1:12" ht="15" customHeight="1" x14ac:dyDescent="0.25">
      <c r="A7396" s="10"/>
      <c r="B7396" s="10"/>
      <c r="C7396" s="10"/>
      <c r="D7396" s="10"/>
      <c r="E7396" s="10"/>
      <c r="F7396" s="10"/>
      <c r="G7396" s="10"/>
      <c r="H7396" s="10"/>
      <c r="I7396" s="10"/>
      <c r="J7396" s="10"/>
      <c r="K7396" s="10"/>
      <c r="L7396" s="10"/>
    </row>
    <row r="7397" spans="1:12" ht="15" customHeight="1" x14ac:dyDescent="0.25">
      <c r="A7397" s="10"/>
      <c r="B7397" s="10"/>
      <c r="C7397" s="10"/>
      <c r="D7397" s="10"/>
      <c r="E7397" s="10"/>
      <c r="F7397" s="10"/>
      <c r="G7397" s="10"/>
      <c r="H7397" s="10"/>
      <c r="I7397" s="10"/>
      <c r="J7397" s="10"/>
      <c r="K7397" s="10"/>
      <c r="L7397" s="10"/>
    </row>
    <row r="7398" spans="1:12" ht="15" customHeight="1" x14ac:dyDescent="0.25">
      <c r="A7398" s="10"/>
      <c r="B7398" s="10"/>
      <c r="C7398" s="10"/>
      <c r="D7398" s="10"/>
      <c r="E7398" s="10"/>
      <c r="F7398" s="10"/>
      <c r="G7398" s="10"/>
      <c r="H7398" s="10"/>
      <c r="I7398" s="10"/>
      <c r="J7398" s="10"/>
      <c r="K7398" s="10"/>
      <c r="L7398" s="10"/>
    </row>
    <row r="7399" spans="1:12" ht="15" customHeight="1" x14ac:dyDescent="0.25">
      <c r="A7399" s="10"/>
      <c r="B7399" s="10"/>
      <c r="C7399" s="10"/>
      <c r="D7399" s="10"/>
      <c r="E7399" s="10"/>
      <c r="F7399" s="10"/>
      <c r="G7399" s="10"/>
      <c r="H7399" s="10"/>
      <c r="I7399" s="10"/>
      <c r="J7399" s="10"/>
      <c r="K7399" s="10"/>
      <c r="L7399" s="10"/>
    </row>
    <row r="7400" spans="1:12" ht="15" customHeight="1" x14ac:dyDescent="0.25">
      <c r="A7400" s="10"/>
      <c r="B7400" s="10"/>
      <c r="C7400" s="10"/>
      <c r="D7400" s="10"/>
      <c r="E7400" s="10"/>
      <c r="F7400" s="10"/>
      <c r="G7400" s="10"/>
      <c r="H7400" s="10"/>
      <c r="I7400" s="10"/>
      <c r="J7400" s="10"/>
      <c r="K7400" s="10"/>
      <c r="L7400" s="10"/>
    </row>
    <row r="7401" spans="1:12" ht="15" customHeight="1" x14ac:dyDescent="0.25">
      <c r="A7401" s="10"/>
      <c r="B7401" s="10"/>
      <c r="C7401" s="10"/>
      <c r="D7401" s="10"/>
      <c r="E7401" s="10"/>
      <c r="F7401" s="10"/>
      <c r="G7401" s="10"/>
      <c r="H7401" s="10"/>
      <c r="I7401" s="10"/>
      <c r="J7401" s="10"/>
      <c r="K7401" s="10"/>
      <c r="L7401" s="10"/>
    </row>
    <row r="7402" spans="1:12" ht="15" customHeight="1" x14ac:dyDescent="0.25">
      <c r="A7402" s="10"/>
      <c r="B7402" s="10"/>
      <c r="C7402" s="10"/>
      <c r="D7402" s="10"/>
      <c r="E7402" s="10"/>
      <c r="F7402" s="10"/>
      <c r="G7402" s="10"/>
      <c r="H7402" s="10"/>
      <c r="I7402" s="10"/>
      <c r="J7402" s="10"/>
      <c r="K7402" s="10"/>
      <c r="L7402" s="10"/>
    </row>
    <row r="7403" spans="1:12" ht="15" customHeight="1" x14ac:dyDescent="0.25">
      <c r="A7403" s="10"/>
      <c r="B7403" s="10"/>
      <c r="C7403" s="10"/>
      <c r="D7403" s="10"/>
      <c r="E7403" s="10"/>
      <c r="F7403" s="10"/>
      <c r="G7403" s="10"/>
      <c r="H7403" s="10"/>
      <c r="I7403" s="10"/>
      <c r="J7403" s="10"/>
      <c r="K7403" s="10"/>
      <c r="L7403" s="10"/>
    </row>
    <row r="7404" spans="1:12" ht="15" customHeight="1" x14ac:dyDescent="0.25">
      <c r="A7404" s="10"/>
      <c r="B7404" s="10"/>
      <c r="C7404" s="10"/>
      <c r="D7404" s="10"/>
      <c r="E7404" s="10"/>
      <c r="F7404" s="10"/>
      <c r="G7404" s="10"/>
      <c r="H7404" s="10"/>
      <c r="I7404" s="10"/>
      <c r="J7404" s="10"/>
      <c r="K7404" s="10"/>
      <c r="L7404" s="10"/>
    </row>
    <row r="7405" spans="1:12" ht="15" customHeight="1" x14ac:dyDescent="0.25">
      <c r="A7405" s="10"/>
      <c r="B7405" s="10"/>
      <c r="C7405" s="10"/>
      <c r="D7405" s="10"/>
      <c r="E7405" s="10"/>
      <c r="F7405" s="10"/>
      <c r="G7405" s="10"/>
      <c r="H7405" s="10"/>
      <c r="I7405" s="10"/>
      <c r="J7405" s="10"/>
      <c r="K7405" s="10"/>
      <c r="L7405" s="10"/>
    </row>
    <row r="7406" spans="1:12" ht="15" customHeight="1" x14ac:dyDescent="0.25">
      <c r="A7406" s="10"/>
      <c r="B7406" s="10"/>
      <c r="C7406" s="10"/>
      <c r="D7406" s="10"/>
      <c r="E7406" s="10"/>
      <c r="F7406" s="10"/>
      <c r="G7406" s="10"/>
      <c r="H7406" s="10"/>
      <c r="I7406" s="10"/>
      <c r="J7406" s="10"/>
      <c r="K7406" s="10"/>
      <c r="L7406" s="10"/>
    </row>
    <row r="7407" spans="1:12" ht="15" customHeight="1" x14ac:dyDescent="0.25">
      <c r="A7407" s="10"/>
      <c r="B7407" s="10"/>
      <c r="C7407" s="10"/>
      <c r="D7407" s="10"/>
      <c r="E7407" s="10"/>
      <c r="F7407" s="10"/>
      <c r="G7407" s="10"/>
      <c r="H7407" s="10"/>
      <c r="I7407" s="10"/>
      <c r="J7407" s="10"/>
      <c r="K7407" s="10"/>
      <c r="L7407" s="10"/>
    </row>
    <row r="7408" spans="1:12" ht="15" customHeight="1" x14ac:dyDescent="0.25">
      <c r="A7408" s="10"/>
      <c r="B7408" s="10"/>
      <c r="C7408" s="10"/>
      <c r="D7408" s="10"/>
      <c r="E7408" s="10"/>
      <c r="F7408" s="10"/>
      <c r="G7408" s="10"/>
      <c r="H7408" s="10"/>
      <c r="I7408" s="10"/>
      <c r="J7408" s="10"/>
      <c r="K7408" s="10"/>
      <c r="L7408" s="10"/>
    </row>
    <row r="7409" spans="1:12" ht="15" customHeight="1" x14ac:dyDescent="0.25">
      <c r="A7409" s="10"/>
      <c r="B7409" s="10"/>
      <c r="C7409" s="10"/>
      <c r="D7409" s="10"/>
      <c r="E7409" s="10"/>
      <c r="F7409" s="10"/>
      <c r="G7409" s="10"/>
      <c r="H7409" s="10"/>
      <c r="I7409" s="10"/>
      <c r="J7409" s="10"/>
      <c r="K7409" s="10"/>
      <c r="L7409" s="10"/>
    </row>
    <row r="7410" spans="1:12" ht="15" customHeight="1" x14ac:dyDescent="0.25">
      <c r="A7410" s="10"/>
      <c r="B7410" s="10"/>
      <c r="C7410" s="10"/>
      <c r="D7410" s="10"/>
      <c r="E7410" s="10"/>
      <c r="F7410" s="10"/>
      <c r="G7410" s="10"/>
      <c r="H7410" s="10"/>
      <c r="I7410" s="10"/>
      <c r="J7410" s="10"/>
      <c r="K7410" s="10"/>
      <c r="L7410" s="10"/>
    </row>
    <row r="7411" spans="1:12" ht="15" customHeight="1" x14ac:dyDescent="0.25">
      <c r="A7411" s="10"/>
      <c r="B7411" s="10"/>
      <c r="C7411" s="10"/>
      <c r="D7411" s="10"/>
      <c r="E7411" s="10"/>
      <c r="F7411" s="10"/>
      <c r="G7411" s="10"/>
      <c r="H7411" s="10"/>
      <c r="I7411" s="10"/>
      <c r="J7411" s="10"/>
      <c r="K7411" s="10"/>
      <c r="L7411" s="10"/>
    </row>
    <row r="7412" spans="1:12" ht="15" customHeight="1" x14ac:dyDescent="0.25">
      <c r="A7412" s="10"/>
      <c r="B7412" s="10"/>
      <c r="C7412" s="10"/>
      <c r="D7412" s="10"/>
      <c r="E7412" s="10"/>
      <c r="F7412" s="10"/>
      <c r="G7412" s="10"/>
      <c r="H7412" s="10"/>
      <c r="I7412" s="10"/>
      <c r="J7412" s="10"/>
      <c r="K7412" s="10"/>
      <c r="L7412" s="10"/>
    </row>
    <row r="7413" spans="1:12" ht="15" customHeight="1" x14ac:dyDescent="0.25">
      <c r="A7413" s="10"/>
      <c r="B7413" s="10"/>
      <c r="C7413" s="10"/>
      <c r="D7413" s="10"/>
      <c r="E7413" s="10"/>
      <c r="F7413" s="10"/>
      <c r="G7413" s="10"/>
      <c r="H7413" s="10"/>
      <c r="I7413" s="10"/>
      <c r="J7413" s="10"/>
      <c r="K7413" s="10"/>
      <c r="L7413" s="10"/>
    </row>
    <row r="7414" spans="1:12" ht="15" customHeight="1" x14ac:dyDescent="0.25">
      <c r="A7414" s="10"/>
      <c r="B7414" s="10"/>
      <c r="C7414" s="10"/>
      <c r="D7414" s="10"/>
      <c r="E7414" s="10"/>
      <c r="F7414" s="10"/>
      <c r="G7414" s="10"/>
      <c r="H7414" s="10"/>
      <c r="I7414" s="10"/>
      <c r="J7414" s="10"/>
      <c r="K7414" s="10"/>
      <c r="L7414" s="10"/>
    </row>
    <row r="7415" spans="1:12" ht="15" customHeight="1" x14ac:dyDescent="0.25">
      <c r="A7415" s="10"/>
      <c r="B7415" s="10"/>
      <c r="C7415" s="10"/>
      <c r="D7415" s="10"/>
      <c r="E7415" s="10"/>
      <c r="F7415" s="10"/>
      <c r="G7415" s="10"/>
      <c r="H7415" s="10"/>
      <c r="I7415" s="10"/>
      <c r="J7415" s="10"/>
      <c r="K7415" s="10"/>
      <c r="L7415" s="10"/>
    </row>
    <row r="7416" spans="1:12" ht="15" customHeight="1" x14ac:dyDescent="0.25">
      <c r="A7416" s="10"/>
      <c r="B7416" s="10"/>
      <c r="C7416" s="10"/>
      <c r="D7416" s="10"/>
      <c r="E7416" s="10"/>
      <c r="F7416" s="10"/>
      <c r="G7416" s="10"/>
      <c r="H7416" s="10"/>
      <c r="I7416" s="10"/>
      <c r="J7416" s="10"/>
      <c r="K7416" s="10"/>
      <c r="L7416" s="10"/>
    </row>
    <row r="7417" spans="1:12" ht="15" customHeight="1" x14ac:dyDescent="0.25">
      <c r="A7417" s="10"/>
      <c r="B7417" s="10"/>
      <c r="C7417" s="10"/>
      <c r="D7417" s="10"/>
      <c r="E7417" s="10"/>
      <c r="F7417" s="10"/>
      <c r="G7417" s="10"/>
      <c r="H7417" s="10"/>
      <c r="I7417" s="10"/>
      <c r="J7417" s="10"/>
      <c r="K7417" s="10"/>
      <c r="L7417" s="10"/>
    </row>
    <row r="7418" spans="1:12" ht="15" customHeight="1" x14ac:dyDescent="0.25">
      <c r="A7418" s="10"/>
      <c r="B7418" s="10"/>
      <c r="C7418" s="10"/>
      <c r="D7418" s="10"/>
      <c r="E7418" s="10"/>
      <c r="F7418" s="10"/>
      <c r="G7418" s="10"/>
      <c r="H7418" s="10"/>
      <c r="I7418" s="10"/>
      <c r="J7418" s="10"/>
      <c r="K7418" s="10"/>
      <c r="L7418" s="10"/>
    </row>
    <row r="7419" spans="1:12" ht="15" customHeight="1" x14ac:dyDescent="0.25">
      <c r="A7419" s="10"/>
      <c r="B7419" s="10"/>
      <c r="C7419" s="10"/>
      <c r="D7419" s="10"/>
      <c r="E7419" s="10"/>
      <c r="F7419" s="10"/>
      <c r="G7419" s="10"/>
      <c r="H7419" s="10"/>
      <c r="I7419" s="10"/>
      <c r="J7419" s="10"/>
      <c r="K7419" s="10"/>
      <c r="L7419" s="10"/>
    </row>
    <row r="7420" spans="1:12" ht="15" customHeight="1" x14ac:dyDescent="0.25">
      <c r="A7420" s="10"/>
      <c r="B7420" s="10"/>
      <c r="C7420" s="10"/>
      <c r="D7420" s="10"/>
      <c r="E7420" s="10"/>
      <c r="F7420" s="10"/>
      <c r="G7420" s="10"/>
      <c r="H7420" s="10"/>
      <c r="I7420" s="10"/>
      <c r="J7420" s="10"/>
      <c r="K7420" s="10"/>
      <c r="L7420" s="10"/>
    </row>
    <row r="7421" spans="1:12" ht="15" customHeight="1" x14ac:dyDescent="0.25">
      <c r="A7421" s="10"/>
      <c r="B7421" s="10"/>
      <c r="C7421" s="10"/>
      <c r="D7421" s="10"/>
      <c r="E7421" s="10"/>
      <c r="F7421" s="10"/>
      <c r="G7421" s="10"/>
      <c r="H7421" s="10"/>
      <c r="I7421" s="10"/>
      <c r="J7421" s="10"/>
      <c r="K7421" s="10"/>
      <c r="L7421" s="10"/>
    </row>
    <row r="7422" spans="1:12" ht="15" customHeight="1" x14ac:dyDescent="0.25">
      <c r="A7422" s="10"/>
      <c r="B7422" s="10"/>
      <c r="C7422" s="10"/>
      <c r="D7422" s="10"/>
      <c r="E7422" s="10"/>
      <c r="F7422" s="10"/>
      <c r="G7422" s="10"/>
      <c r="H7422" s="10"/>
      <c r="I7422" s="10"/>
      <c r="J7422" s="10"/>
      <c r="K7422" s="10"/>
      <c r="L7422" s="10"/>
    </row>
    <row r="7423" spans="1:12" ht="15" customHeight="1" x14ac:dyDescent="0.25">
      <c r="A7423" s="10"/>
      <c r="B7423" s="10"/>
      <c r="C7423" s="10"/>
      <c r="D7423" s="10"/>
      <c r="E7423" s="10"/>
      <c r="F7423" s="10"/>
      <c r="G7423" s="10"/>
      <c r="H7423" s="10"/>
      <c r="I7423" s="10"/>
      <c r="J7423" s="10"/>
      <c r="K7423" s="10"/>
      <c r="L7423" s="10"/>
    </row>
    <row r="7424" spans="1:12" ht="15" customHeight="1" x14ac:dyDescent="0.25">
      <c r="A7424" s="10"/>
      <c r="B7424" s="10"/>
      <c r="C7424" s="10"/>
      <c r="D7424" s="10"/>
      <c r="E7424" s="10"/>
      <c r="F7424" s="10"/>
      <c r="G7424" s="10"/>
      <c r="H7424" s="10"/>
      <c r="I7424" s="10"/>
      <c r="J7424" s="10"/>
      <c r="K7424" s="10"/>
      <c r="L7424" s="10"/>
    </row>
    <row r="7425" spans="1:12" ht="15" customHeight="1" x14ac:dyDescent="0.25">
      <c r="A7425" s="10"/>
      <c r="B7425" s="10"/>
      <c r="C7425" s="10"/>
      <c r="D7425" s="10"/>
      <c r="E7425" s="10"/>
      <c r="F7425" s="10"/>
      <c r="G7425" s="10"/>
      <c r="H7425" s="10"/>
      <c r="I7425" s="10"/>
      <c r="J7425" s="10"/>
      <c r="K7425" s="10"/>
      <c r="L7425" s="10"/>
    </row>
    <row r="7426" spans="1:12" ht="15" customHeight="1" x14ac:dyDescent="0.25">
      <c r="A7426" s="10"/>
      <c r="B7426" s="10"/>
      <c r="C7426" s="10"/>
      <c r="D7426" s="10"/>
      <c r="E7426" s="10"/>
      <c r="F7426" s="10"/>
      <c r="G7426" s="10"/>
      <c r="H7426" s="10"/>
      <c r="I7426" s="10"/>
      <c r="J7426" s="10"/>
      <c r="K7426" s="10"/>
      <c r="L7426" s="10"/>
    </row>
    <row r="7427" spans="1:12" ht="15" customHeight="1" x14ac:dyDescent="0.25">
      <c r="A7427" s="10"/>
      <c r="B7427" s="10"/>
      <c r="C7427" s="10"/>
      <c r="D7427" s="10"/>
      <c r="E7427" s="10"/>
      <c r="F7427" s="10"/>
      <c r="G7427" s="10"/>
      <c r="H7427" s="10"/>
      <c r="I7427" s="10"/>
      <c r="J7427" s="10"/>
      <c r="K7427" s="10"/>
      <c r="L7427" s="10"/>
    </row>
    <row r="7428" spans="1:12" ht="15" customHeight="1" x14ac:dyDescent="0.25">
      <c r="A7428" s="10"/>
      <c r="B7428" s="10"/>
      <c r="C7428" s="10"/>
      <c r="D7428" s="10"/>
      <c r="E7428" s="10"/>
      <c r="F7428" s="10"/>
      <c r="G7428" s="10"/>
      <c r="H7428" s="10"/>
      <c r="I7428" s="10"/>
      <c r="J7428" s="10"/>
      <c r="K7428" s="10"/>
      <c r="L7428" s="10"/>
    </row>
    <row r="7429" spans="1:12" ht="15" customHeight="1" x14ac:dyDescent="0.25">
      <c r="A7429" s="10"/>
      <c r="B7429" s="10"/>
      <c r="C7429" s="10"/>
      <c r="D7429" s="10"/>
      <c r="E7429" s="10"/>
      <c r="F7429" s="10"/>
      <c r="G7429" s="10"/>
      <c r="H7429" s="10"/>
      <c r="I7429" s="10"/>
      <c r="J7429" s="10"/>
      <c r="K7429" s="10"/>
      <c r="L7429" s="10"/>
    </row>
    <row r="7430" spans="1:12" ht="15" customHeight="1" x14ac:dyDescent="0.25">
      <c r="A7430" s="10"/>
      <c r="B7430" s="10"/>
      <c r="C7430" s="10"/>
      <c r="D7430" s="10"/>
      <c r="E7430" s="10"/>
      <c r="F7430" s="10"/>
      <c r="G7430" s="10"/>
      <c r="H7430" s="10"/>
      <c r="I7430" s="10"/>
      <c r="J7430" s="10"/>
      <c r="K7430" s="10"/>
      <c r="L7430" s="10"/>
    </row>
    <row r="7431" spans="1:12" ht="15" customHeight="1" x14ac:dyDescent="0.25">
      <c r="A7431" s="10"/>
      <c r="B7431" s="10"/>
      <c r="C7431" s="10"/>
      <c r="D7431" s="10"/>
      <c r="E7431" s="10"/>
      <c r="F7431" s="10"/>
      <c r="G7431" s="10"/>
      <c r="H7431" s="10"/>
      <c r="I7431" s="10"/>
      <c r="J7431" s="10"/>
      <c r="K7431" s="10"/>
      <c r="L7431" s="10"/>
    </row>
    <row r="7432" spans="1:12" ht="15" customHeight="1" x14ac:dyDescent="0.25">
      <c r="A7432" s="10"/>
      <c r="B7432" s="10"/>
      <c r="C7432" s="10"/>
      <c r="D7432" s="10"/>
      <c r="E7432" s="10"/>
      <c r="F7432" s="10"/>
      <c r="G7432" s="10"/>
      <c r="H7432" s="10"/>
      <c r="I7432" s="10"/>
      <c r="J7432" s="10"/>
      <c r="K7432" s="10"/>
      <c r="L7432" s="10"/>
    </row>
    <row r="7433" spans="1:12" ht="15" customHeight="1" x14ac:dyDescent="0.25">
      <c r="A7433" s="10"/>
      <c r="B7433" s="10"/>
      <c r="C7433" s="10"/>
      <c r="D7433" s="10"/>
      <c r="E7433" s="10"/>
      <c r="F7433" s="10"/>
      <c r="G7433" s="10"/>
      <c r="H7433" s="10"/>
      <c r="I7433" s="10"/>
      <c r="J7433" s="10"/>
      <c r="K7433" s="10"/>
      <c r="L7433" s="10"/>
    </row>
    <row r="7434" spans="1:12" ht="15" customHeight="1" x14ac:dyDescent="0.25">
      <c r="A7434" s="10"/>
      <c r="B7434" s="10"/>
      <c r="C7434" s="10"/>
      <c r="D7434" s="10"/>
      <c r="E7434" s="10"/>
      <c r="F7434" s="10"/>
      <c r="G7434" s="10"/>
      <c r="H7434" s="10"/>
      <c r="I7434" s="10"/>
      <c r="J7434" s="10"/>
      <c r="K7434" s="10"/>
      <c r="L7434" s="10"/>
    </row>
    <row r="7435" spans="1:12" ht="15" customHeight="1" x14ac:dyDescent="0.25">
      <c r="A7435" s="10"/>
      <c r="B7435" s="10"/>
      <c r="C7435" s="10"/>
      <c r="D7435" s="10"/>
      <c r="E7435" s="10"/>
      <c r="F7435" s="10"/>
      <c r="G7435" s="10"/>
      <c r="H7435" s="10"/>
      <c r="I7435" s="10"/>
      <c r="J7435" s="10"/>
      <c r="K7435" s="10"/>
      <c r="L7435" s="10"/>
    </row>
    <row r="7436" spans="1:12" ht="15" customHeight="1" x14ac:dyDescent="0.25">
      <c r="A7436" s="10"/>
      <c r="B7436" s="10"/>
      <c r="C7436" s="10"/>
      <c r="D7436" s="10"/>
      <c r="E7436" s="10"/>
      <c r="F7436" s="10"/>
      <c r="G7436" s="10"/>
      <c r="H7436" s="10"/>
      <c r="I7436" s="10"/>
      <c r="J7436" s="10"/>
      <c r="K7436" s="10"/>
      <c r="L7436" s="10"/>
    </row>
    <row r="7437" spans="1:12" ht="15" customHeight="1" x14ac:dyDescent="0.25">
      <c r="A7437" s="10"/>
      <c r="B7437" s="10"/>
      <c r="C7437" s="10"/>
      <c r="D7437" s="10"/>
      <c r="E7437" s="10"/>
      <c r="F7437" s="10"/>
      <c r="G7437" s="10"/>
      <c r="H7437" s="10"/>
      <c r="I7437" s="10"/>
      <c r="J7437" s="10"/>
      <c r="K7437" s="10"/>
      <c r="L7437" s="10"/>
    </row>
    <row r="7438" spans="1:12" ht="15" customHeight="1" x14ac:dyDescent="0.25">
      <c r="A7438" s="10"/>
      <c r="B7438" s="10"/>
      <c r="C7438" s="10"/>
      <c r="D7438" s="10"/>
      <c r="E7438" s="10"/>
      <c r="F7438" s="10"/>
      <c r="G7438" s="10"/>
      <c r="H7438" s="10"/>
      <c r="I7438" s="10"/>
      <c r="J7438" s="10"/>
      <c r="K7438" s="10"/>
      <c r="L7438" s="10"/>
    </row>
    <row r="7439" spans="1:12" ht="15" customHeight="1" x14ac:dyDescent="0.25">
      <c r="A7439" s="10"/>
      <c r="B7439" s="10"/>
      <c r="C7439" s="10"/>
      <c r="D7439" s="10"/>
      <c r="E7439" s="10"/>
      <c r="F7439" s="10"/>
      <c r="G7439" s="10"/>
      <c r="H7439" s="10"/>
      <c r="I7439" s="10"/>
      <c r="J7439" s="10"/>
      <c r="K7439" s="10"/>
      <c r="L7439" s="10"/>
    </row>
    <row r="7440" spans="1:12" ht="15" customHeight="1" x14ac:dyDescent="0.25">
      <c r="A7440" s="10"/>
      <c r="B7440" s="10"/>
      <c r="C7440" s="10"/>
      <c r="D7440" s="10"/>
      <c r="E7440" s="10"/>
      <c r="F7440" s="10"/>
      <c r="G7440" s="10"/>
      <c r="H7440" s="10"/>
      <c r="I7440" s="10"/>
      <c r="J7440" s="10"/>
      <c r="K7440" s="10"/>
      <c r="L7440" s="10"/>
    </row>
    <row r="7441" spans="1:12" ht="15" customHeight="1" x14ac:dyDescent="0.25">
      <c r="A7441" s="10"/>
      <c r="B7441" s="10"/>
      <c r="C7441" s="10"/>
      <c r="D7441" s="10"/>
      <c r="E7441" s="10"/>
      <c r="F7441" s="10"/>
      <c r="G7441" s="10"/>
      <c r="H7441" s="10"/>
      <c r="I7441" s="10"/>
      <c r="J7441" s="10"/>
      <c r="K7441" s="10"/>
      <c r="L7441" s="10"/>
    </row>
    <row r="7442" spans="1:12" ht="15" customHeight="1" x14ac:dyDescent="0.25">
      <c r="A7442" s="10"/>
      <c r="B7442" s="10"/>
      <c r="C7442" s="10"/>
      <c r="D7442" s="10"/>
      <c r="E7442" s="10"/>
      <c r="F7442" s="10"/>
      <c r="G7442" s="10"/>
      <c r="H7442" s="10"/>
      <c r="I7442" s="10"/>
      <c r="J7442" s="10"/>
      <c r="K7442" s="10"/>
      <c r="L7442" s="10"/>
    </row>
    <row r="7443" spans="1:12" ht="15" customHeight="1" x14ac:dyDescent="0.25">
      <c r="A7443" s="10"/>
      <c r="B7443" s="10"/>
      <c r="C7443" s="10"/>
      <c r="D7443" s="10"/>
      <c r="E7443" s="10"/>
      <c r="F7443" s="10"/>
      <c r="G7443" s="10"/>
      <c r="H7443" s="10"/>
      <c r="I7443" s="10"/>
      <c r="J7443" s="10"/>
      <c r="K7443" s="10"/>
      <c r="L7443" s="10"/>
    </row>
    <row r="7444" spans="1:12" ht="15" customHeight="1" x14ac:dyDescent="0.25">
      <c r="A7444" s="10"/>
      <c r="B7444" s="10"/>
      <c r="C7444" s="10"/>
      <c r="D7444" s="10"/>
      <c r="E7444" s="10"/>
      <c r="F7444" s="10"/>
      <c r="G7444" s="10"/>
      <c r="H7444" s="10"/>
      <c r="I7444" s="10"/>
      <c r="J7444" s="10"/>
      <c r="K7444" s="10"/>
      <c r="L7444" s="10"/>
    </row>
    <row r="7445" spans="1:12" ht="15" customHeight="1" x14ac:dyDescent="0.25">
      <c r="A7445" s="10"/>
      <c r="B7445" s="10"/>
      <c r="C7445" s="10"/>
      <c r="D7445" s="10"/>
      <c r="E7445" s="10"/>
      <c r="F7445" s="10"/>
      <c r="G7445" s="10"/>
      <c r="H7445" s="10"/>
      <c r="I7445" s="10"/>
      <c r="J7445" s="10"/>
      <c r="K7445" s="10"/>
      <c r="L7445" s="10"/>
    </row>
    <row r="7446" spans="1:12" ht="15" customHeight="1" x14ac:dyDescent="0.25">
      <c r="A7446" s="10"/>
      <c r="B7446" s="10"/>
      <c r="C7446" s="10"/>
      <c r="D7446" s="10"/>
      <c r="E7446" s="10"/>
      <c r="F7446" s="10"/>
      <c r="G7446" s="10"/>
      <c r="H7446" s="10"/>
      <c r="I7446" s="10"/>
      <c r="J7446" s="10"/>
      <c r="K7446" s="10"/>
      <c r="L7446" s="10"/>
    </row>
    <row r="7447" spans="1:12" ht="15" customHeight="1" x14ac:dyDescent="0.25">
      <c r="A7447" s="10"/>
      <c r="B7447" s="10"/>
      <c r="C7447" s="10"/>
      <c r="D7447" s="10"/>
      <c r="E7447" s="10"/>
      <c r="F7447" s="10"/>
      <c r="G7447" s="10"/>
      <c r="H7447" s="10"/>
      <c r="I7447" s="10"/>
      <c r="J7447" s="10"/>
      <c r="K7447" s="10"/>
      <c r="L7447" s="10"/>
    </row>
    <row r="7448" spans="1:12" ht="15" customHeight="1" x14ac:dyDescent="0.25">
      <c r="A7448" s="10"/>
      <c r="B7448" s="10"/>
      <c r="C7448" s="10"/>
      <c r="D7448" s="10"/>
      <c r="E7448" s="10"/>
      <c r="F7448" s="10"/>
      <c r="G7448" s="10"/>
      <c r="H7448" s="10"/>
      <c r="I7448" s="10"/>
      <c r="J7448" s="10"/>
      <c r="K7448" s="10"/>
      <c r="L7448" s="10"/>
    </row>
    <row r="7449" spans="1:12" ht="15" customHeight="1" x14ac:dyDescent="0.25">
      <c r="A7449" s="10"/>
      <c r="B7449" s="10"/>
      <c r="C7449" s="10"/>
      <c r="D7449" s="10"/>
      <c r="E7449" s="10"/>
      <c r="F7449" s="10"/>
      <c r="G7449" s="10"/>
      <c r="H7449" s="10"/>
      <c r="I7449" s="10"/>
      <c r="J7449" s="10"/>
      <c r="K7449" s="10"/>
      <c r="L7449" s="10"/>
    </row>
    <row r="7450" spans="1:12" ht="15" customHeight="1" x14ac:dyDescent="0.25">
      <c r="A7450" s="10"/>
      <c r="B7450" s="10"/>
      <c r="C7450" s="10"/>
      <c r="D7450" s="10"/>
      <c r="E7450" s="10"/>
      <c r="F7450" s="10"/>
      <c r="G7450" s="10"/>
      <c r="H7450" s="10"/>
      <c r="I7450" s="10"/>
      <c r="J7450" s="10"/>
      <c r="K7450" s="10"/>
      <c r="L7450" s="10"/>
    </row>
    <row r="7451" spans="1:12" ht="15" customHeight="1" x14ac:dyDescent="0.25">
      <c r="A7451" s="10"/>
      <c r="B7451" s="10"/>
      <c r="C7451" s="10"/>
      <c r="D7451" s="10"/>
      <c r="E7451" s="10"/>
      <c r="F7451" s="10"/>
      <c r="G7451" s="10"/>
      <c r="H7451" s="10"/>
      <c r="I7451" s="10"/>
      <c r="J7451" s="10"/>
      <c r="K7451" s="10"/>
      <c r="L7451" s="10"/>
    </row>
    <row r="7452" spans="1:12" ht="15" customHeight="1" x14ac:dyDescent="0.25">
      <c r="A7452" s="10"/>
      <c r="B7452" s="10"/>
      <c r="C7452" s="10"/>
      <c r="D7452" s="10"/>
      <c r="E7452" s="10"/>
      <c r="F7452" s="10"/>
      <c r="G7452" s="10"/>
      <c r="H7452" s="10"/>
      <c r="I7452" s="10"/>
      <c r="J7452" s="10"/>
      <c r="K7452" s="10"/>
      <c r="L7452" s="10"/>
    </row>
    <row r="7453" spans="1:12" ht="15" customHeight="1" x14ac:dyDescent="0.25">
      <c r="A7453" s="10"/>
      <c r="B7453" s="10"/>
      <c r="C7453" s="10"/>
      <c r="D7453" s="10"/>
      <c r="E7453" s="10"/>
      <c r="F7453" s="10"/>
      <c r="G7453" s="10"/>
      <c r="H7453" s="10"/>
      <c r="I7453" s="10"/>
      <c r="J7453" s="10"/>
      <c r="K7453" s="10"/>
      <c r="L7453" s="10"/>
    </row>
    <row r="7454" spans="1:12" ht="15" customHeight="1" x14ac:dyDescent="0.25">
      <c r="A7454" s="10"/>
      <c r="B7454" s="10"/>
      <c r="C7454" s="10"/>
      <c r="D7454" s="10"/>
      <c r="E7454" s="10"/>
      <c r="F7454" s="10"/>
      <c r="G7454" s="10"/>
      <c r="H7454" s="10"/>
      <c r="I7454" s="10"/>
      <c r="J7454" s="10"/>
      <c r="K7454" s="10"/>
      <c r="L7454" s="10"/>
    </row>
    <row r="7455" spans="1:12" ht="15" customHeight="1" x14ac:dyDescent="0.25">
      <c r="A7455" s="10"/>
      <c r="B7455" s="10"/>
      <c r="C7455" s="10"/>
      <c r="D7455" s="10"/>
      <c r="E7455" s="10"/>
      <c r="F7455" s="10"/>
      <c r="G7455" s="10"/>
      <c r="H7455" s="10"/>
      <c r="I7455" s="10"/>
      <c r="J7455" s="10"/>
      <c r="K7455" s="10"/>
      <c r="L7455" s="10"/>
    </row>
    <row r="7456" spans="1:12" ht="15" customHeight="1" x14ac:dyDescent="0.25">
      <c r="A7456" s="10"/>
      <c r="B7456" s="10"/>
      <c r="C7456" s="10"/>
      <c r="D7456" s="10"/>
      <c r="E7456" s="10"/>
      <c r="F7456" s="10"/>
      <c r="G7456" s="10"/>
      <c r="H7456" s="10"/>
      <c r="I7456" s="10"/>
      <c r="J7456" s="10"/>
      <c r="K7456" s="10"/>
      <c r="L7456" s="10"/>
    </row>
    <row r="7457" spans="1:12" ht="15" customHeight="1" x14ac:dyDescent="0.25">
      <c r="A7457" s="10"/>
      <c r="B7457" s="10"/>
      <c r="C7457" s="10"/>
      <c r="D7457" s="10"/>
      <c r="E7457" s="10"/>
      <c r="F7457" s="10"/>
      <c r="G7457" s="10"/>
      <c r="H7457" s="10"/>
      <c r="I7457" s="10"/>
      <c r="J7457" s="10"/>
      <c r="K7457" s="10"/>
      <c r="L7457" s="10"/>
    </row>
    <row r="7458" spans="1:12" ht="15" customHeight="1" x14ac:dyDescent="0.25">
      <c r="A7458" s="10"/>
      <c r="B7458" s="10"/>
      <c r="C7458" s="10"/>
      <c r="D7458" s="10"/>
      <c r="E7458" s="10"/>
      <c r="F7458" s="10"/>
      <c r="G7458" s="10"/>
      <c r="H7458" s="10"/>
      <c r="I7458" s="10"/>
      <c r="J7458" s="10"/>
      <c r="K7458" s="10"/>
      <c r="L7458" s="10"/>
    </row>
    <row r="7459" spans="1:12" ht="15" customHeight="1" x14ac:dyDescent="0.25">
      <c r="A7459" s="10"/>
      <c r="B7459" s="10"/>
      <c r="C7459" s="10"/>
      <c r="D7459" s="10"/>
      <c r="E7459" s="10"/>
      <c r="F7459" s="10"/>
      <c r="G7459" s="10"/>
      <c r="H7459" s="10"/>
      <c r="I7459" s="10"/>
      <c r="J7459" s="10"/>
      <c r="K7459" s="10"/>
      <c r="L7459" s="10"/>
    </row>
    <row r="7460" spans="1:12" ht="15" customHeight="1" x14ac:dyDescent="0.25">
      <c r="A7460" s="10"/>
      <c r="B7460" s="10"/>
      <c r="C7460" s="10"/>
      <c r="D7460" s="10"/>
      <c r="E7460" s="10"/>
      <c r="F7460" s="10"/>
      <c r="G7460" s="10"/>
      <c r="H7460" s="10"/>
      <c r="I7460" s="10"/>
      <c r="J7460" s="10"/>
      <c r="K7460" s="10"/>
      <c r="L7460" s="10"/>
    </row>
    <row r="7461" spans="1:12" ht="15" customHeight="1" x14ac:dyDescent="0.25">
      <c r="A7461" s="10"/>
      <c r="B7461" s="10"/>
      <c r="C7461" s="10"/>
      <c r="D7461" s="10"/>
      <c r="E7461" s="10"/>
      <c r="F7461" s="10"/>
      <c r="G7461" s="10"/>
      <c r="H7461" s="10"/>
      <c r="I7461" s="10"/>
      <c r="J7461" s="10"/>
      <c r="K7461" s="10"/>
      <c r="L7461" s="10"/>
    </row>
    <row r="7462" spans="1:12" ht="15" customHeight="1" x14ac:dyDescent="0.25">
      <c r="A7462" s="10"/>
      <c r="B7462" s="10"/>
      <c r="C7462" s="10"/>
      <c r="D7462" s="10"/>
      <c r="E7462" s="10"/>
      <c r="F7462" s="10"/>
      <c r="G7462" s="10"/>
      <c r="H7462" s="10"/>
      <c r="I7462" s="10"/>
      <c r="J7462" s="10"/>
      <c r="K7462" s="10"/>
      <c r="L7462" s="10"/>
    </row>
    <row r="7463" spans="1:12" ht="15" customHeight="1" x14ac:dyDescent="0.25">
      <c r="A7463" s="10"/>
      <c r="B7463" s="10"/>
      <c r="C7463" s="10"/>
      <c r="D7463" s="10"/>
      <c r="E7463" s="10"/>
      <c r="F7463" s="10"/>
      <c r="G7463" s="10"/>
      <c r="H7463" s="10"/>
      <c r="I7463" s="10"/>
      <c r="J7463" s="10"/>
      <c r="K7463" s="10"/>
      <c r="L7463" s="10"/>
    </row>
    <row r="7464" spans="1:12" ht="15" customHeight="1" x14ac:dyDescent="0.25">
      <c r="A7464" s="10"/>
      <c r="B7464" s="10"/>
      <c r="C7464" s="10"/>
      <c r="D7464" s="10"/>
      <c r="E7464" s="10"/>
      <c r="F7464" s="10"/>
      <c r="G7464" s="10"/>
      <c r="H7464" s="10"/>
      <c r="I7464" s="10"/>
      <c r="J7464" s="10"/>
      <c r="K7464" s="10"/>
      <c r="L7464" s="10"/>
    </row>
    <row r="7465" spans="1:12" ht="15" customHeight="1" x14ac:dyDescent="0.25">
      <c r="A7465" s="10"/>
      <c r="B7465" s="10"/>
      <c r="C7465" s="10"/>
      <c r="D7465" s="10"/>
      <c r="E7465" s="10"/>
      <c r="F7465" s="10"/>
      <c r="G7465" s="10"/>
      <c r="H7465" s="10"/>
      <c r="I7465" s="10"/>
      <c r="J7465" s="10"/>
      <c r="K7465" s="10"/>
      <c r="L7465" s="10"/>
    </row>
    <row r="7466" spans="1:12" ht="15" customHeight="1" x14ac:dyDescent="0.25">
      <c r="A7466" s="10"/>
      <c r="B7466" s="10"/>
      <c r="C7466" s="10"/>
      <c r="D7466" s="10"/>
      <c r="E7466" s="10"/>
      <c r="F7466" s="10"/>
      <c r="G7466" s="10"/>
      <c r="H7466" s="10"/>
      <c r="I7466" s="10"/>
      <c r="J7466" s="10"/>
      <c r="K7466" s="10"/>
      <c r="L7466" s="10"/>
    </row>
    <row r="7467" spans="1:12" ht="15" customHeight="1" x14ac:dyDescent="0.25">
      <c r="A7467" s="10"/>
      <c r="B7467" s="10"/>
      <c r="C7467" s="10"/>
      <c r="D7467" s="10"/>
      <c r="E7467" s="10"/>
      <c r="F7467" s="10"/>
      <c r="G7467" s="10"/>
      <c r="H7467" s="10"/>
      <c r="I7467" s="10"/>
      <c r="J7467" s="10"/>
      <c r="K7467" s="10"/>
      <c r="L7467" s="10"/>
    </row>
    <row r="7468" spans="1:12" ht="15" customHeight="1" x14ac:dyDescent="0.25">
      <c r="A7468" s="10"/>
      <c r="B7468" s="10"/>
      <c r="C7468" s="10"/>
      <c r="D7468" s="10"/>
      <c r="E7468" s="10"/>
      <c r="F7468" s="10"/>
      <c r="G7468" s="10"/>
      <c r="H7468" s="10"/>
      <c r="I7468" s="10"/>
      <c r="J7468" s="10"/>
      <c r="K7468" s="10"/>
      <c r="L7468" s="10"/>
    </row>
    <row r="7469" spans="1:12" ht="15" customHeight="1" x14ac:dyDescent="0.25">
      <c r="A7469" s="10"/>
      <c r="B7469" s="10"/>
      <c r="C7469" s="10"/>
      <c r="D7469" s="10"/>
      <c r="E7469" s="10"/>
      <c r="F7469" s="10"/>
      <c r="G7469" s="10"/>
      <c r="H7469" s="10"/>
      <c r="I7469" s="10"/>
      <c r="J7469" s="10"/>
      <c r="K7469" s="10"/>
      <c r="L7469" s="10"/>
    </row>
    <row r="7470" spans="1:12" ht="15" customHeight="1" x14ac:dyDescent="0.25">
      <c r="A7470" s="10"/>
      <c r="B7470" s="10"/>
      <c r="C7470" s="10"/>
      <c r="D7470" s="10"/>
      <c r="E7470" s="10"/>
      <c r="F7470" s="10"/>
      <c r="G7470" s="10"/>
      <c r="H7470" s="10"/>
      <c r="I7470" s="10"/>
      <c r="J7470" s="10"/>
      <c r="K7470" s="10"/>
      <c r="L7470" s="10"/>
    </row>
    <row r="7471" spans="1:12" ht="15" customHeight="1" x14ac:dyDescent="0.25">
      <c r="A7471" s="10"/>
      <c r="B7471" s="10"/>
      <c r="C7471" s="10"/>
      <c r="D7471" s="10"/>
      <c r="E7471" s="10"/>
      <c r="F7471" s="10"/>
      <c r="G7471" s="10"/>
      <c r="H7471" s="10"/>
      <c r="I7471" s="10"/>
      <c r="J7471" s="10"/>
      <c r="K7471" s="10"/>
      <c r="L7471" s="10"/>
    </row>
    <row r="7472" spans="1:12" ht="15" customHeight="1" x14ac:dyDescent="0.25">
      <c r="A7472" s="10"/>
      <c r="B7472" s="10"/>
      <c r="C7472" s="10"/>
      <c r="D7472" s="10"/>
      <c r="E7472" s="10"/>
      <c r="F7472" s="10"/>
      <c r="G7472" s="10"/>
      <c r="H7472" s="10"/>
      <c r="I7472" s="10"/>
      <c r="J7472" s="10"/>
      <c r="K7472" s="10"/>
      <c r="L7472" s="10"/>
    </row>
    <row r="7473" spans="1:12" ht="15" customHeight="1" x14ac:dyDescent="0.25">
      <c r="A7473" s="10"/>
      <c r="B7473" s="10"/>
      <c r="C7473" s="10"/>
      <c r="D7473" s="10"/>
      <c r="E7473" s="10"/>
      <c r="F7473" s="10"/>
      <c r="G7473" s="10"/>
      <c r="H7473" s="10"/>
      <c r="I7473" s="10"/>
      <c r="J7473" s="10"/>
      <c r="K7473" s="10"/>
      <c r="L7473" s="10"/>
    </row>
    <row r="7474" spans="1:12" ht="15" customHeight="1" x14ac:dyDescent="0.25">
      <c r="A7474" s="10"/>
      <c r="B7474" s="10"/>
      <c r="C7474" s="10"/>
      <c r="D7474" s="10"/>
      <c r="E7474" s="10"/>
      <c r="F7474" s="10"/>
      <c r="G7474" s="10"/>
      <c r="H7474" s="10"/>
      <c r="I7474" s="10"/>
      <c r="J7474" s="10"/>
      <c r="K7474" s="10"/>
      <c r="L7474" s="10"/>
    </row>
    <row r="7475" spans="1:12" ht="15" customHeight="1" x14ac:dyDescent="0.25">
      <c r="A7475" s="10"/>
      <c r="B7475" s="10"/>
      <c r="C7475" s="10"/>
      <c r="D7475" s="10"/>
      <c r="E7475" s="10"/>
      <c r="F7475" s="10"/>
      <c r="G7475" s="10"/>
      <c r="H7475" s="10"/>
      <c r="I7475" s="10"/>
      <c r="J7475" s="10"/>
      <c r="K7475" s="10"/>
      <c r="L7475" s="10"/>
    </row>
    <row r="7476" spans="1:12" ht="15" customHeight="1" x14ac:dyDescent="0.25">
      <c r="A7476" s="10"/>
      <c r="B7476" s="10"/>
      <c r="C7476" s="10"/>
      <c r="D7476" s="10"/>
      <c r="E7476" s="10"/>
      <c r="F7476" s="10"/>
      <c r="G7476" s="10"/>
      <c r="H7476" s="10"/>
      <c r="I7476" s="10"/>
      <c r="J7476" s="10"/>
      <c r="K7476" s="10"/>
      <c r="L7476" s="10"/>
    </row>
    <row r="7477" spans="1:12" ht="15" customHeight="1" x14ac:dyDescent="0.25">
      <c r="A7477" s="10"/>
      <c r="B7477" s="10"/>
      <c r="C7477" s="10"/>
      <c r="D7477" s="10"/>
      <c r="E7477" s="10"/>
      <c r="F7477" s="10"/>
      <c r="G7477" s="10"/>
      <c r="H7477" s="10"/>
      <c r="I7477" s="10"/>
      <c r="J7477" s="10"/>
      <c r="K7477" s="10"/>
      <c r="L7477" s="10"/>
    </row>
    <row r="7478" spans="1:12" ht="15" customHeight="1" x14ac:dyDescent="0.25">
      <c r="A7478" s="10"/>
      <c r="B7478" s="10"/>
      <c r="C7478" s="10"/>
      <c r="D7478" s="10"/>
      <c r="E7478" s="10"/>
      <c r="F7478" s="10"/>
      <c r="G7478" s="10"/>
      <c r="H7478" s="10"/>
      <c r="I7478" s="10"/>
      <c r="J7478" s="10"/>
      <c r="K7478" s="10"/>
      <c r="L7478" s="10"/>
    </row>
    <row r="7479" spans="1:12" ht="15" customHeight="1" x14ac:dyDescent="0.25">
      <c r="A7479" s="10"/>
      <c r="B7479" s="10"/>
      <c r="C7479" s="10"/>
      <c r="D7479" s="10"/>
      <c r="E7479" s="10"/>
      <c r="F7479" s="10"/>
      <c r="G7479" s="10"/>
      <c r="H7479" s="10"/>
      <c r="I7479" s="10"/>
      <c r="J7479" s="10"/>
      <c r="K7479" s="10"/>
      <c r="L7479" s="10"/>
    </row>
    <row r="7480" spans="1:12" ht="15" customHeight="1" x14ac:dyDescent="0.25">
      <c r="A7480" s="10"/>
      <c r="B7480" s="10"/>
      <c r="C7480" s="10"/>
      <c r="D7480" s="10"/>
      <c r="E7480" s="10"/>
      <c r="F7480" s="10"/>
      <c r="G7480" s="10"/>
      <c r="H7480" s="10"/>
      <c r="I7480" s="10"/>
      <c r="J7480" s="10"/>
      <c r="K7480" s="10"/>
      <c r="L7480" s="10"/>
    </row>
    <row r="7481" spans="1:12" ht="15" customHeight="1" x14ac:dyDescent="0.25">
      <c r="A7481" s="10"/>
      <c r="B7481" s="10"/>
      <c r="C7481" s="10"/>
      <c r="D7481" s="10"/>
      <c r="E7481" s="10"/>
      <c r="F7481" s="10"/>
      <c r="G7481" s="10"/>
      <c r="H7481" s="10"/>
      <c r="I7481" s="10"/>
      <c r="J7481" s="10"/>
      <c r="K7481" s="10"/>
      <c r="L7481" s="10"/>
    </row>
    <row r="7482" spans="1:12" ht="15" customHeight="1" x14ac:dyDescent="0.25">
      <c r="A7482" s="10"/>
      <c r="B7482" s="10"/>
      <c r="C7482" s="10"/>
      <c r="D7482" s="10"/>
      <c r="E7482" s="10"/>
      <c r="F7482" s="10"/>
      <c r="G7482" s="10"/>
      <c r="H7482" s="10"/>
      <c r="I7482" s="10"/>
      <c r="J7482" s="10"/>
      <c r="K7482" s="10"/>
      <c r="L7482" s="10"/>
    </row>
    <row r="7483" spans="1:12" ht="15" customHeight="1" x14ac:dyDescent="0.25">
      <c r="A7483" s="10"/>
      <c r="B7483" s="10"/>
      <c r="C7483" s="10"/>
      <c r="D7483" s="10"/>
      <c r="E7483" s="10"/>
      <c r="F7483" s="10"/>
      <c r="G7483" s="10"/>
      <c r="H7483" s="10"/>
      <c r="I7483" s="10"/>
      <c r="J7483" s="10"/>
      <c r="K7483" s="10"/>
      <c r="L7483" s="10"/>
    </row>
    <row r="7484" spans="1:12" ht="15" customHeight="1" x14ac:dyDescent="0.25">
      <c r="A7484" s="10"/>
      <c r="B7484" s="10"/>
      <c r="C7484" s="10"/>
      <c r="D7484" s="10"/>
      <c r="E7484" s="10"/>
      <c r="F7484" s="10"/>
      <c r="G7484" s="10"/>
      <c r="H7484" s="10"/>
      <c r="I7484" s="10"/>
      <c r="J7484" s="10"/>
      <c r="K7484" s="10"/>
      <c r="L7484" s="10"/>
    </row>
    <row r="7485" spans="1:12" ht="15" customHeight="1" x14ac:dyDescent="0.25">
      <c r="A7485" s="10"/>
      <c r="B7485" s="10"/>
      <c r="C7485" s="10"/>
      <c r="D7485" s="10"/>
      <c r="E7485" s="10"/>
      <c r="F7485" s="10"/>
      <c r="G7485" s="10"/>
      <c r="H7485" s="10"/>
      <c r="I7485" s="10"/>
      <c r="J7485" s="10"/>
      <c r="K7485" s="10"/>
      <c r="L7485" s="10"/>
    </row>
    <row r="7486" spans="1:12" ht="15" customHeight="1" x14ac:dyDescent="0.25">
      <c r="A7486" s="10"/>
      <c r="B7486" s="10"/>
      <c r="C7486" s="10"/>
      <c r="D7486" s="10"/>
      <c r="E7486" s="10"/>
      <c r="F7486" s="10"/>
      <c r="G7486" s="10"/>
      <c r="H7486" s="10"/>
      <c r="I7486" s="10"/>
      <c r="J7486" s="10"/>
      <c r="K7486" s="10"/>
      <c r="L7486" s="10"/>
    </row>
    <row r="7487" spans="1:12" ht="15" customHeight="1" x14ac:dyDescent="0.25">
      <c r="A7487" s="10"/>
      <c r="B7487" s="10"/>
      <c r="C7487" s="10"/>
      <c r="D7487" s="10"/>
      <c r="E7487" s="10"/>
      <c r="F7487" s="10"/>
      <c r="G7487" s="10"/>
      <c r="H7487" s="10"/>
      <c r="I7487" s="10"/>
      <c r="J7487" s="10"/>
      <c r="K7487" s="10"/>
      <c r="L7487" s="10"/>
    </row>
    <row r="7488" spans="1:12" ht="15" customHeight="1" x14ac:dyDescent="0.25">
      <c r="A7488" s="10"/>
      <c r="B7488" s="10"/>
      <c r="C7488" s="10"/>
      <c r="D7488" s="10"/>
      <c r="E7488" s="10"/>
      <c r="F7488" s="10"/>
      <c r="G7488" s="10"/>
      <c r="H7488" s="10"/>
      <c r="I7488" s="10"/>
      <c r="J7488" s="10"/>
      <c r="K7488" s="10"/>
      <c r="L7488" s="10"/>
    </row>
    <row r="7489" spans="1:12" ht="15" customHeight="1" x14ac:dyDescent="0.25">
      <c r="A7489" s="10"/>
      <c r="B7489" s="10"/>
      <c r="C7489" s="10"/>
      <c r="D7489" s="10"/>
      <c r="E7489" s="10"/>
      <c r="F7489" s="10"/>
      <c r="G7489" s="10"/>
      <c r="H7489" s="10"/>
      <c r="I7489" s="10"/>
      <c r="J7489" s="10"/>
      <c r="K7489" s="10"/>
      <c r="L7489" s="10"/>
    </row>
    <row r="7490" spans="1:12" ht="15" customHeight="1" x14ac:dyDescent="0.25">
      <c r="A7490" s="10"/>
      <c r="B7490" s="10"/>
      <c r="C7490" s="10"/>
      <c r="D7490" s="10"/>
      <c r="E7490" s="10"/>
      <c r="F7490" s="10"/>
      <c r="G7490" s="10"/>
      <c r="H7490" s="10"/>
      <c r="I7490" s="10"/>
      <c r="J7490" s="10"/>
      <c r="K7490" s="10"/>
      <c r="L7490" s="10"/>
    </row>
    <row r="7491" spans="1:12" ht="15" customHeight="1" x14ac:dyDescent="0.25">
      <c r="A7491" s="10"/>
      <c r="B7491" s="10"/>
      <c r="C7491" s="10"/>
      <c r="D7491" s="10"/>
      <c r="E7491" s="10"/>
      <c r="F7491" s="10"/>
      <c r="G7491" s="10"/>
      <c r="H7491" s="10"/>
      <c r="I7491" s="10"/>
      <c r="J7491" s="10"/>
      <c r="K7491" s="10"/>
      <c r="L7491" s="10"/>
    </row>
    <row r="7492" spans="1:12" ht="15" customHeight="1" x14ac:dyDescent="0.25">
      <c r="A7492" s="10"/>
      <c r="B7492" s="10"/>
      <c r="C7492" s="10"/>
      <c r="D7492" s="10"/>
      <c r="E7492" s="10"/>
      <c r="F7492" s="10"/>
      <c r="G7492" s="10"/>
      <c r="H7492" s="10"/>
      <c r="I7492" s="10"/>
      <c r="J7492" s="10"/>
      <c r="K7492" s="10"/>
      <c r="L7492" s="10"/>
    </row>
    <row r="7493" spans="1:12" ht="15" customHeight="1" x14ac:dyDescent="0.25">
      <c r="A7493" s="10"/>
      <c r="B7493" s="10"/>
      <c r="C7493" s="10"/>
      <c r="D7493" s="10"/>
      <c r="E7493" s="10"/>
      <c r="F7493" s="10"/>
      <c r="G7493" s="10"/>
      <c r="H7493" s="10"/>
      <c r="I7493" s="10"/>
      <c r="J7493" s="10"/>
      <c r="K7493" s="10"/>
      <c r="L7493" s="10"/>
    </row>
    <row r="7494" spans="1:12" ht="15" customHeight="1" x14ac:dyDescent="0.25">
      <c r="A7494" s="10"/>
      <c r="B7494" s="10"/>
      <c r="C7494" s="10"/>
      <c r="D7494" s="10"/>
      <c r="E7494" s="10"/>
      <c r="F7494" s="10"/>
      <c r="G7494" s="10"/>
      <c r="H7494" s="10"/>
      <c r="I7494" s="10"/>
      <c r="J7494" s="10"/>
      <c r="K7494" s="10"/>
      <c r="L7494" s="10"/>
    </row>
    <row r="7495" spans="1:12" ht="15" customHeight="1" x14ac:dyDescent="0.25">
      <c r="A7495" s="10"/>
      <c r="B7495" s="10"/>
      <c r="C7495" s="10"/>
      <c r="D7495" s="10"/>
      <c r="E7495" s="10"/>
      <c r="F7495" s="10"/>
      <c r="G7495" s="10"/>
      <c r="H7495" s="10"/>
      <c r="I7495" s="10"/>
      <c r="J7495" s="10"/>
      <c r="K7495" s="10"/>
      <c r="L7495" s="10"/>
    </row>
    <row r="7496" spans="1:12" ht="15" customHeight="1" x14ac:dyDescent="0.25">
      <c r="A7496" s="10"/>
      <c r="B7496" s="10"/>
      <c r="C7496" s="10"/>
      <c r="D7496" s="10"/>
      <c r="E7496" s="10"/>
      <c r="F7496" s="10"/>
      <c r="G7496" s="10"/>
      <c r="H7496" s="10"/>
      <c r="I7496" s="10"/>
      <c r="J7496" s="10"/>
      <c r="K7496" s="10"/>
      <c r="L7496" s="10"/>
    </row>
    <row r="7497" spans="1:12" ht="15" customHeight="1" x14ac:dyDescent="0.25">
      <c r="A7497" s="10"/>
      <c r="B7497" s="10"/>
      <c r="C7497" s="10"/>
      <c r="D7497" s="10"/>
      <c r="E7497" s="10"/>
      <c r="F7497" s="10"/>
      <c r="G7497" s="10"/>
      <c r="H7497" s="10"/>
      <c r="I7497" s="10"/>
      <c r="J7497" s="10"/>
      <c r="K7497" s="10"/>
      <c r="L7497" s="10"/>
    </row>
    <row r="7498" spans="1:12" ht="15" customHeight="1" x14ac:dyDescent="0.25">
      <c r="A7498" s="10"/>
      <c r="B7498" s="10"/>
      <c r="C7498" s="10"/>
      <c r="D7498" s="10"/>
      <c r="E7498" s="10"/>
      <c r="F7498" s="10"/>
      <c r="G7498" s="10"/>
      <c r="H7498" s="10"/>
      <c r="I7498" s="10"/>
      <c r="J7498" s="10"/>
      <c r="K7498" s="10"/>
      <c r="L7498" s="10"/>
    </row>
    <row r="7499" spans="1:12" ht="15" customHeight="1" x14ac:dyDescent="0.25">
      <c r="A7499" s="10"/>
      <c r="B7499" s="10"/>
      <c r="C7499" s="10"/>
      <c r="D7499" s="10"/>
      <c r="E7499" s="10"/>
      <c r="F7499" s="10"/>
      <c r="G7499" s="10"/>
      <c r="H7499" s="10"/>
      <c r="I7499" s="10"/>
      <c r="J7499" s="10"/>
      <c r="K7499" s="10"/>
      <c r="L7499" s="10"/>
    </row>
    <row r="7500" spans="1:12" ht="15" customHeight="1" x14ac:dyDescent="0.25">
      <c r="A7500" s="10"/>
      <c r="B7500" s="10"/>
      <c r="C7500" s="10"/>
      <c r="D7500" s="10"/>
      <c r="E7500" s="10"/>
      <c r="F7500" s="10"/>
      <c r="G7500" s="10"/>
      <c r="H7500" s="10"/>
      <c r="I7500" s="10"/>
      <c r="J7500" s="10"/>
      <c r="K7500" s="10"/>
      <c r="L7500" s="10"/>
    </row>
    <row r="7501" spans="1:12" ht="15" customHeight="1" x14ac:dyDescent="0.25">
      <c r="A7501" s="10"/>
      <c r="B7501" s="10"/>
      <c r="C7501" s="10"/>
      <c r="D7501" s="10"/>
      <c r="E7501" s="10"/>
      <c r="F7501" s="10"/>
      <c r="G7501" s="10"/>
      <c r="H7501" s="10"/>
      <c r="I7501" s="10"/>
      <c r="J7501" s="10"/>
      <c r="K7501" s="10"/>
      <c r="L7501" s="10"/>
    </row>
    <row r="7502" spans="1:12" ht="15" customHeight="1" x14ac:dyDescent="0.25">
      <c r="A7502" s="10"/>
      <c r="B7502" s="10"/>
      <c r="C7502" s="10"/>
      <c r="D7502" s="10"/>
      <c r="E7502" s="10"/>
      <c r="F7502" s="10"/>
      <c r="G7502" s="10"/>
      <c r="H7502" s="10"/>
      <c r="I7502" s="10"/>
      <c r="J7502" s="10"/>
      <c r="K7502" s="10"/>
      <c r="L7502" s="10"/>
    </row>
    <row r="7503" spans="1:12" ht="15" customHeight="1" x14ac:dyDescent="0.25">
      <c r="A7503" s="10"/>
      <c r="B7503" s="10"/>
      <c r="C7503" s="10"/>
      <c r="D7503" s="10"/>
      <c r="E7503" s="10"/>
      <c r="F7503" s="10"/>
      <c r="G7503" s="10"/>
      <c r="H7503" s="10"/>
      <c r="I7503" s="10"/>
      <c r="J7503" s="10"/>
      <c r="K7503" s="10"/>
      <c r="L7503" s="10"/>
    </row>
    <row r="7504" spans="1:12" ht="15" customHeight="1" x14ac:dyDescent="0.25">
      <c r="A7504" s="10"/>
      <c r="B7504" s="10"/>
      <c r="C7504" s="10"/>
      <c r="D7504" s="10"/>
      <c r="E7504" s="10"/>
      <c r="F7504" s="10"/>
      <c r="G7504" s="10"/>
      <c r="H7504" s="10"/>
      <c r="I7504" s="10"/>
      <c r="J7504" s="10"/>
      <c r="K7504" s="10"/>
      <c r="L7504" s="10"/>
    </row>
    <row r="7505" spans="1:12" ht="15" customHeight="1" x14ac:dyDescent="0.25">
      <c r="A7505" s="10"/>
      <c r="B7505" s="10"/>
      <c r="C7505" s="10"/>
      <c r="D7505" s="10"/>
      <c r="E7505" s="10"/>
      <c r="F7505" s="10"/>
      <c r="G7505" s="10"/>
      <c r="H7505" s="10"/>
      <c r="I7505" s="10"/>
      <c r="J7505" s="10"/>
      <c r="K7505" s="10"/>
      <c r="L7505" s="10"/>
    </row>
    <row r="7506" spans="1:12" ht="15" customHeight="1" x14ac:dyDescent="0.25">
      <c r="A7506" s="10"/>
      <c r="B7506" s="10"/>
      <c r="C7506" s="10"/>
      <c r="D7506" s="10"/>
      <c r="E7506" s="10"/>
      <c r="F7506" s="10"/>
      <c r="G7506" s="10"/>
      <c r="H7506" s="10"/>
      <c r="I7506" s="10"/>
      <c r="J7506" s="10"/>
      <c r="K7506" s="10"/>
      <c r="L7506" s="10"/>
    </row>
    <row r="7507" spans="1:12" ht="15" customHeight="1" x14ac:dyDescent="0.25">
      <c r="A7507" s="10"/>
      <c r="B7507" s="10"/>
      <c r="C7507" s="10"/>
      <c r="D7507" s="10"/>
      <c r="E7507" s="10"/>
      <c r="F7507" s="10"/>
      <c r="G7507" s="10"/>
      <c r="H7507" s="10"/>
      <c r="I7507" s="10"/>
      <c r="J7507" s="10"/>
      <c r="K7507" s="10"/>
      <c r="L7507" s="10"/>
    </row>
    <row r="7508" spans="1:12" ht="15" customHeight="1" x14ac:dyDescent="0.25">
      <c r="A7508" s="10"/>
      <c r="B7508" s="10"/>
      <c r="C7508" s="10"/>
      <c r="D7508" s="10"/>
      <c r="E7508" s="10"/>
      <c r="F7508" s="10"/>
      <c r="G7508" s="10"/>
      <c r="H7508" s="10"/>
      <c r="I7508" s="10"/>
      <c r="J7508" s="10"/>
      <c r="K7508" s="10"/>
      <c r="L7508" s="10"/>
    </row>
    <row r="7509" spans="1:12" ht="15" customHeight="1" x14ac:dyDescent="0.25">
      <c r="A7509" s="10"/>
      <c r="B7509" s="10"/>
      <c r="C7509" s="10"/>
      <c r="D7509" s="10"/>
      <c r="E7509" s="10"/>
      <c r="F7509" s="10"/>
      <c r="G7509" s="10"/>
      <c r="H7509" s="10"/>
      <c r="I7509" s="10"/>
      <c r="J7509" s="10"/>
      <c r="K7509" s="10"/>
      <c r="L7509" s="10"/>
    </row>
    <row r="7510" spans="1:12" ht="15" customHeight="1" x14ac:dyDescent="0.25">
      <c r="A7510" s="10"/>
      <c r="B7510" s="10"/>
      <c r="C7510" s="10"/>
      <c r="D7510" s="10"/>
      <c r="E7510" s="10"/>
      <c r="F7510" s="10"/>
      <c r="G7510" s="10"/>
      <c r="H7510" s="10"/>
      <c r="I7510" s="10"/>
      <c r="J7510" s="10"/>
      <c r="K7510" s="10"/>
      <c r="L7510" s="10"/>
    </row>
    <row r="7511" spans="1:12" ht="15" customHeight="1" x14ac:dyDescent="0.25">
      <c r="A7511" s="10"/>
      <c r="B7511" s="10"/>
      <c r="C7511" s="10"/>
      <c r="D7511" s="10"/>
      <c r="E7511" s="10"/>
      <c r="F7511" s="10"/>
      <c r="G7511" s="10"/>
      <c r="H7511" s="10"/>
      <c r="I7511" s="10"/>
      <c r="J7511" s="10"/>
      <c r="K7511" s="10"/>
      <c r="L7511" s="10"/>
    </row>
    <row r="7512" spans="1:12" ht="15" customHeight="1" x14ac:dyDescent="0.25">
      <c r="A7512" s="10"/>
      <c r="B7512" s="10"/>
      <c r="C7512" s="10"/>
      <c r="D7512" s="10"/>
      <c r="E7512" s="10"/>
      <c r="F7512" s="10"/>
      <c r="G7512" s="10"/>
      <c r="H7512" s="10"/>
      <c r="I7512" s="10"/>
      <c r="J7512" s="10"/>
      <c r="K7512" s="10"/>
      <c r="L7512" s="10"/>
    </row>
    <row r="7513" spans="1:12" ht="15" customHeight="1" x14ac:dyDescent="0.25">
      <c r="A7513" s="10"/>
      <c r="B7513" s="10"/>
      <c r="C7513" s="10"/>
      <c r="D7513" s="10"/>
      <c r="E7513" s="10"/>
      <c r="F7513" s="10"/>
      <c r="G7513" s="10"/>
      <c r="H7513" s="10"/>
      <c r="I7513" s="10"/>
      <c r="J7513" s="10"/>
      <c r="K7513" s="10"/>
      <c r="L7513" s="10"/>
    </row>
    <row r="7514" spans="1:12" ht="15" customHeight="1" x14ac:dyDescent="0.25">
      <c r="A7514" s="10"/>
      <c r="B7514" s="10"/>
      <c r="C7514" s="10"/>
      <c r="D7514" s="10"/>
      <c r="E7514" s="10"/>
      <c r="F7514" s="10"/>
      <c r="G7514" s="10"/>
      <c r="H7514" s="10"/>
      <c r="I7514" s="10"/>
      <c r="J7514" s="10"/>
      <c r="K7514" s="10"/>
      <c r="L7514" s="10"/>
    </row>
    <row r="7515" spans="1:12" ht="15" customHeight="1" x14ac:dyDescent="0.25">
      <c r="A7515" s="10"/>
      <c r="B7515" s="10"/>
      <c r="C7515" s="10"/>
      <c r="D7515" s="10"/>
      <c r="E7515" s="10"/>
      <c r="F7515" s="10"/>
      <c r="G7515" s="10"/>
      <c r="H7515" s="10"/>
      <c r="I7515" s="10"/>
      <c r="J7515" s="10"/>
      <c r="K7515" s="10"/>
      <c r="L7515" s="10"/>
    </row>
    <row r="7516" spans="1:12" ht="15" customHeight="1" x14ac:dyDescent="0.25">
      <c r="A7516" s="10"/>
      <c r="B7516" s="10"/>
      <c r="C7516" s="10"/>
      <c r="D7516" s="10"/>
      <c r="E7516" s="10"/>
      <c r="F7516" s="10"/>
      <c r="G7516" s="10"/>
      <c r="H7516" s="10"/>
      <c r="I7516" s="10"/>
      <c r="J7516" s="10"/>
      <c r="K7516" s="10"/>
      <c r="L7516" s="10"/>
    </row>
    <row r="7517" spans="1:12" ht="15" customHeight="1" x14ac:dyDescent="0.25">
      <c r="A7517" s="10"/>
      <c r="B7517" s="10"/>
      <c r="C7517" s="10"/>
      <c r="D7517" s="10"/>
      <c r="E7517" s="10"/>
      <c r="F7517" s="10"/>
      <c r="G7517" s="10"/>
      <c r="H7517" s="10"/>
      <c r="I7517" s="10"/>
      <c r="J7517" s="10"/>
      <c r="K7517" s="10"/>
      <c r="L7517" s="10"/>
    </row>
    <row r="7518" spans="1:12" ht="15" customHeight="1" x14ac:dyDescent="0.25">
      <c r="A7518" s="10"/>
      <c r="B7518" s="10"/>
      <c r="C7518" s="10"/>
      <c r="D7518" s="10"/>
      <c r="E7518" s="10"/>
      <c r="F7518" s="10"/>
      <c r="G7518" s="10"/>
      <c r="H7518" s="10"/>
      <c r="I7518" s="10"/>
      <c r="J7518" s="10"/>
      <c r="K7518" s="10"/>
      <c r="L7518" s="10"/>
    </row>
    <row r="7519" spans="1:12" ht="15" customHeight="1" x14ac:dyDescent="0.25">
      <c r="A7519" s="10"/>
      <c r="B7519" s="10"/>
      <c r="C7519" s="10"/>
      <c r="D7519" s="10"/>
      <c r="E7519" s="10"/>
      <c r="F7519" s="10"/>
      <c r="G7519" s="10"/>
      <c r="H7519" s="10"/>
      <c r="I7519" s="10"/>
      <c r="J7519" s="10"/>
      <c r="K7519" s="10"/>
      <c r="L7519" s="10"/>
    </row>
    <row r="7520" spans="1:12" ht="15" customHeight="1" x14ac:dyDescent="0.25">
      <c r="A7520" s="10"/>
      <c r="B7520" s="10"/>
      <c r="C7520" s="10"/>
      <c r="D7520" s="10"/>
      <c r="E7520" s="10"/>
      <c r="F7520" s="10"/>
      <c r="G7520" s="10"/>
      <c r="H7520" s="10"/>
      <c r="I7520" s="10"/>
      <c r="J7520" s="10"/>
      <c r="K7520" s="10"/>
      <c r="L7520" s="10"/>
    </row>
    <row r="7521" spans="1:12" ht="15" customHeight="1" x14ac:dyDescent="0.25">
      <c r="A7521" s="10"/>
      <c r="B7521" s="10"/>
      <c r="C7521" s="10"/>
      <c r="D7521" s="10"/>
      <c r="E7521" s="10"/>
      <c r="F7521" s="10"/>
      <c r="G7521" s="10"/>
      <c r="H7521" s="10"/>
      <c r="I7521" s="10"/>
      <c r="J7521" s="10"/>
      <c r="K7521" s="10"/>
      <c r="L7521" s="10"/>
    </row>
    <row r="7522" spans="1:12" ht="15" customHeight="1" x14ac:dyDescent="0.25">
      <c r="A7522" s="10"/>
      <c r="B7522" s="10"/>
      <c r="C7522" s="10"/>
      <c r="D7522" s="10"/>
      <c r="E7522" s="10"/>
      <c r="F7522" s="10"/>
      <c r="G7522" s="10"/>
      <c r="H7522" s="10"/>
      <c r="I7522" s="10"/>
      <c r="J7522" s="10"/>
      <c r="K7522" s="10"/>
      <c r="L7522" s="10"/>
    </row>
    <row r="7523" spans="1:12" ht="15" customHeight="1" x14ac:dyDescent="0.25">
      <c r="A7523" s="10"/>
      <c r="B7523" s="10"/>
      <c r="C7523" s="10"/>
      <c r="D7523" s="10"/>
      <c r="E7523" s="10"/>
      <c r="F7523" s="10"/>
      <c r="G7523" s="10"/>
      <c r="H7523" s="10"/>
      <c r="I7523" s="10"/>
      <c r="J7523" s="10"/>
      <c r="K7523" s="10"/>
      <c r="L7523" s="10"/>
    </row>
    <row r="7524" spans="1:12" ht="15" customHeight="1" x14ac:dyDescent="0.25">
      <c r="A7524" s="10"/>
      <c r="B7524" s="10"/>
      <c r="C7524" s="10"/>
      <c r="D7524" s="10"/>
      <c r="E7524" s="10"/>
      <c r="F7524" s="10"/>
      <c r="G7524" s="10"/>
      <c r="H7524" s="10"/>
      <c r="I7524" s="10"/>
      <c r="J7524" s="10"/>
      <c r="K7524" s="10"/>
      <c r="L7524" s="10"/>
    </row>
    <row r="7525" spans="1:12" ht="15" customHeight="1" x14ac:dyDescent="0.25">
      <c r="A7525" s="10"/>
      <c r="B7525" s="10"/>
      <c r="C7525" s="10"/>
      <c r="D7525" s="10"/>
      <c r="E7525" s="10"/>
      <c r="F7525" s="10"/>
      <c r="G7525" s="10"/>
      <c r="H7525" s="10"/>
      <c r="I7525" s="10"/>
      <c r="J7525" s="10"/>
      <c r="K7525" s="10"/>
      <c r="L7525" s="10"/>
    </row>
    <row r="7526" spans="1:12" ht="15" customHeight="1" x14ac:dyDescent="0.25">
      <c r="A7526" s="10"/>
      <c r="B7526" s="10"/>
      <c r="C7526" s="10"/>
      <c r="D7526" s="10"/>
      <c r="E7526" s="10"/>
      <c r="F7526" s="10"/>
      <c r="G7526" s="10"/>
      <c r="H7526" s="10"/>
      <c r="I7526" s="10"/>
      <c r="J7526" s="10"/>
      <c r="K7526" s="10"/>
      <c r="L7526" s="10"/>
    </row>
    <row r="7527" spans="1:12" ht="15" customHeight="1" x14ac:dyDescent="0.25">
      <c r="A7527" s="10"/>
      <c r="B7527" s="10"/>
      <c r="C7527" s="10"/>
      <c r="D7527" s="10"/>
      <c r="E7527" s="10"/>
      <c r="F7527" s="10"/>
      <c r="G7527" s="10"/>
      <c r="H7527" s="10"/>
      <c r="I7527" s="10"/>
      <c r="J7527" s="10"/>
      <c r="K7527" s="10"/>
      <c r="L7527" s="10"/>
    </row>
    <row r="7528" spans="1:12" ht="15" customHeight="1" x14ac:dyDescent="0.25">
      <c r="A7528" s="10"/>
      <c r="B7528" s="10"/>
      <c r="C7528" s="10"/>
      <c r="D7528" s="10"/>
      <c r="E7528" s="10"/>
      <c r="F7528" s="10"/>
      <c r="G7528" s="10"/>
      <c r="H7528" s="10"/>
      <c r="I7528" s="10"/>
      <c r="J7528" s="10"/>
      <c r="K7528" s="10"/>
      <c r="L7528" s="10"/>
    </row>
    <row r="7529" spans="1:12" ht="15" customHeight="1" x14ac:dyDescent="0.25">
      <c r="A7529" s="10"/>
      <c r="B7529" s="10"/>
      <c r="C7529" s="10"/>
      <c r="D7529" s="10"/>
      <c r="E7529" s="10"/>
      <c r="F7529" s="10"/>
      <c r="G7529" s="10"/>
      <c r="H7529" s="10"/>
      <c r="I7529" s="10"/>
      <c r="J7529" s="10"/>
      <c r="K7529" s="10"/>
      <c r="L7529" s="10"/>
    </row>
    <row r="7530" spans="1:12" ht="15" customHeight="1" x14ac:dyDescent="0.25">
      <c r="A7530" s="10"/>
      <c r="B7530" s="10"/>
      <c r="C7530" s="10"/>
      <c r="D7530" s="10"/>
      <c r="E7530" s="10"/>
      <c r="F7530" s="10"/>
      <c r="G7530" s="10"/>
      <c r="H7530" s="10"/>
      <c r="I7530" s="10"/>
      <c r="J7530" s="10"/>
      <c r="K7530" s="10"/>
      <c r="L7530" s="10"/>
    </row>
    <row r="7531" spans="1:12" ht="15" customHeight="1" x14ac:dyDescent="0.25">
      <c r="A7531" s="10"/>
      <c r="B7531" s="10"/>
      <c r="C7531" s="10"/>
      <c r="D7531" s="10"/>
      <c r="E7531" s="10"/>
      <c r="F7531" s="10"/>
      <c r="G7531" s="10"/>
      <c r="H7531" s="10"/>
      <c r="I7531" s="10"/>
      <c r="J7531" s="10"/>
      <c r="K7531" s="10"/>
      <c r="L7531" s="10"/>
    </row>
    <row r="7532" spans="1:12" ht="15" customHeight="1" x14ac:dyDescent="0.25">
      <c r="A7532" s="10"/>
      <c r="B7532" s="10"/>
      <c r="C7532" s="10"/>
      <c r="D7532" s="10"/>
      <c r="E7532" s="10"/>
      <c r="F7532" s="10"/>
      <c r="G7532" s="10"/>
      <c r="H7532" s="10"/>
      <c r="I7532" s="10"/>
      <c r="J7532" s="10"/>
      <c r="K7532" s="10"/>
      <c r="L7532" s="10"/>
    </row>
    <row r="7533" spans="1:12" ht="15" customHeight="1" x14ac:dyDescent="0.25">
      <c r="A7533" s="10"/>
      <c r="B7533" s="10"/>
      <c r="C7533" s="10"/>
      <c r="D7533" s="10"/>
      <c r="E7533" s="10"/>
      <c r="F7533" s="10"/>
      <c r="G7533" s="10"/>
      <c r="H7533" s="10"/>
      <c r="I7533" s="10"/>
      <c r="J7533" s="10"/>
      <c r="K7533" s="10"/>
      <c r="L7533" s="10"/>
    </row>
    <row r="7534" spans="1:12" ht="15" customHeight="1" x14ac:dyDescent="0.25">
      <c r="A7534" s="10"/>
      <c r="B7534" s="10"/>
      <c r="C7534" s="10"/>
      <c r="D7534" s="10"/>
      <c r="E7534" s="10"/>
      <c r="F7534" s="10"/>
      <c r="G7534" s="10"/>
      <c r="H7534" s="10"/>
      <c r="I7534" s="10"/>
      <c r="J7534" s="10"/>
      <c r="K7534" s="10"/>
      <c r="L7534" s="10"/>
    </row>
    <row r="7535" spans="1:12" ht="15" customHeight="1" x14ac:dyDescent="0.25">
      <c r="A7535" s="10"/>
      <c r="B7535" s="10"/>
      <c r="C7535" s="10"/>
      <c r="D7535" s="10"/>
      <c r="E7535" s="10"/>
      <c r="F7535" s="10"/>
      <c r="G7535" s="10"/>
      <c r="H7535" s="10"/>
      <c r="I7535" s="10"/>
      <c r="J7535" s="10"/>
      <c r="K7535" s="10"/>
      <c r="L7535" s="10"/>
    </row>
    <row r="7536" spans="1:12" ht="15" customHeight="1" x14ac:dyDescent="0.25">
      <c r="A7536" s="10"/>
      <c r="B7536" s="10"/>
      <c r="C7536" s="10"/>
      <c r="D7536" s="10"/>
      <c r="E7536" s="10"/>
      <c r="F7536" s="10"/>
      <c r="G7536" s="10"/>
      <c r="H7536" s="10"/>
      <c r="I7536" s="10"/>
      <c r="J7536" s="10"/>
      <c r="K7536" s="10"/>
      <c r="L7536" s="10"/>
    </row>
    <row r="7537" spans="1:12" ht="15" customHeight="1" x14ac:dyDescent="0.25">
      <c r="A7537" s="10"/>
      <c r="B7537" s="10"/>
      <c r="C7537" s="10"/>
      <c r="D7537" s="10"/>
      <c r="E7537" s="10"/>
      <c r="F7537" s="10"/>
      <c r="G7537" s="10"/>
      <c r="H7537" s="10"/>
      <c r="I7537" s="10"/>
      <c r="J7537" s="10"/>
      <c r="K7537" s="10"/>
      <c r="L7537" s="10"/>
    </row>
    <row r="7538" spans="1:12" ht="15" customHeight="1" x14ac:dyDescent="0.25">
      <c r="A7538" s="10"/>
      <c r="B7538" s="10"/>
      <c r="C7538" s="10"/>
      <c r="D7538" s="10"/>
      <c r="E7538" s="10"/>
      <c r="F7538" s="10"/>
      <c r="G7538" s="10"/>
      <c r="H7538" s="10"/>
      <c r="I7538" s="10"/>
      <c r="J7538" s="10"/>
      <c r="K7538" s="10"/>
      <c r="L7538" s="10"/>
    </row>
    <row r="7539" spans="1:12" ht="15" customHeight="1" x14ac:dyDescent="0.25">
      <c r="A7539" s="10"/>
      <c r="B7539" s="10"/>
      <c r="C7539" s="10"/>
      <c r="D7539" s="10"/>
      <c r="E7539" s="10"/>
      <c r="F7539" s="10"/>
      <c r="G7539" s="10"/>
      <c r="H7539" s="10"/>
      <c r="I7539" s="10"/>
      <c r="J7539" s="10"/>
      <c r="K7539" s="10"/>
      <c r="L7539" s="10"/>
    </row>
    <row r="7540" spans="1:12" ht="15" customHeight="1" x14ac:dyDescent="0.25">
      <c r="A7540" s="10"/>
      <c r="B7540" s="10"/>
      <c r="C7540" s="10"/>
      <c r="D7540" s="10"/>
      <c r="E7540" s="10"/>
      <c r="F7540" s="10"/>
      <c r="G7540" s="10"/>
      <c r="H7540" s="10"/>
      <c r="I7540" s="10"/>
      <c r="J7540" s="10"/>
      <c r="K7540" s="10"/>
      <c r="L7540" s="10"/>
    </row>
    <row r="7541" spans="1:12" ht="15" customHeight="1" x14ac:dyDescent="0.25">
      <c r="A7541" s="10"/>
      <c r="B7541" s="10"/>
      <c r="C7541" s="10"/>
      <c r="D7541" s="10"/>
      <c r="E7541" s="10"/>
      <c r="F7541" s="10"/>
      <c r="G7541" s="10"/>
      <c r="H7541" s="10"/>
      <c r="I7541" s="10"/>
      <c r="J7541" s="10"/>
      <c r="K7541" s="10"/>
      <c r="L7541" s="10"/>
    </row>
    <row r="7542" spans="1:12" ht="15" customHeight="1" x14ac:dyDescent="0.25">
      <c r="A7542" s="10"/>
      <c r="B7542" s="10"/>
      <c r="C7542" s="10"/>
      <c r="D7542" s="10"/>
      <c r="E7542" s="10"/>
      <c r="F7542" s="10"/>
      <c r="G7542" s="10"/>
      <c r="H7542" s="10"/>
      <c r="I7542" s="10"/>
      <c r="J7542" s="10"/>
      <c r="K7542" s="10"/>
      <c r="L7542" s="10"/>
    </row>
    <row r="7543" spans="1:12" ht="15" customHeight="1" x14ac:dyDescent="0.25">
      <c r="A7543" s="10"/>
      <c r="B7543" s="10"/>
      <c r="C7543" s="10"/>
      <c r="D7543" s="10"/>
      <c r="E7543" s="10"/>
      <c r="F7543" s="10"/>
      <c r="G7543" s="10"/>
      <c r="H7543" s="10"/>
      <c r="I7543" s="10"/>
      <c r="J7543" s="10"/>
      <c r="K7543" s="10"/>
      <c r="L7543" s="10"/>
    </row>
    <row r="7544" spans="1:12" ht="15" customHeight="1" x14ac:dyDescent="0.25">
      <c r="A7544" s="10"/>
      <c r="B7544" s="10"/>
      <c r="C7544" s="10"/>
      <c r="D7544" s="10"/>
      <c r="E7544" s="10"/>
      <c r="F7544" s="10"/>
      <c r="G7544" s="10"/>
      <c r="H7544" s="10"/>
      <c r="I7544" s="10"/>
      <c r="J7544" s="10"/>
      <c r="K7544" s="10"/>
      <c r="L7544" s="10"/>
    </row>
    <row r="7545" spans="1:12" ht="15" customHeight="1" x14ac:dyDescent="0.25">
      <c r="A7545" s="10"/>
      <c r="B7545" s="10"/>
      <c r="C7545" s="10"/>
      <c r="D7545" s="10"/>
      <c r="E7545" s="10"/>
      <c r="F7545" s="10"/>
      <c r="G7545" s="10"/>
      <c r="H7545" s="10"/>
      <c r="I7545" s="10"/>
      <c r="J7545" s="10"/>
      <c r="K7545" s="10"/>
      <c r="L7545" s="10"/>
    </row>
    <row r="7546" spans="1:12" ht="15" customHeight="1" x14ac:dyDescent="0.25">
      <c r="A7546" s="10"/>
      <c r="B7546" s="10"/>
      <c r="C7546" s="10"/>
      <c r="D7546" s="10"/>
      <c r="E7546" s="10"/>
      <c r="F7546" s="10"/>
      <c r="G7546" s="10"/>
      <c r="H7546" s="10"/>
      <c r="I7546" s="10"/>
      <c r="J7546" s="10"/>
      <c r="K7546" s="10"/>
      <c r="L7546" s="10"/>
    </row>
    <row r="7547" spans="1:12" ht="15" customHeight="1" x14ac:dyDescent="0.25">
      <c r="A7547" s="10"/>
      <c r="B7547" s="10"/>
      <c r="C7547" s="10"/>
      <c r="D7547" s="10"/>
      <c r="E7547" s="10"/>
      <c r="F7547" s="10"/>
      <c r="G7547" s="10"/>
      <c r="H7547" s="10"/>
      <c r="I7547" s="10"/>
      <c r="J7547" s="10"/>
      <c r="K7547" s="10"/>
      <c r="L7547" s="10"/>
    </row>
    <row r="7548" spans="1:12" ht="15" customHeight="1" x14ac:dyDescent="0.25">
      <c r="A7548" s="10"/>
      <c r="B7548" s="10"/>
      <c r="C7548" s="10"/>
      <c r="D7548" s="10"/>
      <c r="E7548" s="10"/>
      <c r="F7548" s="10"/>
      <c r="G7548" s="10"/>
      <c r="H7548" s="10"/>
      <c r="I7548" s="10"/>
      <c r="J7548" s="10"/>
      <c r="K7548" s="10"/>
      <c r="L7548" s="10"/>
    </row>
    <row r="7549" spans="1:12" ht="15" customHeight="1" x14ac:dyDescent="0.25">
      <c r="A7549" s="10"/>
      <c r="B7549" s="10"/>
      <c r="C7549" s="10"/>
      <c r="D7549" s="10"/>
      <c r="E7549" s="10"/>
      <c r="F7549" s="10"/>
      <c r="G7549" s="10"/>
      <c r="H7549" s="10"/>
      <c r="I7549" s="10"/>
      <c r="J7549" s="10"/>
      <c r="K7549" s="10"/>
      <c r="L7549" s="10"/>
    </row>
    <row r="7550" spans="1:12" ht="15" customHeight="1" x14ac:dyDescent="0.25">
      <c r="A7550" s="10"/>
      <c r="B7550" s="10"/>
      <c r="C7550" s="10"/>
      <c r="D7550" s="10"/>
      <c r="E7550" s="10"/>
      <c r="F7550" s="10"/>
      <c r="G7550" s="10"/>
      <c r="H7550" s="10"/>
      <c r="I7550" s="10"/>
      <c r="J7550" s="10"/>
      <c r="K7550" s="10"/>
      <c r="L7550" s="10"/>
    </row>
    <row r="7551" spans="1:12" ht="15" customHeight="1" x14ac:dyDescent="0.25">
      <c r="A7551" s="10"/>
      <c r="B7551" s="10"/>
      <c r="C7551" s="10"/>
      <c r="D7551" s="10"/>
      <c r="E7551" s="10"/>
      <c r="F7551" s="10"/>
      <c r="G7551" s="10"/>
      <c r="H7551" s="10"/>
      <c r="I7551" s="10"/>
      <c r="J7551" s="10"/>
      <c r="K7551" s="10"/>
      <c r="L7551" s="10"/>
    </row>
    <row r="7552" spans="1:12" ht="15" customHeight="1" x14ac:dyDescent="0.25">
      <c r="A7552" s="10"/>
      <c r="B7552" s="10"/>
      <c r="C7552" s="10"/>
      <c r="D7552" s="10"/>
      <c r="E7552" s="10"/>
      <c r="F7552" s="10"/>
      <c r="G7552" s="10"/>
      <c r="H7552" s="10"/>
      <c r="I7552" s="10"/>
      <c r="J7552" s="10"/>
      <c r="K7552" s="10"/>
      <c r="L7552" s="10"/>
    </row>
    <row r="7553" spans="1:12" ht="15" customHeight="1" x14ac:dyDescent="0.25">
      <c r="A7553" s="10"/>
      <c r="B7553" s="10"/>
      <c r="C7553" s="10"/>
      <c r="D7553" s="10"/>
      <c r="E7553" s="10"/>
      <c r="F7553" s="10"/>
      <c r="G7553" s="10"/>
      <c r="H7553" s="10"/>
      <c r="I7553" s="10"/>
      <c r="J7553" s="10"/>
      <c r="K7553" s="10"/>
      <c r="L7553" s="10"/>
    </row>
    <row r="7554" spans="1:12" ht="15" customHeight="1" x14ac:dyDescent="0.25">
      <c r="A7554" s="10"/>
      <c r="B7554" s="10"/>
      <c r="C7554" s="10"/>
      <c r="D7554" s="10"/>
      <c r="E7554" s="10"/>
      <c r="F7554" s="10"/>
      <c r="G7554" s="10"/>
      <c r="H7554" s="10"/>
      <c r="I7554" s="10"/>
      <c r="J7554" s="10"/>
      <c r="K7554" s="10"/>
      <c r="L7554" s="10"/>
    </row>
    <row r="7555" spans="1:12" ht="15" customHeight="1" x14ac:dyDescent="0.25">
      <c r="A7555" s="10"/>
      <c r="B7555" s="10"/>
      <c r="C7555" s="10"/>
      <c r="D7555" s="10"/>
      <c r="E7555" s="10"/>
      <c r="F7555" s="10"/>
      <c r="G7555" s="10"/>
      <c r="H7555" s="10"/>
      <c r="I7555" s="10"/>
      <c r="J7555" s="10"/>
      <c r="K7555" s="10"/>
      <c r="L7555" s="10"/>
    </row>
    <row r="7556" spans="1:12" ht="15" customHeight="1" x14ac:dyDescent="0.25">
      <c r="A7556" s="10"/>
      <c r="B7556" s="10"/>
      <c r="C7556" s="10"/>
      <c r="D7556" s="10"/>
      <c r="E7556" s="10"/>
      <c r="F7556" s="10"/>
      <c r="G7556" s="10"/>
      <c r="H7556" s="10"/>
      <c r="I7556" s="10"/>
      <c r="J7556" s="10"/>
      <c r="K7556" s="10"/>
      <c r="L7556" s="10"/>
    </row>
    <row r="7557" spans="1:12" ht="15" customHeight="1" x14ac:dyDescent="0.25">
      <c r="A7557" s="10"/>
      <c r="B7557" s="10"/>
      <c r="C7557" s="10"/>
      <c r="D7557" s="10"/>
      <c r="E7557" s="10"/>
      <c r="F7557" s="10"/>
      <c r="G7557" s="10"/>
      <c r="H7557" s="10"/>
      <c r="I7557" s="10"/>
      <c r="J7557" s="10"/>
      <c r="K7557" s="10"/>
      <c r="L7557" s="10"/>
    </row>
    <row r="7558" spans="1:12" ht="15" customHeight="1" x14ac:dyDescent="0.25">
      <c r="A7558" s="10"/>
      <c r="B7558" s="10"/>
      <c r="C7558" s="10"/>
      <c r="D7558" s="10"/>
      <c r="E7558" s="10"/>
      <c r="F7558" s="10"/>
      <c r="G7558" s="10"/>
      <c r="H7558" s="10"/>
      <c r="I7558" s="10"/>
      <c r="J7558" s="10"/>
      <c r="K7558" s="10"/>
      <c r="L7558" s="10"/>
    </row>
    <row r="7559" spans="1:12" ht="15" customHeight="1" x14ac:dyDescent="0.25">
      <c r="A7559" s="10"/>
      <c r="B7559" s="10"/>
      <c r="C7559" s="10"/>
      <c r="D7559" s="10"/>
      <c r="E7559" s="10"/>
      <c r="F7559" s="10"/>
      <c r="G7559" s="10"/>
      <c r="H7559" s="10"/>
      <c r="I7559" s="10"/>
      <c r="J7559" s="10"/>
      <c r="K7559" s="10"/>
      <c r="L7559" s="10"/>
    </row>
    <row r="7560" spans="1:12" ht="15" customHeight="1" x14ac:dyDescent="0.25">
      <c r="A7560" s="10"/>
      <c r="B7560" s="10"/>
      <c r="C7560" s="10"/>
      <c r="D7560" s="10"/>
      <c r="E7560" s="10"/>
      <c r="F7560" s="10"/>
      <c r="G7560" s="10"/>
      <c r="H7560" s="10"/>
      <c r="I7560" s="10"/>
      <c r="J7560" s="10"/>
      <c r="K7560" s="10"/>
      <c r="L7560" s="10"/>
    </row>
    <row r="7561" spans="1:12" ht="15" customHeight="1" x14ac:dyDescent="0.25">
      <c r="A7561" s="10"/>
      <c r="B7561" s="10"/>
      <c r="C7561" s="10"/>
      <c r="D7561" s="10"/>
      <c r="E7561" s="10"/>
      <c r="F7561" s="10"/>
      <c r="G7561" s="10"/>
      <c r="H7561" s="10"/>
      <c r="I7561" s="10"/>
      <c r="J7561" s="10"/>
      <c r="K7561" s="10"/>
      <c r="L7561" s="10"/>
    </row>
    <row r="7562" spans="1:12" ht="15" customHeight="1" x14ac:dyDescent="0.25">
      <c r="A7562" s="10"/>
      <c r="B7562" s="10"/>
      <c r="C7562" s="10"/>
      <c r="D7562" s="10"/>
      <c r="E7562" s="10"/>
      <c r="F7562" s="10"/>
      <c r="G7562" s="10"/>
      <c r="H7562" s="10"/>
      <c r="I7562" s="10"/>
      <c r="J7562" s="10"/>
      <c r="K7562" s="10"/>
      <c r="L7562" s="10"/>
    </row>
    <row r="7563" spans="1:12" ht="15" customHeight="1" x14ac:dyDescent="0.25">
      <c r="A7563" s="10"/>
      <c r="B7563" s="10"/>
      <c r="C7563" s="10"/>
      <c r="D7563" s="10"/>
      <c r="E7563" s="10"/>
      <c r="F7563" s="10"/>
      <c r="G7563" s="10"/>
      <c r="H7563" s="10"/>
      <c r="I7563" s="10"/>
      <c r="J7563" s="10"/>
      <c r="K7563" s="10"/>
      <c r="L7563" s="10"/>
    </row>
    <row r="7564" spans="1:12" ht="15" customHeight="1" x14ac:dyDescent="0.25">
      <c r="A7564" s="10"/>
      <c r="B7564" s="10"/>
      <c r="C7564" s="10"/>
      <c r="D7564" s="10"/>
      <c r="E7564" s="10"/>
      <c r="F7564" s="10"/>
      <c r="G7564" s="10"/>
      <c r="H7564" s="10"/>
      <c r="I7564" s="10"/>
      <c r="J7564" s="10"/>
      <c r="K7564" s="10"/>
      <c r="L7564" s="10"/>
    </row>
    <row r="7565" spans="1:12" ht="15" customHeight="1" x14ac:dyDescent="0.25">
      <c r="A7565" s="10"/>
      <c r="B7565" s="10"/>
      <c r="C7565" s="10"/>
      <c r="D7565" s="10"/>
      <c r="E7565" s="10"/>
      <c r="F7565" s="10"/>
      <c r="G7565" s="10"/>
      <c r="H7565" s="10"/>
      <c r="I7565" s="10"/>
      <c r="J7565" s="10"/>
      <c r="K7565" s="10"/>
      <c r="L7565" s="10"/>
    </row>
    <row r="7566" spans="1:12" ht="15" customHeight="1" x14ac:dyDescent="0.25">
      <c r="A7566" s="10"/>
      <c r="B7566" s="10"/>
      <c r="C7566" s="10"/>
      <c r="D7566" s="10"/>
      <c r="E7566" s="10"/>
      <c r="F7566" s="10"/>
      <c r="G7566" s="10"/>
      <c r="H7566" s="10"/>
      <c r="I7566" s="10"/>
      <c r="J7566" s="10"/>
      <c r="K7566" s="10"/>
      <c r="L7566" s="10"/>
    </row>
    <row r="7567" spans="1:12" ht="15" customHeight="1" x14ac:dyDescent="0.25">
      <c r="A7567" s="10"/>
      <c r="B7567" s="10"/>
      <c r="C7567" s="10"/>
      <c r="D7567" s="10"/>
      <c r="E7567" s="10"/>
      <c r="F7567" s="10"/>
      <c r="G7567" s="10"/>
      <c r="H7567" s="10"/>
      <c r="I7567" s="10"/>
      <c r="J7567" s="10"/>
      <c r="K7567" s="10"/>
      <c r="L7567" s="10"/>
    </row>
    <row r="7568" spans="1:12" ht="15" customHeight="1" x14ac:dyDescent="0.25">
      <c r="A7568" s="10"/>
      <c r="B7568" s="10"/>
      <c r="C7568" s="10"/>
      <c r="D7568" s="10"/>
      <c r="E7568" s="10"/>
      <c r="F7568" s="10"/>
      <c r="G7568" s="10"/>
      <c r="H7568" s="10"/>
      <c r="I7568" s="10"/>
      <c r="J7568" s="10"/>
      <c r="K7568" s="10"/>
      <c r="L7568" s="10"/>
    </row>
    <row r="7569" spans="1:12" ht="15" customHeight="1" x14ac:dyDescent="0.25">
      <c r="A7569" s="10"/>
      <c r="B7569" s="10"/>
      <c r="C7569" s="10"/>
      <c r="D7569" s="10"/>
      <c r="E7569" s="10"/>
      <c r="F7569" s="10"/>
      <c r="G7569" s="10"/>
      <c r="H7569" s="10"/>
      <c r="I7569" s="10"/>
      <c r="J7569" s="10"/>
      <c r="K7569" s="10"/>
      <c r="L7569" s="10"/>
    </row>
    <row r="7570" spans="1:12" ht="15" customHeight="1" x14ac:dyDescent="0.25">
      <c r="A7570" s="10"/>
      <c r="B7570" s="10"/>
      <c r="C7570" s="10"/>
      <c r="D7570" s="10"/>
      <c r="E7570" s="10"/>
      <c r="F7570" s="10"/>
      <c r="G7570" s="10"/>
      <c r="H7570" s="10"/>
      <c r="I7570" s="10"/>
      <c r="J7570" s="10"/>
      <c r="K7570" s="10"/>
      <c r="L7570" s="10"/>
    </row>
    <row r="7571" spans="1:12" ht="15" customHeight="1" x14ac:dyDescent="0.25">
      <c r="A7571" s="10"/>
      <c r="B7571" s="10"/>
      <c r="C7571" s="10"/>
      <c r="D7571" s="10"/>
      <c r="E7571" s="10"/>
      <c r="F7571" s="10"/>
      <c r="G7571" s="10"/>
      <c r="H7571" s="10"/>
      <c r="I7571" s="10"/>
      <c r="J7571" s="10"/>
      <c r="K7571" s="10"/>
      <c r="L7571" s="10"/>
    </row>
    <row r="7572" spans="1:12" ht="15" customHeight="1" x14ac:dyDescent="0.25">
      <c r="A7572" s="10"/>
      <c r="B7572" s="10"/>
      <c r="C7572" s="10"/>
      <c r="D7572" s="10"/>
      <c r="E7572" s="10"/>
      <c r="F7572" s="10"/>
      <c r="G7572" s="10"/>
      <c r="H7572" s="10"/>
      <c r="I7572" s="10"/>
      <c r="J7572" s="10"/>
      <c r="K7572" s="10"/>
      <c r="L7572" s="10"/>
    </row>
    <row r="7573" spans="1:12" ht="15" customHeight="1" x14ac:dyDescent="0.25">
      <c r="A7573" s="10"/>
      <c r="B7573" s="10"/>
      <c r="C7573" s="10"/>
      <c r="D7573" s="10"/>
      <c r="E7573" s="10"/>
      <c r="F7573" s="10"/>
      <c r="G7573" s="10"/>
      <c r="H7573" s="10"/>
      <c r="I7573" s="10"/>
      <c r="J7573" s="10"/>
      <c r="K7573" s="10"/>
      <c r="L7573" s="10"/>
    </row>
    <row r="7574" spans="1:12" ht="15" customHeight="1" x14ac:dyDescent="0.25">
      <c r="A7574" s="10"/>
      <c r="B7574" s="10"/>
      <c r="C7574" s="10"/>
      <c r="D7574" s="10"/>
      <c r="E7574" s="10"/>
      <c r="F7574" s="10"/>
      <c r="G7574" s="10"/>
      <c r="H7574" s="10"/>
      <c r="I7574" s="10"/>
      <c r="J7574" s="10"/>
      <c r="K7574" s="10"/>
      <c r="L7574" s="10"/>
    </row>
    <row r="7575" spans="1:12" ht="15" customHeight="1" x14ac:dyDescent="0.25">
      <c r="A7575" s="10"/>
      <c r="B7575" s="10"/>
      <c r="C7575" s="10"/>
      <c r="D7575" s="10"/>
      <c r="E7575" s="10"/>
      <c r="F7575" s="10"/>
      <c r="G7575" s="10"/>
      <c r="H7575" s="10"/>
      <c r="I7575" s="10"/>
      <c r="J7575" s="10"/>
      <c r="K7575" s="10"/>
      <c r="L7575" s="10"/>
    </row>
    <row r="7576" spans="1:12" ht="15" customHeight="1" x14ac:dyDescent="0.25">
      <c r="A7576" s="10"/>
      <c r="B7576" s="10"/>
      <c r="C7576" s="10"/>
      <c r="D7576" s="10"/>
      <c r="E7576" s="10"/>
      <c r="F7576" s="10"/>
      <c r="G7576" s="10"/>
      <c r="H7576" s="10"/>
      <c r="I7576" s="10"/>
      <c r="J7576" s="10"/>
      <c r="K7576" s="10"/>
      <c r="L7576" s="10"/>
    </row>
    <row r="7577" spans="1:12" ht="15" customHeight="1" x14ac:dyDescent="0.25">
      <c r="A7577" s="10"/>
      <c r="B7577" s="10"/>
      <c r="C7577" s="10"/>
      <c r="D7577" s="10"/>
      <c r="E7577" s="10"/>
      <c r="F7577" s="10"/>
      <c r="G7577" s="10"/>
      <c r="H7577" s="10"/>
      <c r="I7577" s="10"/>
      <c r="J7577" s="10"/>
      <c r="K7577" s="10"/>
      <c r="L7577" s="10"/>
    </row>
    <row r="7578" spans="1:12" ht="15" customHeight="1" x14ac:dyDescent="0.25">
      <c r="A7578" s="10"/>
      <c r="B7578" s="10"/>
      <c r="C7578" s="10"/>
      <c r="D7578" s="10"/>
      <c r="E7578" s="10"/>
      <c r="F7578" s="10"/>
      <c r="G7578" s="10"/>
      <c r="H7578" s="10"/>
      <c r="I7578" s="10"/>
      <c r="J7578" s="10"/>
      <c r="K7578" s="10"/>
      <c r="L7578" s="10"/>
    </row>
    <row r="7579" spans="1:12" ht="15" customHeight="1" x14ac:dyDescent="0.25">
      <c r="A7579" s="10"/>
      <c r="B7579" s="10"/>
      <c r="C7579" s="10"/>
      <c r="D7579" s="10"/>
      <c r="E7579" s="10"/>
      <c r="F7579" s="10"/>
      <c r="G7579" s="10"/>
      <c r="H7579" s="10"/>
      <c r="I7579" s="10"/>
      <c r="J7579" s="10"/>
      <c r="K7579" s="10"/>
      <c r="L7579" s="10"/>
    </row>
    <row r="7580" spans="1:12" ht="15" customHeight="1" x14ac:dyDescent="0.25">
      <c r="A7580" s="10"/>
      <c r="B7580" s="10"/>
      <c r="C7580" s="10"/>
      <c r="D7580" s="10"/>
      <c r="E7580" s="10"/>
      <c r="F7580" s="10"/>
      <c r="G7580" s="10"/>
      <c r="H7580" s="10"/>
      <c r="I7580" s="10"/>
      <c r="J7580" s="10"/>
      <c r="K7580" s="10"/>
      <c r="L7580" s="10"/>
    </row>
    <row r="7581" spans="1:12" ht="15" customHeight="1" x14ac:dyDescent="0.25">
      <c r="A7581" s="10"/>
      <c r="B7581" s="10"/>
      <c r="C7581" s="10"/>
      <c r="D7581" s="10"/>
      <c r="E7581" s="10"/>
      <c r="F7581" s="10"/>
      <c r="G7581" s="10"/>
      <c r="H7581" s="10"/>
      <c r="I7581" s="10"/>
      <c r="J7581" s="10"/>
      <c r="K7581" s="10"/>
      <c r="L7581" s="10"/>
    </row>
    <row r="7582" spans="1:12" ht="15" customHeight="1" x14ac:dyDescent="0.25">
      <c r="A7582" s="10"/>
      <c r="B7582" s="10"/>
      <c r="C7582" s="10"/>
      <c r="D7582" s="10"/>
      <c r="E7582" s="10"/>
      <c r="F7582" s="10"/>
      <c r="G7582" s="10"/>
      <c r="H7582" s="10"/>
      <c r="I7582" s="10"/>
      <c r="J7582" s="10"/>
      <c r="K7582" s="10"/>
      <c r="L7582" s="10"/>
    </row>
    <row r="7583" spans="1:12" ht="15" customHeight="1" x14ac:dyDescent="0.25">
      <c r="A7583" s="10"/>
      <c r="B7583" s="10"/>
      <c r="C7583" s="10"/>
      <c r="D7583" s="10"/>
      <c r="E7583" s="10"/>
      <c r="F7583" s="10"/>
      <c r="G7583" s="10"/>
      <c r="H7583" s="10"/>
      <c r="I7583" s="10"/>
      <c r="J7583" s="10"/>
      <c r="K7583" s="10"/>
      <c r="L7583" s="10"/>
    </row>
    <row r="7584" spans="1:12" ht="15" customHeight="1" x14ac:dyDescent="0.25">
      <c r="A7584" s="10"/>
      <c r="B7584" s="10"/>
      <c r="C7584" s="10"/>
      <c r="D7584" s="10"/>
      <c r="E7584" s="10"/>
      <c r="F7584" s="10"/>
      <c r="G7584" s="10"/>
      <c r="H7584" s="10"/>
      <c r="I7584" s="10"/>
      <c r="J7584" s="10"/>
      <c r="K7584" s="10"/>
      <c r="L7584" s="10"/>
    </row>
    <row r="7585" spans="1:12" ht="15" customHeight="1" x14ac:dyDescent="0.25">
      <c r="A7585" s="10"/>
      <c r="B7585" s="10"/>
      <c r="C7585" s="10"/>
      <c r="D7585" s="10"/>
      <c r="E7585" s="10"/>
      <c r="F7585" s="10"/>
      <c r="G7585" s="10"/>
      <c r="H7585" s="10"/>
      <c r="I7585" s="10"/>
      <c r="J7585" s="10"/>
      <c r="K7585" s="10"/>
      <c r="L7585" s="10"/>
    </row>
    <row r="7586" spans="1:12" ht="15" customHeight="1" x14ac:dyDescent="0.25">
      <c r="A7586" s="10"/>
      <c r="B7586" s="10"/>
      <c r="C7586" s="10"/>
      <c r="D7586" s="10"/>
      <c r="E7586" s="10"/>
      <c r="F7586" s="10"/>
      <c r="G7586" s="10"/>
      <c r="H7586" s="10"/>
      <c r="I7586" s="10"/>
      <c r="J7586" s="10"/>
      <c r="K7586" s="10"/>
      <c r="L7586" s="10"/>
    </row>
    <row r="7587" spans="1:12" ht="15" customHeight="1" x14ac:dyDescent="0.25">
      <c r="A7587" s="10"/>
      <c r="B7587" s="10"/>
      <c r="C7587" s="10"/>
      <c r="D7587" s="10"/>
      <c r="E7587" s="10"/>
      <c r="F7587" s="10"/>
      <c r="G7587" s="10"/>
      <c r="H7587" s="10"/>
      <c r="I7587" s="10"/>
      <c r="J7587" s="10"/>
      <c r="K7587" s="10"/>
      <c r="L7587" s="10"/>
    </row>
    <row r="7588" spans="1:12" ht="15" customHeight="1" x14ac:dyDescent="0.25">
      <c r="A7588" s="10"/>
      <c r="B7588" s="10"/>
      <c r="C7588" s="10"/>
      <c r="D7588" s="10"/>
      <c r="E7588" s="10"/>
      <c r="F7588" s="10"/>
      <c r="G7588" s="10"/>
      <c r="H7588" s="10"/>
      <c r="I7588" s="10"/>
      <c r="J7588" s="10"/>
      <c r="K7588" s="10"/>
      <c r="L7588" s="10"/>
    </row>
    <row r="7589" spans="1:12" ht="15" customHeight="1" x14ac:dyDescent="0.25">
      <c r="A7589" s="10"/>
      <c r="B7589" s="10"/>
      <c r="C7589" s="10"/>
      <c r="D7589" s="10"/>
      <c r="E7589" s="10"/>
      <c r="F7589" s="10"/>
      <c r="G7589" s="10"/>
      <c r="H7589" s="10"/>
      <c r="I7589" s="10"/>
      <c r="J7589" s="10"/>
      <c r="K7589" s="10"/>
      <c r="L7589" s="10"/>
    </row>
    <row r="7590" spans="1:12" ht="15" customHeight="1" x14ac:dyDescent="0.25">
      <c r="A7590" s="10"/>
      <c r="B7590" s="10"/>
      <c r="C7590" s="10"/>
      <c r="D7590" s="10"/>
      <c r="E7590" s="10"/>
      <c r="F7590" s="10"/>
      <c r="G7590" s="10"/>
      <c r="H7590" s="10"/>
      <c r="I7590" s="10"/>
      <c r="J7590" s="10"/>
      <c r="K7590" s="10"/>
      <c r="L7590" s="10"/>
    </row>
    <row r="7591" spans="1:12" ht="15" customHeight="1" x14ac:dyDescent="0.25">
      <c r="A7591" s="10"/>
      <c r="B7591" s="10"/>
      <c r="C7591" s="10"/>
      <c r="D7591" s="10"/>
      <c r="E7591" s="10"/>
      <c r="F7591" s="10"/>
      <c r="G7591" s="10"/>
      <c r="H7591" s="10"/>
      <c r="I7591" s="10"/>
      <c r="J7591" s="10"/>
      <c r="K7591" s="10"/>
      <c r="L7591" s="10"/>
    </row>
    <row r="7592" spans="1:12" ht="15" customHeight="1" x14ac:dyDescent="0.25">
      <c r="A7592" s="10"/>
      <c r="B7592" s="10"/>
      <c r="C7592" s="10"/>
      <c r="D7592" s="10"/>
      <c r="E7592" s="10"/>
      <c r="F7592" s="10"/>
      <c r="G7592" s="10"/>
      <c r="H7592" s="10"/>
      <c r="I7592" s="10"/>
      <c r="J7592" s="10"/>
      <c r="K7592" s="10"/>
      <c r="L7592" s="10"/>
    </row>
    <row r="7593" spans="1:12" ht="15" customHeight="1" x14ac:dyDescent="0.25">
      <c r="A7593" s="10"/>
      <c r="B7593" s="10"/>
      <c r="C7593" s="10"/>
      <c r="D7593" s="10"/>
      <c r="E7593" s="10"/>
      <c r="F7593" s="10"/>
      <c r="G7593" s="10"/>
      <c r="H7593" s="10"/>
      <c r="I7593" s="10"/>
      <c r="J7593" s="10"/>
      <c r="K7593" s="10"/>
      <c r="L7593" s="10"/>
    </row>
    <row r="7594" spans="1:12" ht="15" customHeight="1" x14ac:dyDescent="0.25">
      <c r="A7594" s="10"/>
      <c r="B7594" s="10"/>
      <c r="C7594" s="10"/>
      <c r="D7594" s="10"/>
      <c r="E7594" s="10"/>
      <c r="F7594" s="10"/>
      <c r="G7594" s="10"/>
      <c r="H7594" s="10"/>
      <c r="I7594" s="10"/>
      <c r="J7594" s="10"/>
      <c r="K7594" s="10"/>
      <c r="L7594" s="10"/>
    </row>
    <row r="7595" spans="1:12" ht="15" customHeight="1" x14ac:dyDescent="0.25">
      <c r="A7595" s="10"/>
      <c r="B7595" s="10"/>
      <c r="C7595" s="10"/>
      <c r="D7595" s="10"/>
      <c r="E7595" s="10"/>
      <c r="F7595" s="10"/>
      <c r="G7595" s="10"/>
      <c r="H7595" s="10"/>
      <c r="I7595" s="10"/>
      <c r="J7595" s="10"/>
      <c r="K7595" s="10"/>
      <c r="L7595" s="10"/>
    </row>
    <row r="7596" spans="1:12" ht="15" customHeight="1" x14ac:dyDescent="0.25">
      <c r="A7596" s="10"/>
      <c r="B7596" s="10"/>
      <c r="C7596" s="10"/>
      <c r="D7596" s="10"/>
      <c r="E7596" s="10"/>
      <c r="F7596" s="10"/>
      <c r="G7596" s="10"/>
      <c r="H7596" s="10"/>
      <c r="I7596" s="10"/>
      <c r="J7596" s="10"/>
      <c r="K7596" s="10"/>
      <c r="L7596" s="10"/>
    </row>
    <row r="7597" spans="1:12" ht="15" customHeight="1" x14ac:dyDescent="0.25">
      <c r="A7597" s="10"/>
      <c r="B7597" s="10"/>
      <c r="C7597" s="10"/>
      <c r="D7597" s="10"/>
      <c r="E7597" s="10"/>
      <c r="F7597" s="10"/>
      <c r="G7597" s="10"/>
      <c r="H7597" s="10"/>
      <c r="I7597" s="10"/>
      <c r="J7597" s="10"/>
      <c r="K7597" s="10"/>
      <c r="L7597" s="10"/>
    </row>
    <row r="7598" spans="1:12" ht="15" customHeight="1" x14ac:dyDescent="0.25">
      <c r="A7598" s="10"/>
      <c r="B7598" s="10"/>
      <c r="C7598" s="10"/>
      <c r="D7598" s="10"/>
      <c r="E7598" s="10"/>
      <c r="F7598" s="10"/>
      <c r="G7598" s="10"/>
      <c r="H7598" s="10"/>
      <c r="I7598" s="10"/>
      <c r="J7598" s="10"/>
      <c r="K7598" s="10"/>
      <c r="L7598" s="10"/>
    </row>
    <row r="7599" spans="1:12" ht="15" customHeight="1" x14ac:dyDescent="0.25">
      <c r="A7599" s="10"/>
      <c r="B7599" s="10"/>
      <c r="C7599" s="10"/>
      <c r="D7599" s="10"/>
      <c r="E7599" s="10"/>
      <c r="F7599" s="10"/>
      <c r="G7599" s="10"/>
      <c r="H7599" s="10"/>
      <c r="I7599" s="10"/>
      <c r="J7599" s="10"/>
      <c r="K7599" s="10"/>
      <c r="L7599" s="10"/>
    </row>
    <row r="7600" spans="1:12" ht="15" customHeight="1" x14ac:dyDescent="0.25">
      <c r="A7600" s="10"/>
      <c r="B7600" s="10"/>
      <c r="C7600" s="10"/>
      <c r="D7600" s="10"/>
      <c r="E7600" s="10"/>
      <c r="F7600" s="10"/>
      <c r="G7600" s="10"/>
      <c r="H7600" s="10"/>
      <c r="I7600" s="10"/>
      <c r="J7600" s="10"/>
      <c r="K7600" s="10"/>
      <c r="L7600" s="10"/>
    </row>
    <row r="7601" spans="1:12" ht="15" customHeight="1" x14ac:dyDescent="0.25">
      <c r="A7601" s="10"/>
      <c r="B7601" s="10"/>
      <c r="C7601" s="10"/>
      <c r="D7601" s="10"/>
      <c r="E7601" s="10"/>
      <c r="F7601" s="10"/>
      <c r="G7601" s="10"/>
      <c r="H7601" s="10"/>
      <c r="I7601" s="10"/>
      <c r="J7601" s="10"/>
      <c r="K7601" s="10"/>
      <c r="L7601" s="10"/>
    </row>
    <row r="7602" spans="1:12" ht="15" customHeight="1" x14ac:dyDescent="0.25">
      <c r="A7602" s="10"/>
      <c r="B7602" s="10"/>
      <c r="C7602" s="10"/>
      <c r="D7602" s="10"/>
      <c r="E7602" s="10"/>
      <c r="F7602" s="10"/>
      <c r="G7602" s="10"/>
      <c r="H7602" s="10"/>
      <c r="I7602" s="10"/>
      <c r="J7602" s="10"/>
      <c r="K7602" s="10"/>
      <c r="L7602" s="10"/>
    </row>
    <row r="7603" spans="1:12" ht="15" customHeight="1" x14ac:dyDescent="0.25">
      <c r="A7603" s="10"/>
      <c r="B7603" s="10"/>
      <c r="C7603" s="10"/>
      <c r="D7603" s="10"/>
      <c r="E7603" s="10"/>
      <c r="F7603" s="10"/>
      <c r="G7603" s="10"/>
      <c r="H7603" s="10"/>
      <c r="I7603" s="10"/>
      <c r="J7603" s="10"/>
      <c r="K7603" s="10"/>
      <c r="L7603" s="10"/>
    </row>
    <row r="7604" spans="1:12" ht="15" customHeight="1" x14ac:dyDescent="0.25">
      <c r="A7604" s="10"/>
      <c r="B7604" s="10"/>
      <c r="C7604" s="10"/>
      <c r="D7604" s="10"/>
      <c r="E7604" s="10"/>
      <c r="F7604" s="10"/>
      <c r="G7604" s="10"/>
      <c r="H7604" s="10"/>
      <c r="I7604" s="10"/>
      <c r="J7604" s="10"/>
      <c r="K7604" s="10"/>
      <c r="L7604" s="10"/>
    </row>
    <row r="7605" spans="1:12" ht="15" customHeight="1" x14ac:dyDescent="0.25">
      <c r="A7605" s="10"/>
      <c r="B7605" s="10"/>
      <c r="C7605" s="10"/>
      <c r="D7605" s="10"/>
      <c r="E7605" s="10"/>
      <c r="F7605" s="10"/>
      <c r="G7605" s="10"/>
      <c r="H7605" s="10"/>
      <c r="I7605" s="10"/>
      <c r="J7605" s="10"/>
      <c r="K7605" s="10"/>
      <c r="L7605" s="10"/>
    </row>
    <row r="7606" spans="1:12" ht="15" customHeight="1" x14ac:dyDescent="0.25">
      <c r="A7606" s="10"/>
      <c r="B7606" s="10"/>
      <c r="C7606" s="10"/>
      <c r="D7606" s="10"/>
      <c r="E7606" s="10"/>
      <c r="F7606" s="10"/>
      <c r="G7606" s="10"/>
      <c r="H7606" s="10"/>
      <c r="I7606" s="10"/>
      <c r="J7606" s="10"/>
      <c r="K7606" s="10"/>
      <c r="L7606" s="10"/>
    </row>
    <row r="7607" spans="1:12" ht="15" customHeight="1" x14ac:dyDescent="0.25">
      <c r="A7607" s="10"/>
      <c r="B7607" s="10"/>
      <c r="C7607" s="10"/>
      <c r="D7607" s="10"/>
      <c r="E7607" s="10"/>
      <c r="F7607" s="10"/>
      <c r="G7607" s="10"/>
      <c r="H7607" s="10"/>
      <c r="I7607" s="10"/>
      <c r="J7607" s="10"/>
      <c r="K7607" s="10"/>
      <c r="L7607" s="10"/>
    </row>
    <row r="7608" spans="1:12" ht="15" customHeight="1" x14ac:dyDescent="0.25">
      <c r="A7608" s="10"/>
      <c r="B7608" s="10"/>
      <c r="C7608" s="10"/>
      <c r="D7608" s="10"/>
      <c r="E7608" s="10"/>
      <c r="F7608" s="10"/>
      <c r="G7608" s="10"/>
      <c r="H7608" s="10"/>
      <c r="I7608" s="10"/>
      <c r="J7608" s="10"/>
      <c r="K7608" s="10"/>
      <c r="L7608" s="10"/>
    </row>
    <row r="7609" spans="1:12" ht="15" customHeight="1" x14ac:dyDescent="0.25">
      <c r="A7609" s="10"/>
      <c r="B7609" s="10"/>
      <c r="C7609" s="10"/>
      <c r="D7609" s="10"/>
      <c r="E7609" s="10"/>
      <c r="F7609" s="10"/>
      <c r="G7609" s="10"/>
      <c r="H7609" s="10"/>
      <c r="I7609" s="10"/>
      <c r="J7609" s="10"/>
      <c r="K7609" s="10"/>
      <c r="L7609" s="10"/>
    </row>
    <row r="7610" spans="1:12" ht="15" customHeight="1" x14ac:dyDescent="0.25">
      <c r="A7610" s="10"/>
      <c r="B7610" s="10"/>
      <c r="C7610" s="10"/>
      <c r="D7610" s="10"/>
      <c r="E7610" s="10"/>
      <c r="F7610" s="10"/>
      <c r="G7610" s="10"/>
      <c r="H7610" s="10"/>
      <c r="I7610" s="10"/>
      <c r="J7610" s="10"/>
      <c r="K7610" s="10"/>
      <c r="L7610" s="10"/>
    </row>
    <row r="7611" spans="1:12" ht="15" customHeight="1" x14ac:dyDescent="0.25">
      <c r="A7611" s="10"/>
      <c r="B7611" s="10"/>
      <c r="C7611" s="10"/>
      <c r="D7611" s="10"/>
      <c r="E7611" s="10"/>
      <c r="F7611" s="10"/>
      <c r="G7611" s="10"/>
      <c r="H7611" s="10"/>
      <c r="I7611" s="10"/>
      <c r="J7611" s="10"/>
      <c r="K7611" s="10"/>
      <c r="L7611" s="10"/>
    </row>
    <row r="7612" spans="1:12" ht="15" customHeight="1" x14ac:dyDescent="0.25">
      <c r="A7612" s="10"/>
      <c r="B7612" s="10"/>
      <c r="C7612" s="10"/>
      <c r="D7612" s="10"/>
      <c r="E7612" s="10"/>
      <c r="F7612" s="10"/>
      <c r="G7612" s="10"/>
      <c r="H7612" s="10"/>
      <c r="I7612" s="10"/>
      <c r="J7612" s="10"/>
      <c r="K7612" s="10"/>
      <c r="L7612" s="10"/>
    </row>
    <row r="7613" spans="1:12" ht="15" customHeight="1" x14ac:dyDescent="0.25">
      <c r="A7613" s="10"/>
      <c r="B7613" s="10"/>
      <c r="C7613" s="10"/>
      <c r="D7613" s="10"/>
      <c r="E7613" s="10"/>
      <c r="F7613" s="10"/>
      <c r="G7613" s="10"/>
      <c r="H7613" s="10"/>
      <c r="I7613" s="10"/>
      <c r="J7613" s="10"/>
      <c r="K7613" s="10"/>
      <c r="L7613" s="10"/>
    </row>
    <row r="7614" spans="1:12" ht="15" customHeight="1" x14ac:dyDescent="0.25">
      <c r="A7614" s="10"/>
      <c r="B7614" s="10"/>
      <c r="C7614" s="10"/>
      <c r="D7614" s="10"/>
      <c r="E7614" s="10"/>
      <c r="F7614" s="10"/>
      <c r="G7614" s="10"/>
      <c r="H7614" s="10"/>
      <c r="I7614" s="10"/>
      <c r="J7614" s="10"/>
      <c r="K7614" s="10"/>
      <c r="L7614" s="10"/>
    </row>
    <row r="7615" spans="1:12" ht="15" customHeight="1" x14ac:dyDescent="0.25">
      <c r="A7615" s="10"/>
      <c r="B7615" s="10"/>
      <c r="C7615" s="10"/>
      <c r="D7615" s="10"/>
      <c r="E7615" s="10"/>
      <c r="F7615" s="10"/>
      <c r="G7615" s="10"/>
      <c r="H7615" s="10"/>
      <c r="I7615" s="10"/>
      <c r="J7615" s="10"/>
      <c r="K7615" s="10"/>
      <c r="L7615" s="10"/>
    </row>
    <row r="7616" spans="1:12" ht="15" customHeight="1" x14ac:dyDescent="0.25">
      <c r="A7616" s="10"/>
      <c r="B7616" s="10"/>
      <c r="C7616" s="10"/>
      <c r="D7616" s="10"/>
      <c r="E7616" s="10"/>
      <c r="F7616" s="10"/>
      <c r="G7616" s="10"/>
      <c r="H7616" s="10"/>
      <c r="I7616" s="10"/>
      <c r="J7616" s="10"/>
      <c r="K7616" s="10"/>
      <c r="L7616" s="10"/>
    </row>
    <row r="7617" spans="1:12" ht="15" customHeight="1" x14ac:dyDescent="0.25">
      <c r="A7617" s="10"/>
      <c r="B7617" s="10"/>
      <c r="C7617" s="10"/>
      <c r="D7617" s="10"/>
      <c r="E7617" s="10"/>
      <c r="F7617" s="10"/>
      <c r="G7617" s="10"/>
      <c r="H7617" s="10"/>
      <c r="I7617" s="10"/>
      <c r="J7617" s="10"/>
      <c r="K7617" s="10"/>
      <c r="L7617" s="10"/>
    </row>
    <row r="7618" spans="1:12" ht="15" customHeight="1" x14ac:dyDescent="0.25">
      <c r="A7618" s="10"/>
      <c r="B7618" s="10"/>
      <c r="C7618" s="10"/>
      <c r="D7618" s="10"/>
      <c r="E7618" s="10"/>
      <c r="F7618" s="10"/>
      <c r="G7618" s="10"/>
      <c r="H7618" s="10"/>
      <c r="I7618" s="10"/>
      <c r="J7618" s="10"/>
      <c r="K7618" s="10"/>
      <c r="L7618" s="10"/>
    </row>
    <row r="7619" spans="1:12" ht="15" customHeight="1" x14ac:dyDescent="0.25">
      <c r="A7619" s="10"/>
      <c r="B7619" s="10"/>
      <c r="C7619" s="10"/>
      <c r="D7619" s="10"/>
      <c r="E7619" s="10"/>
      <c r="F7619" s="10"/>
      <c r="G7619" s="10"/>
      <c r="H7619" s="10"/>
      <c r="I7619" s="10"/>
      <c r="J7619" s="10"/>
      <c r="K7619" s="10"/>
      <c r="L7619" s="10"/>
    </row>
    <row r="7620" spans="1:12" ht="15" customHeight="1" x14ac:dyDescent="0.25">
      <c r="A7620" s="10"/>
      <c r="B7620" s="10"/>
      <c r="C7620" s="10"/>
      <c r="D7620" s="10"/>
      <c r="E7620" s="10"/>
      <c r="F7620" s="10"/>
      <c r="G7620" s="10"/>
      <c r="H7620" s="10"/>
      <c r="I7620" s="10"/>
      <c r="J7620" s="10"/>
      <c r="K7620" s="10"/>
      <c r="L7620" s="10"/>
    </row>
    <row r="7621" spans="1:12" ht="15" customHeight="1" x14ac:dyDescent="0.25">
      <c r="A7621" s="10"/>
      <c r="B7621" s="10"/>
      <c r="C7621" s="10"/>
      <c r="D7621" s="10"/>
      <c r="E7621" s="10"/>
      <c r="F7621" s="10"/>
      <c r="G7621" s="10"/>
      <c r="H7621" s="10"/>
      <c r="I7621" s="10"/>
      <c r="J7621" s="10"/>
      <c r="K7621" s="10"/>
      <c r="L7621" s="10"/>
    </row>
    <row r="7622" spans="1:12" ht="15" customHeight="1" x14ac:dyDescent="0.25">
      <c r="A7622" s="10"/>
      <c r="B7622" s="10"/>
      <c r="C7622" s="10"/>
      <c r="D7622" s="10"/>
      <c r="E7622" s="10"/>
      <c r="F7622" s="10"/>
      <c r="G7622" s="10"/>
      <c r="H7622" s="10"/>
      <c r="I7622" s="10"/>
      <c r="J7622" s="10"/>
      <c r="K7622" s="10"/>
      <c r="L7622" s="10"/>
    </row>
    <row r="7623" spans="1:12" ht="15" customHeight="1" x14ac:dyDescent="0.25">
      <c r="A7623" s="10"/>
      <c r="B7623" s="10"/>
      <c r="C7623" s="10"/>
      <c r="D7623" s="10"/>
      <c r="E7623" s="10"/>
      <c r="F7623" s="10"/>
      <c r="G7623" s="10"/>
      <c r="H7623" s="10"/>
      <c r="I7623" s="10"/>
      <c r="J7623" s="10"/>
      <c r="K7623" s="10"/>
      <c r="L7623" s="10"/>
    </row>
    <row r="7624" spans="1:12" ht="15" customHeight="1" x14ac:dyDescent="0.25">
      <c r="A7624" s="10"/>
      <c r="B7624" s="10"/>
      <c r="C7624" s="10"/>
      <c r="D7624" s="10"/>
      <c r="E7624" s="10"/>
      <c r="F7624" s="10"/>
      <c r="G7624" s="10"/>
      <c r="H7624" s="10"/>
      <c r="I7624" s="10"/>
      <c r="J7624" s="10"/>
      <c r="K7624" s="10"/>
      <c r="L7624" s="10"/>
    </row>
    <row r="7625" spans="1:12" ht="15" customHeight="1" x14ac:dyDescent="0.25">
      <c r="A7625" s="10"/>
      <c r="B7625" s="10"/>
      <c r="C7625" s="10"/>
      <c r="D7625" s="10"/>
      <c r="E7625" s="10"/>
      <c r="F7625" s="10"/>
      <c r="G7625" s="10"/>
      <c r="H7625" s="10"/>
      <c r="I7625" s="10"/>
      <c r="J7625" s="10"/>
      <c r="K7625" s="10"/>
      <c r="L7625" s="10"/>
    </row>
    <row r="7626" spans="1:12" ht="15" customHeight="1" x14ac:dyDescent="0.25">
      <c r="A7626" s="10"/>
      <c r="B7626" s="10"/>
      <c r="C7626" s="10"/>
      <c r="D7626" s="10"/>
      <c r="E7626" s="10"/>
      <c r="F7626" s="10"/>
      <c r="G7626" s="10"/>
      <c r="H7626" s="10"/>
      <c r="I7626" s="10"/>
      <c r="J7626" s="10"/>
      <c r="K7626" s="10"/>
      <c r="L7626" s="10"/>
    </row>
    <row r="7627" spans="1:12" ht="15" customHeight="1" x14ac:dyDescent="0.25">
      <c r="A7627" s="10"/>
      <c r="B7627" s="10"/>
      <c r="C7627" s="10"/>
      <c r="D7627" s="10"/>
      <c r="E7627" s="10"/>
      <c r="F7627" s="10"/>
      <c r="G7627" s="10"/>
      <c r="H7627" s="10"/>
      <c r="I7627" s="10"/>
      <c r="J7627" s="10"/>
      <c r="K7627" s="10"/>
      <c r="L7627" s="10"/>
    </row>
    <row r="7628" spans="1:12" ht="15" customHeight="1" x14ac:dyDescent="0.25">
      <c r="A7628" s="10"/>
      <c r="B7628" s="10"/>
      <c r="C7628" s="10"/>
      <c r="D7628" s="10"/>
      <c r="E7628" s="10"/>
      <c r="F7628" s="10"/>
      <c r="G7628" s="10"/>
      <c r="H7628" s="10"/>
      <c r="I7628" s="10"/>
      <c r="J7628" s="10"/>
      <c r="K7628" s="10"/>
      <c r="L7628" s="10"/>
    </row>
    <row r="7629" spans="1:12" ht="15" customHeight="1" x14ac:dyDescent="0.25">
      <c r="A7629" s="10"/>
      <c r="B7629" s="10"/>
      <c r="C7629" s="10"/>
      <c r="D7629" s="10"/>
      <c r="E7629" s="10"/>
      <c r="F7629" s="10"/>
      <c r="G7629" s="10"/>
      <c r="H7629" s="10"/>
      <c r="I7629" s="10"/>
      <c r="J7629" s="10"/>
      <c r="K7629" s="10"/>
      <c r="L7629" s="10"/>
    </row>
    <row r="7630" spans="1:12" ht="15" customHeight="1" x14ac:dyDescent="0.25">
      <c r="A7630" s="10"/>
      <c r="B7630" s="10"/>
      <c r="C7630" s="10"/>
      <c r="D7630" s="10"/>
      <c r="E7630" s="10"/>
      <c r="F7630" s="10"/>
      <c r="G7630" s="10"/>
      <c r="H7630" s="10"/>
      <c r="I7630" s="10"/>
      <c r="J7630" s="10"/>
      <c r="K7630" s="10"/>
      <c r="L7630" s="10"/>
    </row>
    <row r="7631" spans="1:12" ht="15" customHeight="1" x14ac:dyDescent="0.25">
      <c r="A7631" s="10"/>
      <c r="B7631" s="10"/>
      <c r="C7631" s="10"/>
      <c r="D7631" s="10"/>
      <c r="E7631" s="10"/>
      <c r="F7631" s="10"/>
      <c r="G7631" s="10"/>
      <c r="H7631" s="10"/>
      <c r="I7631" s="10"/>
      <c r="J7631" s="10"/>
      <c r="K7631" s="10"/>
      <c r="L7631" s="10"/>
    </row>
    <row r="7632" spans="1:12" ht="15" customHeight="1" x14ac:dyDescent="0.25">
      <c r="A7632" s="10"/>
      <c r="B7632" s="10"/>
      <c r="C7632" s="10"/>
      <c r="D7632" s="10"/>
      <c r="E7632" s="10"/>
      <c r="F7632" s="10"/>
      <c r="G7632" s="10"/>
      <c r="H7632" s="10"/>
      <c r="I7632" s="10"/>
      <c r="J7632" s="10"/>
      <c r="K7632" s="10"/>
      <c r="L7632" s="10"/>
    </row>
    <row r="7633" spans="1:12" ht="15" customHeight="1" x14ac:dyDescent="0.25">
      <c r="A7633" s="10"/>
      <c r="B7633" s="10"/>
      <c r="C7633" s="10"/>
      <c r="D7633" s="10"/>
      <c r="E7633" s="10"/>
      <c r="F7633" s="10"/>
      <c r="G7633" s="10"/>
      <c r="H7633" s="10"/>
      <c r="I7633" s="10"/>
      <c r="J7633" s="10"/>
      <c r="K7633" s="10"/>
      <c r="L7633" s="10"/>
    </row>
    <row r="7634" spans="1:12" ht="15" customHeight="1" x14ac:dyDescent="0.25">
      <c r="A7634" s="10"/>
      <c r="B7634" s="10"/>
      <c r="C7634" s="10"/>
      <c r="D7634" s="10"/>
      <c r="E7634" s="10"/>
      <c r="F7634" s="10"/>
      <c r="G7634" s="10"/>
      <c r="H7634" s="10"/>
      <c r="I7634" s="10"/>
      <c r="J7634" s="10"/>
      <c r="K7634" s="10"/>
      <c r="L7634" s="10"/>
    </row>
    <row r="7635" spans="1:12" ht="15" customHeight="1" x14ac:dyDescent="0.25">
      <c r="A7635" s="10"/>
      <c r="B7635" s="10"/>
      <c r="C7635" s="10"/>
      <c r="D7635" s="10"/>
      <c r="E7635" s="10"/>
      <c r="F7635" s="10"/>
      <c r="G7635" s="10"/>
      <c r="H7635" s="10"/>
      <c r="I7635" s="10"/>
      <c r="J7635" s="10"/>
      <c r="K7635" s="10"/>
      <c r="L7635" s="10"/>
    </row>
    <row r="7636" spans="1:12" ht="15" customHeight="1" x14ac:dyDescent="0.25">
      <c r="A7636" s="10"/>
      <c r="B7636" s="10"/>
      <c r="C7636" s="10"/>
      <c r="D7636" s="10"/>
      <c r="E7636" s="10"/>
      <c r="F7636" s="10"/>
      <c r="G7636" s="10"/>
      <c r="H7636" s="10"/>
      <c r="I7636" s="10"/>
      <c r="J7636" s="10"/>
      <c r="K7636" s="10"/>
      <c r="L7636" s="10"/>
    </row>
    <row r="7637" spans="1:12" ht="15" customHeight="1" x14ac:dyDescent="0.25">
      <c r="A7637" s="10"/>
      <c r="B7637" s="10"/>
      <c r="C7637" s="10"/>
      <c r="D7637" s="10"/>
      <c r="E7637" s="10"/>
      <c r="F7637" s="10"/>
      <c r="G7637" s="10"/>
      <c r="H7637" s="10"/>
      <c r="I7637" s="10"/>
      <c r="J7637" s="10"/>
      <c r="K7637" s="10"/>
      <c r="L7637" s="10"/>
    </row>
    <row r="7638" spans="1:12" ht="15" customHeight="1" x14ac:dyDescent="0.25">
      <c r="A7638" s="10"/>
      <c r="B7638" s="10"/>
      <c r="C7638" s="10"/>
      <c r="D7638" s="10"/>
      <c r="E7638" s="10"/>
      <c r="F7638" s="10"/>
      <c r="G7638" s="10"/>
      <c r="H7638" s="10"/>
      <c r="I7638" s="10"/>
      <c r="J7638" s="10"/>
      <c r="K7638" s="10"/>
      <c r="L7638" s="10"/>
    </row>
    <row r="7639" spans="1:12" ht="15" customHeight="1" x14ac:dyDescent="0.25">
      <c r="A7639" s="10"/>
      <c r="B7639" s="10"/>
      <c r="C7639" s="10"/>
      <c r="D7639" s="10"/>
      <c r="E7639" s="10"/>
      <c r="F7639" s="10"/>
      <c r="G7639" s="10"/>
      <c r="H7639" s="10"/>
      <c r="I7639" s="10"/>
      <c r="J7639" s="10"/>
      <c r="K7639" s="10"/>
      <c r="L7639" s="10"/>
    </row>
    <row r="7640" spans="1:12" ht="15" customHeight="1" x14ac:dyDescent="0.25">
      <c r="A7640" s="10"/>
      <c r="B7640" s="10"/>
      <c r="C7640" s="10"/>
      <c r="D7640" s="10"/>
      <c r="E7640" s="10"/>
      <c r="F7640" s="10"/>
      <c r="G7640" s="10"/>
      <c r="H7640" s="10"/>
      <c r="I7640" s="10"/>
      <c r="J7640" s="10"/>
      <c r="K7640" s="10"/>
      <c r="L7640" s="10"/>
    </row>
    <row r="7641" spans="1:12" ht="15" customHeight="1" x14ac:dyDescent="0.25">
      <c r="A7641" s="10"/>
      <c r="B7641" s="10"/>
      <c r="C7641" s="10"/>
      <c r="D7641" s="10"/>
      <c r="E7641" s="10"/>
      <c r="F7641" s="10"/>
      <c r="G7641" s="10"/>
      <c r="H7641" s="10"/>
      <c r="I7641" s="10"/>
      <c r="J7641" s="10"/>
      <c r="K7641" s="10"/>
      <c r="L7641" s="10"/>
    </row>
    <row r="7642" spans="1:12" ht="15" customHeight="1" x14ac:dyDescent="0.25">
      <c r="A7642" s="10"/>
      <c r="B7642" s="10"/>
      <c r="C7642" s="10"/>
      <c r="D7642" s="10"/>
      <c r="E7642" s="10"/>
      <c r="F7642" s="10"/>
      <c r="G7642" s="10"/>
      <c r="H7642" s="10"/>
      <c r="I7642" s="10"/>
      <c r="J7642" s="10"/>
      <c r="K7642" s="10"/>
      <c r="L7642" s="10"/>
    </row>
    <row r="7643" spans="1:12" ht="15" customHeight="1" x14ac:dyDescent="0.25">
      <c r="A7643" s="10"/>
      <c r="B7643" s="10"/>
      <c r="C7643" s="10"/>
      <c r="D7643" s="10"/>
      <c r="E7643" s="10"/>
      <c r="F7643" s="10"/>
      <c r="G7643" s="10"/>
      <c r="H7643" s="10"/>
      <c r="I7643" s="10"/>
      <c r="J7643" s="10"/>
      <c r="K7643" s="10"/>
      <c r="L7643" s="10"/>
    </row>
    <row r="7644" spans="1:12" ht="15" customHeight="1" x14ac:dyDescent="0.25">
      <c r="A7644" s="10"/>
      <c r="B7644" s="10"/>
      <c r="C7644" s="10"/>
      <c r="D7644" s="10"/>
      <c r="E7644" s="10"/>
      <c r="F7644" s="10"/>
      <c r="G7644" s="10"/>
      <c r="H7644" s="10"/>
      <c r="I7644" s="10"/>
      <c r="J7644" s="10"/>
      <c r="K7644" s="10"/>
      <c r="L7644" s="10"/>
    </row>
    <row r="7645" spans="1:12" ht="15" customHeight="1" x14ac:dyDescent="0.25">
      <c r="A7645" s="10"/>
      <c r="B7645" s="10"/>
      <c r="C7645" s="10"/>
      <c r="D7645" s="10"/>
      <c r="E7645" s="10"/>
      <c r="F7645" s="10"/>
      <c r="G7645" s="10"/>
      <c r="H7645" s="10"/>
      <c r="I7645" s="10"/>
      <c r="J7645" s="10"/>
      <c r="K7645" s="10"/>
      <c r="L7645" s="10"/>
    </row>
    <row r="7646" spans="1:12" ht="15" customHeight="1" x14ac:dyDescent="0.25">
      <c r="A7646" s="10"/>
      <c r="B7646" s="10"/>
      <c r="C7646" s="10"/>
      <c r="D7646" s="10"/>
      <c r="E7646" s="10"/>
      <c r="F7646" s="10"/>
      <c r="G7646" s="10"/>
      <c r="H7646" s="10"/>
      <c r="I7646" s="10"/>
      <c r="J7646" s="10"/>
      <c r="K7646" s="10"/>
      <c r="L7646" s="10"/>
    </row>
    <row r="7647" spans="1:12" ht="15" customHeight="1" x14ac:dyDescent="0.25">
      <c r="A7647" s="10"/>
      <c r="B7647" s="10"/>
      <c r="C7647" s="10"/>
      <c r="D7647" s="10"/>
      <c r="E7647" s="10"/>
      <c r="F7647" s="10"/>
      <c r="G7647" s="10"/>
      <c r="H7647" s="10"/>
      <c r="I7647" s="10"/>
      <c r="J7647" s="10"/>
      <c r="K7647" s="10"/>
      <c r="L7647" s="10"/>
    </row>
    <row r="7648" spans="1:12" ht="15" customHeight="1" x14ac:dyDescent="0.25">
      <c r="A7648" s="10"/>
      <c r="B7648" s="10"/>
      <c r="C7648" s="10"/>
      <c r="D7648" s="10"/>
      <c r="E7648" s="10"/>
      <c r="F7648" s="10"/>
      <c r="G7648" s="10"/>
      <c r="H7648" s="10"/>
      <c r="I7648" s="10"/>
      <c r="J7648" s="10"/>
      <c r="K7648" s="10"/>
      <c r="L7648" s="10"/>
    </row>
    <row r="7649" spans="1:12" ht="15" customHeight="1" x14ac:dyDescent="0.25">
      <c r="A7649" s="10"/>
      <c r="B7649" s="10"/>
      <c r="C7649" s="10"/>
      <c r="D7649" s="10"/>
      <c r="E7649" s="10"/>
      <c r="F7649" s="10"/>
      <c r="G7649" s="10"/>
      <c r="H7649" s="10"/>
      <c r="I7649" s="10"/>
      <c r="J7649" s="10"/>
      <c r="K7649" s="10"/>
      <c r="L7649" s="10"/>
    </row>
    <row r="7650" spans="1:12" ht="15" customHeight="1" x14ac:dyDescent="0.25">
      <c r="A7650" s="10"/>
      <c r="B7650" s="10"/>
      <c r="C7650" s="10"/>
      <c r="D7650" s="10"/>
      <c r="E7650" s="10"/>
      <c r="F7650" s="10"/>
      <c r="G7650" s="10"/>
      <c r="H7650" s="10"/>
      <c r="I7650" s="10"/>
      <c r="J7650" s="10"/>
      <c r="K7650" s="10"/>
      <c r="L7650" s="10"/>
    </row>
    <row r="7651" spans="1:12" ht="15" customHeight="1" x14ac:dyDescent="0.25">
      <c r="A7651" s="10"/>
      <c r="B7651" s="10"/>
      <c r="C7651" s="10"/>
      <c r="D7651" s="10"/>
      <c r="E7651" s="10"/>
      <c r="F7651" s="10"/>
      <c r="G7651" s="10"/>
      <c r="H7651" s="10"/>
      <c r="I7651" s="10"/>
      <c r="J7651" s="10"/>
      <c r="K7651" s="10"/>
      <c r="L7651" s="10"/>
    </row>
    <row r="7652" spans="1:12" ht="15" customHeight="1" x14ac:dyDescent="0.25">
      <c r="A7652" s="10"/>
      <c r="B7652" s="10"/>
      <c r="C7652" s="10"/>
      <c r="D7652" s="10"/>
      <c r="E7652" s="10"/>
      <c r="F7652" s="10"/>
      <c r="G7652" s="10"/>
      <c r="H7652" s="10"/>
      <c r="I7652" s="10"/>
      <c r="J7652" s="10"/>
      <c r="K7652" s="10"/>
      <c r="L7652" s="10"/>
    </row>
    <row r="7653" spans="1:12" ht="15" customHeight="1" x14ac:dyDescent="0.25">
      <c r="A7653" s="10"/>
      <c r="B7653" s="10"/>
      <c r="C7653" s="10"/>
      <c r="D7653" s="10"/>
      <c r="E7653" s="10"/>
      <c r="F7653" s="10"/>
      <c r="G7653" s="10"/>
      <c r="H7653" s="10"/>
      <c r="I7653" s="10"/>
      <c r="J7653" s="10"/>
      <c r="K7653" s="10"/>
      <c r="L7653" s="10"/>
    </row>
    <row r="7654" spans="1:12" ht="15" customHeight="1" x14ac:dyDescent="0.25">
      <c r="A7654" s="10"/>
      <c r="B7654" s="10"/>
      <c r="C7654" s="10"/>
      <c r="D7654" s="10"/>
      <c r="E7654" s="10"/>
      <c r="F7654" s="10"/>
      <c r="G7654" s="10"/>
      <c r="H7654" s="10"/>
      <c r="I7654" s="10"/>
      <c r="J7654" s="10"/>
      <c r="K7654" s="10"/>
      <c r="L7654" s="10"/>
    </row>
    <row r="7655" spans="1:12" ht="15" customHeight="1" x14ac:dyDescent="0.25">
      <c r="A7655" s="10"/>
      <c r="B7655" s="10"/>
      <c r="C7655" s="10"/>
      <c r="D7655" s="10"/>
      <c r="E7655" s="10"/>
      <c r="F7655" s="10"/>
      <c r="G7655" s="10"/>
      <c r="H7655" s="10"/>
      <c r="I7655" s="10"/>
      <c r="J7655" s="10"/>
      <c r="K7655" s="10"/>
      <c r="L7655" s="10"/>
    </row>
    <row r="7656" spans="1:12" ht="15" customHeight="1" x14ac:dyDescent="0.25">
      <c r="A7656" s="10"/>
      <c r="B7656" s="10"/>
      <c r="C7656" s="10"/>
      <c r="D7656" s="10"/>
      <c r="E7656" s="10"/>
      <c r="F7656" s="10"/>
      <c r="G7656" s="10"/>
      <c r="H7656" s="10"/>
      <c r="I7656" s="10"/>
      <c r="J7656" s="10"/>
      <c r="K7656" s="10"/>
      <c r="L7656" s="10"/>
    </row>
    <row r="7657" spans="1:12" ht="15" customHeight="1" x14ac:dyDescent="0.25">
      <c r="A7657" s="10"/>
      <c r="B7657" s="10"/>
      <c r="C7657" s="10"/>
      <c r="D7657" s="10"/>
      <c r="E7657" s="10"/>
      <c r="F7657" s="10"/>
      <c r="G7657" s="10"/>
      <c r="H7657" s="10"/>
      <c r="I7657" s="10"/>
      <c r="J7657" s="10"/>
      <c r="K7657" s="10"/>
      <c r="L7657" s="10"/>
    </row>
    <row r="7658" spans="1:12" ht="15" customHeight="1" x14ac:dyDescent="0.25">
      <c r="A7658" s="10"/>
      <c r="B7658" s="10"/>
      <c r="C7658" s="10"/>
      <c r="D7658" s="10"/>
      <c r="E7658" s="10"/>
      <c r="F7658" s="10"/>
      <c r="G7658" s="10"/>
      <c r="H7658" s="10"/>
      <c r="I7658" s="10"/>
      <c r="J7658" s="10"/>
      <c r="K7658" s="10"/>
      <c r="L7658" s="10"/>
    </row>
    <row r="7659" spans="1:12" ht="15" customHeight="1" x14ac:dyDescent="0.25">
      <c r="A7659" s="10"/>
      <c r="B7659" s="10"/>
      <c r="C7659" s="10"/>
      <c r="D7659" s="10"/>
      <c r="E7659" s="10"/>
      <c r="F7659" s="10"/>
      <c r="G7659" s="10"/>
      <c r="H7659" s="10"/>
      <c r="I7659" s="10"/>
      <c r="J7659" s="10"/>
      <c r="K7659" s="10"/>
      <c r="L7659" s="10"/>
    </row>
    <row r="7660" spans="1:12" ht="15" customHeight="1" x14ac:dyDescent="0.25">
      <c r="A7660" s="10"/>
      <c r="B7660" s="10"/>
      <c r="C7660" s="10"/>
      <c r="D7660" s="10"/>
      <c r="E7660" s="10"/>
      <c r="F7660" s="10"/>
      <c r="G7660" s="10"/>
      <c r="H7660" s="10"/>
      <c r="I7660" s="10"/>
      <c r="J7660" s="10"/>
      <c r="K7660" s="10"/>
      <c r="L7660" s="10"/>
    </row>
    <row r="7661" spans="1:12" ht="15" customHeight="1" x14ac:dyDescent="0.25">
      <c r="A7661" s="10"/>
      <c r="B7661" s="10"/>
      <c r="C7661" s="10"/>
      <c r="D7661" s="10"/>
      <c r="E7661" s="10"/>
      <c r="F7661" s="10"/>
      <c r="G7661" s="10"/>
      <c r="H7661" s="10"/>
      <c r="I7661" s="10"/>
      <c r="J7661" s="10"/>
      <c r="K7661" s="10"/>
      <c r="L7661" s="10"/>
    </row>
    <row r="7662" spans="1:12" ht="15" customHeight="1" x14ac:dyDescent="0.25">
      <c r="A7662" s="10"/>
      <c r="B7662" s="10"/>
      <c r="C7662" s="10"/>
      <c r="D7662" s="10"/>
      <c r="E7662" s="10"/>
      <c r="F7662" s="10"/>
      <c r="G7662" s="10"/>
      <c r="H7662" s="10"/>
      <c r="I7662" s="10"/>
      <c r="J7662" s="10"/>
      <c r="K7662" s="10"/>
      <c r="L7662" s="10"/>
    </row>
    <row r="7663" spans="1:12" ht="15" customHeight="1" x14ac:dyDescent="0.25">
      <c r="A7663" s="10"/>
      <c r="B7663" s="10"/>
      <c r="C7663" s="10"/>
      <c r="D7663" s="10"/>
      <c r="E7663" s="10"/>
      <c r="F7663" s="10"/>
      <c r="G7663" s="10"/>
      <c r="H7663" s="10"/>
      <c r="I7663" s="10"/>
      <c r="J7663" s="10"/>
      <c r="K7663" s="10"/>
      <c r="L7663" s="10"/>
    </row>
    <row r="7664" spans="1:12" ht="15" customHeight="1" x14ac:dyDescent="0.25">
      <c r="A7664" s="10"/>
      <c r="B7664" s="10"/>
      <c r="C7664" s="10"/>
      <c r="D7664" s="10"/>
      <c r="E7664" s="10"/>
      <c r="F7664" s="10"/>
      <c r="G7664" s="10"/>
      <c r="H7664" s="10"/>
      <c r="I7664" s="10"/>
      <c r="J7664" s="10"/>
      <c r="K7664" s="10"/>
      <c r="L7664" s="10"/>
    </row>
    <row r="7665" spans="1:12" ht="15" customHeight="1" x14ac:dyDescent="0.25">
      <c r="A7665" s="10"/>
      <c r="B7665" s="10"/>
      <c r="C7665" s="10"/>
      <c r="D7665" s="10"/>
      <c r="E7665" s="10"/>
      <c r="F7665" s="10"/>
      <c r="G7665" s="10"/>
      <c r="H7665" s="10"/>
      <c r="I7665" s="10"/>
      <c r="J7665" s="10"/>
      <c r="K7665" s="10"/>
      <c r="L7665" s="10"/>
    </row>
    <row r="7666" spans="1:12" ht="15" customHeight="1" x14ac:dyDescent="0.25">
      <c r="A7666" s="10"/>
      <c r="B7666" s="10"/>
      <c r="C7666" s="10"/>
      <c r="D7666" s="10"/>
      <c r="E7666" s="10"/>
      <c r="F7666" s="10"/>
      <c r="G7666" s="10"/>
      <c r="H7666" s="10"/>
      <c r="I7666" s="10"/>
      <c r="J7666" s="10"/>
      <c r="K7666" s="10"/>
      <c r="L7666" s="10"/>
    </row>
    <row r="7667" spans="1:12" ht="15" customHeight="1" x14ac:dyDescent="0.25">
      <c r="A7667" s="10"/>
      <c r="B7667" s="10"/>
      <c r="C7667" s="10"/>
      <c r="D7667" s="10"/>
      <c r="E7667" s="10"/>
      <c r="F7667" s="10"/>
      <c r="G7667" s="10"/>
      <c r="H7667" s="10"/>
      <c r="I7667" s="10"/>
      <c r="J7667" s="10"/>
      <c r="K7667" s="10"/>
      <c r="L7667" s="10"/>
    </row>
    <row r="7668" spans="1:12" ht="15" customHeight="1" x14ac:dyDescent="0.25">
      <c r="A7668" s="10"/>
      <c r="B7668" s="10"/>
      <c r="C7668" s="10"/>
      <c r="D7668" s="10"/>
      <c r="E7668" s="10"/>
      <c r="F7668" s="10"/>
      <c r="G7668" s="10"/>
      <c r="H7668" s="10"/>
      <c r="I7668" s="10"/>
      <c r="J7668" s="10"/>
      <c r="K7668" s="10"/>
      <c r="L7668" s="10"/>
    </row>
    <row r="7669" spans="1:12" ht="15" customHeight="1" x14ac:dyDescent="0.25">
      <c r="A7669" s="10"/>
      <c r="B7669" s="10"/>
      <c r="C7669" s="10"/>
      <c r="D7669" s="10"/>
      <c r="E7669" s="10"/>
      <c r="F7669" s="10"/>
      <c r="G7669" s="10"/>
      <c r="H7669" s="10"/>
      <c r="I7669" s="10"/>
      <c r="J7669" s="10"/>
      <c r="K7669" s="10"/>
      <c r="L7669" s="10"/>
    </row>
    <row r="7670" spans="1:12" ht="15" customHeight="1" x14ac:dyDescent="0.25">
      <c r="A7670" s="10"/>
      <c r="B7670" s="10"/>
      <c r="C7670" s="10"/>
      <c r="D7670" s="10"/>
      <c r="E7670" s="10"/>
      <c r="F7670" s="10"/>
      <c r="G7670" s="10"/>
      <c r="H7670" s="10"/>
      <c r="I7670" s="10"/>
      <c r="J7670" s="10"/>
      <c r="K7670" s="10"/>
      <c r="L7670" s="10"/>
    </row>
    <row r="7671" spans="1:12" ht="15" customHeight="1" x14ac:dyDescent="0.25">
      <c r="A7671" s="10"/>
      <c r="B7671" s="10"/>
      <c r="C7671" s="10"/>
      <c r="D7671" s="10"/>
      <c r="E7671" s="10"/>
      <c r="F7671" s="10"/>
      <c r="G7671" s="10"/>
      <c r="H7671" s="10"/>
      <c r="I7671" s="10"/>
      <c r="J7671" s="10"/>
      <c r="K7671" s="10"/>
      <c r="L7671" s="10"/>
    </row>
    <row r="7672" spans="1:12" ht="15" customHeight="1" x14ac:dyDescent="0.25">
      <c r="A7672" s="10"/>
      <c r="B7672" s="10"/>
      <c r="C7672" s="10"/>
      <c r="D7672" s="10"/>
      <c r="E7672" s="10"/>
      <c r="F7672" s="10"/>
      <c r="G7672" s="10"/>
      <c r="H7672" s="10"/>
      <c r="I7672" s="10"/>
      <c r="J7672" s="10"/>
      <c r="K7672" s="10"/>
      <c r="L7672" s="10"/>
    </row>
    <row r="7673" spans="1:12" ht="15" customHeight="1" x14ac:dyDescent="0.25">
      <c r="A7673" s="10"/>
      <c r="B7673" s="10"/>
      <c r="C7673" s="10"/>
      <c r="D7673" s="10"/>
      <c r="E7673" s="10"/>
      <c r="F7673" s="10"/>
      <c r="G7673" s="10"/>
      <c r="H7673" s="10"/>
      <c r="I7673" s="10"/>
      <c r="J7673" s="10"/>
      <c r="K7673" s="10"/>
      <c r="L7673" s="10"/>
    </row>
    <row r="7674" spans="1:12" ht="15" customHeight="1" x14ac:dyDescent="0.25">
      <c r="A7674" s="10"/>
      <c r="B7674" s="10"/>
      <c r="C7674" s="10"/>
      <c r="D7674" s="10"/>
      <c r="E7674" s="10"/>
      <c r="F7674" s="10"/>
      <c r="G7674" s="10"/>
      <c r="H7674" s="10"/>
      <c r="I7674" s="10"/>
      <c r="J7674" s="10"/>
      <c r="K7674" s="10"/>
      <c r="L7674" s="10"/>
    </row>
    <row r="7675" spans="1:12" ht="15" customHeight="1" x14ac:dyDescent="0.25">
      <c r="A7675" s="10"/>
      <c r="B7675" s="10"/>
      <c r="C7675" s="10"/>
      <c r="D7675" s="10"/>
      <c r="E7675" s="10"/>
      <c r="F7675" s="10"/>
      <c r="G7675" s="10"/>
      <c r="H7675" s="10"/>
      <c r="I7675" s="10"/>
      <c r="J7675" s="10"/>
      <c r="K7675" s="10"/>
      <c r="L7675" s="10"/>
    </row>
    <row r="7676" spans="1:12" ht="15" customHeight="1" x14ac:dyDescent="0.25">
      <c r="A7676" s="10"/>
      <c r="B7676" s="10"/>
      <c r="C7676" s="10"/>
      <c r="D7676" s="10"/>
      <c r="E7676" s="10"/>
      <c r="F7676" s="10"/>
      <c r="G7676" s="10"/>
      <c r="H7676" s="10"/>
      <c r="I7676" s="10"/>
      <c r="J7676" s="10"/>
      <c r="K7676" s="10"/>
      <c r="L7676" s="10"/>
    </row>
    <row r="7677" spans="1:12" ht="15" customHeight="1" x14ac:dyDescent="0.25">
      <c r="A7677" s="10"/>
      <c r="B7677" s="10"/>
      <c r="C7677" s="10"/>
      <c r="D7677" s="10"/>
      <c r="E7677" s="10"/>
      <c r="F7677" s="10"/>
      <c r="G7677" s="10"/>
      <c r="H7677" s="10"/>
      <c r="I7677" s="10"/>
      <c r="J7677" s="10"/>
      <c r="K7677" s="10"/>
      <c r="L7677" s="10"/>
    </row>
    <row r="7678" spans="1:12" ht="15" customHeight="1" x14ac:dyDescent="0.25">
      <c r="A7678" s="10"/>
      <c r="B7678" s="10"/>
      <c r="C7678" s="10"/>
      <c r="D7678" s="10"/>
      <c r="E7678" s="10"/>
      <c r="F7678" s="10"/>
      <c r="G7678" s="10"/>
      <c r="H7678" s="10"/>
      <c r="I7678" s="10"/>
      <c r="J7678" s="10"/>
      <c r="K7678" s="10"/>
      <c r="L7678" s="10"/>
    </row>
    <row r="7679" spans="1:12" ht="15" customHeight="1" x14ac:dyDescent="0.25">
      <c r="A7679" s="10"/>
      <c r="B7679" s="10"/>
      <c r="C7679" s="10"/>
      <c r="D7679" s="10"/>
      <c r="E7679" s="10"/>
      <c r="F7679" s="10"/>
      <c r="G7679" s="10"/>
      <c r="H7679" s="10"/>
      <c r="I7679" s="10"/>
      <c r="J7679" s="10"/>
      <c r="K7679" s="10"/>
      <c r="L7679" s="10"/>
    </row>
    <row r="7680" spans="1:12" ht="15" customHeight="1" x14ac:dyDescent="0.25">
      <c r="A7680" s="10"/>
      <c r="B7680" s="10"/>
      <c r="C7680" s="10"/>
      <c r="D7680" s="10"/>
      <c r="E7680" s="10"/>
      <c r="F7680" s="10"/>
      <c r="G7680" s="10"/>
      <c r="H7680" s="10"/>
      <c r="I7680" s="10"/>
      <c r="J7680" s="10"/>
      <c r="K7680" s="10"/>
      <c r="L7680" s="10"/>
    </row>
    <row r="7681" spans="1:12" ht="15" customHeight="1" x14ac:dyDescent="0.25">
      <c r="A7681" s="10"/>
      <c r="B7681" s="10"/>
      <c r="C7681" s="10"/>
      <c r="D7681" s="10"/>
      <c r="E7681" s="10"/>
      <c r="F7681" s="10"/>
      <c r="G7681" s="10"/>
      <c r="H7681" s="10"/>
      <c r="I7681" s="10"/>
      <c r="J7681" s="10"/>
      <c r="K7681" s="10"/>
      <c r="L7681" s="10"/>
    </row>
    <row r="7682" spans="1:12" ht="15" customHeight="1" x14ac:dyDescent="0.25">
      <c r="A7682" s="10"/>
      <c r="B7682" s="10"/>
      <c r="C7682" s="10"/>
      <c r="D7682" s="10"/>
      <c r="E7682" s="10"/>
      <c r="F7682" s="10"/>
      <c r="G7682" s="10"/>
      <c r="H7682" s="10"/>
      <c r="I7682" s="10"/>
      <c r="J7682" s="10"/>
      <c r="K7682" s="10"/>
      <c r="L7682" s="10"/>
    </row>
    <row r="7683" spans="1:12" ht="15" customHeight="1" x14ac:dyDescent="0.25">
      <c r="A7683" s="10"/>
      <c r="B7683" s="10"/>
      <c r="C7683" s="10"/>
      <c r="D7683" s="10"/>
      <c r="E7683" s="10"/>
      <c r="F7683" s="10"/>
      <c r="G7683" s="10"/>
      <c r="H7683" s="10"/>
      <c r="I7683" s="10"/>
      <c r="J7683" s="10"/>
      <c r="K7683" s="10"/>
      <c r="L7683" s="10"/>
    </row>
    <row r="7684" spans="1:12" ht="15" customHeight="1" x14ac:dyDescent="0.25">
      <c r="A7684" s="10"/>
      <c r="B7684" s="10"/>
      <c r="C7684" s="10"/>
      <c r="D7684" s="10"/>
      <c r="E7684" s="10"/>
      <c r="F7684" s="10"/>
      <c r="G7684" s="10"/>
      <c r="H7684" s="10"/>
      <c r="I7684" s="10"/>
      <c r="J7684" s="10"/>
      <c r="K7684" s="10"/>
      <c r="L7684" s="10"/>
    </row>
    <row r="7685" spans="1:12" ht="15" customHeight="1" x14ac:dyDescent="0.25">
      <c r="A7685" s="10"/>
      <c r="B7685" s="10"/>
      <c r="C7685" s="10"/>
      <c r="D7685" s="10"/>
      <c r="E7685" s="10"/>
      <c r="F7685" s="10"/>
      <c r="G7685" s="10"/>
      <c r="H7685" s="10"/>
      <c r="I7685" s="10"/>
      <c r="J7685" s="10"/>
      <c r="K7685" s="10"/>
      <c r="L7685" s="10"/>
    </row>
    <row r="7686" spans="1:12" ht="15" customHeight="1" x14ac:dyDescent="0.25">
      <c r="A7686" s="10"/>
      <c r="B7686" s="10"/>
      <c r="C7686" s="10"/>
      <c r="D7686" s="10"/>
      <c r="E7686" s="10"/>
      <c r="F7686" s="10"/>
      <c r="G7686" s="10"/>
      <c r="H7686" s="10"/>
      <c r="I7686" s="10"/>
      <c r="J7686" s="10"/>
      <c r="K7686" s="10"/>
      <c r="L7686" s="10"/>
    </row>
    <row r="7687" spans="1:12" ht="15" customHeight="1" x14ac:dyDescent="0.25">
      <c r="A7687" s="10"/>
      <c r="B7687" s="10"/>
      <c r="C7687" s="10"/>
      <c r="D7687" s="10"/>
      <c r="E7687" s="10"/>
      <c r="F7687" s="10"/>
      <c r="G7687" s="10"/>
      <c r="H7687" s="10"/>
      <c r="I7687" s="10"/>
      <c r="J7687" s="10"/>
      <c r="K7687" s="10"/>
      <c r="L7687" s="10"/>
    </row>
    <row r="7688" spans="1:12" ht="15" customHeight="1" x14ac:dyDescent="0.25">
      <c r="A7688" s="10"/>
      <c r="B7688" s="10"/>
      <c r="C7688" s="10"/>
      <c r="D7688" s="10"/>
      <c r="E7688" s="10"/>
      <c r="F7688" s="10"/>
      <c r="G7688" s="10"/>
      <c r="H7688" s="10"/>
      <c r="I7688" s="10"/>
      <c r="J7688" s="10"/>
      <c r="K7688" s="10"/>
      <c r="L7688" s="10"/>
    </row>
    <row r="7689" spans="1:12" ht="15" customHeight="1" x14ac:dyDescent="0.25">
      <c r="A7689" s="10"/>
      <c r="B7689" s="10"/>
      <c r="C7689" s="10"/>
      <c r="D7689" s="10"/>
      <c r="E7689" s="10"/>
      <c r="F7689" s="10"/>
      <c r="G7689" s="10"/>
      <c r="H7689" s="10"/>
      <c r="I7689" s="10"/>
      <c r="J7689" s="10"/>
      <c r="K7689" s="10"/>
      <c r="L7689" s="10"/>
    </row>
    <row r="7690" spans="1:12" ht="15" customHeight="1" x14ac:dyDescent="0.25">
      <c r="A7690" s="10"/>
      <c r="B7690" s="10"/>
      <c r="C7690" s="10"/>
      <c r="D7690" s="10"/>
      <c r="E7690" s="10"/>
      <c r="F7690" s="10"/>
      <c r="G7690" s="10"/>
      <c r="H7690" s="10"/>
      <c r="I7690" s="10"/>
      <c r="J7690" s="10"/>
      <c r="K7690" s="10"/>
      <c r="L7690" s="10"/>
    </row>
    <row r="7691" spans="1:12" ht="15" customHeight="1" x14ac:dyDescent="0.25">
      <c r="A7691" s="10"/>
      <c r="B7691" s="10"/>
      <c r="C7691" s="10"/>
      <c r="D7691" s="10"/>
      <c r="E7691" s="10"/>
      <c r="F7691" s="10"/>
      <c r="G7691" s="10"/>
      <c r="H7691" s="10"/>
      <c r="I7691" s="10"/>
      <c r="J7691" s="10"/>
      <c r="K7691" s="10"/>
      <c r="L7691" s="10"/>
    </row>
    <row r="7692" spans="1:12" ht="15" customHeight="1" x14ac:dyDescent="0.25">
      <c r="A7692" s="10"/>
      <c r="B7692" s="10"/>
      <c r="C7692" s="10"/>
      <c r="D7692" s="10"/>
      <c r="E7692" s="10"/>
      <c r="F7692" s="10"/>
      <c r="G7692" s="10"/>
      <c r="H7692" s="10"/>
      <c r="I7692" s="10"/>
      <c r="J7692" s="10"/>
      <c r="K7692" s="10"/>
      <c r="L7692" s="10"/>
    </row>
    <row r="7693" spans="1:12" ht="15" customHeight="1" x14ac:dyDescent="0.25">
      <c r="A7693" s="10"/>
      <c r="B7693" s="10"/>
      <c r="C7693" s="10"/>
      <c r="D7693" s="10"/>
      <c r="E7693" s="10"/>
      <c r="F7693" s="10"/>
      <c r="G7693" s="10"/>
      <c r="H7693" s="10"/>
      <c r="I7693" s="10"/>
      <c r="J7693" s="10"/>
      <c r="K7693" s="10"/>
      <c r="L7693" s="10"/>
    </row>
    <row r="7694" spans="1:12" ht="15" customHeight="1" x14ac:dyDescent="0.25">
      <c r="A7694" s="10"/>
      <c r="B7694" s="10"/>
      <c r="C7694" s="10"/>
      <c r="D7694" s="10"/>
      <c r="E7694" s="10"/>
      <c r="F7694" s="10"/>
      <c r="G7694" s="10"/>
      <c r="H7694" s="10"/>
      <c r="I7694" s="10"/>
      <c r="J7694" s="10"/>
      <c r="K7694" s="10"/>
      <c r="L7694" s="10"/>
    </row>
    <row r="7695" spans="1:12" ht="15" customHeight="1" x14ac:dyDescent="0.25">
      <c r="A7695" s="10"/>
      <c r="B7695" s="10"/>
      <c r="C7695" s="10"/>
      <c r="D7695" s="10"/>
      <c r="E7695" s="10"/>
      <c r="F7695" s="10"/>
      <c r="G7695" s="10"/>
      <c r="H7695" s="10"/>
      <c r="I7695" s="10"/>
      <c r="J7695" s="10"/>
      <c r="K7695" s="10"/>
      <c r="L7695" s="10"/>
    </row>
    <row r="7696" spans="1:12" ht="15" customHeight="1" x14ac:dyDescent="0.25">
      <c r="A7696" s="10"/>
      <c r="B7696" s="10"/>
      <c r="C7696" s="10"/>
      <c r="D7696" s="10"/>
      <c r="E7696" s="10"/>
      <c r="F7696" s="10"/>
      <c r="G7696" s="10"/>
      <c r="H7696" s="10"/>
      <c r="I7696" s="10"/>
      <c r="J7696" s="10"/>
      <c r="K7696" s="10"/>
      <c r="L7696" s="10"/>
    </row>
    <row r="7697" spans="1:12" ht="15" customHeight="1" x14ac:dyDescent="0.25">
      <c r="A7697" s="10"/>
      <c r="B7697" s="10"/>
      <c r="C7697" s="10"/>
      <c r="D7697" s="10"/>
      <c r="E7697" s="10"/>
      <c r="F7697" s="10"/>
      <c r="G7697" s="10"/>
      <c r="H7697" s="10"/>
      <c r="I7697" s="10"/>
      <c r="J7697" s="10"/>
      <c r="K7697" s="10"/>
      <c r="L7697" s="10"/>
    </row>
    <row r="7698" spans="1:12" ht="15" customHeight="1" x14ac:dyDescent="0.25">
      <c r="A7698" s="10"/>
      <c r="B7698" s="10"/>
      <c r="C7698" s="10"/>
      <c r="D7698" s="10"/>
      <c r="E7698" s="10"/>
      <c r="F7698" s="10"/>
      <c r="G7698" s="10"/>
      <c r="H7698" s="10"/>
      <c r="I7698" s="10"/>
      <c r="J7698" s="10"/>
      <c r="K7698" s="10"/>
      <c r="L7698" s="10"/>
    </row>
    <row r="7699" spans="1:12" ht="15" customHeight="1" x14ac:dyDescent="0.25">
      <c r="A7699" s="10"/>
      <c r="B7699" s="10"/>
      <c r="C7699" s="10"/>
      <c r="D7699" s="10"/>
      <c r="E7699" s="10"/>
      <c r="F7699" s="10"/>
      <c r="G7699" s="10"/>
      <c r="H7699" s="10"/>
      <c r="I7699" s="10"/>
      <c r="J7699" s="10"/>
      <c r="K7699" s="10"/>
      <c r="L7699" s="10"/>
    </row>
    <row r="7700" spans="1:12" ht="15" customHeight="1" x14ac:dyDescent="0.25">
      <c r="A7700" s="10"/>
      <c r="B7700" s="10"/>
      <c r="C7700" s="10"/>
      <c r="D7700" s="10"/>
      <c r="E7700" s="10"/>
      <c r="F7700" s="10"/>
      <c r="G7700" s="10"/>
      <c r="H7700" s="10"/>
      <c r="I7700" s="10"/>
      <c r="J7700" s="10"/>
      <c r="K7700" s="10"/>
      <c r="L7700" s="10"/>
    </row>
    <row r="7701" spans="1:12" ht="15" customHeight="1" x14ac:dyDescent="0.25">
      <c r="A7701" s="10"/>
      <c r="B7701" s="10"/>
      <c r="C7701" s="10"/>
      <c r="D7701" s="10"/>
      <c r="E7701" s="10"/>
      <c r="F7701" s="10"/>
      <c r="G7701" s="10"/>
      <c r="H7701" s="10"/>
      <c r="I7701" s="10"/>
      <c r="J7701" s="10"/>
      <c r="K7701" s="10"/>
      <c r="L7701" s="10"/>
    </row>
    <row r="7702" spans="1:12" ht="15" customHeight="1" x14ac:dyDescent="0.25">
      <c r="A7702" s="10"/>
      <c r="B7702" s="10"/>
      <c r="C7702" s="10"/>
      <c r="D7702" s="10"/>
      <c r="E7702" s="10"/>
      <c r="F7702" s="10"/>
      <c r="G7702" s="10"/>
      <c r="H7702" s="10"/>
      <c r="I7702" s="10"/>
      <c r="J7702" s="10"/>
      <c r="K7702" s="10"/>
      <c r="L7702" s="10"/>
    </row>
    <row r="7703" spans="1:12" ht="15" customHeight="1" x14ac:dyDescent="0.25">
      <c r="A7703" s="10"/>
      <c r="B7703" s="10"/>
      <c r="C7703" s="10"/>
      <c r="D7703" s="10"/>
      <c r="E7703" s="10"/>
      <c r="F7703" s="10"/>
      <c r="G7703" s="10"/>
      <c r="H7703" s="10"/>
      <c r="I7703" s="10"/>
      <c r="J7703" s="10"/>
      <c r="K7703" s="10"/>
      <c r="L7703" s="10"/>
    </row>
    <row r="7704" spans="1:12" ht="15" customHeight="1" x14ac:dyDescent="0.25">
      <c r="A7704" s="10"/>
      <c r="B7704" s="10"/>
      <c r="C7704" s="10"/>
      <c r="D7704" s="10"/>
      <c r="E7704" s="10"/>
      <c r="F7704" s="10"/>
      <c r="G7704" s="10"/>
      <c r="H7704" s="10"/>
      <c r="I7704" s="10"/>
      <c r="J7704" s="10"/>
      <c r="K7704" s="10"/>
      <c r="L7704" s="10"/>
    </row>
    <row r="7705" spans="1:12" ht="15" customHeight="1" x14ac:dyDescent="0.25">
      <c r="A7705" s="10"/>
      <c r="B7705" s="10"/>
      <c r="C7705" s="10"/>
      <c r="D7705" s="10"/>
      <c r="E7705" s="10"/>
      <c r="F7705" s="10"/>
      <c r="G7705" s="10"/>
      <c r="H7705" s="10"/>
      <c r="I7705" s="10"/>
      <c r="J7705" s="10"/>
      <c r="K7705" s="10"/>
      <c r="L7705" s="10"/>
    </row>
    <row r="7706" spans="1:12" ht="15" customHeight="1" x14ac:dyDescent="0.25">
      <c r="A7706" s="10"/>
      <c r="B7706" s="10"/>
      <c r="C7706" s="10"/>
      <c r="D7706" s="10"/>
      <c r="E7706" s="10"/>
      <c r="F7706" s="10"/>
      <c r="G7706" s="10"/>
      <c r="H7706" s="10"/>
      <c r="I7706" s="10"/>
      <c r="J7706" s="10"/>
      <c r="K7706" s="10"/>
      <c r="L7706" s="10"/>
    </row>
    <row r="7707" spans="1:12" ht="15" customHeight="1" x14ac:dyDescent="0.25">
      <c r="A7707" s="10"/>
      <c r="B7707" s="10"/>
      <c r="C7707" s="10"/>
      <c r="D7707" s="10"/>
      <c r="E7707" s="10"/>
      <c r="F7707" s="10"/>
      <c r="G7707" s="10"/>
      <c r="H7707" s="10"/>
      <c r="I7707" s="10"/>
      <c r="J7707" s="10"/>
      <c r="K7707" s="10"/>
      <c r="L7707" s="10"/>
    </row>
    <row r="7708" spans="1:12" ht="15" customHeight="1" x14ac:dyDescent="0.25">
      <c r="A7708" s="10"/>
      <c r="B7708" s="10"/>
      <c r="C7708" s="10"/>
      <c r="D7708" s="10"/>
      <c r="E7708" s="10"/>
      <c r="F7708" s="10"/>
      <c r="G7708" s="10"/>
      <c r="H7708" s="10"/>
      <c r="I7708" s="10"/>
      <c r="J7708" s="10"/>
      <c r="K7708" s="10"/>
      <c r="L7708" s="10"/>
    </row>
    <row r="7709" spans="1:12" ht="15" customHeight="1" x14ac:dyDescent="0.25">
      <c r="A7709" s="10"/>
      <c r="B7709" s="10"/>
      <c r="C7709" s="10"/>
      <c r="D7709" s="10"/>
      <c r="E7709" s="10"/>
      <c r="F7709" s="10"/>
      <c r="G7709" s="10"/>
      <c r="H7709" s="10"/>
      <c r="I7709" s="10"/>
      <c r="J7709" s="10"/>
      <c r="K7709" s="10"/>
      <c r="L7709" s="10"/>
    </row>
    <row r="7710" spans="1:12" ht="15" customHeight="1" x14ac:dyDescent="0.25">
      <c r="A7710" s="10"/>
      <c r="B7710" s="10"/>
      <c r="C7710" s="10"/>
      <c r="D7710" s="10"/>
      <c r="E7710" s="10"/>
      <c r="F7710" s="10"/>
      <c r="G7710" s="10"/>
      <c r="H7710" s="10"/>
      <c r="I7710" s="10"/>
      <c r="J7710" s="10"/>
      <c r="K7710" s="10"/>
      <c r="L7710" s="10"/>
    </row>
    <row r="7711" spans="1:12" ht="15" customHeight="1" x14ac:dyDescent="0.25">
      <c r="A7711" s="10"/>
      <c r="B7711" s="10"/>
      <c r="C7711" s="10"/>
      <c r="D7711" s="10"/>
      <c r="E7711" s="10"/>
      <c r="F7711" s="10"/>
      <c r="G7711" s="10"/>
      <c r="H7711" s="10"/>
      <c r="I7711" s="10"/>
      <c r="J7711" s="10"/>
      <c r="K7711" s="10"/>
      <c r="L7711" s="10"/>
    </row>
    <row r="7712" spans="1:12" ht="15" customHeight="1" x14ac:dyDescent="0.25">
      <c r="A7712" s="10"/>
      <c r="B7712" s="10"/>
      <c r="C7712" s="10"/>
      <c r="D7712" s="10"/>
      <c r="E7712" s="10"/>
      <c r="F7712" s="10"/>
      <c r="G7712" s="10"/>
      <c r="H7712" s="10"/>
      <c r="I7712" s="10"/>
      <c r="J7712" s="10"/>
      <c r="K7712" s="10"/>
      <c r="L7712" s="10"/>
    </row>
    <row r="7713" spans="1:12" ht="15" customHeight="1" x14ac:dyDescent="0.25">
      <c r="A7713" s="10"/>
      <c r="B7713" s="10"/>
      <c r="C7713" s="10"/>
      <c r="D7713" s="10"/>
      <c r="E7713" s="10"/>
      <c r="F7713" s="10"/>
      <c r="G7713" s="10"/>
      <c r="H7713" s="10"/>
      <c r="I7713" s="10"/>
      <c r="J7713" s="10"/>
      <c r="K7713" s="10"/>
      <c r="L7713" s="10"/>
    </row>
    <row r="7714" spans="1:12" ht="15" customHeight="1" x14ac:dyDescent="0.25">
      <c r="A7714" s="10"/>
      <c r="B7714" s="10"/>
      <c r="C7714" s="10"/>
      <c r="D7714" s="10"/>
      <c r="E7714" s="10"/>
      <c r="F7714" s="10"/>
      <c r="G7714" s="10"/>
      <c r="H7714" s="10"/>
      <c r="I7714" s="10"/>
      <c r="J7714" s="10"/>
      <c r="K7714" s="10"/>
      <c r="L7714" s="10"/>
    </row>
    <row r="7715" spans="1:12" ht="15" customHeight="1" x14ac:dyDescent="0.25">
      <c r="A7715" s="10"/>
      <c r="B7715" s="10"/>
      <c r="C7715" s="10"/>
      <c r="D7715" s="10"/>
      <c r="E7715" s="10"/>
      <c r="F7715" s="10"/>
      <c r="G7715" s="10"/>
      <c r="H7715" s="10"/>
      <c r="I7715" s="10"/>
      <c r="J7715" s="10"/>
      <c r="K7715" s="10"/>
      <c r="L7715" s="10"/>
    </row>
    <row r="7716" spans="1:12" ht="15" customHeight="1" x14ac:dyDescent="0.25">
      <c r="A7716" s="10"/>
      <c r="B7716" s="10"/>
      <c r="C7716" s="10"/>
      <c r="D7716" s="10"/>
      <c r="E7716" s="10"/>
      <c r="F7716" s="10"/>
      <c r="G7716" s="10"/>
      <c r="H7716" s="10"/>
      <c r="I7716" s="10"/>
      <c r="J7716" s="10"/>
      <c r="K7716" s="10"/>
      <c r="L7716" s="10"/>
    </row>
    <row r="7717" spans="1:12" ht="15" customHeight="1" x14ac:dyDescent="0.25">
      <c r="A7717" s="10"/>
      <c r="B7717" s="10"/>
      <c r="C7717" s="10"/>
      <c r="D7717" s="10"/>
      <c r="E7717" s="10"/>
      <c r="F7717" s="10"/>
      <c r="G7717" s="10"/>
      <c r="H7717" s="10"/>
      <c r="I7717" s="10"/>
      <c r="J7717" s="10"/>
      <c r="K7717" s="10"/>
      <c r="L7717" s="10"/>
    </row>
    <row r="7718" spans="1:12" ht="15" customHeight="1" x14ac:dyDescent="0.25">
      <c r="A7718" s="10"/>
      <c r="B7718" s="10"/>
      <c r="C7718" s="10"/>
      <c r="D7718" s="10"/>
      <c r="E7718" s="10"/>
      <c r="F7718" s="10"/>
      <c r="G7718" s="10"/>
      <c r="H7718" s="10"/>
      <c r="I7718" s="10"/>
      <c r="J7718" s="10"/>
      <c r="K7718" s="10"/>
      <c r="L7718" s="10"/>
    </row>
    <row r="7719" spans="1:12" ht="15" customHeight="1" x14ac:dyDescent="0.25">
      <c r="A7719" s="10"/>
      <c r="B7719" s="10"/>
      <c r="C7719" s="10"/>
      <c r="D7719" s="10"/>
      <c r="E7719" s="10"/>
      <c r="F7719" s="10"/>
      <c r="G7719" s="10"/>
      <c r="H7719" s="10"/>
      <c r="I7719" s="10"/>
      <c r="J7719" s="10"/>
      <c r="K7719" s="10"/>
      <c r="L7719" s="10"/>
    </row>
    <row r="7720" spans="1:12" ht="15" customHeight="1" x14ac:dyDescent="0.25">
      <c r="A7720" s="10"/>
      <c r="B7720" s="10"/>
      <c r="C7720" s="10"/>
      <c r="D7720" s="10"/>
      <c r="E7720" s="10"/>
      <c r="F7720" s="10"/>
      <c r="G7720" s="10"/>
      <c r="H7720" s="10"/>
      <c r="I7720" s="10"/>
      <c r="J7720" s="10"/>
      <c r="K7720" s="10"/>
      <c r="L7720" s="10"/>
    </row>
    <row r="7721" spans="1:12" ht="15" customHeight="1" x14ac:dyDescent="0.25">
      <c r="A7721" s="10"/>
      <c r="B7721" s="10"/>
      <c r="C7721" s="10"/>
      <c r="D7721" s="10"/>
      <c r="E7721" s="10"/>
      <c r="F7721" s="10"/>
      <c r="G7721" s="10"/>
      <c r="H7721" s="10"/>
      <c r="I7721" s="10"/>
      <c r="J7721" s="10"/>
      <c r="K7721" s="10"/>
      <c r="L7721" s="10"/>
    </row>
    <row r="7722" spans="1:12" ht="15" customHeight="1" x14ac:dyDescent="0.25">
      <c r="A7722" s="10"/>
      <c r="B7722" s="10"/>
      <c r="C7722" s="10"/>
      <c r="D7722" s="10"/>
      <c r="E7722" s="10"/>
      <c r="F7722" s="10"/>
      <c r="G7722" s="10"/>
      <c r="H7722" s="10"/>
      <c r="I7722" s="10"/>
      <c r="J7722" s="10"/>
      <c r="K7722" s="10"/>
      <c r="L7722" s="10"/>
    </row>
    <row r="7723" spans="1:12" ht="15" customHeight="1" x14ac:dyDescent="0.25">
      <c r="A7723" s="10"/>
      <c r="B7723" s="10"/>
      <c r="C7723" s="10"/>
      <c r="D7723" s="10"/>
      <c r="E7723" s="10"/>
      <c r="F7723" s="10"/>
      <c r="G7723" s="10"/>
      <c r="H7723" s="10"/>
      <c r="I7723" s="10"/>
      <c r="J7723" s="10"/>
      <c r="K7723" s="10"/>
      <c r="L7723" s="10"/>
    </row>
    <row r="7724" spans="1:12" ht="15" customHeight="1" x14ac:dyDescent="0.25">
      <c r="A7724" s="10"/>
      <c r="B7724" s="10"/>
      <c r="C7724" s="10"/>
      <c r="D7724" s="10"/>
      <c r="E7724" s="10"/>
      <c r="F7724" s="10"/>
      <c r="G7724" s="10"/>
      <c r="H7724" s="10"/>
      <c r="I7724" s="10"/>
      <c r="J7724" s="10"/>
      <c r="K7724" s="10"/>
      <c r="L7724" s="10"/>
    </row>
    <row r="7725" spans="1:12" ht="15" customHeight="1" x14ac:dyDescent="0.25">
      <c r="A7725" s="10"/>
      <c r="B7725" s="10"/>
      <c r="C7725" s="10"/>
      <c r="D7725" s="10"/>
      <c r="E7725" s="10"/>
      <c r="F7725" s="10"/>
      <c r="G7725" s="10"/>
      <c r="H7725" s="10"/>
      <c r="I7725" s="10"/>
      <c r="J7725" s="10"/>
      <c r="K7725" s="10"/>
      <c r="L7725" s="10"/>
    </row>
    <row r="7726" spans="1:12" ht="15" customHeight="1" x14ac:dyDescent="0.25">
      <c r="A7726" s="10"/>
      <c r="B7726" s="10"/>
      <c r="C7726" s="10"/>
      <c r="D7726" s="10"/>
      <c r="E7726" s="10"/>
      <c r="F7726" s="10"/>
      <c r="G7726" s="10"/>
      <c r="H7726" s="10"/>
      <c r="I7726" s="10"/>
      <c r="J7726" s="10"/>
      <c r="K7726" s="10"/>
      <c r="L7726" s="10"/>
    </row>
    <row r="7727" spans="1:12" ht="15" customHeight="1" x14ac:dyDescent="0.25">
      <c r="A7727" s="10"/>
      <c r="B7727" s="10"/>
      <c r="C7727" s="10"/>
      <c r="D7727" s="10"/>
      <c r="E7727" s="10"/>
      <c r="F7727" s="10"/>
      <c r="G7727" s="10"/>
      <c r="H7727" s="10"/>
      <c r="I7727" s="10"/>
      <c r="J7727" s="10"/>
      <c r="K7727" s="10"/>
      <c r="L7727" s="10"/>
    </row>
    <row r="7728" spans="1:12" ht="15" customHeight="1" x14ac:dyDescent="0.25">
      <c r="A7728" s="10"/>
      <c r="B7728" s="10"/>
      <c r="C7728" s="10"/>
      <c r="D7728" s="10"/>
      <c r="E7728" s="10"/>
      <c r="F7728" s="10"/>
      <c r="G7728" s="10"/>
      <c r="H7728" s="10"/>
      <c r="I7728" s="10"/>
      <c r="J7728" s="10"/>
      <c r="K7728" s="10"/>
      <c r="L7728" s="10"/>
    </row>
    <row r="7729" spans="1:12" ht="15" customHeight="1" x14ac:dyDescent="0.25">
      <c r="A7729" s="10"/>
      <c r="B7729" s="10"/>
      <c r="C7729" s="10"/>
      <c r="D7729" s="10"/>
      <c r="E7729" s="10"/>
      <c r="F7729" s="10"/>
      <c r="G7729" s="10"/>
      <c r="H7729" s="10"/>
      <c r="I7729" s="10"/>
      <c r="J7729" s="10"/>
      <c r="K7729" s="10"/>
      <c r="L7729" s="10"/>
    </row>
    <row r="7730" spans="1:12" ht="15" customHeight="1" x14ac:dyDescent="0.25">
      <c r="A7730" s="10"/>
      <c r="B7730" s="10"/>
      <c r="C7730" s="10"/>
      <c r="D7730" s="10"/>
      <c r="E7730" s="10"/>
      <c r="F7730" s="10"/>
      <c r="G7730" s="10"/>
      <c r="H7730" s="10"/>
      <c r="I7730" s="10"/>
      <c r="J7730" s="10"/>
      <c r="K7730" s="10"/>
      <c r="L7730" s="10"/>
    </row>
    <row r="7731" spans="1:12" ht="15" customHeight="1" x14ac:dyDescent="0.25">
      <c r="A7731" s="10"/>
      <c r="B7731" s="10"/>
      <c r="C7731" s="10"/>
      <c r="D7731" s="10"/>
      <c r="E7731" s="10"/>
      <c r="F7731" s="10"/>
      <c r="G7731" s="10"/>
      <c r="H7731" s="10"/>
      <c r="I7731" s="10"/>
      <c r="J7731" s="10"/>
      <c r="K7731" s="10"/>
      <c r="L7731" s="10"/>
    </row>
    <row r="7732" spans="1:12" ht="15" customHeight="1" x14ac:dyDescent="0.25">
      <c r="A7732" s="10"/>
      <c r="B7732" s="10"/>
      <c r="C7732" s="10"/>
      <c r="D7732" s="10"/>
      <c r="E7732" s="10"/>
      <c r="F7732" s="10"/>
      <c r="G7732" s="10"/>
      <c r="H7732" s="10"/>
      <c r="I7732" s="10"/>
      <c r="J7732" s="10"/>
      <c r="K7732" s="10"/>
      <c r="L7732" s="10"/>
    </row>
    <row r="7733" spans="1:12" ht="15" customHeight="1" x14ac:dyDescent="0.25">
      <c r="A7733" s="10"/>
      <c r="B7733" s="10"/>
      <c r="C7733" s="10"/>
      <c r="D7733" s="10"/>
      <c r="E7733" s="10"/>
      <c r="F7733" s="10"/>
      <c r="G7733" s="10"/>
      <c r="H7733" s="10"/>
      <c r="I7733" s="10"/>
      <c r="J7733" s="10"/>
      <c r="K7733" s="10"/>
      <c r="L7733" s="10"/>
    </row>
    <row r="7734" spans="1:12" ht="15" customHeight="1" x14ac:dyDescent="0.25">
      <c r="A7734" s="10"/>
      <c r="B7734" s="10"/>
      <c r="C7734" s="10"/>
      <c r="D7734" s="10"/>
      <c r="E7734" s="10"/>
      <c r="F7734" s="10"/>
      <c r="G7734" s="10"/>
      <c r="H7734" s="10"/>
      <c r="I7734" s="10"/>
      <c r="J7734" s="10"/>
      <c r="K7734" s="10"/>
      <c r="L7734" s="10"/>
    </row>
    <row r="7735" spans="1:12" ht="15" customHeight="1" x14ac:dyDescent="0.25">
      <c r="A7735" s="10"/>
      <c r="B7735" s="10"/>
      <c r="C7735" s="10"/>
      <c r="D7735" s="10"/>
      <c r="E7735" s="10"/>
      <c r="F7735" s="10"/>
      <c r="G7735" s="10"/>
      <c r="H7735" s="10"/>
      <c r="I7735" s="10"/>
      <c r="J7735" s="10"/>
      <c r="K7735" s="10"/>
      <c r="L7735" s="10"/>
    </row>
    <row r="7736" spans="1:12" ht="15" customHeight="1" x14ac:dyDescent="0.25">
      <c r="A7736" s="10"/>
      <c r="B7736" s="10"/>
      <c r="C7736" s="10"/>
      <c r="D7736" s="10"/>
      <c r="E7736" s="10"/>
      <c r="F7736" s="10"/>
      <c r="G7736" s="10"/>
      <c r="H7736" s="10"/>
      <c r="I7736" s="10"/>
      <c r="J7736" s="10"/>
      <c r="K7736" s="10"/>
      <c r="L7736" s="10"/>
    </row>
    <row r="7737" spans="1:12" ht="15" customHeight="1" x14ac:dyDescent="0.25">
      <c r="A7737" s="10"/>
      <c r="B7737" s="10"/>
      <c r="C7737" s="10"/>
      <c r="D7737" s="10"/>
      <c r="E7737" s="10"/>
      <c r="F7737" s="10"/>
      <c r="G7737" s="10"/>
      <c r="H7737" s="10"/>
      <c r="I7737" s="10"/>
      <c r="J7737" s="10"/>
      <c r="K7737" s="10"/>
      <c r="L7737" s="10"/>
    </row>
    <row r="7738" spans="1:12" ht="15" customHeight="1" x14ac:dyDescent="0.25">
      <c r="A7738" s="10"/>
      <c r="B7738" s="10"/>
      <c r="C7738" s="10"/>
      <c r="D7738" s="10"/>
      <c r="E7738" s="10"/>
      <c r="F7738" s="10"/>
      <c r="G7738" s="10"/>
      <c r="H7738" s="10"/>
      <c r="I7738" s="10"/>
      <c r="J7738" s="10"/>
      <c r="K7738" s="10"/>
      <c r="L7738" s="10"/>
    </row>
    <row r="7739" spans="1:12" ht="15" customHeight="1" x14ac:dyDescent="0.25">
      <c r="A7739" s="10"/>
      <c r="B7739" s="10"/>
      <c r="C7739" s="10"/>
      <c r="D7739" s="10"/>
      <c r="E7739" s="10"/>
      <c r="F7739" s="10"/>
      <c r="G7739" s="10"/>
      <c r="H7739" s="10"/>
      <c r="I7739" s="10"/>
      <c r="J7739" s="10"/>
      <c r="K7739" s="10"/>
      <c r="L7739" s="10"/>
    </row>
    <row r="7740" spans="1:12" ht="15" customHeight="1" x14ac:dyDescent="0.25">
      <c r="A7740" s="10"/>
      <c r="B7740" s="10"/>
      <c r="C7740" s="10"/>
      <c r="D7740" s="10"/>
      <c r="E7740" s="10"/>
      <c r="F7740" s="10"/>
      <c r="G7740" s="10"/>
      <c r="H7740" s="10"/>
      <c r="I7740" s="10"/>
      <c r="J7740" s="10"/>
      <c r="K7740" s="10"/>
      <c r="L7740" s="10"/>
    </row>
    <row r="7741" spans="1:12" ht="15" customHeight="1" x14ac:dyDescent="0.25">
      <c r="A7741" s="10"/>
      <c r="B7741" s="10"/>
      <c r="C7741" s="10"/>
      <c r="D7741" s="10"/>
      <c r="E7741" s="10"/>
      <c r="F7741" s="10"/>
      <c r="G7741" s="10"/>
      <c r="H7741" s="10"/>
      <c r="I7741" s="10"/>
      <c r="J7741" s="10"/>
      <c r="K7741" s="10"/>
      <c r="L7741" s="10"/>
    </row>
    <row r="7742" spans="1:12" ht="15" customHeight="1" x14ac:dyDescent="0.25">
      <c r="A7742" s="10"/>
      <c r="B7742" s="10"/>
      <c r="C7742" s="10"/>
      <c r="D7742" s="10"/>
      <c r="E7742" s="10"/>
      <c r="F7742" s="10"/>
      <c r="G7742" s="10"/>
      <c r="H7742" s="10"/>
      <c r="I7742" s="10"/>
      <c r="J7742" s="10"/>
      <c r="K7742" s="10"/>
      <c r="L7742" s="10"/>
    </row>
    <row r="7743" spans="1:12" ht="15" customHeight="1" x14ac:dyDescent="0.25">
      <c r="A7743" s="10"/>
      <c r="B7743" s="10"/>
      <c r="C7743" s="10"/>
      <c r="D7743" s="10"/>
      <c r="E7743" s="10"/>
      <c r="F7743" s="10"/>
      <c r="G7743" s="10"/>
      <c r="H7743" s="10"/>
      <c r="I7743" s="10"/>
      <c r="J7743" s="10"/>
      <c r="K7743" s="10"/>
      <c r="L7743" s="10"/>
    </row>
    <row r="7744" spans="1:12" ht="15" customHeight="1" x14ac:dyDescent="0.25">
      <c r="A7744" s="10"/>
      <c r="B7744" s="10"/>
      <c r="C7744" s="10"/>
      <c r="D7744" s="10"/>
      <c r="E7744" s="10"/>
      <c r="F7744" s="10"/>
      <c r="G7744" s="10"/>
      <c r="H7744" s="10"/>
      <c r="I7744" s="10"/>
      <c r="J7744" s="10"/>
      <c r="K7744" s="10"/>
      <c r="L7744" s="10"/>
    </row>
    <row r="7745" spans="1:12" ht="15" customHeight="1" x14ac:dyDescent="0.25">
      <c r="A7745" s="10"/>
      <c r="B7745" s="10"/>
      <c r="C7745" s="10"/>
      <c r="D7745" s="10"/>
      <c r="E7745" s="10"/>
      <c r="F7745" s="10"/>
      <c r="G7745" s="10"/>
      <c r="H7745" s="10"/>
      <c r="I7745" s="10"/>
      <c r="J7745" s="10"/>
      <c r="K7745" s="10"/>
      <c r="L7745" s="10"/>
    </row>
    <row r="7746" spans="1:12" ht="15" customHeight="1" x14ac:dyDescent="0.25">
      <c r="A7746" s="10"/>
      <c r="B7746" s="10"/>
      <c r="C7746" s="10"/>
      <c r="D7746" s="10"/>
      <c r="E7746" s="10"/>
      <c r="F7746" s="10"/>
      <c r="G7746" s="10"/>
      <c r="H7746" s="10"/>
      <c r="I7746" s="10"/>
      <c r="J7746" s="10"/>
      <c r="K7746" s="10"/>
      <c r="L7746" s="10"/>
    </row>
    <row r="7747" spans="1:12" ht="15" customHeight="1" x14ac:dyDescent="0.25">
      <c r="A7747" s="10"/>
      <c r="B7747" s="10"/>
      <c r="C7747" s="10"/>
      <c r="D7747" s="10"/>
      <c r="E7747" s="10"/>
      <c r="F7747" s="10"/>
      <c r="G7747" s="10"/>
      <c r="H7747" s="10"/>
      <c r="I7747" s="10"/>
      <c r="J7747" s="10"/>
      <c r="K7747" s="10"/>
      <c r="L7747" s="10"/>
    </row>
    <row r="7748" spans="1:12" ht="15" customHeight="1" x14ac:dyDescent="0.25">
      <c r="A7748" s="10"/>
      <c r="B7748" s="10"/>
      <c r="C7748" s="10"/>
      <c r="D7748" s="10"/>
      <c r="E7748" s="10"/>
      <c r="F7748" s="10"/>
      <c r="G7748" s="10"/>
      <c r="H7748" s="10"/>
      <c r="I7748" s="10"/>
      <c r="J7748" s="10"/>
      <c r="K7748" s="10"/>
      <c r="L7748" s="10"/>
    </row>
    <row r="7749" spans="1:12" ht="15" customHeight="1" x14ac:dyDescent="0.25">
      <c r="A7749" s="10"/>
      <c r="B7749" s="10"/>
      <c r="C7749" s="10"/>
      <c r="D7749" s="10"/>
      <c r="E7749" s="10"/>
      <c r="F7749" s="10"/>
      <c r="G7749" s="10"/>
      <c r="H7749" s="10"/>
      <c r="I7749" s="10"/>
      <c r="J7749" s="10"/>
      <c r="K7749" s="10"/>
      <c r="L7749" s="10"/>
    </row>
    <row r="7750" spans="1:12" ht="15" customHeight="1" x14ac:dyDescent="0.25">
      <c r="A7750" s="10"/>
      <c r="B7750" s="10"/>
      <c r="C7750" s="10"/>
      <c r="D7750" s="10"/>
      <c r="E7750" s="10"/>
      <c r="F7750" s="10"/>
      <c r="G7750" s="10"/>
      <c r="H7750" s="10"/>
      <c r="I7750" s="10"/>
      <c r="J7750" s="10"/>
      <c r="K7750" s="10"/>
      <c r="L7750" s="10"/>
    </row>
    <row r="7751" spans="1:12" ht="15" customHeight="1" x14ac:dyDescent="0.25">
      <c r="A7751" s="10"/>
      <c r="B7751" s="10"/>
      <c r="C7751" s="10"/>
      <c r="D7751" s="10"/>
      <c r="E7751" s="10"/>
      <c r="F7751" s="10"/>
      <c r="G7751" s="10"/>
      <c r="H7751" s="10"/>
      <c r="I7751" s="10"/>
      <c r="J7751" s="10"/>
      <c r="K7751" s="10"/>
      <c r="L7751" s="10"/>
    </row>
    <row r="7752" spans="1:12" ht="15" customHeight="1" x14ac:dyDescent="0.25">
      <c r="A7752" s="10"/>
      <c r="B7752" s="10"/>
      <c r="C7752" s="10"/>
      <c r="D7752" s="10"/>
      <c r="E7752" s="10"/>
      <c r="F7752" s="10"/>
      <c r="G7752" s="10"/>
      <c r="H7752" s="10"/>
      <c r="I7752" s="10"/>
      <c r="J7752" s="10"/>
      <c r="K7752" s="10"/>
      <c r="L7752" s="10"/>
    </row>
    <row r="7753" spans="1:12" ht="15" customHeight="1" x14ac:dyDescent="0.25">
      <c r="A7753" s="10"/>
      <c r="B7753" s="10"/>
      <c r="C7753" s="10"/>
      <c r="D7753" s="10"/>
      <c r="E7753" s="10"/>
      <c r="F7753" s="10"/>
      <c r="G7753" s="10"/>
      <c r="H7753" s="10"/>
      <c r="I7753" s="10"/>
      <c r="J7753" s="10"/>
      <c r="K7753" s="10"/>
      <c r="L7753" s="10"/>
    </row>
    <row r="7754" spans="1:12" ht="15" customHeight="1" x14ac:dyDescent="0.25">
      <c r="A7754" s="10"/>
      <c r="B7754" s="10"/>
      <c r="C7754" s="10"/>
      <c r="D7754" s="10"/>
      <c r="E7754" s="10"/>
      <c r="F7754" s="10"/>
      <c r="G7754" s="10"/>
      <c r="H7754" s="10"/>
      <c r="I7754" s="10"/>
      <c r="J7754" s="10"/>
      <c r="K7754" s="10"/>
      <c r="L7754" s="10"/>
    </row>
    <row r="7755" spans="1:12" ht="15" customHeight="1" x14ac:dyDescent="0.25">
      <c r="A7755" s="10"/>
      <c r="B7755" s="10"/>
      <c r="C7755" s="10"/>
      <c r="D7755" s="10"/>
      <c r="E7755" s="10"/>
      <c r="F7755" s="10"/>
      <c r="G7755" s="10"/>
      <c r="H7755" s="10"/>
      <c r="I7755" s="10"/>
      <c r="J7755" s="10"/>
      <c r="K7755" s="10"/>
      <c r="L7755" s="10"/>
    </row>
    <row r="7756" spans="1:12" ht="15" customHeight="1" x14ac:dyDescent="0.25">
      <c r="A7756" s="10"/>
      <c r="B7756" s="10"/>
      <c r="C7756" s="10"/>
      <c r="D7756" s="10"/>
      <c r="E7756" s="10"/>
      <c r="F7756" s="10"/>
      <c r="G7756" s="10"/>
      <c r="H7756" s="10"/>
      <c r="I7756" s="10"/>
      <c r="J7756" s="10"/>
      <c r="K7756" s="10"/>
      <c r="L7756" s="10"/>
    </row>
    <row r="7757" spans="1:12" ht="15" customHeight="1" x14ac:dyDescent="0.25">
      <c r="A7757" s="10"/>
      <c r="B7757" s="10"/>
      <c r="C7757" s="10"/>
      <c r="D7757" s="10"/>
      <c r="E7757" s="10"/>
      <c r="F7757" s="10"/>
      <c r="G7757" s="10"/>
      <c r="H7757" s="10"/>
      <c r="I7757" s="10"/>
      <c r="J7757" s="10"/>
      <c r="K7757" s="10"/>
      <c r="L7757" s="10"/>
    </row>
    <row r="7758" spans="1:12" ht="15" customHeight="1" x14ac:dyDescent="0.25">
      <c r="A7758" s="10"/>
      <c r="B7758" s="10"/>
      <c r="C7758" s="10"/>
      <c r="D7758" s="10"/>
      <c r="E7758" s="10"/>
      <c r="F7758" s="10"/>
      <c r="G7758" s="10"/>
      <c r="H7758" s="10"/>
      <c r="I7758" s="10"/>
      <c r="J7758" s="10"/>
      <c r="K7758" s="10"/>
      <c r="L7758" s="10"/>
    </row>
    <row r="7759" spans="1:12" ht="15" customHeight="1" x14ac:dyDescent="0.25">
      <c r="A7759" s="10"/>
      <c r="B7759" s="10"/>
      <c r="C7759" s="10"/>
      <c r="D7759" s="10"/>
      <c r="E7759" s="10"/>
      <c r="F7759" s="10"/>
      <c r="G7759" s="10"/>
      <c r="H7759" s="10"/>
      <c r="I7759" s="10"/>
      <c r="J7759" s="10"/>
      <c r="K7759" s="10"/>
      <c r="L7759" s="10"/>
    </row>
    <row r="7760" spans="1:12" ht="15" customHeight="1" x14ac:dyDescent="0.25">
      <c r="A7760" s="10"/>
      <c r="B7760" s="10"/>
      <c r="C7760" s="10"/>
      <c r="D7760" s="10"/>
      <c r="E7760" s="10"/>
      <c r="F7760" s="10"/>
      <c r="G7760" s="10"/>
      <c r="H7760" s="10"/>
      <c r="I7760" s="10"/>
      <c r="J7760" s="10"/>
      <c r="K7760" s="10"/>
      <c r="L7760" s="10"/>
    </row>
    <row r="7761" spans="1:12" ht="15" customHeight="1" x14ac:dyDescent="0.25">
      <c r="A7761" s="10"/>
      <c r="B7761" s="10"/>
      <c r="C7761" s="10"/>
      <c r="D7761" s="10"/>
      <c r="E7761" s="10"/>
      <c r="F7761" s="10"/>
      <c r="G7761" s="10"/>
      <c r="H7761" s="10"/>
      <c r="I7761" s="10"/>
      <c r="J7761" s="10"/>
      <c r="K7761" s="10"/>
      <c r="L7761" s="10"/>
    </row>
    <row r="7762" spans="1:12" ht="15" customHeight="1" x14ac:dyDescent="0.25">
      <c r="A7762" s="10"/>
      <c r="B7762" s="10"/>
      <c r="C7762" s="10"/>
      <c r="D7762" s="10"/>
      <c r="E7762" s="10"/>
      <c r="F7762" s="10"/>
      <c r="G7762" s="10"/>
      <c r="H7762" s="10"/>
      <c r="I7762" s="10"/>
      <c r="J7762" s="10"/>
      <c r="K7762" s="10"/>
      <c r="L7762" s="10"/>
    </row>
    <row r="7763" spans="1:12" ht="15" customHeight="1" x14ac:dyDescent="0.25">
      <c r="A7763" s="10"/>
      <c r="B7763" s="10"/>
      <c r="C7763" s="10"/>
      <c r="D7763" s="10"/>
      <c r="E7763" s="10"/>
      <c r="F7763" s="10"/>
      <c r="G7763" s="10"/>
      <c r="H7763" s="10"/>
      <c r="I7763" s="10"/>
      <c r="J7763" s="10"/>
      <c r="K7763" s="10"/>
      <c r="L7763" s="10"/>
    </row>
    <row r="7764" spans="1:12" ht="15" customHeight="1" x14ac:dyDescent="0.25">
      <c r="A7764" s="10"/>
      <c r="B7764" s="10"/>
      <c r="C7764" s="10"/>
      <c r="D7764" s="10"/>
      <c r="E7764" s="10"/>
      <c r="F7764" s="10"/>
      <c r="G7764" s="10"/>
      <c r="H7764" s="10"/>
      <c r="I7764" s="10"/>
      <c r="J7764" s="10"/>
      <c r="K7764" s="10"/>
      <c r="L7764" s="10"/>
    </row>
    <row r="7765" spans="1:12" ht="15" customHeight="1" x14ac:dyDescent="0.25">
      <c r="A7765" s="10"/>
      <c r="B7765" s="10"/>
      <c r="C7765" s="10"/>
      <c r="D7765" s="10"/>
      <c r="E7765" s="10"/>
      <c r="F7765" s="10"/>
      <c r="G7765" s="10"/>
      <c r="H7765" s="10"/>
      <c r="I7765" s="10"/>
      <c r="J7765" s="10"/>
      <c r="K7765" s="10"/>
      <c r="L7765" s="10"/>
    </row>
    <row r="7766" spans="1:12" ht="15" customHeight="1" x14ac:dyDescent="0.25">
      <c r="A7766" s="10"/>
      <c r="B7766" s="10"/>
      <c r="C7766" s="10"/>
      <c r="D7766" s="10"/>
      <c r="E7766" s="10"/>
      <c r="F7766" s="10"/>
      <c r="G7766" s="10"/>
      <c r="H7766" s="10"/>
      <c r="I7766" s="10"/>
      <c r="J7766" s="10"/>
      <c r="K7766" s="10"/>
      <c r="L7766" s="10"/>
    </row>
    <row r="7767" spans="1:12" ht="15" customHeight="1" x14ac:dyDescent="0.25">
      <c r="A7767" s="10"/>
      <c r="B7767" s="10"/>
      <c r="C7767" s="10"/>
      <c r="D7767" s="10"/>
      <c r="E7767" s="10"/>
      <c r="F7767" s="10"/>
      <c r="G7767" s="10"/>
      <c r="H7767" s="10"/>
      <c r="I7767" s="10"/>
      <c r="J7767" s="10"/>
      <c r="K7767" s="10"/>
      <c r="L7767" s="10"/>
    </row>
    <row r="7768" spans="1:12" ht="15" customHeight="1" x14ac:dyDescent="0.25">
      <c r="A7768" s="10"/>
      <c r="B7768" s="10"/>
      <c r="C7768" s="10"/>
      <c r="D7768" s="10"/>
      <c r="E7768" s="10"/>
      <c r="F7768" s="10"/>
      <c r="G7768" s="10"/>
      <c r="H7768" s="10"/>
      <c r="I7768" s="10"/>
      <c r="J7768" s="10"/>
      <c r="K7768" s="10"/>
      <c r="L7768" s="10"/>
    </row>
    <row r="7769" spans="1:12" ht="15" customHeight="1" x14ac:dyDescent="0.25">
      <c r="A7769" s="10"/>
      <c r="B7769" s="10"/>
      <c r="C7769" s="10"/>
      <c r="D7769" s="10"/>
      <c r="E7769" s="10"/>
      <c r="F7769" s="10"/>
      <c r="G7769" s="10"/>
      <c r="H7769" s="10"/>
      <c r="I7769" s="10"/>
      <c r="J7769" s="10"/>
      <c r="K7769" s="10"/>
      <c r="L7769" s="10"/>
    </row>
    <row r="7770" spans="1:12" ht="15" customHeight="1" x14ac:dyDescent="0.25">
      <c r="A7770" s="10"/>
      <c r="B7770" s="10"/>
      <c r="C7770" s="10"/>
      <c r="D7770" s="10"/>
      <c r="E7770" s="10"/>
      <c r="F7770" s="10"/>
      <c r="G7770" s="10"/>
      <c r="H7770" s="10"/>
      <c r="I7770" s="10"/>
      <c r="J7770" s="10"/>
      <c r="K7770" s="10"/>
      <c r="L7770" s="10"/>
    </row>
    <row r="7771" spans="1:12" ht="15" customHeight="1" x14ac:dyDescent="0.25">
      <c r="A7771" s="10"/>
      <c r="B7771" s="10"/>
      <c r="C7771" s="10"/>
      <c r="D7771" s="10"/>
      <c r="E7771" s="10"/>
      <c r="F7771" s="10"/>
      <c r="G7771" s="10"/>
      <c r="H7771" s="10"/>
      <c r="I7771" s="10"/>
      <c r="J7771" s="10"/>
      <c r="K7771" s="10"/>
      <c r="L7771" s="10"/>
    </row>
    <row r="7772" spans="1:12" ht="15" customHeight="1" x14ac:dyDescent="0.25">
      <c r="A7772" s="10"/>
      <c r="B7772" s="10"/>
      <c r="C7772" s="10"/>
      <c r="D7772" s="10"/>
      <c r="E7772" s="10"/>
      <c r="F7772" s="10"/>
      <c r="G7772" s="10"/>
      <c r="H7772" s="10"/>
      <c r="I7772" s="10"/>
      <c r="J7772" s="10"/>
      <c r="K7772" s="10"/>
      <c r="L7772" s="10"/>
    </row>
    <row r="7773" spans="1:12" ht="15" customHeight="1" x14ac:dyDescent="0.25">
      <c r="A7773" s="10"/>
      <c r="B7773" s="10"/>
      <c r="C7773" s="10"/>
      <c r="D7773" s="10"/>
      <c r="E7773" s="10"/>
      <c r="F7773" s="10"/>
      <c r="G7773" s="10"/>
      <c r="H7773" s="10"/>
      <c r="I7773" s="10"/>
      <c r="J7773" s="10"/>
      <c r="K7773" s="10"/>
      <c r="L7773" s="10"/>
    </row>
    <row r="7774" spans="1:12" ht="15" customHeight="1" x14ac:dyDescent="0.25">
      <c r="A7774" s="10"/>
      <c r="B7774" s="10"/>
      <c r="C7774" s="10"/>
      <c r="D7774" s="10"/>
      <c r="E7774" s="10"/>
      <c r="F7774" s="10"/>
      <c r="G7774" s="10"/>
      <c r="H7774" s="10"/>
      <c r="I7774" s="10"/>
      <c r="J7774" s="10"/>
      <c r="K7774" s="10"/>
      <c r="L7774" s="10"/>
    </row>
    <row r="7775" spans="1:12" ht="15" customHeight="1" x14ac:dyDescent="0.25">
      <c r="A7775" s="10"/>
      <c r="B7775" s="10"/>
      <c r="C7775" s="10"/>
      <c r="D7775" s="10"/>
      <c r="E7775" s="10"/>
      <c r="F7775" s="10"/>
      <c r="G7775" s="10"/>
      <c r="H7775" s="10"/>
      <c r="I7775" s="10"/>
      <c r="J7775" s="10"/>
      <c r="K7775" s="10"/>
      <c r="L7775" s="10"/>
    </row>
    <row r="7776" spans="1:12" ht="15" customHeight="1" x14ac:dyDescent="0.25">
      <c r="A7776" s="10"/>
      <c r="B7776" s="10"/>
      <c r="C7776" s="10"/>
      <c r="D7776" s="10"/>
      <c r="E7776" s="10"/>
      <c r="F7776" s="10"/>
      <c r="G7776" s="10"/>
      <c r="H7776" s="10"/>
      <c r="I7776" s="10"/>
      <c r="J7776" s="10"/>
      <c r="K7776" s="10"/>
      <c r="L7776" s="10"/>
    </row>
    <row r="7777" spans="1:12" ht="15" customHeight="1" x14ac:dyDescent="0.25">
      <c r="A7777" s="10"/>
      <c r="B7777" s="10"/>
      <c r="C7777" s="10"/>
      <c r="D7777" s="10"/>
      <c r="E7777" s="10"/>
      <c r="F7777" s="10"/>
      <c r="G7777" s="10"/>
      <c r="H7777" s="10"/>
      <c r="I7777" s="10"/>
      <c r="J7777" s="10"/>
      <c r="K7777" s="10"/>
      <c r="L7777" s="10"/>
    </row>
    <row r="7778" spans="1:12" ht="15" customHeight="1" x14ac:dyDescent="0.25">
      <c r="A7778" s="10"/>
      <c r="B7778" s="10"/>
      <c r="C7778" s="10"/>
      <c r="D7778" s="10"/>
      <c r="E7778" s="10"/>
      <c r="F7778" s="10"/>
      <c r="G7778" s="10"/>
      <c r="H7778" s="10"/>
      <c r="I7778" s="10"/>
      <c r="J7778" s="10"/>
      <c r="K7778" s="10"/>
      <c r="L7778" s="10"/>
    </row>
    <row r="7779" spans="1:12" ht="15" customHeight="1" x14ac:dyDescent="0.25">
      <c r="A7779" s="10"/>
      <c r="B7779" s="10"/>
      <c r="C7779" s="10"/>
      <c r="D7779" s="10"/>
      <c r="E7779" s="10"/>
      <c r="F7779" s="10"/>
      <c r="G7779" s="10"/>
      <c r="H7779" s="10"/>
      <c r="I7779" s="10"/>
      <c r="J7779" s="10"/>
      <c r="K7779" s="10"/>
      <c r="L7779" s="10"/>
    </row>
    <row r="7780" spans="1:12" ht="15" customHeight="1" x14ac:dyDescent="0.25">
      <c r="A7780" s="10"/>
      <c r="B7780" s="10"/>
      <c r="C7780" s="10"/>
      <c r="D7780" s="10"/>
      <c r="E7780" s="10"/>
      <c r="F7780" s="10"/>
      <c r="G7780" s="10"/>
      <c r="H7780" s="10"/>
      <c r="I7780" s="10"/>
      <c r="J7780" s="10"/>
      <c r="K7780" s="10"/>
      <c r="L7780" s="10"/>
    </row>
    <row r="7781" spans="1:12" ht="15" customHeight="1" x14ac:dyDescent="0.25">
      <c r="A7781" s="10"/>
      <c r="B7781" s="10"/>
      <c r="C7781" s="10"/>
      <c r="D7781" s="10"/>
      <c r="E7781" s="10"/>
      <c r="F7781" s="10"/>
      <c r="G7781" s="10"/>
      <c r="H7781" s="10"/>
      <c r="I7781" s="10"/>
      <c r="J7781" s="10"/>
      <c r="K7781" s="10"/>
      <c r="L7781" s="10"/>
    </row>
    <row r="7782" spans="1:12" ht="15" customHeight="1" x14ac:dyDescent="0.25">
      <c r="A7782" s="10"/>
      <c r="B7782" s="10"/>
      <c r="C7782" s="10"/>
      <c r="D7782" s="10"/>
      <c r="E7782" s="10"/>
      <c r="F7782" s="10"/>
      <c r="G7782" s="10"/>
      <c r="H7782" s="10"/>
      <c r="I7782" s="10"/>
      <c r="J7782" s="10"/>
      <c r="K7782" s="10"/>
      <c r="L7782" s="10"/>
    </row>
    <row r="7783" spans="1:12" ht="15" customHeight="1" x14ac:dyDescent="0.25">
      <c r="A7783" s="10"/>
      <c r="B7783" s="10"/>
      <c r="C7783" s="10"/>
      <c r="D7783" s="10"/>
      <c r="E7783" s="10"/>
      <c r="F7783" s="10"/>
      <c r="G7783" s="10"/>
      <c r="H7783" s="10"/>
      <c r="I7783" s="10"/>
      <c r="J7783" s="10"/>
      <c r="K7783" s="10"/>
      <c r="L7783" s="10"/>
    </row>
    <row r="7784" spans="1:12" ht="15" customHeight="1" x14ac:dyDescent="0.25">
      <c r="A7784" s="10"/>
      <c r="B7784" s="10"/>
      <c r="C7784" s="10"/>
      <c r="D7784" s="10"/>
      <c r="E7784" s="10"/>
      <c r="F7784" s="10"/>
      <c r="G7784" s="10"/>
      <c r="H7784" s="10"/>
      <c r="I7784" s="10"/>
      <c r="J7784" s="10"/>
      <c r="K7784" s="10"/>
      <c r="L7784" s="10"/>
    </row>
    <row r="7785" spans="1:12" ht="15" customHeight="1" x14ac:dyDescent="0.25">
      <c r="A7785" s="10"/>
      <c r="B7785" s="10"/>
      <c r="C7785" s="10"/>
      <c r="D7785" s="10"/>
      <c r="E7785" s="10"/>
      <c r="F7785" s="10"/>
      <c r="G7785" s="10"/>
      <c r="H7785" s="10"/>
      <c r="I7785" s="10"/>
      <c r="J7785" s="10"/>
      <c r="K7785" s="10"/>
      <c r="L7785" s="10"/>
    </row>
    <row r="7786" spans="1:12" ht="15" customHeight="1" x14ac:dyDescent="0.25">
      <c r="A7786" s="10"/>
      <c r="B7786" s="10"/>
      <c r="C7786" s="10"/>
      <c r="D7786" s="10"/>
      <c r="E7786" s="10"/>
      <c r="F7786" s="10"/>
      <c r="G7786" s="10"/>
      <c r="H7786" s="10"/>
      <c r="I7786" s="10"/>
      <c r="J7786" s="10"/>
      <c r="K7786" s="10"/>
      <c r="L7786" s="10"/>
    </row>
    <row r="7787" spans="1:12" ht="15" customHeight="1" x14ac:dyDescent="0.25">
      <c r="A7787" s="10"/>
      <c r="B7787" s="10"/>
      <c r="C7787" s="10"/>
      <c r="D7787" s="10"/>
      <c r="E7787" s="10"/>
      <c r="F7787" s="10"/>
      <c r="G7787" s="10"/>
      <c r="H7787" s="10"/>
      <c r="I7787" s="10"/>
      <c r="J7787" s="10"/>
      <c r="K7787" s="10"/>
      <c r="L7787" s="10"/>
    </row>
    <row r="7788" spans="1:12" ht="15" customHeight="1" x14ac:dyDescent="0.25">
      <c r="A7788" s="10"/>
      <c r="B7788" s="10"/>
      <c r="C7788" s="10"/>
      <c r="D7788" s="10"/>
      <c r="E7788" s="10"/>
      <c r="F7788" s="10"/>
      <c r="G7788" s="10"/>
      <c r="H7788" s="10"/>
      <c r="I7788" s="10"/>
      <c r="J7788" s="10"/>
      <c r="K7788" s="10"/>
      <c r="L7788" s="10"/>
    </row>
    <row r="7789" spans="1:12" ht="15" customHeight="1" x14ac:dyDescent="0.25">
      <c r="A7789" s="10"/>
      <c r="B7789" s="10"/>
      <c r="C7789" s="10"/>
      <c r="D7789" s="10"/>
      <c r="E7789" s="10"/>
      <c r="F7789" s="10"/>
      <c r="G7789" s="10"/>
      <c r="H7789" s="10"/>
      <c r="I7789" s="10"/>
      <c r="J7789" s="10"/>
      <c r="K7789" s="10"/>
      <c r="L7789" s="10"/>
    </row>
    <row r="7790" spans="1:12" ht="15" customHeight="1" x14ac:dyDescent="0.25">
      <c r="A7790" s="10"/>
      <c r="B7790" s="10"/>
      <c r="C7790" s="10"/>
      <c r="D7790" s="10"/>
      <c r="E7790" s="10"/>
      <c r="F7790" s="10"/>
      <c r="G7790" s="10"/>
      <c r="H7790" s="10"/>
      <c r="I7790" s="10"/>
      <c r="J7790" s="10"/>
      <c r="K7790" s="10"/>
      <c r="L7790" s="10"/>
    </row>
    <row r="7791" spans="1:12" ht="15" customHeight="1" x14ac:dyDescent="0.25">
      <c r="A7791" s="10"/>
      <c r="B7791" s="10"/>
      <c r="C7791" s="10"/>
      <c r="D7791" s="10"/>
      <c r="E7791" s="10"/>
      <c r="F7791" s="10"/>
      <c r="G7791" s="10"/>
      <c r="H7791" s="10"/>
      <c r="I7791" s="10"/>
      <c r="J7791" s="10"/>
      <c r="K7791" s="10"/>
      <c r="L7791" s="10"/>
    </row>
    <row r="7792" spans="1:12" ht="15" customHeight="1" x14ac:dyDescent="0.25">
      <c r="A7792" s="10"/>
      <c r="B7792" s="10"/>
      <c r="C7792" s="10"/>
      <c r="D7792" s="10"/>
      <c r="E7792" s="10"/>
      <c r="F7792" s="10"/>
      <c r="G7792" s="10"/>
      <c r="H7792" s="10"/>
      <c r="I7792" s="10"/>
      <c r="J7792" s="10"/>
      <c r="K7792" s="10"/>
      <c r="L7792" s="10"/>
    </row>
    <row r="7793" spans="1:12" ht="15" customHeight="1" x14ac:dyDescent="0.25">
      <c r="A7793" s="10"/>
      <c r="B7793" s="10"/>
      <c r="C7793" s="10"/>
      <c r="D7793" s="10"/>
      <c r="E7793" s="10"/>
      <c r="F7793" s="10"/>
      <c r="G7793" s="10"/>
      <c r="H7793" s="10"/>
      <c r="I7793" s="10"/>
      <c r="J7793" s="10"/>
      <c r="K7793" s="10"/>
      <c r="L7793" s="10"/>
    </row>
    <row r="7794" spans="1:12" ht="15" customHeight="1" x14ac:dyDescent="0.25">
      <c r="A7794" s="10"/>
      <c r="B7794" s="10"/>
      <c r="C7794" s="10"/>
      <c r="D7794" s="10"/>
      <c r="E7794" s="10"/>
      <c r="F7794" s="10"/>
      <c r="G7794" s="10"/>
      <c r="H7794" s="10"/>
      <c r="I7794" s="10"/>
      <c r="J7794" s="10"/>
      <c r="K7794" s="10"/>
      <c r="L7794" s="10"/>
    </row>
    <row r="7795" spans="1:12" ht="15" customHeight="1" x14ac:dyDescent="0.25">
      <c r="A7795" s="10"/>
      <c r="B7795" s="10"/>
      <c r="C7795" s="10"/>
      <c r="D7795" s="10"/>
      <c r="E7795" s="10"/>
      <c r="F7795" s="10"/>
      <c r="G7795" s="10"/>
      <c r="H7795" s="10"/>
      <c r="I7795" s="10"/>
      <c r="J7795" s="10"/>
      <c r="K7795" s="10"/>
      <c r="L7795" s="10"/>
    </row>
    <row r="7796" spans="1:12" ht="15" customHeight="1" x14ac:dyDescent="0.25">
      <c r="A7796" s="10"/>
      <c r="B7796" s="10"/>
      <c r="C7796" s="10"/>
      <c r="D7796" s="10"/>
      <c r="E7796" s="10"/>
      <c r="F7796" s="10"/>
      <c r="G7796" s="10"/>
      <c r="H7796" s="10"/>
      <c r="I7796" s="10"/>
      <c r="J7796" s="10"/>
      <c r="K7796" s="10"/>
      <c r="L7796" s="10"/>
    </row>
    <row r="7797" spans="1:12" ht="15" customHeight="1" x14ac:dyDescent="0.25">
      <c r="A7797" s="10"/>
      <c r="B7797" s="10"/>
      <c r="C7797" s="10"/>
      <c r="D7797" s="10"/>
      <c r="E7797" s="10"/>
      <c r="F7797" s="10"/>
      <c r="G7797" s="10"/>
      <c r="H7797" s="10"/>
      <c r="I7797" s="10"/>
      <c r="J7797" s="10"/>
      <c r="K7797" s="10"/>
      <c r="L7797" s="10"/>
    </row>
    <row r="7798" spans="1:12" ht="15" customHeight="1" x14ac:dyDescent="0.25">
      <c r="A7798" s="10"/>
      <c r="B7798" s="10"/>
      <c r="C7798" s="10"/>
      <c r="D7798" s="10"/>
      <c r="E7798" s="10"/>
      <c r="F7798" s="10"/>
      <c r="G7798" s="10"/>
      <c r="H7798" s="10"/>
      <c r="I7798" s="10"/>
      <c r="J7798" s="10"/>
      <c r="K7798" s="10"/>
      <c r="L7798" s="10"/>
    </row>
    <row r="7799" spans="1:12" ht="15" customHeight="1" x14ac:dyDescent="0.25">
      <c r="A7799" s="10"/>
      <c r="B7799" s="10"/>
      <c r="C7799" s="10"/>
      <c r="D7799" s="10"/>
      <c r="E7799" s="10"/>
      <c r="F7799" s="10"/>
      <c r="G7799" s="10"/>
      <c r="H7799" s="10"/>
      <c r="I7799" s="10"/>
      <c r="J7799" s="10"/>
      <c r="K7799" s="10"/>
      <c r="L7799" s="10"/>
    </row>
    <row r="7800" spans="1:12" ht="15" customHeight="1" x14ac:dyDescent="0.25">
      <c r="A7800" s="10"/>
      <c r="B7800" s="10"/>
      <c r="C7800" s="10"/>
      <c r="D7800" s="10"/>
      <c r="E7800" s="10"/>
      <c r="F7800" s="10"/>
      <c r="G7800" s="10"/>
      <c r="H7800" s="10"/>
      <c r="I7800" s="10"/>
      <c r="J7800" s="10"/>
      <c r="K7800" s="10"/>
      <c r="L7800" s="10"/>
    </row>
    <row r="7801" spans="1:12" ht="15" customHeight="1" x14ac:dyDescent="0.25">
      <c r="A7801" s="10"/>
      <c r="B7801" s="10"/>
      <c r="C7801" s="10"/>
      <c r="D7801" s="10"/>
      <c r="E7801" s="10"/>
      <c r="F7801" s="10"/>
      <c r="G7801" s="10"/>
      <c r="H7801" s="10"/>
      <c r="I7801" s="10"/>
      <c r="J7801" s="10"/>
      <c r="K7801" s="10"/>
      <c r="L7801" s="10"/>
    </row>
    <row r="7802" spans="1:12" ht="15" customHeight="1" x14ac:dyDescent="0.25">
      <c r="A7802" s="10"/>
      <c r="B7802" s="10"/>
      <c r="C7802" s="10"/>
      <c r="D7802" s="10"/>
      <c r="E7802" s="10"/>
      <c r="F7802" s="10"/>
      <c r="G7802" s="10"/>
      <c r="H7802" s="10"/>
      <c r="I7802" s="10"/>
      <c r="J7802" s="10"/>
      <c r="K7802" s="10"/>
      <c r="L7802" s="10"/>
    </row>
    <row r="7803" spans="1:12" ht="15" customHeight="1" x14ac:dyDescent="0.25">
      <c r="A7803" s="10"/>
      <c r="B7803" s="10"/>
      <c r="C7803" s="10"/>
      <c r="D7803" s="10"/>
      <c r="E7803" s="10"/>
      <c r="F7803" s="10"/>
      <c r="G7803" s="10"/>
      <c r="H7803" s="10"/>
      <c r="I7803" s="10"/>
      <c r="J7803" s="10"/>
      <c r="K7803" s="10"/>
      <c r="L7803" s="10"/>
    </row>
    <row r="7804" spans="1:12" ht="15" customHeight="1" x14ac:dyDescent="0.25">
      <c r="A7804" s="10"/>
      <c r="B7804" s="10"/>
      <c r="C7804" s="10"/>
      <c r="D7804" s="10"/>
      <c r="E7804" s="10"/>
      <c r="F7804" s="10"/>
      <c r="G7804" s="10"/>
      <c r="H7804" s="10"/>
      <c r="I7804" s="10"/>
      <c r="J7804" s="10"/>
      <c r="K7804" s="10"/>
      <c r="L7804" s="10"/>
    </row>
    <row r="7805" spans="1:12" ht="15" customHeight="1" x14ac:dyDescent="0.25">
      <c r="A7805" s="10"/>
      <c r="B7805" s="10"/>
      <c r="C7805" s="10"/>
      <c r="D7805" s="10"/>
      <c r="E7805" s="10"/>
      <c r="F7805" s="10"/>
      <c r="G7805" s="10"/>
      <c r="H7805" s="10"/>
      <c r="I7805" s="10"/>
      <c r="J7805" s="10"/>
      <c r="K7805" s="10"/>
      <c r="L7805" s="10"/>
    </row>
    <row r="7806" spans="1:12" ht="15" customHeight="1" x14ac:dyDescent="0.25">
      <c r="A7806" s="10"/>
      <c r="B7806" s="10"/>
      <c r="C7806" s="10"/>
      <c r="D7806" s="10"/>
      <c r="E7806" s="10"/>
      <c r="F7806" s="10"/>
      <c r="G7806" s="10"/>
      <c r="H7806" s="10"/>
      <c r="I7806" s="10"/>
      <c r="J7806" s="10"/>
      <c r="K7806" s="10"/>
      <c r="L7806" s="10"/>
    </row>
    <row r="7807" spans="1:12" ht="15" customHeight="1" x14ac:dyDescent="0.25">
      <c r="A7807" s="10"/>
      <c r="B7807" s="10"/>
      <c r="C7807" s="10"/>
      <c r="D7807" s="10"/>
      <c r="E7807" s="10"/>
      <c r="F7807" s="10"/>
      <c r="G7807" s="10"/>
      <c r="H7807" s="10"/>
      <c r="I7807" s="10"/>
      <c r="J7807" s="10"/>
      <c r="K7807" s="10"/>
      <c r="L7807" s="10"/>
    </row>
    <row r="7808" spans="1:12" ht="15" customHeight="1" x14ac:dyDescent="0.25">
      <c r="A7808" s="10"/>
      <c r="B7808" s="10"/>
      <c r="C7808" s="10"/>
      <c r="D7808" s="10"/>
      <c r="E7808" s="10"/>
      <c r="F7808" s="10"/>
      <c r="G7808" s="10"/>
      <c r="H7808" s="10"/>
      <c r="I7808" s="10"/>
      <c r="J7808" s="10"/>
      <c r="K7808" s="10"/>
      <c r="L7808" s="10"/>
    </row>
    <row r="7809" spans="1:12" ht="15" customHeight="1" x14ac:dyDescent="0.25">
      <c r="A7809" s="10"/>
      <c r="B7809" s="10"/>
      <c r="C7809" s="10"/>
      <c r="D7809" s="10"/>
      <c r="E7809" s="10"/>
      <c r="F7809" s="10"/>
      <c r="G7809" s="10"/>
      <c r="H7809" s="10"/>
      <c r="I7809" s="10"/>
      <c r="J7809" s="10"/>
      <c r="K7809" s="10"/>
      <c r="L7809" s="10"/>
    </row>
    <row r="7810" spans="1:12" ht="15" customHeight="1" x14ac:dyDescent="0.25">
      <c r="A7810" s="10"/>
      <c r="B7810" s="10"/>
      <c r="C7810" s="10"/>
      <c r="D7810" s="10"/>
      <c r="E7810" s="10"/>
      <c r="F7810" s="10"/>
      <c r="G7810" s="10"/>
      <c r="H7810" s="10"/>
      <c r="I7810" s="10"/>
      <c r="J7810" s="10"/>
      <c r="K7810" s="10"/>
      <c r="L7810" s="10"/>
    </row>
    <row r="7811" spans="1:12" ht="15" customHeight="1" x14ac:dyDescent="0.25">
      <c r="A7811" s="10"/>
      <c r="B7811" s="10"/>
      <c r="C7811" s="10"/>
      <c r="D7811" s="10"/>
      <c r="E7811" s="10"/>
      <c r="F7811" s="10"/>
      <c r="G7811" s="10"/>
      <c r="H7811" s="10"/>
      <c r="I7811" s="10"/>
      <c r="J7811" s="10"/>
      <c r="K7811" s="10"/>
      <c r="L7811" s="10"/>
    </row>
    <row r="7812" spans="1:12" ht="15" customHeight="1" x14ac:dyDescent="0.25">
      <c r="A7812" s="10"/>
      <c r="B7812" s="10"/>
      <c r="C7812" s="10"/>
      <c r="D7812" s="10"/>
      <c r="E7812" s="10"/>
      <c r="F7812" s="10"/>
      <c r="G7812" s="10"/>
      <c r="H7812" s="10"/>
      <c r="I7812" s="10"/>
      <c r="J7812" s="10"/>
      <c r="K7812" s="10"/>
      <c r="L7812" s="10"/>
    </row>
    <row r="7813" spans="1:12" ht="15" customHeight="1" x14ac:dyDescent="0.25">
      <c r="A7813" s="10"/>
      <c r="B7813" s="10"/>
      <c r="C7813" s="10"/>
      <c r="D7813" s="10"/>
      <c r="E7813" s="10"/>
      <c r="F7813" s="10"/>
      <c r="G7813" s="10"/>
      <c r="H7813" s="10"/>
      <c r="I7813" s="10"/>
      <c r="J7813" s="10"/>
      <c r="K7813" s="10"/>
      <c r="L7813" s="10"/>
    </row>
    <row r="7814" spans="1:12" ht="15" customHeight="1" x14ac:dyDescent="0.25">
      <c r="A7814" s="10"/>
      <c r="B7814" s="10"/>
      <c r="C7814" s="10"/>
      <c r="D7814" s="10"/>
      <c r="E7814" s="10"/>
      <c r="F7814" s="10"/>
      <c r="G7814" s="10"/>
      <c r="H7814" s="10"/>
      <c r="I7814" s="10"/>
      <c r="J7814" s="10"/>
      <c r="K7814" s="10"/>
      <c r="L7814" s="10"/>
    </row>
    <row r="7815" spans="1:12" ht="15" customHeight="1" x14ac:dyDescent="0.25">
      <c r="A7815" s="10"/>
      <c r="B7815" s="10"/>
      <c r="C7815" s="10"/>
      <c r="D7815" s="10"/>
      <c r="E7815" s="10"/>
      <c r="F7815" s="10"/>
      <c r="G7815" s="10"/>
      <c r="H7815" s="10"/>
      <c r="I7815" s="10"/>
      <c r="J7815" s="10"/>
      <c r="K7815" s="10"/>
      <c r="L7815" s="10"/>
    </row>
    <row r="7816" spans="1:12" ht="15" customHeight="1" x14ac:dyDescent="0.25">
      <c r="A7816" s="10"/>
      <c r="B7816" s="10"/>
      <c r="C7816" s="10"/>
      <c r="D7816" s="10"/>
      <c r="E7816" s="10"/>
      <c r="F7816" s="10"/>
      <c r="G7816" s="10"/>
      <c r="H7816" s="10"/>
      <c r="I7816" s="10"/>
      <c r="J7816" s="10"/>
      <c r="K7816" s="10"/>
      <c r="L7816" s="10"/>
    </row>
    <row r="7817" spans="1:12" ht="15" customHeight="1" x14ac:dyDescent="0.25">
      <c r="A7817" s="10"/>
      <c r="B7817" s="10"/>
      <c r="C7817" s="10"/>
      <c r="D7817" s="10"/>
      <c r="E7817" s="10"/>
      <c r="F7817" s="10"/>
      <c r="G7817" s="10"/>
      <c r="H7817" s="10"/>
      <c r="I7817" s="10"/>
      <c r="J7817" s="10"/>
      <c r="K7817" s="10"/>
      <c r="L7817" s="10"/>
    </row>
    <row r="7818" spans="1:12" ht="15" customHeight="1" x14ac:dyDescent="0.25">
      <c r="A7818" s="10"/>
      <c r="B7818" s="10"/>
      <c r="C7818" s="10"/>
      <c r="D7818" s="10"/>
      <c r="E7818" s="10"/>
      <c r="F7818" s="10"/>
      <c r="G7818" s="10"/>
      <c r="H7818" s="10"/>
      <c r="I7818" s="10"/>
      <c r="J7818" s="10"/>
      <c r="K7818" s="10"/>
      <c r="L7818" s="10"/>
    </row>
    <row r="7819" spans="1:12" ht="15" customHeight="1" x14ac:dyDescent="0.25">
      <c r="A7819" s="10"/>
      <c r="B7819" s="10"/>
      <c r="C7819" s="10"/>
      <c r="D7819" s="10"/>
      <c r="E7819" s="10"/>
      <c r="F7819" s="10"/>
      <c r="G7819" s="10"/>
      <c r="H7819" s="10"/>
      <c r="I7819" s="10"/>
      <c r="J7819" s="10"/>
      <c r="K7819" s="10"/>
      <c r="L7819" s="10"/>
    </row>
    <row r="7820" spans="1:12" ht="15" customHeight="1" x14ac:dyDescent="0.25">
      <c r="A7820" s="10"/>
      <c r="B7820" s="10"/>
      <c r="C7820" s="10"/>
      <c r="D7820" s="10"/>
      <c r="E7820" s="10"/>
      <c r="F7820" s="10"/>
      <c r="G7820" s="10"/>
      <c r="H7820" s="10"/>
      <c r="I7820" s="10"/>
      <c r="J7820" s="10"/>
      <c r="K7820" s="10"/>
      <c r="L7820" s="10"/>
    </row>
    <row r="7821" spans="1:12" ht="15" customHeight="1" x14ac:dyDescent="0.25">
      <c r="A7821" s="10"/>
      <c r="B7821" s="10"/>
      <c r="C7821" s="10"/>
      <c r="D7821" s="10"/>
      <c r="E7821" s="10"/>
      <c r="F7821" s="10"/>
      <c r="G7821" s="10"/>
      <c r="H7821" s="10"/>
      <c r="I7821" s="10"/>
      <c r="J7821" s="10"/>
      <c r="K7821" s="10"/>
      <c r="L7821" s="10"/>
    </row>
    <row r="7822" spans="1:12" ht="15" customHeight="1" x14ac:dyDescent="0.25">
      <c r="A7822" s="10"/>
      <c r="B7822" s="10"/>
      <c r="C7822" s="10"/>
      <c r="D7822" s="10"/>
      <c r="E7822" s="10"/>
      <c r="F7822" s="10"/>
      <c r="G7822" s="10"/>
      <c r="H7822" s="10"/>
      <c r="I7822" s="10"/>
      <c r="J7822" s="10"/>
      <c r="K7822" s="10"/>
      <c r="L7822" s="10"/>
    </row>
    <row r="7823" spans="1:12" ht="15" customHeight="1" x14ac:dyDescent="0.25">
      <c r="A7823" s="10"/>
      <c r="B7823" s="10"/>
      <c r="C7823" s="10"/>
      <c r="D7823" s="10"/>
      <c r="E7823" s="10"/>
      <c r="F7823" s="10"/>
      <c r="G7823" s="10"/>
      <c r="H7823" s="10"/>
      <c r="I7823" s="10"/>
      <c r="J7823" s="10"/>
      <c r="K7823" s="10"/>
      <c r="L7823" s="10"/>
    </row>
    <row r="7824" spans="1:12" ht="15" customHeight="1" x14ac:dyDescent="0.25">
      <c r="A7824" s="10"/>
      <c r="B7824" s="10"/>
      <c r="C7824" s="10"/>
      <c r="D7824" s="10"/>
      <c r="E7824" s="10"/>
      <c r="F7824" s="10"/>
      <c r="G7824" s="10"/>
      <c r="H7824" s="10"/>
      <c r="I7824" s="10"/>
      <c r="J7824" s="10"/>
      <c r="K7824" s="10"/>
      <c r="L7824" s="10"/>
    </row>
    <row r="7825" spans="1:12" ht="15" customHeight="1" x14ac:dyDescent="0.25">
      <c r="A7825" s="10"/>
      <c r="B7825" s="10"/>
      <c r="C7825" s="10"/>
      <c r="D7825" s="10"/>
      <c r="E7825" s="10"/>
      <c r="F7825" s="10"/>
      <c r="G7825" s="10"/>
      <c r="H7825" s="10"/>
      <c r="I7825" s="10"/>
      <c r="J7825" s="10"/>
      <c r="K7825" s="10"/>
      <c r="L7825" s="10"/>
    </row>
    <row r="7826" spans="1:12" ht="15" customHeight="1" x14ac:dyDescent="0.25">
      <c r="A7826" s="10"/>
      <c r="B7826" s="10"/>
      <c r="C7826" s="10"/>
      <c r="D7826" s="10"/>
      <c r="E7826" s="10"/>
      <c r="F7826" s="10"/>
      <c r="G7826" s="10"/>
      <c r="H7826" s="10"/>
      <c r="I7826" s="10"/>
      <c r="J7826" s="10"/>
      <c r="K7826" s="10"/>
      <c r="L7826" s="10"/>
    </row>
    <row r="7827" spans="1:12" ht="15" customHeight="1" x14ac:dyDescent="0.25">
      <c r="A7827" s="10"/>
      <c r="B7827" s="10"/>
      <c r="C7827" s="10"/>
      <c r="D7827" s="10"/>
      <c r="E7827" s="10"/>
      <c r="F7827" s="10"/>
      <c r="G7827" s="10"/>
      <c r="H7827" s="10"/>
      <c r="I7827" s="10"/>
      <c r="J7827" s="10"/>
      <c r="K7827" s="10"/>
      <c r="L7827" s="10"/>
    </row>
    <row r="7828" spans="1:12" ht="15" customHeight="1" x14ac:dyDescent="0.25">
      <c r="A7828" s="10"/>
      <c r="B7828" s="10"/>
      <c r="C7828" s="10"/>
      <c r="D7828" s="10"/>
      <c r="E7828" s="10"/>
      <c r="F7828" s="10"/>
      <c r="G7828" s="10"/>
      <c r="H7828" s="10"/>
      <c r="I7828" s="10"/>
      <c r="J7828" s="10"/>
      <c r="K7828" s="10"/>
      <c r="L7828" s="10"/>
    </row>
    <row r="7829" spans="1:12" ht="15" customHeight="1" x14ac:dyDescent="0.25">
      <c r="A7829" s="10"/>
      <c r="B7829" s="10"/>
      <c r="C7829" s="10"/>
      <c r="D7829" s="10"/>
      <c r="E7829" s="10"/>
      <c r="F7829" s="10"/>
      <c r="G7829" s="10"/>
      <c r="H7829" s="10"/>
      <c r="I7829" s="10"/>
      <c r="J7829" s="10"/>
      <c r="K7829" s="10"/>
      <c r="L7829" s="10"/>
    </row>
    <row r="7830" spans="1:12" ht="15" customHeight="1" x14ac:dyDescent="0.25">
      <c r="A7830" s="10"/>
      <c r="B7830" s="10"/>
      <c r="C7830" s="10"/>
      <c r="D7830" s="10"/>
      <c r="E7830" s="10"/>
      <c r="F7830" s="10"/>
      <c r="G7830" s="10"/>
      <c r="H7830" s="10"/>
      <c r="I7830" s="10"/>
      <c r="J7830" s="10"/>
      <c r="K7830" s="10"/>
      <c r="L7830" s="10"/>
    </row>
    <row r="7831" spans="1:12" ht="15" customHeight="1" x14ac:dyDescent="0.25">
      <c r="A7831" s="10"/>
      <c r="B7831" s="10"/>
      <c r="C7831" s="10"/>
      <c r="D7831" s="10"/>
      <c r="E7831" s="10"/>
      <c r="F7831" s="10"/>
      <c r="G7831" s="10"/>
      <c r="H7831" s="10"/>
      <c r="I7831" s="10"/>
      <c r="J7831" s="10"/>
      <c r="K7831" s="10"/>
      <c r="L7831" s="10"/>
    </row>
    <row r="7832" spans="1:12" ht="15" customHeight="1" x14ac:dyDescent="0.25">
      <c r="A7832" s="10"/>
      <c r="B7832" s="10"/>
      <c r="C7832" s="10"/>
      <c r="D7832" s="10"/>
      <c r="E7832" s="10"/>
      <c r="F7832" s="10"/>
      <c r="G7832" s="10"/>
      <c r="H7832" s="10"/>
      <c r="I7832" s="10"/>
      <c r="J7832" s="10"/>
      <c r="K7832" s="10"/>
      <c r="L7832" s="10"/>
    </row>
    <row r="7833" spans="1:12" ht="15" customHeight="1" x14ac:dyDescent="0.25">
      <c r="A7833" s="10"/>
      <c r="B7833" s="10"/>
      <c r="C7833" s="10"/>
      <c r="D7833" s="10"/>
      <c r="E7833" s="10"/>
      <c r="F7833" s="10"/>
      <c r="G7833" s="10"/>
      <c r="H7833" s="10"/>
      <c r="I7833" s="10"/>
      <c r="J7833" s="10"/>
      <c r="K7833" s="10"/>
      <c r="L7833" s="10"/>
    </row>
    <row r="7834" spans="1:12" ht="15" customHeight="1" x14ac:dyDescent="0.25">
      <c r="A7834" s="10"/>
      <c r="B7834" s="10"/>
      <c r="C7834" s="10"/>
      <c r="D7834" s="10"/>
      <c r="E7834" s="10"/>
      <c r="F7834" s="10"/>
      <c r="G7834" s="10"/>
      <c r="H7834" s="10"/>
      <c r="I7834" s="10"/>
      <c r="J7834" s="10"/>
      <c r="K7834" s="10"/>
      <c r="L7834" s="10"/>
    </row>
    <row r="7835" spans="1:12" ht="15" customHeight="1" x14ac:dyDescent="0.25">
      <c r="A7835" s="10"/>
      <c r="B7835" s="10"/>
      <c r="C7835" s="10"/>
      <c r="D7835" s="10"/>
      <c r="E7835" s="10"/>
      <c r="F7835" s="10"/>
      <c r="G7835" s="10"/>
      <c r="H7835" s="10"/>
      <c r="I7835" s="10"/>
      <c r="J7835" s="10"/>
      <c r="K7835" s="10"/>
      <c r="L7835" s="10"/>
    </row>
    <row r="7836" spans="1:12" ht="15" customHeight="1" x14ac:dyDescent="0.25">
      <c r="A7836" s="10"/>
      <c r="B7836" s="10"/>
      <c r="C7836" s="10"/>
      <c r="D7836" s="10"/>
      <c r="E7836" s="10"/>
      <c r="F7836" s="10"/>
      <c r="G7836" s="10"/>
      <c r="H7836" s="10"/>
      <c r="I7836" s="10"/>
      <c r="J7836" s="10"/>
      <c r="K7836" s="10"/>
      <c r="L7836" s="10"/>
    </row>
    <row r="7837" spans="1:12" ht="15" customHeight="1" x14ac:dyDescent="0.25">
      <c r="A7837" s="10"/>
      <c r="B7837" s="10"/>
      <c r="C7837" s="10"/>
      <c r="D7837" s="10"/>
      <c r="E7837" s="10"/>
      <c r="F7837" s="10"/>
      <c r="G7837" s="10"/>
      <c r="H7837" s="10"/>
      <c r="I7837" s="10"/>
      <c r="J7837" s="10"/>
      <c r="K7837" s="10"/>
      <c r="L7837" s="10"/>
    </row>
    <row r="7838" spans="1:12" ht="15" customHeight="1" x14ac:dyDescent="0.25">
      <c r="A7838" s="10"/>
      <c r="B7838" s="10"/>
      <c r="C7838" s="10"/>
      <c r="D7838" s="10"/>
      <c r="E7838" s="10"/>
      <c r="F7838" s="10"/>
      <c r="G7838" s="10"/>
      <c r="H7838" s="10"/>
      <c r="I7838" s="10"/>
      <c r="J7838" s="10"/>
      <c r="K7838" s="10"/>
      <c r="L7838" s="10"/>
    </row>
    <row r="7839" spans="1:12" ht="15" customHeight="1" x14ac:dyDescent="0.25">
      <c r="A7839" s="10"/>
      <c r="B7839" s="10"/>
      <c r="C7839" s="10"/>
      <c r="D7839" s="10"/>
      <c r="E7839" s="10"/>
      <c r="F7839" s="10"/>
      <c r="G7839" s="10"/>
      <c r="H7839" s="10"/>
      <c r="I7839" s="10"/>
      <c r="J7839" s="10"/>
      <c r="K7839" s="10"/>
      <c r="L7839" s="10"/>
    </row>
    <row r="7840" spans="1:12" ht="15" customHeight="1" x14ac:dyDescent="0.25">
      <c r="A7840" s="10"/>
      <c r="B7840" s="10"/>
      <c r="C7840" s="10"/>
      <c r="D7840" s="10"/>
      <c r="E7840" s="10"/>
      <c r="F7840" s="10"/>
      <c r="G7840" s="10"/>
      <c r="H7840" s="10"/>
      <c r="I7840" s="10"/>
      <c r="J7840" s="10"/>
      <c r="K7840" s="10"/>
      <c r="L7840" s="10"/>
    </row>
    <row r="7841" spans="1:12" ht="15" customHeight="1" x14ac:dyDescent="0.25">
      <c r="A7841" s="10"/>
      <c r="B7841" s="10"/>
      <c r="C7841" s="10"/>
      <c r="D7841" s="10"/>
      <c r="E7841" s="10"/>
      <c r="F7841" s="10"/>
      <c r="G7841" s="10"/>
      <c r="H7841" s="10"/>
      <c r="I7841" s="10"/>
      <c r="J7841" s="10"/>
      <c r="K7841" s="10"/>
      <c r="L7841" s="10"/>
    </row>
    <row r="7842" spans="1:12" ht="15" customHeight="1" x14ac:dyDescent="0.25">
      <c r="A7842" s="10"/>
      <c r="B7842" s="10"/>
      <c r="C7842" s="10"/>
      <c r="D7842" s="10"/>
      <c r="E7842" s="10"/>
      <c r="F7842" s="10"/>
      <c r="G7842" s="10"/>
      <c r="H7842" s="10"/>
      <c r="I7842" s="10"/>
      <c r="J7842" s="10"/>
      <c r="K7842" s="10"/>
      <c r="L7842" s="10"/>
    </row>
    <row r="7843" spans="1:12" ht="15" customHeight="1" x14ac:dyDescent="0.25">
      <c r="A7843" s="10"/>
      <c r="B7843" s="10"/>
      <c r="C7843" s="10"/>
      <c r="D7843" s="10"/>
      <c r="E7843" s="10"/>
      <c r="F7843" s="10"/>
      <c r="G7843" s="10"/>
      <c r="H7843" s="10"/>
      <c r="I7843" s="10"/>
      <c r="J7843" s="10"/>
      <c r="K7843" s="10"/>
      <c r="L7843" s="10"/>
    </row>
    <row r="7844" spans="1:12" ht="15" customHeight="1" x14ac:dyDescent="0.25">
      <c r="A7844" s="10"/>
      <c r="B7844" s="10"/>
      <c r="C7844" s="10"/>
      <c r="D7844" s="10"/>
      <c r="E7844" s="10"/>
      <c r="F7844" s="10"/>
      <c r="G7844" s="10"/>
      <c r="H7844" s="10"/>
      <c r="I7844" s="10"/>
      <c r="J7844" s="10"/>
      <c r="K7844" s="10"/>
      <c r="L7844" s="10"/>
    </row>
    <row r="7845" spans="1:12" ht="15" customHeight="1" x14ac:dyDescent="0.25">
      <c r="A7845" s="10"/>
      <c r="B7845" s="10"/>
      <c r="C7845" s="10"/>
      <c r="D7845" s="10"/>
      <c r="E7845" s="10"/>
      <c r="F7845" s="10"/>
      <c r="G7845" s="10"/>
      <c r="H7845" s="10"/>
      <c r="I7845" s="10"/>
      <c r="J7845" s="10"/>
      <c r="K7845" s="10"/>
      <c r="L7845" s="10"/>
    </row>
    <row r="7846" spans="1:12" ht="15" customHeight="1" x14ac:dyDescent="0.25">
      <c r="A7846" s="10"/>
      <c r="B7846" s="10"/>
      <c r="C7846" s="10"/>
      <c r="D7846" s="10"/>
      <c r="E7846" s="10"/>
      <c r="F7846" s="10"/>
      <c r="G7846" s="10"/>
      <c r="H7846" s="10"/>
      <c r="I7846" s="10"/>
      <c r="J7846" s="10"/>
      <c r="K7846" s="10"/>
      <c r="L7846" s="10"/>
    </row>
    <row r="7847" spans="1:12" ht="15" customHeight="1" x14ac:dyDescent="0.25">
      <c r="A7847" s="10"/>
      <c r="B7847" s="10"/>
      <c r="C7847" s="10"/>
      <c r="D7847" s="10"/>
      <c r="E7847" s="10"/>
      <c r="F7847" s="10"/>
      <c r="G7847" s="10"/>
      <c r="H7847" s="10"/>
      <c r="I7847" s="10"/>
      <c r="J7847" s="10"/>
      <c r="K7847" s="10"/>
      <c r="L7847" s="10"/>
    </row>
    <row r="7848" spans="1:12" ht="15" customHeight="1" x14ac:dyDescent="0.25">
      <c r="A7848" s="10"/>
      <c r="B7848" s="10"/>
      <c r="C7848" s="10"/>
      <c r="D7848" s="10"/>
      <c r="E7848" s="10"/>
      <c r="F7848" s="10"/>
      <c r="G7848" s="10"/>
      <c r="H7848" s="10"/>
      <c r="I7848" s="10"/>
      <c r="J7848" s="10"/>
      <c r="K7848" s="10"/>
      <c r="L7848" s="10"/>
    </row>
    <row r="7849" spans="1:12" ht="15" customHeight="1" x14ac:dyDescent="0.25">
      <c r="A7849" s="10"/>
      <c r="B7849" s="10"/>
      <c r="C7849" s="10"/>
      <c r="D7849" s="10"/>
      <c r="E7849" s="10"/>
      <c r="F7849" s="10"/>
      <c r="G7849" s="10"/>
      <c r="H7849" s="10"/>
      <c r="I7849" s="10"/>
      <c r="J7849" s="10"/>
      <c r="K7849" s="10"/>
      <c r="L7849" s="10"/>
    </row>
    <row r="7850" spans="1:12" ht="15" customHeight="1" x14ac:dyDescent="0.25">
      <c r="A7850" s="10"/>
      <c r="B7850" s="10"/>
      <c r="C7850" s="10"/>
      <c r="D7850" s="10"/>
      <c r="E7850" s="10"/>
      <c r="F7850" s="10"/>
      <c r="G7850" s="10"/>
      <c r="H7850" s="10"/>
      <c r="I7850" s="10"/>
      <c r="J7850" s="10"/>
      <c r="K7850" s="10"/>
      <c r="L7850" s="10"/>
    </row>
    <row r="7851" spans="1:12" ht="15" customHeight="1" x14ac:dyDescent="0.25">
      <c r="A7851" s="10"/>
      <c r="B7851" s="10"/>
      <c r="C7851" s="10"/>
      <c r="D7851" s="10"/>
      <c r="E7851" s="10"/>
      <c r="F7851" s="10"/>
      <c r="G7851" s="10"/>
      <c r="H7851" s="10"/>
      <c r="I7851" s="10"/>
      <c r="J7851" s="10"/>
      <c r="K7851" s="10"/>
      <c r="L7851" s="10"/>
    </row>
    <row r="7852" spans="1:12" ht="15" customHeight="1" x14ac:dyDescent="0.25">
      <c r="A7852" s="10"/>
      <c r="B7852" s="10"/>
      <c r="C7852" s="10"/>
      <c r="D7852" s="10"/>
      <c r="E7852" s="10"/>
      <c r="F7852" s="10"/>
      <c r="G7852" s="10"/>
      <c r="H7852" s="10"/>
      <c r="I7852" s="10"/>
      <c r="J7852" s="10"/>
      <c r="K7852" s="10"/>
      <c r="L7852" s="10"/>
    </row>
    <row r="7853" spans="1:12" ht="15" customHeight="1" x14ac:dyDescent="0.25">
      <c r="A7853" s="10"/>
      <c r="B7853" s="10"/>
      <c r="C7853" s="10"/>
      <c r="D7853" s="10"/>
      <c r="E7853" s="10"/>
      <c r="F7853" s="10"/>
      <c r="G7853" s="10"/>
      <c r="H7853" s="10"/>
      <c r="I7853" s="10"/>
      <c r="J7853" s="10"/>
      <c r="K7853" s="10"/>
      <c r="L7853" s="10"/>
    </row>
    <row r="7854" spans="1:12" ht="15" customHeight="1" x14ac:dyDescent="0.25">
      <c r="A7854" s="10"/>
      <c r="B7854" s="10"/>
      <c r="C7854" s="10"/>
      <c r="D7854" s="10"/>
      <c r="E7854" s="10"/>
      <c r="F7854" s="10"/>
      <c r="G7854" s="10"/>
      <c r="H7854" s="10"/>
      <c r="I7854" s="10"/>
      <c r="J7854" s="10"/>
      <c r="K7854" s="10"/>
      <c r="L7854" s="10"/>
    </row>
    <row r="7855" spans="1:12" ht="15" customHeight="1" x14ac:dyDescent="0.25">
      <c r="A7855" s="10"/>
      <c r="B7855" s="10"/>
      <c r="C7855" s="10"/>
      <c r="D7855" s="10"/>
      <c r="E7855" s="10"/>
      <c r="F7855" s="10"/>
      <c r="G7855" s="10"/>
      <c r="H7855" s="10"/>
      <c r="I7855" s="10"/>
      <c r="J7855" s="10"/>
      <c r="K7855" s="10"/>
      <c r="L7855" s="10"/>
    </row>
    <row r="7856" spans="1:12" ht="15" customHeight="1" x14ac:dyDescent="0.25">
      <c r="A7856" s="10"/>
      <c r="B7856" s="10"/>
      <c r="C7856" s="10"/>
      <c r="D7856" s="10"/>
      <c r="E7856" s="10"/>
      <c r="F7856" s="10"/>
      <c r="G7856" s="10"/>
      <c r="H7856" s="10"/>
      <c r="I7856" s="10"/>
      <c r="J7856" s="10"/>
      <c r="K7856" s="10"/>
      <c r="L7856" s="10"/>
    </row>
    <row r="7857" spans="1:12" ht="15" customHeight="1" x14ac:dyDescent="0.25">
      <c r="A7857" s="10"/>
      <c r="B7857" s="10"/>
      <c r="C7857" s="10"/>
      <c r="D7857" s="10"/>
      <c r="E7857" s="10"/>
      <c r="F7857" s="10"/>
      <c r="G7857" s="10"/>
      <c r="H7857" s="10"/>
      <c r="I7857" s="10"/>
      <c r="J7857" s="10"/>
      <c r="K7857" s="10"/>
      <c r="L7857" s="10"/>
    </row>
    <row r="7858" spans="1:12" ht="15" customHeight="1" x14ac:dyDescent="0.25">
      <c r="A7858" s="10"/>
      <c r="B7858" s="10"/>
      <c r="C7858" s="10"/>
      <c r="D7858" s="10"/>
      <c r="E7858" s="10"/>
      <c r="F7858" s="10"/>
      <c r="G7858" s="10"/>
      <c r="H7858" s="10"/>
      <c r="I7858" s="10"/>
      <c r="J7858" s="10"/>
      <c r="K7858" s="10"/>
      <c r="L7858" s="10"/>
    </row>
    <row r="7859" spans="1:12" ht="15" customHeight="1" x14ac:dyDescent="0.25">
      <c r="A7859" s="10"/>
      <c r="B7859" s="10"/>
      <c r="C7859" s="10"/>
      <c r="D7859" s="10"/>
      <c r="E7859" s="10"/>
      <c r="F7859" s="10"/>
      <c r="G7859" s="10"/>
      <c r="H7859" s="10"/>
      <c r="I7859" s="10"/>
      <c r="J7859" s="10"/>
      <c r="K7859" s="10"/>
      <c r="L7859" s="10"/>
    </row>
    <row r="7860" spans="1:12" ht="15" customHeight="1" x14ac:dyDescent="0.25">
      <c r="A7860" s="10"/>
      <c r="B7860" s="10"/>
      <c r="C7860" s="10"/>
      <c r="D7860" s="10"/>
      <c r="E7860" s="10"/>
      <c r="F7860" s="10"/>
      <c r="G7860" s="10"/>
      <c r="H7860" s="10"/>
      <c r="I7860" s="10"/>
      <c r="J7860" s="10"/>
      <c r="K7860" s="10"/>
      <c r="L7860" s="10"/>
    </row>
    <row r="7861" spans="1:12" ht="15" customHeight="1" x14ac:dyDescent="0.25">
      <c r="A7861" s="10"/>
      <c r="B7861" s="10"/>
      <c r="C7861" s="10"/>
      <c r="D7861" s="10"/>
      <c r="E7861" s="10"/>
      <c r="F7861" s="10"/>
      <c r="G7861" s="10"/>
      <c r="H7861" s="10"/>
      <c r="I7861" s="10"/>
      <c r="J7861" s="10"/>
      <c r="K7861" s="10"/>
      <c r="L7861" s="10"/>
    </row>
    <row r="7862" spans="1:12" ht="15" customHeight="1" x14ac:dyDescent="0.25">
      <c r="A7862" s="10"/>
      <c r="B7862" s="10"/>
      <c r="C7862" s="10"/>
      <c r="D7862" s="10"/>
      <c r="E7862" s="10"/>
      <c r="F7862" s="10"/>
      <c r="G7862" s="10"/>
      <c r="H7862" s="10"/>
      <c r="I7862" s="10"/>
      <c r="J7862" s="10"/>
      <c r="K7862" s="10"/>
      <c r="L7862" s="10"/>
    </row>
    <row r="7863" spans="1:12" ht="15" customHeight="1" x14ac:dyDescent="0.25">
      <c r="A7863" s="10"/>
      <c r="B7863" s="10"/>
      <c r="C7863" s="10"/>
      <c r="D7863" s="10"/>
      <c r="E7863" s="10"/>
      <c r="F7863" s="10"/>
      <c r="G7863" s="10"/>
      <c r="H7863" s="10"/>
      <c r="I7863" s="10"/>
      <c r="J7863" s="10"/>
      <c r="K7863" s="10"/>
      <c r="L7863" s="10"/>
    </row>
    <row r="7864" spans="1:12" ht="15" customHeight="1" x14ac:dyDescent="0.25">
      <c r="A7864" s="10"/>
      <c r="B7864" s="10"/>
      <c r="C7864" s="10"/>
      <c r="D7864" s="10"/>
      <c r="E7864" s="10"/>
      <c r="F7864" s="10"/>
      <c r="G7864" s="10"/>
      <c r="H7864" s="10"/>
      <c r="I7864" s="10"/>
      <c r="J7864" s="10"/>
      <c r="K7864" s="10"/>
      <c r="L7864" s="10"/>
    </row>
    <row r="7865" spans="1:12" ht="15" customHeight="1" x14ac:dyDescent="0.25">
      <c r="A7865" s="10"/>
      <c r="B7865" s="10"/>
      <c r="C7865" s="10"/>
      <c r="D7865" s="10"/>
      <c r="E7865" s="10"/>
      <c r="F7865" s="10"/>
      <c r="G7865" s="10"/>
      <c r="H7865" s="10"/>
      <c r="I7865" s="10"/>
      <c r="J7865" s="10"/>
      <c r="K7865" s="10"/>
      <c r="L7865" s="10"/>
    </row>
    <row r="7866" spans="1:12" ht="15" customHeight="1" x14ac:dyDescent="0.25">
      <c r="A7866" s="10"/>
      <c r="B7866" s="10"/>
      <c r="C7866" s="10"/>
      <c r="D7866" s="10"/>
      <c r="E7866" s="10"/>
      <c r="F7866" s="10"/>
      <c r="G7866" s="10"/>
      <c r="H7866" s="10"/>
      <c r="I7866" s="10"/>
      <c r="J7866" s="10"/>
      <c r="K7866" s="10"/>
      <c r="L7866" s="10"/>
    </row>
    <row r="7867" spans="1:12" ht="15" customHeight="1" x14ac:dyDescent="0.25">
      <c r="A7867" s="10"/>
      <c r="B7867" s="10"/>
      <c r="C7867" s="10"/>
      <c r="D7867" s="10"/>
      <c r="E7867" s="10"/>
      <c r="F7867" s="10"/>
      <c r="G7867" s="10"/>
      <c r="H7867" s="10"/>
      <c r="I7867" s="10"/>
      <c r="J7867" s="10"/>
      <c r="K7867" s="10"/>
      <c r="L7867" s="10"/>
    </row>
    <row r="7868" spans="1:12" ht="15" customHeight="1" x14ac:dyDescent="0.25">
      <c r="A7868" s="10"/>
      <c r="B7868" s="10"/>
      <c r="C7868" s="10"/>
      <c r="D7868" s="10"/>
      <c r="E7868" s="10"/>
      <c r="F7868" s="10"/>
      <c r="G7868" s="10"/>
      <c r="H7868" s="10"/>
      <c r="I7868" s="10"/>
      <c r="J7868" s="10"/>
      <c r="K7868" s="10"/>
      <c r="L7868" s="10"/>
    </row>
    <row r="7869" spans="1:12" ht="15" customHeight="1" x14ac:dyDescent="0.25">
      <c r="A7869" s="10"/>
      <c r="B7869" s="10"/>
      <c r="C7869" s="10"/>
      <c r="D7869" s="10"/>
      <c r="E7869" s="10"/>
      <c r="F7869" s="10"/>
      <c r="G7869" s="10"/>
      <c r="H7869" s="10"/>
      <c r="I7869" s="10"/>
      <c r="J7869" s="10"/>
      <c r="K7869" s="10"/>
      <c r="L7869" s="10"/>
    </row>
    <row r="7870" spans="1:12" ht="15" customHeight="1" x14ac:dyDescent="0.25">
      <c r="A7870" s="10"/>
      <c r="B7870" s="10"/>
      <c r="C7870" s="10"/>
      <c r="D7870" s="10"/>
      <c r="E7870" s="10"/>
      <c r="F7870" s="10"/>
      <c r="G7870" s="10"/>
      <c r="H7870" s="10"/>
      <c r="I7870" s="10"/>
      <c r="J7870" s="10"/>
      <c r="K7870" s="10"/>
      <c r="L7870" s="10"/>
    </row>
    <row r="7871" spans="1:12" ht="15" customHeight="1" x14ac:dyDescent="0.25">
      <c r="A7871" s="10"/>
      <c r="B7871" s="10"/>
      <c r="C7871" s="10"/>
      <c r="D7871" s="10"/>
      <c r="E7871" s="10"/>
      <c r="F7871" s="10"/>
      <c r="G7871" s="10"/>
      <c r="H7871" s="10"/>
      <c r="I7871" s="10"/>
      <c r="J7871" s="10"/>
      <c r="K7871" s="10"/>
      <c r="L7871" s="10"/>
    </row>
    <row r="7872" spans="1:12" ht="15" customHeight="1" x14ac:dyDescent="0.25">
      <c r="A7872" s="10"/>
      <c r="B7872" s="10"/>
      <c r="C7872" s="10"/>
      <c r="D7872" s="10"/>
      <c r="E7872" s="10"/>
      <c r="F7872" s="10"/>
      <c r="G7872" s="10"/>
      <c r="H7872" s="10"/>
      <c r="I7872" s="10"/>
      <c r="J7872" s="10"/>
      <c r="K7872" s="10"/>
      <c r="L7872" s="10"/>
    </row>
    <row r="7873" spans="1:12" ht="15" customHeight="1" x14ac:dyDescent="0.25">
      <c r="A7873" s="10"/>
      <c r="B7873" s="10"/>
      <c r="C7873" s="10"/>
      <c r="D7873" s="10"/>
      <c r="E7873" s="10"/>
      <c r="F7873" s="10"/>
      <c r="G7873" s="10"/>
      <c r="H7873" s="10"/>
      <c r="I7873" s="10"/>
      <c r="J7873" s="10"/>
      <c r="K7873" s="10"/>
      <c r="L7873" s="10"/>
    </row>
    <row r="7874" spans="1:12" ht="15" customHeight="1" x14ac:dyDescent="0.25">
      <c r="A7874" s="10"/>
      <c r="B7874" s="10"/>
      <c r="C7874" s="10"/>
      <c r="D7874" s="10"/>
      <c r="E7874" s="10"/>
      <c r="F7874" s="10"/>
      <c r="G7874" s="10"/>
      <c r="H7874" s="10"/>
      <c r="I7874" s="10"/>
      <c r="J7874" s="10"/>
      <c r="K7874" s="10"/>
      <c r="L7874" s="10"/>
    </row>
    <row r="7875" spans="1:12" ht="15" customHeight="1" x14ac:dyDescent="0.25">
      <c r="A7875" s="10"/>
      <c r="B7875" s="10"/>
      <c r="C7875" s="10"/>
      <c r="D7875" s="10"/>
      <c r="E7875" s="10"/>
      <c r="F7875" s="10"/>
      <c r="G7875" s="10"/>
      <c r="H7875" s="10"/>
      <c r="I7875" s="10"/>
      <c r="J7875" s="10"/>
      <c r="K7875" s="10"/>
      <c r="L7875" s="10"/>
    </row>
    <row r="7876" spans="1:12" ht="15" customHeight="1" x14ac:dyDescent="0.25">
      <c r="A7876" s="10"/>
      <c r="B7876" s="10"/>
      <c r="C7876" s="10"/>
      <c r="D7876" s="10"/>
      <c r="E7876" s="10"/>
      <c r="F7876" s="10"/>
      <c r="G7876" s="10"/>
      <c r="H7876" s="10"/>
      <c r="I7876" s="10"/>
      <c r="J7876" s="10"/>
      <c r="K7876" s="10"/>
      <c r="L7876" s="10"/>
    </row>
    <row r="7877" spans="1:12" ht="15" customHeight="1" x14ac:dyDescent="0.25">
      <c r="A7877" s="10"/>
      <c r="B7877" s="10"/>
      <c r="C7877" s="10"/>
      <c r="D7877" s="10"/>
      <c r="E7877" s="10"/>
      <c r="F7877" s="10"/>
      <c r="G7877" s="10"/>
      <c r="H7877" s="10"/>
      <c r="I7877" s="10"/>
      <c r="J7877" s="10"/>
      <c r="K7877" s="10"/>
      <c r="L7877" s="10"/>
    </row>
    <row r="7878" spans="1:12" ht="15" customHeight="1" x14ac:dyDescent="0.25">
      <c r="A7878" s="10"/>
      <c r="B7878" s="10"/>
      <c r="C7878" s="10"/>
      <c r="D7878" s="10"/>
      <c r="E7878" s="10"/>
      <c r="F7878" s="10"/>
      <c r="G7878" s="10"/>
      <c r="H7878" s="10"/>
      <c r="I7878" s="10"/>
      <c r="J7878" s="10"/>
      <c r="K7878" s="10"/>
      <c r="L7878" s="10"/>
    </row>
    <row r="7879" spans="1:12" ht="15" customHeight="1" x14ac:dyDescent="0.25">
      <c r="A7879" s="10"/>
      <c r="B7879" s="10"/>
      <c r="C7879" s="10"/>
      <c r="D7879" s="10"/>
      <c r="E7879" s="10"/>
      <c r="F7879" s="10"/>
      <c r="G7879" s="10"/>
      <c r="H7879" s="10"/>
      <c r="I7879" s="10"/>
      <c r="J7879" s="10"/>
      <c r="K7879" s="10"/>
      <c r="L7879" s="10"/>
    </row>
    <row r="7880" spans="1:12" ht="15" customHeight="1" x14ac:dyDescent="0.25">
      <c r="A7880" s="10"/>
      <c r="B7880" s="10"/>
      <c r="C7880" s="10"/>
      <c r="D7880" s="10"/>
      <c r="E7880" s="10"/>
      <c r="F7880" s="10"/>
      <c r="G7880" s="10"/>
      <c r="H7880" s="10"/>
      <c r="I7880" s="10"/>
      <c r="J7880" s="10"/>
      <c r="K7880" s="10"/>
      <c r="L7880" s="10"/>
    </row>
    <row r="7881" spans="1:12" ht="15" customHeight="1" x14ac:dyDescent="0.25">
      <c r="A7881" s="10"/>
      <c r="B7881" s="10"/>
      <c r="C7881" s="10"/>
      <c r="D7881" s="10"/>
      <c r="E7881" s="10"/>
      <c r="F7881" s="10"/>
      <c r="G7881" s="10"/>
      <c r="H7881" s="10"/>
      <c r="I7881" s="10"/>
      <c r="J7881" s="10"/>
      <c r="K7881" s="10"/>
      <c r="L7881" s="10"/>
    </row>
    <row r="7882" spans="1:12" ht="15" customHeight="1" x14ac:dyDescent="0.25">
      <c r="A7882" s="10"/>
      <c r="B7882" s="10"/>
      <c r="C7882" s="10"/>
      <c r="D7882" s="10"/>
      <c r="E7882" s="10"/>
      <c r="F7882" s="10"/>
      <c r="G7882" s="10"/>
      <c r="H7882" s="10"/>
      <c r="I7882" s="10"/>
      <c r="J7882" s="10"/>
      <c r="K7882" s="10"/>
      <c r="L7882" s="10"/>
    </row>
    <row r="7883" spans="1:12" ht="15" customHeight="1" x14ac:dyDescent="0.25">
      <c r="A7883" s="10"/>
      <c r="B7883" s="10"/>
      <c r="C7883" s="10"/>
      <c r="D7883" s="10"/>
      <c r="E7883" s="10"/>
      <c r="F7883" s="10"/>
      <c r="G7883" s="10"/>
      <c r="H7883" s="10"/>
      <c r="I7883" s="10"/>
      <c r="J7883" s="10"/>
      <c r="K7883" s="10"/>
      <c r="L7883" s="10"/>
    </row>
    <row r="7884" spans="1:12" ht="15" customHeight="1" x14ac:dyDescent="0.25">
      <c r="A7884" s="10"/>
      <c r="B7884" s="10"/>
      <c r="C7884" s="10"/>
      <c r="D7884" s="10"/>
      <c r="E7884" s="10"/>
      <c r="F7884" s="10"/>
      <c r="G7884" s="10"/>
      <c r="H7884" s="10"/>
      <c r="I7884" s="10"/>
      <c r="J7884" s="10"/>
      <c r="K7884" s="10"/>
      <c r="L7884" s="10"/>
    </row>
    <row r="7885" spans="1:12" ht="15" customHeight="1" x14ac:dyDescent="0.25">
      <c r="A7885" s="10"/>
      <c r="B7885" s="10"/>
      <c r="C7885" s="10"/>
      <c r="D7885" s="10"/>
      <c r="E7885" s="10"/>
      <c r="F7885" s="10"/>
      <c r="G7885" s="10"/>
      <c r="H7885" s="10"/>
      <c r="I7885" s="10"/>
      <c r="J7885" s="10"/>
      <c r="K7885" s="10"/>
      <c r="L7885" s="10"/>
    </row>
    <row r="7886" spans="1:12" ht="15" customHeight="1" x14ac:dyDescent="0.25">
      <c r="A7886" s="10"/>
      <c r="B7886" s="10"/>
      <c r="C7886" s="10"/>
      <c r="D7886" s="10"/>
      <c r="E7886" s="10"/>
      <c r="F7886" s="10"/>
      <c r="G7886" s="10"/>
      <c r="H7886" s="10"/>
      <c r="I7886" s="10"/>
      <c r="J7886" s="10"/>
      <c r="K7886" s="10"/>
      <c r="L7886" s="10"/>
    </row>
    <row r="7887" spans="1:12" ht="15" customHeight="1" x14ac:dyDescent="0.25">
      <c r="A7887" s="10"/>
      <c r="B7887" s="10"/>
      <c r="C7887" s="10"/>
      <c r="D7887" s="10"/>
      <c r="E7887" s="10"/>
      <c r="F7887" s="10"/>
      <c r="G7887" s="10"/>
      <c r="H7887" s="10"/>
      <c r="I7887" s="10"/>
      <c r="J7887" s="10"/>
      <c r="K7887" s="10"/>
      <c r="L7887" s="10"/>
    </row>
    <row r="7888" spans="1:12" ht="15" customHeight="1" x14ac:dyDescent="0.25">
      <c r="A7888" s="10"/>
      <c r="B7888" s="10"/>
      <c r="C7888" s="10"/>
      <c r="D7888" s="10"/>
      <c r="E7888" s="10"/>
      <c r="F7888" s="10"/>
      <c r="G7888" s="10"/>
      <c r="H7888" s="10"/>
      <c r="I7888" s="10"/>
      <c r="J7888" s="10"/>
      <c r="K7888" s="10"/>
      <c r="L7888" s="10"/>
    </row>
    <row r="7889" spans="1:12" ht="15" customHeight="1" x14ac:dyDescent="0.25">
      <c r="A7889" s="10"/>
      <c r="B7889" s="10"/>
      <c r="C7889" s="10"/>
      <c r="D7889" s="10"/>
      <c r="E7889" s="10"/>
      <c r="F7889" s="10"/>
      <c r="G7889" s="10"/>
      <c r="H7889" s="10"/>
      <c r="I7889" s="10"/>
      <c r="J7889" s="10"/>
      <c r="K7889" s="10"/>
      <c r="L7889" s="10"/>
    </row>
    <row r="7890" spans="1:12" ht="15" customHeight="1" x14ac:dyDescent="0.25">
      <c r="A7890" s="10"/>
      <c r="B7890" s="10"/>
      <c r="C7890" s="10"/>
      <c r="D7890" s="10"/>
      <c r="E7890" s="10"/>
      <c r="F7890" s="10"/>
      <c r="G7890" s="10"/>
      <c r="H7890" s="10"/>
      <c r="I7890" s="10"/>
      <c r="J7890" s="10"/>
      <c r="K7890" s="10"/>
      <c r="L7890" s="10"/>
    </row>
    <row r="7891" spans="1:12" ht="15" customHeight="1" x14ac:dyDescent="0.25">
      <c r="A7891" s="10"/>
      <c r="B7891" s="10"/>
      <c r="C7891" s="10"/>
      <c r="D7891" s="10"/>
      <c r="E7891" s="10"/>
      <c r="F7891" s="10"/>
      <c r="G7891" s="10"/>
      <c r="H7891" s="10"/>
      <c r="I7891" s="10"/>
      <c r="J7891" s="10"/>
      <c r="K7891" s="10"/>
      <c r="L7891" s="10"/>
    </row>
    <row r="7892" spans="1:12" ht="15" customHeight="1" x14ac:dyDescent="0.25">
      <c r="A7892" s="10"/>
      <c r="B7892" s="10"/>
      <c r="C7892" s="10"/>
      <c r="D7892" s="10"/>
      <c r="E7892" s="10"/>
      <c r="F7892" s="10"/>
      <c r="G7892" s="10"/>
      <c r="H7892" s="10"/>
      <c r="I7892" s="10"/>
      <c r="J7892" s="10"/>
      <c r="K7892" s="10"/>
      <c r="L7892" s="10"/>
    </row>
    <row r="7893" spans="1:12" ht="15" customHeight="1" x14ac:dyDescent="0.25">
      <c r="A7893" s="10"/>
      <c r="B7893" s="10"/>
      <c r="C7893" s="10"/>
      <c r="D7893" s="10"/>
      <c r="E7893" s="10"/>
      <c r="F7893" s="10"/>
      <c r="G7893" s="10"/>
      <c r="H7893" s="10"/>
      <c r="I7893" s="10"/>
      <c r="J7893" s="10"/>
      <c r="K7893" s="10"/>
      <c r="L7893" s="10"/>
    </row>
    <row r="7894" spans="1:12" ht="15" customHeight="1" x14ac:dyDescent="0.25">
      <c r="A7894" s="10"/>
      <c r="B7894" s="10"/>
      <c r="C7894" s="10"/>
      <c r="D7894" s="10"/>
      <c r="E7894" s="10"/>
      <c r="F7894" s="10"/>
      <c r="G7894" s="10"/>
      <c r="H7894" s="10"/>
      <c r="I7894" s="10"/>
      <c r="J7894" s="10"/>
      <c r="K7894" s="10"/>
      <c r="L7894" s="10"/>
    </row>
    <row r="7895" spans="1:12" ht="15" customHeight="1" x14ac:dyDescent="0.25">
      <c r="A7895" s="10"/>
      <c r="B7895" s="10"/>
      <c r="C7895" s="10"/>
      <c r="D7895" s="10"/>
      <c r="E7895" s="10"/>
      <c r="F7895" s="10"/>
      <c r="G7895" s="10"/>
      <c r="H7895" s="10"/>
      <c r="I7895" s="10"/>
      <c r="J7895" s="10"/>
      <c r="K7895" s="10"/>
      <c r="L7895" s="10"/>
    </row>
    <row r="7896" spans="1:12" ht="15" customHeight="1" x14ac:dyDescent="0.25">
      <c r="A7896" s="10"/>
      <c r="B7896" s="10"/>
      <c r="C7896" s="10"/>
      <c r="D7896" s="10"/>
      <c r="E7896" s="10"/>
      <c r="F7896" s="10"/>
      <c r="G7896" s="10"/>
      <c r="H7896" s="10"/>
      <c r="I7896" s="10"/>
      <c r="J7896" s="10"/>
      <c r="K7896" s="10"/>
      <c r="L7896" s="10"/>
    </row>
    <row r="7897" spans="1:12" ht="15" customHeight="1" x14ac:dyDescent="0.25">
      <c r="A7897" s="10"/>
      <c r="B7897" s="10"/>
      <c r="C7897" s="10"/>
      <c r="D7897" s="10"/>
      <c r="E7897" s="10"/>
      <c r="F7897" s="10"/>
      <c r="G7897" s="10"/>
      <c r="H7897" s="10"/>
      <c r="I7897" s="10"/>
      <c r="J7897" s="10"/>
      <c r="K7897" s="10"/>
      <c r="L7897" s="10"/>
    </row>
    <row r="7898" spans="1:12" ht="15" customHeight="1" x14ac:dyDescent="0.25">
      <c r="A7898" s="10"/>
      <c r="B7898" s="10"/>
      <c r="C7898" s="10"/>
      <c r="D7898" s="10"/>
      <c r="E7898" s="10"/>
      <c r="F7898" s="10"/>
      <c r="G7898" s="10"/>
      <c r="H7898" s="10"/>
      <c r="I7898" s="10"/>
      <c r="J7898" s="10"/>
      <c r="K7898" s="10"/>
      <c r="L7898" s="10"/>
    </row>
    <row r="7899" spans="1:12" ht="15" customHeight="1" x14ac:dyDescent="0.25">
      <c r="A7899" s="10"/>
      <c r="B7899" s="10"/>
      <c r="C7899" s="10"/>
      <c r="D7899" s="10"/>
      <c r="E7899" s="10"/>
      <c r="F7899" s="10"/>
      <c r="G7899" s="10"/>
      <c r="H7899" s="10"/>
      <c r="I7899" s="10"/>
      <c r="J7899" s="10"/>
      <c r="K7899" s="10"/>
      <c r="L7899" s="10"/>
    </row>
    <row r="7900" spans="1:12" ht="15" customHeight="1" x14ac:dyDescent="0.25">
      <c r="A7900" s="10"/>
      <c r="B7900" s="10"/>
      <c r="C7900" s="10"/>
      <c r="D7900" s="10"/>
      <c r="E7900" s="10"/>
      <c r="F7900" s="10"/>
      <c r="G7900" s="10"/>
      <c r="H7900" s="10"/>
      <c r="I7900" s="10"/>
      <c r="J7900" s="10"/>
      <c r="K7900" s="10"/>
      <c r="L7900" s="10"/>
    </row>
    <row r="7901" spans="1:12" ht="15" customHeight="1" x14ac:dyDescent="0.25">
      <c r="A7901" s="10"/>
      <c r="B7901" s="10"/>
      <c r="C7901" s="10"/>
      <c r="D7901" s="10"/>
      <c r="E7901" s="10"/>
      <c r="F7901" s="10"/>
      <c r="G7901" s="10"/>
      <c r="H7901" s="10"/>
      <c r="I7901" s="10"/>
      <c r="J7901" s="10"/>
      <c r="K7901" s="10"/>
      <c r="L7901" s="10"/>
    </row>
    <row r="7902" spans="1:12" ht="15" customHeight="1" x14ac:dyDescent="0.25">
      <c r="A7902" s="10"/>
      <c r="B7902" s="10"/>
      <c r="C7902" s="10"/>
      <c r="D7902" s="10"/>
      <c r="E7902" s="10"/>
      <c r="F7902" s="10"/>
      <c r="G7902" s="10"/>
      <c r="H7902" s="10"/>
      <c r="I7902" s="10"/>
      <c r="J7902" s="10"/>
      <c r="K7902" s="10"/>
      <c r="L7902" s="10"/>
    </row>
    <row r="7903" spans="1:12" ht="15" customHeight="1" x14ac:dyDescent="0.25">
      <c r="A7903" s="10"/>
      <c r="B7903" s="10"/>
      <c r="C7903" s="10"/>
      <c r="D7903" s="10"/>
      <c r="E7903" s="10"/>
      <c r="F7903" s="10"/>
      <c r="G7903" s="10"/>
      <c r="H7903" s="10"/>
      <c r="I7903" s="10"/>
      <c r="J7903" s="10"/>
      <c r="K7903" s="10"/>
      <c r="L7903" s="10"/>
    </row>
    <row r="7904" spans="1:12" ht="15" customHeight="1" x14ac:dyDescent="0.25">
      <c r="A7904" s="10"/>
      <c r="B7904" s="10"/>
      <c r="C7904" s="10"/>
      <c r="D7904" s="10"/>
      <c r="E7904" s="10"/>
      <c r="F7904" s="10"/>
      <c r="G7904" s="10"/>
      <c r="H7904" s="10"/>
      <c r="I7904" s="10"/>
      <c r="J7904" s="10"/>
      <c r="K7904" s="10"/>
      <c r="L7904" s="10"/>
    </row>
    <row r="7905" spans="1:12" ht="15" customHeight="1" x14ac:dyDescent="0.25">
      <c r="A7905" s="10"/>
      <c r="B7905" s="10"/>
      <c r="C7905" s="10"/>
      <c r="D7905" s="10"/>
      <c r="E7905" s="10"/>
      <c r="F7905" s="10"/>
      <c r="G7905" s="10"/>
      <c r="H7905" s="10"/>
      <c r="I7905" s="10"/>
      <c r="J7905" s="10"/>
      <c r="K7905" s="10"/>
      <c r="L7905" s="10"/>
    </row>
    <row r="7906" spans="1:12" ht="15" customHeight="1" x14ac:dyDescent="0.25">
      <c r="A7906" s="10"/>
      <c r="B7906" s="10"/>
      <c r="C7906" s="10"/>
      <c r="D7906" s="10"/>
      <c r="E7906" s="10"/>
      <c r="F7906" s="10"/>
      <c r="G7906" s="10"/>
      <c r="H7906" s="10"/>
      <c r="I7906" s="10"/>
      <c r="J7906" s="10"/>
      <c r="K7906" s="10"/>
      <c r="L7906" s="10"/>
    </row>
    <row r="7907" spans="1:12" ht="15" customHeight="1" x14ac:dyDescent="0.25">
      <c r="A7907" s="10"/>
      <c r="B7907" s="10"/>
      <c r="C7907" s="10"/>
      <c r="D7907" s="10"/>
      <c r="E7907" s="10"/>
      <c r="F7907" s="10"/>
      <c r="G7907" s="10"/>
      <c r="H7907" s="10"/>
      <c r="I7907" s="10"/>
      <c r="J7907" s="10"/>
      <c r="K7907" s="10"/>
      <c r="L7907" s="10"/>
    </row>
    <row r="7908" spans="1:12" ht="15" customHeight="1" x14ac:dyDescent="0.25">
      <c r="A7908" s="10"/>
      <c r="B7908" s="10"/>
      <c r="C7908" s="10"/>
      <c r="D7908" s="10"/>
      <c r="E7908" s="10"/>
      <c r="F7908" s="10"/>
      <c r="G7908" s="10"/>
      <c r="H7908" s="10"/>
      <c r="I7908" s="10"/>
      <c r="J7908" s="10"/>
      <c r="K7908" s="10"/>
      <c r="L7908" s="10"/>
    </row>
    <row r="7909" spans="1:12" ht="15" customHeight="1" x14ac:dyDescent="0.25">
      <c r="A7909" s="10"/>
      <c r="B7909" s="10"/>
      <c r="C7909" s="10"/>
      <c r="D7909" s="10"/>
      <c r="E7909" s="10"/>
      <c r="F7909" s="10"/>
      <c r="G7909" s="10"/>
      <c r="H7909" s="10"/>
      <c r="I7909" s="10"/>
      <c r="J7909" s="10"/>
      <c r="K7909" s="10"/>
      <c r="L7909" s="10"/>
    </row>
    <row r="7910" spans="1:12" ht="15" customHeight="1" x14ac:dyDescent="0.25">
      <c r="A7910" s="10"/>
      <c r="B7910" s="10"/>
      <c r="C7910" s="10"/>
      <c r="D7910" s="10"/>
      <c r="E7910" s="10"/>
      <c r="F7910" s="10"/>
      <c r="G7910" s="10"/>
      <c r="H7910" s="10"/>
      <c r="I7910" s="10"/>
      <c r="J7910" s="10"/>
      <c r="K7910" s="10"/>
      <c r="L7910" s="10"/>
    </row>
    <row r="7911" spans="1:12" ht="15" customHeight="1" x14ac:dyDescent="0.25">
      <c r="A7911" s="10"/>
      <c r="B7911" s="10"/>
      <c r="C7911" s="10"/>
      <c r="D7911" s="10"/>
      <c r="E7911" s="10"/>
      <c r="F7911" s="10"/>
      <c r="G7911" s="10"/>
      <c r="H7911" s="10"/>
      <c r="I7911" s="10"/>
      <c r="J7911" s="10"/>
      <c r="K7911" s="10"/>
      <c r="L7911" s="10"/>
    </row>
    <row r="7912" spans="1:12" ht="15" customHeight="1" x14ac:dyDescent="0.25">
      <c r="A7912" s="10"/>
      <c r="B7912" s="10"/>
      <c r="C7912" s="10"/>
      <c r="D7912" s="10"/>
      <c r="E7912" s="10"/>
      <c r="F7912" s="10"/>
      <c r="G7912" s="10"/>
      <c r="H7912" s="10"/>
      <c r="I7912" s="10"/>
      <c r="J7912" s="10"/>
      <c r="K7912" s="10"/>
      <c r="L7912" s="10"/>
    </row>
    <row r="7913" spans="1:12" ht="15" customHeight="1" x14ac:dyDescent="0.25">
      <c r="A7913" s="10"/>
      <c r="B7913" s="10"/>
      <c r="C7913" s="10"/>
      <c r="D7913" s="10"/>
      <c r="E7913" s="10"/>
      <c r="F7913" s="10"/>
      <c r="G7913" s="10"/>
      <c r="H7913" s="10"/>
      <c r="I7913" s="10"/>
      <c r="J7913" s="10"/>
      <c r="K7913" s="10"/>
      <c r="L7913" s="10"/>
    </row>
    <row r="7914" spans="1:12" ht="15" customHeight="1" x14ac:dyDescent="0.25">
      <c r="A7914" s="10"/>
      <c r="B7914" s="10"/>
      <c r="C7914" s="10"/>
      <c r="D7914" s="10"/>
      <c r="E7914" s="10"/>
      <c r="F7914" s="10"/>
      <c r="G7914" s="10"/>
      <c r="H7914" s="10"/>
      <c r="I7914" s="10"/>
      <c r="J7914" s="10"/>
      <c r="K7914" s="10"/>
      <c r="L7914" s="10"/>
    </row>
    <row r="7915" spans="1:12" ht="15" customHeight="1" x14ac:dyDescent="0.25">
      <c r="A7915" s="10"/>
      <c r="B7915" s="10"/>
      <c r="C7915" s="10"/>
      <c r="D7915" s="10"/>
      <c r="E7915" s="10"/>
      <c r="F7915" s="10"/>
      <c r="G7915" s="10"/>
      <c r="H7915" s="10"/>
      <c r="I7915" s="10"/>
      <c r="J7915" s="10"/>
      <c r="K7915" s="10"/>
      <c r="L7915" s="10"/>
    </row>
    <row r="7916" spans="1:12" ht="15" customHeight="1" x14ac:dyDescent="0.25">
      <c r="A7916" s="10"/>
      <c r="B7916" s="10"/>
      <c r="C7916" s="10"/>
      <c r="D7916" s="10"/>
      <c r="E7916" s="10"/>
      <c r="F7916" s="10"/>
      <c r="G7916" s="10"/>
      <c r="H7916" s="10"/>
      <c r="I7916" s="10"/>
      <c r="J7916" s="10"/>
      <c r="K7916" s="10"/>
      <c r="L7916" s="10"/>
    </row>
    <row r="7917" spans="1:12" ht="15" customHeight="1" x14ac:dyDescent="0.25">
      <c r="A7917" s="10"/>
      <c r="B7917" s="10"/>
      <c r="C7917" s="10"/>
      <c r="D7917" s="10"/>
      <c r="E7917" s="10"/>
      <c r="F7917" s="10"/>
      <c r="G7917" s="10"/>
      <c r="H7917" s="10"/>
      <c r="I7917" s="10"/>
      <c r="J7917" s="10"/>
      <c r="K7917" s="10"/>
      <c r="L7917" s="10"/>
    </row>
    <row r="7918" spans="1:12" ht="15" customHeight="1" x14ac:dyDescent="0.25">
      <c r="A7918" s="10"/>
      <c r="B7918" s="10"/>
      <c r="C7918" s="10"/>
      <c r="D7918" s="10"/>
      <c r="E7918" s="10"/>
      <c r="F7918" s="10"/>
      <c r="G7918" s="10"/>
      <c r="H7918" s="10"/>
      <c r="I7918" s="10"/>
      <c r="J7918" s="10"/>
      <c r="K7918" s="10"/>
      <c r="L7918" s="10"/>
    </row>
    <row r="7919" spans="1:12" ht="15" customHeight="1" x14ac:dyDescent="0.25">
      <c r="A7919" s="10"/>
      <c r="B7919" s="10"/>
      <c r="C7919" s="10"/>
      <c r="D7919" s="10"/>
      <c r="E7919" s="10"/>
      <c r="F7919" s="10"/>
      <c r="G7919" s="10"/>
      <c r="H7919" s="10"/>
      <c r="I7919" s="10"/>
      <c r="J7919" s="10"/>
      <c r="K7919" s="10"/>
      <c r="L7919" s="10"/>
    </row>
    <row r="7920" spans="1:12" ht="15" customHeight="1" x14ac:dyDescent="0.25">
      <c r="A7920" s="10"/>
      <c r="B7920" s="10"/>
      <c r="C7920" s="10"/>
      <c r="D7920" s="10"/>
      <c r="E7920" s="10"/>
      <c r="F7920" s="10"/>
      <c r="G7920" s="10"/>
      <c r="H7920" s="10"/>
      <c r="I7920" s="10"/>
      <c r="J7920" s="10"/>
      <c r="K7920" s="10"/>
      <c r="L7920" s="10"/>
    </row>
    <row r="7921" spans="1:12" ht="15" customHeight="1" x14ac:dyDescent="0.25">
      <c r="A7921" s="10"/>
      <c r="B7921" s="10"/>
      <c r="C7921" s="10"/>
      <c r="D7921" s="10"/>
      <c r="E7921" s="10"/>
      <c r="F7921" s="10"/>
      <c r="G7921" s="10"/>
      <c r="H7921" s="10"/>
      <c r="I7921" s="10"/>
      <c r="J7921" s="10"/>
      <c r="K7921" s="10"/>
      <c r="L7921" s="10"/>
    </row>
    <row r="7922" spans="1:12" ht="15" customHeight="1" x14ac:dyDescent="0.25">
      <c r="A7922" s="10"/>
      <c r="B7922" s="10"/>
      <c r="C7922" s="10"/>
      <c r="D7922" s="10"/>
      <c r="E7922" s="10"/>
      <c r="F7922" s="10"/>
      <c r="G7922" s="10"/>
      <c r="H7922" s="10"/>
      <c r="I7922" s="10"/>
      <c r="J7922" s="10"/>
      <c r="K7922" s="10"/>
      <c r="L7922" s="10"/>
    </row>
    <row r="7923" spans="1:12" ht="15" customHeight="1" x14ac:dyDescent="0.25">
      <c r="A7923" s="10"/>
      <c r="B7923" s="10"/>
      <c r="C7923" s="10"/>
      <c r="D7923" s="10"/>
      <c r="E7923" s="10"/>
      <c r="F7923" s="10"/>
      <c r="G7923" s="10"/>
      <c r="H7923" s="10"/>
      <c r="I7923" s="10"/>
      <c r="J7923" s="10"/>
      <c r="K7923" s="10"/>
      <c r="L7923" s="10"/>
    </row>
    <row r="7924" spans="1:12" ht="15" customHeight="1" x14ac:dyDescent="0.25">
      <c r="A7924" s="10"/>
      <c r="B7924" s="10"/>
      <c r="C7924" s="10"/>
      <c r="D7924" s="10"/>
      <c r="E7924" s="10"/>
      <c r="F7924" s="10"/>
      <c r="G7924" s="10"/>
      <c r="H7924" s="10"/>
      <c r="I7924" s="10"/>
      <c r="J7924" s="10"/>
      <c r="K7924" s="10"/>
      <c r="L7924" s="10"/>
    </row>
    <row r="7925" spans="1:12" ht="15" customHeight="1" x14ac:dyDescent="0.25">
      <c r="A7925" s="10"/>
      <c r="B7925" s="10"/>
      <c r="C7925" s="10"/>
      <c r="D7925" s="10"/>
      <c r="E7925" s="10"/>
      <c r="F7925" s="10"/>
      <c r="G7925" s="10"/>
      <c r="H7925" s="10"/>
      <c r="I7925" s="10"/>
      <c r="J7925" s="10"/>
      <c r="K7925" s="10"/>
      <c r="L7925" s="10"/>
    </row>
    <row r="7926" spans="1:12" ht="15" customHeight="1" x14ac:dyDescent="0.25">
      <c r="A7926" s="10"/>
      <c r="B7926" s="10"/>
      <c r="C7926" s="10"/>
      <c r="D7926" s="10"/>
      <c r="E7926" s="10"/>
      <c r="F7926" s="10"/>
      <c r="G7926" s="10"/>
      <c r="H7926" s="10"/>
      <c r="I7926" s="10"/>
      <c r="J7926" s="10"/>
      <c r="K7926" s="10"/>
      <c r="L7926" s="10"/>
    </row>
    <row r="7927" spans="1:12" ht="15" customHeight="1" x14ac:dyDescent="0.25">
      <c r="A7927" s="10"/>
      <c r="B7927" s="10"/>
      <c r="C7927" s="10"/>
      <c r="D7927" s="10"/>
      <c r="E7927" s="10"/>
      <c r="F7927" s="10"/>
      <c r="G7927" s="10"/>
      <c r="H7927" s="10"/>
      <c r="I7927" s="10"/>
      <c r="J7927" s="10"/>
      <c r="K7927" s="10"/>
      <c r="L7927" s="10"/>
    </row>
    <row r="7928" spans="1:12" ht="15" customHeight="1" x14ac:dyDescent="0.25">
      <c r="A7928" s="10"/>
      <c r="B7928" s="10"/>
      <c r="C7928" s="10"/>
      <c r="D7928" s="10"/>
      <c r="E7928" s="10"/>
      <c r="F7928" s="10"/>
      <c r="G7928" s="10"/>
      <c r="H7928" s="10"/>
      <c r="I7928" s="10"/>
      <c r="J7928" s="10"/>
      <c r="K7928" s="10"/>
      <c r="L7928" s="10"/>
    </row>
    <row r="7929" spans="1:12" ht="15" customHeight="1" x14ac:dyDescent="0.25">
      <c r="A7929" s="10"/>
      <c r="B7929" s="10"/>
      <c r="C7929" s="10"/>
      <c r="D7929" s="10"/>
      <c r="E7929" s="10"/>
      <c r="F7929" s="10"/>
      <c r="G7929" s="10"/>
      <c r="H7929" s="10"/>
      <c r="I7929" s="10"/>
      <c r="J7929" s="10"/>
      <c r="K7929" s="10"/>
      <c r="L7929" s="10"/>
    </row>
    <row r="7930" spans="1:12" ht="15" customHeight="1" x14ac:dyDescent="0.25">
      <c r="A7930" s="10"/>
      <c r="B7930" s="10"/>
      <c r="C7930" s="10"/>
      <c r="D7930" s="10"/>
      <c r="E7930" s="10"/>
      <c r="F7930" s="10"/>
      <c r="G7930" s="10"/>
      <c r="H7930" s="10"/>
      <c r="I7930" s="10"/>
      <c r="J7930" s="10"/>
      <c r="K7930" s="10"/>
      <c r="L7930" s="10"/>
    </row>
    <row r="7931" spans="1:12" ht="15" customHeight="1" x14ac:dyDescent="0.25">
      <c r="A7931" s="10"/>
      <c r="B7931" s="10"/>
      <c r="C7931" s="10"/>
      <c r="D7931" s="10"/>
      <c r="E7931" s="10"/>
      <c r="F7931" s="10"/>
      <c r="G7931" s="10"/>
      <c r="H7931" s="10"/>
      <c r="I7931" s="10"/>
      <c r="J7931" s="10"/>
      <c r="K7931" s="10"/>
      <c r="L7931" s="10"/>
    </row>
    <row r="7932" spans="1:12" ht="15" customHeight="1" x14ac:dyDescent="0.25">
      <c r="A7932" s="10"/>
      <c r="B7932" s="10"/>
      <c r="C7932" s="10"/>
      <c r="D7932" s="10"/>
      <c r="E7932" s="10"/>
      <c r="F7932" s="10"/>
      <c r="G7932" s="10"/>
      <c r="H7932" s="10"/>
      <c r="I7932" s="10"/>
      <c r="J7932" s="10"/>
      <c r="K7932" s="10"/>
      <c r="L7932" s="10"/>
    </row>
    <row r="7933" spans="1:12" ht="15" customHeight="1" x14ac:dyDescent="0.25">
      <c r="A7933" s="10"/>
      <c r="B7933" s="10"/>
      <c r="C7933" s="10"/>
      <c r="D7933" s="10"/>
      <c r="E7933" s="10"/>
      <c r="F7933" s="10"/>
      <c r="G7933" s="10"/>
      <c r="H7933" s="10"/>
      <c r="I7933" s="10"/>
      <c r="J7933" s="10"/>
      <c r="K7933" s="10"/>
      <c r="L7933" s="10"/>
    </row>
    <row r="7934" spans="1:12" ht="15" customHeight="1" x14ac:dyDescent="0.25">
      <c r="A7934" s="10"/>
      <c r="B7934" s="10"/>
      <c r="C7934" s="10"/>
      <c r="D7934" s="10"/>
      <c r="E7934" s="10"/>
      <c r="F7934" s="10"/>
      <c r="G7934" s="10"/>
      <c r="H7934" s="10"/>
      <c r="I7934" s="10"/>
      <c r="J7934" s="10"/>
      <c r="K7934" s="10"/>
      <c r="L7934" s="10"/>
    </row>
    <row r="7935" spans="1:12" ht="15" customHeight="1" x14ac:dyDescent="0.25">
      <c r="A7935" s="10"/>
      <c r="B7935" s="10"/>
      <c r="C7935" s="10"/>
      <c r="D7935" s="10"/>
      <c r="E7935" s="10"/>
      <c r="F7935" s="10"/>
      <c r="G7935" s="10"/>
      <c r="H7935" s="10"/>
      <c r="I7935" s="10"/>
      <c r="J7935" s="10"/>
      <c r="K7935" s="10"/>
      <c r="L7935" s="10"/>
    </row>
    <row r="7936" spans="1:12" ht="15" customHeight="1" x14ac:dyDescent="0.25">
      <c r="A7936" s="10"/>
      <c r="B7936" s="10"/>
      <c r="C7936" s="10"/>
      <c r="D7936" s="10"/>
      <c r="E7936" s="10"/>
      <c r="F7936" s="10"/>
      <c r="G7936" s="10"/>
      <c r="H7936" s="10"/>
      <c r="I7936" s="10"/>
      <c r="J7936" s="10"/>
      <c r="K7936" s="10"/>
      <c r="L7936" s="10"/>
    </row>
    <row r="7937" spans="1:12" ht="15" customHeight="1" x14ac:dyDescent="0.25">
      <c r="A7937" s="10"/>
      <c r="B7937" s="10"/>
      <c r="C7937" s="10"/>
      <c r="D7937" s="10"/>
      <c r="E7937" s="10"/>
      <c r="F7937" s="10"/>
      <c r="G7937" s="10"/>
      <c r="H7937" s="10"/>
      <c r="I7937" s="10"/>
      <c r="J7937" s="10"/>
      <c r="K7937" s="10"/>
      <c r="L7937" s="10"/>
    </row>
    <row r="7938" spans="1:12" ht="15" customHeight="1" x14ac:dyDescent="0.25">
      <c r="A7938" s="10"/>
      <c r="B7938" s="10"/>
      <c r="C7938" s="10"/>
      <c r="D7938" s="10"/>
      <c r="E7938" s="10"/>
      <c r="F7938" s="10"/>
      <c r="G7938" s="10"/>
      <c r="H7938" s="10"/>
      <c r="I7938" s="10"/>
      <c r="J7938" s="10"/>
      <c r="K7938" s="10"/>
      <c r="L7938" s="10"/>
    </row>
    <row r="7939" spans="1:12" ht="15" customHeight="1" x14ac:dyDescent="0.25">
      <c r="A7939" s="10"/>
      <c r="B7939" s="10"/>
      <c r="C7939" s="10"/>
      <c r="D7939" s="10"/>
      <c r="E7939" s="10"/>
      <c r="F7939" s="10"/>
      <c r="G7939" s="10"/>
      <c r="H7939" s="10"/>
      <c r="I7939" s="10"/>
      <c r="J7939" s="10"/>
      <c r="K7939" s="10"/>
      <c r="L7939" s="10"/>
    </row>
    <row r="7940" spans="1:12" ht="15" customHeight="1" x14ac:dyDescent="0.25">
      <c r="A7940" s="10"/>
      <c r="B7940" s="10"/>
      <c r="C7940" s="10"/>
      <c r="D7940" s="10"/>
      <c r="E7940" s="10"/>
      <c r="F7940" s="10"/>
      <c r="G7940" s="10"/>
      <c r="H7940" s="10"/>
      <c r="I7940" s="10"/>
      <c r="J7940" s="10"/>
      <c r="K7940" s="10"/>
      <c r="L7940" s="10"/>
    </row>
    <row r="7941" spans="1:12" ht="15" customHeight="1" x14ac:dyDescent="0.25">
      <c r="A7941" s="10"/>
      <c r="B7941" s="10"/>
      <c r="C7941" s="10"/>
      <c r="D7941" s="10"/>
      <c r="E7941" s="10"/>
      <c r="F7941" s="10"/>
      <c r="G7941" s="10"/>
      <c r="H7941" s="10"/>
      <c r="I7941" s="10"/>
      <c r="J7941" s="10"/>
      <c r="K7941" s="10"/>
      <c r="L7941" s="10"/>
    </row>
    <row r="7942" spans="1:12" ht="15" customHeight="1" x14ac:dyDescent="0.25">
      <c r="A7942" s="10"/>
      <c r="B7942" s="10"/>
      <c r="C7942" s="10"/>
      <c r="D7942" s="10"/>
      <c r="E7942" s="10"/>
      <c r="F7942" s="10"/>
      <c r="G7942" s="10"/>
      <c r="H7942" s="10"/>
      <c r="I7942" s="10"/>
      <c r="J7942" s="10"/>
      <c r="K7942" s="10"/>
      <c r="L7942" s="10"/>
    </row>
    <row r="7943" spans="1:12" ht="15" customHeight="1" x14ac:dyDescent="0.25">
      <c r="A7943" s="10"/>
      <c r="B7943" s="10"/>
      <c r="C7943" s="10"/>
      <c r="D7943" s="10"/>
      <c r="E7943" s="10"/>
      <c r="F7943" s="10"/>
      <c r="G7943" s="10"/>
      <c r="H7943" s="10"/>
      <c r="I7943" s="10"/>
      <c r="J7943" s="10"/>
      <c r="K7943" s="10"/>
      <c r="L7943" s="10"/>
    </row>
    <row r="7944" spans="1:12" ht="15" customHeight="1" x14ac:dyDescent="0.25">
      <c r="A7944" s="10"/>
      <c r="B7944" s="10"/>
      <c r="C7944" s="10"/>
      <c r="D7944" s="10"/>
      <c r="E7944" s="10"/>
      <c r="F7944" s="10"/>
      <c r="G7944" s="10"/>
      <c r="H7944" s="10"/>
      <c r="I7944" s="10"/>
      <c r="J7944" s="10"/>
      <c r="K7944" s="10"/>
      <c r="L7944" s="10"/>
    </row>
    <row r="7945" spans="1:12" ht="15" customHeight="1" x14ac:dyDescent="0.25">
      <c r="A7945" s="10"/>
      <c r="B7945" s="10"/>
      <c r="C7945" s="10"/>
      <c r="D7945" s="10"/>
      <c r="E7945" s="10"/>
      <c r="F7945" s="10"/>
      <c r="G7945" s="10"/>
      <c r="H7945" s="10"/>
      <c r="I7945" s="10"/>
      <c r="J7945" s="10"/>
      <c r="K7945" s="10"/>
      <c r="L7945" s="10"/>
    </row>
    <row r="7946" spans="1:12" ht="15" customHeight="1" x14ac:dyDescent="0.25">
      <c r="A7946" s="10"/>
      <c r="B7946" s="10"/>
      <c r="C7946" s="10"/>
      <c r="D7946" s="10"/>
      <c r="E7946" s="10"/>
      <c r="F7946" s="10"/>
      <c r="G7946" s="10"/>
      <c r="H7946" s="10"/>
      <c r="I7946" s="10"/>
      <c r="J7946" s="10"/>
      <c r="K7946" s="10"/>
      <c r="L7946" s="10"/>
    </row>
    <row r="7947" spans="1:12" ht="15" customHeight="1" x14ac:dyDescent="0.25">
      <c r="A7947" s="10"/>
      <c r="B7947" s="10"/>
      <c r="C7947" s="10"/>
      <c r="D7947" s="10"/>
      <c r="E7947" s="10"/>
      <c r="F7947" s="10"/>
      <c r="G7947" s="10"/>
      <c r="H7947" s="10"/>
      <c r="I7947" s="10"/>
      <c r="J7947" s="10"/>
      <c r="K7947" s="10"/>
      <c r="L7947" s="10"/>
    </row>
    <row r="7948" spans="1:12" ht="15" customHeight="1" x14ac:dyDescent="0.25">
      <c r="A7948" s="10"/>
      <c r="B7948" s="10"/>
      <c r="C7948" s="10"/>
      <c r="D7948" s="10"/>
      <c r="E7948" s="10"/>
      <c r="F7948" s="10"/>
      <c r="G7948" s="10"/>
      <c r="H7948" s="10"/>
      <c r="I7948" s="10"/>
      <c r="J7948" s="10"/>
      <c r="K7948" s="10"/>
      <c r="L7948" s="10"/>
    </row>
    <row r="7949" spans="1:12" ht="15" customHeight="1" x14ac:dyDescent="0.25">
      <c r="A7949" s="10"/>
      <c r="B7949" s="10"/>
      <c r="C7949" s="10"/>
      <c r="D7949" s="10"/>
      <c r="E7949" s="10"/>
      <c r="F7949" s="10"/>
      <c r="G7949" s="10"/>
      <c r="H7949" s="10"/>
      <c r="I7949" s="10"/>
      <c r="J7949" s="10"/>
      <c r="K7949" s="10"/>
      <c r="L7949" s="10"/>
    </row>
    <row r="7950" spans="1:12" ht="15" customHeight="1" x14ac:dyDescent="0.25">
      <c r="A7950" s="10"/>
      <c r="B7950" s="10"/>
      <c r="C7950" s="10"/>
      <c r="D7950" s="10"/>
      <c r="E7950" s="10"/>
      <c r="F7950" s="10"/>
      <c r="G7950" s="10"/>
      <c r="H7950" s="10"/>
      <c r="I7950" s="10"/>
      <c r="J7950" s="10"/>
      <c r="K7950" s="10"/>
      <c r="L7950" s="10"/>
    </row>
    <row r="7951" spans="1:12" ht="15" customHeight="1" x14ac:dyDescent="0.25">
      <c r="A7951" s="10"/>
      <c r="B7951" s="10"/>
      <c r="C7951" s="10"/>
      <c r="D7951" s="10"/>
      <c r="E7951" s="10"/>
      <c r="F7951" s="10"/>
      <c r="G7951" s="10"/>
      <c r="H7951" s="10"/>
      <c r="I7951" s="10"/>
      <c r="J7951" s="10"/>
      <c r="K7951" s="10"/>
      <c r="L7951" s="10"/>
    </row>
    <row r="7952" spans="1:12" ht="15" customHeight="1" x14ac:dyDescent="0.25">
      <c r="A7952" s="10"/>
      <c r="B7952" s="10"/>
      <c r="C7952" s="10"/>
      <c r="D7952" s="10"/>
      <c r="E7952" s="10"/>
      <c r="F7952" s="10"/>
      <c r="G7952" s="10"/>
      <c r="H7952" s="10"/>
      <c r="I7952" s="10"/>
      <c r="J7952" s="10"/>
      <c r="K7952" s="10"/>
      <c r="L7952" s="10"/>
    </row>
    <row r="7953" spans="1:12" ht="15" customHeight="1" x14ac:dyDescent="0.25">
      <c r="A7953" s="10"/>
      <c r="B7953" s="10"/>
      <c r="C7953" s="10"/>
      <c r="D7953" s="10"/>
      <c r="E7953" s="10"/>
      <c r="F7953" s="10"/>
      <c r="G7953" s="10"/>
      <c r="H7953" s="10"/>
      <c r="I7953" s="10"/>
      <c r="J7953" s="10"/>
      <c r="K7953" s="10"/>
      <c r="L7953" s="10"/>
    </row>
    <row r="7954" spans="1:12" ht="15" customHeight="1" x14ac:dyDescent="0.25">
      <c r="A7954" s="10"/>
      <c r="B7954" s="10"/>
      <c r="C7954" s="10"/>
      <c r="D7954" s="10"/>
      <c r="E7954" s="10"/>
      <c r="F7954" s="10"/>
      <c r="G7954" s="10"/>
      <c r="H7954" s="10"/>
      <c r="I7954" s="10"/>
      <c r="J7954" s="10"/>
      <c r="K7954" s="10"/>
      <c r="L7954" s="10"/>
    </row>
    <row r="7955" spans="1:12" ht="15" customHeight="1" x14ac:dyDescent="0.25">
      <c r="A7955" s="10"/>
      <c r="B7955" s="10"/>
      <c r="C7955" s="10"/>
      <c r="D7955" s="10"/>
      <c r="E7955" s="10"/>
      <c r="F7955" s="10"/>
      <c r="G7955" s="10"/>
      <c r="H7955" s="10"/>
      <c r="I7955" s="10"/>
      <c r="J7955" s="10"/>
      <c r="K7955" s="10"/>
      <c r="L7955" s="10"/>
    </row>
    <row r="7956" spans="1:12" ht="15" customHeight="1" x14ac:dyDescent="0.25">
      <c r="A7956" s="10"/>
      <c r="B7956" s="10"/>
      <c r="C7956" s="10"/>
      <c r="D7956" s="10"/>
      <c r="E7956" s="10"/>
      <c r="F7956" s="10"/>
      <c r="G7956" s="10"/>
      <c r="H7956" s="10"/>
      <c r="I7956" s="10"/>
      <c r="J7956" s="10"/>
      <c r="K7956" s="10"/>
      <c r="L7956" s="10"/>
    </row>
    <row r="7957" spans="1:12" ht="15" customHeight="1" x14ac:dyDescent="0.25">
      <c r="A7957" s="10"/>
      <c r="B7957" s="10"/>
      <c r="C7957" s="10"/>
      <c r="D7957" s="10"/>
      <c r="E7957" s="10"/>
      <c r="F7957" s="10"/>
      <c r="G7957" s="10"/>
      <c r="H7957" s="10"/>
      <c r="I7957" s="10"/>
      <c r="J7957" s="10"/>
      <c r="K7957" s="10"/>
      <c r="L7957" s="10"/>
    </row>
    <row r="7958" spans="1:12" ht="15" customHeight="1" x14ac:dyDescent="0.25">
      <c r="A7958" s="10"/>
      <c r="B7958" s="10"/>
      <c r="C7958" s="10"/>
      <c r="D7958" s="10"/>
      <c r="E7958" s="10"/>
      <c r="F7958" s="10"/>
      <c r="G7958" s="10"/>
      <c r="H7958" s="10"/>
      <c r="I7958" s="10"/>
      <c r="J7958" s="10"/>
      <c r="K7958" s="10"/>
      <c r="L7958" s="10"/>
    </row>
    <row r="7959" spans="1:12" ht="15" customHeight="1" x14ac:dyDescent="0.25">
      <c r="A7959" s="10"/>
      <c r="B7959" s="10"/>
      <c r="C7959" s="10"/>
      <c r="D7959" s="10"/>
      <c r="E7959" s="10"/>
      <c r="F7959" s="10"/>
      <c r="G7959" s="10"/>
      <c r="H7959" s="10"/>
      <c r="I7959" s="10"/>
      <c r="J7959" s="10"/>
      <c r="K7959" s="10"/>
      <c r="L7959" s="10"/>
    </row>
    <row r="7960" spans="1:12" ht="15" customHeight="1" x14ac:dyDescent="0.25">
      <c r="A7960" s="10"/>
      <c r="B7960" s="10"/>
      <c r="C7960" s="10"/>
      <c r="D7960" s="10"/>
      <c r="E7960" s="10"/>
      <c r="F7960" s="10"/>
      <c r="G7960" s="10"/>
      <c r="H7960" s="10"/>
      <c r="I7960" s="10"/>
      <c r="J7960" s="10"/>
      <c r="K7960" s="10"/>
      <c r="L7960" s="10"/>
    </row>
    <row r="7961" spans="1:12" ht="15" customHeight="1" x14ac:dyDescent="0.25">
      <c r="A7961" s="10"/>
      <c r="B7961" s="10"/>
      <c r="C7961" s="10"/>
      <c r="D7961" s="10"/>
      <c r="E7961" s="10"/>
      <c r="F7961" s="10"/>
      <c r="G7961" s="10"/>
      <c r="H7961" s="10"/>
      <c r="I7961" s="10"/>
      <c r="J7961" s="10"/>
      <c r="K7961" s="10"/>
      <c r="L7961" s="10"/>
    </row>
    <row r="7962" spans="1:12" ht="15" customHeight="1" x14ac:dyDescent="0.25">
      <c r="A7962" s="10"/>
      <c r="B7962" s="10"/>
      <c r="C7962" s="10"/>
      <c r="D7962" s="10"/>
      <c r="E7962" s="10"/>
      <c r="F7962" s="10"/>
      <c r="G7962" s="10"/>
      <c r="H7962" s="10"/>
      <c r="I7962" s="10"/>
      <c r="J7962" s="10"/>
      <c r="K7962" s="10"/>
      <c r="L7962" s="10"/>
    </row>
    <row r="7963" spans="1:12" ht="15" customHeight="1" x14ac:dyDescent="0.25">
      <c r="A7963" s="10"/>
      <c r="B7963" s="10"/>
      <c r="C7963" s="10"/>
      <c r="D7963" s="10"/>
      <c r="E7963" s="10"/>
      <c r="F7963" s="10"/>
      <c r="G7963" s="10"/>
      <c r="H7963" s="10"/>
      <c r="I7963" s="10"/>
      <c r="J7963" s="10"/>
      <c r="K7963" s="10"/>
      <c r="L7963" s="10"/>
    </row>
    <row r="7964" spans="1:12" ht="15" customHeight="1" x14ac:dyDescent="0.25">
      <c r="A7964" s="10"/>
      <c r="B7964" s="10"/>
      <c r="C7964" s="10"/>
      <c r="D7964" s="10"/>
      <c r="E7964" s="10"/>
      <c r="F7964" s="10"/>
      <c r="G7964" s="10"/>
      <c r="H7964" s="10"/>
      <c r="I7964" s="10"/>
      <c r="J7964" s="10"/>
      <c r="K7964" s="10"/>
      <c r="L7964" s="10"/>
    </row>
    <row r="7965" spans="1:12" ht="15" customHeight="1" x14ac:dyDescent="0.25">
      <c r="A7965" s="10"/>
      <c r="B7965" s="10"/>
      <c r="C7965" s="10"/>
      <c r="D7965" s="10"/>
      <c r="E7965" s="10"/>
      <c r="F7965" s="10"/>
      <c r="G7965" s="10"/>
      <c r="H7965" s="10"/>
      <c r="I7965" s="10"/>
      <c r="J7965" s="10"/>
      <c r="K7965" s="10"/>
      <c r="L7965" s="10"/>
    </row>
    <row r="7966" spans="1:12" ht="15" customHeight="1" x14ac:dyDescent="0.25">
      <c r="A7966" s="10"/>
      <c r="B7966" s="10"/>
      <c r="C7966" s="10"/>
      <c r="D7966" s="10"/>
      <c r="E7966" s="10"/>
      <c r="F7966" s="10"/>
      <c r="G7966" s="10"/>
      <c r="H7966" s="10"/>
      <c r="I7966" s="10"/>
      <c r="J7966" s="10"/>
      <c r="K7966" s="10"/>
      <c r="L7966" s="10"/>
    </row>
    <row r="7967" spans="1:12" ht="15" customHeight="1" x14ac:dyDescent="0.25">
      <c r="A7967" s="10"/>
      <c r="B7967" s="10"/>
      <c r="C7967" s="10"/>
      <c r="D7967" s="10"/>
      <c r="E7967" s="10"/>
      <c r="F7967" s="10"/>
      <c r="G7967" s="10"/>
      <c r="H7967" s="10"/>
      <c r="I7967" s="10"/>
      <c r="J7967" s="10"/>
      <c r="K7967" s="10"/>
      <c r="L7967" s="10"/>
    </row>
    <row r="7968" spans="1:12" ht="15" customHeight="1" x14ac:dyDescent="0.25">
      <c r="A7968" s="10"/>
      <c r="B7968" s="10"/>
      <c r="C7968" s="10"/>
      <c r="D7968" s="10"/>
      <c r="E7968" s="10"/>
      <c r="F7968" s="10"/>
      <c r="G7968" s="10"/>
      <c r="H7968" s="10"/>
      <c r="I7968" s="10"/>
      <c r="J7968" s="10"/>
      <c r="K7968" s="10"/>
      <c r="L7968" s="10"/>
    </row>
    <row r="7969" spans="1:12" ht="15" customHeight="1" x14ac:dyDescent="0.25">
      <c r="A7969" s="10"/>
      <c r="B7969" s="10"/>
      <c r="C7969" s="10"/>
      <c r="D7969" s="10"/>
      <c r="E7969" s="10"/>
      <c r="F7969" s="10"/>
      <c r="G7969" s="10"/>
      <c r="H7969" s="10"/>
      <c r="I7969" s="10"/>
      <c r="J7969" s="10"/>
      <c r="K7969" s="10"/>
      <c r="L7969" s="10"/>
    </row>
    <row r="7970" spans="1:12" ht="15" customHeight="1" x14ac:dyDescent="0.25">
      <c r="A7970" s="10"/>
      <c r="B7970" s="10"/>
      <c r="C7970" s="10"/>
      <c r="D7970" s="10"/>
      <c r="E7970" s="10"/>
      <c r="F7970" s="10"/>
      <c r="G7970" s="10"/>
      <c r="H7970" s="10"/>
      <c r="I7970" s="10"/>
      <c r="J7970" s="10"/>
      <c r="K7970" s="10"/>
      <c r="L7970" s="10"/>
    </row>
    <row r="7971" spans="1:12" ht="15" customHeight="1" x14ac:dyDescent="0.25">
      <c r="A7971" s="10"/>
      <c r="B7971" s="10"/>
      <c r="C7971" s="10"/>
      <c r="D7971" s="10"/>
      <c r="E7971" s="10"/>
      <c r="F7971" s="10"/>
      <c r="G7971" s="10"/>
      <c r="H7971" s="10"/>
      <c r="I7971" s="10"/>
      <c r="J7971" s="10"/>
      <c r="K7971" s="10"/>
      <c r="L7971" s="10"/>
    </row>
    <row r="7972" spans="1:12" ht="15" customHeight="1" x14ac:dyDescent="0.25">
      <c r="A7972" s="10"/>
      <c r="B7972" s="10"/>
      <c r="C7972" s="10"/>
      <c r="D7972" s="10"/>
      <c r="E7972" s="10"/>
      <c r="F7972" s="10"/>
      <c r="G7972" s="10"/>
      <c r="H7972" s="10"/>
      <c r="I7972" s="10"/>
      <c r="J7972" s="10"/>
      <c r="K7972" s="10"/>
      <c r="L7972" s="10"/>
    </row>
    <row r="7973" spans="1:12" ht="15" customHeight="1" x14ac:dyDescent="0.25">
      <c r="A7973" s="10"/>
      <c r="B7973" s="10"/>
      <c r="C7973" s="10"/>
      <c r="D7973" s="10"/>
      <c r="E7973" s="10"/>
      <c r="F7973" s="10"/>
      <c r="G7973" s="10"/>
      <c r="H7973" s="10"/>
      <c r="I7973" s="10"/>
      <c r="J7973" s="10"/>
      <c r="K7973" s="10"/>
      <c r="L7973" s="10"/>
    </row>
    <row r="7974" spans="1:12" ht="15" customHeight="1" x14ac:dyDescent="0.25">
      <c r="A7974" s="10"/>
      <c r="B7974" s="10"/>
      <c r="C7974" s="10"/>
      <c r="D7974" s="10"/>
      <c r="E7974" s="10"/>
      <c r="F7974" s="10"/>
      <c r="G7974" s="10"/>
      <c r="H7974" s="10"/>
      <c r="I7974" s="10"/>
      <c r="J7974" s="10"/>
      <c r="K7974" s="10"/>
      <c r="L7974" s="10"/>
    </row>
    <row r="7975" spans="1:12" ht="15" customHeight="1" x14ac:dyDescent="0.25">
      <c r="A7975" s="10"/>
      <c r="B7975" s="10"/>
      <c r="C7975" s="10"/>
      <c r="D7975" s="10"/>
      <c r="E7975" s="10"/>
      <c r="F7975" s="10"/>
      <c r="G7975" s="10"/>
      <c r="H7975" s="10"/>
      <c r="I7975" s="10"/>
      <c r="J7975" s="10"/>
      <c r="K7975" s="10"/>
      <c r="L7975" s="10"/>
    </row>
    <row r="7976" spans="1:12" ht="15" customHeight="1" x14ac:dyDescent="0.25">
      <c r="A7976" s="10"/>
      <c r="B7976" s="10"/>
      <c r="C7976" s="10"/>
      <c r="D7976" s="10"/>
      <c r="E7976" s="10"/>
      <c r="F7976" s="10"/>
      <c r="G7976" s="10"/>
      <c r="H7976" s="10"/>
      <c r="I7976" s="10"/>
      <c r="J7976" s="10"/>
      <c r="K7976" s="10"/>
      <c r="L7976" s="10"/>
    </row>
    <row r="7977" spans="1:12" ht="15" customHeight="1" x14ac:dyDescent="0.25">
      <c r="A7977" s="10"/>
      <c r="B7977" s="10"/>
      <c r="C7977" s="10"/>
      <c r="D7977" s="10"/>
      <c r="E7977" s="10"/>
      <c r="F7977" s="10"/>
      <c r="G7977" s="10"/>
      <c r="H7977" s="10"/>
      <c r="I7977" s="10"/>
      <c r="J7977" s="10"/>
      <c r="K7977" s="10"/>
      <c r="L7977" s="10"/>
    </row>
    <row r="7978" spans="1:12" ht="15" customHeight="1" x14ac:dyDescent="0.25">
      <c r="A7978" s="10"/>
      <c r="B7978" s="10"/>
      <c r="C7978" s="10"/>
      <c r="D7978" s="10"/>
      <c r="E7978" s="10"/>
      <c r="F7978" s="10"/>
      <c r="G7978" s="10"/>
      <c r="H7978" s="10"/>
      <c r="I7978" s="10"/>
      <c r="J7978" s="10"/>
      <c r="K7978" s="10"/>
      <c r="L7978" s="10"/>
    </row>
    <row r="7979" spans="1:12" ht="15" customHeight="1" x14ac:dyDescent="0.25">
      <c r="A7979" s="10"/>
      <c r="B7979" s="10"/>
      <c r="C7979" s="10"/>
      <c r="D7979" s="10"/>
      <c r="E7979" s="10"/>
      <c r="F7979" s="10"/>
      <c r="G7979" s="10"/>
      <c r="H7979" s="10"/>
      <c r="I7979" s="10"/>
      <c r="J7979" s="10"/>
      <c r="K7979" s="10"/>
      <c r="L7979" s="10"/>
    </row>
    <row r="7980" spans="1:12" ht="15" customHeight="1" x14ac:dyDescent="0.25">
      <c r="A7980" s="10"/>
      <c r="B7980" s="10"/>
      <c r="C7980" s="10"/>
      <c r="D7980" s="10"/>
      <c r="E7980" s="10"/>
      <c r="F7980" s="10"/>
      <c r="G7980" s="10"/>
      <c r="H7980" s="10"/>
      <c r="I7980" s="10"/>
      <c r="J7980" s="10"/>
      <c r="K7980" s="10"/>
      <c r="L7980" s="10"/>
    </row>
    <row r="7981" spans="1:12" ht="15" customHeight="1" x14ac:dyDescent="0.25">
      <c r="A7981" s="10"/>
      <c r="B7981" s="10"/>
      <c r="C7981" s="10"/>
      <c r="D7981" s="10"/>
      <c r="E7981" s="10"/>
      <c r="F7981" s="10"/>
      <c r="G7981" s="10"/>
      <c r="H7981" s="10"/>
      <c r="I7981" s="10"/>
      <c r="J7981" s="10"/>
      <c r="K7981" s="10"/>
      <c r="L7981" s="10"/>
    </row>
    <row r="7982" spans="1:12" ht="15" customHeight="1" x14ac:dyDescent="0.25">
      <c r="A7982" s="10"/>
      <c r="B7982" s="10"/>
      <c r="C7982" s="10"/>
      <c r="D7982" s="10"/>
      <c r="E7982" s="10"/>
      <c r="F7982" s="10"/>
      <c r="G7982" s="10"/>
      <c r="H7982" s="10"/>
      <c r="I7982" s="10"/>
      <c r="J7982" s="10"/>
      <c r="K7982" s="10"/>
      <c r="L7982" s="10"/>
    </row>
    <row r="7983" spans="1:12" ht="15" customHeight="1" x14ac:dyDescent="0.25">
      <c r="A7983" s="10"/>
      <c r="B7983" s="10"/>
      <c r="C7983" s="10"/>
      <c r="D7983" s="10"/>
      <c r="E7983" s="10"/>
      <c r="F7983" s="10"/>
      <c r="G7983" s="10"/>
      <c r="H7983" s="10"/>
      <c r="I7983" s="10"/>
      <c r="J7983" s="10"/>
      <c r="K7983" s="10"/>
      <c r="L7983" s="10"/>
    </row>
    <row r="7984" spans="1:12" ht="15" customHeight="1" x14ac:dyDescent="0.25">
      <c r="A7984" s="10"/>
      <c r="B7984" s="10"/>
      <c r="C7984" s="10"/>
      <c r="D7984" s="10"/>
      <c r="E7984" s="10"/>
      <c r="F7984" s="10"/>
      <c r="G7984" s="10"/>
      <c r="H7984" s="10"/>
      <c r="I7984" s="10"/>
      <c r="J7984" s="10"/>
      <c r="K7984" s="10"/>
      <c r="L7984" s="10"/>
    </row>
    <row r="7985" spans="1:12" ht="15" customHeight="1" x14ac:dyDescent="0.25">
      <c r="A7985" s="10"/>
      <c r="B7985" s="10"/>
      <c r="C7985" s="10"/>
      <c r="D7985" s="10"/>
      <c r="E7985" s="10"/>
      <c r="F7985" s="10"/>
      <c r="G7985" s="10"/>
      <c r="H7985" s="10"/>
      <c r="I7985" s="10"/>
      <c r="J7985" s="10"/>
      <c r="K7985" s="10"/>
      <c r="L7985" s="10"/>
    </row>
    <row r="7986" spans="1:12" ht="15" customHeight="1" x14ac:dyDescent="0.25">
      <c r="A7986" s="10"/>
      <c r="B7986" s="10"/>
      <c r="C7986" s="10"/>
      <c r="D7986" s="10"/>
      <c r="E7986" s="10"/>
      <c r="F7986" s="10"/>
      <c r="G7986" s="10"/>
      <c r="H7986" s="10"/>
      <c r="I7986" s="10"/>
      <c r="J7986" s="10"/>
      <c r="K7986" s="10"/>
      <c r="L7986" s="10"/>
    </row>
    <row r="7987" spans="1:12" ht="15" customHeight="1" x14ac:dyDescent="0.25">
      <c r="A7987" s="10"/>
      <c r="B7987" s="10"/>
      <c r="C7987" s="10"/>
      <c r="D7987" s="10"/>
      <c r="E7987" s="10"/>
      <c r="F7987" s="10"/>
      <c r="G7987" s="10"/>
      <c r="H7987" s="10"/>
      <c r="I7987" s="10"/>
      <c r="J7987" s="10"/>
      <c r="K7987" s="10"/>
      <c r="L7987" s="10"/>
    </row>
    <row r="7988" spans="1:12" ht="15" customHeight="1" x14ac:dyDescent="0.25">
      <c r="A7988" s="10"/>
      <c r="B7988" s="10"/>
      <c r="C7988" s="10"/>
      <c r="D7988" s="10"/>
      <c r="E7988" s="10"/>
      <c r="F7988" s="10"/>
      <c r="G7988" s="10"/>
      <c r="H7988" s="10"/>
      <c r="I7988" s="10"/>
      <c r="J7988" s="10"/>
      <c r="K7988" s="10"/>
      <c r="L7988" s="10"/>
    </row>
    <row r="7989" spans="1:12" ht="15" customHeight="1" x14ac:dyDescent="0.25">
      <c r="A7989" s="10"/>
      <c r="B7989" s="10"/>
      <c r="C7989" s="10"/>
      <c r="D7989" s="10"/>
      <c r="E7989" s="10"/>
      <c r="F7989" s="10"/>
      <c r="G7989" s="10"/>
      <c r="H7989" s="10"/>
      <c r="I7989" s="10"/>
      <c r="J7989" s="10"/>
      <c r="K7989" s="10"/>
      <c r="L7989" s="10"/>
    </row>
    <row r="7990" spans="1:12" ht="15" customHeight="1" x14ac:dyDescent="0.25">
      <c r="A7990" s="10"/>
      <c r="B7990" s="10"/>
      <c r="C7990" s="10"/>
      <c r="D7990" s="10"/>
      <c r="E7990" s="10"/>
      <c r="F7990" s="10"/>
      <c r="G7990" s="10"/>
      <c r="H7990" s="10"/>
      <c r="I7990" s="10"/>
      <c r="J7990" s="10"/>
      <c r="K7990" s="10"/>
      <c r="L7990" s="10"/>
    </row>
    <row r="7991" spans="1:12" ht="15" customHeight="1" x14ac:dyDescent="0.25">
      <c r="A7991" s="10"/>
      <c r="B7991" s="10"/>
      <c r="C7991" s="10"/>
      <c r="D7991" s="10"/>
      <c r="E7991" s="10"/>
      <c r="F7991" s="10"/>
      <c r="G7991" s="10"/>
      <c r="H7991" s="10"/>
      <c r="I7991" s="10"/>
      <c r="J7991" s="10"/>
      <c r="K7991" s="10"/>
      <c r="L7991" s="10"/>
    </row>
    <row r="7992" spans="1:12" ht="15" customHeight="1" x14ac:dyDescent="0.25">
      <c r="A7992" s="10"/>
      <c r="B7992" s="10"/>
      <c r="C7992" s="10"/>
      <c r="D7992" s="10"/>
      <c r="E7992" s="10"/>
      <c r="F7992" s="10"/>
      <c r="G7992" s="10"/>
      <c r="H7992" s="10"/>
      <c r="I7992" s="10"/>
      <c r="J7992" s="10"/>
      <c r="K7992" s="10"/>
      <c r="L7992" s="10"/>
    </row>
    <row r="7993" spans="1:12" ht="15" customHeight="1" x14ac:dyDescent="0.25">
      <c r="A7993" s="10"/>
      <c r="B7993" s="10"/>
      <c r="C7993" s="10"/>
      <c r="D7993" s="10"/>
      <c r="E7993" s="10"/>
      <c r="F7993" s="10"/>
      <c r="G7993" s="10"/>
      <c r="H7993" s="10"/>
      <c r="I7993" s="10"/>
      <c r="J7993" s="10"/>
      <c r="K7993" s="10"/>
      <c r="L7993" s="10"/>
    </row>
    <row r="7994" spans="1:12" ht="15" customHeight="1" x14ac:dyDescent="0.25">
      <c r="A7994" s="10"/>
      <c r="B7994" s="10"/>
      <c r="C7994" s="10"/>
      <c r="D7994" s="10"/>
      <c r="E7994" s="10"/>
      <c r="F7994" s="10"/>
      <c r="G7994" s="10"/>
      <c r="H7994" s="10"/>
      <c r="I7994" s="10"/>
      <c r="J7994" s="10"/>
      <c r="K7994" s="10"/>
      <c r="L7994" s="10"/>
    </row>
    <row r="7995" spans="1:12" ht="15" customHeight="1" x14ac:dyDescent="0.25">
      <c r="A7995" s="10"/>
      <c r="B7995" s="10"/>
      <c r="C7995" s="10"/>
      <c r="D7995" s="10"/>
      <c r="E7995" s="10"/>
      <c r="F7995" s="10"/>
      <c r="G7995" s="10"/>
      <c r="H7995" s="10"/>
      <c r="I7995" s="10"/>
      <c r="J7995" s="10"/>
      <c r="K7995" s="10"/>
      <c r="L7995" s="10"/>
    </row>
    <row r="7996" spans="1:12" ht="15" customHeight="1" x14ac:dyDescent="0.25">
      <c r="A7996" s="10"/>
      <c r="B7996" s="10"/>
      <c r="C7996" s="10"/>
      <c r="D7996" s="10"/>
      <c r="E7996" s="10"/>
      <c r="F7996" s="10"/>
      <c r="G7996" s="10"/>
      <c r="H7996" s="10"/>
      <c r="I7996" s="10"/>
      <c r="J7996" s="10"/>
      <c r="K7996" s="10"/>
      <c r="L7996" s="10"/>
    </row>
    <row r="7997" spans="1:12" ht="15" customHeight="1" x14ac:dyDescent="0.25">
      <c r="A7997" s="10"/>
      <c r="B7997" s="10"/>
      <c r="C7997" s="10"/>
      <c r="D7997" s="10"/>
      <c r="E7997" s="10"/>
      <c r="F7997" s="10"/>
      <c r="G7997" s="10"/>
      <c r="H7997" s="10"/>
      <c r="I7997" s="10"/>
      <c r="J7997" s="10"/>
      <c r="K7997" s="10"/>
      <c r="L7997" s="10"/>
    </row>
    <row r="7998" spans="1:12" ht="15" customHeight="1" x14ac:dyDescent="0.25">
      <c r="A7998" s="10"/>
      <c r="B7998" s="10"/>
      <c r="C7998" s="10"/>
      <c r="D7998" s="10"/>
      <c r="E7998" s="10"/>
      <c r="F7998" s="10"/>
      <c r="G7998" s="10"/>
      <c r="H7998" s="10"/>
      <c r="I7998" s="10"/>
      <c r="J7998" s="10"/>
      <c r="K7998" s="10"/>
      <c r="L7998" s="10"/>
    </row>
    <row r="7999" spans="1:12" ht="15" customHeight="1" x14ac:dyDescent="0.25">
      <c r="A7999" s="10"/>
      <c r="B7999" s="10"/>
      <c r="C7999" s="10"/>
      <c r="D7999" s="10"/>
      <c r="E7999" s="10"/>
      <c r="F7999" s="10"/>
      <c r="G7999" s="10"/>
      <c r="H7999" s="10"/>
      <c r="I7999" s="10"/>
      <c r="J7999" s="10"/>
      <c r="K7999" s="10"/>
      <c r="L7999" s="10"/>
    </row>
    <row r="8000" spans="1:12" ht="15" customHeight="1" x14ac:dyDescent="0.25">
      <c r="A8000" s="10"/>
      <c r="B8000" s="10"/>
      <c r="C8000" s="10"/>
      <c r="D8000" s="10"/>
      <c r="E8000" s="10"/>
      <c r="F8000" s="10"/>
      <c r="G8000" s="10"/>
      <c r="H8000" s="10"/>
      <c r="I8000" s="10"/>
      <c r="J8000" s="10"/>
      <c r="K8000" s="10"/>
      <c r="L8000" s="10"/>
    </row>
    <row r="8001" spans="1:12" ht="15" customHeight="1" x14ac:dyDescent="0.25">
      <c r="A8001" s="10"/>
      <c r="B8001" s="10"/>
      <c r="C8001" s="10"/>
      <c r="D8001" s="10"/>
      <c r="E8001" s="10"/>
      <c r="F8001" s="10"/>
      <c r="G8001" s="10"/>
      <c r="H8001" s="10"/>
      <c r="I8001" s="10"/>
      <c r="J8001" s="10"/>
      <c r="K8001" s="10"/>
      <c r="L8001" s="10"/>
    </row>
    <row r="8002" spans="1:12" ht="15" customHeight="1" x14ac:dyDescent="0.25">
      <c r="A8002" s="10"/>
      <c r="B8002" s="10"/>
      <c r="C8002" s="10"/>
      <c r="D8002" s="10"/>
      <c r="E8002" s="10"/>
      <c r="F8002" s="10"/>
      <c r="G8002" s="10"/>
      <c r="H8002" s="10"/>
      <c r="I8002" s="10"/>
      <c r="J8002" s="10"/>
      <c r="K8002" s="10"/>
      <c r="L8002" s="10"/>
    </row>
    <row r="8003" spans="1:12" ht="15" customHeight="1" x14ac:dyDescent="0.25">
      <c r="A8003" s="10"/>
      <c r="B8003" s="10"/>
      <c r="C8003" s="10"/>
      <c r="D8003" s="10"/>
      <c r="E8003" s="10"/>
      <c r="F8003" s="10"/>
      <c r="G8003" s="10"/>
      <c r="H8003" s="10"/>
      <c r="I8003" s="10"/>
      <c r="J8003" s="10"/>
      <c r="K8003" s="10"/>
      <c r="L8003" s="10"/>
    </row>
    <row r="8004" spans="1:12" ht="15" customHeight="1" x14ac:dyDescent="0.25">
      <c r="A8004" s="10"/>
      <c r="B8004" s="10"/>
      <c r="C8004" s="10"/>
      <c r="D8004" s="10"/>
      <c r="E8004" s="10"/>
      <c r="F8004" s="10"/>
      <c r="G8004" s="10"/>
      <c r="H8004" s="10"/>
      <c r="I8004" s="10"/>
      <c r="J8004" s="10"/>
      <c r="K8004" s="10"/>
      <c r="L8004" s="10"/>
    </row>
    <row r="8005" spans="1:12" ht="15" customHeight="1" x14ac:dyDescent="0.25">
      <c r="A8005" s="10"/>
      <c r="B8005" s="10"/>
      <c r="C8005" s="10"/>
      <c r="D8005" s="10"/>
      <c r="E8005" s="10"/>
      <c r="F8005" s="10"/>
      <c r="G8005" s="10"/>
      <c r="H8005" s="10"/>
      <c r="I8005" s="10"/>
      <c r="J8005" s="10"/>
      <c r="K8005" s="10"/>
      <c r="L8005" s="10"/>
    </row>
    <row r="8006" spans="1:12" ht="15" customHeight="1" x14ac:dyDescent="0.25">
      <c r="A8006" s="10"/>
      <c r="B8006" s="10"/>
      <c r="C8006" s="10"/>
      <c r="D8006" s="10"/>
      <c r="E8006" s="10"/>
      <c r="F8006" s="10"/>
      <c r="G8006" s="10"/>
      <c r="H8006" s="10"/>
      <c r="I8006" s="10"/>
      <c r="J8006" s="10"/>
      <c r="K8006" s="10"/>
      <c r="L8006" s="10"/>
    </row>
    <row r="8007" spans="1:12" ht="15" customHeight="1" x14ac:dyDescent="0.25">
      <c r="A8007" s="10"/>
      <c r="B8007" s="10"/>
      <c r="C8007" s="10"/>
      <c r="D8007" s="10"/>
      <c r="E8007" s="10"/>
      <c r="F8007" s="10"/>
      <c r="G8007" s="10"/>
      <c r="H8007" s="10"/>
      <c r="I8007" s="10"/>
      <c r="J8007" s="10"/>
      <c r="K8007" s="10"/>
      <c r="L8007" s="10"/>
    </row>
    <row r="8008" spans="1:12" ht="15" customHeight="1" x14ac:dyDescent="0.25">
      <c r="A8008" s="10"/>
      <c r="B8008" s="10"/>
      <c r="C8008" s="10"/>
      <c r="D8008" s="10"/>
      <c r="E8008" s="10"/>
      <c r="F8008" s="10"/>
      <c r="G8008" s="10"/>
      <c r="H8008" s="10"/>
      <c r="I8008" s="10"/>
      <c r="J8008" s="10"/>
      <c r="K8008" s="10"/>
      <c r="L8008" s="10"/>
    </row>
    <row r="8009" spans="1:12" ht="15" customHeight="1" x14ac:dyDescent="0.25">
      <c r="A8009" s="10"/>
      <c r="B8009" s="10"/>
      <c r="C8009" s="10"/>
      <c r="D8009" s="10"/>
      <c r="E8009" s="10"/>
      <c r="F8009" s="10"/>
      <c r="G8009" s="10"/>
      <c r="H8009" s="10"/>
      <c r="I8009" s="10"/>
      <c r="J8009" s="10"/>
      <c r="K8009" s="10"/>
      <c r="L8009" s="10"/>
    </row>
    <row r="8010" spans="1:12" ht="15" customHeight="1" x14ac:dyDescent="0.25">
      <c r="A8010" s="10"/>
      <c r="B8010" s="10"/>
      <c r="C8010" s="10"/>
      <c r="D8010" s="10"/>
      <c r="E8010" s="10"/>
      <c r="F8010" s="10"/>
      <c r="G8010" s="10"/>
      <c r="H8010" s="10"/>
      <c r="I8010" s="10"/>
      <c r="J8010" s="10"/>
      <c r="K8010" s="10"/>
      <c r="L8010" s="10"/>
    </row>
    <row r="8011" spans="1:12" ht="15" customHeight="1" x14ac:dyDescent="0.25">
      <c r="A8011" s="10"/>
      <c r="B8011" s="10"/>
      <c r="C8011" s="10"/>
      <c r="D8011" s="10"/>
      <c r="E8011" s="10"/>
      <c r="F8011" s="10"/>
      <c r="G8011" s="10"/>
      <c r="H8011" s="10"/>
      <c r="I8011" s="10"/>
      <c r="J8011" s="10"/>
      <c r="K8011" s="10"/>
      <c r="L8011" s="10"/>
    </row>
    <row r="8012" spans="1:12" ht="15" customHeight="1" x14ac:dyDescent="0.25">
      <c r="A8012" s="10"/>
      <c r="B8012" s="10"/>
      <c r="C8012" s="10"/>
      <c r="D8012" s="10"/>
      <c r="E8012" s="10"/>
      <c r="F8012" s="10"/>
      <c r="G8012" s="10"/>
      <c r="H8012" s="10"/>
      <c r="I8012" s="10"/>
      <c r="J8012" s="10"/>
      <c r="K8012" s="10"/>
      <c r="L8012" s="10"/>
    </row>
    <row r="8013" spans="1:12" ht="15" customHeight="1" x14ac:dyDescent="0.25">
      <c r="A8013" s="10"/>
      <c r="B8013" s="10"/>
      <c r="C8013" s="10"/>
      <c r="D8013" s="10"/>
      <c r="E8013" s="10"/>
      <c r="F8013" s="10"/>
      <c r="G8013" s="10"/>
      <c r="H8013" s="10"/>
      <c r="I8013" s="10"/>
      <c r="J8013" s="10"/>
      <c r="K8013" s="10"/>
      <c r="L8013" s="10"/>
    </row>
    <row r="8014" spans="1:12" ht="15" customHeight="1" x14ac:dyDescent="0.25">
      <c r="A8014" s="10"/>
      <c r="B8014" s="10"/>
      <c r="C8014" s="10"/>
      <c r="D8014" s="10"/>
      <c r="E8014" s="10"/>
      <c r="F8014" s="10"/>
      <c r="G8014" s="10"/>
      <c r="H8014" s="10"/>
      <c r="I8014" s="10"/>
      <c r="J8014" s="10"/>
      <c r="K8014" s="10"/>
      <c r="L8014" s="10"/>
    </row>
    <row r="8015" spans="1:12" ht="15" customHeight="1" x14ac:dyDescent="0.25">
      <c r="A8015" s="10"/>
      <c r="B8015" s="10"/>
      <c r="C8015" s="10"/>
      <c r="D8015" s="10"/>
      <c r="E8015" s="10"/>
      <c r="F8015" s="10"/>
      <c r="G8015" s="10"/>
      <c r="H8015" s="10"/>
      <c r="I8015" s="10"/>
      <c r="J8015" s="10"/>
      <c r="K8015" s="10"/>
      <c r="L8015" s="10"/>
    </row>
    <row r="8016" spans="1:12" ht="15" customHeight="1" x14ac:dyDescent="0.25">
      <c r="A8016" s="10"/>
      <c r="B8016" s="10"/>
      <c r="C8016" s="10"/>
      <c r="D8016" s="10"/>
      <c r="E8016" s="10"/>
      <c r="F8016" s="10"/>
      <c r="G8016" s="10"/>
      <c r="H8016" s="10"/>
      <c r="I8016" s="10"/>
      <c r="J8016" s="10"/>
      <c r="K8016" s="10"/>
      <c r="L8016" s="10"/>
    </row>
    <row r="8017" spans="1:12" ht="15" customHeight="1" x14ac:dyDescent="0.25">
      <c r="A8017" s="10"/>
      <c r="B8017" s="10"/>
      <c r="C8017" s="10"/>
      <c r="D8017" s="10"/>
      <c r="E8017" s="10"/>
      <c r="F8017" s="10"/>
      <c r="G8017" s="10"/>
      <c r="H8017" s="10"/>
      <c r="I8017" s="10"/>
      <c r="J8017" s="10"/>
      <c r="K8017" s="10"/>
      <c r="L8017" s="10"/>
    </row>
    <row r="8018" spans="1:12" ht="15" customHeight="1" x14ac:dyDescent="0.25">
      <c r="A8018" s="10"/>
      <c r="B8018" s="10"/>
      <c r="C8018" s="10"/>
      <c r="D8018" s="10"/>
      <c r="E8018" s="10"/>
      <c r="F8018" s="10"/>
      <c r="G8018" s="10"/>
      <c r="H8018" s="10"/>
      <c r="I8018" s="10"/>
      <c r="J8018" s="10"/>
      <c r="K8018" s="10"/>
      <c r="L8018" s="10"/>
    </row>
    <row r="8019" spans="1:12" ht="15" customHeight="1" x14ac:dyDescent="0.25">
      <c r="A8019" s="10"/>
      <c r="B8019" s="10"/>
      <c r="C8019" s="10"/>
      <c r="D8019" s="10"/>
      <c r="E8019" s="10"/>
      <c r="F8019" s="10"/>
      <c r="G8019" s="10"/>
      <c r="H8019" s="10"/>
      <c r="I8019" s="10"/>
      <c r="J8019" s="10"/>
      <c r="K8019" s="10"/>
      <c r="L8019" s="10"/>
    </row>
    <row r="8020" spans="1:12" ht="15" customHeight="1" x14ac:dyDescent="0.25">
      <c r="A8020" s="10"/>
      <c r="B8020" s="10"/>
      <c r="C8020" s="10"/>
      <c r="D8020" s="10"/>
      <c r="E8020" s="10"/>
      <c r="F8020" s="10"/>
      <c r="G8020" s="10"/>
      <c r="H8020" s="10"/>
      <c r="I8020" s="10"/>
      <c r="J8020" s="10"/>
      <c r="K8020" s="10"/>
      <c r="L8020" s="10"/>
    </row>
    <row r="8021" spans="1:12" ht="15" customHeight="1" x14ac:dyDescent="0.25">
      <c r="A8021" s="10"/>
      <c r="B8021" s="10"/>
      <c r="C8021" s="10"/>
      <c r="D8021" s="10"/>
      <c r="E8021" s="10"/>
      <c r="F8021" s="10"/>
      <c r="G8021" s="10"/>
      <c r="H8021" s="10"/>
      <c r="I8021" s="10"/>
      <c r="J8021" s="10"/>
      <c r="K8021" s="10"/>
      <c r="L8021" s="10"/>
    </row>
    <row r="8022" spans="1:12" ht="15" customHeight="1" x14ac:dyDescent="0.25">
      <c r="A8022" s="10"/>
      <c r="B8022" s="10"/>
      <c r="C8022" s="10"/>
      <c r="D8022" s="10"/>
      <c r="E8022" s="10"/>
      <c r="F8022" s="10"/>
      <c r="G8022" s="10"/>
      <c r="H8022" s="10"/>
      <c r="I8022" s="10"/>
      <c r="J8022" s="10"/>
      <c r="K8022" s="10"/>
      <c r="L8022" s="10"/>
    </row>
    <row r="8023" spans="1:12" ht="15" customHeight="1" x14ac:dyDescent="0.25">
      <c r="A8023" s="10"/>
      <c r="B8023" s="10"/>
      <c r="C8023" s="10"/>
      <c r="D8023" s="10"/>
      <c r="E8023" s="10"/>
      <c r="F8023" s="10"/>
      <c r="G8023" s="10"/>
      <c r="H8023" s="10"/>
      <c r="I8023" s="10"/>
      <c r="J8023" s="10"/>
      <c r="K8023" s="10"/>
      <c r="L8023" s="10"/>
    </row>
    <row r="8024" spans="1:12" ht="15" customHeight="1" x14ac:dyDescent="0.25">
      <c r="A8024" s="10"/>
      <c r="B8024" s="10"/>
      <c r="C8024" s="10"/>
      <c r="D8024" s="10"/>
      <c r="E8024" s="10"/>
      <c r="F8024" s="10"/>
      <c r="G8024" s="10"/>
      <c r="H8024" s="10"/>
      <c r="I8024" s="10"/>
      <c r="J8024" s="10"/>
      <c r="K8024" s="10"/>
      <c r="L8024" s="10"/>
    </row>
    <row r="8025" spans="1:12" ht="15" customHeight="1" x14ac:dyDescent="0.25">
      <c r="A8025" s="10"/>
      <c r="B8025" s="10"/>
      <c r="C8025" s="10"/>
      <c r="D8025" s="10"/>
      <c r="E8025" s="10"/>
      <c r="F8025" s="10"/>
      <c r="G8025" s="10"/>
      <c r="H8025" s="10"/>
      <c r="I8025" s="10"/>
      <c r="J8025" s="10"/>
      <c r="K8025" s="10"/>
      <c r="L8025" s="10"/>
    </row>
    <row r="8026" spans="1:12" ht="15" customHeight="1" x14ac:dyDescent="0.25">
      <c r="A8026" s="10"/>
      <c r="B8026" s="10"/>
      <c r="C8026" s="10"/>
      <c r="D8026" s="10"/>
      <c r="E8026" s="10"/>
      <c r="F8026" s="10"/>
      <c r="G8026" s="10"/>
      <c r="H8026" s="10"/>
      <c r="I8026" s="10"/>
      <c r="J8026" s="10"/>
      <c r="K8026" s="10"/>
      <c r="L8026" s="10"/>
    </row>
    <row r="8027" spans="1:12" ht="15" customHeight="1" x14ac:dyDescent="0.25">
      <c r="A8027" s="10"/>
      <c r="B8027" s="10"/>
      <c r="C8027" s="10"/>
      <c r="D8027" s="10"/>
      <c r="E8027" s="10"/>
      <c r="F8027" s="10"/>
      <c r="G8027" s="10"/>
      <c r="H8027" s="10"/>
      <c r="I8027" s="10"/>
      <c r="J8027" s="10"/>
      <c r="K8027" s="10"/>
      <c r="L8027" s="10"/>
    </row>
    <row r="8028" spans="1:12" ht="15" customHeight="1" x14ac:dyDescent="0.25">
      <c r="A8028" s="10"/>
      <c r="B8028" s="10"/>
      <c r="C8028" s="10"/>
      <c r="D8028" s="10"/>
      <c r="E8028" s="10"/>
      <c r="F8028" s="10"/>
      <c r="G8028" s="10"/>
      <c r="H8028" s="10"/>
      <c r="I8028" s="10"/>
      <c r="J8028" s="10"/>
      <c r="K8028" s="10"/>
      <c r="L8028" s="10"/>
    </row>
    <row r="8029" spans="1:12" ht="15" customHeight="1" x14ac:dyDescent="0.25">
      <c r="A8029" s="10"/>
      <c r="B8029" s="10"/>
      <c r="C8029" s="10"/>
      <c r="D8029" s="10"/>
      <c r="E8029" s="10"/>
      <c r="F8029" s="10"/>
      <c r="G8029" s="10"/>
      <c r="H8029" s="10"/>
      <c r="I8029" s="10"/>
      <c r="J8029" s="10"/>
      <c r="K8029" s="10"/>
      <c r="L8029" s="10"/>
    </row>
    <row r="8030" spans="1:12" ht="15" customHeight="1" x14ac:dyDescent="0.25">
      <c r="A8030" s="10"/>
      <c r="B8030" s="10"/>
      <c r="C8030" s="10"/>
      <c r="D8030" s="10"/>
      <c r="E8030" s="10"/>
      <c r="F8030" s="10"/>
      <c r="G8030" s="10"/>
      <c r="H8030" s="10"/>
      <c r="I8030" s="10"/>
      <c r="J8030" s="10"/>
      <c r="K8030" s="10"/>
      <c r="L8030" s="10"/>
    </row>
    <row r="8031" spans="1:12" ht="15" customHeight="1" x14ac:dyDescent="0.25">
      <c r="A8031" s="10"/>
      <c r="B8031" s="10"/>
      <c r="C8031" s="10"/>
      <c r="D8031" s="10"/>
      <c r="E8031" s="10"/>
      <c r="F8031" s="10"/>
      <c r="G8031" s="10"/>
      <c r="H8031" s="10"/>
      <c r="I8031" s="10"/>
      <c r="J8031" s="10"/>
      <c r="K8031" s="10"/>
      <c r="L8031" s="10"/>
    </row>
    <row r="8032" spans="1:12" ht="15" customHeight="1" x14ac:dyDescent="0.25">
      <c r="A8032" s="10"/>
      <c r="B8032" s="10"/>
      <c r="C8032" s="10"/>
      <c r="D8032" s="10"/>
      <c r="E8032" s="10"/>
      <c r="F8032" s="10"/>
      <c r="G8032" s="10"/>
      <c r="H8032" s="10"/>
      <c r="I8032" s="10"/>
      <c r="J8032" s="10"/>
      <c r="K8032" s="10"/>
      <c r="L8032" s="10"/>
    </row>
    <row r="8033" spans="1:12" ht="15" customHeight="1" x14ac:dyDescent="0.25">
      <c r="A8033" s="10"/>
      <c r="B8033" s="10"/>
      <c r="C8033" s="10"/>
      <c r="D8033" s="10"/>
      <c r="E8033" s="10"/>
      <c r="F8033" s="10"/>
      <c r="G8033" s="10"/>
      <c r="H8033" s="10"/>
      <c r="I8033" s="10"/>
      <c r="J8033" s="10"/>
      <c r="K8033" s="10"/>
      <c r="L8033" s="10"/>
    </row>
    <row r="8034" spans="1:12" ht="15" customHeight="1" x14ac:dyDescent="0.25">
      <c r="A8034" s="10"/>
      <c r="B8034" s="10"/>
      <c r="C8034" s="10"/>
      <c r="D8034" s="10"/>
      <c r="E8034" s="10"/>
      <c r="F8034" s="10"/>
      <c r="G8034" s="10"/>
      <c r="H8034" s="10"/>
      <c r="I8034" s="10"/>
      <c r="J8034" s="10"/>
      <c r="K8034" s="10"/>
      <c r="L8034" s="10"/>
    </row>
    <row r="8035" spans="1:12" ht="15" customHeight="1" x14ac:dyDescent="0.25">
      <c r="A8035" s="10"/>
      <c r="B8035" s="10"/>
      <c r="C8035" s="10"/>
      <c r="D8035" s="10"/>
      <c r="E8035" s="10"/>
      <c r="F8035" s="10"/>
      <c r="G8035" s="10"/>
      <c r="H8035" s="10"/>
      <c r="I8035" s="10"/>
      <c r="J8035" s="10"/>
      <c r="K8035" s="10"/>
      <c r="L8035" s="10"/>
    </row>
    <row r="8036" spans="1:12" ht="15" customHeight="1" x14ac:dyDescent="0.25">
      <c r="A8036" s="10"/>
      <c r="B8036" s="10"/>
      <c r="C8036" s="10"/>
      <c r="D8036" s="10"/>
      <c r="E8036" s="10"/>
      <c r="F8036" s="10"/>
      <c r="G8036" s="10"/>
      <c r="H8036" s="10"/>
      <c r="I8036" s="10"/>
      <c r="J8036" s="10"/>
      <c r="K8036" s="10"/>
      <c r="L8036" s="10"/>
    </row>
    <row r="8037" spans="1:12" ht="15" customHeight="1" x14ac:dyDescent="0.25">
      <c r="A8037" s="10"/>
      <c r="B8037" s="10"/>
      <c r="C8037" s="10"/>
      <c r="D8037" s="10"/>
      <c r="E8037" s="10"/>
      <c r="F8037" s="10"/>
      <c r="G8037" s="10"/>
      <c r="H8037" s="10"/>
      <c r="I8037" s="10"/>
      <c r="J8037" s="10"/>
      <c r="K8037" s="10"/>
      <c r="L8037" s="10"/>
    </row>
    <row r="8038" spans="1:12" ht="15" customHeight="1" x14ac:dyDescent="0.25">
      <c r="A8038" s="10"/>
      <c r="B8038" s="10"/>
      <c r="C8038" s="10"/>
      <c r="D8038" s="10"/>
      <c r="E8038" s="10"/>
      <c r="F8038" s="10"/>
      <c r="G8038" s="10"/>
      <c r="H8038" s="10"/>
      <c r="I8038" s="10"/>
      <c r="J8038" s="10"/>
      <c r="K8038" s="10"/>
      <c r="L8038" s="10"/>
    </row>
    <row r="8039" spans="1:12" ht="15" customHeight="1" x14ac:dyDescent="0.25">
      <c r="A8039" s="10"/>
      <c r="B8039" s="10"/>
      <c r="C8039" s="10"/>
      <c r="D8039" s="10"/>
      <c r="E8039" s="10"/>
      <c r="F8039" s="10"/>
      <c r="G8039" s="10"/>
      <c r="H8039" s="10"/>
      <c r="I8039" s="10"/>
      <c r="J8039" s="10"/>
      <c r="K8039" s="10"/>
      <c r="L8039" s="10"/>
    </row>
    <row r="8040" spans="1:12" ht="15" customHeight="1" x14ac:dyDescent="0.25">
      <c r="A8040" s="10"/>
      <c r="B8040" s="10"/>
      <c r="C8040" s="10"/>
      <c r="D8040" s="10"/>
      <c r="E8040" s="10"/>
      <c r="F8040" s="10"/>
      <c r="G8040" s="10"/>
      <c r="H8040" s="10"/>
      <c r="I8040" s="10"/>
      <c r="J8040" s="10"/>
      <c r="K8040" s="10"/>
      <c r="L8040" s="10"/>
    </row>
    <row r="8041" spans="1:12" ht="15" customHeight="1" x14ac:dyDescent="0.25">
      <c r="A8041" s="10"/>
      <c r="B8041" s="10"/>
      <c r="C8041" s="10"/>
      <c r="D8041" s="10"/>
      <c r="E8041" s="10"/>
      <c r="F8041" s="10"/>
      <c r="G8041" s="10"/>
      <c r="H8041" s="10"/>
      <c r="I8041" s="10"/>
      <c r="J8041" s="10"/>
      <c r="K8041" s="10"/>
      <c r="L8041" s="10"/>
    </row>
    <row r="8042" spans="1:12" ht="15" customHeight="1" x14ac:dyDescent="0.25">
      <c r="A8042" s="10"/>
      <c r="B8042" s="10"/>
      <c r="C8042" s="10"/>
      <c r="D8042" s="10"/>
      <c r="E8042" s="10"/>
      <c r="F8042" s="10"/>
      <c r="G8042" s="10"/>
      <c r="H8042" s="10"/>
      <c r="I8042" s="10"/>
      <c r="J8042" s="10"/>
      <c r="K8042" s="10"/>
      <c r="L8042" s="10"/>
    </row>
    <row r="8043" spans="1:12" ht="15" customHeight="1" x14ac:dyDescent="0.25">
      <c r="A8043" s="10"/>
      <c r="B8043" s="10"/>
      <c r="C8043" s="10"/>
      <c r="D8043" s="10"/>
      <c r="E8043" s="10"/>
      <c r="F8043" s="10"/>
      <c r="G8043" s="10"/>
      <c r="H8043" s="10"/>
      <c r="I8043" s="10"/>
      <c r="J8043" s="10"/>
      <c r="K8043" s="10"/>
      <c r="L8043" s="10"/>
    </row>
    <row r="8044" spans="1:12" ht="15" customHeight="1" x14ac:dyDescent="0.25">
      <c r="A8044" s="10"/>
      <c r="B8044" s="10"/>
      <c r="C8044" s="10"/>
      <c r="D8044" s="10"/>
      <c r="E8044" s="10"/>
      <c r="F8044" s="10"/>
      <c r="G8044" s="10"/>
      <c r="H8044" s="10"/>
      <c r="I8044" s="10"/>
      <c r="J8044" s="10"/>
      <c r="K8044" s="10"/>
      <c r="L8044" s="10"/>
    </row>
    <row r="8045" spans="1:12" ht="15" customHeight="1" x14ac:dyDescent="0.25">
      <c r="A8045" s="10"/>
      <c r="B8045" s="10"/>
      <c r="C8045" s="10"/>
      <c r="D8045" s="10"/>
      <c r="E8045" s="10"/>
      <c r="F8045" s="10"/>
      <c r="G8045" s="10"/>
      <c r="H8045" s="10"/>
      <c r="I8045" s="10"/>
      <c r="J8045" s="10"/>
      <c r="K8045" s="10"/>
      <c r="L8045" s="10"/>
    </row>
    <row r="8046" spans="1:12" ht="15" customHeight="1" x14ac:dyDescent="0.25">
      <c r="A8046" s="10"/>
      <c r="B8046" s="10"/>
      <c r="C8046" s="10"/>
      <c r="D8046" s="10"/>
      <c r="E8046" s="10"/>
      <c r="F8046" s="10"/>
      <c r="G8046" s="10"/>
      <c r="H8046" s="10"/>
      <c r="I8046" s="10"/>
      <c r="J8046" s="10"/>
      <c r="K8046" s="10"/>
      <c r="L8046" s="10"/>
    </row>
    <row r="8047" spans="1:12" ht="15" customHeight="1" x14ac:dyDescent="0.25">
      <c r="A8047" s="10"/>
      <c r="B8047" s="10"/>
      <c r="C8047" s="10"/>
      <c r="D8047" s="10"/>
      <c r="E8047" s="10"/>
      <c r="F8047" s="10"/>
      <c r="G8047" s="10"/>
      <c r="H8047" s="10"/>
      <c r="I8047" s="10"/>
      <c r="J8047" s="10"/>
      <c r="K8047" s="10"/>
      <c r="L8047" s="10"/>
    </row>
    <row r="8048" spans="1:12" ht="15" customHeight="1" x14ac:dyDescent="0.25">
      <c r="A8048" s="10"/>
      <c r="B8048" s="10"/>
      <c r="C8048" s="10"/>
      <c r="D8048" s="10"/>
      <c r="E8048" s="10"/>
      <c r="F8048" s="10"/>
      <c r="G8048" s="10"/>
      <c r="H8048" s="10"/>
      <c r="I8048" s="10"/>
      <c r="J8048" s="10"/>
      <c r="K8048" s="10"/>
      <c r="L8048" s="10"/>
    </row>
    <row r="8049" spans="1:12" ht="15" customHeight="1" x14ac:dyDescent="0.25">
      <c r="A8049" s="10"/>
      <c r="B8049" s="10"/>
      <c r="C8049" s="10"/>
      <c r="D8049" s="10"/>
      <c r="E8049" s="10"/>
      <c r="F8049" s="10"/>
      <c r="G8049" s="10"/>
      <c r="H8049" s="10"/>
      <c r="I8049" s="10"/>
      <c r="J8049" s="10"/>
      <c r="K8049" s="10"/>
      <c r="L8049" s="10"/>
    </row>
    <row r="8050" spans="1:12" ht="15" customHeight="1" x14ac:dyDescent="0.25">
      <c r="A8050" s="10"/>
      <c r="B8050" s="10"/>
      <c r="C8050" s="10"/>
      <c r="D8050" s="10"/>
      <c r="E8050" s="10"/>
      <c r="F8050" s="10"/>
      <c r="G8050" s="10"/>
      <c r="H8050" s="10"/>
      <c r="I8050" s="10"/>
      <c r="J8050" s="10"/>
      <c r="K8050" s="10"/>
      <c r="L8050" s="10"/>
    </row>
    <row r="8051" spans="1:12" ht="15" customHeight="1" x14ac:dyDescent="0.25">
      <c r="A8051" s="10"/>
      <c r="B8051" s="10"/>
      <c r="C8051" s="10"/>
      <c r="D8051" s="10"/>
      <c r="E8051" s="10"/>
      <c r="F8051" s="10"/>
      <c r="G8051" s="10"/>
      <c r="H8051" s="10"/>
      <c r="I8051" s="10"/>
      <c r="J8051" s="10"/>
      <c r="K8051" s="10"/>
      <c r="L8051" s="10"/>
    </row>
    <row r="8052" spans="1:12" ht="15" customHeight="1" x14ac:dyDescent="0.25">
      <c r="A8052" s="10"/>
      <c r="B8052" s="10"/>
      <c r="C8052" s="10"/>
      <c r="D8052" s="10"/>
      <c r="E8052" s="10"/>
      <c r="F8052" s="10"/>
      <c r="G8052" s="10"/>
      <c r="H8052" s="10"/>
      <c r="I8052" s="10"/>
      <c r="J8052" s="10"/>
      <c r="K8052" s="10"/>
      <c r="L8052" s="10"/>
    </row>
    <row r="8053" spans="1:12" ht="15" customHeight="1" x14ac:dyDescent="0.25">
      <c r="A8053" s="10"/>
      <c r="B8053" s="10"/>
      <c r="C8053" s="10"/>
      <c r="D8053" s="10"/>
      <c r="E8053" s="10"/>
      <c r="F8053" s="10"/>
      <c r="G8053" s="10"/>
      <c r="H8053" s="10"/>
      <c r="I8053" s="10"/>
      <c r="J8053" s="10"/>
      <c r="K8053" s="10"/>
      <c r="L8053" s="10"/>
    </row>
    <row r="8054" spans="1:12" ht="15" customHeight="1" x14ac:dyDescent="0.25">
      <c r="A8054" s="10"/>
      <c r="B8054" s="10"/>
      <c r="C8054" s="10"/>
      <c r="D8054" s="10"/>
      <c r="E8054" s="10"/>
      <c r="F8054" s="10"/>
      <c r="G8054" s="10"/>
      <c r="H8054" s="10"/>
      <c r="I8054" s="10"/>
      <c r="J8054" s="10"/>
      <c r="K8054" s="10"/>
      <c r="L8054" s="10"/>
    </row>
    <row r="8055" spans="1:12" ht="15" customHeight="1" x14ac:dyDescent="0.25">
      <c r="A8055" s="10"/>
      <c r="B8055" s="10"/>
      <c r="C8055" s="10"/>
      <c r="D8055" s="10"/>
      <c r="E8055" s="10"/>
      <c r="F8055" s="10"/>
      <c r="G8055" s="10"/>
      <c r="H8055" s="10"/>
      <c r="I8055" s="10"/>
      <c r="J8055" s="10"/>
      <c r="K8055" s="10"/>
      <c r="L8055" s="10"/>
    </row>
    <row r="8056" spans="1:12" ht="15" customHeight="1" x14ac:dyDescent="0.25">
      <c r="A8056" s="10"/>
      <c r="B8056" s="10"/>
      <c r="C8056" s="10"/>
      <c r="D8056" s="10"/>
      <c r="E8056" s="10"/>
      <c r="F8056" s="10"/>
      <c r="G8056" s="10"/>
      <c r="H8056" s="10"/>
      <c r="I8056" s="10"/>
      <c r="J8056" s="10"/>
      <c r="K8056" s="10"/>
      <c r="L8056" s="10"/>
    </row>
    <row r="8057" spans="1:12" ht="15" customHeight="1" x14ac:dyDescent="0.25">
      <c r="A8057" s="10"/>
      <c r="B8057" s="10"/>
      <c r="C8057" s="10"/>
      <c r="D8057" s="10"/>
      <c r="E8057" s="10"/>
      <c r="F8057" s="10"/>
      <c r="G8057" s="10"/>
      <c r="H8057" s="10"/>
      <c r="I8057" s="10"/>
      <c r="J8057" s="10"/>
      <c r="K8057" s="10"/>
      <c r="L8057" s="10"/>
    </row>
    <row r="8058" spans="1:12" ht="15" customHeight="1" x14ac:dyDescent="0.25">
      <c r="A8058" s="10"/>
      <c r="B8058" s="10"/>
      <c r="C8058" s="10"/>
      <c r="D8058" s="10"/>
      <c r="E8058" s="10"/>
      <c r="F8058" s="10"/>
      <c r="G8058" s="10"/>
      <c r="H8058" s="10"/>
      <c r="I8058" s="10"/>
      <c r="J8058" s="10"/>
      <c r="K8058" s="10"/>
      <c r="L8058" s="10"/>
    </row>
    <row r="8059" spans="1:12" ht="15" customHeight="1" x14ac:dyDescent="0.25">
      <c r="A8059" s="10"/>
      <c r="B8059" s="10"/>
      <c r="C8059" s="10"/>
      <c r="D8059" s="10"/>
      <c r="E8059" s="10"/>
      <c r="F8059" s="10"/>
      <c r="G8059" s="10"/>
      <c r="H8059" s="10"/>
      <c r="I8059" s="10"/>
      <c r="J8059" s="10"/>
      <c r="K8059" s="10"/>
      <c r="L8059" s="10"/>
    </row>
    <row r="8060" spans="1:12" ht="15" customHeight="1" x14ac:dyDescent="0.25">
      <c r="A8060" s="10"/>
      <c r="B8060" s="10"/>
      <c r="C8060" s="10"/>
      <c r="D8060" s="10"/>
      <c r="E8060" s="10"/>
      <c r="F8060" s="10"/>
      <c r="G8060" s="10"/>
      <c r="H8060" s="10"/>
      <c r="I8060" s="10"/>
      <c r="J8060" s="10"/>
      <c r="K8060" s="10"/>
      <c r="L8060" s="10"/>
    </row>
    <row r="8061" spans="1:12" ht="15" customHeight="1" x14ac:dyDescent="0.25">
      <c r="A8061" s="10"/>
      <c r="B8061" s="10"/>
      <c r="C8061" s="10"/>
      <c r="D8061" s="10"/>
      <c r="E8061" s="10"/>
      <c r="F8061" s="10"/>
      <c r="G8061" s="10"/>
      <c r="H8061" s="10"/>
      <c r="I8061" s="10"/>
      <c r="J8061" s="10"/>
      <c r="K8061" s="10"/>
      <c r="L8061" s="10"/>
    </row>
    <row r="8062" spans="1:12" ht="15" customHeight="1" x14ac:dyDescent="0.25">
      <c r="A8062" s="10"/>
      <c r="B8062" s="10"/>
      <c r="C8062" s="10"/>
      <c r="D8062" s="10"/>
      <c r="E8062" s="10"/>
      <c r="F8062" s="10"/>
      <c r="G8062" s="10"/>
      <c r="H8062" s="10"/>
      <c r="I8062" s="10"/>
      <c r="J8062" s="10"/>
      <c r="K8062" s="10"/>
      <c r="L8062" s="10"/>
    </row>
    <row r="8063" spans="1:12" ht="15" customHeight="1" x14ac:dyDescent="0.25">
      <c r="A8063" s="10"/>
      <c r="B8063" s="10"/>
      <c r="C8063" s="10"/>
      <c r="D8063" s="10"/>
      <c r="E8063" s="10"/>
      <c r="F8063" s="10"/>
      <c r="G8063" s="10"/>
      <c r="H8063" s="10"/>
      <c r="I8063" s="10"/>
      <c r="J8063" s="10"/>
      <c r="K8063" s="10"/>
      <c r="L8063" s="10"/>
    </row>
    <row r="8064" spans="1:12" ht="15" customHeight="1" x14ac:dyDescent="0.25">
      <c r="A8064" s="10"/>
      <c r="B8064" s="10"/>
      <c r="C8064" s="10"/>
      <c r="D8064" s="10"/>
      <c r="E8064" s="10"/>
      <c r="F8064" s="10"/>
      <c r="G8064" s="10"/>
      <c r="H8064" s="10"/>
      <c r="I8064" s="10"/>
      <c r="J8064" s="10"/>
      <c r="K8064" s="10"/>
      <c r="L8064" s="10"/>
    </row>
    <row r="8065" spans="1:12" ht="15" customHeight="1" x14ac:dyDescent="0.25">
      <c r="A8065" s="10"/>
      <c r="B8065" s="10"/>
      <c r="C8065" s="10"/>
      <c r="D8065" s="10"/>
      <c r="E8065" s="10"/>
      <c r="F8065" s="10"/>
      <c r="G8065" s="10"/>
      <c r="H8065" s="10"/>
      <c r="I8065" s="10"/>
      <c r="J8065" s="10"/>
      <c r="K8065" s="10"/>
      <c r="L8065" s="10"/>
    </row>
    <row r="8066" spans="1:12" ht="15" customHeight="1" x14ac:dyDescent="0.25">
      <c r="A8066" s="10"/>
      <c r="B8066" s="10"/>
      <c r="C8066" s="10"/>
      <c r="D8066" s="10"/>
      <c r="E8066" s="10"/>
      <c r="F8066" s="10"/>
      <c r="G8066" s="10"/>
      <c r="H8066" s="10"/>
      <c r="I8066" s="10"/>
      <c r="J8066" s="10"/>
      <c r="K8066" s="10"/>
      <c r="L8066" s="10"/>
    </row>
    <row r="8067" spans="1:12" ht="15" customHeight="1" x14ac:dyDescent="0.25">
      <c r="A8067" s="10"/>
      <c r="B8067" s="10"/>
      <c r="C8067" s="10"/>
      <c r="D8067" s="10"/>
      <c r="E8067" s="10"/>
      <c r="F8067" s="10"/>
      <c r="G8067" s="10"/>
      <c r="H8067" s="10"/>
      <c r="I8067" s="10"/>
      <c r="J8067" s="10"/>
      <c r="K8067" s="10"/>
      <c r="L8067" s="10"/>
    </row>
    <row r="8068" spans="1:12" ht="15" customHeight="1" x14ac:dyDescent="0.25">
      <c r="A8068" s="10"/>
      <c r="B8068" s="10"/>
      <c r="C8068" s="10"/>
      <c r="D8068" s="10"/>
      <c r="E8068" s="10"/>
      <c r="F8068" s="10"/>
      <c r="G8068" s="10"/>
      <c r="H8068" s="10"/>
      <c r="I8068" s="10"/>
      <c r="J8068" s="10"/>
      <c r="K8068" s="10"/>
      <c r="L8068" s="10"/>
    </row>
    <row r="8069" spans="1:12" ht="15" customHeight="1" x14ac:dyDescent="0.25">
      <c r="A8069" s="10"/>
      <c r="B8069" s="10"/>
      <c r="C8069" s="10"/>
      <c r="D8069" s="10"/>
      <c r="E8069" s="10"/>
      <c r="F8069" s="10"/>
      <c r="G8069" s="10"/>
      <c r="H8069" s="10"/>
      <c r="I8069" s="10"/>
      <c r="J8069" s="10"/>
      <c r="K8069" s="10"/>
      <c r="L8069" s="10"/>
    </row>
    <row r="8070" spans="1:12" ht="15" customHeight="1" x14ac:dyDescent="0.25">
      <c r="A8070" s="10"/>
      <c r="B8070" s="10"/>
      <c r="C8070" s="10"/>
      <c r="D8070" s="10"/>
      <c r="E8070" s="10"/>
      <c r="F8070" s="10"/>
      <c r="G8070" s="10"/>
      <c r="H8070" s="10"/>
      <c r="I8070" s="10"/>
      <c r="J8070" s="10"/>
      <c r="K8070" s="10"/>
      <c r="L8070" s="10"/>
    </row>
    <row r="8071" spans="1:12" ht="15" customHeight="1" x14ac:dyDescent="0.25">
      <c r="A8071" s="10"/>
      <c r="B8071" s="10"/>
      <c r="C8071" s="10"/>
      <c r="D8071" s="10"/>
      <c r="E8071" s="10"/>
      <c r="F8071" s="10"/>
      <c r="G8071" s="10"/>
      <c r="H8071" s="10"/>
      <c r="I8071" s="10"/>
      <c r="J8071" s="10"/>
      <c r="K8071" s="10"/>
      <c r="L8071" s="10"/>
    </row>
    <row r="8072" spans="1:12" ht="15" customHeight="1" x14ac:dyDescent="0.25">
      <c r="A8072" s="10"/>
      <c r="B8072" s="10"/>
      <c r="C8072" s="10"/>
      <c r="D8072" s="10"/>
      <c r="E8072" s="10"/>
      <c r="F8072" s="10"/>
      <c r="G8072" s="10"/>
      <c r="H8072" s="10"/>
      <c r="I8072" s="10"/>
      <c r="J8072" s="10"/>
      <c r="K8072" s="10"/>
      <c r="L8072" s="10"/>
    </row>
    <row r="8073" spans="1:12" ht="15" customHeight="1" x14ac:dyDescent="0.25">
      <c r="A8073" s="10"/>
      <c r="B8073" s="10"/>
      <c r="C8073" s="10"/>
      <c r="D8073" s="10"/>
      <c r="E8073" s="10"/>
      <c r="F8073" s="10"/>
      <c r="G8073" s="10"/>
      <c r="H8073" s="10"/>
      <c r="I8073" s="10"/>
      <c r="J8073" s="10"/>
      <c r="K8073" s="10"/>
      <c r="L8073" s="10"/>
    </row>
    <row r="8074" spans="1:12" ht="15" customHeight="1" x14ac:dyDescent="0.25">
      <c r="A8074" s="10"/>
      <c r="B8074" s="10"/>
      <c r="C8074" s="10"/>
      <c r="D8074" s="10"/>
      <c r="E8074" s="10"/>
      <c r="F8074" s="10"/>
      <c r="G8074" s="10"/>
      <c r="H8074" s="10"/>
      <c r="I8074" s="10"/>
      <c r="J8074" s="10"/>
      <c r="K8074" s="10"/>
      <c r="L8074" s="10"/>
    </row>
    <row r="8075" spans="1:12" ht="15" customHeight="1" x14ac:dyDescent="0.25">
      <c r="A8075" s="10"/>
      <c r="B8075" s="10"/>
      <c r="C8075" s="10"/>
      <c r="D8075" s="10"/>
      <c r="E8075" s="10"/>
      <c r="F8075" s="10"/>
      <c r="G8075" s="10"/>
      <c r="H8075" s="10"/>
      <c r="I8075" s="10"/>
      <c r="J8075" s="10"/>
      <c r="K8075" s="10"/>
      <c r="L8075" s="10"/>
    </row>
    <row r="8076" spans="1:12" ht="15" customHeight="1" x14ac:dyDescent="0.25">
      <c r="A8076" s="10"/>
      <c r="B8076" s="10"/>
      <c r="C8076" s="10"/>
      <c r="D8076" s="10"/>
      <c r="E8076" s="10"/>
      <c r="F8076" s="10"/>
      <c r="G8076" s="10"/>
      <c r="H8076" s="10"/>
      <c r="I8076" s="10"/>
      <c r="J8076" s="10"/>
      <c r="K8076" s="10"/>
      <c r="L8076" s="10"/>
    </row>
    <row r="8077" spans="1:12" ht="15" customHeight="1" x14ac:dyDescent="0.25">
      <c r="A8077" s="10"/>
      <c r="B8077" s="10"/>
      <c r="C8077" s="10"/>
      <c r="D8077" s="10"/>
      <c r="E8077" s="10"/>
      <c r="F8077" s="10"/>
      <c r="G8077" s="10"/>
      <c r="H8077" s="10"/>
      <c r="I8077" s="10"/>
      <c r="J8077" s="10"/>
      <c r="K8077" s="10"/>
      <c r="L8077" s="10"/>
    </row>
    <row r="8078" spans="1:12" ht="15" customHeight="1" x14ac:dyDescent="0.25">
      <c r="A8078" s="10"/>
      <c r="B8078" s="10"/>
      <c r="C8078" s="10"/>
      <c r="D8078" s="10"/>
      <c r="E8078" s="10"/>
      <c r="F8078" s="10"/>
      <c r="G8078" s="10"/>
      <c r="H8078" s="10"/>
      <c r="I8078" s="10"/>
      <c r="J8078" s="10"/>
      <c r="K8078" s="10"/>
      <c r="L8078" s="10"/>
    </row>
    <row r="8079" spans="1:12" ht="15" customHeight="1" x14ac:dyDescent="0.25">
      <c r="A8079" s="10"/>
      <c r="B8079" s="10"/>
      <c r="C8079" s="10"/>
      <c r="D8079" s="10"/>
      <c r="E8079" s="10"/>
      <c r="F8079" s="10"/>
      <c r="G8079" s="10"/>
      <c r="H8079" s="10"/>
      <c r="I8079" s="10"/>
      <c r="J8079" s="10"/>
      <c r="K8079" s="10"/>
      <c r="L8079" s="10"/>
    </row>
    <row r="8080" spans="1:12" ht="15" customHeight="1" x14ac:dyDescent="0.25">
      <c r="A8080" s="10"/>
      <c r="B8080" s="10"/>
      <c r="C8080" s="10"/>
      <c r="D8080" s="10"/>
      <c r="E8080" s="10"/>
      <c r="F8080" s="10"/>
      <c r="G8080" s="10"/>
      <c r="H8080" s="10"/>
      <c r="I8080" s="10"/>
      <c r="J8080" s="10"/>
      <c r="K8080" s="10"/>
      <c r="L8080" s="10"/>
    </row>
    <row r="8081" spans="1:12" ht="15" customHeight="1" x14ac:dyDescent="0.25">
      <c r="A8081" s="10"/>
      <c r="B8081" s="10"/>
      <c r="C8081" s="10"/>
      <c r="D8081" s="10"/>
      <c r="E8081" s="10"/>
      <c r="F8081" s="10"/>
      <c r="G8081" s="10"/>
      <c r="H8081" s="10"/>
      <c r="I8081" s="10"/>
      <c r="J8081" s="10"/>
      <c r="K8081" s="10"/>
      <c r="L8081" s="10"/>
    </row>
    <row r="8082" spans="1:12" ht="15" customHeight="1" x14ac:dyDescent="0.25">
      <c r="A8082" s="10"/>
      <c r="B8082" s="10"/>
      <c r="C8082" s="10"/>
      <c r="D8082" s="10"/>
      <c r="E8082" s="10"/>
      <c r="F8082" s="10"/>
      <c r="G8082" s="10"/>
      <c r="H8082" s="10"/>
      <c r="I8082" s="10"/>
      <c r="J8082" s="10"/>
      <c r="K8082" s="10"/>
      <c r="L8082" s="10"/>
    </row>
    <row r="8083" spans="1:12" ht="15" customHeight="1" x14ac:dyDescent="0.25">
      <c r="A8083" s="10"/>
      <c r="B8083" s="10"/>
      <c r="C8083" s="10"/>
      <c r="D8083" s="10"/>
      <c r="E8083" s="10"/>
      <c r="F8083" s="10"/>
      <c r="G8083" s="10"/>
      <c r="H8083" s="10"/>
      <c r="I8083" s="10"/>
      <c r="J8083" s="10"/>
      <c r="K8083" s="10"/>
      <c r="L8083" s="10"/>
    </row>
    <row r="8084" spans="1:12" ht="15" customHeight="1" x14ac:dyDescent="0.25">
      <c r="A8084" s="10"/>
      <c r="B8084" s="10"/>
      <c r="C8084" s="10"/>
      <c r="D8084" s="10"/>
      <c r="E8084" s="10"/>
      <c r="F8084" s="10"/>
      <c r="G8084" s="10"/>
      <c r="H8084" s="10"/>
      <c r="I8084" s="10"/>
      <c r="J8084" s="10"/>
      <c r="K8084" s="10"/>
      <c r="L8084" s="10"/>
    </row>
    <row r="8085" spans="1:12" ht="15" customHeight="1" x14ac:dyDescent="0.25">
      <c r="A8085" s="10"/>
      <c r="B8085" s="10"/>
      <c r="C8085" s="10"/>
      <c r="D8085" s="10"/>
      <c r="E8085" s="10"/>
      <c r="F8085" s="10"/>
      <c r="G8085" s="10"/>
      <c r="H8085" s="10"/>
      <c r="I8085" s="10"/>
      <c r="J8085" s="10"/>
      <c r="K8085" s="10"/>
      <c r="L8085" s="10"/>
    </row>
    <row r="8086" spans="1:12" ht="15" customHeight="1" x14ac:dyDescent="0.25">
      <c r="A8086" s="10"/>
      <c r="B8086" s="10"/>
      <c r="C8086" s="10"/>
      <c r="D8086" s="10"/>
      <c r="E8086" s="10"/>
      <c r="F8086" s="10"/>
      <c r="G8086" s="10"/>
      <c r="H8086" s="10"/>
      <c r="I8086" s="10"/>
      <c r="J8086" s="10"/>
      <c r="K8086" s="10"/>
      <c r="L8086" s="10"/>
    </row>
    <row r="8087" spans="1:12" ht="15" customHeight="1" x14ac:dyDescent="0.25">
      <c r="A8087" s="10"/>
      <c r="B8087" s="10"/>
      <c r="C8087" s="10"/>
      <c r="D8087" s="10"/>
      <c r="E8087" s="10"/>
      <c r="F8087" s="10"/>
      <c r="G8087" s="10"/>
      <c r="H8087" s="10"/>
      <c r="I8087" s="10"/>
      <c r="J8087" s="10"/>
      <c r="K8087" s="10"/>
      <c r="L8087" s="10"/>
    </row>
    <row r="8088" spans="1:12" ht="15" customHeight="1" x14ac:dyDescent="0.25">
      <c r="A8088" s="10"/>
      <c r="B8088" s="10"/>
      <c r="C8088" s="10"/>
      <c r="D8088" s="10"/>
      <c r="E8088" s="10"/>
      <c r="F8088" s="10"/>
      <c r="G8088" s="10"/>
      <c r="H8088" s="10"/>
      <c r="I8088" s="10"/>
      <c r="J8088" s="10"/>
      <c r="K8088" s="10"/>
      <c r="L8088" s="10"/>
    </row>
    <row r="8089" spans="1:12" ht="15" customHeight="1" x14ac:dyDescent="0.25">
      <c r="A8089" s="10"/>
      <c r="B8089" s="10"/>
      <c r="C8089" s="10"/>
      <c r="D8089" s="10"/>
      <c r="E8089" s="10"/>
      <c r="F8089" s="10"/>
      <c r="G8089" s="10"/>
      <c r="H8089" s="10"/>
      <c r="I8089" s="10"/>
      <c r="J8089" s="10"/>
      <c r="K8089" s="10"/>
      <c r="L8089" s="10"/>
    </row>
    <row r="8090" spans="1:12" ht="15" customHeight="1" x14ac:dyDescent="0.25">
      <c r="A8090" s="10"/>
      <c r="B8090" s="10"/>
      <c r="C8090" s="10"/>
      <c r="D8090" s="10"/>
      <c r="E8090" s="10"/>
      <c r="F8090" s="10"/>
      <c r="G8090" s="10"/>
      <c r="H8090" s="10"/>
      <c r="I8090" s="10"/>
      <c r="J8090" s="10"/>
      <c r="K8090" s="10"/>
      <c r="L8090" s="10"/>
    </row>
    <row r="8091" spans="1:12" ht="15" customHeight="1" x14ac:dyDescent="0.25">
      <c r="A8091" s="10"/>
      <c r="B8091" s="10"/>
      <c r="C8091" s="10"/>
      <c r="D8091" s="10"/>
      <c r="E8091" s="10"/>
      <c r="F8091" s="10"/>
      <c r="G8091" s="10"/>
      <c r="H8091" s="10"/>
      <c r="I8091" s="10"/>
      <c r="J8091" s="10"/>
      <c r="K8091" s="10"/>
      <c r="L8091" s="10"/>
    </row>
    <row r="8092" spans="1:12" ht="15" customHeight="1" x14ac:dyDescent="0.25">
      <c r="A8092" s="10"/>
      <c r="B8092" s="10"/>
      <c r="C8092" s="10"/>
      <c r="D8092" s="10"/>
      <c r="E8092" s="10"/>
      <c r="F8092" s="10"/>
      <c r="G8092" s="10"/>
      <c r="H8092" s="10"/>
      <c r="I8092" s="10"/>
      <c r="J8092" s="10"/>
      <c r="K8092" s="10"/>
      <c r="L8092" s="10"/>
    </row>
    <row r="8093" spans="1:12" ht="15" customHeight="1" x14ac:dyDescent="0.25">
      <c r="A8093" s="10"/>
      <c r="B8093" s="10"/>
      <c r="C8093" s="10"/>
      <c r="D8093" s="10"/>
      <c r="E8093" s="10"/>
      <c r="F8093" s="10"/>
      <c r="G8093" s="10"/>
      <c r="H8093" s="10"/>
      <c r="I8093" s="10"/>
      <c r="J8093" s="10"/>
      <c r="K8093" s="10"/>
      <c r="L8093" s="10"/>
    </row>
    <row r="8094" spans="1:12" ht="15" customHeight="1" x14ac:dyDescent="0.25">
      <c r="A8094" s="10"/>
      <c r="B8094" s="10"/>
      <c r="C8094" s="10"/>
      <c r="D8094" s="10"/>
      <c r="E8094" s="10"/>
      <c r="F8094" s="10"/>
      <c r="G8094" s="10"/>
      <c r="H8094" s="10"/>
      <c r="I8094" s="10"/>
      <c r="J8094" s="10"/>
      <c r="K8094" s="10"/>
      <c r="L8094" s="10"/>
    </row>
    <row r="8095" spans="1:12" ht="15" customHeight="1" x14ac:dyDescent="0.25">
      <c r="A8095" s="10"/>
      <c r="B8095" s="10"/>
      <c r="C8095" s="10"/>
      <c r="D8095" s="10"/>
      <c r="E8095" s="10"/>
      <c r="F8095" s="10"/>
      <c r="G8095" s="10"/>
      <c r="H8095" s="10"/>
      <c r="I8095" s="10"/>
      <c r="J8095" s="10"/>
      <c r="K8095" s="10"/>
      <c r="L8095" s="10"/>
    </row>
    <row r="8096" spans="1:12" ht="15" customHeight="1" x14ac:dyDescent="0.25">
      <c r="A8096" s="10"/>
      <c r="B8096" s="10"/>
      <c r="C8096" s="10"/>
      <c r="D8096" s="10"/>
      <c r="E8096" s="10"/>
      <c r="F8096" s="10"/>
      <c r="G8096" s="10"/>
      <c r="H8096" s="10"/>
      <c r="I8096" s="10"/>
      <c r="J8096" s="10"/>
      <c r="K8096" s="10"/>
      <c r="L8096" s="10"/>
    </row>
    <row r="8097" spans="1:12" ht="15" customHeight="1" x14ac:dyDescent="0.25">
      <c r="A8097" s="10"/>
      <c r="B8097" s="10"/>
      <c r="C8097" s="10"/>
      <c r="D8097" s="10"/>
      <c r="E8097" s="10"/>
      <c r="F8097" s="10"/>
      <c r="G8097" s="10"/>
      <c r="H8097" s="10"/>
      <c r="I8097" s="10"/>
      <c r="J8097" s="10"/>
      <c r="K8097" s="10"/>
      <c r="L8097" s="10"/>
    </row>
    <row r="8098" spans="1:12" ht="15" customHeight="1" x14ac:dyDescent="0.25">
      <c r="A8098" s="10"/>
      <c r="B8098" s="10"/>
      <c r="C8098" s="10"/>
      <c r="D8098" s="10"/>
      <c r="E8098" s="10"/>
      <c r="F8098" s="10"/>
      <c r="G8098" s="10"/>
      <c r="H8098" s="10"/>
      <c r="I8098" s="10"/>
      <c r="J8098" s="10"/>
      <c r="K8098" s="10"/>
      <c r="L8098" s="10"/>
    </row>
    <row r="8099" spans="1:12" ht="15" customHeight="1" x14ac:dyDescent="0.25">
      <c r="A8099" s="10"/>
      <c r="B8099" s="10"/>
      <c r="C8099" s="10"/>
      <c r="D8099" s="10"/>
      <c r="E8099" s="10"/>
      <c r="F8099" s="10"/>
      <c r="G8099" s="10"/>
      <c r="H8099" s="10"/>
      <c r="I8099" s="10"/>
      <c r="J8099" s="10"/>
      <c r="K8099" s="10"/>
      <c r="L8099" s="10"/>
    </row>
    <row r="8100" spans="1:12" ht="15" customHeight="1" x14ac:dyDescent="0.25">
      <c r="A8100" s="10"/>
      <c r="B8100" s="10"/>
      <c r="C8100" s="10"/>
      <c r="D8100" s="10"/>
      <c r="E8100" s="10"/>
      <c r="F8100" s="10"/>
      <c r="G8100" s="10"/>
      <c r="H8100" s="10"/>
      <c r="I8100" s="10"/>
      <c r="J8100" s="10"/>
      <c r="K8100" s="10"/>
      <c r="L8100" s="10"/>
    </row>
    <row r="8101" spans="1:12" ht="15" customHeight="1" x14ac:dyDescent="0.25">
      <c r="A8101" s="10"/>
      <c r="B8101" s="10"/>
      <c r="C8101" s="10"/>
      <c r="D8101" s="10"/>
      <c r="E8101" s="10"/>
      <c r="F8101" s="10"/>
      <c r="G8101" s="10"/>
      <c r="H8101" s="10"/>
      <c r="I8101" s="10"/>
      <c r="J8101" s="10"/>
      <c r="K8101" s="10"/>
      <c r="L8101" s="10"/>
    </row>
    <row r="8102" spans="1:12" ht="15" customHeight="1" x14ac:dyDescent="0.25">
      <c r="A8102" s="10"/>
      <c r="B8102" s="10"/>
      <c r="C8102" s="10"/>
      <c r="D8102" s="10"/>
      <c r="E8102" s="10"/>
      <c r="F8102" s="10"/>
      <c r="G8102" s="10"/>
      <c r="H8102" s="10"/>
      <c r="I8102" s="10"/>
      <c r="J8102" s="10"/>
      <c r="K8102" s="10"/>
      <c r="L8102" s="10"/>
    </row>
    <row r="8103" spans="1:12" ht="15" customHeight="1" x14ac:dyDescent="0.25">
      <c r="A8103" s="10"/>
      <c r="B8103" s="10"/>
      <c r="C8103" s="10"/>
      <c r="D8103" s="10"/>
      <c r="E8103" s="10"/>
      <c r="F8103" s="10"/>
      <c r="G8103" s="10"/>
      <c r="H8103" s="10"/>
      <c r="I8103" s="10"/>
      <c r="J8103" s="10"/>
      <c r="K8103" s="10"/>
      <c r="L8103" s="10"/>
    </row>
    <row r="8104" spans="1:12" ht="15" customHeight="1" x14ac:dyDescent="0.25">
      <c r="A8104" s="10"/>
      <c r="B8104" s="10"/>
      <c r="C8104" s="10"/>
      <c r="D8104" s="10"/>
      <c r="E8104" s="10"/>
      <c r="F8104" s="10"/>
      <c r="G8104" s="10"/>
      <c r="H8104" s="10"/>
      <c r="I8104" s="10"/>
      <c r="J8104" s="10"/>
      <c r="K8104" s="10"/>
      <c r="L8104" s="10"/>
    </row>
    <row r="8105" spans="1:12" ht="15" customHeight="1" x14ac:dyDescent="0.25">
      <c r="A8105" s="10"/>
      <c r="B8105" s="10"/>
      <c r="C8105" s="10"/>
      <c r="D8105" s="10"/>
      <c r="E8105" s="10"/>
      <c r="F8105" s="10"/>
      <c r="G8105" s="10"/>
      <c r="H8105" s="10"/>
      <c r="I8105" s="10"/>
      <c r="J8105" s="10"/>
      <c r="K8105" s="10"/>
      <c r="L8105" s="10"/>
    </row>
    <row r="8106" spans="1:12" ht="15" customHeight="1" x14ac:dyDescent="0.25">
      <c r="A8106" s="10"/>
      <c r="B8106" s="10"/>
      <c r="C8106" s="10"/>
      <c r="D8106" s="10"/>
      <c r="E8106" s="10"/>
      <c r="F8106" s="10"/>
      <c r="G8106" s="10"/>
      <c r="H8106" s="10"/>
      <c r="I8106" s="10"/>
      <c r="J8106" s="10"/>
      <c r="K8106" s="10"/>
      <c r="L8106" s="10"/>
    </row>
    <row r="8107" spans="1:12" ht="15" customHeight="1" x14ac:dyDescent="0.25">
      <c r="A8107" s="10"/>
      <c r="B8107" s="10"/>
      <c r="C8107" s="10"/>
      <c r="D8107" s="10"/>
      <c r="E8107" s="10"/>
      <c r="F8107" s="10"/>
      <c r="G8107" s="10"/>
      <c r="H8107" s="10"/>
      <c r="I8107" s="10"/>
      <c r="J8107" s="10"/>
      <c r="K8107" s="10"/>
      <c r="L8107" s="10"/>
    </row>
    <row r="8108" spans="1:12" ht="15" customHeight="1" x14ac:dyDescent="0.25">
      <c r="A8108" s="10"/>
      <c r="B8108" s="10"/>
      <c r="C8108" s="10"/>
      <c r="D8108" s="10"/>
      <c r="E8108" s="10"/>
      <c r="F8108" s="10"/>
      <c r="G8108" s="10"/>
      <c r="H8108" s="10"/>
      <c r="I8108" s="10"/>
      <c r="J8108" s="10"/>
      <c r="K8108" s="10"/>
      <c r="L8108" s="10"/>
    </row>
    <row r="8109" spans="1:12" ht="15" customHeight="1" x14ac:dyDescent="0.25">
      <c r="A8109" s="10"/>
      <c r="B8109" s="10"/>
      <c r="C8109" s="10"/>
      <c r="D8109" s="10"/>
      <c r="E8109" s="10"/>
      <c r="F8109" s="10"/>
      <c r="G8109" s="10"/>
      <c r="H8109" s="10"/>
      <c r="I8109" s="10"/>
      <c r="J8109" s="10"/>
      <c r="K8109" s="10"/>
      <c r="L8109" s="10"/>
    </row>
    <row r="8110" spans="1:12" ht="15" customHeight="1" x14ac:dyDescent="0.25">
      <c r="A8110" s="10"/>
      <c r="B8110" s="10"/>
      <c r="C8110" s="10"/>
      <c r="D8110" s="10"/>
      <c r="E8110" s="10"/>
      <c r="F8110" s="10"/>
      <c r="G8110" s="10"/>
      <c r="H8110" s="10"/>
      <c r="I8110" s="10"/>
      <c r="J8110" s="10"/>
      <c r="K8110" s="10"/>
      <c r="L8110" s="10"/>
    </row>
    <row r="8111" spans="1:12" ht="15" customHeight="1" x14ac:dyDescent="0.25">
      <c r="A8111" s="10"/>
      <c r="B8111" s="10"/>
      <c r="C8111" s="10"/>
      <c r="D8111" s="10"/>
      <c r="E8111" s="10"/>
      <c r="F8111" s="10"/>
      <c r="G8111" s="10"/>
      <c r="H8111" s="10"/>
      <c r="I8111" s="10"/>
      <c r="J8111" s="10"/>
      <c r="K8111" s="10"/>
      <c r="L8111" s="10"/>
    </row>
    <row r="8112" spans="1:12" ht="15" customHeight="1" x14ac:dyDescent="0.25">
      <c r="A8112" s="10"/>
      <c r="B8112" s="10"/>
      <c r="C8112" s="10"/>
      <c r="D8112" s="10"/>
      <c r="E8112" s="10"/>
      <c r="F8112" s="10"/>
      <c r="G8112" s="10"/>
      <c r="H8112" s="10"/>
      <c r="I8112" s="10"/>
      <c r="J8112" s="10"/>
      <c r="K8112" s="10"/>
      <c r="L8112" s="10"/>
    </row>
    <row r="8113" spans="1:12" ht="15" customHeight="1" x14ac:dyDescent="0.25">
      <c r="A8113" s="10"/>
      <c r="B8113" s="10"/>
      <c r="C8113" s="10"/>
      <c r="D8113" s="10"/>
      <c r="E8113" s="10"/>
      <c r="F8113" s="10"/>
      <c r="G8113" s="10"/>
      <c r="H8113" s="10"/>
      <c r="I8113" s="10"/>
      <c r="J8113" s="10"/>
      <c r="K8113" s="10"/>
      <c r="L8113" s="10"/>
    </row>
    <row r="8114" spans="1:12" ht="15" customHeight="1" x14ac:dyDescent="0.25">
      <c r="A8114" s="10"/>
      <c r="B8114" s="10"/>
      <c r="C8114" s="10"/>
      <c r="D8114" s="10"/>
      <c r="E8114" s="10"/>
      <c r="F8114" s="10"/>
      <c r="G8114" s="10"/>
      <c r="H8114" s="10"/>
      <c r="I8114" s="10"/>
      <c r="J8114" s="10"/>
      <c r="K8114" s="10"/>
      <c r="L8114" s="10"/>
    </row>
    <row r="8115" spans="1:12" ht="15" customHeight="1" x14ac:dyDescent="0.25">
      <c r="A8115" s="10"/>
      <c r="B8115" s="10"/>
      <c r="C8115" s="10"/>
      <c r="D8115" s="10"/>
      <c r="E8115" s="10"/>
      <c r="F8115" s="10"/>
      <c r="G8115" s="10"/>
      <c r="H8115" s="10"/>
      <c r="I8115" s="10"/>
      <c r="J8115" s="10"/>
      <c r="K8115" s="10"/>
      <c r="L8115" s="10"/>
    </row>
    <row r="8116" spans="1:12" ht="15" customHeight="1" x14ac:dyDescent="0.25">
      <c r="A8116" s="10"/>
      <c r="B8116" s="10"/>
      <c r="C8116" s="10"/>
      <c r="D8116" s="10"/>
      <c r="E8116" s="10"/>
      <c r="F8116" s="10"/>
      <c r="G8116" s="10"/>
      <c r="H8116" s="10"/>
      <c r="I8116" s="10"/>
      <c r="J8116" s="10"/>
      <c r="K8116" s="10"/>
      <c r="L8116" s="10"/>
    </row>
    <row r="8117" spans="1:12" ht="15" customHeight="1" x14ac:dyDescent="0.25">
      <c r="A8117" s="10"/>
      <c r="B8117" s="10"/>
      <c r="C8117" s="10"/>
      <c r="D8117" s="10"/>
      <c r="E8117" s="10"/>
      <c r="F8117" s="10"/>
      <c r="G8117" s="10"/>
      <c r="H8117" s="10"/>
      <c r="I8117" s="10"/>
      <c r="J8117" s="10"/>
      <c r="K8117" s="10"/>
      <c r="L8117" s="10"/>
    </row>
    <row r="8118" spans="1:12" ht="15" customHeight="1" x14ac:dyDescent="0.25">
      <c r="A8118" s="10"/>
      <c r="B8118" s="10"/>
      <c r="C8118" s="10"/>
      <c r="D8118" s="10"/>
      <c r="E8118" s="10"/>
      <c r="F8118" s="10"/>
      <c r="G8118" s="10"/>
      <c r="H8118" s="10"/>
      <c r="I8118" s="10"/>
      <c r="J8118" s="10"/>
      <c r="K8118" s="10"/>
      <c r="L8118" s="10"/>
    </row>
    <row r="8119" spans="1:12" ht="15" customHeight="1" x14ac:dyDescent="0.25">
      <c r="A8119" s="10"/>
      <c r="B8119" s="10"/>
      <c r="C8119" s="10"/>
      <c r="D8119" s="10"/>
      <c r="E8119" s="10"/>
      <c r="F8119" s="10"/>
      <c r="G8119" s="10"/>
      <c r="H8119" s="10"/>
      <c r="I8119" s="10"/>
      <c r="J8119" s="10"/>
      <c r="K8119" s="10"/>
      <c r="L8119" s="10"/>
    </row>
    <row r="8120" spans="1:12" ht="15" customHeight="1" x14ac:dyDescent="0.25">
      <c r="A8120" s="10"/>
      <c r="B8120" s="10"/>
      <c r="C8120" s="10"/>
      <c r="D8120" s="10"/>
      <c r="E8120" s="10"/>
      <c r="F8120" s="10"/>
      <c r="G8120" s="10"/>
      <c r="H8120" s="10"/>
      <c r="I8120" s="10"/>
      <c r="J8120" s="10"/>
      <c r="K8120" s="10"/>
      <c r="L8120" s="10"/>
    </row>
    <row r="8121" spans="1:12" ht="15" customHeight="1" x14ac:dyDescent="0.25">
      <c r="A8121" s="10"/>
      <c r="B8121" s="10"/>
      <c r="C8121" s="10"/>
      <c r="D8121" s="10"/>
      <c r="E8121" s="10"/>
      <c r="F8121" s="10"/>
      <c r="G8121" s="10"/>
      <c r="H8121" s="10"/>
      <c r="I8121" s="10"/>
      <c r="J8121" s="10"/>
      <c r="K8121" s="10"/>
      <c r="L8121" s="10"/>
    </row>
    <row r="8122" spans="1:12" ht="15" customHeight="1" x14ac:dyDescent="0.25">
      <c r="A8122" s="10"/>
      <c r="B8122" s="10"/>
      <c r="C8122" s="10"/>
      <c r="D8122" s="10"/>
      <c r="E8122" s="10"/>
      <c r="F8122" s="10"/>
      <c r="G8122" s="10"/>
      <c r="H8122" s="10"/>
      <c r="I8122" s="10"/>
      <c r="J8122" s="10"/>
      <c r="K8122" s="10"/>
      <c r="L8122" s="10"/>
    </row>
    <row r="8123" spans="1:12" ht="15" customHeight="1" x14ac:dyDescent="0.25">
      <c r="A8123" s="10"/>
      <c r="B8123" s="10"/>
      <c r="C8123" s="10"/>
      <c r="D8123" s="10"/>
      <c r="E8123" s="10"/>
      <c r="F8123" s="10"/>
      <c r="G8123" s="10"/>
      <c r="H8123" s="10"/>
      <c r="I8123" s="10"/>
      <c r="J8123" s="10"/>
      <c r="K8123" s="10"/>
      <c r="L8123" s="10"/>
    </row>
    <row r="8124" spans="1:12" ht="15" customHeight="1" x14ac:dyDescent="0.25">
      <c r="A8124" s="10"/>
      <c r="B8124" s="10"/>
      <c r="C8124" s="10"/>
      <c r="D8124" s="10"/>
      <c r="E8124" s="10"/>
      <c r="F8124" s="10"/>
      <c r="G8124" s="10"/>
      <c r="H8124" s="10"/>
      <c r="I8124" s="10"/>
      <c r="J8124" s="10"/>
      <c r="K8124" s="10"/>
      <c r="L8124" s="10"/>
    </row>
    <row r="8125" spans="1:12" ht="15" customHeight="1" x14ac:dyDescent="0.25">
      <c r="A8125" s="10"/>
      <c r="B8125" s="10"/>
      <c r="C8125" s="10"/>
      <c r="D8125" s="10"/>
      <c r="E8125" s="10"/>
      <c r="F8125" s="10"/>
      <c r="G8125" s="10"/>
      <c r="H8125" s="10"/>
      <c r="I8125" s="10"/>
      <c r="J8125" s="10"/>
      <c r="K8125" s="10"/>
      <c r="L8125" s="10"/>
    </row>
    <row r="8126" spans="1:12" ht="15" customHeight="1" x14ac:dyDescent="0.25">
      <c r="A8126" s="10"/>
      <c r="B8126" s="10"/>
      <c r="C8126" s="10"/>
      <c r="D8126" s="10"/>
      <c r="E8126" s="10"/>
      <c r="F8126" s="10"/>
      <c r="G8126" s="10"/>
      <c r="H8126" s="10"/>
      <c r="I8126" s="10"/>
      <c r="J8126" s="10"/>
      <c r="K8126" s="10"/>
      <c r="L8126" s="10"/>
    </row>
    <row r="8127" spans="1:12" ht="15" customHeight="1" x14ac:dyDescent="0.25">
      <c r="A8127" s="10"/>
      <c r="B8127" s="10"/>
      <c r="C8127" s="10"/>
      <c r="D8127" s="10"/>
      <c r="E8127" s="10"/>
      <c r="F8127" s="10"/>
      <c r="G8127" s="10"/>
      <c r="H8127" s="10"/>
      <c r="I8127" s="10"/>
      <c r="J8127" s="10"/>
      <c r="K8127" s="10"/>
      <c r="L8127" s="10"/>
    </row>
    <row r="8128" spans="1:12" ht="15" customHeight="1" x14ac:dyDescent="0.25">
      <c r="A8128" s="10"/>
      <c r="B8128" s="10"/>
      <c r="C8128" s="10"/>
      <c r="D8128" s="10"/>
      <c r="E8128" s="10"/>
      <c r="F8128" s="10"/>
      <c r="G8128" s="10"/>
      <c r="H8128" s="10"/>
      <c r="I8128" s="10"/>
      <c r="J8128" s="10"/>
      <c r="K8128" s="10"/>
      <c r="L8128" s="10"/>
    </row>
    <row r="8129" spans="1:12" ht="15" customHeight="1" x14ac:dyDescent="0.25">
      <c r="A8129" s="10"/>
      <c r="B8129" s="10"/>
      <c r="C8129" s="10"/>
      <c r="D8129" s="10"/>
      <c r="E8129" s="10"/>
      <c r="F8129" s="10"/>
      <c r="G8129" s="10"/>
      <c r="H8129" s="10"/>
      <c r="I8129" s="10"/>
      <c r="J8129" s="10"/>
      <c r="K8129" s="10"/>
      <c r="L8129" s="10"/>
    </row>
    <row r="8130" spans="1:12" ht="15" customHeight="1" x14ac:dyDescent="0.25">
      <c r="A8130" s="10"/>
      <c r="B8130" s="10"/>
      <c r="C8130" s="10"/>
      <c r="D8130" s="10"/>
      <c r="E8130" s="10"/>
      <c r="F8130" s="10"/>
      <c r="G8130" s="10"/>
      <c r="H8130" s="10"/>
      <c r="I8130" s="10"/>
      <c r="J8130" s="10"/>
      <c r="K8130" s="10"/>
      <c r="L8130" s="10"/>
    </row>
    <row r="8131" spans="1:12" ht="15" customHeight="1" x14ac:dyDescent="0.25">
      <c r="A8131" s="10"/>
      <c r="B8131" s="10"/>
      <c r="C8131" s="10"/>
      <c r="D8131" s="10"/>
      <c r="E8131" s="10"/>
      <c r="F8131" s="10"/>
      <c r="G8131" s="10"/>
      <c r="H8131" s="10"/>
      <c r="I8131" s="10"/>
      <c r="J8131" s="10"/>
      <c r="K8131" s="10"/>
      <c r="L8131" s="10"/>
    </row>
    <row r="8132" spans="1:12" ht="15" customHeight="1" x14ac:dyDescent="0.25">
      <c r="A8132" s="10"/>
      <c r="B8132" s="10"/>
      <c r="C8132" s="10"/>
      <c r="D8132" s="10"/>
      <c r="E8132" s="10"/>
      <c r="F8132" s="10"/>
      <c r="G8132" s="10"/>
      <c r="H8132" s="10"/>
      <c r="I8132" s="10"/>
      <c r="J8132" s="10"/>
      <c r="K8132" s="10"/>
      <c r="L8132" s="10"/>
    </row>
    <row r="8133" spans="1:12" ht="15" customHeight="1" x14ac:dyDescent="0.25">
      <c r="A8133" s="10"/>
      <c r="B8133" s="10"/>
      <c r="C8133" s="10"/>
      <c r="D8133" s="10"/>
      <c r="E8133" s="10"/>
      <c r="F8133" s="10"/>
      <c r="G8133" s="10"/>
      <c r="H8133" s="10"/>
      <c r="I8133" s="10"/>
      <c r="J8133" s="10"/>
      <c r="K8133" s="10"/>
      <c r="L8133" s="10"/>
    </row>
    <row r="8134" spans="1:12" ht="15" customHeight="1" x14ac:dyDescent="0.25">
      <c r="A8134" s="10"/>
      <c r="B8134" s="10"/>
      <c r="C8134" s="10"/>
      <c r="D8134" s="10"/>
      <c r="E8134" s="10"/>
      <c r="F8134" s="10"/>
      <c r="G8134" s="10"/>
      <c r="H8134" s="10"/>
      <c r="I8134" s="10"/>
      <c r="J8134" s="10"/>
      <c r="K8134" s="10"/>
      <c r="L8134" s="10"/>
    </row>
    <row r="8135" spans="1:12" ht="15" customHeight="1" x14ac:dyDescent="0.25">
      <c r="A8135" s="10"/>
      <c r="B8135" s="10"/>
      <c r="C8135" s="10"/>
      <c r="D8135" s="10"/>
      <c r="E8135" s="10"/>
      <c r="F8135" s="10"/>
      <c r="G8135" s="10"/>
      <c r="H8135" s="10"/>
      <c r="I8135" s="10"/>
      <c r="J8135" s="10"/>
      <c r="K8135" s="10"/>
      <c r="L8135" s="10"/>
    </row>
    <row r="8136" spans="1:12" ht="15" customHeight="1" x14ac:dyDescent="0.25">
      <c r="A8136" s="10"/>
      <c r="B8136" s="10"/>
      <c r="C8136" s="10"/>
      <c r="D8136" s="10"/>
      <c r="E8136" s="10"/>
      <c r="F8136" s="10"/>
      <c r="G8136" s="10"/>
      <c r="H8136" s="10"/>
      <c r="I8136" s="10"/>
      <c r="J8136" s="10"/>
      <c r="K8136" s="10"/>
      <c r="L8136" s="10"/>
    </row>
    <row r="8137" spans="1:12" ht="15" customHeight="1" x14ac:dyDescent="0.25">
      <c r="A8137" s="10"/>
      <c r="B8137" s="10"/>
      <c r="C8137" s="10"/>
      <c r="D8137" s="10"/>
      <c r="E8137" s="10"/>
      <c r="F8137" s="10"/>
      <c r="G8137" s="10"/>
      <c r="H8137" s="10"/>
      <c r="I8137" s="10"/>
      <c r="J8137" s="10"/>
      <c r="K8137" s="10"/>
      <c r="L8137" s="10"/>
    </row>
    <row r="8138" spans="1:12" ht="15" customHeight="1" x14ac:dyDescent="0.25">
      <c r="A8138" s="10"/>
      <c r="B8138" s="10"/>
      <c r="C8138" s="10"/>
      <c r="D8138" s="10"/>
      <c r="E8138" s="10"/>
      <c r="F8138" s="10"/>
      <c r="G8138" s="10"/>
      <c r="H8138" s="10"/>
      <c r="I8138" s="10"/>
      <c r="J8138" s="10"/>
      <c r="K8138" s="10"/>
      <c r="L8138" s="10"/>
    </row>
    <row r="8139" spans="1:12" ht="15" customHeight="1" x14ac:dyDescent="0.25">
      <c r="A8139" s="10"/>
      <c r="B8139" s="10"/>
      <c r="C8139" s="10"/>
      <c r="D8139" s="10"/>
      <c r="E8139" s="10"/>
      <c r="F8139" s="10"/>
      <c r="G8139" s="10"/>
      <c r="H8139" s="10"/>
      <c r="I8139" s="10"/>
      <c r="J8139" s="10"/>
      <c r="K8139" s="10"/>
      <c r="L8139" s="10"/>
    </row>
    <row r="8140" spans="1:12" ht="15" customHeight="1" x14ac:dyDescent="0.25">
      <c r="A8140" s="10"/>
      <c r="B8140" s="10"/>
      <c r="C8140" s="10"/>
      <c r="D8140" s="10"/>
      <c r="E8140" s="10"/>
      <c r="F8140" s="10"/>
      <c r="G8140" s="10"/>
      <c r="H8140" s="10"/>
      <c r="I8140" s="10"/>
      <c r="J8140" s="10"/>
      <c r="K8140" s="10"/>
      <c r="L8140" s="10"/>
    </row>
    <row r="8141" spans="1:12" ht="15" customHeight="1" x14ac:dyDescent="0.25">
      <c r="A8141" s="10"/>
      <c r="B8141" s="10"/>
      <c r="C8141" s="10"/>
      <c r="D8141" s="10"/>
      <c r="E8141" s="10"/>
      <c r="F8141" s="10"/>
      <c r="G8141" s="10"/>
      <c r="H8141" s="10"/>
      <c r="I8141" s="10"/>
      <c r="J8141" s="10"/>
      <c r="K8141" s="10"/>
      <c r="L8141" s="10"/>
    </row>
    <row r="8142" spans="1:12" ht="15" customHeight="1" x14ac:dyDescent="0.25">
      <c r="A8142" s="10"/>
      <c r="B8142" s="10"/>
      <c r="C8142" s="10"/>
      <c r="D8142" s="10"/>
      <c r="E8142" s="10"/>
      <c r="F8142" s="10"/>
      <c r="G8142" s="10"/>
      <c r="H8142" s="10"/>
      <c r="I8142" s="10"/>
      <c r="J8142" s="10"/>
      <c r="K8142" s="10"/>
      <c r="L8142" s="10"/>
    </row>
    <row r="8143" spans="1:12" ht="15" customHeight="1" x14ac:dyDescent="0.25">
      <c r="A8143" s="10"/>
      <c r="B8143" s="10"/>
      <c r="C8143" s="10"/>
      <c r="D8143" s="10"/>
      <c r="E8143" s="10"/>
      <c r="F8143" s="10"/>
      <c r="G8143" s="10"/>
      <c r="H8143" s="10"/>
      <c r="I8143" s="10"/>
      <c r="J8143" s="10"/>
      <c r="K8143" s="10"/>
      <c r="L8143" s="10"/>
    </row>
    <row r="8144" spans="1:12" ht="15" customHeight="1" x14ac:dyDescent="0.25">
      <c r="A8144" s="10"/>
      <c r="B8144" s="10"/>
      <c r="C8144" s="10"/>
      <c r="D8144" s="10"/>
      <c r="E8144" s="10"/>
      <c r="F8144" s="10"/>
      <c r="G8144" s="10"/>
      <c r="H8144" s="10"/>
      <c r="I8144" s="10"/>
      <c r="J8144" s="10"/>
      <c r="K8144" s="10"/>
      <c r="L8144" s="10"/>
    </row>
    <row r="8145" spans="1:12" ht="15" customHeight="1" x14ac:dyDescent="0.25">
      <c r="A8145" s="10"/>
      <c r="B8145" s="10"/>
      <c r="C8145" s="10"/>
      <c r="D8145" s="10"/>
      <c r="E8145" s="10"/>
      <c r="F8145" s="10"/>
      <c r="G8145" s="10"/>
      <c r="H8145" s="10"/>
      <c r="I8145" s="10"/>
      <c r="J8145" s="10"/>
      <c r="K8145" s="10"/>
      <c r="L8145" s="10"/>
    </row>
    <row r="8146" spans="1:12" ht="15" customHeight="1" x14ac:dyDescent="0.25">
      <c r="A8146" s="10"/>
      <c r="B8146" s="10"/>
      <c r="C8146" s="10"/>
      <c r="D8146" s="10"/>
      <c r="E8146" s="10"/>
      <c r="F8146" s="10"/>
      <c r="G8146" s="10"/>
      <c r="H8146" s="10"/>
      <c r="I8146" s="10"/>
      <c r="J8146" s="10"/>
      <c r="K8146" s="10"/>
      <c r="L8146" s="10"/>
    </row>
    <row r="8147" spans="1:12" ht="15" customHeight="1" x14ac:dyDescent="0.25">
      <c r="A8147" s="10"/>
      <c r="B8147" s="10"/>
      <c r="C8147" s="10"/>
      <c r="D8147" s="10"/>
      <c r="E8147" s="10"/>
      <c r="F8147" s="10"/>
      <c r="G8147" s="10"/>
      <c r="H8147" s="10"/>
      <c r="I8147" s="10"/>
      <c r="J8147" s="10"/>
      <c r="K8147" s="10"/>
      <c r="L8147" s="10"/>
    </row>
    <row r="8148" spans="1:12" ht="15" customHeight="1" x14ac:dyDescent="0.25">
      <c r="A8148" s="10"/>
      <c r="B8148" s="10"/>
      <c r="C8148" s="10"/>
      <c r="D8148" s="10"/>
      <c r="E8148" s="10"/>
      <c r="F8148" s="10"/>
      <c r="G8148" s="10"/>
      <c r="H8148" s="10"/>
      <c r="I8148" s="10"/>
      <c r="J8148" s="10"/>
      <c r="K8148" s="10"/>
      <c r="L8148" s="10"/>
    </row>
    <row r="8149" spans="1:12" ht="15" customHeight="1" x14ac:dyDescent="0.25">
      <c r="A8149" s="10"/>
      <c r="B8149" s="10"/>
      <c r="C8149" s="10"/>
      <c r="D8149" s="10"/>
      <c r="E8149" s="10"/>
      <c r="F8149" s="10"/>
      <c r="G8149" s="10"/>
      <c r="H8149" s="10"/>
      <c r="I8149" s="10"/>
      <c r="J8149" s="10"/>
      <c r="K8149" s="10"/>
      <c r="L8149" s="10"/>
    </row>
    <row r="8150" spans="1:12" ht="15" customHeight="1" x14ac:dyDescent="0.25">
      <c r="A8150" s="10"/>
      <c r="B8150" s="10"/>
      <c r="C8150" s="10"/>
      <c r="D8150" s="10"/>
      <c r="E8150" s="10"/>
      <c r="F8150" s="10"/>
      <c r="G8150" s="10"/>
      <c r="H8150" s="10"/>
      <c r="I8150" s="10"/>
      <c r="J8150" s="10"/>
      <c r="K8150" s="10"/>
      <c r="L8150" s="10"/>
    </row>
    <row r="8151" spans="1:12" ht="15" customHeight="1" x14ac:dyDescent="0.25">
      <c r="A8151" s="10"/>
      <c r="B8151" s="10"/>
      <c r="C8151" s="10"/>
      <c r="D8151" s="10"/>
      <c r="E8151" s="10"/>
      <c r="F8151" s="10"/>
      <c r="G8151" s="10"/>
      <c r="H8151" s="10"/>
      <c r="I8151" s="10"/>
      <c r="J8151" s="10"/>
      <c r="K8151" s="10"/>
      <c r="L8151" s="10"/>
    </row>
    <row r="8152" spans="1:12" ht="15" customHeight="1" x14ac:dyDescent="0.25">
      <c r="A8152" s="10"/>
      <c r="B8152" s="10"/>
      <c r="C8152" s="10"/>
      <c r="D8152" s="10"/>
      <c r="E8152" s="10"/>
      <c r="F8152" s="10"/>
      <c r="G8152" s="10"/>
      <c r="H8152" s="10"/>
      <c r="I8152" s="10"/>
      <c r="J8152" s="10"/>
      <c r="K8152" s="10"/>
      <c r="L8152" s="10"/>
    </row>
    <row r="8153" spans="1:12" ht="15" customHeight="1" x14ac:dyDescent="0.25">
      <c r="A8153" s="10"/>
      <c r="B8153" s="10"/>
      <c r="C8153" s="10"/>
      <c r="D8153" s="10"/>
      <c r="E8153" s="10"/>
      <c r="F8153" s="10"/>
      <c r="G8153" s="10"/>
      <c r="H8153" s="10"/>
      <c r="I8153" s="10"/>
      <c r="J8153" s="10"/>
      <c r="K8153" s="10"/>
      <c r="L8153" s="10"/>
    </row>
    <row r="8154" spans="1:12" ht="15" customHeight="1" x14ac:dyDescent="0.25">
      <c r="A8154" s="10"/>
      <c r="B8154" s="10"/>
      <c r="C8154" s="10"/>
      <c r="D8154" s="10"/>
      <c r="E8154" s="10"/>
      <c r="F8154" s="10"/>
      <c r="G8154" s="10"/>
      <c r="H8154" s="10"/>
      <c r="I8154" s="10"/>
      <c r="J8154" s="10"/>
      <c r="K8154" s="10"/>
      <c r="L8154" s="10"/>
    </row>
    <row r="8155" spans="1:12" ht="15" customHeight="1" x14ac:dyDescent="0.25">
      <c r="A8155" s="10"/>
      <c r="B8155" s="10"/>
      <c r="C8155" s="10"/>
      <c r="D8155" s="10"/>
      <c r="E8155" s="10"/>
      <c r="F8155" s="10"/>
      <c r="G8155" s="10"/>
      <c r="H8155" s="10"/>
      <c r="I8155" s="10"/>
      <c r="J8155" s="10"/>
      <c r="K8155" s="10"/>
      <c r="L8155" s="10"/>
    </row>
    <row r="8156" spans="1:12" ht="15" customHeight="1" x14ac:dyDescent="0.25">
      <c r="A8156" s="10"/>
      <c r="B8156" s="10"/>
      <c r="C8156" s="10"/>
      <c r="D8156" s="10"/>
      <c r="E8156" s="10"/>
      <c r="F8156" s="10"/>
      <c r="G8156" s="10"/>
      <c r="H8156" s="10"/>
      <c r="I8156" s="10"/>
      <c r="J8156" s="10"/>
      <c r="K8156" s="10"/>
      <c r="L8156" s="10"/>
    </row>
    <row r="8157" spans="1:12" ht="15" customHeight="1" x14ac:dyDescent="0.25">
      <c r="A8157" s="10"/>
      <c r="B8157" s="10"/>
      <c r="C8157" s="10"/>
      <c r="D8157" s="10"/>
      <c r="E8157" s="10"/>
      <c r="F8157" s="10"/>
      <c r="G8157" s="10"/>
      <c r="H8157" s="10"/>
      <c r="I8157" s="10"/>
      <c r="J8157" s="10"/>
      <c r="K8157" s="10"/>
      <c r="L8157" s="10"/>
    </row>
    <row r="8158" spans="1:12" ht="15" customHeight="1" x14ac:dyDescent="0.25">
      <c r="A8158" s="10"/>
      <c r="B8158" s="10"/>
      <c r="C8158" s="10"/>
      <c r="D8158" s="10"/>
      <c r="E8158" s="10"/>
      <c r="F8158" s="10"/>
      <c r="G8158" s="10"/>
      <c r="H8158" s="10"/>
      <c r="I8158" s="10"/>
      <c r="J8158" s="10"/>
      <c r="K8158" s="10"/>
      <c r="L8158" s="10"/>
    </row>
    <row r="8159" spans="1:12" ht="15" customHeight="1" x14ac:dyDescent="0.25">
      <c r="A8159" s="10"/>
      <c r="B8159" s="10"/>
      <c r="C8159" s="10"/>
      <c r="D8159" s="10"/>
      <c r="E8159" s="10"/>
      <c r="F8159" s="10"/>
      <c r="G8159" s="10"/>
      <c r="H8159" s="10"/>
      <c r="I8159" s="10"/>
      <c r="J8159" s="10"/>
      <c r="K8159" s="10"/>
      <c r="L8159" s="10"/>
    </row>
    <row r="8160" spans="1:12" ht="15" customHeight="1" x14ac:dyDescent="0.25">
      <c r="A8160" s="10"/>
      <c r="B8160" s="10"/>
      <c r="C8160" s="10"/>
      <c r="D8160" s="10"/>
      <c r="E8160" s="10"/>
      <c r="F8160" s="10"/>
      <c r="G8160" s="10"/>
      <c r="H8160" s="10"/>
      <c r="I8160" s="10"/>
      <c r="J8160" s="10"/>
      <c r="K8160" s="10"/>
      <c r="L8160" s="10"/>
    </row>
    <row r="8161" spans="1:12" ht="15" customHeight="1" x14ac:dyDescent="0.25">
      <c r="A8161" s="10"/>
      <c r="B8161" s="10"/>
      <c r="C8161" s="10"/>
      <c r="D8161" s="10"/>
      <c r="E8161" s="10"/>
      <c r="F8161" s="10"/>
      <c r="G8161" s="10"/>
      <c r="H8161" s="10"/>
      <c r="I8161" s="10"/>
      <c r="J8161" s="10"/>
      <c r="K8161" s="10"/>
      <c r="L8161" s="10"/>
    </row>
    <row r="8162" spans="1:12" ht="15" customHeight="1" x14ac:dyDescent="0.25">
      <c r="A8162" s="10"/>
      <c r="B8162" s="10"/>
      <c r="C8162" s="10"/>
      <c r="D8162" s="10"/>
      <c r="E8162" s="10"/>
      <c r="F8162" s="10"/>
      <c r="G8162" s="10"/>
      <c r="H8162" s="10"/>
      <c r="I8162" s="10"/>
      <c r="J8162" s="10"/>
      <c r="K8162" s="10"/>
      <c r="L8162" s="10"/>
    </row>
    <row r="8163" spans="1:12" ht="15" customHeight="1" x14ac:dyDescent="0.25">
      <c r="A8163" s="10"/>
      <c r="B8163" s="10"/>
      <c r="C8163" s="10"/>
      <c r="D8163" s="10"/>
      <c r="E8163" s="10"/>
      <c r="F8163" s="10"/>
      <c r="G8163" s="10"/>
      <c r="H8163" s="10"/>
      <c r="I8163" s="10"/>
      <c r="J8163" s="10"/>
      <c r="K8163" s="10"/>
      <c r="L8163" s="10"/>
    </row>
    <row r="8164" spans="1:12" ht="15" customHeight="1" x14ac:dyDescent="0.25">
      <c r="A8164" s="10"/>
      <c r="B8164" s="10"/>
      <c r="C8164" s="10"/>
      <c r="D8164" s="10"/>
      <c r="E8164" s="10"/>
      <c r="F8164" s="10"/>
      <c r="G8164" s="10"/>
      <c r="H8164" s="10"/>
      <c r="I8164" s="10"/>
      <c r="J8164" s="10"/>
      <c r="K8164" s="10"/>
      <c r="L8164" s="10"/>
    </row>
    <row r="8165" spans="1:12" ht="15" customHeight="1" x14ac:dyDescent="0.25">
      <c r="A8165" s="10"/>
      <c r="B8165" s="10"/>
      <c r="C8165" s="10"/>
      <c r="D8165" s="10"/>
      <c r="E8165" s="10"/>
      <c r="F8165" s="10"/>
      <c r="G8165" s="10"/>
      <c r="H8165" s="10"/>
      <c r="I8165" s="10"/>
      <c r="J8165" s="10"/>
      <c r="K8165" s="10"/>
      <c r="L8165" s="10"/>
    </row>
    <row r="8166" spans="1:12" ht="15" customHeight="1" x14ac:dyDescent="0.25">
      <c r="A8166" s="10"/>
      <c r="B8166" s="10"/>
      <c r="C8166" s="10"/>
      <c r="D8166" s="10"/>
      <c r="E8166" s="10"/>
      <c r="F8166" s="10"/>
      <c r="G8166" s="10"/>
      <c r="H8166" s="10"/>
      <c r="I8166" s="10"/>
      <c r="J8166" s="10"/>
      <c r="K8166" s="10"/>
      <c r="L8166" s="10"/>
    </row>
    <row r="8167" spans="1:12" ht="15" customHeight="1" x14ac:dyDescent="0.25">
      <c r="A8167" s="10"/>
      <c r="B8167" s="10"/>
      <c r="C8167" s="10"/>
      <c r="D8167" s="10"/>
      <c r="E8167" s="10"/>
      <c r="F8167" s="10"/>
      <c r="G8167" s="10"/>
      <c r="H8167" s="10"/>
      <c r="I8167" s="10"/>
      <c r="J8167" s="10"/>
      <c r="K8167" s="10"/>
      <c r="L8167" s="10"/>
    </row>
    <row r="8168" spans="1:12" ht="15" customHeight="1" x14ac:dyDescent="0.25">
      <c r="A8168" s="10"/>
      <c r="B8168" s="10"/>
      <c r="C8168" s="10"/>
      <c r="D8168" s="10"/>
      <c r="E8168" s="10"/>
      <c r="F8168" s="10"/>
      <c r="G8168" s="10"/>
      <c r="H8168" s="10"/>
      <c r="I8168" s="10"/>
      <c r="J8168" s="10"/>
      <c r="K8168" s="10"/>
      <c r="L8168" s="10"/>
    </row>
    <row r="8169" spans="1:12" ht="15" customHeight="1" x14ac:dyDescent="0.25">
      <c r="A8169" s="10"/>
      <c r="B8169" s="10"/>
      <c r="C8169" s="10"/>
      <c r="D8169" s="10"/>
      <c r="E8169" s="10"/>
      <c r="F8169" s="10"/>
      <c r="G8169" s="10"/>
      <c r="H8169" s="10"/>
      <c r="I8169" s="10"/>
      <c r="J8169" s="10"/>
      <c r="K8169" s="10"/>
      <c r="L8169" s="10"/>
    </row>
    <row r="8170" spans="1:12" ht="15" customHeight="1" x14ac:dyDescent="0.25">
      <c r="A8170" s="10"/>
      <c r="B8170" s="10"/>
      <c r="C8170" s="10"/>
      <c r="D8170" s="10"/>
      <c r="E8170" s="10"/>
      <c r="F8170" s="10"/>
      <c r="G8170" s="10"/>
      <c r="H8170" s="10"/>
      <c r="I8170" s="10"/>
      <c r="J8170" s="10"/>
      <c r="K8170" s="10"/>
      <c r="L8170" s="10"/>
    </row>
    <row r="8171" spans="1:12" ht="15" customHeight="1" x14ac:dyDescent="0.25">
      <c r="A8171" s="10"/>
      <c r="B8171" s="10"/>
      <c r="C8171" s="10"/>
      <c r="D8171" s="10"/>
      <c r="E8171" s="10"/>
      <c r="F8171" s="10"/>
      <c r="G8171" s="10"/>
      <c r="H8171" s="10"/>
      <c r="I8171" s="10"/>
      <c r="J8171" s="10"/>
      <c r="K8171" s="10"/>
      <c r="L8171" s="10"/>
    </row>
    <row r="8172" spans="1:12" ht="15" customHeight="1" x14ac:dyDescent="0.25">
      <c r="A8172" s="10"/>
      <c r="B8172" s="10"/>
      <c r="C8172" s="10"/>
      <c r="D8172" s="10"/>
      <c r="E8172" s="10"/>
      <c r="F8172" s="10"/>
      <c r="G8172" s="10"/>
      <c r="H8172" s="10"/>
      <c r="I8172" s="10"/>
      <c r="J8172" s="10"/>
      <c r="K8172" s="10"/>
      <c r="L8172" s="10"/>
    </row>
    <row r="8173" spans="1:12" ht="15" customHeight="1" x14ac:dyDescent="0.25">
      <c r="A8173" s="10"/>
      <c r="B8173" s="10"/>
      <c r="C8173" s="10"/>
      <c r="D8173" s="10"/>
      <c r="E8173" s="10"/>
      <c r="F8173" s="10"/>
      <c r="G8173" s="10"/>
      <c r="H8173" s="10"/>
      <c r="I8173" s="10"/>
      <c r="J8173" s="10"/>
      <c r="K8173" s="10"/>
      <c r="L8173" s="10"/>
    </row>
    <row r="8174" spans="1:12" ht="15" customHeight="1" x14ac:dyDescent="0.25">
      <c r="A8174" s="10"/>
      <c r="B8174" s="10"/>
      <c r="C8174" s="10"/>
      <c r="D8174" s="10"/>
      <c r="E8174" s="10"/>
      <c r="F8174" s="10"/>
      <c r="G8174" s="10"/>
      <c r="H8174" s="10"/>
      <c r="I8174" s="10"/>
      <c r="J8174" s="10"/>
      <c r="K8174" s="10"/>
      <c r="L8174" s="10"/>
    </row>
    <row r="8175" spans="1:12" ht="15" customHeight="1" x14ac:dyDescent="0.25">
      <c r="A8175" s="10"/>
      <c r="B8175" s="10"/>
      <c r="C8175" s="10"/>
      <c r="D8175" s="10"/>
      <c r="E8175" s="10"/>
      <c r="F8175" s="10"/>
      <c r="G8175" s="10"/>
      <c r="H8175" s="10"/>
      <c r="I8175" s="10"/>
      <c r="J8175" s="10"/>
      <c r="K8175" s="10"/>
      <c r="L8175" s="10"/>
    </row>
    <row r="8176" spans="1:12" ht="15" customHeight="1" x14ac:dyDescent="0.25">
      <c r="A8176" s="10"/>
      <c r="B8176" s="10"/>
      <c r="C8176" s="10"/>
      <c r="D8176" s="10"/>
      <c r="E8176" s="10"/>
      <c r="F8176" s="10"/>
      <c r="G8176" s="10"/>
      <c r="H8176" s="10"/>
      <c r="I8176" s="10"/>
      <c r="J8176" s="10"/>
      <c r="K8176" s="10"/>
      <c r="L8176" s="10"/>
    </row>
    <row r="8177" spans="1:12" ht="15" customHeight="1" x14ac:dyDescent="0.25">
      <c r="A8177" s="10"/>
      <c r="B8177" s="10"/>
      <c r="C8177" s="10"/>
      <c r="D8177" s="10"/>
      <c r="E8177" s="10"/>
      <c r="F8177" s="10"/>
      <c r="G8177" s="10"/>
      <c r="H8177" s="10"/>
      <c r="I8177" s="10"/>
      <c r="J8177" s="10"/>
      <c r="K8177" s="10"/>
      <c r="L8177" s="10"/>
    </row>
    <row r="8178" spans="1:12" ht="15" customHeight="1" x14ac:dyDescent="0.25">
      <c r="A8178" s="10"/>
      <c r="B8178" s="10"/>
      <c r="C8178" s="10"/>
      <c r="D8178" s="10"/>
      <c r="E8178" s="10"/>
      <c r="F8178" s="10"/>
      <c r="G8178" s="10"/>
      <c r="H8178" s="10"/>
      <c r="I8178" s="10"/>
      <c r="J8178" s="10"/>
      <c r="K8178" s="10"/>
      <c r="L8178" s="10"/>
    </row>
    <row r="8179" spans="1:12" ht="15" customHeight="1" x14ac:dyDescent="0.25">
      <c r="A8179" s="10"/>
      <c r="B8179" s="10"/>
      <c r="C8179" s="10"/>
      <c r="D8179" s="10"/>
      <c r="E8179" s="10"/>
      <c r="F8179" s="10"/>
      <c r="G8179" s="10"/>
      <c r="H8179" s="10"/>
      <c r="I8179" s="10"/>
      <c r="J8179" s="10"/>
      <c r="K8179" s="10"/>
      <c r="L8179" s="10"/>
    </row>
    <row r="8180" spans="1:12" ht="15" customHeight="1" x14ac:dyDescent="0.25">
      <c r="A8180" s="10"/>
      <c r="B8180" s="10"/>
      <c r="C8180" s="10"/>
      <c r="D8180" s="10"/>
      <c r="E8180" s="10"/>
      <c r="F8180" s="10"/>
      <c r="G8180" s="10"/>
      <c r="H8180" s="10"/>
      <c r="I8180" s="10"/>
      <c r="J8180" s="10"/>
      <c r="K8180" s="10"/>
      <c r="L8180" s="10"/>
    </row>
    <row r="8181" spans="1:12" ht="15" customHeight="1" x14ac:dyDescent="0.25">
      <c r="A8181" s="10"/>
      <c r="B8181" s="10"/>
      <c r="C8181" s="10"/>
      <c r="D8181" s="10"/>
      <c r="E8181" s="10"/>
      <c r="F8181" s="10"/>
      <c r="G8181" s="10"/>
      <c r="H8181" s="10"/>
      <c r="I8181" s="10"/>
      <c r="J8181" s="10"/>
      <c r="K8181" s="10"/>
      <c r="L8181" s="10"/>
    </row>
    <row r="8182" spans="1:12" ht="15" customHeight="1" x14ac:dyDescent="0.25">
      <c r="A8182" s="10"/>
      <c r="B8182" s="10"/>
      <c r="C8182" s="10"/>
      <c r="D8182" s="10"/>
      <c r="E8182" s="10"/>
      <c r="F8182" s="10"/>
      <c r="G8182" s="10"/>
      <c r="H8182" s="10"/>
      <c r="I8182" s="10"/>
      <c r="J8182" s="10"/>
      <c r="K8182" s="10"/>
      <c r="L8182" s="10"/>
    </row>
    <row r="8183" spans="1:12" ht="15" customHeight="1" x14ac:dyDescent="0.25">
      <c r="A8183" s="10"/>
      <c r="B8183" s="10"/>
      <c r="C8183" s="10"/>
      <c r="D8183" s="10"/>
      <c r="E8183" s="10"/>
      <c r="F8183" s="10"/>
      <c r="G8183" s="10"/>
      <c r="H8183" s="10"/>
      <c r="I8183" s="10"/>
      <c r="J8183" s="10"/>
      <c r="K8183" s="10"/>
      <c r="L8183" s="10"/>
    </row>
    <row r="8184" spans="1:12" ht="15" customHeight="1" x14ac:dyDescent="0.25">
      <c r="A8184" s="10"/>
      <c r="B8184" s="10"/>
      <c r="C8184" s="10"/>
      <c r="D8184" s="10"/>
      <c r="E8184" s="10"/>
      <c r="F8184" s="10"/>
      <c r="G8184" s="10"/>
      <c r="H8184" s="10"/>
      <c r="I8184" s="10"/>
      <c r="J8184" s="10"/>
      <c r="K8184" s="10"/>
      <c r="L8184" s="10"/>
    </row>
    <row r="8185" spans="1:12" ht="15" customHeight="1" x14ac:dyDescent="0.25">
      <c r="A8185" s="10"/>
      <c r="B8185" s="10"/>
      <c r="C8185" s="10"/>
      <c r="D8185" s="10"/>
      <c r="E8185" s="10"/>
      <c r="F8185" s="10"/>
      <c r="G8185" s="10"/>
      <c r="H8185" s="10"/>
      <c r="I8185" s="10"/>
      <c r="J8185" s="10"/>
      <c r="K8185" s="10"/>
      <c r="L8185" s="10"/>
    </row>
    <row r="8186" spans="1:12" ht="15" customHeight="1" x14ac:dyDescent="0.25">
      <c r="A8186" s="10"/>
      <c r="B8186" s="10"/>
      <c r="C8186" s="10"/>
      <c r="D8186" s="10"/>
      <c r="E8186" s="10"/>
      <c r="F8186" s="10"/>
      <c r="G8186" s="10"/>
      <c r="H8186" s="10"/>
      <c r="I8186" s="10"/>
      <c r="J8186" s="10"/>
      <c r="K8186" s="10"/>
      <c r="L8186" s="10"/>
    </row>
    <row r="8187" spans="1:12" ht="15" customHeight="1" x14ac:dyDescent="0.25">
      <c r="A8187" s="10"/>
      <c r="B8187" s="10"/>
      <c r="C8187" s="10"/>
      <c r="D8187" s="10"/>
      <c r="E8187" s="10"/>
      <c r="F8187" s="10"/>
      <c r="G8187" s="10"/>
      <c r="H8187" s="10"/>
      <c r="I8187" s="10"/>
      <c r="J8187" s="10"/>
      <c r="K8187" s="10"/>
      <c r="L8187" s="10"/>
    </row>
    <row r="8188" spans="1:12" ht="15" customHeight="1" x14ac:dyDescent="0.25">
      <c r="A8188" s="10"/>
      <c r="B8188" s="10"/>
      <c r="C8188" s="10"/>
      <c r="D8188" s="10"/>
      <c r="E8188" s="10"/>
      <c r="F8188" s="10"/>
      <c r="G8188" s="10"/>
      <c r="H8188" s="10"/>
      <c r="I8188" s="10"/>
      <c r="J8188" s="10"/>
      <c r="K8188" s="10"/>
      <c r="L8188" s="10"/>
    </row>
    <row r="8189" spans="1:12" ht="15" customHeight="1" x14ac:dyDescent="0.25">
      <c r="A8189" s="10"/>
      <c r="B8189" s="10"/>
      <c r="C8189" s="10"/>
      <c r="D8189" s="10"/>
      <c r="E8189" s="10"/>
      <c r="F8189" s="10"/>
      <c r="G8189" s="10"/>
      <c r="H8189" s="10"/>
      <c r="I8189" s="10"/>
      <c r="J8189" s="10"/>
      <c r="K8189" s="10"/>
      <c r="L8189" s="10"/>
    </row>
    <row r="8190" spans="1:12" ht="15" customHeight="1" x14ac:dyDescent="0.25">
      <c r="A8190" s="10"/>
      <c r="B8190" s="10"/>
      <c r="C8190" s="10"/>
      <c r="D8190" s="10"/>
      <c r="E8190" s="10"/>
      <c r="F8190" s="10"/>
      <c r="G8190" s="10"/>
      <c r="H8190" s="10"/>
      <c r="I8190" s="10"/>
      <c r="J8190" s="10"/>
      <c r="K8190" s="10"/>
      <c r="L8190" s="10"/>
    </row>
    <row r="8191" spans="1:12" ht="15" customHeight="1" x14ac:dyDescent="0.25">
      <c r="A8191" s="10"/>
      <c r="B8191" s="10"/>
      <c r="C8191" s="10"/>
      <c r="D8191" s="10"/>
      <c r="E8191" s="10"/>
      <c r="F8191" s="10"/>
      <c r="G8191" s="10"/>
      <c r="H8191" s="10"/>
      <c r="I8191" s="10"/>
      <c r="J8191" s="10"/>
      <c r="K8191" s="10"/>
      <c r="L8191" s="10"/>
    </row>
    <row r="8192" spans="1:12" ht="15" customHeight="1" x14ac:dyDescent="0.25">
      <c r="A8192" s="10"/>
      <c r="B8192" s="10"/>
      <c r="C8192" s="10"/>
      <c r="D8192" s="10"/>
      <c r="E8192" s="10"/>
      <c r="F8192" s="10"/>
      <c r="G8192" s="10"/>
      <c r="H8192" s="10"/>
      <c r="I8192" s="10"/>
      <c r="J8192" s="10"/>
      <c r="K8192" s="10"/>
      <c r="L8192" s="10"/>
    </row>
    <row r="8193" spans="1:12" ht="15" customHeight="1" x14ac:dyDescent="0.25">
      <c r="A8193" s="10"/>
      <c r="B8193" s="10"/>
      <c r="C8193" s="10"/>
      <c r="D8193" s="10"/>
      <c r="E8193" s="10"/>
      <c r="F8193" s="10"/>
      <c r="G8193" s="10"/>
      <c r="H8193" s="10"/>
      <c r="I8193" s="10"/>
      <c r="J8193" s="10"/>
      <c r="K8193" s="10"/>
      <c r="L8193" s="10"/>
    </row>
    <row r="8194" spans="1:12" ht="15" customHeight="1" x14ac:dyDescent="0.25">
      <c r="A8194" s="10"/>
      <c r="B8194" s="10"/>
      <c r="C8194" s="10"/>
      <c r="D8194" s="10"/>
      <c r="E8194" s="10"/>
      <c r="F8194" s="10"/>
      <c r="G8194" s="10"/>
      <c r="H8194" s="10"/>
      <c r="I8194" s="10"/>
      <c r="J8194" s="10"/>
      <c r="K8194" s="10"/>
      <c r="L8194" s="10"/>
    </row>
    <row r="8195" spans="1:12" ht="15" customHeight="1" x14ac:dyDescent="0.25">
      <c r="A8195" s="10"/>
      <c r="B8195" s="10"/>
      <c r="C8195" s="10"/>
      <c r="D8195" s="10"/>
      <c r="E8195" s="10"/>
      <c r="F8195" s="10"/>
      <c r="G8195" s="10"/>
      <c r="H8195" s="10"/>
      <c r="I8195" s="10"/>
      <c r="J8195" s="10"/>
      <c r="K8195" s="10"/>
      <c r="L8195" s="10"/>
    </row>
    <row r="8196" spans="1:12" ht="15" customHeight="1" x14ac:dyDescent="0.25">
      <c r="A8196" s="10"/>
      <c r="B8196" s="10"/>
      <c r="C8196" s="10"/>
      <c r="D8196" s="10"/>
      <c r="E8196" s="10"/>
      <c r="F8196" s="10"/>
      <c r="G8196" s="10"/>
      <c r="H8196" s="10"/>
      <c r="I8196" s="10"/>
      <c r="J8196" s="10"/>
      <c r="K8196" s="10"/>
      <c r="L8196" s="10"/>
    </row>
    <row r="8197" spans="1:12" ht="15" customHeight="1" x14ac:dyDescent="0.25">
      <c r="A8197" s="10"/>
      <c r="B8197" s="10"/>
      <c r="C8197" s="10"/>
      <c r="D8197" s="10"/>
      <c r="E8197" s="10"/>
      <c r="F8197" s="10"/>
      <c r="G8197" s="10"/>
      <c r="H8197" s="10"/>
      <c r="I8197" s="10"/>
      <c r="J8197" s="10"/>
      <c r="K8197" s="10"/>
      <c r="L8197" s="10"/>
    </row>
    <row r="8198" spans="1:12" ht="15" customHeight="1" x14ac:dyDescent="0.25">
      <c r="A8198" s="10"/>
      <c r="B8198" s="10"/>
      <c r="C8198" s="10"/>
      <c r="D8198" s="10"/>
      <c r="E8198" s="10"/>
      <c r="F8198" s="10"/>
      <c r="G8198" s="10"/>
      <c r="H8198" s="10"/>
      <c r="I8198" s="10"/>
      <c r="J8198" s="10"/>
      <c r="K8198" s="10"/>
      <c r="L8198" s="10"/>
    </row>
    <row r="8199" spans="1:12" ht="15" customHeight="1" x14ac:dyDescent="0.25">
      <c r="A8199" s="10"/>
      <c r="B8199" s="10"/>
      <c r="C8199" s="10"/>
      <c r="D8199" s="10"/>
      <c r="E8199" s="10"/>
      <c r="F8199" s="10"/>
      <c r="G8199" s="10"/>
      <c r="H8199" s="10"/>
      <c r="I8199" s="10"/>
      <c r="J8199" s="10"/>
      <c r="K8199" s="10"/>
      <c r="L8199" s="10"/>
    </row>
    <row r="8200" spans="1:12" ht="15" customHeight="1" x14ac:dyDescent="0.25">
      <c r="A8200" s="10"/>
      <c r="B8200" s="10"/>
      <c r="C8200" s="10"/>
      <c r="D8200" s="10"/>
      <c r="E8200" s="10"/>
      <c r="F8200" s="10"/>
      <c r="G8200" s="10"/>
      <c r="H8200" s="10"/>
      <c r="I8200" s="10"/>
      <c r="J8200" s="10"/>
      <c r="K8200" s="10"/>
      <c r="L8200" s="10"/>
    </row>
    <row r="8201" spans="1:12" ht="15" customHeight="1" x14ac:dyDescent="0.25">
      <c r="A8201" s="10"/>
      <c r="B8201" s="10"/>
      <c r="C8201" s="10"/>
      <c r="D8201" s="10"/>
      <c r="E8201" s="10"/>
      <c r="F8201" s="10"/>
      <c r="G8201" s="10"/>
      <c r="H8201" s="10"/>
      <c r="I8201" s="10"/>
      <c r="J8201" s="10"/>
      <c r="K8201" s="10"/>
      <c r="L8201" s="10"/>
    </row>
    <row r="8202" spans="1:12" ht="15" customHeight="1" x14ac:dyDescent="0.25">
      <c r="A8202" s="10"/>
      <c r="B8202" s="10"/>
      <c r="C8202" s="10"/>
      <c r="D8202" s="10"/>
      <c r="E8202" s="10"/>
      <c r="F8202" s="10"/>
      <c r="G8202" s="10"/>
      <c r="H8202" s="10"/>
      <c r="I8202" s="10"/>
      <c r="J8202" s="10"/>
      <c r="K8202" s="10"/>
      <c r="L8202" s="10"/>
    </row>
    <row r="8203" spans="1:12" ht="15" customHeight="1" x14ac:dyDescent="0.25">
      <c r="A8203" s="10"/>
      <c r="B8203" s="10"/>
      <c r="C8203" s="10"/>
      <c r="D8203" s="10"/>
      <c r="E8203" s="10"/>
      <c r="F8203" s="10"/>
      <c r="G8203" s="10"/>
      <c r="H8203" s="10"/>
      <c r="I8203" s="10"/>
      <c r="J8203" s="10"/>
      <c r="K8203" s="10"/>
      <c r="L8203" s="10"/>
    </row>
    <row r="8204" spans="1:12" ht="15" customHeight="1" x14ac:dyDescent="0.25">
      <c r="A8204" s="10"/>
      <c r="B8204" s="10"/>
      <c r="C8204" s="10"/>
      <c r="D8204" s="10"/>
      <c r="E8204" s="10"/>
      <c r="F8204" s="10"/>
      <c r="G8204" s="10"/>
      <c r="H8204" s="10"/>
      <c r="I8204" s="10"/>
      <c r="J8204" s="10"/>
      <c r="K8204" s="10"/>
      <c r="L8204" s="10"/>
    </row>
    <row r="8205" spans="1:12" ht="15" customHeight="1" x14ac:dyDescent="0.25">
      <c r="A8205" s="10"/>
      <c r="B8205" s="10"/>
      <c r="C8205" s="10"/>
      <c r="D8205" s="10"/>
      <c r="E8205" s="10"/>
      <c r="F8205" s="10"/>
      <c r="G8205" s="10"/>
      <c r="H8205" s="10"/>
      <c r="I8205" s="10"/>
      <c r="J8205" s="10"/>
      <c r="K8205" s="10"/>
      <c r="L8205" s="10"/>
    </row>
    <row r="8206" spans="1:12" ht="15" customHeight="1" x14ac:dyDescent="0.25">
      <c r="A8206" s="10"/>
      <c r="B8206" s="10"/>
      <c r="C8206" s="10"/>
      <c r="D8206" s="10"/>
      <c r="E8206" s="10"/>
      <c r="F8206" s="10"/>
      <c r="G8206" s="10"/>
      <c r="H8206" s="10"/>
      <c r="I8206" s="10"/>
      <c r="J8206" s="10"/>
      <c r="K8206" s="10"/>
      <c r="L8206" s="10"/>
    </row>
    <row r="8207" spans="1:12" ht="15" customHeight="1" x14ac:dyDescent="0.25">
      <c r="A8207" s="10"/>
      <c r="B8207" s="10"/>
      <c r="C8207" s="10"/>
      <c r="D8207" s="10"/>
      <c r="E8207" s="10"/>
      <c r="F8207" s="10"/>
      <c r="G8207" s="10"/>
      <c r="H8207" s="10"/>
      <c r="I8207" s="10"/>
      <c r="J8207" s="10"/>
      <c r="K8207" s="10"/>
      <c r="L8207" s="10"/>
    </row>
    <row r="8208" spans="1:12" ht="15" customHeight="1" x14ac:dyDescent="0.25">
      <c r="A8208" s="10"/>
      <c r="B8208" s="10"/>
      <c r="C8208" s="10"/>
      <c r="D8208" s="10"/>
      <c r="E8208" s="10"/>
      <c r="F8208" s="10"/>
      <c r="G8208" s="10"/>
      <c r="H8208" s="10"/>
      <c r="I8208" s="10"/>
      <c r="J8208" s="10"/>
      <c r="K8208" s="10"/>
      <c r="L8208" s="10"/>
    </row>
    <row r="8209" spans="1:12" ht="15" customHeight="1" x14ac:dyDescent="0.25">
      <c r="A8209" s="10"/>
      <c r="B8209" s="10"/>
      <c r="C8209" s="10"/>
      <c r="D8209" s="10"/>
      <c r="E8209" s="10"/>
      <c r="F8209" s="10"/>
      <c r="G8209" s="10"/>
      <c r="H8209" s="10"/>
      <c r="I8209" s="10"/>
      <c r="J8209" s="10"/>
      <c r="K8209" s="10"/>
      <c r="L8209" s="10"/>
    </row>
    <row r="8210" spans="1:12" ht="15" customHeight="1" x14ac:dyDescent="0.25">
      <c r="A8210" s="10"/>
      <c r="B8210" s="10"/>
      <c r="C8210" s="10"/>
      <c r="D8210" s="10"/>
      <c r="E8210" s="10"/>
      <c r="F8210" s="10"/>
      <c r="G8210" s="10"/>
      <c r="H8210" s="10"/>
      <c r="I8210" s="10"/>
      <c r="J8210" s="10"/>
      <c r="K8210" s="10"/>
      <c r="L8210" s="10"/>
    </row>
    <row r="8211" spans="1:12" ht="15" customHeight="1" x14ac:dyDescent="0.25">
      <c r="A8211" s="10"/>
      <c r="B8211" s="10"/>
      <c r="C8211" s="10"/>
      <c r="D8211" s="10"/>
      <c r="E8211" s="10"/>
      <c r="F8211" s="10"/>
      <c r="G8211" s="10"/>
      <c r="H8211" s="10"/>
      <c r="I8211" s="10"/>
      <c r="J8211" s="10"/>
      <c r="K8211" s="10"/>
      <c r="L8211" s="10"/>
    </row>
    <row r="8212" spans="1:12" ht="15" customHeight="1" x14ac:dyDescent="0.25">
      <c r="A8212" s="10"/>
      <c r="B8212" s="10"/>
      <c r="C8212" s="10"/>
      <c r="D8212" s="10"/>
      <c r="E8212" s="10"/>
      <c r="F8212" s="10"/>
      <c r="G8212" s="10"/>
      <c r="H8212" s="10"/>
      <c r="I8212" s="10"/>
      <c r="J8212" s="10"/>
      <c r="K8212" s="10"/>
      <c r="L8212" s="10"/>
    </row>
    <row r="8213" spans="1:12" ht="15" customHeight="1" x14ac:dyDescent="0.25">
      <c r="A8213" s="10"/>
      <c r="B8213" s="10"/>
      <c r="C8213" s="10"/>
      <c r="D8213" s="10"/>
      <c r="E8213" s="10"/>
      <c r="F8213" s="10"/>
      <c r="G8213" s="10"/>
      <c r="H8213" s="10"/>
      <c r="I8213" s="10"/>
      <c r="J8213" s="10"/>
      <c r="K8213" s="10"/>
      <c r="L8213" s="10"/>
    </row>
    <row r="8214" spans="1:12" ht="15" customHeight="1" x14ac:dyDescent="0.25">
      <c r="A8214" s="10"/>
      <c r="B8214" s="10"/>
      <c r="C8214" s="10"/>
      <c r="D8214" s="10"/>
      <c r="E8214" s="10"/>
      <c r="F8214" s="10"/>
      <c r="G8214" s="10"/>
      <c r="H8214" s="10"/>
      <c r="I8214" s="10"/>
      <c r="J8214" s="10"/>
      <c r="K8214" s="10"/>
      <c r="L8214" s="10"/>
    </row>
    <row r="8215" spans="1:12" ht="15" customHeight="1" x14ac:dyDescent="0.25">
      <c r="A8215" s="10"/>
      <c r="B8215" s="10"/>
      <c r="C8215" s="10"/>
      <c r="D8215" s="10"/>
      <c r="E8215" s="10"/>
      <c r="F8215" s="10"/>
      <c r="G8215" s="10"/>
      <c r="H8215" s="10"/>
      <c r="I8215" s="10"/>
      <c r="J8215" s="10"/>
      <c r="K8215" s="10"/>
      <c r="L8215" s="10"/>
    </row>
    <row r="8216" spans="1:12" ht="15" customHeight="1" x14ac:dyDescent="0.25">
      <c r="A8216" s="10"/>
      <c r="B8216" s="10"/>
      <c r="C8216" s="10"/>
      <c r="D8216" s="10"/>
      <c r="E8216" s="10"/>
      <c r="F8216" s="10"/>
      <c r="G8216" s="10"/>
      <c r="H8216" s="10"/>
      <c r="I8216" s="10"/>
      <c r="J8216" s="10"/>
      <c r="K8216" s="10"/>
      <c r="L8216" s="10"/>
    </row>
    <row r="8217" spans="1:12" ht="15" customHeight="1" x14ac:dyDescent="0.25">
      <c r="A8217" s="10"/>
      <c r="B8217" s="10"/>
      <c r="C8217" s="10"/>
      <c r="D8217" s="10"/>
      <c r="E8217" s="10"/>
      <c r="F8217" s="10"/>
      <c r="G8217" s="10"/>
      <c r="H8217" s="10"/>
      <c r="I8217" s="10"/>
      <c r="J8217" s="10"/>
      <c r="K8217" s="10"/>
      <c r="L8217" s="10"/>
    </row>
    <row r="8218" spans="1:12" ht="15" customHeight="1" x14ac:dyDescent="0.25">
      <c r="A8218" s="10"/>
      <c r="B8218" s="10"/>
      <c r="C8218" s="10"/>
      <c r="D8218" s="10"/>
      <c r="E8218" s="10"/>
      <c r="F8218" s="10"/>
      <c r="G8218" s="10"/>
      <c r="H8218" s="10"/>
      <c r="I8218" s="10"/>
      <c r="J8218" s="10"/>
      <c r="K8218" s="10"/>
      <c r="L8218" s="10"/>
    </row>
    <row r="8219" spans="1:12" ht="15" customHeight="1" x14ac:dyDescent="0.25">
      <c r="A8219" s="10"/>
      <c r="B8219" s="10"/>
      <c r="C8219" s="10"/>
      <c r="D8219" s="10"/>
      <c r="E8219" s="10"/>
      <c r="F8219" s="10"/>
      <c r="G8219" s="10"/>
      <c r="H8219" s="10"/>
      <c r="I8219" s="10"/>
      <c r="J8219" s="10"/>
      <c r="K8219" s="10"/>
      <c r="L8219" s="10"/>
    </row>
    <row r="8220" spans="1:12" ht="15" customHeight="1" x14ac:dyDescent="0.25">
      <c r="A8220" s="10"/>
      <c r="B8220" s="10"/>
      <c r="C8220" s="10"/>
      <c r="D8220" s="10"/>
      <c r="E8220" s="10"/>
      <c r="F8220" s="10"/>
      <c r="G8220" s="10"/>
      <c r="H8220" s="10"/>
      <c r="I8220" s="10"/>
      <c r="J8220" s="10"/>
      <c r="K8220" s="10"/>
      <c r="L8220" s="10"/>
    </row>
    <row r="8221" spans="1:12" ht="15" customHeight="1" x14ac:dyDescent="0.25">
      <c r="A8221" s="10"/>
      <c r="B8221" s="10"/>
      <c r="C8221" s="10"/>
      <c r="D8221" s="10"/>
      <c r="E8221" s="10"/>
      <c r="F8221" s="10"/>
      <c r="G8221" s="10"/>
      <c r="H8221" s="10"/>
      <c r="I8221" s="10"/>
      <c r="J8221" s="10"/>
      <c r="K8221" s="10"/>
      <c r="L8221" s="10"/>
    </row>
    <row r="8222" spans="1:12" ht="15" customHeight="1" x14ac:dyDescent="0.25">
      <c r="A8222" s="10"/>
      <c r="B8222" s="10"/>
      <c r="C8222" s="10"/>
      <c r="D8222" s="10"/>
      <c r="E8222" s="10"/>
      <c r="F8222" s="10"/>
      <c r="G8222" s="10"/>
      <c r="H8222" s="10"/>
      <c r="I8222" s="10"/>
      <c r="J8222" s="10"/>
      <c r="K8222" s="10"/>
      <c r="L8222" s="10"/>
    </row>
    <row r="8223" spans="1:12" ht="15" customHeight="1" x14ac:dyDescent="0.25">
      <c r="A8223" s="10"/>
      <c r="B8223" s="10"/>
      <c r="C8223" s="10"/>
      <c r="D8223" s="10"/>
      <c r="E8223" s="10"/>
      <c r="F8223" s="10"/>
      <c r="G8223" s="10"/>
      <c r="H8223" s="10"/>
      <c r="I8223" s="10"/>
      <c r="J8223" s="10"/>
      <c r="K8223" s="10"/>
      <c r="L8223" s="10"/>
    </row>
    <row r="8224" spans="1:12" ht="15" customHeight="1" x14ac:dyDescent="0.25">
      <c r="A8224" s="10"/>
      <c r="B8224" s="10"/>
      <c r="C8224" s="10"/>
      <c r="D8224" s="10"/>
      <c r="E8224" s="10"/>
      <c r="F8224" s="10"/>
      <c r="G8224" s="10"/>
      <c r="H8224" s="10"/>
      <c r="I8224" s="10"/>
      <c r="J8224" s="10"/>
      <c r="K8224" s="10"/>
      <c r="L8224" s="10"/>
    </row>
    <row r="8225" spans="1:12" ht="15" customHeight="1" x14ac:dyDescent="0.25">
      <c r="A8225" s="10"/>
      <c r="B8225" s="10"/>
      <c r="C8225" s="10"/>
      <c r="D8225" s="10"/>
      <c r="E8225" s="10"/>
      <c r="F8225" s="10"/>
      <c r="G8225" s="10"/>
      <c r="H8225" s="10"/>
      <c r="I8225" s="10"/>
      <c r="J8225" s="10"/>
      <c r="K8225" s="10"/>
      <c r="L8225" s="10"/>
    </row>
    <row r="8226" spans="1:12" ht="15" customHeight="1" x14ac:dyDescent="0.25">
      <c r="A8226" s="10"/>
      <c r="B8226" s="10"/>
      <c r="C8226" s="10"/>
      <c r="D8226" s="10"/>
      <c r="E8226" s="10"/>
      <c r="F8226" s="10"/>
      <c r="G8226" s="10"/>
      <c r="H8226" s="10"/>
      <c r="I8226" s="10"/>
      <c r="J8226" s="10"/>
      <c r="K8226" s="10"/>
      <c r="L8226" s="10"/>
    </row>
    <row r="8227" spans="1:12" ht="15" customHeight="1" x14ac:dyDescent="0.25">
      <c r="A8227" s="10"/>
      <c r="B8227" s="10"/>
      <c r="C8227" s="10"/>
      <c r="D8227" s="10"/>
      <c r="E8227" s="10"/>
      <c r="F8227" s="10"/>
      <c r="G8227" s="10"/>
      <c r="H8227" s="10"/>
      <c r="I8227" s="10"/>
      <c r="J8227" s="10"/>
      <c r="K8227" s="10"/>
      <c r="L8227" s="10"/>
    </row>
    <row r="8228" spans="1:12" ht="15" customHeight="1" x14ac:dyDescent="0.25">
      <c r="A8228" s="10"/>
      <c r="B8228" s="10"/>
      <c r="C8228" s="10"/>
      <c r="D8228" s="10"/>
      <c r="E8228" s="10"/>
      <c r="F8228" s="10"/>
      <c r="G8228" s="10"/>
      <c r="H8228" s="10"/>
      <c r="I8228" s="10"/>
      <c r="J8228" s="10"/>
      <c r="K8228" s="10"/>
      <c r="L8228" s="10"/>
    </row>
    <row r="8229" spans="1:12" ht="15" customHeight="1" x14ac:dyDescent="0.25">
      <c r="A8229" s="10"/>
      <c r="B8229" s="10"/>
      <c r="C8229" s="10"/>
      <c r="D8229" s="10"/>
      <c r="E8229" s="10"/>
      <c r="F8229" s="10"/>
      <c r="G8229" s="10"/>
      <c r="H8229" s="10"/>
      <c r="I8229" s="10"/>
      <c r="J8229" s="10"/>
      <c r="K8229" s="10"/>
      <c r="L8229" s="10"/>
    </row>
    <row r="8230" spans="1:12" ht="15" customHeight="1" x14ac:dyDescent="0.25">
      <c r="A8230" s="10"/>
      <c r="B8230" s="10"/>
      <c r="C8230" s="10"/>
      <c r="D8230" s="10"/>
      <c r="E8230" s="10"/>
      <c r="F8230" s="10"/>
      <c r="G8230" s="10"/>
      <c r="H8230" s="10"/>
      <c r="I8230" s="10"/>
      <c r="J8230" s="10"/>
      <c r="K8230" s="10"/>
      <c r="L8230" s="10"/>
    </row>
    <row r="8231" spans="1:12" ht="15" customHeight="1" x14ac:dyDescent="0.25">
      <c r="A8231" s="10"/>
      <c r="B8231" s="10"/>
      <c r="C8231" s="10"/>
      <c r="D8231" s="10"/>
      <c r="E8231" s="10"/>
      <c r="F8231" s="10"/>
      <c r="G8231" s="10"/>
      <c r="H8231" s="10"/>
      <c r="I8231" s="10"/>
      <c r="J8231" s="10"/>
      <c r="K8231" s="10"/>
      <c r="L8231" s="10"/>
    </row>
    <row r="8232" spans="1:12" ht="15" customHeight="1" x14ac:dyDescent="0.25">
      <c r="A8232" s="10"/>
      <c r="B8232" s="10"/>
      <c r="C8232" s="10"/>
      <c r="D8232" s="10"/>
      <c r="E8232" s="10"/>
      <c r="F8232" s="10"/>
      <c r="G8232" s="10"/>
      <c r="H8232" s="10"/>
      <c r="I8232" s="10"/>
      <c r="J8232" s="10"/>
      <c r="K8232" s="10"/>
      <c r="L8232" s="10"/>
    </row>
    <row r="8233" spans="1:12" ht="15" customHeight="1" x14ac:dyDescent="0.25">
      <c r="A8233" s="10"/>
      <c r="B8233" s="10"/>
      <c r="C8233" s="10"/>
      <c r="D8233" s="10"/>
      <c r="E8233" s="10"/>
      <c r="F8233" s="10"/>
      <c r="G8233" s="10"/>
      <c r="H8233" s="10"/>
      <c r="I8233" s="10"/>
      <c r="J8233" s="10"/>
      <c r="K8233" s="10"/>
      <c r="L8233" s="10"/>
    </row>
    <row r="8234" spans="1:12" ht="15" customHeight="1" x14ac:dyDescent="0.25">
      <c r="A8234" s="10"/>
      <c r="B8234" s="10"/>
      <c r="C8234" s="10"/>
      <c r="D8234" s="10"/>
      <c r="E8234" s="10"/>
      <c r="F8234" s="10"/>
      <c r="G8234" s="10"/>
      <c r="H8234" s="10"/>
      <c r="I8234" s="10"/>
      <c r="J8234" s="10"/>
      <c r="K8234" s="10"/>
      <c r="L8234" s="10"/>
    </row>
    <row r="8235" spans="1:12" ht="15" customHeight="1" x14ac:dyDescent="0.25">
      <c r="A8235" s="10"/>
      <c r="B8235" s="10"/>
      <c r="C8235" s="10"/>
      <c r="D8235" s="10"/>
      <c r="E8235" s="10"/>
      <c r="F8235" s="10"/>
      <c r="G8235" s="10"/>
      <c r="H8235" s="10"/>
      <c r="I8235" s="10"/>
      <c r="J8235" s="10"/>
      <c r="K8235" s="10"/>
      <c r="L8235" s="10"/>
    </row>
    <row r="8236" spans="1:12" ht="15" customHeight="1" x14ac:dyDescent="0.25">
      <c r="A8236" s="10"/>
      <c r="B8236" s="10"/>
      <c r="C8236" s="10"/>
      <c r="D8236" s="10"/>
      <c r="E8236" s="10"/>
      <c r="F8236" s="10"/>
      <c r="G8236" s="10"/>
      <c r="H8236" s="10"/>
      <c r="I8236" s="10"/>
      <c r="J8236" s="10"/>
      <c r="K8236" s="10"/>
      <c r="L8236" s="10"/>
    </row>
    <row r="8237" spans="1:12" ht="15" customHeight="1" x14ac:dyDescent="0.25">
      <c r="A8237" s="10"/>
      <c r="B8237" s="10"/>
      <c r="C8237" s="10"/>
      <c r="D8237" s="10"/>
      <c r="E8237" s="10"/>
      <c r="F8237" s="10"/>
      <c r="G8237" s="10"/>
      <c r="H8237" s="10"/>
      <c r="I8237" s="10"/>
      <c r="J8237" s="10"/>
      <c r="K8237" s="10"/>
      <c r="L8237" s="10"/>
    </row>
    <row r="8238" spans="1:12" ht="15" customHeight="1" x14ac:dyDescent="0.25">
      <c r="A8238" s="10"/>
      <c r="B8238" s="10"/>
      <c r="C8238" s="10"/>
      <c r="D8238" s="10"/>
      <c r="E8238" s="10"/>
      <c r="F8238" s="10"/>
      <c r="G8238" s="10"/>
      <c r="H8238" s="10"/>
      <c r="I8238" s="10"/>
      <c r="J8238" s="10"/>
      <c r="K8238" s="10"/>
      <c r="L8238" s="10"/>
    </row>
    <row r="8239" spans="1:12" ht="15" customHeight="1" x14ac:dyDescent="0.25">
      <c r="A8239" s="10"/>
      <c r="B8239" s="10"/>
      <c r="C8239" s="10"/>
      <c r="D8239" s="10"/>
      <c r="E8239" s="10"/>
      <c r="F8239" s="10"/>
      <c r="G8239" s="10"/>
      <c r="H8239" s="10"/>
      <c r="I8239" s="10"/>
      <c r="J8239" s="10"/>
      <c r="K8239" s="10"/>
      <c r="L8239" s="10"/>
    </row>
    <row r="8240" spans="1:12" ht="15" customHeight="1" x14ac:dyDescent="0.25">
      <c r="A8240" s="10"/>
      <c r="B8240" s="10"/>
      <c r="C8240" s="10"/>
      <c r="D8240" s="10"/>
      <c r="E8240" s="10"/>
      <c r="F8240" s="10"/>
      <c r="G8240" s="10"/>
      <c r="H8240" s="10"/>
      <c r="I8240" s="10"/>
      <c r="J8240" s="10"/>
      <c r="K8240" s="10"/>
      <c r="L8240" s="10"/>
    </row>
    <row r="8241" spans="1:12" ht="15" customHeight="1" x14ac:dyDescent="0.25">
      <c r="A8241" s="10"/>
      <c r="B8241" s="10"/>
      <c r="C8241" s="10"/>
      <c r="D8241" s="10"/>
      <c r="E8241" s="10"/>
      <c r="F8241" s="10"/>
      <c r="G8241" s="10"/>
      <c r="H8241" s="10"/>
      <c r="I8241" s="10"/>
      <c r="J8241" s="10"/>
      <c r="K8241" s="10"/>
      <c r="L8241" s="10"/>
    </row>
    <row r="8242" spans="1:12" ht="15" customHeight="1" x14ac:dyDescent="0.25">
      <c r="A8242" s="10"/>
      <c r="B8242" s="10"/>
      <c r="C8242" s="10"/>
      <c r="D8242" s="10"/>
      <c r="E8242" s="10"/>
      <c r="F8242" s="10"/>
      <c r="G8242" s="10"/>
      <c r="H8242" s="10"/>
      <c r="I8242" s="10"/>
      <c r="J8242" s="10"/>
      <c r="K8242" s="10"/>
      <c r="L8242" s="10"/>
    </row>
    <row r="8243" spans="1:12" ht="15" customHeight="1" x14ac:dyDescent="0.25">
      <c r="A8243" s="10"/>
      <c r="B8243" s="10"/>
      <c r="C8243" s="10"/>
      <c r="D8243" s="10"/>
      <c r="E8243" s="10"/>
      <c r="F8243" s="10"/>
      <c r="G8243" s="10"/>
      <c r="H8243" s="10"/>
      <c r="I8243" s="10"/>
      <c r="J8243" s="10"/>
      <c r="K8243" s="10"/>
      <c r="L8243" s="10"/>
    </row>
    <row r="8244" spans="1:12" ht="15" customHeight="1" x14ac:dyDescent="0.25">
      <c r="A8244" s="10"/>
      <c r="B8244" s="10"/>
      <c r="C8244" s="10"/>
      <c r="D8244" s="10"/>
      <c r="E8244" s="10"/>
      <c r="F8244" s="10"/>
      <c r="G8244" s="10"/>
      <c r="H8244" s="10"/>
      <c r="I8244" s="10"/>
      <c r="J8244" s="10"/>
      <c r="K8244" s="10"/>
      <c r="L8244" s="10"/>
    </row>
    <row r="8245" spans="1:12" ht="15" customHeight="1" x14ac:dyDescent="0.25">
      <c r="A8245" s="10"/>
      <c r="B8245" s="10"/>
      <c r="C8245" s="10"/>
      <c r="D8245" s="10"/>
      <c r="E8245" s="10"/>
      <c r="F8245" s="10"/>
      <c r="G8245" s="10"/>
      <c r="H8245" s="10"/>
      <c r="I8245" s="10"/>
      <c r="J8245" s="10"/>
      <c r="K8245" s="10"/>
      <c r="L8245" s="10"/>
    </row>
    <row r="8246" spans="1:12" ht="15" customHeight="1" x14ac:dyDescent="0.25">
      <c r="A8246" s="10"/>
      <c r="B8246" s="10"/>
      <c r="C8246" s="10"/>
      <c r="D8246" s="10"/>
      <c r="E8246" s="10"/>
      <c r="F8246" s="10"/>
      <c r="G8246" s="10"/>
      <c r="H8246" s="10"/>
      <c r="I8246" s="10"/>
      <c r="J8246" s="10"/>
      <c r="K8246" s="10"/>
      <c r="L8246" s="10"/>
    </row>
    <row r="8247" spans="1:12" ht="15" customHeight="1" x14ac:dyDescent="0.25">
      <c r="A8247" s="10"/>
      <c r="B8247" s="10"/>
      <c r="C8247" s="10"/>
      <c r="D8247" s="10"/>
      <c r="E8247" s="10"/>
      <c r="F8247" s="10"/>
      <c r="G8247" s="10"/>
      <c r="H8247" s="10"/>
      <c r="I8247" s="10"/>
      <c r="J8247" s="10"/>
      <c r="K8247" s="10"/>
      <c r="L8247" s="10"/>
    </row>
    <row r="8248" spans="1:12" ht="15" customHeight="1" x14ac:dyDescent="0.25">
      <c r="A8248" s="10"/>
      <c r="B8248" s="10"/>
      <c r="C8248" s="10"/>
      <c r="D8248" s="10"/>
      <c r="E8248" s="10"/>
      <c r="F8248" s="10"/>
      <c r="G8248" s="10"/>
      <c r="H8248" s="10"/>
      <c r="I8248" s="10"/>
      <c r="J8248" s="10"/>
      <c r="K8248" s="10"/>
      <c r="L8248" s="10"/>
    </row>
    <row r="8249" spans="1:12" ht="15" customHeight="1" x14ac:dyDescent="0.25">
      <c r="A8249" s="10"/>
      <c r="B8249" s="10"/>
      <c r="C8249" s="10"/>
      <c r="D8249" s="10"/>
      <c r="E8249" s="10"/>
      <c r="F8249" s="10"/>
      <c r="G8249" s="10"/>
      <c r="H8249" s="10"/>
      <c r="I8249" s="10"/>
      <c r="J8249" s="10"/>
      <c r="K8249" s="10"/>
      <c r="L8249" s="10"/>
    </row>
    <row r="8250" spans="1:12" ht="15" customHeight="1" x14ac:dyDescent="0.25">
      <c r="A8250" s="10"/>
      <c r="B8250" s="10"/>
      <c r="C8250" s="10"/>
      <c r="D8250" s="10"/>
      <c r="E8250" s="10"/>
      <c r="F8250" s="10"/>
      <c r="G8250" s="10"/>
      <c r="H8250" s="10"/>
      <c r="I8250" s="10"/>
      <c r="J8250" s="10"/>
      <c r="K8250" s="10"/>
      <c r="L8250" s="10"/>
    </row>
    <row r="8251" spans="1:12" ht="15" customHeight="1" x14ac:dyDescent="0.25">
      <c r="A8251" s="10"/>
      <c r="B8251" s="10"/>
      <c r="C8251" s="10"/>
      <c r="D8251" s="10"/>
      <c r="E8251" s="10"/>
      <c r="F8251" s="10"/>
      <c r="G8251" s="10"/>
      <c r="H8251" s="10"/>
      <c r="I8251" s="10"/>
      <c r="J8251" s="10"/>
      <c r="K8251" s="10"/>
      <c r="L8251" s="10"/>
    </row>
    <row r="8252" spans="1:12" ht="15" customHeight="1" x14ac:dyDescent="0.25">
      <c r="A8252" s="10"/>
      <c r="B8252" s="10"/>
      <c r="C8252" s="10"/>
      <c r="D8252" s="10"/>
      <c r="E8252" s="10"/>
      <c r="F8252" s="10"/>
      <c r="G8252" s="10"/>
      <c r="H8252" s="10"/>
      <c r="I8252" s="10"/>
      <c r="J8252" s="10"/>
      <c r="K8252" s="10"/>
      <c r="L8252" s="10"/>
    </row>
    <row r="8253" spans="1:12" ht="15" customHeight="1" x14ac:dyDescent="0.25">
      <c r="A8253" s="10"/>
      <c r="B8253" s="10"/>
      <c r="C8253" s="10"/>
      <c r="D8253" s="10"/>
      <c r="E8253" s="10"/>
      <c r="F8253" s="10"/>
      <c r="G8253" s="10"/>
      <c r="H8253" s="10"/>
      <c r="I8253" s="10"/>
      <c r="J8253" s="10"/>
      <c r="K8253" s="10"/>
      <c r="L8253" s="10"/>
    </row>
    <row r="8254" spans="1:12" ht="15" customHeight="1" x14ac:dyDescent="0.25">
      <c r="A8254" s="10"/>
      <c r="B8254" s="10"/>
      <c r="C8254" s="10"/>
      <c r="D8254" s="10"/>
      <c r="E8254" s="10"/>
      <c r="F8254" s="10"/>
      <c r="G8254" s="10"/>
      <c r="H8254" s="10"/>
      <c r="I8254" s="10"/>
      <c r="J8254" s="10"/>
      <c r="K8254" s="10"/>
      <c r="L8254" s="10"/>
    </row>
    <row r="8255" spans="1:12" ht="15" customHeight="1" x14ac:dyDescent="0.25">
      <c r="A8255" s="10"/>
      <c r="B8255" s="10"/>
      <c r="C8255" s="10"/>
      <c r="D8255" s="10"/>
      <c r="E8255" s="10"/>
      <c r="F8255" s="10"/>
      <c r="G8255" s="10"/>
      <c r="H8255" s="10"/>
      <c r="I8255" s="10"/>
      <c r="J8255" s="10"/>
      <c r="K8255" s="10"/>
      <c r="L8255" s="10"/>
    </row>
    <row r="8256" spans="1:12" ht="15" customHeight="1" x14ac:dyDescent="0.25">
      <c r="A8256" s="10"/>
      <c r="B8256" s="10"/>
      <c r="C8256" s="10"/>
      <c r="D8256" s="10"/>
      <c r="E8256" s="10"/>
      <c r="F8256" s="10"/>
      <c r="G8256" s="10"/>
      <c r="H8256" s="10"/>
      <c r="I8256" s="10"/>
      <c r="J8256" s="10"/>
      <c r="K8256" s="10"/>
      <c r="L8256" s="10"/>
    </row>
    <row r="8257" spans="1:12" ht="15" customHeight="1" x14ac:dyDescent="0.25">
      <c r="A8257" s="10"/>
      <c r="B8257" s="10"/>
      <c r="C8257" s="10"/>
      <c r="D8257" s="10"/>
      <c r="E8257" s="10"/>
      <c r="F8257" s="10"/>
      <c r="G8257" s="10"/>
      <c r="H8257" s="10"/>
      <c r="I8257" s="10"/>
      <c r="J8257" s="10"/>
      <c r="K8257" s="10"/>
      <c r="L8257" s="10"/>
    </row>
    <row r="8258" spans="1:12" ht="15" customHeight="1" x14ac:dyDescent="0.25">
      <c r="A8258" s="10"/>
      <c r="B8258" s="10"/>
      <c r="C8258" s="10"/>
      <c r="D8258" s="10"/>
      <c r="E8258" s="10"/>
      <c r="F8258" s="10"/>
      <c r="G8258" s="10"/>
      <c r="H8258" s="10"/>
      <c r="I8258" s="10"/>
      <c r="J8258" s="10"/>
      <c r="K8258" s="10"/>
      <c r="L8258" s="10"/>
    </row>
    <row r="8259" spans="1:12" ht="15" customHeight="1" x14ac:dyDescent="0.25">
      <c r="A8259" s="10"/>
      <c r="B8259" s="10"/>
      <c r="C8259" s="10"/>
      <c r="D8259" s="10"/>
      <c r="E8259" s="10"/>
      <c r="F8259" s="10"/>
      <c r="G8259" s="10"/>
      <c r="H8259" s="10"/>
      <c r="I8259" s="10"/>
      <c r="J8259" s="10"/>
      <c r="K8259" s="10"/>
      <c r="L8259" s="10"/>
    </row>
    <row r="8260" spans="1:12" ht="15" customHeight="1" x14ac:dyDescent="0.25">
      <c r="A8260" s="10"/>
      <c r="B8260" s="10"/>
      <c r="C8260" s="10"/>
      <c r="D8260" s="10"/>
      <c r="E8260" s="10"/>
      <c r="F8260" s="10"/>
      <c r="G8260" s="10"/>
      <c r="H8260" s="10"/>
      <c r="I8260" s="10"/>
      <c r="J8260" s="10"/>
      <c r="K8260" s="10"/>
      <c r="L8260" s="10"/>
    </row>
    <row r="8261" spans="1:12" ht="15" customHeight="1" x14ac:dyDescent="0.25">
      <c r="A8261" s="10"/>
      <c r="B8261" s="10"/>
      <c r="C8261" s="10"/>
      <c r="D8261" s="10"/>
      <c r="E8261" s="10"/>
      <c r="F8261" s="10"/>
      <c r="G8261" s="10"/>
      <c r="H8261" s="10"/>
      <c r="I8261" s="10"/>
      <c r="J8261" s="10"/>
      <c r="K8261" s="10"/>
      <c r="L8261" s="10"/>
    </row>
    <row r="8262" spans="1:12" ht="15" customHeight="1" x14ac:dyDescent="0.25">
      <c r="A8262" s="10"/>
      <c r="B8262" s="10"/>
      <c r="C8262" s="10"/>
      <c r="D8262" s="10"/>
      <c r="E8262" s="10"/>
      <c r="F8262" s="10"/>
      <c r="G8262" s="10"/>
      <c r="H8262" s="10"/>
      <c r="I8262" s="10"/>
      <c r="J8262" s="10"/>
      <c r="K8262" s="10"/>
      <c r="L8262" s="10"/>
    </row>
    <row r="8263" spans="1:12" ht="15" customHeight="1" x14ac:dyDescent="0.25">
      <c r="A8263" s="10"/>
      <c r="B8263" s="10"/>
      <c r="C8263" s="10"/>
      <c r="D8263" s="10"/>
      <c r="E8263" s="10"/>
      <c r="F8263" s="10"/>
      <c r="G8263" s="10"/>
      <c r="H8263" s="10"/>
      <c r="I8263" s="10"/>
      <c r="J8263" s="10"/>
      <c r="K8263" s="10"/>
      <c r="L8263" s="10"/>
    </row>
    <row r="8264" spans="1:12" ht="15" customHeight="1" x14ac:dyDescent="0.25">
      <c r="A8264" s="10"/>
      <c r="B8264" s="10"/>
      <c r="C8264" s="10"/>
      <c r="D8264" s="10"/>
      <c r="E8264" s="10"/>
      <c r="F8264" s="10"/>
      <c r="G8264" s="10"/>
      <c r="H8264" s="10"/>
      <c r="I8264" s="10"/>
      <c r="J8264" s="10"/>
      <c r="K8264" s="10"/>
      <c r="L8264" s="10"/>
    </row>
    <row r="8265" spans="1:12" ht="15" customHeight="1" x14ac:dyDescent="0.25">
      <c r="A8265" s="10"/>
      <c r="B8265" s="10"/>
      <c r="C8265" s="10"/>
      <c r="D8265" s="10"/>
      <c r="E8265" s="10"/>
      <c r="F8265" s="10"/>
      <c r="G8265" s="10"/>
      <c r="H8265" s="10"/>
      <c r="I8265" s="10"/>
      <c r="J8265" s="10"/>
      <c r="K8265" s="10"/>
      <c r="L8265" s="10"/>
    </row>
    <row r="8266" spans="1:12" ht="15" customHeight="1" x14ac:dyDescent="0.25">
      <c r="A8266" s="10"/>
      <c r="B8266" s="10"/>
      <c r="C8266" s="10"/>
      <c r="D8266" s="10"/>
      <c r="E8266" s="10"/>
      <c r="F8266" s="10"/>
      <c r="G8266" s="10"/>
      <c r="H8266" s="10"/>
      <c r="I8266" s="10"/>
      <c r="J8266" s="10"/>
      <c r="K8266" s="10"/>
      <c r="L8266" s="10"/>
    </row>
    <row r="8267" spans="1:12" ht="15" customHeight="1" x14ac:dyDescent="0.25">
      <c r="A8267" s="10"/>
      <c r="B8267" s="10"/>
      <c r="C8267" s="10"/>
      <c r="D8267" s="10"/>
      <c r="E8267" s="10"/>
      <c r="F8267" s="10"/>
      <c r="G8267" s="10"/>
      <c r="H8267" s="10"/>
      <c r="I8267" s="10"/>
      <c r="J8267" s="10"/>
      <c r="K8267" s="10"/>
      <c r="L8267" s="10"/>
    </row>
    <row r="8268" spans="1:12" ht="15" customHeight="1" x14ac:dyDescent="0.25">
      <c r="A8268" s="10"/>
      <c r="B8268" s="10"/>
      <c r="C8268" s="10"/>
      <c r="D8268" s="10"/>
      <c r="E8268" s="10"/>
      <c r="F8268" s="10"/>
      <c r="G8268" s="10"/>
      <c r="H8268" s="10"/>
      <c r="I8268" s="10"/>
      <c r="J8268" s="10"/>
      <c r="K8268" s="10"/>
      <c r="L8268" s="10"/>
    </row>
    <row r="8269" spans="1:12" ht="15" customHeight="1" x14ac:dyDescent="0.25">
      <c r="A8269" s="10"/>
      <c r="B8269" s="10"/>
      <c r="C8269" s="10"/>
      <c r="D8269" s="10"/>
      <c r="E8269" s="10"/>
      <c r="F8269" s="10"/>
      <c r="G8269" s="10"/>
      <c r="H8269" s="10"/>
      <c r="I8269" s="10"/>
      <c r="J8269" s="10"/>
      <c r="K8269" s="10"/>
      <c r="L8269" s="10"/>
    </row>
    <row r="8270" spans="1:12" ht="15" customHeight="1" x14ac:dyDescent="0.25">
      <c r="A8270" s="10"/>
      <c r="B8270" s="10"/>
      <c r="C8270" s="10"/>
      <c r="D8270" s="10"/>
      <c r="E8270" s="10"/>
      <c r="F8270" s="10"/>
      <c r="G8270" s="10"/>
      <c r="H8270" s="10"/>
      <c r="I8270" s="10"/>
      <c r="J8270" s="10"/>
      <c r="K8270" s="10"/>
      <c r="L8270" s="10"/>
    </row>
    <row r="8271" spans="1:12" ht="15" customHeight="1" x14ac:dyDescent="0.25">
      <c r="A8271" s="10"/>
      <c r="B8271" s="10"/>
      <c r="C8271" s="10"/>
      <c r="D8271" s="10"/>
      <c r="E8271" s="10"/>
      <c r="F8271" s="10"/>
      <c r="G8271" s="10"/>
      <c r="H8271" s="10"/>
      <c r="I8271" s="10"/>
      <c r="J8271" s="10"/>
      <c r="K8271" s="10"/>
      <c r="L8271" s="10"/>
    </row>
    <row r="8272" spans="1:12" ht="15" customHeight="1" x14ac:dyDescent="0.25">
      <c r="A8272" s="10"/>
      <c r="B8272" s="10"/>
      <c r="C8272" s="10"/>
      <c r="D8272" s="10"/>
      <c r="E8272" s="10"/>
      <c r="F8272" s="10"/>
      <c r="G8272" s="10"/>
      <c r="H8272" s="10"/>
      <c r="I8272" s="10"/>
      <c r="J8272" s="10"/>
      <c r="K8272" s="10"/>
      <c r="L8272" s="10"/>
    </row>
    <row r="8273" spans="1:12" ht="15" customHeight="1" x14ac:dyDescent="0.25">
      <c r="A8273" s="10"/>
      <c r="B8273" s="10"/>
      <c r="C8273" s="10"/>
      <c r="D8273" s="10"/>
      <c r="E8273" s="10"/>
      <c r="F8273" s="10"/>
      <c r="G8273" s="10"/>
      <c r="H8273" s="10"/>
      <c r="I8273" s="10"/>
      <c r="J8273" s="10"/>
      <c r="K8273" s="10"/>
      <c r="L8273" s="10"/>
    </row>
    <row r="8274" spans="1:12" ht="15" customHeight="1" x14ac:dyDescent="0.25">
      <c r="A8274" s="10"/>
      <c r="B8274" s="10"/>
      <c r="C8274" s="10"/>
      <c r="D8274" s="10"/>
      <c r="E8274" s="10"/>
      <c r="F8274" s="10"/>
      <c r="G8274" s="10"/>
      <c r="H8274" s="10"/>
      <c r="I8274" s="10"/>
      <c r="J8274" s="10"/>
      <c r="K8274" s="10"/>
      <c r="L8274" s="10"/>
    </row>
    <row r="8275" spans="1:12" ht="15" customHeight="1" x14ac:dyDescent="0.25">
      <c r="A8275" s="10"/>
      <c r="B8275" s="10"/>
      <c r="C8275" s="10"/>
      <c r="D8275" s="10"/>
      <c r="E8275" s="10"/>
      <c r="F8275" s="10"/>
      <c r="G8275" s="10"/>
      <c r="H8275" s="10"/>
      <c r="I8275" s="10"/>
      <c r="J8275" s="10"/>
      <c r="K8275" s="10"/>
      <c r="L8275" s="10"/>
    </row>
    <row r="8276" spans="1:12" ht="15" customHeight="1" x14ac:dyDescent="0.25">
      <c r="A8276" s="10"/>
      <c r="B8276" s="10"/>
      <c r="C8276" s="10"/>
      <c r="D8276" s="10"/>
      <c r="E8276" s="10"/>
      <c r="F8276" s="10"/>
      <c r="G8276" s="10"/>
      <c r="H8276" s="10"/>
      <c r="I8276" s="10"/>
      <c r="J8276" s="10"/>
      <c r="K8276" s="10"/>
      <c r="L8276" s="10"/>
    </row>
    <row r="8277" spans="1:12" ht="15" customHeight="1" x14ac:dyDescent="0.25">
      <c r="A8277" s="10"/>
      <c r="B8277" s="10"/>
      <c r="C8277" s="10"/>
      <c r="D8277" s="10"/>
      <c r="E8277" s="10"/>
      <c r="F8277" s="10"/>
      <c r="G8277" s="10"/>
      <c r="H8277" s="10"/>
      <c r="I8277" s="10"/>
      <c r="J8277" s="10"/>
      <c r="K8277" s="10"/>
      <c r="L8277" s="10"/>
    </row>
    <row r="8278" spans="1:12" ht="15" customHeight="1" x14ac:dyDescent="0.25">
      <c r="A8278" s="10"/>
      <c r="B8278" s="10"/>
      <c r="C8278" s="10"/>
      <c r="D8278" s="10"/>
      <c r="E8278" s="10"/>
      <c r="F8278" s="10"/>
      <c r="G8278" s="10"/>
      <c r="H8278" s="10"/>
      <c r="I8278" s="10"/>
      <c r="J8278" s="10"/>
      <c r="K8278" s="10"/>
      <c r="L8278" s="10"/>
    </row>
    <row r="8279" spans="1:12" ht="15" customHeight="1" x14ac:dyDescent="0.25">
      <c r="A8279" s="10"/>
      <c r="B8279" s="10"/>
      <c r="C8279" s="10"/>
      <c r="D8279" s="10"/>
      <c r="E8279" s="10"/>
      <c r="F8279" s="10"/>
      <c r="G8279" s="10"/>
      <c r="H8279" s="10"/>
      <c r="I8279" s="10"/>
      <c r="J8279" s="10"/>
      <c r="K8279" s="10"/>
      <c r="L8279" s="10"/>
    </row>
    <row r="8280" spans="1:12" ht="15" customHeight="1" x14ac:dyDescent="0.25">
      <c r="A8280" s="10"/>
      <c r="B8280" s="10"/>
      <c r="C8280" s="10"/>
      <c r="D8280" s="10"/>
      <c r="E8280" s="10"/>
      <c r="F8280" s="10"/>
      <c r="G8280" s="10"/>
      <c r="H8280" s="10"/>
      <c r="I8280" s="10"/>
      <c r="J8280" s="10"/>
      <c r="K8280" s="10"/>
      <c r="L8280" s="10"/>
    </row>
    <row r="8281" spans="1:12" ht="15" customHeight="1" x14ac:dyDescent="0.25">
      <c r="A8281" s="10"/>
      <c r="B8281" s="10"/>
      <c r="C8281" s="10"/>
      <c r="D8281" s="10"/>
      <c r="E8281" s="10"/>
      <c r="F8281" s="10"/>
      <c r="G8281" s="10"/>
      <c r="H8281" s="10"/>
      <c r="I8281" s="10"/>
      <c r="J8281" s="10"/>
      <c r="K8281" s="10"/>
      <c r="L8281" s="10"/>
    </row>
    <row r="8282" spans="1:12" ht="15" customHeight="1" x14ac:dyDescent="0.25">
      <c r="A8282" s="10"/>
      <c r="B8282" s="10"/>
      <c r="C8282" s="10"/>
      <c r="D8282" s="10"/>
      <c r="E8282" s="10"/>
      <c r="F8282" s="10"/>
      <c r="G8282" s="10"/>
      <c r="H8282" s="10"/>
      <c r="I8282" s="10"/>
      <c r="J8282" s="10"/>
      <c r="K8282" s="10"/>
      <c r="L8282" s="10"/>
    </row>
    <row r="8283" spans="1:12" ht="15" customHeight="1" x14ac:dyDescent="0.25">
      <c r="A8283" s="10"/>
      <c r="B8283" s="10"/>
      <c r="C8283" s="10"/>
      <c r="D8283" s="10"/>
      <c r="E8283" s="10"/>
      <c r="F8283" s="10"/>
      <c r="G8283" s="10"/>
      <c r="H8283" s="10"/>
      <c r="I8283" s="10"/>
      <c r="J8283" s="10"/>
      <c r="K8283" s="10"/>
      <c r="L8283" s="10"/>
    </row>
    <row r="8284" spans="1:12" ht="15" customHeight="1" x14ac:dyDescent="0.25">
      <c r="A8284" s="10"/>
      <c r="B8284" s="10"/>
      <c r="C8284" s="10"/>
      <c r="D8284" s="10"/>
      <c r="E8284" s="10"/>
      <c r="F8284" s="10"/>
      <c r="G8284" s="10"/>
      <c r="H8284" s="10"/>
      <c r="I8284" s="10"/>
      <c r="J8284" s="10"/>
      <c r="K8284" s="10"/>
      <c r="L8284" s="10"/>
    </row>
    <row r="8285" spans="1:12" ht="15" customHeight="1" x14ac:dyDescent="0.25">
      <c r="A8285" s="10"/>
      <c r="B8285" s="10"/>
      <c r="C8285" s="10"/>
      <c r="D8285" s="10"/>
      <c r="E8285" s="10"/>
      <c r="F8285" s="10"/>
      <c r="G8285" s="10"/>
      <c r="H8285" s="10"/>
      <c r="I8285" s="10"/>
      <c r="J8285" s="10"/>
      <c r="K8285" s="10"/>
      <c r="L8285" s="10"/>
    </row>
    <row r="8286" spans="1:12" ht="15" customHeight="1" x14ac:dyDescent="0.25">
      <c r="A8286" s="10"/>
      <c r="B8286" s="10"/>
      <c r="C8286" s="10"/>
      <c r="D8286" s="10"/>
      <c r="E8286" s="10"/>
      <c r="F8286" s="10"/>
      <c r="G8286" s="10"/>
      <c r="H8286" s="10"/>
      <c r="I8286" s="10"/>
      <c r="J8286" s="10"/>
      <c r="K8286" s="10"/>
      <c r="L8286" s="10"/>
    </row>
    <row r="8287" spans="1:12" ht="15" customHeight="1" x14ac:dyDescent="0.25">
      <c r="A8287" s="10"/>
      <c r="B8287" s="10"/>
      <c r="C8287" s="10"/>
      <c r="D8287" s="10"/>
      <c r="E8287" s="10"/>
      <c r="F8287" s="10"/>
      <c r="G8287" s="10"/>
      <c r="H8287" s="10"/>
      <c r="I8287" s="10"/>
      <c r="J8287" s="10"/>
      <c r="K8287" s="10"/>
      <c r="L8287" s="10"/>
    </row>
    <row r="8288" spans="1:12" ht="15" customHeight="1" x14ac:dyDescent="0.25">
      <c r="A8288" s="10"/>
      <c r="B8288" s="10"/>
      <c r="C8288" s="10"/>
      <c r="D8288" s="10"/>
      <c r="E8288" s="10"/>
      <c r="F8288" s="10"/>
      <c r="G8288" s="10"/>
      <c r="H8288" s="10"/>
      <c r="I8288" s="10"/>
      <c r="J8288" s="10"/>
      <c r="K8288" s="10"/>
      <c r="L8288" s="10"/>
    </row>
    <row r="8289" spans="1:12" ht="15" customHeight="1" x14ac:dyDescent="0.25">
      <c r="A8289" s="10"/>
      <c r="B8289" s="10"/>
      <c r="C8289" s="10"/>
      <c r="D8289" s="10"/>
      <c r="E8289" s="10"/>
      <c r="F8289" s="10"/>
      <c r="G8289" s="10"/>
      <c r="H8289" s="10"/>
      <c r="I8289" s="10"/>
      <c r="J8289" s="10"/>
      <c r="K8289" s="10"/>
      <c r="L8289" s="10"/>
    </row>
    <row r="8290" spans="1:12" ht="15" customHeight="1" x14ac:dyDescent="0.25">
      <c r="A8290" s="10"/>
      <c r="B8290" s="10"/>
      <c r="C8290" s="10"/>
      <c r="D8290" s="10"/>
      <c r="E8290" s="10"/>
      <c r="F8290" s="10"/>
      <c r="G8290" s="10"/>
      <c r="H8290" s="10"/>
      <c r="I8290" s="10"/>
      <c r="J8290" s="10"/>
      <c r="K8290" s="10"/>
      <c r="L8290" s="10"/>
    </row>
    <row r="8291" spans="1:12" ht="15" customHeight="1" x14ac:dyDescent="0.25">
      <c r="A8291" s="10"/>
      <c r="B8291" s="10"/>
      <c r="C8291" s="10"/>
      <c r="D8291" s="10"/>
      <c r="E8291" s="10"/>
      <c r="F8291" s="10"/>
      <c r="G8291" s="10"/>
      <c r="H8291" s="10"/>
      <c r="I8291" s="10"/>
      <c r="J8291" s="10"/>
      <c r="K8291" s="10"/>
      <c r="L8291" s="10"/>
    </row>
    <row r="8292" spans="1:12" ht="15" customHeight="1" x14ac:dyDescent="0.25">
      <c r="A8292" s="10"/>
      <c r="B8292" s="10"/>
      <c r="C8292" s="10"/>
      <c r="D8292" s="10"/>
      <c r="E8292" s="10"/>
      <c r="F8292" s="10"/>
      <c r="G8292" s="10"/>
      <c r="H8292" s="10"/>
      <c r="I8292" s="10"/>
      <c r="J8292" s="10"/>
      <c r="K8292" s="10"/>
      <c r="L8292" s="10"/>
    </row>
    <row r="8293" spans="1:12" ht="15" customHeight="1" x14ac:dyDescent="0.25">
      <c r="A8293" s="10"/>
      <c r="B8293" s="10"/>
      <c r="C8293" s="10"/>
      <c r="D8293" s="10"/>
      <c r="E8293" s="10"/>
      <c r="F8293" s="10"/>
      <c r="G8293" s="10"/>
      <c r="H8293" s="10"/>
      <c r="I8293" s="10"/>
      <c r="J8293" s="10"/>
      <c r="K8293" s="10"/>
      <c r="L8293" s="10"/>
    </row>
    <row r="8294" spans="1:12" ht="15" customHeight="1" x14ac:dyDescent="0.25">
      <c r="A8294" s="10"/>
      <c r="B8294" s="10"/>
      <c r="C8294" s="10"/>
      <c r="D8294" s="10"/>
      <c r="E8294" s="10"/>
      <c r="F8294" s="10"/>
      <c r="G8294" s="10"/>
      <c r="H8294" s="10"/>
      <c r="I8294" s="10"/>
      <c r="J8294" s="10"/>
      <c r="K8294" s="10"/>
      <c r="L8294" s="10"/>
    </row>
    <row r="8295" spans="1:12" ht="15" customHeight="1" x14ac:dyDescent="0.25">
      <c r="A8295" s="10"/>
      <c r="B8295" s="10"/>
      <c r="C8295" s="10"/>
      <c r="D8295" s="10"/>
      <c r="E8295" s="10"/>
      <c r="F8295" s="10"/>
      <c r="G8295" s="10"/>
      <c r="H8295" s="10"/>
      <c r="I8295" s="10"/>
      <c r="J8295" s="10"/>
      <c r="K8295" s="10"/>
      <c r="L8295" s="10"/>
    </row>
    <row r="8296" spans="1:12" ht="15" customHeight="1" x14ac:dyDescent="0.25">
      <c r="A8296" s="10"/>
      <c r="B8296" s="10"/>
      <c r="C8296" s="10"/>
      <c r="D8296" s="10"/>
      <c r="E8296" s="10"/>
      <c r="F8296" s="10"/>
      <c r="G8296" s="10"/>
      <c r="H8296" s="10"/>
      <c r="I8296" s="10"/>
      <c r="J8296" s="10"/>
      <c r="K8296" s="10"/>
      <c r="L8296" s="10"/>
    </row>
    <row r="8297" spans="1:12" ht="15" customHeight="1" x14ac:dyDescent="0.25">
      <c r="A8297" s="10"/>
      <c r="B8297" s="10"/>
      <c r="C8297" s="10"/>
      <c r="D8297" s="10"/>
      <c r="E8297" s="10"/>
      <c r="F8297" s="10"/>
      <c r="G8297" s="10"/>
      <c r="H8297" s="10"/>
      <c r="I8297" s="10"/>
      <c r="J8297" s="10"/>
      <c r="K8297" s="10"/>
      <c r="L8297" s="10"/>
    </row>
    <row r="8298" spans="1:12" ht="15" customHeight="1" x14ac:dyDescent="0.25">
      <c r="A8298" s="10"/>
      <c r="B8298" s="10"/>
      <c r="C8298" s="10"/>
      <c r="D8298" s="10"/>
      <c r="E8298" s="10"/>
      <c r="F8298" s="10"/>
      <c r="G8298" s="10"/>
      <c r="H8298" s="10"/>
      <c r="I8298" s="10"/>
      <c r="J8298" s="10"/>
      <c r="K8298" s="10"/>
      <c r="L8298" s="10"/>
    </row>
    <row r="8299" spans="1:12" ht="15" customHeight="1" x14ac:dyDescent="0.25">
      <c r="A8299" s="10"/>
      <c r="B8299" s="10"/>
      <c r="C8299" s="10"/>
      <c r="D8299" s="10"/>
      <c r="E8299" s="10"/>
      <c r="F8299" s="10"/>
      <c r="G8299" s="10"/>
      <c r="H8299" s="10"/>
      <c r="I8299" s="10"/>
      <c r="J8299" s="10"/>
      <c r="K8299" s="10"/>
      <c r="L8299" s="10"/>
    </row>
    <row r="8300" spans="1:12" ht="15" customHeight="1" x14ac:dyDescent="0.25">
      <c r="A8300" s="10"/>
      <c r="B8300" s="10"/>
      <c r="C8300" s="10"/>
      <c r="D8300" s="10"/>
      <c r="E8300" s="10"/>
      <c r="F8300" s="10"/>
      <c r="G8300" s="10"/>
      <c r="H8300" s="10"/>
      <c r="I8300" s="10"/>
      <c r="J8300" s="10"/>
      <c r="K8300" s="10"/>
      <c r="L8300" s="10"/>
    </row>
    <row r="8301" spans="1:12" ht="15" customHeight="1" x14ac:dyDescent="0.25">
      <c r="A8301" s="10"/>
      <c r="B8301" s="10"/>
      <c r="C8301" s="10"/>
      <c r="D8301" s="10"/>
      <c r="E8301" s="10"/>
      <c r="F8301" s="10"/>
      <c r="G8301" s="10"/>
      <c r="H8301" s="10"/>
      <c r="I8301" s="10"/>
      <c r="J8301" s="10"/>
      <c r="K8301" s="10"/>
      <c r="L8301" s="10"/>
    </row>
    <row r="8302" spans="1:12" ht="15" customHeight="1" x14ac:dyDescent="0.25">
      <c r="A8302" s="10"/>
      <c r="B8302" s="10"/>
      <c r="C8302" s="10"/>
      <c r="D8302" s="10"/>
      <c r="E8302" s="10"/>
      <c r="F8302" s="10"/>
      <c r="G8302" s="10"/>
      <c r="H8302" s="10"/>
      <c r="I8302" s="10"/>
      <c r="J8302" s="10"/>
      <c r="K8302" s="10"/>
      <c r="L8302" s="10"/>
    </row>
    <row r="8303" spans="1:12" ht="15" customHeight="1" x14ac:dyDescent="0.25">
      <c r="A8303" s="10"/>
      <c r="B8303" s="10"/>
      <c r="C8303" s="10"/>
      <c r="D8303" s="10"/>
      <c r="E8303" s="10"/>
      <c r="F8303" s="10"/>
      <c r="G8303" s="10"/>
      <c r="H8303" s="10"/>
      <c r="I8303" s="10"/>
      <c r="J8303" s="10"/>
      <c r="K8303" s="10"/>
      <c r="L8303" s="10"/>
    </row>
    <row r="8304" spans="1:12" ht="15" customHeight="1" x14ac:dyDescent="0.25">
      <c r="A8304" s="10"/>
      <c r="B8304" s="10"/>
      <c r="C8304" s="10"/>
      <c r="D8304" s="10"/>
      <c r="E8304" s="10"/>
      <c r="F8304" s="10"/>
      <c r="G8304" s="10"/>
      <c r="H8304" s="10"/>
      <c r="I8304" s="10"/>
      <c r="J8304" s="10"/>
      <c r="K8304" s="10"/>
      <c r="L8304" s="10"/>
    </row>
    <row r="8305" spans="1:12" ht="15" customHeight="1" x14ac:dyDescent="0.25">
      <c r="A8305" s="10"/>
      <c r="B8305" s="10"/>
      <c r="C8305" s="10"/>
      <c r="D8305" s="10"/>
      <c r="E8305" s="10"/>
      <c r="F8305" s="10"/>
      <c r="G8305" s="10"/>
      <c r="H8305" s="10"/>
      <c r="I8305" s="10"/>
      <c r="J8305" s="10"/>
      <c r="K8305" s="10"/>
      <c r="L8305" s="10"/>
    </row>
    <row r="8306" spans="1:12" ht="15" customHeight="1" x14ac:dyDescent="0.25">
      <c r="A8306" s="10"/>
      <c r="B8306" s="10"/>
      <c r="C8306" s="10"/>
      <c r="D8306" s="10"/>
      <c r="E8306" s="10"/>
      <c r="F8306" s="10"/>
      <c r="G8306" s="10"/>
      <c r="H8306" s="10"/>
      <c r="I8306" s="10"/>
      <c r="J8306" s="10"/>
      <c r="K8306" s="10"/>
      <c r="L8306" s="10"/>
    </row>
    <row r="8307" spans="1:12" ht="15" customHeight="1" x14ac:dyDescent="0.25">
      <c r="A8307" s="10"/>
      <c r="B8307" s="10"/>
      <c r="C8307" s="10"/>
      <c r="D8307" s="10"/>
      <c r="E8307" s="10"/>
      <c r="F8307" s="10"/>
      <c r="G8307" s="10"/>
      <c r="H8307" s="10"/>
      <c r="I8307" s="10"/>
      <c r="J8307" s="10"/>
      <c r="K8307" s="10"/>
      <c r="L8307" s="10"/>
    </row>
    <row r="8308" spans="1:12" ht="15" customHeight="1" x14ac:dyDescent="0.25">
      <c r="A8308" s="10"/>
      <c r="B8308" s="10"/>
      <c r="C8308" s="10"/>
      <c r="D8308" s="10"/>
      <c r="E8308" s="10"/>
      <c r="F8308" s="10"/>
      <c r="G8308" s="10"/>
      <c r="H8308" s="10"/>
      <c r="I8308" s="10"/>
      <c r="J8308" s="10"/>
      <c r="K8308" s="10"/>
      <c r="L8308" s="10"/>
    </row>
    <row r="8309" spans="1:12" ht="15" customHeight="1" x14ac:dyDescent="0.25">
      <c r="A8309" s="10"/>
      <c r="B8309" s="10"/>
      <c r="C8309" s="10"/>
      <c r="D8309" s="10"/>
      <c r="E8309" s="10"/>
      <c r="F8309" s="10"/>
      <c r="G8309" s="10"/>
      <c r="H8309" s="10"/>
      <c r="I8309" s="10"/>
      <c r="J8309" s="10"/>
      <c r="K8309" s="10"/>
      <c r="L8309" s="10"/>
    </row>
    <row r="8310" spans="1:12" ht="15" customHeight="1" x14ac:dyDescent="0.25">
      <c r="A8310" s="10"/>
      <c r="B8310" s="10"/>
      <c r="C8310" s="10"/>
      <c r="D8310" s="10"/>
      <c r="E8310" s="10"/>
      <c r="F8310" s="10"/>
      <c r="G8310" s="10"/>
      <c r="H8310" s="10"/>
      <c r="I8310" s="10"/>
      <c r="J8310" s="10"/>
      <c r="K8310" s="10"/>
      <c r="L8310" s="10"/>
    </row>
    <row r="8311" spans="1:12" ht="15" customHeight="1" x14ac:dyDescent="0.25">
      <c r="A8311" s="10"/>
      <c r="B8311" s="10"/>
      <c r="C8311" s="10"/>
      <c r="D8311" s="10"/>
      <c r="E8311" s="10"/>
      <c r="F8311" s="10"/>
      <c r="G8311" s="10"/>
      <c r="H8311" s="10"/>
      <c r="I8311" s="10"/>
      <c r="J8311" s="10"/>
      <c r="K8311" s="10"/>
      <c r="L8311" s="10"/>
    </row>
    <row r="8312" spans="1:12" ht="15" customHeight="1" x14ac:dyDescent="0.25">
      <c r="A8312" s="10"/>
      <c r="B8312" s="10"/>
      <c r="C8312" s="10"/>
      <c r="D8312" s="10"/>
      <c r="E8312" s="10"/>
      <c r="F8312" s="10"/>
      <c r="G8312" s="10"/>
      <c r="H8312" s="10"/>
      <c r="I8312" s="10"/>
      <c r="J8312" s="10"/>
      <c r="K8312" s="10"/>
      <c r="L8312" s="10"/>
    </row>
    <row r="8313" spans="1:12" ht="15" customHeight="1" x14ac:dyDescent="0.25">
      <c r="A8313" s="10"/>
      <c r="B8313" s="10"/>
      <c r="C8313" s="10"/>
      <c r="D8313" s="10"/>
      <c r="E8313" s="10"/>
      <c r="F8313" s="10"/>
      <c r="G8313" s="10"/>
      <c r="H8313" s="10"/>
      <c r="I8313" s="10"/>
      <c r="J8313" s="10"/>
      <c r="K8313" s="10"/>
      <c r="L8313" s="10"/>
    </row>
    <row r="8314" spans="1:12" ht="15" customHeight="1" x14ac:dyDescent="0.25">
      <c r="A8314" s="10"/>
      <c r="B8314" s="10"/>
      <c r="C8314" s="10"/>
      <c r="D8314" s="10"/>
      <c r="E8314" s="10"/>
      <c r="F8314" s="10"/>
      <c r="G8314" s="10"/>
      <c r="H8314" s="10"/>
      <c r="I8314" s="10"/>
      <c r="J8314" s="10"/>
      <c r="K8314" s="10"/>
      <c r="L8314" s="10"/>
    </row>
    <row r="8315" spans="1:12" ht="15" customHeight="1" x14ac:dyDescent="0.25">
      <c r="A8315" s="10"/>
      <c r="B8315" s="10"/>
      <c r="C8315" s="10"/>
      <c r="D8315" s="10"/>
      <c r="E8315" s="10"/>
      <c r="F8315" s="10"/>
      <c r="G8315" s="10"/>
      <c r="H8315" s="10"/>
      <c r="I8315" s="10"/>
      <c r="J8315" s="10"/>
      <c r="K8315" s="10"/>
      <c r="L8315" s="10"/>
    </row>
    <row r="8316" spans="1:12" ht="15" customHeight="1" x14ac:dyDescent="0.25">
      <c r="A8316" s="10"/>
      <c r="B8316" s="10"/>
      <c r="C8316" s="10"/>
      <c r="D8316" s="10"/>
      <c r="E8316" s="10"/>
      <c r="F8316" s="10"/>
      <c r="G8316" s="10"/>
      <c r="H8316" s="10"/>
      <c r="I8316" s="10"/>
      <c r="J8316" s="10"/>
      <c r="K8316" s="10"/>
      <c r="L8316" s="10"/>
    </row>
    <row r="8317" spans="1:12" ht="15" customHeight="1" x14ac:dyDescent="0.25">
      <c r="A8317" s="10"/>
      <c r="B8317" s="10"/>
      <c r="C8317" s="10"/>
      <c r="D8317" s="10"/>
      <c r="E8317" s="10"/>
      <c r="F8317" s="10"/>
      <c r="G8317" s="10"/>
      <c r="H8317" s="10"/>
      <c r="I8317" s="10"/>
      <c r="J8317" s="10"/>
      <c r="K8317" s="10"/>
      <c r="L8317" s="10"/>
    </row>
    <row r="8318" spans="1:12" ht="15" customHeight="1" x14ac:dyDescent="0.25">
      <c r="A8318" s="10"/>
      <c r="B8318" s="10"/>
      <c r="C8318" s="10"/>
      <c r="D8318" s="10"/>
      <c r="E8318" s="10"/>
      <c r="F8318" s="10"/>
      <c r="G8318" s="10"/>
      <c r="H8318" s="10"/>
      <c r="I8318" s="10"/>
      <c r="J8318" s="10"/>
      <c r="K8318" s="10"/>
      <c r="L8318" s="10"/>
    </row>
    <row r="8319" spans="1:12" ht="15" customHeight="1" x14ac:dyDescent="0.25">
      <c r="A8319" s="10"/>
      <c r="B8319" s="10"/>
      <c r="C8319" s="10"/>
      <c r="D8319" s="10"/>
      <c r="E8319" s="10"/>
      <c r="F8319" s="10"/>
      <c r="G8319" s="10"/>
      <c r="H8319" s="10"/>
      <c r="I8319" s="10"/>
      <c r="J8319" s="10"/>
      <c r="K8319" s="10"/>
      <c r="L8319" s="10"/>
    </row>
    <row r="8320" spans="1:12" ht="15" customHeight="1" x14ac:dyDescent="0.25">
      <c r="A8320" s="10"/>
      <c r="B8320" s="10"/>
      <c r="C8320" s="10"/>
      <c r="D8320" s="10"/>
      <c r="E8320" s="10"/>
      <c r="F8320" s="10"/>
      <c r="G8320" s="10"/>
      <c r="H8320" s="10"/>
      <c r="I8320" s="10"/>
      <c r="J8320" s="10"/>
      <c r="K8320" s="10"/>
      <c r="L8320" s="10"/>
    </row>
    <row r="8321" spans="1:12" ht="15" customHeight="1" x14ac:dyDescent="0.25">
      <c r="A8321" s="10"/>
      <c r="B8321" s="10"/>
      <c r="C8321" s="10"/>
      <c r="D8321" s="10"/>
      <c r="E8321" s="10"/>
      <c r="F8321" s="10"/>
      <c r="G8321" s="10"/>
      <c r="H8321" s="10"/>
      <c r="I8321" s="10"/>
      <c r="J8321" s="10"/>
      <c r="K8321" s="10"/>
      <c r="L8321" s="10"/>
    </row>
    <row r="8322" spans="1:12" ht="15" customHeight="1" x14ac:dyDescent="0.25">
      <c r="A8322" s="10"/>
      <c r="B8322" s="10"/>
      <c r="C8322" s="10"/>
      <c r="D8322" s="10"/>
      <c r="E8322" s="10"/>
      <c r="F8322" s="10"/>
      <c r="G8322" s="10"/>
      <c r="H8322" s="10"/>
      <c r="I8322" s="10"/>
      <c r="J8322" s="10"/>
      <c r="K8322" s="10"/>
      <c r="L8322" s="10"/>
    </row>
    <row r="8323" spans="1:12" ht="15" customHeight="1" x14ac:dyDescent="0.25">
      <c r="A8323" s="10"/>
      <c r="B8323" s="10"/>
      <c r="C8323" s="10"/>
      <c r="D8323" s="10"/>
      <c r="E8323" s="10"/>
      <c r="F8323" s="10"/>
      <c r="G8323" s="10"/>
      <c r="H8323" s="10"/>
      <c r="I8323" s="10"/>
      <c r="J8323" s="10"/>
      <c r="K8323" s="10"/>
      <c r="L8323" s="10"/>
    </row>
    <row r="8324" spans="1:12" ht="15" customHeight="1" x14ac:dyDescent="0.25">
      <c r="A8324" s="10"/>
      <c r="B8324" s="10"/>
      <c r="C8324" s="10"/>
      <c r="D8324" s="10"/>
      <c r="E8324" s="10"/>
      <c r="F8324" s="10"/>
      <c r="G8324" s="10"/>
      <c r="H8324" s="10"/>
      <c r="I8324" s="10"/>
      <c r="J8324" s="10"/>
      <c r="K8324" s="10"/>
      <c r="L8324" s="10"/>
    </row>
    <row r="8325" spans="1:12" ht="15" customHeight="1" x14ac:dyDescent="0.25">
      <c r="A8325" s="10"/>
      <c r="B8325" s="10"/>
      <c r="C8325" s="10"/>
      <c r="D8325" s="10"/>
      <c r="E8325" s="10"/>
      <c r="F8325" s="10"/>
      <c r="G8325" s="10"/>
      <c r="H8325" s="10"/>
      <c r="I8325" s="10"/>
      <c r="J8325" s="10"/>
      <c r="K8325" s="10"/>
      <c r="L8325" s="10"/>
    </row>
    <row r="8326" spans="1:12" ht="15" customHeight="1" x14ac:dyDescent="0.25">
      <c r="A8326" s="10"/>
      <c r="B8326" s="10"/>
      <c r="C8326" s="10"/>
      <c r="D8326" s="10"/>
      <c r="E8326" s="10"/>
      <c r="F8326" s="10"/>
      <c r="G8326" s="10"/>
      <c r="H8326" s="10"/>
      <c r="I8326" s="10"/>
      <c r="J8326" s="10"/>
      <c r="K8326" s="10"/>
      <c r="L8326" s="10"/>
    </row>
    <row r="8327" spans="1:12" ht="15" customHeight="1" x14ac:dyDescent="0.25">
      <c r="A8327" s="10"/>
      <c r="B8327" s="10"/>
      <c r="C8327" s="10"/>
      <c r="D8327" s="10"/>
      <c r="E8327" s="10"/>
      <c r="F8327" s="10"/>
      <c r="G8327" s="10"/>
      <c r="H8327" s="10"/>
      <c r="I8327" s="10"/>
      <c r="J8327" s="10"/>
      <c r="K8327" s="10"/>
      <c r="L8327" s="10"/>
    </row>
    <row r="8328" spans="1:12" ht="15" customHeight="1" x14ac:dyDescent="0.25">
      <c r="A8328" s="10"/>
      <c r="B8328" s="10"/>
      <c r="C8328" s="10"/>
      <c r="D8328" s="10"/>
      <c r="E8328" s="10"/>
      <c r="F8328" s="10"/>
      <c r="G8328" s="10"/>
      <c r="H8328" s="10"/>
      <c r="I8328" s="10"/>
      <c r="J8328" s="10"/>
      <c r="K8328" s="10"/>
      <c r="L8328" s="10"/>
    </row>
    <row r="8329" spans="1:12" ht="15" customHeight="1" x14ac:dyDescent="0.25">
      <c r="A8329" s="10"/>
      <c r="B8329" s="10"/>
      <c r="C8329" s="10"/>
      <c r="D8329" s="10"/>
      <c r="E8329" s="10"/>
      <c r="F8329" s="10"/>
      <c r="G8329" s="10"/>
      <c r="H8329" s="10"/>
      <c r="I8329" s="10"/>
      <c r="J8329" s="10"/>
      <c r="K8329" s="10"/>
      <c r="L8329" s="10"/>
    </row>
    <row r="8330" spans="1:12" ht="15" customHeight="1" x14ac:dyDescent="0.25">
      <c r="A8330" s="10"/>
      <c r="B8330" s="10"/>
      <c r="C8330" s="10"/>
      <c r="D8330" s="10"/>
      <c r="E8330" s="10"/>
      <c r="F8330" s="10"/>
      <c r="G8330" s="10"/>
      <c r="H8330" s="10"/>
      <c r="I8330" s="10"/>
      <c r="J8330" s="10"/>
      <c r="K8330" s="10"/>
      <c r="L8330" s="10"/>
    </row>
    <row r="8331" spans="1:12" ht="15" customHeight="1" x14ac:dyDescent="0.25">
      <c r="A8331" s="10"/>
      <c r="B8331" s="10"/>
      <c r="C8331" s="10"/>
      <c r="D8331" s="10"/>
      <c r="E8331" s="10"/>
      <c r="F8331" s="10"/>
      <c r="G8331" s="10"/>
      <c r="H8331" s="10"/>
      <c r="I8331" s="10"/>
      <c r="J8331" s="10"/>
      <c r="K8331" s="10"/>
      <c r="L8331" s="10"/>
    </row>
    <row r="8332" spans="1:12" ht="15" customHeight="1" x14ac:dyDescent="0.25">
      <c r="A8332" s="10"/>
      <c r="B8332" s="10"/>
      <c r="C8332" s="10"/>
      <c r="D8332" s="10"/>
      <c r="E8332" s="10"/>
      <c r="F8332" s="10"/>
      <c r="G8332" s="10"/>
      <c r="H8332" s="10"/>
      <c r="I8332" s="10"/>
      <c r="J8332" s="10"/>
      <c r="K8332" s="10"/>
      <c r="L8332" s="10"/>
    </row>
    <row r="8333" spans="1:12" ht="15" customHeight="1" x14ac:dyDescent="0.25">
      <c r="A8333" s="10"/>
      <c r="B8333" s="10"/>
      <c r="C8333" s="10"/>
      <c r="D8333" s="10"/>
      <c r="E8333" s="10"/>
      <c r="F8333" s="10"/>
      <c r="G8333" s="10"/>
      <c r="H8333" s="10"/>
      <c r="I8333" s="10"/>
      <c r="J8333" s="10"/>
      <c r="K8333" s="10"/>
      <c r="L8333" s="10"/>
    </row>
    <row r="8334" spans="1:12" ht="15" customHeight="1" x14ac:dyDescent="0.25">
      <c r="A8334" s="10"/>
      <c r="B8334" s="10"/>
      <c r="C8334" s="10"/>
      <c r="D8334" s="10"/>
      <c r="E8334" s="10"/>
      <c r="F8334" s="10"/>
      <c r="G8334" s="10"/>
      <c r="H8334" s="10"/>
      <c r="I8334" s="10"/>
      <c r="J8334" s="10"/>
      <c r="K8334" s="10"/>
      <c r="L8334" s="10"/>
    </row>
    <row r="8335" spans="1:12" ht="15" customHeight="1" x14ac:dyDescent="0.25">
      <c r="A8335" s="10"/>
      <c r="B8335" s="10"/>
      <c r="C8335" s="10"/>
      <c r="D8335" s="10"/>
      <c r="E8335" s="10"/>
      <c r="F8335" s="10"/>
      <c r="G8335" s="10"/>
      <c r="H8335" s="10"/>
      <c r="I8335" s="10"/>
      <c r="J8335" s="10"/>
      <c r="K8335" s="10"/>
      <c r="L8335" s="10"/>
    </row>
    <row r="8336" spans="1:12" ht="15" customHeight="1" x14ac:dyDescent="0.25">
      <c r="A8336" s="10"/>
      <c r="B8336" s="10"/>
      <c r="C8336" s="10"/>
      <c r="D8336" s="10"/>
      <c r="E8336" s="10"/>
      <c r="F8336" s="10"/>
      <c r="G8336" s="10"/>
      <c r="H8336" s="10"/>
      <c r="I8336" s="10"/>
      <c r="J8336" s="10"/>
      <c r="K8336" s="10"/>
      <c r="L8336" s="10"/>
    </row>
    <row r="8337" spans="1:12" ht="15" customHeight="1" x14ac:dyDescent="0.25">
      <c r="A8337" s="10"/>
      <c r="B8337" s="10"/>
      <c r="C8337" s="10"/>
      <c r="D8337" s="10"/>
      <c r="E8337" s="10"/>
      <c r="F8337" s="10"/>
      <c r="G8337" s="10"/>
      <c r="H8337" s="10"/>
      <c r="I8337" s="10"/>
      <c r="J8337" s="10"/>
      <c r="K8337" s="10"/>
      <c r="L8337" s="10"/>
    </row>
    <row r="8338" spans="1:12" ht="15" customHeight="1" x14ac:dyDescent="0.25">
      <c r="A8338" s="10"/>
      <c r="B8338" s="10"/>
      <c r="C8338" s="10"/>
      <c r="D8338" s="10"/>
      <c r="E8338" s="10"/>
      <c r="F8338" s="10"/>
      <c r="G8338" s="10"/>
      <c r="H8338" s="10"/>
      <c r="I8338" s="10"/>
      <c r="J8338" s="10"/>
      <c r="K8338" s="10"/>
      <c r="L8338" s="10"/>
    </row>
    <row r="8339" spans="1:12" ht="15" customHeight="1" x14ac:dyDescent="0.25">
      <c r="A8339" s="10"/>
      <c r="B8339" s="10"/>
      <c r="C8339" s="10"/>
      <c r="D8339" s="10"/>
      <c r="E8339" s="10"/>
      <c r="F8339" s="10"/>
      <c r="G8339" s="10"/>
      <c r="H8339" s="10"/>
      <c r="I8339" s="10"/>
      <c r="J8339" s="10"/>
      <c r="K8339" s="10"/>
      <c r="L8339" s="10"/>
    </row>
    <row r="8340" spans="1:12" ht="15" customHeight="1" x14ac:dyDescent="0.25">
      <c r="A8340" s="10"/>
      <c r="B8340" s="10"/>
      <c r="C8340" s="10"/>
      <c r="D8340" s="10"/>
      <c r="E8340" s="10"/>
      <c r="F8340" s="10"/>
      <c r="G8340" s="10"/>
      <c r="H8340" s="10"/>
      <c r="I8340" s="10"/>
      <c r="J8340" s="10"/>
      <c r="K8340" s="10"/>
      <c r="L8340" s="10"/>
    </row>
    <row r="8341" spans="1:12" ht="15" customHeight="1" x14ac:dyDescent="0.25">
      <c r="A8341" s="10"/>
      <c r="B8341" s="10"/>
      <c r="C8341" s="10"/>
      <c r="D8341" s="10"/>
      <c r="E8341" s="10"/>
      <c r="F8341" s="10"/>
      <c r="G8341" s="10"/>
      <c r="H8341" s="10"/>
      <c r="I8341" s="10"/>
      <c r="J8341" s="10"/>
      <c r="K8341" s="10"/>
      <c r="L8341" s="10"/>
    </row>
    <row r="8342" spans="1:12" ht="15" customHeight="1" x14ac:dyDescent="0.25">
      <c r="A8342" s="10"/>
      <c r="B8342" s="10"/>
      <c r="C8342" s="10"/>
      <c r="D8342" s="10"/>
      <c r="E8342" s="10"/>
      <c r="F8342" s="10"/>
      <c r="G8342" s="10"/>
      <c r="H8342" s="10"/>
      <c r="I8342" s="10"/>
      <c r="J8342" s="10"/>
      <c r="K8342" s="10"/>
      <c r="L8342" s="10"/>
    </row>
    <row r="8343" spans="1:12" ht="15" customHeight="1" x14ac:dyDescent="0.25">
      <c r="A8343" s="10"/>
      <c r="B8343" s="10"/>
      <c r="C8343" s="10"/>
      <c r="D8343" s="10"/>
      <c r="E8343" s="10"/>
      <c r="F8343" s="10"/>
      <c r="G8343" s="10"/>
      <c r="H8343" s="10"/>
      <c r="I8343" s="10"/>
      <c r="J8343" s="10"/>
      <c r="K8343" s="10"/>
      <c r="L8343" s="10"/>
    </row>
    <row r="8344" spans="1:12" ht="15" customHeight="1" x14ac:dyDescent="0.25">
      <c r="A8344" s="10"/>
      <c r="B8344" s="10"/>
      <c r="C8344" s="10"/>
      <c r="D8344" s="10"/>
      <c r="E8344" s="10"/>
      <c r="F8344" s="10"/>
      <c r="G8344" s="10"/>
      <c r="H8344" s="10"/>
      <c r="I8344" s="10"/>
      <c r="J8344" s="10"/>
      <c r="K8344" s="10"/>
      <c r="L8344" s="10"/>
    </row>
    <row r="8345" spans="1:12" ht="15" customHeight="1" x14ac:dyDescent="0.25">
      <c r="A8345" s="10"/>
      <c r="B8345" s="10"/>
      <c r="C8345" s="10"/>
      <c r="D8345" s="10"/>
      <c r="E8345" s="10"/>
      <c r="F8345" s="10"/>
      <c r="G8345" s="10"/>
      <c r="H8345" s="10"/>
      <c r="I8345" s="10"/>
      <c r="J8345" s="10"/>
      <c r="K8345" s="10"/>
      <c r="L8345" s="10"/>
    </row>
    <row r="8346" spans="1:12" ht="15" customHeight="1" x14ac:dyDescent="0.25">
      <c r="A8346" s="10"/>
      <c r="B8346" s="10"/>
      <c r="C8346" s="10"/>
      <c r="D8346" s="10"/>
      <c r="E8346" s="10"/>
      <c r="F8346" s="10"/>
      <c r="G8346" s="10"/>
      <c r="H8346" s="10"/>
      <c r="I8346" s="10"/>
      <c r="J8346" s="10"/>
      <c r="K8346" s="10"/>
      <c r="L8346" s="10"/>
    </row>
    <row r="8347" spans="1:12" ht="15" customHeight="1" x14ac:dyDescent="0.25">
      <c r="A8347" s="10"/>
      <c r="B8347" s="10"/>
      <c r="C8347" s="10"/>
      <c r="D8347" s="10"/>
      <c r="E8347" s="10"/>
      <c r="F8347" s="10"/>
      <c r="G8347" s="10"/>
      <c r="H8347" s="10"/>
      <c r="I8347" s="10"/>
      <c r="J8347" s="10"/>
      <c r="K8347" s="10"/>
      <c r="L8347" s="10"/>
    </row>
    <row r="8348" spans="1:12" ht="15" customHeight="1" x14ac:dyDescent="0.25">
      <c r="A8348" s="10"/>
      <c r="B8348" s="10"/>
      <c r="C8348" s="10"/>
      <c r="D8348" s="10"/>
      <c r="E8348" s="10"/>
      <c r="F8348" s="10"/>
      <c r="G8348" s="10"/>
      <c r="H8348" s="10"/>
      <c r="I8348" s="10"/>
      <c r="J8348" s="10"/>
      <c r="K8348" s="10"/>
      <c r="L8348" s="10"/>
    </row>
    <row r="8349" spans="1:12" ht="15" customHeight="1" x14ac:dyDescent="0.25">
      <c r="A8349" s="10"/>
      <c r="B8349" s="10"/>
      <c r="C8349" s="10"/>
      <c r="D8349" s="10"/>
      <c r="E8349" s="10"/>
      <c r="F8349" s="10"/>
      <c r="G8349" s="10"/>
      <c r="H8349" s="10"/>
      <c r="I8349" s="10"/>
      <c r="J8349" s="10"/>
      <c r="K8349" s="10"/>
      <c r="L8349" s="10"/>
    </row>
    <row r="8350" spans="1:12" ht="15" customHeight="1" x14ac:dyDescent="0.25">
      <c r="A8350" s="10"/>
      <c r="B8350" s="10"/>
      <c r="C8350" s="10"/>
      <c r="D8350" s="10"/>
      <c r="E8350" s="10"/>
      <c r="F8350" s="10"/>
      <c r="G8350" s="10"/>
      <c r="H8350" s="10"/>
      <c r="I8350" s="10"/>
      <c r="J8350" s="10"/>
      <c r="K8350" s="10"/>
      <c r="L8350" s="10"/>
    </row>
    <row r="8351" spans="1:12" ht="15" customHeight="1" x14ac:dyDescent="0.25">
      <c r="A8351" s="10"/>
      <c r="B8351" s="10"/>
      <c r="C8351" s="10"/>
      <c r="D8351" s="10"/>
      <c r="E8351" s="10"/>
      <c r="F8351" s="10"/>
      <c r="G8351" s="10"/>
      <c r="H8351" s="10"/>
      <c r="I8351" s="10"/>
      <c r="J8351" s="10"/>
      <c r="K8351" s="10"/>
      <c r="L8351" s="10"/>
    </row>
    <row r="8352" spans="1:12" ht="15" customHeight="1" x14ac:dyDescent="0.25">
      <c r="A8352" s="10"/>
      <c r="B8352" s="10"/>
      <c r="C8352" s="10"/>
      <c r="D8352" s="10"/>
      <c r="E8352" s="10"/>
      <c r="F8352" s="10"/>
      <c r="G8352" s="10"/>
      <c r="H8352" s="10"/>
      <c r="I8352" s="10"/>
      <c r="J8352" s="10"/>
      <c r="K8352" s="10"/>
      <c r="L8352" s="10"/>
    </row>
    <row r="8353" spans="1:12" ht="15" customHeight="1" x14ac:dyDescent="0.25">
      <c r="A8353" s="10"/>
      <c r="B8353" s="10"/>
      <c r="C8353" s="10"/>
      <c r="D8353" s="10"/>
      <c r="E8353" s="10"/>
      <c r="F8353" s="10"/>
      <c r="G8353" s="10"/>
      <c r="H8353" s="10"/>
      <c r="I8353" s="10"/>
      <c r="J8353" s="10"/>
      <c r="K8353" s="10"/>
      <c r="L8353" s="10"/>
    </row>
    <row r="8354" spans="1:12" ht="15" customHeight="1" x14ac:dyDescent="0.25">
      <c r="A8354" s="10"/>
      <c r="B8354" s="10"/>
      <c r="C8354" s="10"/>
      <c r="D8354" s="10"/>
      <c r="E8354" s="10"/>
      <c r="F8354" s="10"/>
      <c r="G8354" s="10"/>
      <c r="H8354" s="10"/>
      <c r="I8354" s="10"/>
      <c r="J8354" s="10"/>
      <c r="K8354" s="10"/>
      <c r="L8354" s="10"/>
    </row>
    <row r="8355" spans="1:12" ht="15" customHeight="1" x14ac:dyDescent="0.25">
      <c r="A8355" s="10"/>
      <c r="B8355" s="10"/>
      <c r="C8355" s="10"/>
      <c r="D8355" s="10"/>
      <c r="E8355" s="10"/>
      <c r="F8355" s="10"/>
      <c r="G8355" s="10"/>
      <c r="H8355" s="10"/>
      <c r="I8355" s="10"/>
      <c r="J8355" s="10"/>
      <c r="K8355" s="10"/>
      <c r="L8355" s="10"/>
    </row>
    <row r="8356" spans="1:12" ht="15" customHeight="1" x14ac:dyDescent="0.25">
      <c r="A8356" s="10"/>
      <c r="B8356" s="10"/>
      <c r="C8356" s="10"/>
      <c r="D8356" s="10"/>
      <c r="E8356" s="10"/>
      <c r="F8356" s="10"/>
      <c r="G8356" s="10"/>
      <c r="H8356" s="10"/>
      <c r="I8356" s="10"/>
      <c r="J8356" s="10"/>
      <c r="K8356" s="10"/>
      <c r="L8356" s="10"/>
    </row>
    <row r="8357" spans="1:12" ht="15" customHeight="1" x14ac:dyDescent="0.25">
      <c r="A8357" s="10"/>
      <c r="B8357" s="10"/>
      <c r="C8357" s="10"/>
      <c r="D8357" s="10"/>
      <c r="E8357" s="10"/>
      <c r="F8357" s="10"/>
      <c r="G8357" s="10"/>
      <c r="H8357" s="10"/>
      <c r="I8357" s="10"/>
      <c r="J8357" s="10"/>
      <c r="K8357" s="10"/>
      <c r="L8357" s="10"/>
    </row>
    <row r="8358" spans="1:12" ht="15" customHeight="1" x14ac:dyDescent="0.25">
      <c r="A8358" s="10"/>
      <c r="B8358" s="10"/>
      <c r="C8358" s="10"/>
      <c r="D8358" s="10"/>
      <c r="E8358" s="10"/>
      <c r="F8358" s="10"/>
      <c r="G8358" s="10"/>
      <c r="H8358" s="10"/>
      <c r="I8358" s="10"/>
      <c r="J8358" s="10"/>
      <c r="K8358" s="10"/>
      <c r="L8358" s="10"/>
    </row>
    <row r="8359" spans="1:12" ht="15" customHeight="1" x14ac:dyDescent="0.25">
      <c r="A8359" s="10"/>
      <c r="B8359" s="10"/>
      <c r="C8359" s="10"/>
      <c r="D8359" s="10"/>
      <c r="E8359" s="10"/>
      <c r="F8359" s="10"/>
      <c r="G8359" s="10"/>
      <c r="H8359" s="10"/>
      <c r="I8359" s="10"/>
      <c r="J8359" s="10"/>
      <c r="K8359" s="10"/>
      <c r="L8359" s="10"/>
    </row>
    <row r="8360" spans="1:12" ht="15" customHeight="1" x14ac:dyDescent="0.25">
      <c r="A8360" s="10"/>
      <c r="B8360" s="10"/>
      <c r="C8360" s="10"/>
      <c r="D8360" s="10"/>
      <c r="E8360" s="10"/>
      <c r="F8360" s="10"/>
      <c r="G8360" s="10"/>
      <c r="H8360" s="10"/>
      <c r="I8360" s="10"/>
      <c r="J8360" s="10"/>
      <c r="K8360" s="10"/>
      <c r="L8360" s="10"/>
    </row>
    <row r="8361" spans="1:12" ht="15" customHeight="1" x14ac:dyDescent="0.25">
      <c r="A8361" s="10"/>
      <c r="B8361" s="10"/>
      <c r="C8361" s="10"/>
      <c r="D8361" s="10"/>
      <c r="E8361" s="10"/>
      <c r="F8361" s="10"/>
      <c r="G8361" s="10"/>
      <c r="H8361" s="10"/>
      <c r="I8361" s="10"/>
      <c r="J8361" s="10"/>
      <c r="K8361" s="10"/>
      <c r="L8361" s="10"/>
    </row>
    <row r="8362" spans="1:12" ht="15" customHeight="1" x14ac:dyDescent="0.25">
      <c r="A8362" s="10"/>
      <c r="B8362" s="10"/>
      <c r="C8362" s="10"/>
      <c r="D8362" s="10"/>
      <c r="E8362" s="10"/>
      <c r="F8362" s="10"/>
      <c r="G8362" s="10"/>
      <c r="H8362" s="10"/>
      <c r="I8362" s="10"/>
      <c r="J8362" s="10"/>
      <c r="K8362" s="10"/>
      <c r="L8362" s="10"/>
    </row>
    <row r="8363" spans="1:12" ht="15" customHeight="1" x14ac:dyDescent="0.25">
      <c r="A8363" s="10"/>
      <c r="B8363" s="10"/>
      <c r="C8363" s="10"/>
      <c r="D8363" s="10"/>
      <c r="E8363" s="10"/>
      <c r="F8363" s="10"/>
      <c r="G8363" s="10"/>
      <c r="H8363" s="10"/>
      <c r="I8363" s="10"/>
      <c r="J8363" s="10"/>
      <c r="K8363" s="10"/>
      <c r="L8363" s="10"/>
    </row>
    <row r="8364" spans="1:12" ht="15" customHeight="1" x14ac:dyDescent="0.25">
      <c r="A8364" s="10"/>
      <c r="B8364" s="10"/>
      <c r="C8364" s="10"/>
      <c r="D8364" s="10"/>
      <c r="E8364" s="10"/>
      <c r="F8364" s="10"/>
      <c r="G8364" s="10"/>
      <c r="H8364" s="10"/>
      <c r="I8364" s="10"/>
      <c r="J8364" s="10"/>
      <c r="K8364" s="10"/>
      <c r="L8364" s="10"/>
    </row>
    <row r="8365" spans="1:12" ht="15" customHeight="1" x14ac:dyDescent="0.25">
      <c r="A8365" s="10"/>
      <c r="B8365" s="10"/>
      <c r="C8365" s="10"/>
      <c r="D8365" s="10"/>
      <c r="E8365" s="10"/>
      <c r="F8365" s="10"/>
      <c r="G8365" s="10"/>
      <c r="H8365" s="10"/>
      <c r="I8365" s="10"/>
      <c r="J8365" s="10"/>
      <c r="K8365" s="10"/>
      <c r="L8365" s="10"/>
    </row>
    <row r="8366" spans="1:12" ht="15" customHeight="1" x14ac:dyDescent="0.25">
      <c r="A8366" s="10"/>
      <c r="B8366" s="10"/>
      <c r="C8366" s="10"/>
      <c r="D8366" s="10"/>
      <c r="E8366" s="10"/>
      <c r="F8366" s="10"/>
      <c r="G8366" s="10"/>
      <c r="H8366" s="10"/>
      <c r="I8366" s="10"/>
      <c r="J8366" s="10"/>
      <c r="K8366" s="10"/>
      <c r="L8366" s="10"/>
    </row>
    <row r="8367" spans="1:12" ht="15" customHeight="1" x14ac:dyDescent="0.25">
      <c r="A8367" s="10"/>
      <c r="B8367" s="10"/>
      <c r="C8367" s="10"/>
      <c r="D8367" s="10"/>
      <c r="E8367" s="10"/>
      <c r="F8367" s="10"/>
      <c r="G8367" s="10"/>
      <c r="H8367" s="10"/>
      <c r="I8367" s="10"/>
      <c r="J8367" s="10"/>
      <c r="K8367" s="10"/>
      <c r="L8367" s="10"/>
    </row>
    <row r="8368" spans="1:12" ht="15" customHeight="1" x14ac:dyDescent="0.25">
      <c r="A8368" s="10"/>
      <c r="B8368" s="10"/>
      <c r="C8368" s="10"/>
      <c r="D8368" s="10"/>
      <c r="E8368" s="10"/>
      <c r="F8368" s="10"/>
      <c r="G8368" s="10"/>
      <c r="H8368" s="10"/>
      <c r="I8368" s="10"/>
      <c r="J8368" s="10"/>
      <c r="K8368" s="10"/>
      <c r="L8368" s="10"/>
    </row>
    <row r="8369" spans="1:12" ht="15" customHeight="1" x14ac:dyDescent="0.25">
      <c r="A8369" s="10"/>
      <c r="B8369" s="10"/>
      <c r="C8369" s="10"/>
      <c r="D8369" s="10"/>
      <c r="E8369" s="10"/>
      <c r="F8369" s="10"/>
      <c r="G8369" s="10"/>
      <c r="H8369" s="10"/>
      <c r="I8369" s="10"/>
      <c r="J8369" s="10"/>
      <c r="K8369" s="10"/>
      <c r="L8369" s="10"/>
    </row>
    <row r="8370" spans="1:12" ht="15" customHeight="1" x14ac:dyDescent="0.25">
      <c r="A8370" s="10"/>
      <c r="B8370" s="10"/>
      <c r="C8370" s="10"/>
      <c r="D8370" s="10"/>
      <c r="E8370" s="10"/>
      <c r="F8370" s="10"/>
      <c r="G8370" s="10"/>
      <c r="H8370" s="10"/>
      <c r="I8370" s="10"/>
      <c r="J8370" s="10"/>
      <c r="K8370" s="10"/>
      <c r="L8370" s="10"/>
    </row>
    <row r="8371" spans="1:12" ht="15" customHeight="1" x14ac:dyDescent="0.25">
      <c r="A8371" s="10"/>
      <c r="B8371" s="10"/>
      <c r="C8371" s="10"/>
      <c r="D8371" s="10"/>
      <c r="E8371" s="10"/>
      <c r="F8371" s="10"/>
      <c r="G8371" s="10"/>
      <c r="H8371" s="10"/>
      <c r="I8371" s="10"/>
      <c r="J8371" s="10"/>
      <c r="K8371" s="10"/>
      <c r="L8371" s="10"/>
    </row>
    <row r="8372" spans="1:12" ht="15" customHeight="1" x14ac:dyDescent="0.25">
      <c r="A8372" s="10"/>
      <c r="B8372" s="10"/>
      <c r="C8372" s="10"/>
      <c r="D8372" s="10"/>
      <c r="E8372" s="10"/>
      <c r="F8372" s="10"/>
      <c r="G8372" s="10"/>
      <c r="H8372" s="10"/>
      <c r="I8372" s="10"/>
      <c r="J8372" s="10"/>
      <c r="K8372" s="10"/>
      <c r="L8372" s="10"/>
    </row>
    <row r="8373" spans="1:12" ht="15" customHeight="1" x14ac:dyDescent="0.25">
      <c r="A8373" s="10"/>
      <c r="B8373" s="10"/>
      <c r="C8373" s="10"/>
      <c r="D8373" s="10"/>
      <c r="E8373" s="10"/>
      <c r="F8373" s="10"/>
      <c r="G8373" s="10"/>
      <c r="H8373" s="10"/>
      <c r="I8373" s="10"/>
      <c r="J8373" s="10"/>
      <c r="K8373" s="10"/>
      <c r="L8373" s="10"/>
    </row>
    <row r="8374" spans="1:12" ht="15" customHeight="1" x14ac:dyDescent="0.25">
      <c r="A8374" s="10"/>
      <c r="B8374" s="10"/>
      <c r="C8374" s="10"/>
      <c r="D8374" s="10"/>
      <c r="E8374" s="10"/>
      <c r="F8374" s="10"/>
      <c r="G8374" s="10"/>
      <c r="H8374" s="10"/>
      <c r="I8374" s="10"/>
      <c r="J8374" s="10"/>
      <c r="K8374" s="10"/>
      <c r="L8374" s="10"/>
    </row>
    <row r="8375" spans="1:12" ht="15" customHeight="1" x14ac:dyDescent="0.25">
      <c r="A8375" s="10"/>
      <c r="B8375" s="10"/>
      <c r="C8375" s="10"/>
      <c r="D8375" s="10"/>
      <c r="E8375" s="10"/>
      <c r="F8375" s="10"/>
      <c r="G8375" s="10"/>
      <c r="H8375" s="10"/>
      <c r="I8375" s="10"/>
      <c r="J8375" s="10"/>
      <c r="K8375" s="10"/>
      <c r="L8375" s="10"/>
    </row>
    <row r="8376" spans="1:12" ht="15" customHeight="1" x14ac:dyDescent="0.25">
      <c r="A8376" s="10"/>
      <c r="B8376" s="10"/>
      <c r="C8376" s="10"/>
      <c r="D8376" s="10"/>
      <c r="E8376" s="10"/>
      <c r="F8376" s="10"/>
      <c r="G8376" s="10"/>
      <c r="H8376" s="10"/>
      <c r="I8376" s="10"/>
      <c r="J8376" s="10"/>
      <c r="K8376" s="10"/>
      <c r="L8376" s="10"/>
    </row>
    <row r="8377" spans="1:12" ht="15" customHeight="1" x14ac:dyDescent="0.25">
      <c r="A8377" s="10"/>
      <c r="B8377" s="10"/>
      <c r="C8377" s="10"/>
      <c r="D8377" s="10"/>
      <c r="E8377" s="10"/>
      <c r="F8377" s="10"/>
      <c r="G8377" s="10"/>
      <c r="H8377" s="10"/>
      <c r="I8377" s="10"/>
      <c r="J8377" s="10"/>
      <c r="K8377" s="10"/>
      <c r="L8377" s="10"/>
    </row>
    <row r="8378" spans="1:12" ht="15" customHeight="1" x14ac:dyDescent="0.25">
      <c r="A8378" s="10"/>
      <c r="B8378" s="10"/>
      <c r="C8378" s="10"/>
      <c r="D8378" s="10"/>
      <c r="E8378" s="10"/>
      <c r="F8378" s="10"/>
      <c r="G8378" s="10"/>
      <c r="H8378" s="10"/>
      <c r="I8378" s="10"/>
      <c r="J8378" s="10"/>
      <c r="K8378" s="10"/>
      <c r="L8378" s="10"/>
    </row>
    <row r="8379" spans="1:12" ht="15" customHeight="1" x14ac:dyDescent="0.25">
      <c r="A8379" s="10"/>
      <c r="B8379" s="10"/>
      <c r="C8379" s="10"/>
      <c r="D8379" s="10"/>
      <c r="E8379" s="10"/>
      <c r="F8379" s="10"/>
      <c r="G8379" s="10"/>
      <c r="H8379" s="10"/>
      <c r="I8379" s="10"/>
      <c r="J8379" s="10"/>
      <c r="K8379" s="10"/>
      <c r="L8379" s="10"/>
    </row>
    <row r="8380" spans="1:12" ht="15" customHeight="1" x14ac:dyDescent="0.25">
      <c r="A8380" s="10"/>
      <c r="B8380" s="10"/>
      <c r="C8380" s="10"/>
      <c r="D8380" s="10"/>
      <c r="E8380" s="10"/>
      <c r="F8380" s="10"/>
      <c r="G8380" s="10"/>
      <c r="H8380" s="10"/>
      <c r="I8380" s="10"/>
      <c r="J8380" s="10"/>
      <c r="K8380" s="10"/>
      <c r="L8380" s="10"/>
    </row>
    <row r="8381" spans="1:12" ht="15" customHeight="1" x14ac:dyDescent="0.25">
      <c r="A8381" s="10"/>
      <c r="B8381" s="10"/>
      <c r="C8381" s="10"/>
      <c r="D8381" s="10"/>
      <c r="E8381" s="10"/>
      <c r="F8381" s="10"/>
      <c r="G8381" s="10"/>
      <c r="H8381" s="10"/>
      <c r="I8381" s="10"/>
      <c r="J8381" s="10"/>
      <c r="K8381" s="10"/>
      <c r="L8381" s="10"/>
    </row>
    <row r="8382" spans="1:12" ht="15" customHeight="1" x14ac:dyDescent="0.25">
      <c r="A8382" s="10"/>
      <c r="B8382" s="10"/>
      <c r="C8382" s="10"/>
      <c r="D8382" s="10"/>
      <c r="E8382" s="10"/>
      <c r="F8382" s="10"/>
      <c r="G8382" s="10"/>
      <c r="H8382" s="10"/>
      <c r="I8382" s="10"/>
      <c r="J8382" s="10"/>
      <c r="K8382" s="10"/>
      <c r="L8382" s="10"/>
    </row>
    <row r="8383" spans="1:12" ht="15" customHeight="1" x14ac:dyDescent="0.25">
      <c r="A8383" s="10"/>
      <c r="B8383" s="10"/>
      <c r="C8383" s="10"/>
      <c r="D8383" s="10"/>
      <c r="E8383" s="10"/>
      <c r="F8383" s="10"/>
      <c r="G8383" s="10"/>
      <c r="H8383" s="10"/>
      <c r="I8383" s="10"/>
      <c r="J8383" s="10"/>
      <c r="K8383" s="10"/>
      <c r="L8383" s="10"/>
    </row>
    <row r="8384" spans="1:12" ht="15" customHeight="1" x14ac:dyDescent="0.25">
      <c r="A8384" s="10"/>
      <c r="B8384" s="10"/>
      <c r="C8384" s="10"/>
      <c r="D8384" s="10"/>
      <c r="E8384" s="10"/>
      <c r="F8384" s="10"/>
      <c r="G8384" s="10"/>
      <c r="H8384" s="10"/>
      <c r="I8384" s="10"/>
      <c r="J8384" s="10"/>
      <c r="K8384" s="10"/>
      <c r="L8384" s="10"/>
    </row>
    <row r="8385" spans="1:12" ht="15" customHeight="1" x14ac:dyDescent="0.25">
      <c r="A8385" s="10"/>
      <c r="B8385" s="10"/>
      <c r="C8385" s="10"/>
      <c r="D8385" s="10"/>
      <c r="E8385" s="10"/>
      <c r="F8385" s="10"/>
      <c r="G8385" s="10"/>
      <c r="H8385" s="10"/>
      <c r="I8385" s="10"/>
      <c r="J8385" s="10"/>
      <c r="K8385" s="10"/>
      <c r="L8385" s="10"/>
    </row>
    <row r="8386" spans="1:12" ht="15" customHeight="1" x14ac:dyDescent="0.25">
      <c r="A8386" s="10"/>
      <c r="B8386" s="10"/>
      <c r="C8386" s="10"/>
      <c r="D8386" s="10"/>
      <c r="E8386" s="10"/>
      <c r="F8386" s="10"/>
      <c r="G8386" s="10"/>
      <c r="H8386" s="10"/>
      <c r="I8386" s="10"/>
      <c r="J8386" s="10"/>
      <c r="K8386" s="10"/>
      <c r="L8386" s="10"/>
    </row>
    <row r="8387" spans="1:12" ht="15" customHeight="1" x14ac:dyDescent="0.25">
      <c r="A8387" s="10"/>
      <c r="B8387" s="10"/>
      <c r="C8387" s="10"/>
      <c r="D8387" s="10"/>
      <c r="E8387" s="10"/>
      <c r="F8387" s="10"/>
      <c r="G8387" s="10"/>
      <c r="H8387" s="10"/>
      <c r="I8387" s="10"/>
      <c r="J8387" s="10"/>
      <c r="K8387" s="10"/>
      <c r="L8387" s="10"/>
    </row>
    <row r="8388" spans="1:12" ht="15" customHeight="1" x14ac:dyDescent="0.25">
      <c r="A8388" s="10"/>
      <c r="B8388" s="10"/>
      <c r="C8388" s="10"/>
      <c r="D8388" s="10"/>
      <c r="E8388" s="10"/>
      <c r="F8388" s="10"/>
      <c r="G8388" s="10"/>
      <c r="H8388" s="10"/>
      <c r="I8388" s="10"/>
      <c r="J8388" s="10"/>
      <c r="K8388" s="10"/>
      <c r="L8388" s="10"/>
    </row>
    <row r="8389" spans="1:12" ht="15" customHeight="1" x14ac:dyDescent="0.25">
      <c r="A8389" s="10"/>
      <c r="B8389" s="10"/>
      <c r="C8389" s="10"/>
      <c r="D8389" s="10"/>
      <c r="E8389" s="10"/>
      <c r="F8389" s="10"/>
      <c r="G8389" s="10"/>
      <c r="H8389" s="10"/>
      <c r="I8389" s="10"/>
      <c r="J8389" s="10"/>
      <c r="K8389" s="10"/>
      <c r="L8389" s="10"/>
    </row>
    <row r="8390" spans="1:12" ht="15" customHeight="1" x14ac:dyDescent="0.25">
      <c r="A8390" s="10"/>
      <c r="B8390" s="10"/>
      <c r="C8390" s="10"/>
      <c r="D8390" s="10"/>
      <c r="E8390" s="10"/>
      <c r="F8390" s="10"/>
      <c r="G8390" s="10"/>
      <c r="H8390" s="10"/>
      <c r="I8390" s="10"/>
      <c r="J8390" s="10"/>
      <c r="K8390" s="10"/>
      <c r="L8390" s="10"/>
    </row>
    <row r="8391" spans="1:12" ht="15" customHeight="1" x14ac:dyDescent="0.25">
      <c r="A8391" s="10"/>
      <c r="B8391" s="10"/>
      <c r="C8391" s="10"/>
      <c r="D8391" s="10"/>
      <c r="E8391" s="10"/>
      <c r="F8391" s="10"/>
      <c r="G8391" s="10"/>
      <c r="H8391" s="10"/>
      <c r="I8391" s="10"/>
      <c r="J8391" s="10"/>
      <c r="K8391" s="10"/>
      <c r="L8391" s="10"/>
    </row>
    <row r="8392" spans="1:12" ht="15" customHeight="1" x14ac:dyDescent="0.25">
      <c r="A8392" s="10"/>
      <c r="B8392" s="10"/>
      <c r="C8392" s="10"/>
      <c r="D8392" s="10"/>
      <c r="E8392" s="10"/>
      <c r="F8392" s="10"/>
      <c r="G8392" s="10"/>
      <c r="H8392" s="10"/>
      <c r="I8392" s="10"/>
      <c r="J8392" s="10"/>
      <c r="K8392" s="10"/>
      <c r="L8392" s="10"/>
    </row>
    <row r="8393" spans="1:12" ht="15" customHeight="1" x14ac:dyDescent="0.25">
      <c r="A8393" s="10"/>
      <c r="B8393" s="10"/>
      <c r="C8393" s="10"/>
      <c r="D8393" s="10"/>
      <c r="E8393" s="10"/>
      <c r="F8393" s="10"/>
      <c r="G8393" s="10"/>
      <c r="H8393" s="10"/>
      <c r="I8393" s="10"/>
      <c r="J8393" s="10"/>
      <c r="K8393" s="10"/>
      <c r="L8393" s="10"/>
    </row>
    <row r="8394" spans="1:12" ht="15" customHeight="1" x14ac:dyDescent="0.25">
      <c r="A8394" s="10"/>
      <c r="B8394" s="10"/>
      <c r="C8394" s="10"/>
      <c r="D8394" s="10"/>
      <c r="E8394" s="10"/>
      <c r="F8394" s="10"/>
      <c r="G8394" s="10"/>
      <c r="H8394" s="10"/>
      <c r="I8394" s="10"/>
      <c r="J8394" s="10"/>
      <c r="K8394" s="10"/>
      <c r="L8394" s="10"/>
    </row>
    <row r="8395" spans="1:12" ht="15" customHeight="1" x14ac:dyDescent="0.25">
      <c r="A8395" s="10"/>
      <c r="B8395" s="10"/>
      <c r="C8395" s="10"/>
      <c r="D8395" s="10"/>
      <c r="E8395" s="10"/>
      <c r="F8395" s="10"/>
      <c r="G8395" s="10"/>
      <c r="H8395" s="10"/>
      <c r="I8395" s="10"/>
      <c r="J8395" s="10"/>
      <c r="K8395" s="10"/>
      <c r="L8395" s="10"/>
    </row>
    <row r="8396" spans="1:12" ht="15" customHeight="1" x14ac:dyDescent="0.25">
      <c r="A8396" s="10"/>
      <c r="B8396" s="10"/>
      <c r="C8396" s="10"/>
      <c r="D8396" s="10"/>
      <c r="E8396" s="10"/>
      <c r="F8396" s="10"/>
      <c r="G8396" s="10"/>
      <c r="H8396" s="10"/>
      <c r="I8396" s="10"/>
      <c r="J8396" s="10"/>
      <c r="K8396" s="10"/>
      <c r="L8396" s="10"/>
    </row>
    <row r="8397" spans="1:12" ht="15" customHeight="1" x14ac:dyDescent="0.25">
      <c r="A8397" s="10"/>
      <c r="B8397" s="10"/>
      <c r="C8397" s="10"/>
      <c r="D8397" s="10"/>
      <c r="E8397" s="10"/>
      <c r="F8397" s="10"/>
      <c r="G8397" s="10"/>
      <c r="H8397" s="10"/>
      <c r="I8397" s="10"/>
      <c r="J8397" s="10"/>
      <c r="K8397" s="10"/>
      <c r="L8397" s="10"/>
    </row>
    <row r="8398" spans="1:12" ht="15" customHeight="1" x14ac:dyDescent="0.25">
      <c r="A8398" s="10"/>
      <c r="B8398" s="10"/>
      <c r="C8398" s="10"/>
      <c r="D8398" s="10"/>
      <c r="E8398" s="10"/>
      <c r="F8398" s="10"/>
      <c r="G8398" s="10"/>
      <c r="H8398" s="10"/>
      <c r="I8398" s="10"/>
      <c r="J8398" s="10"/>
      <c r="K8398" s="10"/>
      <c r="L8398" s="10"/>
    </row>
    <row r="8399" spans="1:12" ht="15" customHeight="1" x14ac:dyDescent="0.25">
      <c r="A8399" s="10"/>
      <c r="B8399" s="10"/>
      <c r="C8399" s="10"/>
      <c r="D8399" s="10"/>
      <c r="E8399" s="10"/>
      <c r="F8399" s="10"/>
      <c r="G8399" s="10"/>
      <c r="H8399" s="10"/>
      <c r="I8399" s="10"/>
      <c r="J8399" s="10"/>
      <c r="K8399" s="10"/>
      <c r="L8399" s="10"/>
    </row>
    <row r="8400" spans="1:12" ht="15" customHeight="1" x14ac:dyDescent="0.25">
      <c r="A8400" s="10"/>
      <c r="B8400" s="10"/>
      <c r="C8400" s="10"/>
      <c r="D8400" s="10"/>
      <c r="E8400" s="10"/>
      <c r="F8400" s="10"/>
      <c r="G8400" s="10"/>
      <c r="H8400" s="10"/>
      <c r="I8400" s="10"/>
      <c r="J8400" s="10"/>
      <c r="K8400" s="10"/>
      <c r="L8400" s="10"/>
    </row>
    <row r="8401" spans="1:12" ht="15" customHeight="1" x14ac:dyDescent="0.25">
      <c r="A8401" s="10"/>
      <c r="B8401" s="10"/>
      <c r="C8401" s="10"/>
      <c r="D8401" s="10"/>
      <c r="E8401" s="10"/>
      <c r="F8401" s="10"/>
      <c r="G8401" s="10"/>
      <c r="H8401" s="10"/>
      <c r="I8401" s="10"/>
      <c r="J8401" s="10"/>
      <c r="K8401" s="10"/>
      <c r="L8401" s="10"/>
    </row>
    <row r="8402" spans="1:12" ht="15" customHeight="1" x14ac:dyDescent="0.25">
      <c r="A8402" s="10"/>
      <c r="B8402" s="10"/>
      <c r="C8402" s="10"/>
      <c r="D8402" s="10"/>
      <c r="E8402" s="10"/>
      <c r="F8402" s="10"/>
      <c r="G8402" s="10"/>
      <c r="H8402" s="10"/>
      <c r="I8402" s="10"/>
      <c r="J8402" s="10"/>
      <c r="K8402" s="10"/>
      <c r="L8402" s="10"/>
    </row>
    <row r="8403" spans="1:12" ht="15" customHeight="1" x14ac:dyDescent="0.25">
      <c r="A8403" s="10"/>
      <c r="B8403" s="10"/>
      <c r="C8403" s="10"/>
      <c r="D8403" s="10"/>
      <c r="E8403" s="10"/>
      <c r="F8403" s="10"/>
      <c r="G8403" s="10"/>
      <c r="H8403" s="10"/>
      <c r="I8403" s="10"/>
      <c r="J8403" s="10"/>
      <c r="K8403" s="10"/>
      <c r="L8403" s="10"/>
    </row>
    <row r="8404" spans="1:12" ht="15" customHeight="1" x14ac:dyDescent="0.25">
      <c r="A8404" s="10"/>
      <c r="B8404" s="10"/>
      <c r="C8404" s="10"/>
      <c r="D8404" s="10"/>
      <c r="E8404" s="10"/>
      <c r="F8404" s="10"/>
      <c r="G8404" s="10"/>
      <c r="H8404" s="10"/>
      <c r="I8404" s="10"/>
      <c r="J8404" s="10"/>
      <c r="K8404" s="10"/>
      <c r="L8404" s="10"/>
    </row>
    <row r="8405" spans="1:12" ht="15" customHeight="1" x14ac:dyDescent="0.25">
      <c r="A8405" s="10"/>
      <c r="B8405" s="10"/>
      <c r="C8405" s="10"/>
      <c r="D8405" s="10"/>
      <c r="E8405" s="10"/>
      <c r="F8405" s="10"/>
      <c r="G8405" s="10"/>
      <c r="H8405" s="10"/>
      <c r="I8405" s="10"/>
      <c r="J8405" s="10"/>
      <c r="K8405" s="10"/>
      <c r="L8405" s="10"/>
    </row>
    <row r="8406" spans="1:12" ht="15" customHeight="1" x14ac:dyDescent="0.25">
      <c r="A8406" s="10"/>
      <c r="B8406" s="10"/>
      <c r="C8406" s="10"/>
      <c r="D8406" s="10"/>
      <c r="E8406" s="10"/>
      <c r="F8406" s="10"/>
      <c r="G8406" s="10"/>
      <c r="H8406" s="10"/>
      <c r="I8406" s="10"/>
      <c r="J8406" s="10"/>
      <c r="K8406" s="10"/>
      <c r="L8406" s="10"/>
    </row>
    <row r="8407" spans="1:12" ht="15" customHeight="1" x14ac:dyDescent="0.25">
      <c r="A8407" s="10"/>
      <c r="B8407" s="10"/>
      <c r="C8407" s="10"/>
      <c r="D8407" s="10"/>
      <c r="E8407" s="10"/>
      <c r="F8407" s="10"/>
      <c r="G8407" s="10"/>
      <c r="H8407" s="10"/>
      <c r="I8407" s="10"/>
      <c r="J8407" s="10"/>
      <c r="K8407" s="10"/>
      <c r="L8407" s="10"/>
    </row>
    <row r="8408" spans="1:12" ht="15" customHeight="1" x14ac:dyDescent="0.25">
      <c r="A8408" s="10"/>
      <c r="B8408" s="10"/>
      <c r="C8408" s="10"/>
      <c r="D8408" s="10"/>
      <c r="E8408" s="10"/>
      <c r="F8408" s="10"/>
      <c r="G8408" s="10"/>
      <c r="H8408" s="10"/>
      <c r="I8408" s="10"/>
      <c r="J8408" s="10"/>
      <c r="K8408" s="10"/>
      <c r="L8408" s="10"/>
    </row>
    <row r="8409" spans="1:12" ht="15" customHeight="1" x14ac:dyDescent="0.25">
      <c r="A8409" s="10"/>
      <c r="B8409" s="10"/>
      <c r="C8409" s="10"/>
      <c r="D8409" s="10"/>
      <c r="E8409" s="10"/>
      <c r="F8409" s="10"/>
      <c r="G8409" s="10"/>
      <c r="H8409" s="10"/>
      <c r="I8409" s="10"/>
      <c r="J8409" s="10"/>
      <c r="K8409" s="10"/>
      <c r="L8409" s="10"/>
    </row>
    <row r="8410" spans="1:12" ht="15" customHeight="1" x14ac:dyDescent="0.25">
      <c r="A8410" s="10"/>
      <c r="B8410" s="10"/>
      <c r="C8410" s="10"/>
      <c r="D8410" s="10"/>
      <c r="E8410" s="10"/>
      <c r="F8410" s="10"/>
      <c r="G8410" s="10"/>
      <c r="H8410" s="10"/>
      <c r="I8410" s="10"/>
      <c r="J8410" s="10"/>
      <c r="K8410" s="10"/>
      <c r="L8410" s="10"/>
    </row>
    <row r="8411" spans="1:12" ht="15" customHeight="1" x14ac:dyDescent="0.25">
      <c r="A8411" s="10"/>
      <c r="B8411" s="10"/>
      <c r="C8411" s="10"/>
      <c r="D8411" s="10"/>
      <c r="E8411" s="10"/>
      <c r="F8411" s="10"/>
      <c r="G8411" s="10"/>
      <c r="H8411" s="10"/>
      <c r="I8411" s="10"/>
      <c r="J8411" s="10"/>
      <c r="K8411" s="10"/>
      <c r="L8411" s="10"/>
    </row>
    <row r="8412" spans="1:12" ht="15" customHeight="1" x14ac:dyDescent="0.25">
      <c r="A8412" s="10"/>
      <c r="B8412" s="10"/>
      <c r="C8412" s="10"/>
      <c r="D8412" s="10"/>
      <c r="E8412" s="10"/>
      <c r="F8412" s="10"/>
      <c r="G8412" s="10"/>
      <c r="H8412" s="10"/>
      <c r="I8412" s="10"/>
      <c r="J8412" s="10"/>
      <c r="K8412" s="10"/>
      <c r="L8412" s="10"/>
    </row>
    <row r="8413" spans="1:12" ht="15" customHeight="1" x14ac:dyDescent="0.25">
      <c r="A8413" s="10"/>
      <c r="B8413" s="10"/>
      <c r="C8413" s="10"/>
      <c r="D8413" s="10"/>
      <c r="E8413" s="10"/>
      <c r="F8413" s="10"/>
      <c r="G8413" s="10"/>
      <c r="H8413" s="10"/>
      <c r="I8413" s="10"/>
      <c r="J8413" s="10"/>
      <c r="K8413" s="10"/>
      <c r="L8413" s="10"/>
    </row>
    <row r="8414" spans="1:12" ht="15" customHeight="1" x14ac:dyDescent="0.25">
      <c r="A8414" s="10"/>
      <c r="B8414" s="10"/>
      <c r="C8414" s="10"/>
      <c r="D8414" s="10"/>
      <c r="E8414" s="10"/>
      <c r="F8414" s="10"/>
      <c r="G8414" s="10"/>
      <c r="H8414" s="10"/>
      <c r="I8414" s="10"/>
      <c r="J8414" s="10"/>
      <c r="K8414" s="10"/>
      <c r="L8414" s="10"/>
    </row>
    <row r="8415" spans="1:12" ht="15" customHeight="1" x14ac:dyDescent="0.25">
      <c r="A8415" s="10"/>
      <c r="B8415" s="10"/>
      <c r="C8415" s="10"/>
      <c r="D8415" s="10"/>
      <c r="E8415" s="10"/>
      <c r="F8415" s="10"/>
      <c r="G8415" s="10"/>
      <c r="H8415" s="10"/>
      <c r="I8415" s="10"/>
      <c r="J8415" s="10"/>
      <c r="K8415" s="10"/>
      <c r="L8415" s="10"/>
    </row>
    <row r="8416" spans="1:12" ht="15" customHeight="1" x14ac:dyDescent="0.25">
      <c r="A8416" s="10"/>
      <c r="B8416" s="10"/>
      <c r="C8416" s="10"/>
      <c r="D8416" s="10"/>
      <c r="E8416" s="10"/>
      <c r="F8416" s="10"/>
      <c r="G8416" s="10"/>
      <c r="H8416" s="10"/>
      <c r="I8416" s="10"/>
      <c r="J8416" s="10"/>
      <c r="K8416" s="10"/>
      <c r="L8416" s="10"/>
    </row>
    <row r="8417" spans="1:12" ht="15" customHeight="1" x14ac:dyDescent="0.25">
      <c r="A8417" s="10"/>
      <c r="B8417" s="10"/>
      <c r="C8417" s="10"/>
      <c r="D8417" s="10"/>
      <c r="E8417" s="10"/>
      <c r="F8417" s="10"/>
      <c r="G8417" s="10"/>
      <c r="H8417" s="10"/>
      <c r="I8417" s="10"/>
      <c r="J8417" s="10"/>
      <c r="K8417" s="10"/>
      <c r="L8417" s="10"/>
    </row>
    <row r="8418" spans="1:12" ht="15" customHeight="1" x14ac:dyDescent="0.25">
      <c r="A8418" s="10"/>
      <c r="B8418" s="10"/>
      <c r="C8418" s="10"/>
      <c r="D8418" s="10"/>
      <c r="E8418" s="10"/>
      <c r="F8418" s="10"/>
      <c r="G8418" s="10"/>
      <c r="H8418" s="10"/>
      <c r="I8418" s="10"/>
      <c r="J8418" s="10"/>
      <c r="K8418" s="10"/>
      <c r="L8418" s="10"/>
    </row>
    <row r="8419" spans="1:12" ht="15" customHeight="1" x14ac:dyDescent="0.25">
      <c r="A8419" s="10"/>
      <c r="B8419" s="10"/>
      <c r="C8419" s="10"/>
      <c r="D8419" s="10"/>
      <c r="E8419" s="10"/>
      <c r="F8419" s="10"/>
      <c r="G8419" s="10"/>
      <c r="H8419" s="10"/>
      <c r="I8419" s="10"/>
      <c r="J8419" s="10"/>
      <c r="K8419" s="10"/>
      <c r="L8419" s="10"/>
    </row>
    <row r="8420" spans="1:12" ht="15" customHeight="1" x14ac:dyDescent="0.25">
      <c r="A8420" s="10"/>
      <c r="B8420" s="10"/>
      <c r="C8420" s="10"/>
      <c r="D8420" s="10"/>
      <c r="E8420" s="10"/>
      <c r="F8420" s="10"/>
      <c r="G8420" s="10"/>
      <c r="H8420" s="10"/>
      <c r="I8420" s="10"/>
      <c r="J8420" s="10"/>
      <c r="K8420" s="10"/>
      <c r="L8420" s="10"/>
    </row>
    <row r="8421" spans="1:12" ht="15" customHeight="1" x14ac:dyDescent="0.25">
      <c r="A8421" s="10"/>
      <c r="B8421" s="10"/>
      <c r="C8421" s="10"/>
      <c r="D8421" s="10"/>
      <c r="E8421" s="10"/>
      <c r="F8421" s="10"/>
      <c r="G8421" s="10"/>
      <c r="H8421" s="10"/>
      <c r="I8421" s="10"/>
      <c r="J8421" s="10"/>
      <c r="K8421" s="10"/>
      <c r="L8421" s="10"/>
    </row>
    <row r="8422" spans="1:12" ht="15" customHeight="1" x14ac:dyDescent="0.25">
      <c r="A8422" s="10"/>
      <c r="B8422" s="10"/>
      <c r="C8422" s="10"/>
      <c r="D8422" s="10"/>
      <c r="E8422" s="10"/>
      <c r="F8422" s="10"/>
      <c r="G8422" s="10"/>
      <c r="H8422" s="10"/>
      <c r="I8422" s="10"/>
      <c r="J8422" s="10"/>
      <c r="K8422" s="10"/>
      <c r="L8422" s="10"/>
    </row>
    <row r="8423" spans="1:12" ht="15" customHeight="1" x14ac:dyDescent="0.25">
      <c r="A8423" s="10"/>
      <c r="B8423" s="10"/>
      <c r="C8423" s="10"/>
      <c r="D8423" s="10"/>
      <c r="E8423" s="10"/>
      <c r="F8423" s="10"/>
      <c r="G8423" s="10"/>
      <c r="H8423" s="10"/>
      <c r="I8423" s="10"/>
      <c r="J8423" s="10"/>
      <c r="K8423" s="10"/>
      <c r="L8423" s="10"/>
    </row>
    <row r="8424" spans="1:12" ht="15" customHeight="1" x14ac:dyDescent="0.25">
      <c r="A8424" s="10"/>
      <c r="B8424" s="10"/>
      <c r="C8424" s="10"/>
      <c r="D8424" s="10"/>
      <c r="E8424" s="10"/>
      <c r="F8424" s="10"/>
      <c r="G8424" s="10"/>
      <c r="H8424" s="10"/>
      <c r="I8424" s="10"/>
      <c r="J8424" s="10"/>
      <c r="K8424" s="10"/>
      <c r="L8424" s="10"/>
    </row>
    <row r="8425" spans="1:12" ht="15" customHeight="1" x14ac:dyDescent="0.25">
      <c r="A8425" s="10"/>
      <c r="B8425" s="10"/>
      <c r="C8425" s="10"/>
      <c r="D8425" s="10"/>
      <c r="E8425" s="10"/>
      <c r="F8425" s="10"/>
      <c r="G8425" s="10"/>
      <c r="H8425" s="10"/>
      <c r="I8425" s="10"/>
      <c r="J8425" s="10"/>
      <c r="K8425" s="10"/>
      <c r="L8425" s="10"/>
    </row>
    <row r="8426" spans="1:12" ht="15" customHeight="1" x14ac:dyDescent="0.25">
      <c r="A8426" s="10"/>
      <c r="B8426" s="10"/>
      <c r="C8426" s="10"/>
      <c r="D8426" s="10"/>
      <c r="E8426" s="10"/>
      <c r="F8426" s="10"/>
      <c r="G8426" s="10"/>
      <c r="H8426" s="10"/>
      <c r="I8426" s="10"/>
      <c r="J8426" s="10"/>
      <c r="K8426" s="10"/>
      <c r="L8426" s="10"/>
    </row>
    <row r="8427" spans="1:12" ht="15" customHeight="1" x14ac:dyDescent="0.25">
      <c r="A8427" s="10"/>
      <c r="B8427" s="10"/>
      <c r="C8427" s="10"/>
      <c r="D8427" s="10"/>
      <c r="E8427" s="10"/>
      <c r="F8427" s="10"/>
      <c r="G8427" s="10"/>
      <c r="H8427" s="10"/>
      <c r="I8427" s="10"/>
      <c r="J8427" s="10"/>
      <c r="K8427" s="10"/>
      <c r="L8427" s="10"/>
    </row>
    <row r="8428" spans="1:12" ht="15" customHeight="1" x14ac:dyDescent="0.25">
      <c r="A8428" s="10"/>
      <c r="B8428" s="10"/>
      <c r="C8428" s="10"/>
      <c r="D8428" s="10"/>
      <c r="E8428" s="10"/>
      <c r="F8428" s="10"/>
      <c r="G8428" s="10"/>
      <c r="H8428" s="10"/>
      <c r="I8428" s="10"/>
      <c r="J8428" s="10"/>
      <c r="K8428" s="10"/>
      <c r="L8428" s="10"/>
    </row>
    <row r="8429" spans="1:12" ht="15" customHeight="1" x14ac:dyDescent="0.25">
      <c r="A8429" s="10"/>
      <c r="B8429" s="10"/>
      <c r="C8429" s="10"/>
      <c r="D8429" s="10"/>
      <c r="E8429" s="10"/>
      <c r="F8429" s="10"/>
      <c r="G8429" s="10"/>
      <c r="H8429" s="10"/>
      <c r="I8429" s="10"/>
      <c r="J8429" s="10"/>
      <c r="K8429" s="10"/>
      <c r="L8429" s="10"/>
    </row>
    <row r="8430" spans="1:12" ht="15" customHeight="1" x14ac:dyDescent="0.25">
      <c r="A8430" s="10"/>
      <c r="B8430" s="10"/>
      <c r="C8430" s="10"/>
      <c r="D8430" s="10"/>
      <c r="E8430" s="10"/>
      <c r="F8430" s="10"/>
      <c r="G8430" s="10"/>
      <c r="H8430" s="10"/>
      <c r="I8430" s="10"/>
      <c r="J8430" s="10"/>
      <c r="K8430" s="10"/>
      <c r="L8430" s="10"/>
    </row>
    <row r="8431" spans="1:12" ht="15" customHeight="1" x14ac:dyDescent="0.25">
      <c r="A8431" s="10"/>
      <c r="B8431" s="10"/>
      <c r="C8431" s="10"/>
      <c r="D8431" s="10"/>
      <c r="E8431" s="10"/>
      <c r="F8431" s="10"/>
      <c r="G8431" s="10"/>
      <c r="H8431" s="10"/>
      <c r="I8431" s="10"/>
      <c r="J8431" s="10"/>
      <c r="K8431" s="10"/>
      <c r="L8431" s="10"/>
    </row>
    <row r="8432" spans="1:12" ht="15" customHeight="1" x14ac:dyDescent="0.25">
      <c r="A8432" s="10"/>
      <c r="B8432" s="10"/>
      <c r="C8432" s="10"/>
      <c r="D8432" s="10"/>
      <c r="E8432" s="10"/>
      <c r="F8432" s="10"/>
      <c r="G8432" s="10"/>
      <c r="H8432" s="10"/>
      <c r="I8432" s="10"/>
      <c r="J8432" s="10"/>
      <c r="K8432" s="10"/>
      <c r="L8432" s="10"/>
    </row>
    <row r="8433" spans="1:12" ht="15" customHeight="1" x14ac:dyDescent="0.25">
      <c r="A8433" s="10"/>
      <c r="B8433" s="10"/>
      <c r="C8433" s="10"/>
      <c r="D8433" s="10"/>
      <c r="E8433" s="10"/>
      <c r="F8433" s="10"/>
      <c r="G8433" s="10"/>
      <c r="H8433" s="10"/>
      <c r="I8433" s="10"/>
      <c r="J8433" s="10"/>
      <c r="K8433" s="10"/>
      <c r="L8433" s="10"/>
    </row>
    <row r="8434" spans="1:12" ht="15" customHeight="1" x14ac:dyDescent="0.25">
      <c r="A8434" s="10"/>
      <c r="B8434" s="10"/>
      <c r="C8434" s="10"/>
      <c r="D8434" s="10"/>
      <c r="E8434" s="10"/>
      <c r="F8434" s="10"/>
      <c r="G8434" s="10"/>
      <c r="H8434" s="10"/>
      <c r="I8434" s="10"/>
      <c r="J8434" s="10"/>
      <c r="K8434" s="10"/>
      <c r="L8434" s="10"/>
    </row>
    <row r="8435" spans="1:12" ht="15" customHeight="1" x14ac:dyDescent="0.25">
      <c r="A8435" s="10"/>
      <c r="B8435" s="10"/>
      <c r="C8435" s="10"/>
      <c r="D8435" s="10"/>
      <c r="E8435" s="10"/>
      <c r="F8435" s="10"/>
      <c r="G8435" s="10"/>
      <c r="H8435" s="10"/>
      <c r="I8435" s="10"/>
      <c r="J8435" s="10"/>
      <c r="K8435" s="10"/>
      <c r="L8435" s="10"/>
    </row>
    <row r="8436" spans="1:12" ht="15" customHeight="1" x14ac:dyDescent="0.25">
      <c r="A8436" s="10"/>
      <c r="B8436" s="10"/>
      <c r="C8436" s="10"/>
      <c r="D8436" s="10"/>
      <c r="E8436" s="10"/>
      <c r="F8436" s="10"/>
      <c r="G8436" s="10"/>
      <c r="H8436" s="10"/>
      <c r="I8436" s="10"/>
      <c r="J8436" s="10"/>
      <c r="K8436" s="10"/>
      <c r="L8436" s="10"/>
    </row>
    <row r="8437" spans="1:12" ht="15" customHeight="1" x14ac:dyDescent="0.25">
      <c r="A8437" s="10"/>
      <c r="B8437" s="10"/>
      <c r="C8437" s="10"/>
      <c r="D8437" s="10"/>
      <c r="E8437" s="10"/>
      <c r="F8437" s="10"/>
      <c r="G8437" s="10"/>
      <c r="H8437" s="10"/>
      <c r="I8437" s="10"/>
      <c r="J8437" s="10"/>
      <c r="K8437" s="10"/>
      <c r="L8437" s="10"/>
    </row>
    <row r="8438" spans="1:12" ht="15" customHeight="1" x14ac:dyDescent="0.25">
      <c r="A8438" s="10"/>
      <c r="B8438" s="10"/>
      <c r="C8438" s="10"/>
      <c r="D8438" s="10"/>
      <c r="E8438" s="10"/>
      <c r="F8438" s="10"/>
      <c r="G8438" s="10"/>
      <c r="H8438" s="10"/>
      <c r="I8438" s="10"/>
      <c r="J8438" s="10"/>
      <c r="K8438" s="10"/>
      <c r="L8438" s="10"/>
    </row>
    <row r="8439" spans="1:12" ht="15" customHeight="1" x14ac:dyDescent="0.25">
      <c r="A8439" s="10"/>
      <c r="B8439" s="10"/>
      <c r="C8439" s="10"/>
      <c r="D8439" s="10"/>
      <c r="E8439" s="10"/>
      <c r="F8439" s="10"/>
      <c r="G8439" s="10"/>
      <c r="H8439" s="10"/>
      <c r="I8439" s="10"/>
      <c r="J8439" s="10"/>
      <c r="K8439" s="10"/>
      <c r="L8439" s="10"/>
    </row>
    <row r="8440" spans="1:12" ht="15" customHeight="1" x14ac:dyDescent="0.25">
      <c r="A8440" s="10"/>
      <c r="B8440" s="10"/>
      <c r="C8440" s="10"/>
      <c r="D8440" s="10"/>
      <c r="E8440" s="10"/>
      <c r="F8440" s="10"/>
      <c r="G8440" s="10"/>
      <c r="H8440" s="10"/>
      <c r="I8440" s="10"/>
      <c r="J8440" s="10"/>
      <c r="K8440" s="10"/>
      <c r="L8440" s="10"/>
    </row>
    <row r="8441" spans="1:12" ht="15" customHeight="1" x14ac:dyDescent="0.25">
      <c r="A8441" s="10"/>
      <c r="B8441" s="10"/>
      <c r="C8441" s="10"/>
      <c r="D8441" s="10"/>
      <c r="E8441" s="10"/>
      <c r="F8441" s="10"/>
      <c r="G8441" s="10"/>
      <c r="H8441" s="10"/>
      <c r="I8441" s="10"/>
      <c r="J8441" s="10"/>
      <c r="K8441" s="10"/>
      <c r="L8441" s="10"/>
    </row>
    <row r="8442" spans="1:12" ht="15" customHeight="1" x14ac:dyDescent="0.25">
      <c r="A8442" s="10"/>
      <c r="B8442" s="10"/>
      <c r="C8442" s="10"/>
      <c r="D8442" s="10"/>
      <c r="E8442" s="10"/>
      <c r="F8442" s="10"/>
      <c r="G8442" s="10"/>
      <c r="H8442" s="10"/>
      <c r="I8442" s="10"/>
      <c r="J8442" s="10"/>
      <c r="K8442" s="10"/>
      <c r="L8442" s="10"/>
    </row>
    <row r="8443" spans="1:12" ht="15" customHeight="1" x14ac:dyDescent="0.25">
      <c r="A8443" s="10"/>
      <c r="B8443" s="10"/>
      <c r="C8443" s="10"/>
      <c r="D8443" s="10"/>
      <c r="E8443" s="10"/>
      <c r="F8443" s="10"/>
      <c r="G8443" s="10"/>
      <c r="H8443" s="10"/>
      <c r="I8443" s="10"/>
      <c r="J8443" s="10"/>
      <c r="K8443" s="10"/>
      <c r="L8443" s="10"/>
    </row>
    <row r="8444" spans="1:12" ht="15" customHeight="1" x14ac:dyDescent="0.25">
      <c r="A8444" s="10"/>
      <c r="B8444" s="10"/>
      <c r="C8444" s="10"/>
      <c r="D8444" s="10"/>
      <c r="E8444" s="10"/>
      <c r="F8444" s="10"/>
      <c r="G8444" s="10"/>
      <c r="H8444" s="10"/>
      <c r="I8444" s="10"/>
      <c r="J8444" s="10"/>
      <c r="K8444" s="10"/>
      <c r="L8444" s="10"/>
    </row>
    <row r="8445" spans="1:12" ht="15" customHeight="1" x14ac:dyDescent="0.25">
      <c r="A8445" s="10"/>
      <c r="B8445" s="10"/>
      <c r="C8445" s="10"/>
      <c r="D8445" s="10"/>
      <c r="E8445" s="10"/>
      <c r="F8445" s="10"/>
      <c r="G8445" s="10"/>
      <c r="H8445" s="10"/>
      <c r="I8445" s="10"/>
      <c r="J8445" s="10"/>
      <c r="K8445" s="10"/>
      <c r="L8445" s="10"/>
    </row>
    <row r="8446" spans="1:12" ht="15" customHeight="1" x14ac:dyDescent="0.25">
      <c r="A8446" s="10"/>
      <c r="B8446" s="10"/>
      <c r="C8446" s="10"/>
      <c r="D8446" s="10"/>
      <c r="E8446" s="10"/>
      <c r="F8446" s="10"/>
      <c r="G8446" s="10"/>
      <c r="H8446" s="10"/>
      <c r="I8446" s="10"/>
      <c r="J8446" s="10"/>
      <c r="K8446" s="10"/>
      <c r="L8446" s="10"/>
    </row>
    <row r="8447" spans="1:12" ht="15" customHeight="1" x14ac:dyDescent="0.25">
      <c r="A8447" s="10"/>
      <c r="B8447" s="10"/>
      <c r="C8447" s="10"/>
      <c r="D8447" s="10"/>
      <c r="E8447" s="10"/>
      <c r="F8447" s="10"/>
      <c r="G8447" s="10"/>
      <c r="H8447" s="10"/>
      <c r="I8447" s="10"/>
      <c r="J8447" s="10"/>
      <c r="K8447" s="10"/>
      <c r="L8447" s="10"/>
    </row>
    <row r="8448" spans="1:12" ht="15" customHeight="1" x14ac:dyDescent="0.25">
      <c r="A8448" s="10"/>
      <c r="B8448" s="10"/>
      <c r="C8448" s="10"/>
      <c r="D8448" s="10"/>
      <c r="E8448" s="10"/>
      <c r="F8448" s="10"/>
      <c r="G8448" s="10"/>
      <c r="H8448" s="10"/>
      <c r="I8448" s="10"/>
      <c r="J8448" s="10"/>
      <c r="K8448" s="10"/>
      <c r="L8448" s="10"/>
    </row>
    <row r="8449" spans="1:12" ht="15" customHeight="1" x14ac:dyDescent="0.25">
      <c r="A8449" s="10"/>
      <c r="B8449" s="10"/>
      <c r="C8449" s="10"/>
      <c r="D8449" s="10"/>
      <c r="E8449" s="10"/>
      <c r="F8449" s="10"/>
      <c r="G8449" s="10"/>
      <c r="H8449" s="10"/>
      <c r="I8449" s="10"/>
      <c r="J8449" s="10"/>
      <c r="K8449" s="10"/>
      <c r="L8449" s="10"/>
    </row>
    <row r="8450" spans="1:12" ht="15" customHeight="1" x14ac:dyDescent="0.25">
      <c r="A8450" s="10"/>
      <c r="B8450" s="10"/>
      <c r="C8450" s="10"/>
      <c r="D8450" s="10"/>
      <c r="E8450" s="10"/>
      <c r="F8450" s="10"/>
      <c r="G8450" s="10"/>
      <c r="H8450" s="10"/>
      <c r="I8450" s="10"/>
      <c r="J8450" s="10"/>
      <c r="K8450" s="10"/>
      <c r="L8450" s="10"/>
    </row>
    <row r="8451" spans="1:12" ht="15" customHeight="1" x14ac:dyDescent="0.25">
      <c r="A8451" s="10"/>
      <c r="B8451" s="10"/>
      <c r="C8451" s="10"/>
      <c r="D8451" s="10"/>
      <c r="E8451" s="10"/>
      <c r="F8451" s="10"/>
      <c r="G8451" s="10"/>
      <c r="H8451" s="10"/>
      <c r="I8451" s="10"/>
      <c r="J8451" s="10"/>
      <c r="K8451" s="10"/>
      <c r="L8451" s="10"/>
    </row>
    <row r="8452" spans="1:12" ht="15" customHeight="1" x14ac:dyDescent="0.25">
      <c r="A8452" s="10"/>
      <c r="B8452" s="10"/>
      <c r="C8452" s="10"/>
      <c r="D8452" s="10"/>
      <c r="E8452" s="10"/>
      <c r="F8452" s="10"/>
      <c r="G8452" s="10"/>
      <c r="H8452" s="10"/>
      <c r="I8452" s="10"/>
      <c r="J8452" s="10"/>
      <c r="K8452" s="10"/>
      <c r="L8452" s="10"/>
    </row>
    <row r="8453" spans="1:12" ht="15" customHeight="1" x14ac:dyDescent="0.25">
      <c r="A8453" s="10"/>
      <c r="B8453" s="10"/>
      <c r="C8453" s="10"/>
      <c r="D8453" s="10"/>
      <c r="E8453" s="10"/>
      <c r="F8453" s="10"/>
      <c r="G8453" s="10"/>
      <c r="H8453" s="10"/>
      <c r="I8453" s="10"/>
      <c r="J8453" s="10"/>
      <c r="K8453" s="10"/>
      <c r="L8453" s="10"/>
    </row>
    <row r="8454" spans="1:12" ht="15" customHeight="1" x14ac:dyDescent="0.25">
      <c r="A8454" s="10"/>
      <c r="B8454" s="10"/>
      <c r="C8454" s="10"/>
      <c r="D8454" s="10"/>
      <c r="E8454" s="10"/>
      <c r="F8454" s="10"/>
      <c r="G8454" s="10"/>
      <c r="H8454" s="10"/>
      <c r="I8454" s="10"/>
      <c r="J8454" s="10"/>
      <c r="K8454" s="10"/>
      <c r="L8454" s="10"/>
    </row>
    <row r="8455" spans="1:12" ht="15" customHeight="1" x14ac:dyDescent="0.25">
      <c r="A8455" s="10"/>
      <c r="B8455" s="10"/>
      <c r="C8455" s="10"/>
      <c r="D8455" s="10"/>
      <c r="E8455" s="10"/>
      <c r="F8455" s="10"/>
      <c r="G8455" s="10"/>
      <c r="H8455" s="10"/>
      <c r="I8455" s="10"/>
      <c r="J8455" s="10"/>
      <c r="K8455" s="10"/>
      <c r="L8455" s="10"/>
    </row>
    <row r="8456" spans="1:12" ht="15" customHeight="1" x14ac:dyDescent="0.25">
      <c r="A8456" s="10"/>
      <c r="B8456" s="10"/>
      <c r="C8456" s="10"/>
      <c r="D8456" s="10"/>
      <c r="E8456" s="10"/>
      <c r="F8456" s="10"/>
      <c r="G8456" s="10"/>
      <c r="H8456" s="10"/>
      <c r="I8456" s="10"/>
      <c r="J8456" s="10"/>
      <c r="K8456" s="10"/>
      <c r="L8456" s="10"/>
    </row>
    <row r="8457" spans="1:12" ht="15" customHeight="1" x14ac:dyDescent="0.25">
      <c r="A8457" s="10"/>
      <c r="B8457" s="10"/>
      <c r="C8457" s="10"/>
      <c r="D8457" s="10"/>
      <c r="E8457" s="10"/>
      <c r="F8457" s="10"/>
      <c r="G8457" s="10"/>
      <c r="H8457" s="10"/>
      <c r="I8457" s="10"/>
      <c r="J8457" s="10"/>
      <c r="K8457" s="10"/>
      <c r="L8457" s="10"/>
    </row>
    <row r="8458" spans="1:12" ht="15" customHeight="1" x14ac:dyDescent="0.25">
      <c r="A8458" s="10"/>
      <c r="B8458" s="10"/>
      <c r="C8458" s="10"/>
      <c r="D8458" s="10"/>
      <c r="E8458" s="10"/>
      <c r="F8458" s="10"/>
      <c r="G8458" s="10"/>
      <c r="H8458" s="10"/>
      <c r="I8458" s="10"/>
      <c r="J8458" s="10"/>
      <c r="K8458" s="10"/>
      <c r="L8458" s="10"/>
    </row>
    <row r="8459" spans="1:12" ht="15" customHeight="1" x14ac:dyDescent="0.25">
      <c r="A8459" s="10"/>
      <c r="B8459" s="10"/>
      <c r="C8459" s="10"/>
      <c r="D8459" s="10"/>
      <c r="E8459" s="10"/>
      <c r="F8459" s="10"/>
      <c r="G8459" s="10"/>
      <c r="H8459" s="10"/>
      <c r="I8459" s="10"/>
      <c r="J8459" s="10"/>
      <c r="K8459" s="10"/>
      <c r="L8459" s="10"/>
    </row>
    <row r="8460" spans="1:12" ht="15" customHeight="1" x14ac:dyDescent="0.25">
      <c r="A8460" s="10"/>
      <c r="B8460" s="10"/>
      <c r="C8460" s="10"/>
      <c r="D8460" s="10"/>
      <c r="E8460" s="10"/>
      <c r="F8460" s="10"/>
      <c r="G8460" s="10"/>
      <c r="H8460" s="10"/>
      <c r="I8460" s="10"/>
      <c r="J8460" s="10"/>
      <c r="K8460" s="10"/>
      <c r="L8460" s="10"/>
    </row>
    <row r="8461" spans="1:12" ht="15" customHeight="1" x14ac:dyDescent="0.25">
      <c r="A8461" s="10"/>
      <c r="B8461" s="10"/>
      <c r="C8461" s="10"/>
      <c r="D8461" s="10"/>
      <c r="E8461" s="10"/>
      <c r="F8461" s="10"/>
      <c r="G8461" s="10"/>
      <c r="H8461" s="10"/>
      <c r="I8461" s="10"/>
      <c r="J8461" s="10"/>
      <c r="K8461" s="10"/>
      <c r="L8461" s="10"/>
    </row>
    <row r="8462" spans="1:12" ht="15" customHeight="1" x14ac:dyDescent="0.25">
      <c r="A8462" s="10"/>
      <c r="B8462" s="10"/>
      <c r="C8462" s="10"/>
      <c r="D8462" s="10"/>
      <c r="E8462" s="10"/>
      <c r="F8462" s="10"/>
      <c r="G8462" s="10"/>
      <c r="H8462" s="10"/>
      <c r="I8462" s="10"/>
      <c r="J8462" s="10"/>
      <c r="K8462" s="10"/>
      <c r="L8462" s="10"/>
    </row>
    <row r="8463" spans="1:12" ht="15" customHeight="1" x14ac:dyDescent="0.25">
      <c r="A8463" s="10"/>
      <c r="B8463" s="10"/>
      <c r="C8463" s="10"/>
      <c r="D8463" s="10"/>
      <c r="E8463" s="10"/>
      <c r="F8463" s="10"/>
      <c r="G8463" s="10"/>
      <c r="H8463" s="10"/>
      <c r="I8463" s="10"/>
      <c r="J8463" s="10"/>
      <c r="K8463" s="10"/>
      <c r="L8463" s="10"/>
    </row>
    <row r="8464" spans="1:12" ht="15" customHeight="1" x14ac:dyDescent="0.25">
      <c r="A8464" s="10"/>
      <c r="B8464" s="10"/>
      <c r="C8464" s="10"/>
      <c r="D8464" s="10"/>
      <c r="E8464" s="10"/>
      <c r="F8464" s="10"/>
      <c r="G8464" s="10"/>
      <c r="H8464" s="10"/>
      <c r="I8464" s="10"/>
      <c r="J8464" s="10"/>
      <c r="K8464" s="10"/>
      <c r="L8464" s="10"/>
    </row>
    <row r="8465" spans="1:12" ht="15" customHeight="1" x14ac:dyDescent="0.25">
      <c r="A8465" s="10"/>
      <c r="B8465" s="10"/>
      <c r="C8465" s="10"/>
      <c r="D8465" s="10"/>
      <c r="E8465" s="10"/>
      <c r="F8465" s="10"/>
      <c r="G8465" s="10"/>
      <c r="H8465" s="10"/>
      <c r="I8465" s="10"/>
      <c r="J8465" s="10"/>
      <c r="K8465" s="10"/>
      <c r="L8465" s="10"/>
    </row>
    <row r="8466" spans="1:12" ht="15" customHeight="1" x14ac:dyDescent="0.25">
      <c r="A8466" s="10"/>
      <c r="B8466" s="10"/>
      <c r="C8466" s="10"/>
      <c r="D8466" s="10"/>
      <c r="E8466" s="10"/>
      <c r="F8466" s="10"/>
      <c r="G8466" s="10"/>
      <c r="H8466" s="10"/>
      <c r="I8466" s="10"/>
      <c r="J8466" s="10"/>
      <c r="K8466" s="10"/>
      <c r="L8466" s="10"/>
    </row>
    <row r="8467" spans="1:12" ht="15" customHeight="1" x14ac:dyDescent="0.25">
      <c r="A8467" s="10"/>
      <c r="B8467" s="10"/>
      <c r="C8467" s="10"/>
      <c r="D8467" s="10"/>
      <c r="E8467" s="10"/>
      <c r="F8467" s="10"/>
      <c r="G8467" s="10"/>
      <c r="H8467" s="10"/>
      <c r="I8467" s="10"/>
      <c r="J8467" s="10"/>
      <c r="K8467" s="10"/>
      <c r="L8467" s="10"/>
    </row>
    <row r="8468" spans="1:12" ht="15" customHeight="1" x14ac:dyDescent="0.25">
      <c r="A8468" s="10"/>
      <c r="B8468" s="10"/>
      <c r="C8468" s="10"/>
      <c r="D8468" s="10"/>
      <c r="E8468" s="10"/>
      <c r="F8468" s="10"/>
      <c r="G8468" s="10"/>
      <c r="H8468" s="10"/>
      <c r="I8468" s="10"/>
      <c r="J8468" s="10"/>
      <c r="K8468" s="10"/>
      <c r="L8468" s="10"/>
    </row>
    <row r="8469" spans="1:12" ht="15" customHeight="1" x14ac:dyDescent="0.25">
      <c r="A8469" s="10"/>
      <c r="B8469" s="10"/>
      <c r="C8469" s="10"/>
      <c r="D8469" s="10"/>
      <c r="E8469" s="10"/>
      <c r="F8469" s="10"/>
      <c r="G8469" s="10"/>
      <c r="H8469" s="10"/>
      <c r="I8469" s="10"/>
      <c r="J8469" s="10"/>
      <c r="K8469" s="10"/>
      <c r="L8469" s="10"/>
    </row>
    <row r="8470" spans="1:12" ht="15" customHeight="1" x14ac:dyDescent="0.25">
      <c r="A8470" s="10"/>
      <c r="B8470" s="10"/>
      <c r="C8470" s="10"/>
      <c r="D8470" s="10"/>
      <c r="E8470" s="10"/>
      <c r="F8470" s="10"/>
      <c r="G8470" s="10"/>
      <c r="H8470" s="10"/>
      <c r="I8470" s="10"/>
      <c r="J8470" s="10"/>
      <c r="K8470" s="10"/>
      <c r="L8470" s="10"/>
    </row>
    <row r="8471" spans="1:12" ht="15" customHeight="1" x14ac:dyDescent="0.25">
      <c r="A8471" s="10"/>
      <c r="B8471" s="10"/>
      <c r="C8471" s="10"/>
      <c r="D8471" s="10"/>
      <c r="E8471" s="10"/>
      <c r="F8471" s="10"/>
      <c r="G8471" s="10"/>
      <c r="H8471" s="10"/>
      <c r="I8471" s="10"/>
      <c r="J8471" s="10"/>
      <c r="K8471" s="10"/>
      <c r="L8471" s="10"/>
    </row>
    <row r="8472" spans="1:12" ht="15" customHeight="1" x14ac:dyDescent="0.25">
      <c r="A8472" s="10"/>
      <c r="B8472" s="10"/>
      <c r="C8472" s="10"/>
      <c r="D8472" s="10"/>
      <c r="E8472" s="10"/>
      <c r="F8472" s="10"/>
      <c r="G8472" s="10"/>
      <c r="H8472" s="10"/>
      <c r="I8472" s="10"/>
      <c r="J8472" s="10"/>
      <c r="K8472" s="10"/>
      <c r="L8472" s="10"/>
    </row>
    <row r="8473" spans="1:12" ht="15" customHeight="1" x14ac:dyDescent="0.25">
      <c r="A8473" s="10"/>
      <c r="B8473" s="10"/>
      <c r="C8473" s="10"/>
      <c r="D8473" s="10"/>
      <c r="E8473" s="10"/>
      <c r="F8473" s="10"/>
      <c r="G8473" s="10"/>
      <c r="H8473" s="10"/>
      <c r="I8473" s="10"/>
      <c r="J8473" s="10"/>
      <c r="K8473" s="10"/>
      <c r="L8473" s="10"/>
    </row>
    <row r="8474" spans="1:12" ht="15" customHeight="1" x14ac:dyDescent="0.25">
      <c r="A8474" s="10"/>
      <c r="B8474" s="10"/>
      <c r="C8474" s="10"/>
      <c r="D8474" s="10"/>
      <c r="E8474" s="10"/>
      <c r="F8474" s="10"/>
      <c r="G8474" s="10"/>
      <c r="H8474" s="10"/>
      <c r="I8474" s="10"/>
      <c r="J8474" s="10"/>
      <c r="K8474" s="10"/>
      <c r="L8474" s="10"/>
    </row>
    <row r="8475" spans="1:12" ht="15" customHeight="1" x14ac:dyDescent="0.25">
      <c r="A8475" s="10"/>
      <c r="B8475" s="10"/>
      <c r="C8475" s="10"/>
      <c r="D8475" s="10"/>
      <c r="E8475" s="10"/>
      <c r="F8475" s="10"/>
      <c r="G8475" s="10"/>
      <c r="H8475" s="10"/>
      <c r="I8475" s="10"/>
      <c r="J8475" s="10"/>
      <c r="K8475" s="10"/>
      <c r="L8475" s="10"/>
    </row>
    <row r="8476" spans="1:12" ht="15" customHeight="1" x14ac:dyDescent="0.25">
      <c r="A8476" s="10"/>
      <c r="B8476" s="10"/>
      <c r="C8476" s="10"/>
      <c r="D8476" s="10"/>
      <c r="E8476" s="10"/>
      <c r="F8476" s="10"/>
      <c r="G8476" s="10"/>
      <c r="H8476" s="10"/>
      <c r="I8476" s="10"/>
      <c r="J8476" s="10"/>
      <c r="K8476" s="10"/>
      <c r="L8476" s="10"/>
    </row>
    <row r="8477" spans="1:12" ht="15" customHeight="1" x14ac:dyDescent="0.25">
      <c r="A8477" s="10"/>
      <c r="B8477" s="10"/>
      <c r="C8477" s="10"/>
      <c r="D8477" s="10"/>
      <c r="E8477" s="10"/>
      <c r="F8477" s="10"/>
      <c r="G8477" s="10"/>
      <c r="H8477" s="10"/>
      <c r="I8477" s="10"/>
      <c r="J8477" s="10"/>
      <c r="K8477" s="10"/>
      <c r="L8477" s="10"/>
    </row>
    <row r="8478" spans="1:12" ht="15" customHeight="1" x14ac:dyDescent="0.25">
      <c r="A8478" s="10"/>
      <c r="B8478" s="10"/>
      <c r="C8478" s="10"/>
      <c r="D8478" s="10"/>
      <c r="E8478" s="10"/>
      <c r="F8478" s="10"/>
      <c r="G8478" s="10"/>
      <c r="H8478" s="10"/>
      <c r="I8478" s="10"/>
      <c r="J8478" s="10"/>
      <c r="K8478" s="10"/>
      <c r="L8478" s="10"/>
    </row>
    <row r="8479" spans="1:12" ht="15" customHeight="1" x14ac:dyDescent="0.25">
      <c r="A8479" s="10"/>
      <c r="B8479" s="10"/>
      <c r="C8479" s="10"/>
      <c r="D8479" s="10"/>
      <c r="E8479" s="10"/>
      <c r="F8479" s="10"/>
      <c r="G8479" s="10"/>
      <c r="H8479" s="10"/>
      <c r="I8479" s="10"/>
      <c r="J8479" s="10"/>
      <c r="K8479" s="10"/>
      <c r="L8479" s="10"/>
    </row>
    <row r="8480" spans="1:12" ht="15" customHeight="1" x14ac:dyDescent="0.25">
      <c r="A8480" s="10"/>
      <c r="B8480" s="10"/>
      <c r="C8480" s="10"/>
      <c r="D8480" s="10"/>
      <c r="E8480" s="10"/>
      <c r="F8480" s="10"/>
      <c r="G8480" s="10"/>
      <c r="H8480" s="10"/>
      <c r="I8480" s="10"/>
      <c r="J8480" s="10"/>
      <c r="K8480" s="10"/>
      <c r="L8480" s="10"/>
    </row>
    <row r="8481" spans="1:12" ht="15" customHeight="1" x14ac:dyDescent="0.25">
      <c r="A8481" s="10"/>
      <c r="B8481" s="10"/>
      <c r="C8481" s="10"/>
      <c r="D8481" s="10"/>
      <c r="E8481" s="10"/>
      <c r="F8481" s="10"/>
      <c r="G8481" s="10"/>
      <c r="H8481" s="10"/>
      <c r="I8481" s="10"/>
      <c r="J8481" s="10"/>
      <c r="K8481" s="10"/>
      <c r="L8481" s="10"/>
    </row>
    <row r="8482" spans="1:12" ht="15" customHeight="1" x14ac:dyDescent="0.25">
      <c r="A8482" s="10"/>
      <c r="B8482" s="10"/>
      <c r="C8482" s="10"/>
      <c r="D8482" s="10"/>
      <c r="E8482" s="10"/>
      <c r="F8482" s="10"/>
      <c r="G8482" s="10"/>
      <c r="H8482" s="10"/>
      <c r="I8482" s="10"/>
      <c r="J8482" s="10"/>
      <c r="K8482" s="10"/>
      <c r="L8482" s="10"/>
    </row>
    <row r="8483" spans="1:12" ht="15" customHeight="1" x14ac:dyDescent="0.25">
      <c r="A8483" s="10"/>
      <c r="B8483" s="10"/>
      <c r="C8483" s="10"/>
      <c r="D8483" s="10"/>
      <c r="E8483" s="10"/>
      <c r="F8483" s="10"/>
      <c r="G8483" s="10"/>
      <c r="H8483" s="10"/>
      <c r="I8483" s="10"/>
      <c r="J8483" s="10"/>
      <c r="K8483" s="10"/>
      <c r="L8483" s="10"/>
    </row>
    <row r="8484" spans="1:12" ht="15" customHeight="1" x14ac:dyDescent="0.25">
      <c r="A8484" s="10"/>
      <c r="B8484" s="10"/>
      <c r="C8484" s="10"/>
      <c r="D8484" s="10"/>
      <c r="E8484" s="10"/>
      <c r="F8484" s="10"/>
      <c r="G8484" s="10"/>
      <c r="H8484" s="10"/>
      <c r="I8484" s="10"/>
      <c r="J8484" s="10"/>
      <c r="K8484" s="10"/>
      <c r="L8484" s="10"/>
    </row>
    <row r="8485" spans="1:12" ht="15" customHeight="1" x14ac:dyDescent="0.25">
      <c r="A8485" s="10"/>
      <c r="B8485" s="10"/>
      <c r="C8485" s="10"/>
      <c r="D8485" s="10"/>
      <c r="E8485" s="10"/>
      <c r="F8485" s="10"/>
      <c r="G8485" s="10"/>
      <c r="H8485" s="10"/>
      <c r="I8485" s="10"/>
      <c r="J8485" s="10"/>
      <c r="K8485" s="10"/>
      <c r="L8485" s="10"/>
    </row>
    <row r="8486" spans="1:12" ht="15" customHeight="1" x14ac:dyDescent="0.25">
      <c r="A8486" s="10"/>
      <c r="B8486" s="10"/>
      <c r="C8486" s="10"/>
      <c r="D8486" s="10"/>
      <c r="E8486" s="10"/>
      <c r="F8486" s="10"/>
      <c r="G8486" s="10"/>
      <c r="H8486" s="10"/>
      <c r="I8486" s="10"/>
      <c r="J8486" s="10"/>
      <c r="K8486" s="10"/>
      <c r="L8486" s="10"/>
    </row>
    <row r="8487" spans="1:12" ht="15" customHeight="1" x14ac:dyDescent="0.25">
      <c r="A8487" s="10"/>
      <c r="B8487" s="10"/>
      <c r="C8487" s="10"/>
      <c r="D8487" s="10"/>
      <c r="E8487" s="10"/>
      <c r="F8487" s="10"/>
      <c r="G8487" s="10"/>
      <c r="H8487" s="10"/>
      <c r="I8487" s="10"/>
      <c r="J8487" s="10"/>
      <c r="K8487" s="10"/>
      <c r="L8487" s="10"/>
    </row>
    <row r="8488" spans="1:12" ht="15" customHeight="1" x14ac:dyDescent="0.25">
      <c r="A8488" s="10"/>
      <c r="B8488" s="10"/>
      <c r="C8488" s="10"/>
      <c r="D8488" s="10"/>
      <c r="E8488" s="10"/>
      <c r="F8488" s="10"/>
      <c r="G8488" s="10"/>
      <c r="H8488" s="10"/>
      <c r="I8488" s="10"/>
      <c r="J8488" s="10"/>
      <c r="K8488" s="10"/>
      <c r="L8488" s="10"/>
    </row>
    <row r="8489" spans="1:12" ht="15" customHeight="1" x14ac:dyDescent="0.25">
      <c r="A8489" s="10"/>
      <c r="B8489" s="10"/>
      <c r="C8489" s="10"/>
      <c r="D8489" s="10"/>
      <c r="E8489" s="10"/>
      <c r="F8489" s="10"/>
      <c r="G8489" s="10"/>
      <c r="H8489" s="10"/>
      <c r="I8489" s="10"/>
      <c r="J8489" s="10"/>
      <c r="K8489" s="10"/>
      <c r="L8489" s="10"/>
    </row>
    <row r="8490" spans="1:12" ht="15" customHeight="1" x14ac:dyDescent="0.25">
      <c r="A8490" s="10"/>
      <c r="B8490" s="10"/>
      <c r="C8490" s="10"/>
      <c r="D8490" s="10"/>
      <c r="E8490" s="10"/>
      <c r="F8490" s="10"/>
      <c r="G8490" s="10"/>
      <c r="H8490" s="10"/>
      <c r="I8490" s="10"/>
      <c r="J8490" s="10"/>
      <c r="K8490" s="10"/>
      <c r="L8490" s="10"/>
    </row>
    <row r="8491" spans="1:12" ht="15" customHeight="1" x14ac:dyDescent="0.25">
      <c r="A8491" s="10"/>
      <c r="B8491" s="10"/>
      <c r="C8491" s="10"/>
      <c r="D8491" s="10"/>
      <c r="E8491" s="10"/>
      <c r="F8491" s="10"/>
      <c r="G8491" s="10"/>
      <c r="H8491" s="10"/>
      <c r="I8491" s="10"/>
      <c r="J8491" s="10"/>
      <c r="K8491" s="10"/>
      <c r="L8491" s="10"/>
    </row>
    <row r="8492" spans="1:12" ht="15" customHeight="1" x14ac:dyDescent="0.25">
      <c r="A8492" s="10"/>
      <c r="B8492" s="10"/>
      <c r="C8492" s="10"/>
      <c r="D8492" s="10"/>
      <c r="E8492" s="10"/>
      <c r="F8492" s="10"/>
      <c r="G8492" s="10"/>
      <c r="H8492" s="10"/>
      <c r="I8492" s="10"/>
      <c r="J8492" s="10"/>
      <c r="K8492" s="10"/>
      <c r="L8492" s="10"/>
    </row>
    <row r="8493" spans="1:12" ht="15" customHeight="1" x14ac:dyDescent="0.25">
      <c r="A8493" s="10"/>
      <c r="B8493" s="10"/>
      <c r="C8493" s="10"/>
      <c r="D8493" s="10"/>
      <c r="E8493" s="10"/>
      <c r="F8493" s="10"/>
      <c r="G8493" s="10"/>
      <c r="H8493" s="10"/>
      <c r="I8493" s="10"/>
      <c r="J8493" s="10"/>
      <c r="K8493" s="10"/>
      <c r="L8493" s="10"/>
    </row>
    <row r="8494" spans="1:12" ht="15" customHeight="1" x14ac:dyDescent="0.25">
      <c r="A8494" s="10"/>
      <c r="B8494" s="10"/>
      <c r="C8494" s="10"/>
      <c r="D8494" s="10"/>
      <c r="E8494" s="10"/>
      <c r="F8494" s="10"/>
      <c r="G8494" s="10"/>
      <c r="H8494" s="10"/>
      <c r="I8494" s="10"/>
      <c r="J8494" s="10"/>
      <c r="K8494" s="10"/>
      <c r="L8494" s="10"/>
    </row>
    <row r="8495" spans="1:12" ht="15" customHeight="1" x14ac:dyDescent="0.25">
      <c r="A8495" s="10"/>
      <c r="B8495" s="10"/>
      <c r="C8495" s="10"/>
      <c r="D8495" s="10"/>
      <c r="E8495" s="10"/>
      <c r="F8495" s="10"/>
      <c r="G8495" s="10"/>
      <c r="H8495" s="10"/>
      <c r="I8495" s="10"/>
      <c r="J8495" s="10"/>
      <c r="K8495" s="10"/>
      <c r="L8495" s="10"/>
    </row>
    <row r="8496" spans="1:12" ht="15" customHeight="1" x14ac:dyDescent="0.25">
      <c r="A8496" s="10"/>
      <c r="B8496" s="10"/>
      <c r="C8496" s="10"/>
      <c r="D8496" s="10"/>
      <c r="E8496" s="10"/>
      <c r="F8496" s="10"/>
      <c r="G8496" s="10"/>
      <c r="H8496" s="10"/>
      <c r="I8496" s="10"/>
      <c r="J8496" s="10"/>
      <c r="K8496" s="10"/>
      <c r="L8496" s="10"/>
    </row>
    <row r="8497" spans="1:12" ht="15" customHeight="1" x14ac:dyDescent="0.25">
      <c r="A8497" s="10"/>
      <c r="B8497" s="10"/>
      <c r="C8497" s="10"/>
      <c r="D8497" s="10"/>
      <c r="E8497" s="10"/>
      <c r="F8497" s="10"/>
      <c r="G8497" s="10"/>
      <c r="H8497" s="10"/>
      <c r="I8497" s="10"/>
      <c r="J8497" s="10"/>
      <c r="K8497" s="10"/>
      <c r="L8497" s="10"/>
    </row>
    <row r="8498" spans="1:12" ht="15" customHeight="1" x14ac:dyDescent="0.25">
      <c r="A8498" s="10"/>
      <c r="B8498" s="10"/>
      <c r="C8498" s="10"/>
      <c r="D8498" s="10"/>
      <c r="E8498" s="10"/>
      <c r="F8498" s="10"/>
      <c r="G8498" s="10"/>
      <c r="H8498" s="10"/>
      <c r="I8498" s="10"/>
      <c r="J8498" s="10"/>
      <c r="K8498" s="10"/>
      <c r="L8498" s="10"/>
    </row>
    <row r="8499" spans="1:12" ht="15" customHeight="1" x14ac:dyDescent="0.25">
      <c r="A8499" s="10"/>
      <c r="B8499" s="10"/>
      <c r="C8499" s="10"/>
      <c r="D8499" s="10"/>
      <c r="E8499" s="10"/>
      <c r="F8499" s="10"/>
      <c r="G8499" s="10"/>
      <c r="H8499" s="10"/>
      <c r="I8499" s="10"/>
      <c r="J8499" s="10"/>
      <c r="K8499" s="10"/>
      <c r="L8499" s="10"/>
    </row>
    <row r="8500" spans="1:12" ht="15" customHeight="1" x14ac:dyDescent="0.25">
      <c r="A8500" s="10"/>
      <c r="B8500" s="10"/>
      <c r="C8500" s="10"/>
      <c r="D8500" s="10"/>
      <c r="E8500" s="10"/>
      <c r="F8500" s="10"/>
      <c r="G8500" s="10"/>
      <c r="H8500" s="10"/>
      <c r="I8500" s="10"/>
      <c r="J8500" s="10"/>
      <c r="K8500" s="10"/>
      <c r="L8500" s="10"/>
    </row>
    <row r="8501" spans="1:12" ht="15" customHeight="1" x14ac:dyDescent="0.25">
      <c r="A8501" s="10"/>
      <c r="B8501" s="10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</row>
    <row r="8502" spans="1:12" ht="15" customHeight="1" x14ac:dyDescent="0.25">
      <c r="A8502" s="10"/>
      <c r="B8502" s="10"/>
      <c r="C8502" s="10"/>
      <c r="D8502" s="10"/>
      <c r="E8502" s="10"/>
      <c r="F8502" s="10"/>
      <c r="G8502" s="10"/>
      <c r="H8502" s="10"/>
      <c r="I8502" s="10"/>
      <c r="J8502" s="10"/>
      <c r="K8502" s="10"/>
      <c r="L8502" s="10"/>
    </row>
    <row r="8503" spans="1:12" ht="15" customHeight="1" x14ac:dyDescent="0.25">
      <c r="A8503" s="10"/>
      <c r="B8503" s="10"/>
      <c r="C8503" s="10"/>
      <c r="D8503" s="10"/>
      <c r="E8503" s="10"/>
      <c r="F8503" s="10"/>
      <c r="G8503" s="10"/>
      <c r="H8503" s="10"/>
      <c r="I8503" s="10"/>
      <c r="J8503" s="10"/>
      <c r="K8503" s="10"/>
      <c r="L8503" s="10"/>
    </row>
    <row r="8504" spans="1:12" ht="15" customHeight="1" x14ac:dyDescent="0.25">
      <c r="A8504" s="10"/>
      <c r="B8504" s="10"/>
      <c r="C8504" s="10"/>
      <c r="D8504" s="10"/>
      <c r="E8504" s="10"/>
      <c r="F8504" s="10"/>
      <c r="G8504" s="10"/>
      <c r="H8504" s="10"/>
      <c r="I8504" s="10"/>
      <c r="J8504" s="10"/>
      <c r="K8504" s="10"/>
      <c r="L8504" s="10"/>
    </row>
    <row r="8505" spans="1:12" ht="15" customHeight="1" x14ac:dyDescent="0.25">
      <c r="A8505" s="10"/>
      <c r="B8505" s="10"/>
      <c r="C8505" s="10"/>
      <c r="D8505" s="10"/>
      <c r="E8505" s="10"/>
      <c r="F8505" s="10"/>
      <c r="G8505" s="10"/>
      <c r="H8505" s="10"/>
      <c r="I8505" s="10"/>
      <c r="J8505" s="10"/>
      <c r="K8505" s="10"/>
      <c r="L8505" s="10"/>
    </row>
    <row r="8506" spans="1:12" ht="15" customHeight="1" x14ac:dyDescent="0.25">
      <c r="A8506" s="10"/>
      <c r="B8506" s="10"/>
      <c r="C8506" s="10"/>
      <c r="D8506" s="10"/>
      <c r="E8506" s="10"/>
      <c r="F8506" s="10"/>
      <c r="G8506" s="10"/>
      <c r="H8506" s="10"/>
      <c r="I8506" s="10"/>
      <c r="J8506" s="10"/>
      <c r="K8506" s="10"/>
      <c r="L8506" s="10"/>
    </row>
    <row r="8507" spans="1:12" ht="15" customHeight="1" x14ac:dyDescent="0.25">
      <c r="A8507" s="10"/>
      <c r="B8507" s="10"/>
      <c r="C8507" s="10"/>
      <c r="D8507" s="10"/>
      <c r="E8507" s="10"/>
      <c r="F8507" s="10"/>
      <c r="G8507" s="10"/>
      <c r="H8507" s="10"/>
      <c r="I8507" s="10"/>
      <c r="J8507" s="10"/>
      <c r="K8507" s="10"/>
      <c r="L8507" s="10"/>
    </row>
    <row r="8508" spans="1:12" ht="15" customHeight="1" x14ac:dyDescent="0.25">
      <c r="A8508" s="10"/>
      <c r="B8508" s="10"/>
      <c r="C8508" s="10"/>
      <c r="D8508" s="10"/>
      <c r="E8508" s="10"/>
      <c r="F8508" s="10"/>
      <c r="G8508" s="10"/>
      <c r="H8508" s="10"/>
      <c r="I8508" s="10"/>
      <c r="J8508" s="10"/>
      <c r="K8508" s="10"/>
      <c r="L8508" s="10"/>
    </row>
    <row r="8509" spans="1:12" ht="15" customHeight="1" x14ac:dyDescent="0.25">
      <c r="A8509" s="10"/>
      <c r="B8509" s="10"/>
      <c r="C8509" s="10"/>
      <c r="D8509" s="10"/>
      <c r="E8509" s="10"/>
      <c r="F8509" s="10"/>
      <c r="G8509" s="10"/>
      <c r="H8509" s="10"/>
      <c r="I8509" s="10"/>
      <c r="J8509" s="10"/>
      <c r="K8509" s="10"/>
      <c r="L8509" s="10"/>
    </row>
    <row r="8510" spans="1:12" ht="15" customHeight="1" x14ac:dyDescent="0.25">
      <c r="A8510" s="10"/>
      <c r="B8510" s="10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</row>
    <row r="8511" spans="1:12" ht="15" customHeight="1" x14ac:dyDescent="0.25">
      <c r="A8511" s="10"/>
      <c r="B8511" s="10"/>
      <c r="C8511" s="10"/>
      <c r="D8511" s="10"/>
      <c r="E8511" s="10"/>
      <c r="F8511" s="10"/>
      <c r="G8511" s="10"/>
      <c r="H8511" s="10"/>
      <c r="I8511" s="10"/>
      <c r="J8511" s="10"/>
      <c r="K8511" s="10"/>
      <c r="L8511" s="10"/>
    </row>
    <row r="8512" spans="1:12" ht="15" customHeight="1" x14ac:dyDescent="0.25">
      <c r="A8512" s="10"/>
      <c r="B8512" s="10"/>
      <c r="C8512" s="10"/>
      <c r="D8512" s="10"/>
      <c r="E8512" s="10"/>
      <c r="F8512" s="10"/>
      <c r="G8512" s="10"/>
      <c r="H8512" s="10"/>
      <c r="I8512" s="10"/>
      <c r="J8512" s="10"/>
      <c r="K8512" s="10"/>
      <c r="L8512" s="10"/>
    </row>
    <row r="8513" spans="1:12" ht="15" customHeight="1" x14ac:dyDescent="0.25">
      <c r="A8513" s="10"/>
      <c r="B8513" s="10"/>
      <c r="C8513" s="10"/>
      <c r="D8513" s="10"/>
      <c r="E8513" s="10"/>
      <c r="F8513" s="10"/>
      <c r="G8513" s="10"/>
      <c r="H8513" s="10"/>
      <c r="I8513" s="10"/>
      <c r="J8513" s="10"/>
      <c r="K8513" s="10"/>
      <c r="L8513" s="10"/>
    </row>
    <row r="8514" spans="1:12" ht="15" customHeight="1" x14ac:dyDescent="0.25">
      <c r="A8514" s="10"/>
      <c r="B8514" s="10"/>
      <c r="C8514" s="10"/>
      <c r="D8514" s="10"/>
      <c r="E8514" s="10"/>
      <c r="F8514" s="10"/>
      <c r="G8514" s="10"/>
      <c r="H8514" s="10"/>
      <c r="I8514" s="10"/>
      <c r="J8514" s="10"/>
      <c r="K8514" s="10"/>
      <c r="L8514" s="10"/>
    </row>
    <row r="8515" spans="1:12" ht="15" customHeight="1" x14ac:dyDescent="0.25">
      <c r="A8515" s="10"/>
      <c r="B8515" s="10"/>
      <c r="C8515" s="10"/>
      <c r="D8515" s="10"/>
      <c r="E8515" s="10"/>
      <c r="F8515" s="10"/>
      <c r="G8515" s="10"/>
      <c r="H8515" s="10"/>
      <c r="I8515" s="10"/>
      <c r="J8515" s="10"/>
      <c r="K8515" s="10"/>
      <c r="L8515" s="10"/>
    </row>
    <row r="8516" spans="1:12" ht="15" customHeight="1" x14ac:dyDescent="0.25">
      <c r="A8516" s="10"/>
      <c r="B8516" s="10"/>
      <c r="C8516" s="10"/>
      <c r="D8516" s="10"/>
      <c r="E8516" s="10"/>
      <c r="F8516" s="10"/>
      <c r="G8516" s="10"/>
      <c r="H8516" s="10"/>
      <c r="I8516" s="10"/>
      <c r="J8516" s="10"/>
      <c r="K8516" s="10"/>
      <c r="L8516" s="10"/>
    </row>
    <row r="8517" spans="1:12" ht="15" customHeight="1" x14ac:dyDescent="0.25">
      <c r="A8517" s="10"/>
      <c r="B8517" s="10"/>
      <c r="C8517" s="10"/>
      <c r="D8517" s="10"/>
      <c r="E8517" s="10"/>
      <c r="F8517" s="10"/>
      <c r="G8517" s="10"/>
      <c r="H8517" s="10"/>
      <c r="I8517" s="10"/>
      <c r="J8517" s="10"/>
      <c r="K8517" s="10"/>
      <c r="L8517" s="10"/>
    </row>
    <row r="8518" spans="1:12" ht="15" customHeight="1" x14ac:dyDescent="0.25">
      <c r="A8518" s="10"/>
      <c r="B8518" s="10"/>
      <c r="C8518" s="10"/>
      <c r="D8518" s="10"/>
      <c r="E8518" s="10"/>
      <c r="F8518" s="10"/>
      <c r="G8518" s="10"/>
      <c r="H8518" s="10"/>
      <c r="I8518" s="10"/>
      <c r="J8518" s="10"/>
      <c r="K8518" s="10"/>
      <c r="L8518" s="10"/>
    </row>
    <row r="8519" spans="1:12" ht="15" customHeight="1" x14ac:dyDescent="0.25">
      <c r="A8519" s="10"/>
      <c r="B8519" s="10"/>
      <c r="C8519" s="10"/>
      <c r="D8519" s="10"/>
      <c r="E8519" s="10"/>
      <c r="F8519" s="10"/>
      <c r="G8519" s="10"/>
      <c r="H8519" s="10"/>
      <c r="I8519" s="10"/>
      <c r="J8519" s="10"/>
      <c r="K8519" s="10"/>
      <c r="L8519" s="10"/>
    </row>
    <row r="8520" spans="1:12" ht="15" customHeight="1" x14ac:dyDescent="0.25">
      <c r="A8520" s="10"/>
      <c r="B8520" s="10"/>
      <c r="C8520" s="10"/>
      <c r="D8520" s="10"/>
      <c r="E8520" s="10"/>
      <c r="F8520" s="10"/>
      <c r="G8520" s="10"/>
      <c r="H8520" s="10"/>
      <c r="I8520" s="10"/>
      <c r="J8520" s="10"/>
      <c r="K8520" s="10"/>
      <c r="L8520" s="10"/>
    </row>
    <row r="8521" spans="1:12" ht="15" customHeight="1" x14ac:dyDescent="0.25">
      <c r="A8521" s="10"/>
      <c r="B8521" s="10"/>
      <c r="C8521" s="10"/>
      <c r="D8521" s="10"/>
      <c r="E8521" s="10"/>
      <c r="F8521" s="10"/>
      <c r="G8521" s="10"/>
      <c r="H8521" s="10"/>
      <c r="I8521" s="10"/>
      <c r="J8521" s="10"/>
      <c r="K8521" s="10"/>
      <c r="L8521" s="10"/>
    </row>
    <row r="8522" spans="1:12" ht="15" customHeight="1" x14ac:dyDescent="0.25">
      <c r="A8522" s="10"/>
      <c r="B8522" s="10"/>
      <c r="C8522" s="10"/>
      <c r="D8522" s="10"/>
      <c r="E8522" s="10"/>
      <c r="F8522" s="10"/>
      <c r="G8522" s="10"/>
      <c r="H8522" s="10"/>
      <c r="I8522" s="10"/>
      <c r="J8522" s="10"/>
      <c r="K8522" s="10"/>
      <c r="L8522" s="10"/>
    </row>
    <row r="8523" spans="1:12" ht="15" customHeight="1" x14ac:dyDescent="0.25">
      <c r="A8523" s="10"/>
      <c r="B8523" s="10"/>
      <c r="C8523" s="10"/>
      <c r="D8523" s="10"/>
      <c r="E8523" s="10"/>
      <c r="F8523" s="10"/>
      <c r="G8523" s="10"/>
      <c r="H8523" s="10"/>
      <c r="I8523" s="10"/>
      <c r="J8523" s="10"/>
      <c r="K8523" s="10"/>
      <c r="L8523" s="10"/>
    </row>
    <row r="8524" spans="1:12" ht="15" customHeight="1" x14ac:dyDescent="0.25">
      <c r="A8524" s="10"/>
      <c r="B8524" s="10"/>
      <c r="C8524" s="10"/>
      <c r="D8524" s="10"/>
      <c r="E8524" s="10"/>
      <c r="F8524" s="10"/>
      <c r="G8524" s="10"/>
      <c r="H8524" s="10"/>
      <c r="I8524" s="10"/>
      <c r="J8524" s="10"/>
      <c r="K8524" s="10"/>
      <c r="L8524" s="10"/>
    </row>
    <row r="8525" spans="1:12" ht="15" customHeight="1" x14ac:dyDescent="0.25">
      <c r="A8525" s="10"/>
      <c r="B8525" s="10"/>
      <c r="C8525" s="10"/>
      <c r="D8525" s="10"/>
      <c r="E8525" s="10"/>
      <c r="F8525" s="10"/>
      <c r="G8525" s="10"/>
      <c r="H8525" s="10"/>
      <c r="I8525" s="10"/>
      <c r="J8525" s="10"/>
      <c r="K8525" s="10"/>
      <c r="L8525" s="10"/>
    </row>
    <row r="8526" spans="1:12" ht="15" customHeight="1" x14ac:dyDescent="0.25">
      <c r="A8526" s="10"/>
      <c r="B8526" s="10"/>
      <c r="C8526" s="10"/>
      <c r="D8526" s="10"/>
      <c r="E8526" s="10"/>
      <c r="F8526" s="10"/>
      <c r="G8526" s="10"/>
      <c r="H8526" s="10"/>
      <c r="I8526" s="10"/>
      <c r="J8526" s="10"/>
      <c r="K8526" s="10"/>
      <c r="L8526" s="10"/>
    </row>
    <row r="8527" spans="1:12" ht="15" customHeight="1" x14ac:dyDescent="0.25">
      <c r="A8527" s="10"/>
      <c r="B8527" s="10"/>
      <c r="C8527" s="10"/>
      <c r="D8527" s="10"/>
      <c r="E8527" s="10"/>
      <c r="F8527" s="10"/>
      <c r="G8527" s="10"/>
      <c r="H8527" s="10"/>
      <c r="I8527" s="10"/>
      <c r="J8527" s="10"/>
      <c r="K8527" s="10"/>
      <c r="L8527" s="10"/>
    </row>
    <row r="8528" spans="1:12" ht="15" customHeight="1" x14ac:dyDescent="0.25">
      <c r="A8528" s="10"/>
      <c r="B8528" s="10"/>
      <c r="C8528" s="10"/>
      <c r="D8528" s="10"/>
      <c r="E8528" s="10"/>
      <c r="F8528" s="10"/>
      <c r="G8528" s="10"/>
      <c r="H8528" s="10"/>
      <c r="I8528" s="10"/>
      <c r="J8528" s="10"/>
      <c r="K8528" s="10"/>
      <c r="L8528" s="10"/>
    </row>
    <row r="8529" spans="1:12" ht="15" customHeight="1" x14ac:dyDescent="0.25">
      <c r="A8529" s="10"/>
      <c r="B8529" s="10"/>
      <c r="C8529" s="10"/>
      <c r="D8529" s="10"/>
      <c r="E8529" s="10"/>
      <c r="F8529" s="10"/>
      <c r="G8529" s="10"/>
      <c r="H8529" s="10"/>
      <c r="I8529" s="10"/>
      <c r="J8529" s="10"/>
      <c r="K8529" s="10"/>
      <c r="L8529" s="10"/>
    </row>
    <row r="8530" spans="1:12" ht="15" customHeight="1" x14ac:dyDescent="0.25">
      <c r="A8530" s="10"/>
      <c r="B8530" s="10"/>
      <c r="C8530" s="10"/>
      <c r="D8530" s="10"/>
      <c r="E8530" s="10"/>
      <c r="F8530" s="10"/>
      <c r="G8530" s="10"/>
      <c r="H8530" s="10"/>
      <c r="I8530" s="10"/>
      <c r="J8530" s="10"/>
      <c r="K8530" s="10"/>
      <c r="L8530" s="10"/>
    </row>
    <row r="8531" spans="1:12" ht="15" customHeight="1" x14ac:dyDescent="0.25">
      <c r="A8531" s="10"/>
      <c r="B8531" s="10"/>
      <c r="C8531" s="10"/>
      <c r="D8531" s="10"/>
      <c r="E8531" s="10"/>
      <c r="F8531" s="10"/>
      <c r="G8531" s="10"/>
      <c r="H8531" s="10"/>
      <c r="I8531" s="10"/>
      <c r="J8531" s="10"/>
      <c r="K8531" s="10"/>
      <c r="L8531" s="10"/>
    </row>
    <row r="8532" spans="1:12" ht="15" customHeight="1" x14ac:dyDescent="0.25">
      <c r="A8532" s="10"/>
      <c r="B8532" s="10"/>
      <c r="C8532" s="10"/>
      <c r="D8532" s="10"/>
      <c r="E8532" s="10"/>
      <c r="F8532" s="10"/>
      <c r="G8532" s="10"/>
      <c r="H8532" s="10"/>
      <c r="I8532" s="10"/>
      <c r="J8532" s="10"/>
      <c r="K8532" s="10"/>
      <c r="L8532" s="10"/>
    </row>
    <row r="8533" spans="1:12" ht="15" customHeight="1" x14ac:dyDescent="0.25">
      <c r="A8533" s="10"/>
      <c r="B8533" s="10"/>
      <c r="C8533" s="10"/>
      <c r="D8533" s="10"/>
      <c r="E8533" s="10"/>
      <c r="F8533" s="10"/>
      <c r="G8533" s="10"/>
      <c r="H8533" s="10"/>
      <c r="I8533" s="10"/>
      <c r="J8533" s="10"/>
      <c r="K8533" s="10"/>
      <c r="L8533" s="10"/>
    </row>
    <row r="8534" spans="1:12" ht="15" customHeight="1" x14ac:dyDescent="0.25">
      <c r="A8534" s="10"/>
      <c r="B8534" s="10"/>
      <c r="C8534" s="10"/>
      <c r="D8534" s="10"/>
      <c r="E8534" s="10"/>
      <c r="F8534" s="10"/>
      <c r="G8534" s="10"/>
      <c r="H8534" s="10"/>
      <c r="I8534" s="10"/>
      <c r="J8534" s="10"/>
      <c r="K8534" s="10"/>
      <c r="L8534" s="10"/>
    </row>
    <row r="8535" spans="1:12" ht="15" customHeight="1" x14ac:dyDescent="0.25">
      <c r="A8535" s="10"/>
      <c r="B8535" s="10"/>
      <c r="C8535" s="10"/>
      <c r="D8535" s="10"/>
      <c r="E8535" s="10"/>
      <c r="F8535" s="10"/>
      <c r="G8535" s="10"/>
      <c r="H8535" s="10"/>
      <c r="I8535" s="10"/>
      <c r="J8535" s="10"/>
      <c r="K8535" s="10"/>
      <c r="L8535" s="10"/>
    </row>
    <row r="8536" spans="1:12" ht="15" customHeight="1" x14ac:dyDescent="0.25">
      <c r="A8536" s="10"/>
      <c r="B8536" s="10"/>
      <c r="C8536" s="10"/>
      <c r="D8536" s="10"/>
      <c r="E8536" s="10"/>
      <c r="F8536" s="10"/>
      <c r="G8536" s="10"/>
      <c r="H8536" s="10"/>
      <c r="I8536" s="10"/>
      <c r="J8536" s="10"/>
      <c r="K8536" s="10"/>
      <c r="L8536" s="10"/>
    </row>
    <row r="8537" spans="1:12" ht="15" customHeight="1" x14ac:dyDescent="0.25">
      <c r="A8537" s="10"/>
      <c r="B8537" s="10"/>
      <c r="C8537" s="10"/>
      <c r="D8537" s="10"/>
      <c r="E8537" s="10"/>
      <c r="F8537" s="10"/>
      <c r="G8537" s="10"/>
      <c r="H8537" s="10"/>
      <c r="I8537" s="10"/>
      <c r="J8537" s="10"/>
      <c r="K8537" s="10"/>
      <c r="L8537" s="10"/>
    </row>
    <row r="8538" spans="1:12" ht="15" customHeight="1" x14ac:dyDescent="0.25">
      <c r="A8538" s="10"/>
      <c r="B8538" s="10"/>
      <c r="C8538" s="10"/>
      <c r="D8538" s="10"/>
      <c r="E8538" s="10"/>
      <c r="F8538" s="10"/>
      <c r="G8538" s="10"/>
      <c r="H8538" s="10"/>
      <c r="I8538" s="10"/>
      <c r="J8538" s="10"/>
      <c r="K8538" s="10"/>
      <c r="L8538" s="10"/>
    </row>
    <row r="8539" spans="1:12" ht="15" customHeight="1" x14ac:dyDescent="0.25">
      <c r="A8539" s="10"/>
      <c r="B8539" s="10"/>
      <c r="C8539" s="10"/>
      <c r="D8539" s="10"/>
      <c r="E8539" s="10"/>
      <c r="F8539" s="10"/>
      <c r="G8539" s="10"/>
      <c r="H8539" s="10"/>
      <c r="I8539" s="10"/>
      <c r="J8539" s="10"/>
      <c r="K8539" s="10"/>
      <c r="L8539" s="10"/>
    </row>
    <row r="8540" spans="1:12" ht="15" customHeight="1" x14ac:dyDescent="0.25">
      <c r="A8540" s="10"/>
      <c r="B8540" s="10"/>
      <c r="C8540" s="10"/>
      <c r="D8540" s="10"/>
      <c r="E8540" s="10"/>
      <c r="F8540" s="10"/>
      <c r="G8540" s="10"/>
      <c r="H8540" s="10"/>
      <c r="I8540" s="10"/>
      <c r="J8540" s="10"/>
      <c r="K8540" s="10"/>
      <c r="L8540" s="10"/>
    </row>
    <row r="8541" spans="1:12" ht="15" customHeight="1" x14ac:dyDescent="0.25">
      <c r="A8541" s="10"/>
      <c r="B8541" s="10"/>
      <c r="C8541" s="10"/>
      <c r="D8541" s="10"/>
      <c r="E8541" s="10"/>
      <c r="F8541" s="10"/>
      <c r="G8541" s="10"/>
      <c r="H8541" s="10"/>
      <c r="I8541" s="10"/>
      <c r="J8541" s="10"/>
      <c r="K8541" s="10"/>
      <c r="L8541" s="10"/>
    </row>
    <row r="8542" spans="1:12" ht="15" customHeight="1" x14ac:dyDescent="0.25">
      <c r="A8542" s="10"/>
      <c r="B8542" s="10"/>
      <c r="C8542" s="10"/>
      <c r="D8542" s="10"/>
      <c r="E8542" s="10"/>
      <c r="F8542" s="10"/>
      <c r="G8542" s="10"/>
      <c r="H8542" s="10"/>
      <c r="I8542" s="10"/>
      <c r="J8542" s="10"/>
      <c r="K8542" s="10"/>
      <c r="L8542" s="10"/>
    </row>
    <row r="8543" spans="1:12" ht="15" customHeight="1" x14ac:dyDescent="0.25">
      <c r="A8543" s="10"/>
      <c r="B8543" s="10"/>
      <c r="C8543" s="10"/>
      <c r="D8543" s="10"/>
      <c r="E8543" s="10"/>
      <c r="F8543" s="10"/>
      <c r="G8543" s="10"/>
      <c r="H8543" s="10"/>
      <c r="I8543" s="10"/>
      <c r="J8543" s="10"/>
      <c r="K8543" s="10"/>
      <c r="L8543" s="10"/>
    </row>
    <row r="8544" spans="1:12" ht="15" customHeight="1" x14ac:dyDescent="0.25">
      <c r="A8544" s="10"/>
      <c r="B8544" s="10"/>
      <c r="C8544" s="10"/>
      <c r="D8544" s="10"/>
      <c r="E8544" s="10"/>
      <c r="F8544" s="10"/>
      <c r="G8544" s="10"/>
      <c r="H8544" s="10"/>
      <c r="I8544" s="10"/>
      <c r="J8544" s="10"/>
      <c r="K8544" s="10"/>
      <c r="L8544" s="10"/>
    </row>
    <row r="8545" spans="1:12" ht="15" customHeight="1" x14ac:dyDescent="0.25">
      <c r="A8545" s="10"/>
      <c r="B8545" s="10"/>
      <c r="C8545" s="10"/>
      <c r="D8545" s="10"/>
      <c r="E8545" s="10"/>
      <c r="F8545" s="10"/>
      <c r="G8545" s="10"/>
      <c r="H8545" s="10"/>
      <c r="I8545" s="10"/>
      <c r="J8545" s="10"/>
      <c r="K8545" s="10"/>
      <c r="L8545" s="10"/>
    </row>
    <row r="8546" spans="1:12" ht="15" customHeight="1" x14ac:dyDescent="0.25">
      <c r="A8546" s="10"/>
      <c r="B8546" s="10"/>
      <c r="C8546" s="10"/>
      <c r="D8546" s="10"/>
      <c r="E8546" s="10"/>
      <c r="F8546" s="10"/>
      <c r="G8546" s="10"/>
      <c r="H8546" s="10"/>
      <c r="I8546" s="10"/>
      <c r="J8546" s="10"/>
      <c r="K8546" s="10"/>
      <c r="L8546" s="10"/>
    </row>
    <row r="8547" spans="1:12" ht="15" customHeight="1" x14ac:dyDescent="0.25">
      <c r="A8547" s="10"/>
      <c r="B8547" s="10"/>
      <c r="C8547" s="10"/>
      <c r="D8547" s="10"/>
      <c r="E8547" s="10"/>
      <c r="F8547" s="10"/>
      <c r="G8547" s="10"/>
      <c r="H8547" s="10"/>
      <c r="I8547" s="10"/>
      <c r="J8547" s="10"/>
      <c r="K8547" s="10"/>
      <c r="L8547" s="10"/>
    </row>
    <row r="8548" spans="1:12" ht="15" customHeight="1" x14ac:dyDescent="0.25">
      <c r="A8548" s="10"/>
      <c r="B8548" s="10"/>
      <c r="C8548" s="10"/>
      <c r="D8548" s="10"/>
      <c r="E8548" s="10"/>
      <c r="F8548" s="10"/>
      <c r="G8548" s="10"/>
      <c r="H8548" s="10"/>
      <c r="I8548" s="10"/>
      <c r="J8548" s="10"/>
      <c r="K8548" s="10"/>
      <c r="L8548" s="10"/>
    </row>
    <row r="8549" spans="1:12" ht="15" customHeight="1" x14ac:dyDescent="0.25">
      <c r="A8549" s="10"/>
      <c r="B8549" s="10"/>
      <c r="C8549" s="10"/>
      <c r="D8549" s="10"/>
      <c r="E8549" s="10"/>
      <c r="F8549" s="10"/>
      <c r="G8549" s="10"/>
      <c r="H8549" s="10"/>
      <c r="I8549" s="10"/>
      <c r="J8549" s="10"/>
      <c r="K8549" s="10"/>
      <c r="L8549" s="10"/>
    </row>
    <row r="8550" spans="1:12" ht="15" customHeight="1" x14ac:dyDescent="0.25">
      <c r="A8550" s="10"/>
      <c r="B8550" s="10"/>
      <c r="C8550" s="10"/>
      <c r="D8550" s="10"/>
      <c r="E8550" s="10"/>
      <c r="F8550" s="10"/>
      <c r="G8550" s="10"/>
      <c r="H8550" s="10"/>
      <c r="I8550" s="10"/>
      <c r="J8550" s="10"/>
      <c r="K8550" s="10"/>
      <c r="L8550" s="10"/>
    </row>
    <row r="8551" spans="1:12" ht="15" customHeight="1" x14ac:dyDescent="0.25">
      <c r="A8551" s="10"/>
      <c r="B8551" s="10"/>
      <c r="C8551" s="10"/>
      <c r="D8551" s="10"/>
      <c r="E8551" s="10"/>
      <c r="F8551" s="10"/>
      <c r="G8551" s="10"/>
      <c r="H8551" s="10"/>
      <c r="I8551" s="10"/>
      <c r="J8551" s="10"/>
      <c r="K8551" s="10"/>
      <c r="L8551" s="10"/>
    </row>
    <row r="8552" spans="1:12" ht="15" customHeight="1" x14ac:dyDescent="0.25">
      <c r="A8552" s="10"/>
      <c r="B8552" s="10"/>
      <c r="C8552" s="10"/>
      <c r="D8552" s="10"/>
      <c r="E8552" s="10"/>
      <c r="F8552" s="10"/>
      <c r="G8552" s="10"/>
      <c r="H8552" s="10"/>
      <c r="I8552" s="10"/>
      <c r="J8552" s="10"/>
      <c r="K8552" s="10"/>
      <c r="L8552" s="10"/>
    </row>
    <row r="8553" spans="1:12" ht="15" customHeight="1" x14ac:dyDescent="0.25">
      <c r="A8553" s="10"/>
      <c r="B8553" s="10"/>
      <c r="C8553" s="10"/>
      <c r="D8553" s="10"/>
      <c r="E8553" s="10"/>
      <c r="F8553" s="10"/>
      <c r="G8553" s="10"/>
      <c r="H8553" s="10"/>
      <c r="I8553" s="10"/>
      <c r="J8553" s="10"/>
      <c r="K8553" s="10"/>
      <c r="L8553" s="10"/>
    </row>
    <row r="8554" spans="1:12" ht="15" customHeight="1" x14ac:dyDescent="0.25">
      <c r="A8554" s="10"/>
      <c r="B8554" s="10"/>
      <c r="C8554" s="10"/>
      <c r="D8554" s="10"/>
      <c r="E8554" s="10"/>
      <c r="F8554" s="10"/>
      <c r="G8554" s="10"/>
      <c r="H8554" s="10"/>
      <c r="I8554" s="10"/>
      <c r="J8554" s="10"/>
      <c r="K8554" s="10"/>
      <c r="L8554" s="10"/>
    </row>
    <row r="8555" spans="1:12" ht="15" customHeight="1" x14ac:dyDescent="0.25">
      <c r="A8555" s="10"/>
      <c r="B8555" s="10"/>
      <c r="C8555" s="10"/>
      <c r="D8555" s="10"/>
      <c r="E8555" s="10"/>
      <c r="F8555" s="10"/>
      <c r="G8555" s="10"/>
      <c r="H8555" s="10"/>
      <c r="I8555" s="10"/>
      <c r="J8555" s="10"/>
      <c r="K8555" s="10"/>
      <c r="L8555" s="10"/>
    </row>
    <row r="8556" spans="1:12" ht="15" customHeight="1" x14ac:dyDescent="0.25">
      <c r="A8556" s="10"/>
      <c r="B8556" s="10"/>
      <c r="C8556" s="10"/>
      <c r="D8556" s="10"/>
      <c r="E8556" s="10"/>
      <c r="F8556" s="10"/>
      <c r="G8556" s="10"/>
      <c r="H8556" s="10"/>
      <c r="I8556" s="10"/>
      <c r="J8556" s="10"/>
      <c r="K8556" s="10"/>
      <c r="L8556" s="10"/>
    </row>
    <row r="8557" spans="1:12" ht="15" customHeight="1" x14ac:dyDescent="0.25">
      <c r="A8557" s="10"/>
      <c r="B8557" s="10"/>
      <c r="C8557" s="10"/>
      <c r="D8557" s="10"/>
      <c r="E8557" s="10"/>
      <c r="F8557" s="10"/>
      <c r="G8557" s="10"/>
      <c r="H8557" s="10"/>
      <c r="I8557" s="10"/>
      <c r="J8557" s="10"/>
      <c r="K8557" s="10"/>
      <c r="L8557" s="10"/>
    </row>
    <row r="8558" spans="1:12" ht="15" customHeight="1" x14ac:dyDescent="0.25">
      <c r="A8558" s="10"/>
      <c r="B8558" s="10"/>
      <c r="C8558" s="10"/>
      <c r="D8558" s="10"/>
      <c r="E8558" s="10"/>
      <c r="F8558" s="10"/>
      <c r="G8558" s="10"/>
      <c r="H8558" s="10"/>
      <c r="I8558" s="10"/>
      <c r="J8558" s="10"/>
      <c r="K8558" s="10"/>
      <c r="L8558" s="10"/>
    </row>
    <row r="8559" spans="1:12" ht="15" customHeight="1" x14ac:dyDescent="0.25">
      <c r="A8559" s="10"/>
      <c r="B8559" s="10"/>
      <c r="C8559" s="10"/>
      <c r="D8559" s="10"/>
      <c r="E8559" s="10"/>
      <c r="F8559" s="10"/>
      <c r="G8559" s="10"/>
      <c r="H8559" s="10"/>
      <c r="I8559" s="10"/>
      <c r="J8559" s="10"/>
      <c r="K8559" s="10"/>
      <c r="L8559" s="10"/>
    </row>
    <row r="8560" spans="1:12" ht="15" customHeight="1" x14ac:dyDescent="0.25">
      <c r="A8560" s="10"/>
      <c r="B8560" s="10"/>
      <c r="C8560" s="10"/>
      <c r="D8560" s="10"/>
      <c r="E8560" s="10"/>
      <c r="F8560" s="10"/>
      <c r="G8560" s="10"/>
      <c r="H8560" s="10"/>
      <c r="I8560" s="10"/>
      <c r="J8560" s="10"/>
      <c r="K8560" s="10"/>
      <c r="L8560" s="10"/>
    </row>
    <row r="8561" spans="1:12" ht="15" customHeight="1" x14ac:dyDescent="0.25">
      <c r="A8561" s="10"/>
      <c r="B8561" s="10"/>
      <c r="C8561" s="10"/>
      <c r="D8561" s="10"/>
      <c r="E8561" s="10"/>
      <c r="F8561" s="10"/>
      <c r="G8561" s="10"/>
      <c r="H8561" s="10"/>
      <c r="I8561" s="10"/>
      <c r="J8561" s="10"/>
      <c r="K8561" s="10"/>
      <c r="L8561" s="10"/>
    </row>
    <row r="8562" spans="1:12" ht="15" customHeight="1" x14ac:dyDescent="0.25">
      <c r="A8562" s="10"/>
      <c r="B8562" s="10"/>
      <c r="C8562" s="10"/>
      <c r="D8562" s="10"/>
      <c r="E8562" s="10"/>
      <c r="F8562" s="10"/>
      <c r="G8562" s="10"/>
      <c r="H8562" s="10"/>
      <c r="I8562" s="10"/>
      <c r="J8562" s="10"/>
      <c r="K8562" s="10"/>
      <c r="L8562" s="10"/>
    </row>
    <row r="8563" spans="1:12" ht="15" customHeight="1" x14ac:dyDescent="0.25">
      <c r="A8563" s="10"/>
      <c r="B8563" s="10"/>
      <c r="C8563" s="10"/>
      <c r="D8563" s="10"/>
      <c r="E8563" s="10"/>
      <c r="F8563" s="10"/>
      <c r="G8563" s="10"/>
      <c r="H8563" s="10"/>
      <c r="I8563" s="10"/>
      <c r="J8563" s="10"/>
      <c r="K8563" s="10"/>
      <c r="L8563" s="10"/>
    </row>
    <row r="8564" spans="1:12" ht="15" customHeight="1" x14ac:dyDescent="0.25">
      <c r="A8564" s="10"/>
      <c r="B8564" s="10"/>
      <c r="C8564" s="10"/>
      <c r="D8564" s="10"/>
      <c r="E8564" s="10"/>
      <c r="F8564" s="10"/>
      <c r="G8564" s="10"/>
      <c r="H8564" s="10"/>
      <c r="I8564" s="10"/>
      <c r="J8564" s="10"/>
      <c r="K8564" s="10"/>
      <c r="L8564" s="10"/>
    </row>
    <row r="8565" spans="1:12" ht="15" customHeight="1" x14ac:dyDescent="0.25">
      <c r="A8565" s="10"/>
      <c r="B8565" s="10"/>
      <c r="C8565" s="10"/>
      <c r="D8565" s="10"/>
      <c r="E8565" s="10"/>
      <c r="F8565" s="10"/>
      <c r="G8565" s="10"/>
      <c r="H8565" s="10"/>
      <c r="I8565" s="10"/>
      <c r="J8565" s="10"/>
      <c r="K8565" s="10"/>
      <c r="L8565" s="10"/>
    </row>
    <row r="8566" spans="1:12" ht="15" customHeight="1" x14ac:dyDescent="0.25">
      <c r="A8566" s="10"/>
      <c r="B8566" s="10"/>
      <c r="C8566" s="10"/>
      <c r="D8566" s="10"/>
      <c r="E8566" s="10"/>
      <c r="F8566" s="10"/>
      <c r="G8566" s="10"/>
      <c r="H8566" s="10"/>
      <c r="I8566" s="10"/>
      <c r="J8566" s="10"/>
      <c r="K8566" s="10"/>
      <c r="L8566" s="10"/>
    </row>
    <row r="8567" spans="1:12" ht="15" customHeight="1" x14ac:dyDescent="0.25">
      <c r="A8567" s="10"/>
      <c r="B8567" s="10"/>
      <c r="C8567" s="10"/>
      <c r="D8567" s="10"/>
      <c r="E8567" s="10"/>
      <c r="F8567" s="10"/>
      <c r="G8567" s="10"/>
      <c r="H8567" s="10"/>
      <c r="I8567" s="10"/>
      <c r="J8567" s="10"/>
      <c r="K8567" s="10"/>
      <c r="L8567" s="10"/>
    </row>
    <row r="8568" spans="1:12" ht="15" customHeight="1" x14ac:dyDescent="0.25">
      <c r="A8568" s="10"/>
      <c r="B8568" s="10"/>
      <c r="C8568" s="10"/>
      <c r="D8568" s="10"/>
      <c r="E8568" s="10"/>
      <c r="F8568" s="10"/>
      <c r="G8568" s="10"/>
      <c r="H8568" s="10"/>
      <c r="I8568" s="10"/>
      <c r="J8568" s="10"/>
      <c r="K8568" s="10"/>
      <c r="L8568" s="10"/>
    </row>
    <row r="8569" spans="1:12" ht="15" customHeight="1" x14ac:dyDescent="0.25">
      <c r="A8569" s="10"/>
      <c r="B8569" s="10"/>
      <c r="C8569" s="10"/>
      <c r="D8569" s="10"/>
      <c r="E8569" s="10"/>
      <c r="F8569" s="10"/>
      <c r="G8569" s="10"/>
      <c r="H8569" s="10"/>
      <c r="I8569" s="10"/>
      <c r="J8569" s="10"/>
      <c r="K8569" s="10"/>
      <c r="L8569" s="10"/>
    </row>
    <row r="8570" spans="1:12" ht="15" customHeight="1" x14ac:dyDescent="0.25">
      <c r="A8570" s="10"/>
      <c r="B8570" s="10"/>
      <c r="C8570" s="10"/>
      <c r="D8570" s="10"/>
      <c r="E8570" s="10"/>
      <c r="F8570" s="10"/>
      <c r="G8570" s="10"/>
      <c r="H8570" s="10"/>
      <c r="I8570" s="10"/>
      <c r="J8570" s="10"/>
      <c r="K8570" s="10"/>
      <c r="L8570" s="10"/>
    </row>
    <row r="8571" spans="1:12" ht="15" customHeight="1" x14ac:dyDescent="0.25">
      <c r="A8571" s="10"/>
      <c r="B8571" s="10"/>
      <c r="C8571" s="10"/>
      <c r="D8571" s="10"/>
      <c r="E8571" s="10"/>
      <c r="F8571" s="10"/>
      <c r="G8571" s="10"/>
      <c r="H8571" s="10"/>
      <c r="I8571" s="10"/>
      <c r="J8571" s="10"/>
      <c r="K8571" s="10"/>
      <c r="L8571" s="10"/>
    </row>
    <row r="8572" spans="1:12" ht="15" customHeight="1" x14ac:dyDescent="0.25">
      <c r="A8572" s="10"/>
      <c r="B8572" s="10"/>
      <c r="C8572" s="10"/>
      <c r="D8572" s="10"/>
      <c r="E8572" s="10"/>
      <c r="F8572" s="10"/>
      <c r="G8572" s="10"/>
      <c r="H8572" s="10"/>
      <c r="I8572" s="10"/>
      <c r="J8572" s="10"/>
      <c r="K8572" s="10"/>
      <c r="L8572" s="10"/>
    </row>
    <row r="8573" spans="1:12" ht="15" customHeight="1" x14ac:dyDescent="0.25">
      <c r="A8573" s="10"/>
      <c r="B8573" s="10"/>
      <c r="C8573" s="10"/>
      <c r="D8573" s="10"/>
      <c r="E8573" s="10"/>
      <c r="F8573" s="10"/>
      <c r="G8573" s="10"/>
      <c r="H8573" s="10"/>
      <c r="I8573" s="10"/>
      <c r="J8573" s="10"/>
      <c r="K8573" s="10"/>
      <c r="L8573" s="10"/>
    </row>
    <row r="8574" spans="1:12" ht="15" customHeight="1" x14ac:dyDescent="0.25">
      <c r="A8574" s="10"/>
      <c r="B8574" s="10"/>
      <c r="C8574" s="10"/>
      <c r="D8574" s="10"/>
      <c r="E8574" s="10"/>
      <c r="F8574" s="10"/>
      <c r="G8574" s="10"/>
      <c r="H8574" s="10"/>
      <c r="I8574" s="10"/>
      <c r="J8574" s="10"/>
      <c r="K8574" s="10"/>
      <c r="L8574" s="10"/>
    </row>
    <row r="8575" spans="1:12" ht="15" customHeight="1" x14ac:dyDescent="0.25">
      <c r="A8575" s="10"/>
      <c r="B8575" s="10"/>
      <c r="C8575" s="10"/>
      <c r="D8575" s="10"/>
      <c r="E8575" s="10"/>
      <c r="F8575" s="10"/>
      <c r="G8575" s="10"/>
      <c r="H8575" s="10"/>
      <c r="I8575" s="10"/>
      <c r="J8575" s="10"/>
      <c r="K8575" s="10"/>
      <c r="L8575" s="10"/>
    </row>
    <row r="8576" spans="1:12" ht="15" customHeight="1" x14ac:dyDescent="0.25">
      <c r="A8576" s="10"/>
      <c r="B8576" s="10"/>
      <c r="C8576" s="10"/>
      <c r="D8576" s="10"/>
      <c r="E8576" s="10"/>
      <c r="F8576" s="10"/>
      <c r="G8576" s="10"/>
      <c r="H8576" s="10"/>
      <c r="I8576" s="10"/>
      <c r="J8576" s="10"/>
      <c r="K8576" s="10"/>
      <c r="L8576" s="10"/>
    </row>
    <row r="8577" spans="1:12" ht="15" customHeight="1" x14ac:dyDescent="0.25">
      <c r="A8577" s="10"/>
      <c r="B8577" s="10"/>
      <c r="C8577" s="10"/>
      <c r="D8577" s="10"/>
      <c r="E8577" s="10"/>
      <c r="F8577" s="10"/>
      <c r="G8577" s="10"/>
      <c r="H8577" s="10"/>
      <c r="I8577" s="10"/>
      <c r="J8577" s="10"/>
      <c r="K8577" s="10"/>
      <c r="L8577" s="10"/>
    </row>
    <row r="8578" spans="1:12" ht="15" customHeight="1" x14ac:dyDescent="0.25">
      <c r="A8578" s="10"/>
      <c r="B8578" s="10"/>
      <c r="C8578" s="10"/>
      <c r="D8578" s="10"/>
      <c r="E8578" s="10"/>
      <c r="F8578" s="10"/>
      <c r="G8578" s="10"/>
      <c r="H8578" s="10"/>
      <c r="I8578" s="10"/>
      <c r="J8578" s="10"/>
      <c r="K8578" s="10"/>
      <c r="L8578" s="10"/>
    </row>
    <row r="8579" spans="1:12" ht="15" customHeight="1" x14ac:dyDescent="0.25">
      <c r="A8579" s="10"/>
      <c r="B8579" s="10"/>
      <c r="C8579" s="10"/>
      <c r="D8579" s="10"/>
      <c r="E8579" s="10"/>
      <c r="F8579" s="10"/>
      <c r="G8579" s="10"/>
      <c r="H8579" s="10"/>
      <c r="I8579" s="10"/>
      <c r="J8579" s="10"/>
      <c r="K8579" s="10"/>
      <c r="L8579" s="10"/>
    </row>
    <row r="8580" spans="1:12" ht="15" customHeight="1" x14ac:dyDescent="0.25">
      <c r="A8580" s="10"/>
      <c r="B8580" s="10"/>
      <c r="C8580" s="10"/>
      <c r="D8580" s="10"/>
      <c r="E8580" s="10"/>
      <c r="F8580" s="10"/>
      <c r="G8580" s="10"/>
      <c r="H8580" s="10"/>
      <c r="I8580" s="10"/>
      <c r="J8580" s="10"/>
      <c r="K8580" s="10"/>
      <c r="L8580" s="10"/>
    </row>
    <row r="8581" spans="1:12" ht="15" customHeight="1" x14ac:dyDescent="0.25">
      <c r="A8581" s="10"/>
      <c r="B8581" s="10"/>
      <c r="C8581" s="10"/>
      <c r="D8581" s="10"/>
      <c r="E8581" s="10"/>
      <c r="F8581" s="10"/>
      <c r="G8581" s="10"/>
      <c r="H8581" s="10"/>
      <c r="I8581" s="10"/>
      <c r="J8581" s="10"/>
      <c r="K8581" s="10"/>
      <c r="L8581" s="10"/>
    </row>
    <row r="8582" spans="1:12" ht="15" customHeight="1" x14ac:dyDescent="0.25">
      <c r="A8582" s="10"/>
      <c r="B8582" s="10"/>
      <c r="C8582" s="10"/>
      <c r="D8582" s="10"/>
      <c r="E8582" s="10"/>
      <c r="F8582" s="10"/>
      <c r="G8582" s="10"/>
      <c r="H8582" s="10"/>
      <c r="I8582" s="10"/>
      <c r="J8582" s="10"/>
      <c r="K8582" s="10"/>
      <c r="L8582" s="10"/>
    </row>
    <row r="8583" spans="1:12" ht="15" customHeight="1" x14ac:dyDescent="0.25">
      <c r="A8583" s="10"/>
      <c r="B8583" s="10"/>
      <c r="C8583" s="10"/>
      <c r="D8583" s="10"/>
      <c r="E8583" s="10"/>
      <c r="F8583" s="10"/>
      <c r="G8583" s="10"/>
      <c r="H8583" s="10"/>
      <c r="I8583" s="10"/>
      <c r="J8583" s="10"/>
      <c r="K8583" s="10"/>
      <c r="L8583" s="10"/>
    </row>
    <row r="8584" spans="1:12" ht="15" customHeight="1" x14ac:dyDescent="0.25">
      <c r="A8584" s="10"/>
      <c r="B8584" s="10"/>
      <c r="C8584" s="10"/>
      <c r="D8584" s="10"/>
      <c r="E8584" s="10"/>
      <c r="F8584" s="10"/>
      <c r="G8584" s="10"/>
      <c r="H8584" s="10"/>
      <c r="I8584" s="10"/>
      <c r="J8584" s="10"/>
      <c r="K8584" s="10"/>
      <c r="L8584" s="10"/>
    </row>
    <row r="8585" spans="1:12" ht="15" customHeight="1" x14ac:dyDescent="0.25">
      <c r="A8585" s="10"/>
      <c r="B8585" s="10"/>
      <c r="C8585" s="10"/>
      <c r="D8585" s="10"/>
      <c r="E8585" s="10"/>
      <c r="F8585" s="10"/>
      <c r="G8585" s="10"/>
      <c r="H8585" s="10"/>
      <c r="I8585" s="10"/>
      <c r="J8585" s="10"/>
      <c r="K8585" s="10"/>
      <c r="L8585" s="10"/>
    </row>
    <row r="8586" spans="1:12" ht="15" customHeight="1" x14ac:dyDescent="0.25">
      <c r="A8586" s="10"/>
      <c r="B8586" s="10"/>
      <c r="C8586" s="10"/>
      <c r="D8586" s="10"/>
      <c r="E8586" s="10"/>
      <c r="F8586" s="10"/>
      <c r="G8586" s="10"/>
      <c r="H8586" s="10"/>
      <c r="I8586" s="10"/>
      <c r="J8586" s="10"/>
      <c r="K8586" s="10"/>
      <c r="L8586" s="10"/>
    </row>
    <row r="8587" spans="1:12" ht="15" customHeight="1" x14ac:dyDescent="0.25">
      <c r="A8587" s="10"/>
      <c r="B8587" s="10"/>
      <c r="C8587" s="10"/>
      <c r="D8587" s="10"/>
      <c r="E8587" s="10"/>
      <c r="F8587" s="10"/>
      <c r="G8587" s="10"/>
      <c r="H8587" s="10"/>
      <c r="I8587" s="10"/>
      <c r="J8587" s="10"/>
      <c r="K8587" s="10"/>
      <c r="L8587" s="10"/>
    </row>
    <row r="8588" spans="1:12" ht="15" customHeight="1" x14ac:dyDescent="0.25">
      <c r="A8588" s="10"/>
      <c r="B8588" s="10"/>
      <c r="C8588" s="10"/>
      <c r="D8588" s="10"/>
      <c r="E8588" s="10"/>
      <c r="F8588" s="10"/>
      <c r="G8588" s="10"/>
      <c r="H8588" s="10"/>
      <c r="I8588" s="10"/>
      <c r="J8588" s="10"/>
      <c r="K8588" s="10"/>
      <c r="L8588" s="10"/>
    </row>
    <row r="8589" spans="1:12" ht="15" customHeight="1" x14ac:dyDescent="0.25">
      <c r="A8589" s="10"/>
      <c r="B8589" s="10"/>
      <c r="C8589" s="10"/>
      <c r="D8589" s="10"/>
      <c r="E8589" s="10"/>
      <c r="F8589" s="10"/>
      <c r="G8589" s="10"/>
      <c r="H8589" s="10"/>
      <c r="I8589" s="10"/>
      <c r="J8589" s="10"/>
      <c r="K8589" s="10"/>
      <c r="L8589" s="10"/>
    </row>
    <row r="8590" spans="1:12" ht="15" customHeight="1" x14ac:dyDescent="0.25">
      <c r="A8590" s="10"/>
      <c r="B8590" s="10"/>
      <c r="C8590" s="10"/>
      <c r="D8590" s="10"/>
      <c r="E8590" s="10"/>
      <c r="F8590" s="10"/>
      <c r="G8590" s="10"/>
      <c r="H8590" s="10"/>
      <c r="I8590" s="10"/>
      <c r="J8590" s="10"/>
      <c r="K8590" s="10"/>
      <c r="L8590" s="10"/>
    </row>
    <row r="8591" spans="1:12" ht="15" customHeight="1" x14ac:dyDescent="0.25">
      <c r="A8591" s="10"/>
      <c r="B8591" s="10"/>
      <c r="C8591" s="10"/>
      <c r="D8591" s="10"/>
      <c r="E8591" s="10"/>
      <c r="F8591" s="10"/>
      <c r="G8591" s="10"/>
      <c r="H8591" s="10"/>
      <c r="I8591" s="10"/>
      <c r="J8591" s="10"/>
      <c r="K8591" s="10"/>
      <c r="L8591" s="10"/>
    </row>
    <row r="8592" spans="1:12" ht="15" customHeight="1" x14ac:dyDescent="0.25">
      <c r="A8592" s="10"/>
      <c r="B8592" s="10"/>
      <c r="C8592" s="10"/>
      <c r="D8592" s="10"/>
      <c r="E8592" s="10"/>
      <c r="F8592" s="10"/>
      <c r="G8592" s="10"/>
      <c r="H8592" s="10"/>
      <c r="I8592" s="10"/>
      <c r="J8592" s="10"/>
      <c r="K8592" s="10"/>
      <c r="L8592" s="10"/>
    </row>
    <row r="8593" spans="1:12" ht="15" customHeight="1" x14ac:dyDescent="0.25">
      <c r="A8593" s="10"/>
      <c r="B8593" s="10"/>
      <c r="C8593" s="10"/>
      <c r="D8593" s="10"/>
      <c r="E8593" s="10"/>
      <c r="F8593" s="10"/>
      <c r="G8593" s="10"/>
      <c r="H8593" s="10"/>
      <c r="I8593" s="10"/>
      <c r="J8593" s="10"/>
      <c r="K8593" s="10"/>
      <c r="L8593" s="10"/>
    </row>
    <row r="8594" spans="1:12" ht="15" customHeight="1" x14ac:dyDescent="0.25">
      <c r="A8594" s="10"/>
      <c r="B8594" s="10"/>
      <c r="C8594" s="10"/>
      <c r="D8594" s="10"/>
      <c r="E8594" s="10"/>
      <c r="F8594" s="10"/>
      <c r="G8594" s="10"/>
      <c r="H8594" s="10"/>
      <c r="I8594" s="10"/>
      <c r="J8594" s="10"/>
      <c r="K8594" s="10"/>
      <c r="L8594" s="10"/>
    </row>
    <row r="8595" spans="1:12" ht="15" customHeight="1" x14ac:dyDescent="0.25">
      <c r="A8595" s="10"/>
      <c r="B8595" s="10"/>
      <c r="C8595" s="10"/>
      <c r="D8595" s="10"/>
      <c r="E8595" s="10"/>
      <c r="F8595" s="10"/>
      <c r="G8595" s="10"/>
      <c r="H8595" s="10"/>
      <c r="I8595" s="10"/>
      <c r="J8595" s="10"/>
      <c r="K8595" s="10"/>
      <c r="L8595" s="10"/>
    </row>
    <row r="8596" spans="1:12" ht="15" customHeight="1" x14ac:dyDescent="0.25">
      <c r="A8596" s="10"/>
      <c r="B8596" s="10"/>
      <c r="C8596" s="10"/>
      <c r="D8596" s="10"/>
      <c r="E8596" s="10"/>
      <c r="F8596" s="10"/>
      <c r="G8596" s="10"/>
      <c r="H8596" s="10"/>
      <c r="I8596" s="10"/>
      <c r="J8596" s="10"/>
      <c r="K8596" s="10"/>
      <c r="L8596" s="10"/>
    </row>
    <row r="8597" spans="1:12" ht="15" customHeight="1" x14ac:dyDescent="0.25">
      <c r="A8597" s="10"/>
      <c r="B8597" s="10"/>
      <c r="C8597" s="10"/>
      <c r="D8597" s="10"/>
      <c r="E8597" s="10"/>
      <c r="F8597" s="10"/>
      <c r="G8597" s="10"/>
      <c r="H8597" s="10"/>
      <c r="I8597" s="10"/>
      <c r="J8597" s="10"/>
      <c r="K8597" s="10"/>
      <c r="L8597" s="10"/>
    </row>
    <row r="8598" spans="1:12" ht="15" customHeight="1" x14ac:dyDescent="0.25">
      <c r="A8598" s="10"/>
      <c r="B8598" s="10"/>
      <c r="C8598" s="10"/>
      <c r="D8598" s="10"/>
      <c r="E8598" s="10"/>
      <c r="F8598" s="10"/>
      <c r="G8598" s="10"/>
      <c r="H8598" s="10"/>
      <c r="I8598" s="10"/>
      <c r="J8598" s="10"/>
      <c r="K8598" s="10"/>
      <c r="L8598" s="10"/>
    </row>
    <row r="8599" spans="1:12" ht="15" customHeight="1" x14ac:dyDescent="0.25">
      <c r="A8599" s="10"/>
      <c r="B8599" s="10"/>
      <c r="C8599" s="10"/>
      <c r="D8599" s="10"/>
      <c r="E8599" s="10"/>
      <c r="F8599" s="10"/>
      <c r="G8599" s="10"/>
      <c r="H8599" s="10"/>
      <c r="I8599" s="10"/>
      <c r="J8599" s="10"/>
      <c r="K8599" s="10"/>
      <c r="L8599" s="10"/>
    </row>
    <row r="8600" spans="1:12" ht="15" customHeight="1" x14ac:dyDescent="0.25">
      <c r="A8600" s="10"/>
      <c r="B8600" s="10"/>
      <c r="C8600" s="10"/>
      <c r="D8600" s="10"/>
      <c r="E8600" s="10"/>
      <c r="F8600" s="10"/>
      <c r="G8600" s="10"/>
      <c r="H8600" s="10"/>
      <c r="I8600" s="10"/>
      <c r="J8600" s="10"/>
      <c r="K8600" s="10"/>
      <c r="L8600" s="10"/>
    </row>
    <row r="8601" spans="1:12" ht="15" customHeight="1" x14ac:dyDescent="0.25">
      <c r="A8601" s="10"/>
      <c r="B8601" s="10"/>
      <c r="C8601" s="10"/>
      <c r="D8601" s="10"/>
      <c r="E8601" s="10"/>
      <c r="F8601" s="10"/>
      <c r="G8601" s="10"/>
      <c r="H8601" s="10"/>
      <c r="I8601" s="10"/>
      <c r="J8601" s="10"/>
      <c r="K8601" s="10"/>
      <c r="L8601" s="10"/>
    </row>
    <row r="8602" spans="1:12" ht="15" customHeight="1" x14ac:dyDescent="0.25">
      <c r="A8602" s="10"/>
      <c r="B8602" s="10"/>
      <c r="C8602" s="10"/>
      <c r="D8602" s="10"/>
      <c r="E8602" s="10"/>
      <c r="F8602" s="10"/>
      <c r="G8602" s="10"/>
      <c r="H8602" s="10"/>
      <c r="I8602" s="10"/>
      <c r="J8602" s="10"/>
      <c r="K8602" s="10"/>
      <c r="L8602" s="10"/>
    </row>
    <row r="8603" spans="1:12" ht="15" customHeight="1" x14ac:dyDescent="0.25">
      <c r="A8603" s="10"/>
      <c r="B8603" s="10"/>
      <c r="C8603" s="10"/>
      <c r="D8603" s="10"/>
      <c r="E8603" s="10"/>
      <c r="F8603" s="10"/>
      <c r="G8603" s="10"/>
      <c r="H8603" s="10"/>
      <c r="I8603" s="10"/>
      <c r="J8603" s="10"/>
      <c r="K8603" s="10"/>
      <c r="L8603" s="10"/>
    </row>
    <row r="8604" spans="1:12" ht="15" customHeight="1" x14ac:dyDescent="0.25">
      <c r="A8604" s="10"/>
      <c r="B8604" s="10"/>
      <c r="C8604" s="10"/>
      <c r="D8604" s="10"/>
      <c r="E8604" s="10"/>
      <c r="F8604" s="10"/>
      <c r="G8604" s="10"/>
      <c r="H8604" s="10"/>
      <c r="I8604" s="10"/>
      <c r="J8604" s="10"/>
      <c r="K8604" s="10"/>
      <c r="L8604" s="10"/>
    </row>
    <row r="8605" spans="1:12" ht="15" customHeight="1" x14ac:dyDescent="0.25">
      <c r="A8605" s="10"/>
      <c r="B8605" s="10"/>
      <c r="C8605" s="10"/>
      <c r="D8605" s="10"/>
      <c r="E8605" s="10"/>
      <c r="F8605" s="10"/>
      <c r="G8605" s="10"/>
      <c r="H8605" s="10"/>
      <c r="I8605" s="10"/>
      <c r="J8605" s="10"/>
      <c r="K8605" s="10"/>
      <c r="L8605" s="10"/>
    </row>
    <row r="8606" spans="1:12" ht="15" customHeight="1" x14ac:dyDescent="0.25">
      <c r="A8606" s="10"/>
      <c r="B8606" s="10"/>
      <c r="C8606" s="10"/>
      <c r="D8606" s="10"/>
      <c r="E8606" s="10"/>
      <c r="F8606" s="10"/>
      <c r="G8606" s="10"/>
      <c r="H8606" s="10"/>
      <c r="I8606" s="10"/>
      <c r="J8606" s="10"/>
      <c r="K8606" s="10"/>
      <c r="L8606" s="10"/>
    </row>
    <row r="8607" spans="1:12" ht="15" customHeight="1" x14ac:dyDescent="0.25">
      <c r="A8607" s="10"/>
      <c r="B8607" s="10"/>
      <c r="C8607" s="10"/>
      <c r="D8607" s="10"/>
      <c r="E8607" s="10"/>
      <c r="F8607" s="10"/>
      <c r="G8607" s="10"/>
      <c r="H8607" s="10"/>
      <c r="I8607" s="10"/>
      <c r="J8607" s="10"/>
      <c r="K8607" s="10"/>
      <c r="L8607" s="10"/>
    </row>
    <row r="8608" spans="1:12" ht="15" customHeight="1" x14ac:dyDescent="0.25">
      <c r="A8608" s="10"/>
      <c r="B8608" s="10"/>
      <c r="C8608" s="10"/>
      <c r="D8608" s="10"/>
      <c r="E8608" s="10"/>
      <c r="F8608" s="10"/>
      <c r="G8608" s="10"/>
      <c r="H8608" s="10"/>
      <c r="I8608" s="10"/>
      <c r="J8608" s="10"/>
      <c r="K8608" s="10"/>
      <c r="L8608" s="10"/>
    </row>
    <row r="8609" spans="1:12" ht="15" customHeight="1" x14ac:dyDescent="0.25">
      <c r="A8609" s="10"/>
      <c r="B8609" s="10"/>
      <c r="C8609" s="10"/>
      <c r="D8609" s="10"/>
      <c r="E8609" s="10"/>
      <c r="F8609" s="10"/>
      <c r="G8609" s="10"/>
      <c r="H8609" s="10"/>
      <c r="I8609" s="10"/>
      <c r="J8609" s="10"/>
      <c r="K8609" s="10"/>
      <c r="L8609" s="10"/>
    </row>
    <row r="8610" spans="1:12" ht="15" customHeight="1" x14ac:dyDescent="0.25">
      <c r="A8610" s="10"/>
      <c r="B8610" s="10"/>
      <c r="C8610" s="10"/>
      <c r="D8610" s="10"/>
      <c r="E8610" s="10"/>
      <c r="F8610" s="10"/>
      <c r="G8610" s="10"/>
      <c r="H8610" s="10"/>
      <c r="I8610" s="10"/>
      <c r="J8610" s="10"/>
      <c r="K8610" s="10"/>
      <c r="L8610" s="10"/>
    </row>
    <row r="8611" spans="1:12" ht="15" customHeight="1" x14ac:dyDescent="0.25">
      <c r="A8611" s="10"/>
      <c r="B8611" s="10"/>
      <c r="C8611" s="10"/>
      <c r="D8611" s="10"/>
      <c r="E8611" s="10"/>
      <c r="F8611" s="10"/>
      <c r="G8611" s="10"/>
      <c r="H8611" s="10"/>
      <c r="I8611" s="10"/>
      <c r="J8611" s="10"/>
      <c r="K8611" s="10"/>
      <c r="L8611" s="10"/>
    </row>
    <row r="8612" spans="1:12" ht="15" customHeight="1" x14ac:dyDescent="0.25">
      <c r="A8612" s="10"/>
      <c r="B8612" s="10"/>
      <c r="C8612" s="10"/>
      <c r="D8612" s="10"/>
      <c r="E8612" s="10"/>
      <c r="F8612" s="10"/>
      <c r="G8612" s="10"/>
      <c r="H8612" s="10"/>
      <c r="I8612" s="10"/>
      <c r="J8612" s="10"/>
      <c r="K8612" s="10"/>
      <c r="L8612" s="10"/>
    </row>
    <row r="8613" spans="1:12" ht="15" customHeight="1" x14ac:dyDescent="0.25">
      <c r="A8613" s="10"/>
      <c r="B8613" s="10"/>
      <c r="C8613" s="10"/>
      <c r="D8613" s="10"/>
      <c r="E8613" s="10"/>
      <c r="F8613" s="10"/>
      <c r="G8613" s="10"/>
      <c r="H8613" s="10"/>
      <c r="I8613" s="10"/>
      <c r="J8613" s="10"/>
      <c r="K8613" s="10"/>
      <c r="L8613" s="10"/>
    </row>
    <row r="8614" spans="1:12" ht="15" customHeight="1" x14ac:dyDescent="0.25">
      <c r="A8614" s="10"/>
      <c r="B8614" s="10"/>
      <c r="C8614" s="10"/>
      <c r="D8614" s="10"/>
      <c r="E8614" s="10"/>
      <c r="F8614" s="10"/>
      <c r="G8614" s="10"/>
      <c r="H8614" s="10"/>
      <c r="I8614" s="10"/>
      <c r="J8614" s="10"/>
      <c r="K8614" s="10"/>
      <c r="L8614" s="10"/>
    </row>
    <row r="8615" spans="1:12" ht="15" customHeight="1" x14ac:dyDescent="0.25">
      <c r="A8615" s="10"/>
      <c r="B8615" s="10"/>
      <c r="C8615" s="10"/>
      <c r="D8615" s="10"/>
      <c r="E8615" s="10"/>
      <c r="F8615" s="10"/>
      <c r="G8615" s="10"/>
      <c r="H8615" s="10"/>
      <c r="I8615" s="10"/>
      <c r="J8615" s="10"/>
      <c r="K8615" s="10"/>
      <c r="L8615" s="10"/>
    </row>
    <row r="8616" spans="1:12" ht="15" customHeight="1" x14ac:dyDescent="0.25">
      <c r="A8616" s="10"/>
      <c r="B8616" s="10"/>
      <c r="C8616" s="10"/>
      <c r="D8616" s="10"/>
      <c r="E8616" s="10"/>
      <c r="F8616" s="10"/>
      <c r="G8616" s="10"/>
      <c r="H8616" s="10"/>
      <c r="I8616" s="10"/>
      <c r="J8616" s="10"/>
      <c r="K8616" s="10"/>
      <c r="L8616" s="10"/>
    </row>
    <row r="8617" spans="1:12" ht="15" customHeight="1" x14ac:dyDescent="0.25">
      <c r="A8617" s="10"/>
      <c r="B8617" s="10"/>
      <c r="C8617" s="10"/>
      <c r="D8617" s="10"/>
      <c r="E8617" s="10"/>
      <c r="F8617" s="10"/>
      <c r="G8617" s="10"/>
      <c r="H8617" s="10"/>
      <c r="I8617" s="10"/>
      <c r="J8617" s="10"/>
      <c r="K8617" s="10"/>
      <c r="L8617" s="10"/>
    </row>
    <row r="8618" spans="1:12" ht="15" customHeight="1" x14ac:dyDescent="0.25">
      <c r="A8618" s="10"/>
      <c r="B8618" s="10"/>
      <c r="C8618" s="10"/>
      <c r="D8618" s="10"/>
      <c r="E8618" s="10"/>
      <c r="F8618" s="10"/>
      <c r="G8618" s="10"/>
      <c r="H8618" s="10"/>
      <c r="I8618" s="10"/>
      <c r="J8618" s="10"/>
      <c r="K8618" s="10"/>
      <c r="L8618" s="10"/>
    </row>
    <row r="8619" spans="1:12" ht="15" customHeight="1" x14ac:dyDescent="0.25">
      <c r="A8619" s="10"/>
      <c r="B8619" s="10"/>
      <c r="C8619" s="10"/>
      <c r="D8619" s="10"/>
      <c r="E8619" s="10"/>
      <c r="F8619" s="10"/>
      <c r="G8619" s="10"/>
      <c r="H8619" s="10"/>
      <c r="I8619" s="10"/>
      <c r="J8619" s="10"/>
      <c r="K8619" s="10"/>
      <c r="L8619" s="10"/>
    </row>
    <row r="8620" spans="1:12" ht="15" customHeight="1" x14ac:dyDescent="0.25">
      <c r="A8620" s="10"/>
      <c r="B8620" s="10"/>
      <c r="C8620" s="10"/>
      <c r="D8620" s="10"/>
      <c r="E8620" s="10"/>
      <c r="F8620" s="10"/>
      <c r="G8620" s="10"/>
      <c r="H8620" s="10"/>
      <c r="I8620" s="10"/>
      <c r="J8620" s="10"/>
      <c r="K8620" s="10"/>
      <c r="L8620" s="10"/>
    </row>
    <row r="8621" spans="1:12" ht="15" customHeight="1" x14ac:dyDescent="0.25">
      <c r="A8621" s="10"/>
      <c r="B8621" s="10"/>
      <c r="C8621" s="10"/>
      <c r="D8621" s="10"/>
      <c r="E8621" s="10"/>
      <c r="F8621" s="10"/>
      <c r="G8621" s="10"/>
      <c r="H8621" s="10"/>
      <c r="I8621" s="10"/>
      <c r="J8621" s="10"/>
      <c r="K8621" s="10"/>
      <c r="L8621" s="10"/>
    </row>
    <row r="8622" spans="1:12" ht="15" customHeight="1" x14ac:dyDescent="0.25">
      <c r="A8622" s="10"/>
      <c r="B8622" s="10"/>
      <c r="C8622" s="10"/>
      <c r="D8622" s="10"/>
      <c r="E8622" s="10"/>
      <c r="F8622" s="10"/>
      <c r="G8622" s="10"/>
      <c r="H8622" s="10"/>
      <c r="I8622" s="10"/>
      <c r="J8622" s="10"/>
      <c r="K8622" s="10"/>
      <c r="L8622" s="10"/>
    </row>
    <row r="8623" spans="1:12" ht="15" customHeight="1" x14ac:dyDescent="0.25">
      <c r="A8623" s="10"/>
      <c r="B8623" s="10"/>
      <c r="C8623" s="10"/>
      <c r="D8623" s="10"/>
      <c r="E8623" s="10"/>
      <c r="F8623" s="10"/>
      <c r="G8623" s="10"/>
      <c r="H8623" s="10"/>
      <c r="I8623" s="10"/>
      <c r="J8623" s="10"/>
      <c r="K8623" s="10"/>
      <c r="L8623" s="10"/>
    </row>
    <row r="8624" spans="1:12" ht="15" customHeight="1" x14ac:dyDescent="0.25">
      <c r="A8624" s="10"/>
      <c r="B8624" s="10"/>
      <c r="C8624" s="10"/>
      <c r="D8624" s="10"/>
      <c r="E8624" s="10"/>
      <c r="F8624" s="10"/>
      <c r="G8624" s="10"/>
      <c r="H8624" s="10"/>
      <c r="I8624" s="10"/>
      <c r="J8624" s="10"/>
      <c r="K8624" s="10"/>
      <c r="L8624" s="10"/>
    </row>
    <row r="8625" spans="1:12" ht="15" customHeight="1" x14ac:dyDescent="0.25">
      <c r="A8625" s="10"/>
      <c r="B8625" s="10"/>
      <c r="C8625" s="10"/>
      <c r="D8625" s="10"/>
      <c r="E8625" s="10"/>
      <c r="F8625" s="10"/>
      <c r="G8625" s="10"/>
      <c r="H8625" s="10"/>
      <c r="I8625" s="10"/>
      <c r="J8625" s="10"/>
      <c r="K8625" s="10"/>
      <c r="L8625" s="10"/>
    </row>
    <row r="8626" spans="1:12" ht="15" customHeight="1" x14ac:dyDescent="0.25">
      <c r="A8626" s="10"/>
      <c r="B8626" s="10"/>
      <c r="C8626" s="10"/>
      <c r="D8626" s="10"/>
      <c r="E8626" s="10"/>
      <c r="F8626" s="10"/>
      <c r="G8626" s="10"/>
      <c r="H8626" s="10"/>
      <c r="I8626" s="10"/>
      <c r="J8626" s="10"/>
      <c r="K8626" s="10"/>
      <c r="L8626" s="10"/>
    </row>
    <row r="8627" spans="1:12" ht="15" customHeight="1" x14ac:dyDescent="0.25">
      <c r="A8627" s="10"/>
      <c r="B8627" s="10"/>
      <c r="C8627" s="10"/>
      <c r="D8627" s="10"/>
      <c r="E8627" s="10"/>
      <c r="F8627" s="10"/>
      <c r="G8627" s="10"/>
      <c r="H8627" s="10"/>
      <c r="I8627" s="10"/>
      <c r="J8627" s="10"/>
      <c r="K8627" s="10"/>
      <c r="L8627" s="10"/>
    </row>
    <row r="8628" spans="1:12" ht="15" customHeight="1" x14ac:dyDescent="0.25">
      <c r="A8628" s="10"/>
      <c r="B8628" s="10"/>
      <c r="C8628" s="10"/>
      <c r="D8628" s="10"/>
      <c r="E8628" s="10"/>
      <c r="F8628" s="10"/>
      <c r="G8628" s="10"/>
      <c r="H8628" s="10"/>
      <c r="I8628" s="10"/>
      <c r="J8628" s="10"/>
      <c r="K8628" s="10"/>
      <c r="L8628" s="10"/>
    </row>
    <row r="8629" spans="1:12" ht="15" customHeight="1" x14ac:dyDescent="0.25">
      <c r="A8629" s="10"/>
      <c r="B8629" s="10"/>
      <c r="C8629" s="10"/>
      <c r="D8629" s="10"/>
      <c r="E8629" s="10"/>
      <c r="F8629" s="10"/>
      <c r="G8629" s="10"/>
      <c r="H8629" s="10"/>
      <c r="I8629" s="10"/>
      <c r="J8629" s="10"/>
      <c r="K8629" s="10"/>
      <c r="L8629" s="10"/>
    </row>
    <row r="8630" spans="1:12" ht="15" customHeight="1" x14ac:dyDescent="0.25">
      <c r="A8630" s="10"/>
      <c r="B8630" s="10"/>
      <c r="C8630" s="10"/>
      <c r="D8630" s="10"/>
      <c r="E8630" s="10"/>
      <c r="F8630" s="10"/>
      <c r="G8630" s="10"/>
      <c r="H8630" s="10"/>
      <c r="I8630" s="10"/>
      <c r="J8630" s="10"/>
      <c r="K8630" s="10"/>
      <c r="L8630" s="10"/>
    </row>
    <row r="8631" spans="1:12" ht="15" customHeight="1" x14ac:dyDescent="0.25">
      <c r="A8631" s="10"/>
      <c r="B8631" s="10"/>
      <c r="C8631" s="10"/>
      <c r="D8631" s="10"/>
      <c r="E8631" s="10"/>
      <c r="F8631" s="10"/>
      <c r="G8631" s="10"/>
      <c r="H8631" s="10"/>
      <c r="I8631" s="10"/>
      <c r="J8631" s="10"/>
      <c r="K8631" s="10"/>
      <c r="L8631" s="10"/>
    </row>
    <row r="8632" spans="1:12" ht="15" customHeight="1" x14ac:dyDescent="0.25">
      <c r="A8632" s="10"/>
      <c r="B8632" s="10"/>
      <c r="C8632" s="10"/>
      <c r="D8632" s="10"/>
      <c r="E8632" s="10"/>
      <c r="F8632" s="10"/>
      <c r="G8632" s="10"/>
      <c r="H8632" s="10"/>
      <c r="I8632" s="10"/>
      <c r="J8632" s="10"/>
      <c r="K8632" s="10"/>
      <c r="L8632" s="10"/>
    </row>
    <row r="8633" spans="1:12" ht="15" customHeight="1" x14ac:dyDescent="0.25">
      <c r="A8633" s="10"/>
      <c r="B8633" s="10"/>
      <c r="C8633" s="10"/>
      <c r="D8633" s="10"/>
      <c r="E8633" s="10"/>
      <c r="F8633" s="10"/>
      <c r="G8633" s="10"/>
      <c r="H8633" s="10"/>
      <c r="I8633" s="10"/>
      <c r="J8633" s="10"/>
      <c r="K8633" s="10"/>
      <c r="L8633" s="10"/>
    </row>
    <row r="8634" spans="1:12" ht="15" customHeight="1" x14ac:dyDescent="0.25">
      <c r="A8634" s="10"/>
      <c r="B8634" s="10"/>
      <c r="C8634" s="10"/>
      <c r="D8634" s="10"/>
      <c r="E8634" s="10"/>
      <c r="F8634" s="10"/>
      <c r="G8634" s="10"/>
      <c r="H8634" s="10"/>
      <c r="I8634" s="10"/>
      <c r="J8634" s="10"/>
      <c r="K8634" s="10"/>
      <c r="L8634" s="10"/>
    </row>
    <row r="8635" spans="1:12" ht="15" customHeight="1" x14ac:dyDescent="0.25">
      <c r="A8635" s="10"/>
      <c r="B8635" s="10"/>
      <c r="C8635" s="10"/>
      <c r="D8635" s="10"/>
      <c r="E8635" s="10"/>
      <c r="F8635" s="10"/>
      <c r="G8635" s="10"/>
      <c r="H8635" s="10"/>
      <c r="I8635" s="10"/>
      <c r="J8635" s="10"/>
      <c r="K8635" s="10"/>
      <c r="L8635" s="10"/>
    </row>
    <row r="8636" spans="1:12" ht="15" customHeight="1" x14ac:dyDescent="0.25">
      <c r="A8636" s="10"/>
      <c r="B8636" s="10"/>
      <c r="C8636" s="10"/>
      <c r="D8636" s="10"/>
      <c r="E8636" s="10"/>
      <c r="F8636" s="10"/>
      <c r="G8636" s="10"/>
      <c r="H8636" s="10"/>
      <c r="I8636" s="10"/>
      <c r="J8636" s="10"/>
      <c r="K8636" s="10"/>
      <c r="L8636" s="10"/>
    </row>
    <row r="8637" spans="1:12" ht="15" customHeight="1" x14ac:dyDescent="0.25">
      <c r="A8637" s="10"/>
      <c r="B8637" s="10"/>
      <c r="C8637" s="10"/>
      <c r="D8637" s="10"/>
      <c r="E8637" s="10"/>
      <c r="F8637" s="10"/>
      <c r="G8637" s="10"/>
      <c r="H8637" s="10"/>
      <c r="I8637" s="10"/>
      <c r="J8637" s="10"/>
      <c r="K8637" s="10"/>
      <c r="L8637" s="10"/>
    </row>
    <row r="8638" spans="1:12" ht="15" customHeight="1" x14ac:dyDescent="0.25">
      <c r="A8638" s="10"/>
      <c r="B8638" s="10"/>
      <c r="C8638" s="10"/>
      <c r="D8638" s="10"/>
      <c r="E8638" s="10"/>
      <c r="F8638" s="10"/>
      <c r="G8638" s="10"/>
      <c r="H8638" s="10"/>
      <c r="I8638" s="10"/>
      <c r="J8638" s="10"/>
      <c r="K8638" s="10"/>
      <c r="L8638" s="10"/>
    </row>
    <row r="8639" spans="1:12" ht="15" customHeight="1" x14ac:dyDescent="0.25">
      <c r="A8639" s="10"/>
      <c r="B8639" s="10"/>
      <c r="C8639" s="10"/>
      <c r="D8639" s="10"/>
      <c r="E8639" s="10"/>
      <c r="F8639" s="10"/>
      <c r="G8639" s="10"/>
      <c r="H8639" s="10"/>
      <c r="I8639" s="10"/>
      <c r="J8639" s="10"/>
      <c r="K8639" s="10"/>
      <c r="L8639" s="10"/>
    </row>
    <row r="8640" spans="1:12" ht="15" customHeight="1" x14ac:dyDescent="0.25">
      <c r="A8640" s="10"/>
      <c r="B8640" s="10"/>
      <c r="C8640" s="10"/>
      <c r="D8640" s="10"/>
      <c r="E8640" s="10"/>
      <c r="F8640" s="10"/>
      <c r="G8640" s="10"/>
      <c r="H8640" s="10"/>
      <c r="I8640" s="10"/>
      <c r="J8640" s="10"/>
      <c r="K8640" s="10"/>
      <c r="L8640" s="10"/>
    </row>
    <row r="8641" spans="1:12" ht="15" customHeight="1" x14ac:dyDescent="0.25">
      <c r="A8641" s="10"/>
      <c r="B8641" s="10"/>
      <c r="C8641" s="10"/>
      <c r="D8641" s="10"/>
      <c r="E8641" s="10"/>
      <c r="F8641" s="10"/>
      <c r="G8641" s="10"/>
      <c r="H8641" s="10"/>
      <c r="I8641" s="10"/>
      <c r="J8641" s="10"/>
      <c r="K8641" s="10"/>
      <c r="L8641" s="10"/>
    </row>
    <row r="8642" spans="1:12" ht="15" customHeight="1" x14ac:dyDescent="0.25">
      <c r="A8642" s="10"/>
      <c r="B8642" s="10"/>
      <c r="C8642" s="10"/>
      <c r="D8642" s="10"/>
      <c r="E8642" s="10"/>
      <c r="F8642" s="10"/>
      <c r="G8642" s="10"/>
      <c r="H8642" s="10"/>
      <c r="I8642" s="10"/>
      <c r="J8642" s="10"/>
      <c r="K8642" s="10"/>
      <c r="L8642" s="10"/>
    </row>
    <row r="8643" spans="1:12" ht="15" customHeight="1" x14ac:dyDescent="0.25">
      <c r="A8643" s="10"/>
      <c r="B8643" s="10"/>
      <c r="C8643" s="10"/>
      <c r="D8643" s="10"/>
      <c r="E8643" s="10"/>
      <c r="F8643" s="10"/>
      <c r="G8643" s="10"/>
      <c r="H8643" s="10"/>
      <c r="I8643" s="10"/>
      <c r="J8643" s="10"/>
      <c r="K8643" s="10"/>
      <c r="L8643" s="10"/>
    </row>
    <row r="8644" spans="1:12" ht="15" customHeight="1" x14ac:dyDescent="0.25">
      <c r="A8644" s="10"/>
      <c r="B8644" s="10"/>
      <c r="C8644" s="10"/>
      <c r="D8644" s="10"/>
      <c r="E8644" s="10"/>
      <c r="F8644" s="10"/>
      <c r="G8644" s="10"/>
      <c r="H8644" s="10"/>
      <c r="I8644" s="10"/>
      <c r="J8644" s="10"/>
      <c r="K8644" s="10"/>
      <c r="L8644" s="10"/>
    </row>
    <row r="8645" spans="1:12" ht="15" customHeight="1" x14ac:dyDescent="0.25">
      <c r="A8645" s="10"/>
      <c r="B8645" s="10"/>
      <c r="C8645" s="10"/>
      <c r="D8645" s="10"/>
      <c r="E8645" s="10"/>
      <c r="F8645" s="10"/>
      <c r="G8645" s="10"/>
      <c r="H8645" s="10"/>
      <c r="I8645" s="10"/>
      <c r="J8645" s="10"/>
      <c r="K8645" s="10"/>
      <c r="L8645" s="10"/>
    </row>
    <row r="8646" spans="1:12" ht="15" customHeight="1" x14ac:dyDescent="0.25">
      <c r="A8646" s="10"/>
      <c r="B8646" s="10"/>
      <c r="C8646" s="10"/>
      <c r="D8646" s="10"/>
      <c r="E8646" s="10"/>
      <c r="F8646" s="10"/>
      <c r="G8646" s="10"/>
      <c r="H8646" s="10"/>
      <c r="I8646" s="10"/>
      <c r="J8646" s="10"/>
      <c r="K8646" s="10"/>
      <c r="L8646" s="10"/>
    </row>
    <row r="8647" spans="1:12" ht="15" customHeight="1" x14ac:dyDescent="0.25">
      <c r="A8647" s="10"/>
      <c r="B8647" s="10"/>
      <c r="C8647" s="10"/>
      <c r="D8647" s="10"/>
      <c r="E8647" s="10"/>
      <c r="F8647" s="10"/>
      <c r="G8647" s="10"/>
      <c r="H8647" s="10"/>
      <c r="I8647" s="10"/>
      <c r="J8647" s="10"/>
      <c r="K8647" s="10"/>
      <c r="L8647" s="10"/>
    </row>
    <row r="8648" spans="1:12" ht="15" customHeight="1" x14ac:dyDescent="0.25">
      <c r="A8648" s="10"/>
      <c r="B8648" s="10"/>
      <c r="C8648" s="10"/>
      <c r="D8648" s="10"/>
      <c r="E8648" s="10"/>
      <c r="F8648" s="10"/>
      <c r="G8648" s="10"/>
      <c r="H8648" s="10"/>
      <c r="I8648" s="10"/>
      <c r="J8648" s="10"/>
      <c r="K8648" s="10"/>
      <c r="L8648" s="10"/>
    </row>
    <row r="8649" spans="1:12" ht="15" customHeight="1" x14ac:dyDescent="0.25">
      <c r="A8649" s="10"/>
      <c r="B8649" s="10"/>
      <c r="C8649" s="10"/>
      <c r="D8649" s="10"/>
      <c r="E8649" s="10"/>
      <c r="F8649" s="10"/>
      <c r="G8649" s="10"/>
      <c r="H8649" s="10"/>
      <c r="I8649" s="10"/>
      <c r="J8649" s="10"/>
      <c r="K8649" s="10"/>
      <c r="L8649" s="10"/>
    </row>
    <row r="8650" spans="1:12" ht="15" customHeight="1" x14ac:dyDescent="0.25">
      <c r="A8650" s="10"/>
      <c r="B8650" s="10"/>
      <c r="C8650" s="10"/>
      <c r="D8650" s="10"/>
      <c r="E8650" s="10"/>
      <c r="F8650" s="10"/>
      <c r="G8650" s="10"/>
      <c r="H8650" s="10"/>
      <c r="I8650" s="10"/>
      <c r="J8650" s="10"/>
      <c r="K8650" s="10"/>
      <c r="L8650" s="10"/>
    </row>
    <row r="8651" spans="1:12" ht="15" customHeight="1" x14ac:dyDescent="0.25">
      <c r="A8651" s="10"/>
      <c r="B8651" s="10"/>
      <c r="C8651" s="10"/>
      <c r="D8651" s="10"/>
      <c r="E8651" s="10"/>
      <c r="F8651" s="10"/>
      <c r="G8651" s="10"/>
      <c r="H8651" s="10"/>
      <c r="I8651" s="10"/>
      <c r="J8651" s="10"/>
      <c r="K8651" s="10"/>
      <c r="L8651" s="10"/>
    </row>
    <row r="8652" spans="1:12" ht="15" customHeight="1" x14ac:dyDescent="0.25">
      <c r="A8652" s="10"/>
      <c r="B8652" s="10"/>
      <c r="C8652" s="10"/>
      <c r="D8652" s="10"/>
      <c r="E8652" s="10"/>
      <c r="F8652" s="10"/>
      <c r="G8652" s="10"/>
      <c r="H8652" s="10"/>
      <c r="I8652" s="10"/>
      <c r="J8652" s="10"/>
      <c r="K8652" s="10"/>
      <c r="L8652" s="10"/>
    </row>
    <row r="8653" spans="1:12" ht="15" customHeight="1" x14ac:dyDescent="0.25">
      <c r="A8653" s="10"/>
      <c r="B8653" s="10"/>
      <c r="C8653" s="10"/>
      <c r="D8653" s="10"/>
      <c r="E8653" s="10"/>
      <c r="F8653" s="10"/>
      <c r="G8653" s="10"/>
      <c r="H8653" s="10"/>
      <c r="I8653" s="10"/>
      <c r="J8653" s="10"/>
      <c r="K8653" s="10"/>
      <c r="L8653" s="10"/>
    </row>
    <row r="8654" spans="1:12" ht="15" customHeight="1" x14ac:dyDescent="0.25">
      <c r="A8654" s="10"/>
      <c r="B8654" s="10"/>
      <c r="C8654" s="10"/>
      <c r="D8654" s="10"/>
      <c r="E8654" s="10"/>
      <c r="F8654" s="10"/>
      <c r="G8654" s="10"/>
      <c r="H8654" s="10"/>
      <c r="I8654" s="10"/>
      <c r="J8654" s="10"/>
      <c r="K8654" s="10"/>
      <c r="L8654" s="10"/>
    </row>
    <row r="8655" spans="1:12" ht="15" customHeight="1" x14ac:dyDescent="0.25">
      <c r="A8655" s="10"/>
      <c r="B8655" s="10"/>
      <c r="C8655" s="10"/>
      <c r="D8655" s="10"/>
      <c r="E8655" s="10"/>
      <c r="F8655" s="10"/>
      <c r="G8655" s="10"/>
      <c r="H8655" s="10"/>
      <c r="I8655" s="10"/>
      <c r="J8655" s="10"/>
      <c r="K8655" s="10"/>
      <c r="L8655" s="10"/>
    </row>
    <row r="8656" spans="1:12" ht="15" customHeight="1" x14ac:dyDescent="0.25">
      <c r="A8656" s="10"/>
      <c r="B8656" s="10"/>
      <c r="C8656" s="10"/>
      <c r="D8656" s="10"/>
      <c r="E8656" s="10"/>
      <c r="F8656" s="10"/>
      <c r="G8656" s="10"/>
      <c r="H8656" s="10"/>
      <c r="I8656" s="10"/>
      <c r="J8656" s="10"/>
      <c r="K8656" s="10"/>
      <c r="L8656" s="10"/>
    </row>
    <row r="8657" spans="1:12" ht="15" customHeight="1" x14ac:dyDescent="0.25">
      <c r="A8657" s="10"/>
      <c r="B8657" s="10"/>
      <c r="C8657" s="10"/>
      <c r="D8657" s="10"/>
      <c r="E8657" s="10"/>
      <c r="F8657" s="10"/>
      <c r="G8657" s="10"/>
      <c r="H8657" s="10"/>
      <c r="I8657" s="10"/>
      <c r="J8657" s="10"/>
      <c r="K8657" s="10"/>
      <c r="L8657" s="10"/>
    </row>
    <row r="8658" spans="1:12" ht="15" customHeight="1" x14ac:dyDescent="0.25">
      <c r="A8658" s="10"/>
      <c r="B8658" s="10"/>
      <c r="C8658" s="10"/>
      <c r="D8658" s="10"/>
      <c r="E8658" s="10"/>
      <c r="F8658" s="10"/>
      <c r="G8658" s="10"/>
      <c r="H8658" s="10"/>
      <c r="I8658" s="10"/>
      <c r="J8658" s="10"/>
      <c r="K8658" s="10"/>
      <c r="L8658" s="10"/>
    </row>
    <row r="8659" spans="1:12" ht="15" customHeight="1" x14ac:dyDescent="0.25">
      <c r="A8659" s="10"/>
      <c r="B8659" s="10"/>
      <c r="C8659" s="10"/>
      <c r="D8659" s="10"/>
      <c r="E8659" s="10"/>
      <c r="F8659" s="10"/>
      <c r="G8659" s="10"/>
      <c r="H8659" s="10"/>
      <c r="I8659" s="10"/>
      <c r="J8659" s="10"/>
      <c r="K8659" s="10"/>
      <c r="L8659" s="10"/>
    </row>
    <row r="8660" spans="1:12" ht="15" customHeight="1" x14ac:dyDescent="0.25">
      <c r="A8660" s="10"/>
      <c r="B8660" s="10"/>
      <c r="C8660" s="10"/>
      <c r="D8660" s="10"/>
      <c r="E8660" s="10"/>
      <c r="F8660" s="10"/>
      <c r="G8660" s="10"/>
      <c r="H8660" s="10"/>
      <c r="I8660" s="10"/>
      <c r="J8660" s="10"/>
      <c r="K8660" s="10"/>
      <c r="L8660" s="10"/>
    </row>
    <row r="8661" spans="1:12" ht="15" customHeight="1" x14ac:dyDescent="0.25">
      <c r="A8661" s="10"/>
      <c r="B8661" s="10"/>
      <c r="C8661" s="10"/>
      <c r="D8661" s="10"/>
      <c r="E8661" s="10"/>
      <c r="F8661" s="10"/>
      <c r="G8661" s="10"/>
      <c r="H8661" s="10"/>
      <c r="I8661" s="10"/>
      <c r="J8661" s="10"/>
      <c r="K8661" s="10"/>
      <c r="L8661" s="10"/>
    </row>
    <row r="8662" spans="1:12" ht="15" customHeight="1" x14ac:dyDescent="0.25">
      <c r="A8662" s="10"/>
      <c r="B8662" s="10"/>
      <c r="C8662" s="10"/>
      <c r="D8662" s="10"/>
      <c r="E8662" s="10"/>
      <c r="F8662" s="10"/>
      <c r="G8662" s="10"/>
      <c r="H8662" s="10"/>
      <c r="I8662" s="10"/>
      <c r="J8662" s="10"/>
      <c r="K8662" s="10"/>
      <c r="L8662" s="10"/>
    </row>
    <row r="8663" spans="1:12" ht="15" customHeight="1" x14ac:dyDescent="0.25">
      <c r="A8663" s="10"/>
      <c r="B8663" s="10"/>
      <c r="C8663" s="10"/>
      <c r="D8663" s="10"/>
      <c r="E8663" s="10"/>
      <c r="F8663" s="10"/>
      <c r="G8663" s="10"/>
      <c r="H8663" s="10"/>
      <c r="I8663" s="10"/>
      <c r="J8663" s="10"/>
      <c r="K8663" s="10"/>
      <c r="L8663" s="10"/>
    </row>
    <row r="8664" spans="1:12" ht="15" customHeight="1" x14ac:dyDescent="0.25">
      <c r="A8664" s="10"/>
      <c r="B8664" s="10"/>
      <c r="C8664" s="10"/>
      <c r="D8664" s="10"/>
      <c r="E8664" s="10"/>
      <c r="F8664" s="10"/>
      <c r="G8664" s="10"/>
      <c r="H8664" s="10"/>
      <c r="I8664" s="10"/>
      <c r="J8664" s="10"/>
      <c r="K8664" s="10"/>
      <c r="L8664" s="10"/>
    </row>
    <row r="8665" spans="1:12" ht="15" customHeight="1" x14ac:dyDescent="0.25">
      <c r="A8665" s="10"/>
      <c r="B8665" s="10"/>
      <c r="C8665" s="10"/>
      <c r="D8665" s="10"/>
      <c r="E8665" s="10"/>
      <c r="F8665" s="10"/>
      <c r="G8665" s="10"/>
      <c r="H8665" s="10"/>
      <c r="I8665" s="10"/>
      <c r="J8665" s="10"/>
      <c r="K8665" s="10"/>
      <c r="L8665" s="10"/>
    </row>
    <row r="8666" spans="1:12" ht="15" customHeight="1" x14ac:dyDescent="0.25">
      <c r="A8666" s="10"/>
      <c r="B8666" s="10"/>
      <c r="C8666" s="10"/>
      <c r="D8666" s="10"/>
      <c r="E8666" s="10"/>
      <c r="F8666" s="10"/>
      <c r="G8666" s="10"/>
      <c r="H8666" s="10"/>
      <c r="I8666" s="10"/>
      <c r="J8666" s="10"/>
      <c r="K8666" s="10"/>
      <c r="L8666" s="10"/>
    </row>
    <row r="8667" spans="1:12" ht="15" customHeight="1" x14ac:dyDescent="0.25">
      <c r="A8667" s="10"/>
      <c r="B8667" s="10"/>
      <c r="C8667" s="10"/>
      <c r="D8667" s="10"/>
      <c r="E8667" s="10"/>
      <c r="F8667" s="10"/>
      <c r="G8667" s="10"/>
      <c r="H8667" s="10"/>
      <c r="I8667" s="10"/>
      <c r="J8667" s="10"/>
      <c r="K8667" s="10"/>
      <c r="L8667" s="10"/>
    </row>
    <row r="8668" spans="1:12" ht="15" customHeight="1" x14ac:dyDescent="0.25">
      <c r="A8668" s="10"/>
      <c r="B8668" s="10"/>
      <c r="C8668" s="10"/>
      <c r="D8668" s="10"/>
      <c r="E8668" s="10"/>
      <c r="F8668" s="10"/>
      <c r="G8668" s="10"/>
      <c r="H8668" s="10"/>
      <c r="I8668" s="10"/>
      <c r="J8668" s="10"/>
      <c r="K8668" s="10"/>
      <c r="L8668" s="10"/>
    </row>
    <row r="8669" spans="1:12" ht="15" customHeight="1" x14ac:dyDescent="0.25">
      <c r="A8669" s="10"/>
      <c r="B8669" s="10"/>
      <c r="C8669" s="10"/>
      <c r="D8669" s="10"/>
      <c r="E8669" s="10"/>
      <c r="F8669" s="10"/>
      <c r="G8669" s="10"/>
      <c r="H8669" s="10"/>
      <c r="I8669" s="10"/>
      <c r="J8669" s="10"/>
      <c r="K8669" s="10"/>
      <c r="L8669" s="10"/>
    </row>
    <row r="8670" spans="1:12" ht="15" customHeight="1" x14ac:dyDescent="0.25">
      <c r="A8670" s="10"/>
      <c r="B8670" s="10"/>
      <c r="C8670" s="10"/>
      <c r="D8670" s="10"/>
      <c r="E8670" s="10"/>
      <c r="F8670" s="10"/>
      <c r="G8670" s="10"/>
      <c r="H8670" s="10"/>
      <c r="I8670" s="10"/>
      <c r="J8670" s="10"/>
      <c r="K8670" s="10"/>
      <c r="L8670" s="10"/>
    </row>
    <row r="8671" spans="1:12" ht="15" customHeight="1" x14ac:dyDescent="0.25">
      <c r="A8671" s="10"/>
      <c r="B8671" s="10"/>
      <c r="C8671" s="10"/>
      <c r="D8671" s="10"/>
      <c r="E8671" s="10"/>
      <c r="F8671" s="10"/>
      <c r="G8671" s="10"/>
      <c r="H8671" s="10"/>
      <c r="I8671" s="10"/>
      <c r="J8671" s="10"/>
      <c r="K8671" s="10"/>
      <c r="L8671" s="10"/>
    </row>
    <row r="8672" spans="1:12" ht="15" customHeight="1" x14ac:dyDescent="0.25">
      <c r="A8672" s="10"/>
      <c r="B8672" s="10"/>
      <c r="C8672" s="10"/>
      <c r="D8672" s="10"/>
      <c r="E8672" s="10"/>
      <c r="F8672" s="10"/>
      <c r="G8672" s="10"/>
      <c r="H8672" s="10"/>
      <c r="I8672" s="10"/>
      <c r="J8672" s="10"/>
      <c r="K8672" s="10"/>
      <c r="L8672" s="10"/>
    </row>
    <row r="8673" spans="1:12" ht="15" customHeight="1" x14ac:dyDescent="0.25">
      <c r="A8673" s="10"/>
      <c r="B8673" s="10"/>
      <c r="C8673" s="10"/>
      <c r="D8673" s="10"/>
      <c r="E8673" s="10"/>
      <c r="F8673" s="10"/>
      <c r="G8673" s="10"/>
      <c r="H8673" s="10"/>
      <c r="I8673" s="10"/>
      <c r="J8673" s="10"/>
      <c r="K8673" s="10"/>
      <c r="L8673" s="10"/>
    </row>
    <row r="8674" spans="1:12" ht="15" customHeight="1" x14ac:dyDescent="0.25">
      <c r="A8674" s="10"/>
      <c r="B8674" s="10"/>
      <c r="C8674" s="10"/>
      <c r="D8674" s="10"/>
      <c r="E8674" s="10"/>
      <c r="F8674" s="10"/>
      <c r="G8674" s="10"/>
      <c r="H8674" s="10"/>
      <c r="I8674" s="10"/>
      <c r="J8674" s="10"/>
      <c r="K8674" s="10"/>
      <c r="L8674" s="10"/>
    </row>
    <row r="8675" spans="1:12" ht="15" customHeight="1" x14ac:dyDescent="0.25">
      <c r="A8675" s="10"/>
      <c r="B8675" s="10"/>
      <c r="C8675" s="10"/>
      <c r="D8675" s="10"/>
      <c r="E8675" s="10"/>
      <c r="F8675" s="10"/>
      <c r="G8675" s="10"/>
      <c r="H8675" s="10"/>
      <c r="I8675" s="10"/>
      <c r="J8675" s="10"/>
      <c r="K8675" s="10"/>
      <c r="L8675" s="10"/>
    </row>
    <row r="8676" spans="1:12" ht="15" customHeight="1" x14ac:dyDescent="0.25">
      <c r="A8676" s="10"/>
      <c r="B8676" s="10"/>
      <c r="C8676" s="10"/>
      <c r="D8676" s="10"/>
      <c r="E8676" s="10"/>
      <c r="F8676" s="10"/>
      <c r="G8676" s="10"/>
      <c r="H8676" s="10"/>
      <c r="I8676" s="10"/>
      <c r="J8676" s="10"/>
      <c r="K8676" s="10"/>
      <c r="L8676" s="10"/>
    </row>
    <row r="8677" spans="1:12" ht="15" customHeight="1" x14ac:dyDescent="0.25">
      <c r="A8677" s="10"/>
      <c r="B8677" s="10"/>
      <c r="C8677" s="10"/>
      <c r="D8677" s="10"/>
      <c r="E8677" s="10"/>
      <c r="F8677" s="10"/>
      <c r="G8677" s="10"/>
      <c r="H8677" s="10"/>
      <c r="I8677" s="10"/>
      <c r="J8677" s="10"/>
      <c r="K8677" s="10"/>
      <c r="L8677" s="10"/>
    </row>
    <row r="8678" spans="1:12" ht="15" customHeight="1" x14ac:dyDescent="0.25">
      <c r="A8678" s="10"/>
      <c r="B8678" s="10"/>
      <c r="C8678" s="10"/>
      <c r="D8678" s="10"/>
      <c r="E8678" s="10"/>
      <c r="F8678" s="10"/>
      <c r="G8678" s="10"/>
      <c r="H8678" s="10"/>
      <c r="I8678" s="10"/>
      <c r="J8678" s="10"/>
      <c r="K8678" s="10"/>
      <c r="L8678" s="10"/>
    </row>
    <row r="8679" spans="1:12" ht="15" customHeight="1" x14ac:dyDescent="0.25">
      <c r="A8679" s="10"/>
      <c r="B8679" s="10"/>
      <c r="C8679" s="10"/>
      <c r="D8679" s="10"/>
      <c r="E8679" s="10"/>
      <c r="F8679" s="10"/>
      <c r="G8679" s="10"/>
      <c r="H8679" s="10"/>
      <c r="I8679" s="10"/>
      <c r="J8679" s="10"/>
      <c r="K8679" s="10"/>
      <c r="L8679" s="10"/>
    </row>
    <row r="8680" spans="1:12" ht="15" customHeight="1" x14ac:dyDescent="0.25">
      <c r="A8680" s="10"/>
      <c r="B8680" s="10"/>
      <c r="C8680" s="10"/>
      <c r="D8680" s="10"/>
      <c r="E8680" s="10"/>
      <c r="F8680" s="10"/>
      <c r="G8680" s="10"/>
      <c r="H8680" s="10"/>
      <c r="I8680" s="10"/>
      <c r="J8680" s="10"/>
      <c r="K8680" s="10"/>
      <c r="L8680" s="10"/>
    </row>
    <row r="8681" spans="1:12" ht="15" customHeight="1" x14ac:dyDescent="0.25">
      <c r="A8681" s="10"/>
      <c r="B8681" s="10"/>
      <c r="C8681" s="10"/>
      <c r="D8681" s="10"/>
      <c r="E8681" s="10"/>
      <c r="F8681" s="10"/>
      <c r="G8681" s="10"/>
      <c r="H8681" s="10"/>
      <c r="I8681" s="10"/>
      <c r="J8681" s="10"/>
      <c r="K8681" s="10"/>
      <c r="L8681" s="10"/>
    </row>
    <row r="8682" spans="1:12" ht="15" customHeight="1" x14ac:dyDescent="0.25">
      <c r="A8682" s="10"/>
      <c r="B8682" s="10"/>
      <c r="C8682" s="10"/>
      <c r="D8682" s="10"/>
      <c r="E8682" s="10"/>
      <c r="F8682" s="10"/>
      <c r="G8682" s="10"/>
      <c r="H8682" s="10"/>
      <c r="I8682" s="10"/>
      <c r="J8682" s="10"/>
      <c r="K8682" s="10"/>
      <c r="L8682" s="10"/>
    </row>
    <row r="8683" spans="1:12" ht="15" customHeight="1" x14ac:dyDescent="0.25">
      <c r="A8683" s="10"/>
      <c r="B8683" s="10"/>
      <c r="C8683" s="10"/>
      <c r="D8683" s="10"/>
      <c r="E8683" s="10"/>
      <c r="F8683" s="10"/>
      <c r="G8683" s="10"/>
      <c r="H8683" s="10"/>
      <c r="I8683" s="10"/>
      <c r="J8683" s="10"/>
      <c r="K8683" s="10"/>
      <c r="L8683" s="10"/>
    </row>
    <row r="8684" spans="1:12" ht="15" customHeight="1" x14ac:dyDescent="0.25">
      <c r="A8684" s="10"/>
      <c r="B8684" s="10"/>
      <c r="C8684" s="10"/>
      <c r="D8684" s="10"/>
      <c r="E8684" s="10"/>
      <c r="F8684" s="10"/>
      <c r="G8684" s="10"/>
      <c r="H8684" s="10"/>
      <c r="I8684" s="10"/>
      <c r="J8684" s="10"/>
      <c r="K8684" s="10"/>
      <c r="L8684" s="10"/>
    </row>
    <row r="8685" spans="1:12" ht="15" customHeight="1" x14ac:dyDescent="0.25">
      <c r="A8685" s="10"/>
      <c r="B8685" s="10"/>
      <c r="C8685" s="10"/>
      <c r="D8685" s="10"/>
      <c r="E8685" s="10"/>
      <c r="F8685" s="10"/>
      <c r="G8685" s="10"/>
      <c r="H8685" s="10"/>
      <c r="I8685" s="10"/>
      <c r="J8685" s="10"/>
      <c r="K8685" s="10"/>
      <c r="L8685" s="10"/>
    </row>
    <row r="8686" spans="1:12" ht="15" customHeight="1" x14ac:dyDescent="0.25">
      <c r="A8686" s="10"/>
      <c r="B8686" s="10"/>
      <c r="C8686" s="10"/>
      <c r="D8686" s="10"/>
      <c r="E8686" s="10"/>
      <c r="F8686" s="10"/>
      <c r="G8686" s="10"/>
      <c r="H8686" s="10"/>
      <c r="I8686" s="10"/>
      <c r="J8686" s="10"/>
      <c r="K8686" s="10"/>
      <c r="L8686" s="10"/>
    </row>
    <row r="8687" spans="1:12" ht="15" customHeight="1" x14ac:dyDescent="0.25">
      <c r="A8687" s="10"/>
      <c r="B8687" s="10"/>
      <c r="C8687" s="10"/>
      <c r="D8687" s="10"/>
      <c r="E8687" s="10"/>
      <c r="F8687" s="10"/>
      <c r="G8687" s="10"/>
      <c r="H8687" s="10"/>
      <c r="I8687" s="10"/>
      <c r="J8687" s="10"/>
      <c r="K8687" s="10"/>
      <c r="L8687" s="10"/>
    </row>
    <row r="8688" spans="1:12" ht="15" customHeight="1" x14ac:dyDescent="0.25">
      <c r="A8688" s="10"/>
      <c r="B8688" s="10"/>
      <c r="C8688" s="10"/>
      <c r="D8688" s="10"/>
      <c r="E8688" s="10"/>
      <c r="F8688" s="10"/>
      <c r="G8688" s="10"/>
      <c r="H8688" s="10"/>
      <c r="I8688" s="10"/>
      <c r="J8688" s="10"/>
      <c r="K8688" s="10"/>
      <c r="L8688" s="10"/>
    </row>
    <row r="8689" spans="1:12" ht="15" customHeight="1" x14ac:dyDescent="0.25">
      <c r="A8689" s="10"/>
      <c r="B8689" s="10"/>
      <c r="C8689" s="10"/>
      <c r="D8689" s="10"/>
      <c r="E8689" s="10"/>
      <c r="F8689" s="10"/>
      <c r="G8689" s="10"/>
      <c r="H8689" s="10"/>
      <c r="I8689" s="10"/>
      <c r="J8689" s="10"/>
      <c r="K8689" s="10"/>
      <c r="L8689" s="10"/>
    </row>
    <row r="8690" spans="1:12" ht="15" customHeight="1" x14ac:dyDescent="0.25">
      <c r="A8690" s="10"/>
      <c r="B8690" s="10"/>
      <c r="C8690" s="10"/>
      <c r="D8690" s="10"/>
      <c r="E8690" s="10"/>
      <c r="F8690" s="10"/>
      <c r="G8690" s="10"/>
      <c r="H8690" s="10"/>
      <c r="I8690" s="10"/>
      <c r="J8690" s="10"/>
      <c r="K8690" s="10"/>
      <c r="L8690" s="10"/>
    </row>
    <row r="8691" spans="1:12" ht="15" customHeight="1" x14ac:dyDescent="0.25">
      <c r="A8691" s="10"/>
      <c r="B8691" s="10"/>
      <c r="C8691" s="10"/>
      <c r="D8691" s="10"/>
      <c r="E8691" s="10"/>
      <c r="F8691" s="10"/>
      <c r="G8691" s="10"/>
      <c r="H8691" s="10"/>
      <c r="I8691" s="10"/>
      <c r="J8691" s="10"/>
      <c r="K8691" s="10"/>
      <c r="L8691" s="10"/>
    </row>
    <row r="8692" spans="1:12" ht="15" customHeight="1" x14ac:dyDescent="0.25">
      <c r="A8692" s="10"/>
      <c r="B8692" s="10"/>
      <c r="C8692" s="10"/>
      <c r="D8692" s="10"/>
      <c r="E8692" s="10"/>
      <c r="F8692" s="10"/>
      <c r="G8692" s="10"/>
      <c r="H8692" s="10"/>
      <c r="I8692" s="10"/>
      <c r="J8692" s="10"/>
      <c r="K8692" s="10"/>
      <c r="L8692" s="10"/>
    </row>
    <row r="8693" spans="1:12" ht="15" customHeight="1" x14ac:dyDescent="0.25">
      <c r="A8693" s="10"/>
      <c r="B8693" s="10"/>
      <c r="C8693" s="10"/>
      <c r="D8693" s="10"/>
      <c r="E8693" s="10"/>
      <c r="F8693" s="10"/>
      <c r="G8693" s="10"/>
      <c r="H8693" s="10"/>
      <c r="I8693" s="10"/>
      <c r="J8693" s="10"/>
      <c r="K8693" s="10"/>
      <c r="L8693" s="10"/>
    </row>
    <row r="8694" spans="1:12" ht="15" customHeight="1" x14ac:dyDescent="0.25">
      <c r="A8694" s="10"/>
      <c r="B8694" s="10"/>
      <c r="C8694" s="10"/>
      <c r="D8694" s="10"/>
      <c r="E8694" s="10"/>
      <c r="F8694" s="10"/>
      <c r="G8694" s="10"/>
      <c r="H8694" s="10"/>
      <c r="I8694" s="10"/>
      <c r="J8694" s="10"/>
      <c r="K8694" s="10"/>
      <c r="L8694" s="10"/>
    </row>
    <row r="8695" spans="1:12" ht="15" customHeight="1" x14ac:dyDescent="0.25">
      <c r="A8695" s="10"/>
      <c r="B8695" s="10"/>
      <c r="C8695" s="10"/>
      <c r="D8695" s="10"/>
      <c r="E8695" s="10"/>
      <c r="F8695" s="10"/>
      <c r="G8695" s="10"/>
      <c r="H8695" s="10"/>
      <c r="I8695" s="10"/>
      <c r="J8695" s="10"/>
      <c r="K8695" s="10"/>
      <c r="L8695" s="10"/>
    </row>
    <row r="8696" spans="1:12" ht="15" customHeight="1" x14ac:dyDescent="0.25">
      <c r="A8696" s="10"/>
      <c r="B8696" s="10"/>
      <c r="C8696" s="10"/>
      <c r="D8696" s="10"/>
      <c r="E8696" s="10"/>
      <c r="F8696" s="10"/>
      <c r="G8696" s="10"/>
      <c r="H8696" s="10"/>
      <c r="I8696" s="10"/>
      <c r="J8696" s="10"/>
      <c r="K8696" s="10"/>
      <c r="L8696" s="10"/>
    </row>
    <row r="8697" spans="1:12" ht="15" customHeight="1" x14ac:dyDescent="0.25">
      <c r="A8697" s="10"/>
      <c r="B8697" s="10"/>
      <c r="C8697" s="10"/>
      <c r="D8697" s="10"/>
      <c r="E8697" s="10"/>
      <c r="F8697" s="10"/>
      <c r="G8697" s="10"/>
      <c r="H8697" s="10"/>
      <c r="I8697" s="10"/>
      <c r="J8697" s="10"/>
      <c r="K8697" s="10"/>
      <c r="L8697" s="10"/>
    </row>
    <row r="8698" spans="1:12" ht="15" customHeight="1" x14ac:dyDescent="0.25">
      <c r="A8698" s="10"/>
      <c r="B8698" s="10"/>
      <c r="C8698" s="10"/>
      <c r="D8698" s="10"/>
      <c r="E8698" s="10"/>
      <c r="F8698" s="10"/>
      <c r="G8698" s="10"/>
      <c r="H8698" s="10"/>
      <c r="I8698" s="10"/>
      <c r="J8698" s="10"/>
      <c r="K8698" s="10"/>
      <c r="L8698" s="10"/>
    </row>
    <row r="8699" spans="1:12" ht="15" customHeight="1" x14ac:dyDescent="0.25">
      <c r="A8699" s="10"/>
      <c r="B8699" s="10"/>
      <c r="C8699" s="10"/>
      <c r="D8699" s="10"/>
      <c r="E8699" s="10"/>
      <c r="F8699" s="10"/>
      <c r="G8699" s="10"/>
      <c r="H8699" s="10"/>
      <c r="I8699" s="10"/>
      <c r="J8699" s="10"/>
      <c r="K8699" s="10"/>
      <c r="L8699" s="10"/>
    </row>
    <row r="8700" spans="1:12" ht="15" customHeight="1" x14ac:dyDescent="0.25">
      <c r="A8700" s="10"/>
      <c r="B8700" s="10"/>
      <c r="C8700" s="10"/>
      <c r="D8700" s="10"/>
      <c r="E8700" s="10"/>
      <c r="F8700" s="10"/>
      <c r="G8700" s="10"/>
      <c r="H8700" s="10"/>
      <c r="I8700" s="10"/>
      <c r="J8700" s="10"/>
      <c r="K8700" s="10"/>
      <c r="L8700" s="10"/>
    </row>
    <row r="8701" spans="1:12" ht="15" customHeight="1" x14ac:dyDescent="0.25">
      <c r="A8701" s="10"/>
      <c r="B8701" s="10"/>
      <c r="C8701" s="10"/>
      <c r="D8701" s="10"/>
      <c r="E8701" s="10"/>
      <c r="F8701" s="10"/>
      <c r="G8701" s="10"/>
      <c r="H8701" s="10"/>
      <c r="I8701" s="10"/>
      <c r="J8701" s="10"/>
      <c r="K8701" s="10"/>
      <c r="L8701" s="10"/>
    </row>
    <row r="8702" spans="1:12" ht="15" customHeight="1" x14ac:dyDescent="0.25">
      <c r="A8702" s="10"/>
      <c r="B8702" s="10"/>
      <c r="C8702" s="10"/>
      <c r="D8702" s="10"/>
      <c r="E8702" s="10"/>
      <c r="F8702" s="10"/>
      <c r="G8702" s="10"/>
      <c r="H8702" s="10"/>
      <c r="I8702" s="10"/>
      <c r="J8702" s="10"/>
      <c r="K8702" s="10"/>
      <c r="L8702" s="10"/>
    </row>
    <row r="8703" spans="1:12" ht="15" customHeight="1" x14ac:dyDescent="0.25">
      <c r="A8703" s="10"/>
      <c r="B8703" s="10"/>
      <c r="C8703" s="10"/>
      <c r="D8703" s="10"/>
      <c r="E8703" s="10"/>
      <c r="F8703" s="10"/>
      <c r="G8703" s="10"/>
      <c r="H8703" s="10"/>
      <c r="I8703" s="10"/>
      <c r="J8703" s="10"/>
      <c r="K8703" s="10"/>
      <c r="L8703" s="10"/>
    </row>
    <row r="8704" spans="1:12" ht="15" customHeight="1" x14ac:dyDescent="0.25">
      <c r="A8704" s="10"/>
      <c r="B8704" s="10"/>
      <c r="C8704" s="10"/>
      <c r="D8704" s="10"/>
      <c r="E8704" s="10"/>
      <c r="F8704" s="10"/>
      <c r="G8704" s="10"/>
      <c r="H8704" s="10"/>
      <c r="I8704" s="10"/>
      <c r="J8704" s="10"/>
      <c r="K8704" s="10"/>
      <c r="L8704" s="10"/>
    </row>
    <row r="8705" spans="1:12" ht="15" customHeight="1" x14ac:dyDescent="0.25">
      <c r="A8705" s="10"/>
      <c r="B8705" s="10"/>
      <c r="C8705" s="10"/>
      <c r="D8705" s="10"/>
      <c r="E8705" s="10"/>
      <c r="F8705" s="10"/>
      <c r="G8705" s="10"/>
      <c r="H8705" s="10"/>
      <c r="I8705" s="10"/>
      <c r="J8705" s="10"/>
      <c r="K8705" s="10"/>
      <c r="L8705" s="10"/>
    </row>
    <row r="8706" spans="1:12" ht="15" customHeight="1" x14ac:dyDescent="0.25">
      <c r="A8706" s="10"/>
      <c r="B8706" s="10"/>
      <c r="C8706" s="10"/>
      <c r="D8706" s="10"/>
      <c r="E8706" s="10"/>
      <c r="F8706" s="10"/>
      <c r="G8706" s="10"/>
      <c r="H8706" s="10"/>
      <c r="I8706" s="10"/>
      <c r="J8706" s="10"/>
      <c r="K8706" s="10"/>
      <c r="L8706" s="10"/>
    </row>
    <row r="8707" spans="1:12" ht="15" customHeight="1" x14ac:dyDescent="0.25">
      <c r="A8707" s="10"/>
      <c r="B8707" s="10"/>
      <c r="C8707" s="10"/>
      <c r="D8707" s="10"/>
      <c r="E8707" s="10"/>
      <c r="F8707" s="10"/>
      <c r="G8707" s="10"/>
      <c r="H8707" s="10"/>
      <c r="I8707" s="10"/>
      <c r="J8707" s="10"/>
      <c r="K8707" s="10"/>
      <c r="L8707" s="10"/>
    </row>
    <row r="8708" spans="1:12" ht="15" customHeight="1" x14ac:dyDescent="0.25">
      <c r="A8708" s="10"/>
      <c r="B8708" s="10"/>
      <c r="C8708" s="10"/>
      <c r="D8708" s="10"/>
      <c r="E8708" s="10"/>
      <c r="F8708" s="10"/>
      <c r="G8708" s="10"/>
      <c r="H8708" s="10"/>
      <c r="I8708" s="10"/>
      <c r="J8708" s="10"/>
      <c r="K8708" s="10"/>
      <c r="L8708" s="10"/>
    </row>
    <row r="8709" spans="1:12" ht="15" customHeight="1" x14ac:dyDescent="0.25">
      <c r="A8709" s="10"/>
      <c r="B8709" s="10"/>
      <c r="C8709" s="10"/>
      <c r="D8709" s="10"/>
      <c r="E8709" s="10"/>
      <c r="F8709" s="10"/>
      <c r="G8709" s="10"/>
      <c r="H8709" s="10"/>
      <c r="I8709" s="10"/>
      <c r="J8709" s="10"/>
      <c r="K8709" s="10"/>
      <c r="L8709" s="10"/>
    </row>
    <row r="8710" spans="1:12" ht="15" customHeight="1" x14ac:dyDescent="0.25">
      <c r="A8710" s="10"/>
      <c r="B8710" s="10"/>
      <c r="C8710" s="10"/>
      <c r="D8710" s="10"/>
      <c r="E8710" s="10"/>
      <c r="F8710" s="10"/>
      <c r="G8710" s="10"/>
      <c r="H8710" s="10"/>
      <c r="I8710" s="10"/>
      <c r="J8710" s="10"/>
      <c r="K8710" s="10"/>
      <c r="L8710" s="10"/>
    </row>
    <row r="8711" spans="1:12" ht="15" customHeight="1" x14ac:dyDescent="0.25">
      <c r="A8711" s="10"/>
      <c r="B8711" s="10"/>
      <c r="C8711" s="10"/>
      <c r="D8711" s="10"/>
      <c r="E8711" s="10"/>
      <c r="F8711" s="10"/>
      <c r="G8711" s="10"/>
      <c r="H8711" s="10"/>
      <c r="I8711" s="10"/>
      <c r="J8711" s="10"/>
      <c r="K8711" s="10"/>
      <c r="L8711" s="10"/>
    </row>
    <row r="8712" spans="1:12" ht="15" customHeight="1" x14ac:dyDescent="0.25">
      <c r="A8712" s="10"/>
      <c r="B8712" s="10"/>
      <c r="C8712" s="10"/>
      <c r="D8712" s="10"/>
      <c r="E8712" s="10"/>
      <c r="F8712" s="10"/>
      <c r="G8712" s="10"/>
      <c r="H8712" s="10"/>
      <c r="I8712" s="10"/>
      <c r="J8712" s="10"/>
      <c r="K8712" s="10"/>
      <c r="L8712" s="10"/>
    </row>
    <row r="8713" spans="1:12" ht="15" customHeight="1" x14ac:dyDescent="0.25">
      <c r="A8713" s="10"/>
      <c r="B8713" s="10"/>
      <c r="C8713" s="10"/>
      <c r="D8713" s="10"/>
      <c r="E8713" s="10"/>
      <c r="F8713" s="10"/>
      <c r="G8713" s="10"/>
      <c r="H8713" s="10"/>
      <c r="I8713" s="10"/>
      <c r="J8713" s="10"/>
      <c r="K8713" s="10"/>
      <c r="L8713" s="10"/>
    </row>
    <row r="8714" spans="1:12" ht="15" customHeight="1" x14ac:dyDescent="0.25">
      <c r="A8714" s="10"/>
      <c r="B8714" s="10"/>
      <c r="C8714" s="10"/>
      <c r="D8714" s="10"/>
      <c r="E8714" s="10"/>
      <c r="F8714" s="10"/>
      <c r="G8714" s="10"/>
      <c r="H8714" s="10"/>
      <c r="I8714" s="10"/>
      <c r="J8714" s="10"/>
      <c r="K8714" s="10"/>
      <c r="L8714" s="10"/>
    </row>
    <row r="8715" spans="1:12" ht="15" customHeight="1" x14ac:dyDescent="0.25">
      <c r="A8715" s="10"/>
      <c r="B8715" s="10"/>
      <c r="C8715" s="10"/>
      <c r="D8715" s="10"/>
      <c r="E8715" s="10"/>
      <c r="F8715" s="10"/>
      <c r="G8715" s="10"/>
      <c r="H8715" s="10"/>
      <c r="I8715" s="10"/>
      <c r="J8715" s="10"/>
      <c r="K8715" s="10"/>
      <c r="L8715" s="10"/>
    </row>
    <row r="8716" spans="1:12" ht="15" customHeight="1" x14ac:dyDescent="0.25">
      <c r="A8716" s="10"/>
      <c r="B8716" s="10"/>
      <c r="C8716" s="10"/>
      <c r="D8716" s="10"/>
      <c r="E8716" s="10"/>
      <c r="F8716" s="10"/>
      <c r="G8716" s="10"/>
      <c r="H8716" s="10"/>
      <c r="I8716" s="10"/>
      <c r="J8716" s="10"/>
      <c r="K8716" s="10"/>
      <c r="L8716" s="10"/>
    </row>
    <row r="8717" spans="1:12" ht="15" customHeight="1" x14ac:dyDescent="0.25">
      <c r="A8717" s="10"/>
      <c r="B8717" s="10"/>
      <c r="C8717" s="10"/>
      <c r="D8717" s="10"/>
      <c r="E8717" s="10"/>
      <c r="F8717" s="10"/>
      <c r="G8717" s="10"/>
      <c r="H8717" s="10"/>
      <c r="I8717" s="10"/>
      <c r="J8717" s="10"/>
      <c r="K8717" s="10"/>
      <c r="L8717" s="10"/>
    </row>
    <row r="8718" spans="1:12" ht="15" customHeight="1" x14ac:dyDescent="0.25">
      <c r="A8718" s="10"/>
      <c r="B8718" s="10"/>
      <c r="C8718" s="10"/>
      <c r="D8718" s="10"/>
      <c r="E8718" s="10"/>
      <c r="F8718" s="10"/>
      <c r="G8718" s="10"/>
      <c r="H8718" s="10"/>
      <c r="I8718" s="10"/>
      <c r="J8718" s="10"/>
      <c r="K8718" s="10"/>
      <c r="L8718" s="10"/>
    </row>
    <row r="8719" spans="1:12" ht="15" customHeight="1" x14ac:dyDescent="0.25">
      <c r="A8719" s="10"/>
      <c r="B8719" s="10"/>
      <c r="C8719" s="10"/>
      <c r="D8719" s="10"/>
      <c r="E8719" s="10"/>
      <c r="F8719" s="10"/>
      <c r="G8719" s="10"/>
      <c r="H8719" s="10"/>
      <c r="I8719" s="10"/>
      <c r="J8719" s="10"/>
      <c r="K8719" s="10"/>
      <c r="L8719" s="10"/>
    </row>
    <row r="8720" spans="1:12" ht="15" customHeight="1" x14ac:dyDescent="0.25">
      <c r="A8720" s="10"/>
      <c r="B8720" s="10"/>
      <c r="C8720" s="10"/>
      <c r="D8720" s="10"/>
      <c r="E8720" s="10"/>
      <c r="F8720" s="10"/>
      <c r="G8720" s="10"/>
      <c r="H8720" s="10"/>
      <c r="I8720" s="10"/>
      <c r="J8720" s="10"/>
      <c r="K8720" s="10"/>
      <c r="L8720" s="10"/>
    </row>
    <row r="8721" spans="1:12" ht="15" customHeight="1" x14ac:dyDescent="0.25">
      <c r="A8721" s="10"/>
      <c r="B8721" s="10"/>
      <c r="C8721" s="10"/>
      <c r="D8721" s="10"/>
      <c r="E8721" s="10"/>
      <c r="F8721" s="10"/>
      <c r="G8721" s="10"/>
      <c r="H8721" s="10"/>
      <c r="I8721" s="10"/>
      <c r="J8721" s="10"/>
      <c r="K8721" s="10"/>
      <c r="L8721" s="10"/>
    </row>
    <row r="8722" spans="1:12" ht="15" customHeight="1" x14ac:dyDescent="0.25">
      <c r="A8722" s="10"/>
      <c r="B8722" s="10"/>
      <c r="C8722" s="10"/>
      <c r="D8722" s="10"/>
      <c r="E8722" s="10"/>
      <c r="F8722" s="10"/>
      <c r="G8722" s="10"/>
      <c r="H8722" s="10"/>
      <c r="I8722" s="10"/>
      <c r="J8722" s="10"/>
      <c r="K8722" s="10"/>
      <c r="L8722" s="10"/>
    </row>
    <row r="8723" spans="1:12" ht="15" customHeight="1" x14ac:dyDescent="0.25">
      <c r="A8723" s="10"/>
      <c r="B8723" s="10"/>
      <c r="C8723" s="10"/>
      <c r="D8723" s="10"/>
      <c r="E8723" s="10"/>
      <c r="F8723" s="10"/>
      <c r="G8723" s="10"/>
      <c r="H8723" s="10"/>
      <c r="I8723" s="10"/>
      <c r="J8723" s="10"/>
      <c r="K8723" s="10"/>
      <c r="L8723" s="10"/>
    </row>
    <row r="8724" spans="1:12" ht="15" customHeight="1" x14ac:dyDescent="0.25">
      <c r="A8724" s="10"/>
      <c r="B8724" s="10"/>
      <c r="C8724" s="10"/>
      <c r="D8724" s="10"/>
      <c r="E8724" s="10"/>
      <c r="F8724" s="10"/>
      <c r="G8724" s="10"/>
      <c r="H8724" s="10"/>
      <c r="I8724" s="10"/>
      <c r="J8724" s="10"/>
      <c r="K8724" s="10"/>
      <c r="L8724" s="10"/>
    </row>
    <row r="8725" spans="1:12" ht="15" customHeight="1" x14ac:dyDescent="0.25">
      <c r="A8725" s="10"/>
      <c r="B8725" s="10"/>
      <c r="C8725" s="10"/>
      <c r="D8725" s="10"/>
      <c r="E8725" s="10"/>
      <c r="F8725" s="10"/>
      <c r="G8725" s="10"/>
      <c r="H8725" s="10"/>
      <c r="I8725" s="10"/>
      <c r="J8725" s="10"/>
      <c r="K8725" s="10"/>
      <c r="L8725" s="10"/>
    </row>
    <row r="8726" spans="1:12" ht="15" customHeight="1" x14ac:dyDescent="0.25">
      <c r="A8726" s="10"/>
      <c r="B8726" s="10"/>
      <c r="C8726" s="10"/>
      <c r="D8726" s="10"/>
      <c r="E8726" s="10"/>
      <c r="F8726" s="10"/>
      <c r="G8726" s="10"/>
      <c r="H8726" s="10"/>
      <c r="I8726" s="10"/>
      <c r="J8726" s="10"/>
      <c r="K8726" s="10"/>
      <c r="L8726" s="10"/>
    </row>
    <row r="8727" spans="1:12" ht="15" customHeight="1" x14ac:dyDescent="0.25">
      <c r="A8727" s="10"/>
      <c r="B8727" s="10"/>
      <c r="C8727" s="10"/>
      <c r="D8727" s="10"/>
      <c r="E8727" s="10"/>
      <c r="F8727" s="10"/>
      <c r="G8727" s="10"/>
      <c r="H8727" s="10"/>
      <c r="I8727" s="10"/>
      <c r="J8727" s="10"/>
      <c r="K8727" s="10"/>
      <c r="L8727" s="10"/>
    </row>
    <row r="8728" spans="1:12" ht="15" customHeight="1" x14ac:dyDescent="0.25">
      <c r="A8728" s="10"/>
      <c r="B8728" s="10"/>
      <c r="C8728" s="10"/>
      <c r="D8728" s="10"/>
      <c r="E8728" s="10"/>
      <c r="F8728" s="10"/>
      <c r="G8728" s="10"/>
      <c r="H8728" s="10"/>
      <c r="I8728" s="10"/>
      <c r="J8728" s="10"/>
      <c r="K8728" s="10"/>
      <c r="L8728" s="10"/>
    </row>
    <row r="8729" spans="1:12" ht="15" customHeight="1" x14ac:dyDescent="0.25">
      <c r="A8729" s="10"/>
      <c r="B8729" s="10"/>
      <c r="C8729" s="10"/>
      <c r="D8729" s="10"/>
      <c r="E8729" s="10"/>
      <c r="F8729" s="10"/>
      <c r="G8729" s="10"/>
      <c r="H8729" s="10"/>
      <c r="I8729" s="10"/>
      <c r="J8729" s="10"/>
      <c r="K8729" s="10"/>
      <c r="L8729" s="10"/>
    </row>
    <row r="8730" spans="1:12" ht="15" customHeight="1" x14ac:dyDescent="0.25">
      <c r="A8730" s="10"/>
      <c r="B8730" s="10"/>
      <c r="C8730" s="10"/>
      <c r="D8730" s="10"/>
      <c r="E8730" s="10"/>
      <c r="F8730" s="10"/>
      <c r="G8730" s="10"/>
      <c r="H8730" s="10"/>
      <c r="I8730" s="10"/>
      <c r="J8730" s="10"/>
      <c r="K8730" s="10"/>
      <c r="L8730" s="10"/>
    </row>
    <row r="8731" spans="1:12" ht="15" customHeight="1" x14ac:dyDescent="0.25">
      <c r="A8731" s="10"/>
      <c r="B8731" s="10"/>
      <c r="C8731" s="10"/>
      <c r="D8731" s="10"/>
      <c r="E8731" s="10"/>
      <c r="F8731" s="10"/>
      <c r="G8731" s="10"/>
      <c r="H8731" s="10"/>
      <c r="I8731" s="10"/>
      <c r="J8731" s="10"/>
      <c r="K8731" s="10"/>
      <c r="L8731" s="10"/>
    </row>
    <row r="8732" spans="1:12" ht="15" customHeight="1" x14ac:dyDescent="0.25">
      <c r="A8732" s="10"/>
      <c r="B8732" s="10"/>
      <c r="C8732" s="10"/>
      <c r="D8732" s="10"/>
      <c r="E8732" s="10"/>
      <c r="F8732" s="10"/>
      <c r="G8732" s="10"/>
      <c r="H8732" s="10"/>
      <c r="I8732" s="10"/>
      <c r="J8732" s="10"/>
      <c r="K8732" s="10"/>
      <c r="L8732" s="10"/>
    </row>
    <row r="8733" spans="1:12" ht="15" customHeight="1" x14ac:dyDescent="0.25">
      <c r="A8733" s="10"/>
      <c r="B8733" s="10"/>
      <c r="C8733" s="10"/>
      <c r="D8733" s="10"/>
      <c r="E8733" s="10"/>
      <c r="F8733" s="10"/>
      <c r="G8733" s="10"/>
      <c r="H8733" s="10"/>
      <c r="I8733" s="10"/>
      <c r="J8733" s="10"/>
      <c r="K8733" s="10"/>
      <c r="L8733" s="10"/>
    </row>
    <row r="8734" spans="1:12" ht="15" customHeight="1" x14ac:dyDescent="0.25">
      <c r="A8734" s="10"/>
      <c r="B8734" s="10"/>
      <c r="C8734" s="10"/>
      <c r="D8734" s="10"/>
      <c r="E8734" s="10"/>
      <c r="F8734" s="10"/>
      <c r="G8734" s="10"/>
      <c r="H8734" s="10"/>
      <c r="I8734" s="10"/>
      <c r="J8734" s="10"/>
      <c r="K8734" s="10"/>
      <c r="L8734" s="10"/>
    </row>
    <row r="8735" spans="1:12" ht="15" customHeight="1" x14ac:dyDescent="0.25">
      <c r="A8735" s="10"/>
      <c r="B8735" s="10"/>
      <c r="C8735" s="10"/>
      <c r="D8735" s="10"/>
      <c r="E8735" s="10"/>
      <c r="F8735" s="10"/>
      <c r="G8735" s="10"/>
      <c r="H8735" s="10"/>
      <c r="I8735" s="10"/>
      <c r="J8735" s="10"/>
      <c r="K8735" s="10"/>
      <c r="L8735" s="10"/>
    </row>
    <row r="8736" spans="1:12" ht="15" customHeight="1" x14ac:dyDescent="0.25">
      <c r="A8736" s="10"/>
      <c r="B8736" s="10"/>
      <c r="C8736" s="10"/>
      <c r="D8736" s="10"/>
      <c r="E8736" s="10"/>
      <c r="F8736" s="10"/>
      <c r="G8736" s="10"/>
      <c r="H8736" s="10"/>
      <c r="I8736" s="10"/>
      <c r="J8736" s="10"/>
      <c r="K8736" s="10"/>
      <c r="L8736" s="10"/>
    </row>
    <row r="8737" spans="1:12" ht="15" customHeight="1" x14ac:dyDescent="0.25">
      <c r="A8737" s="10"/>
      <c r="B8737" s="10"/>
      <c r="C8737" s="10"/>
      <c r="D8737" s="10"/>
      <c r="E8737" s="10"/>
      <c r="F8737" s="10"/>
      <c r="G8737" s="10"/>
      <c r="H8737" s="10"/>
      <c r="I8737" s="10"/>
      <c r="J8737" s="10"/>
      <c r="K8737" s="10"/>
      <c r="L8737" s="10"/>
    </row>
    <row r="8738" spans="1:12" ht="15" customHeight="1" x14ac:dyDescent="0.25">
      <c r="A8738" s="10"/>
      <c r="B8738" s="10"/>
      <c r="C8738" s="10"/>
      <c r="D8738" s="10"/>
      <c r="E8738" s="10"/>
      <c r="F8738" s="10"/>
      <c r="G8738" s="10"/>
      <c r="H8738" s="10"/>
      <c r="I8738" s="10"/>
      <c r="J8738" s="10"/>
      <c r="K8738" s="10"/>
      <c r="L8738" s="10"/>
    </row>
    <row r="8739" spans="1:12" ht="15" customHeight="1" x14ac:dyDescent="0.25">
      <c r="A8739" s="10"/>
      <c r="B8739" s="10"/>
      <c r="C8739" s="10"/>
      <c r="D8739" s="10"/>
      <c r="E8739" s="10"/>
      <c r="F8739" s="10"/>
      <c r="G8739" s="10"/>
      <c r="H8739" s="10"/>
      <c r="I8739" s="10"/>
      <c r="J8739" s="10"/>
      <c r="K8739" s="10"/>
      <c r="L8739" s="10"/>
    </row>
    <row r="8740" spans="1:12" ht="15" customHeight="1" x14ac:dyDescent="0.25">
      <c r="A8740" s="10"/>
      <c r="B8740" s="10"/>
      <c r="C8740" s="10"/>
      <c r="D8740" s="10"/>
      <c r="E8740" s="10"/>
      <c r="F8740" s="10"/>
      <c r="G8740" s="10"/>
      <c r="H8740" s="10"/>
      <c r="I8740" s="10"/>
      <c r="J8740" s="10"/>
      <c r="K8740" s="10"/>
      <c r="L8740" s="10"/>
    </row>
    <row r="8741" spans="1:12" ht="15" customHeight="1" x14ac:dyDescent="0.25">
      <c r="A8741" s="10"/>
      <c r="B8741" s="10"/>
      <c r="C8741" s="10"/>
      <c r="D8741" s="10"/>
      <c r="E8741" s="10"/>
      <c r="F8741" s="10"/>
      <c r="G8741" s="10"/>
      <c r="H8741" s="10"/>
      <c r="I8741" s="10"/>
      <c r="J8741" s="10"/>
      <c r="K8741" s="10"/>
      <c r="L8741" s="10"/>
    </row>
    <row r="8742" spans="1:12" ht="15" customHeight="1" x14ac:dyDescent="0.25">
      <c r="A8742" s="10"/>
      <c r="B8742" s="10"/>
      <c r="C8742" s="10"/>
      <c r="D8742" s="10"/>
      <c r="E8742" s="10"/>
      <c r="F8742" s="10"/>
      <c r="G8742" s="10"/>
      <c r="H8742" s="10"/>
      <c r="I8742" s="10"/>
      <c r="J8742" s="10"/>
      <c r="K8742" s="10"/>
      <c r="L8742" s="10"/>
    </row>
    <row r="8743" spans="1:12" ht="15" customHeight="1" x14ac:dyDescent="0.25">
      <c r="A8743" s="10"/>
      <c r="B8743" s="10"/>
      <c r="C8743" s="10"/>
      <c r="D8743" s="10"/>
      <c r="E8743" s="10"/>
      <c r="F8743" s="10"/>
      <c r="G8743" s="10"/>
      <c r="H8743" s="10"/>
      <c r="I8743" s="10"/>
      <c r="J8743" s="10"/>
      <c r="K8743" s="10"/>
      <c r="L8743" s="10"/>
    </row>
    <row r="8744" spans="1:12" ht="15" customHeight="1" x14ac:dyDescent="0.25">
      <c r="A8744" s="10"/>
      <c r="B8744" s="10"/>
      <c r="C8744" s="10"/>
      <c r="D8744" s="10"/>
      <c r="E8744" s="10"/>
      <c r="F8744" s="10"/>
      <c r="G8744" s="10"/>
      <c r="H8744" s="10"/>
      <c r="I8744" s="10"/>
      <c r="J8744" s="10"/>
      <c r="K8744" s="10"/>
      <c r="L8744" s="10"/>
    </row>
    <row r="8745" spans="1:12" ht="15" customHeight="1" x14ac:dyDescent="0.25">
      <c r="A8745" s="10"/>
      <c r="B8745" s="10"/>
      <c r="C8745" s="10"/>
      <c r="D8745" s="10"/>
      <c r="E8745" s="10"/>
      <c r="F8745" s="10"/>
      <c r="G8745" s="10"/>
      <c r="H8745" s="10"/>
      <c r="I8745" s="10"/>
      <c r="J8745" s="10"/>
      <c r="K8745" s="10"/>
      <c r="L8745" s="10"/>
    </row>
    <row r="8746" spans="1:12" ht="15" customHeight="1" x14ac:dyDescent="0.25">
      <c r="A8746" s="10"/>
      <c r="B8746" s="10"/>
      <c r="C8746" s="10"/>
      <c r="D8746" s="10"/>
      <c r="E8746" s="10"/>
      <c r="F8746" s="10"/>
      <c r="G8746" s="10"/>
      <c r="H8746" s="10"/>
      <c r="I8746" s="10"/>
      <c r="J8746" s="10"/>
      <c r="K8746" s="10"/>
      <c r="L8746" s="10"/>
    </row>
    <row r="8747" spans="1:12" ht="15" customHeight="1" x14ac:dyDescent="0.25">
      <c r="A8747" s="10"/>
      <c r="B8747" s="10"/>
      <c r="C8747" s="10"/>
      <c r="D8747" s="10"/>
      <c r="E8747" s="10"/>
      <c r="F8747" s="10"/>
      <c r="G8747" s="10"/>
      <c r="H8747" s="10"/>
      <c r="I8747" s="10"/>
      <c r="J8747" s="10"/>
      <c r="K8747" s="10"/>
      <c r="L8747" s="10"/>
    </row>
    <row r="8748" spans="1:12" ht="15" customHeight="1" x14ac:dyDescent="0.25">
      <c r="A8748" s="10"/>
      <c r="B8748" s="10"/>
      <c r="C8748" s="10"/>
      <c r="D8748" s="10"/>
      <c r="E8748" s="10"/>
      <c r="F8748" s="10"/>
      <c r="G8748" s="10"/>
      <c r="H8748" s="10"/>
      <c r="I8748" s="10"/>
      <c r="J8748" s="10"/>
      <c r="K8748" s="10"/>
      <c r="L8748" s="10"/>
    </row>
    <row r="8749" spans="1:12" ht="15" customHeight="1" x14ac:dyDescent="0.25">
      <c r="A8749" s="10"/>
      <c r="B8749" s="10"/>
      <c r="C8749" s="10"/>
      <c r="D8749" s="10"/>
      <c r="E8749" s="10"/>
      <c r="F8749" s="10"/>
      <c r="G8749" s="10"/>
      <c r="H8749" s="10"/>
      <c r="I8749" s="10"/>
      <c r="J8749" s="10"/>
      <c r="K8749" s="10"/>
      <c r="L8749" s="10"/>
    </row>
    <row r="8750" spans="1:12" ht="15" customHeight="1" x14ac:dyDescent="0.25">
      <c r="A8750" s="10"/>
      <c r="B8750" s="10"/>
      <c r="C8750" s="10"/>
      <c r="D8750" s="10"/>
      <c r="E8750" s="10"/>
      <c r="F8750" s="10"/>
      <c r="G8750" s="10"/>
      <c r="H8750" s="10"/>
      <c r="I8750" s="10"/>
      <c r="J8750" s="10"/>
      <c r="K8750" s="10"/>
      <c r="L8750" s="10"/>
    </row>
    <row r="8751" spans="1:12" ht="15" customHeight="1" x14ac:dyDescent="0.25">
      <c r="A8751" s="10"/>
      <c r="B8751" s="10"/>
      <c r="C8751" s="10"/>
      <c r="D8751" s="10"/>
      <c r="E8751" s="10"/>
      <c r="F8751" s="10"/>
      <c r="G8751" s="10"/>
      <c r="H8751" s="10"/>
      <c r="I8751" s="10"/>
      <c r="J8751" s="10"/>
      <c r="K8751" s="10"/>
      <c r="L8751" s="10"/>
    </row>
    <row r="8752" spans="1:12" ht="15" customHeight="1" x14ac:dyDescent="0.25">
      <c r="A8752" s="10"/>
      <c r="B8752" s="10"/>
      <c r="C8752" s="10"/>
      <c r="D8752" s="10"/>
      <c r="E8752" s="10"/>
      <c r="F8752" s="10"/>
      <c r="G8752" s="10"/>
      <c r="H8752" s="10"/>
      <c r="I8752" s="10"/>
      <c r="J8752" s="10"/>
      <c r="K8752" s="10"/>
      <c r="L8752" s="10"/>
    </row>
    <row r="8753" spans="1:12" ht="15" customHeight="1" x14ac:dyDescent="0.25">
      <c r="A8753" s="10"/>
      <c r="B8753" s="10"/>
      <c r="C8753" s="10"/>
      <c r="D8753" s="10"/>
      <c r="E8753" s="10"/>
      <c r="F8753" s="10"/>
      <c r="G8753" s="10"/>
      <c r="H8753" s="10"/>
      <c r="I8753" s="10"/>
      <c r="J8753" s="10"/>
      <c r="K8753" s="10"/>
      <c r="L8753" s="10"/>
    </row>
    <row r="8754" spans="1:12" ht="15" customHeight="1" x14ac:dyDescent="0.25">
      <c r="A8754" s="10"/>
      <c r="B8754" s="10"/>
      <c r="C8754" s="10"/>
      <c r="D8754" s="10"/>
      <c r="E8754" s="10"/>
      <c r="F8754" s="10"/>
      <c r="G8754" s="10"/>
      <c r="H8754" s="10"/>
      <c r="I8754" s="10"/>
      <c r="J8754" s="10"/>
      <c r="K8754" s="10"/>
      <c r="L8754" s="10"/>
    </row>
    <row r="8755" spans="1:12" ht="15" customHeight="1" x14ac:dyDescent="0.25">
      <c r="A8755" s="10"/>
      <c r="B8755" s="10"/>
      <c r="C8755" s="10"/>
      <c r="D8755" s="10"/>
      <c r="E8755" s="10"/>
      <c r="F8755" s="10"/>
      <c r="G8755" s="10"/>
      <c r="H8755" s="10"/>
      <c r="I8755" s="10"/>
      <c r="J8755" s="10"/>
      <c r="K8755" s="10"/>
      <c r="L8755" s="10"/>
    </row>
    <row r="8756" spans="1:12" ht="15" customHeight="1" x14ac:dyDescent="0.25">
      <c r="A8756" s="10"/>
      <c r="B8756" s="10"/>
      <c r="C8756" s="10"/>
      <c r="D8756" s="10"/>
      <c r="E8756" s="10"/>
      <c r="F8756" s="10"/>
      <c r="G8756" s="10"/>
      <c r="H8756" s="10"/>
      <c r="I8756" s="10"/>
      <c r="J8756" s="10"/>
      <c r="K8756" s="10"/>
      <c r="L8756" s="10"/>
    </row>
    <row r="8757" spans="1:12" ht="15" customHeight="1" x14ac:dyDescent="0.25">
      <c r="A8757" s="10"/>
      <c r="B8757" s="10"/>
      <c r="C8757" s="10"/>
      <c r="D8757" s="10"/>
      <c r="E8757" s="10"/>
      <c r="F8757" s="10"/>
      <c r="G8757" s="10"/>
      <c r="H8757" s="10"/>
      <c r="I8757" s="10"/>
      <c r="J8757" s="10"/>
      <c r="K8757" s="10"/>
      <c r="L8757" s="10"/>
    </row>
    <row r="8758" spans="1:12" ht="15" customHeight="1" x14ac:dyDescent="0.25">
      <c r="A8758" s="10"/>
      <c r="B8758" s="10"/>
      <c r="C8758" s="10"/>
      <c r="D8758" s="10"/>
      <c r="E8758" s="10"/>
      <c r="F8758" s="10"/>
      <c r="G8758" s="10"/>
      <c r="H8758" s="10"/>
      <c r="I8758" s="10"/>
      <c r="J8758" s="10"/>
      <c r="K8758" s="10"/>
      <c r="L8758" s="10"/>
    </row>
    <row r="8759" spans="1:12" ht="15" customHeight="1" x14ac:dyDescent="0.25">
      <c r="A8759" s="10"/>
      <c r="B8759" s="10"/>
      <c r="C8759" s="10"/>
      <c r="D8759" s="10"/>
      <c r="E8759" s="10"/>
      <c r="F8759" s="10"/>
      <c r="G8759" s="10"/>
      <c r="H8759" s="10"/>
      <c r="I8759" s="10"/>
      <c r="J8759" s="10"/>
      <c r="K8759" s="10"/>
      <c r="L8759" s="10"/>
    </row>
    <row r="8760" spans="1:12" ht="15" customHeight="1" x14ac:dyDescent="0.25">
      <c r="A8760" s="10"/>
      <c r="B8760" s="10"/>
      <c r="C8760" s="10"/>
      <c r="D8760" s="10"/>
      <c r="E8760" s="10"/>
      <c r="F8760" s="10"/>
      <c r="G8760" s="10"/>
      <c r="H8760" s="10"/>
      <c r="I8760" s="10"/>
      <c r="J8760" s="10"/>
      <c r="K8760" s="10"/>
      <c r="L8760" s="10"/>
    </row>
    <row r="8761" spans="1:12" ht="15" customHeight="1" x14ac:dyDescent="0.25">
      <c r="A8761" s="10"/>
      <c r="B8761" s="10"/>
      <c r="C8761" s="10"/>
      <c r="D8761" s="10"/>
      <c r="E8761" s="10"/>
      <c r="F8761" s="10"/>
      <c r="G8761" s="10"/>
      <c r="H8761" s="10"/>
      <c r="I8761" s="10"/>
      <c r="J8761" s="10"/>
      <c r="K8761" s="10"/>
      <c r="L8761" s="10"/>
    </row>
    <row r="8762" spans="1:12" ht="15" customHeight="1" x14ac:dyDescent="0.25">
      <c r="A8762" s="10"/>
      <c r="B8762" s="10"/>
      <c r="C8762" s="10"/>
      <c r="D8762" s="10"/>
      <c r="E8762" s="10"/>
      <c r="F8762" s="10"/>
      <c r="G8762" s="10"/>
      <c r="H8762" s="10"/>
      <c r="I8762" s="10"/>
      <c r="J8762" s="10"/>
      <c r="K8762" s="10"/>
      <c r="L8762" s="10"/>
    </row>
    <row r="8763" spans="1:12" ht="15" customHeight="1" x14ac:dyDescent="0.25">
      <c r="A8763" s="10"/>
      <c r="B8763" s="10"/>
      <c r="C8763" s="10"/>
      <c r="D8763" s="10"/>
      <c r="E8763" s="10"/>
      <c r="F8763" s="10"/>
      <c r="G8763" s="10"/>
      <c r="H8763" s="10"/>
      <c r="I8763" s="10"/>
      <c r="J8763" s="10"/>
      <c r="K8763" s="10"/>
      <c r="L8763" s="10"/>
    </row>
    <row r="8764" spans="1:12" ht="15" customHeight="1" x14ac:dyDescent="0.25">
      <c r="A8764" s="10"/>
      <c r="B8764" s="10"/>
      <c r="C8764" s="10"/>
      <c r="D8764" s="10"/>
      <c r="E8764" s="10"/>
      <c r="F8764" s="10"/>
      <c r="G8764" s="10"/>
      <c r="H8764" s="10"/>
      <c r="I8764" s="10"/>
      <c r="J8764" s="10"/>
      <c r="K8764" s="10"/>
      <c r="L8764" s="10"/>
    </row>
    <row r="8765" spans="1:12" ht="15" customHeight="1" x14ac:dyDescent="0.25">
      <c r="A8765" s="10"/>
      <c r="B8765" s="10"/>
      <c r="C8765" s="10"/>
      <c r="D8765" s="10"/>
      <c r="E8765" s="10"/>
      <c r="F8765" s="10"/>
      <c r="G8765" s="10"/>
      <c r="H8765" s="10"/>
      <c r="I8765" s="10"/>
      <c r="J8765" s="10"/>
      <c r="K8765" s="10"/>
      <c r="L8765" s="10"/>
    </row>
    <row r="8766" spans="1:12" ht="15" customHeight="1" x14ac:dyDescent="0.25">
      <c r="A8766" s="10"/>
      <c r="B8766" s="10"/>
      <c r="C8766" s="10"/>
      <c r="D8766" s="10"/>
      <c r="E8766" s="10"/>
      <c r="F8766" s="10"/>
      <c r="G8766" s="10"/>
      <c r="H8766" s="10"/>
      <c r="I8766" s="10"/>
      <c r="J8766" s="10"/>
      <c r="K8766" s="10"/>
      <c r="L8766" s="10"/>
    </row>
    <row r="8767" spans="1:12" ht="15" customHeight="1" x14ac:dyDescent="0.25">
      <c r="A8767" s="10"/>
      <c r="B8767" s="10"/>
      <c r="C8767" s="10"/>
      <c r="D8767" s="10"/>
      <c r="E8767" s="10"/>
      <c r="F8767" s="10"/>
      <c r="G8767" s="10"/>
      <c r="H8767" s="10"/>
      <c r="I8767" s="10"/>
      <c r="J8767" s="10"/>
      <c r="K8767" s="10"/>
      <c r="L8767" s="10"/>
    </row>
    <row r="8768" spans="1:12" ht="15" customHeight="1" x14ac:dyDescent="0.25">
      <c r="A8768" s="10"/>
      <c r="B8768" s="10"/>
      <c r="C8768" s="10"/>
      <c r="D8768" s="10"/>
      <c r="E8768" s="10"/>
      <c r="F8768" s="10"/>
      <c r="G8768" s="10"/>
      <c r="H8768" s="10"/>
      <c r="I8768" s="10"/>
      <c r="J8768" s="10"/>
      <c r="K8768" s="10"/>
      <c r="L8768" s="10"/>
    </row>
    <row r="8769" spans="1:12" ht="15" customHeight="1" x14ac:dyDescent="0.25">
      <c r="A8769" s="10"/>
      <c r="B8769" s="10"/>
      <c r="C8769" s="10"/>
      <c r="D8769" s="10"/>
      <c r="E8769" s="10"/>
      <c r="F8769" s="10"/>
      <c r="G8769" s="10"/>
      <c r="H8769" s="10"/>
      <c r="I8769" s="10"/>
      <c r="J8769" s="10"/>
      <c r="K8769" s="10"/>
      <c r="L8769" s="10"/>
    </row>
    <row r="8770" spans="1:12" ht="15" customHeight="1" x14ac:dyDescent="0.25">
      <c r="A8770" s="10"/>
      <c r="B8770" s="10"/>
      <c r="C8770" s="10"/>
      <c r="D8770" s="10"/>
      <c r="E8770" s="10"/>
      <c r="F8770" s="10"/>
      <c r="G8770" s="10"/>
      <c r="H8770" s="10"/>
      <c r="I8770" s="10"/>
      <c r="J8770" s="10"/>
      <c r="K8770" s="10"/>
      <c r="L8770" s="10"/>
    </row>
    <row r="8771" spans="1:12" ht="15" customHeight="1" x14ac:dyDescent="0.25">
      <c r="A8771" s="10"/>
      <c r="B8771" s="10"/>
      <c r="C8771" s="10"/>
      <c r="D8771" s="10"/>
      <c r="E8771" s="10"/>
      <c r="F8771" s="10"/>
      <c r="G8771" s="10"/>
      <c r="H8771" s="10"/>
      <c r="I8771" s="10"/>
      <c r="J8771" s="10"/>
      <c r="K8771" s="10"/>
      <c r="L8771" s="10"/>
    </row>
    <row r="8772" spans="1:12" ht="15" customHeight="1" x14ac:dyDescent="0.25">
      <c r="A8772" s="10"/>
      <c r="B8772" s="10"/>
      <c r="C8772" s="10"/>
      <c r="D8772" s="10"/>
      <c r="E8772" s="10"/>
      <c r="F8772" s="10"/>
      <c r="G8772" s="10"/>
      <c r="H8772" s="10"/>
      <c r="I8772" s="10"/>
      <c r="J8772" s="10"/>
      <c r="K8772" s="10"/>
      <c r="L8772" s="10"/>
    </row>
    <row r="8773" spans="1:12" ht="15" customHeight="1" x14ac:dyDescent="0.25">
      <c r="A8773" s="10"/>
      <c r="B8773" s="10"/>
      <c r="C8773" s="10"/>
      <c r="D8773" s="10"/>
      <c r="E8773" s="10"/>
      <c r="F8773" s="10"/>
      <c r="G8773" s="10"/>
      <c r="H8773" s="10"/>
      <c r="I8773" s="10"/>
      <c r="J8773" s="10"/>
      <c r="K8773" s="10"/>
      <c r="L8773" s="10"/>
    </row>
    <row r="8774" spans="1:12" ht="15" customHeight="1" x14ac:dyDescent="0.25">
      <c r="A8774" s="10"/>
      <c r="B8774" s="10"/>
      <c r="C8774" s="10"/>
      <c r="D8774" s="10"/>
      <c r="E8774" s="10"/>
      <c r="F8774" s="10"/>
      <c r="G8774" s="10"/>
      <c r="H8774" s="10"/>
      <c r="I8774" s="10"/>
      <c r="J8774" s="10"/>
      <c r="K8774" s="10"/>
      <c r="L8774" s="10"/>
    </row>
    <row r="8775" spans="1:12" ht="15" customHeight="1" x14ac:dyDescent="0.25">
      <c r="A8775" s="10"/>
      <c r="B8775" s="10"/>
      <c r="C8775" s="10"/>
      <c r="D8775" s="10"/>
      <c r="E8775" s="10"/>
      <c r="F8775" s="10"/>
      <c r="G8775" s="10"/>
      <c r="H8775" s="10"/>
      <c r="I8775" s="10"/>
      <c r="J8775" s="10"/>
      <c r="K8775" s="10"/>
      <c r="L8775" s="10"/>
    </row>
    <row r="8776" spans="1:12" ht="15" customHeight="1" x14ac:dyDescent="0.25">
      <c r="A8776" s="10"/>
      <c r="B8776" s="10"/>
      <c r="C8776" s="10"/>
      <c r="D8776" s="10"/>
      <c r="E8776" s="10"/>
      <c r="F8776" s="10"/>
      <c r="G8776" s="10"/>
      <c r="H8776" s="10"/>
      <c r="I8776" s="10"/>
      <c r="J8776" s="10"/>
      <c r="K8776" s="10"/>
      <c r="L8776" s="10"/>
    </row>
    <row r="8777" spans="1:12" ht="15" customHeight="1" x14ac:dyDescent="0.25">
      <c r="A8777" s="10"/>
      <c r="B8777" s="10"/>
      <c r="C8777" s="10"/>
      <c r="D8777" s="10"/>
      <c r="E8777" s="10"/>
      <c r="F8777" s="10"/>
      <c r="G8777" s="10"/>
      <c r="H8777" s="10"/>
      <c r="I8777" s="10"/>
      <c r="J8777" s="10"/>
      <c r="K8777" s="10"/>
      <c r="L8777" s="10"/>
    </row>
    <row r="8778" spans="1:12" ht="15" customHeight="1" x14ac:dyDescent="0.25">
      <c r="A8778" s="10"/>
      <c r="B8778" s="10"/>
      <c r="C8778" s="10"/>
      <c r="D8778" s="10"/>
      <c r="E8778" s="10"/>
      <c r="F8778" s="10"/>
      <c r="G8778" s="10"/>
      <c r="H8778" s="10"/>
      <c r="I8778" s="10"/>
      <c r="J8778" s="10"/>
      <c r="K8778" s="10"/>
      <c r="L8778" s="10"/>
    </row>
    <row r="8779" spans="1:12" ht="15" customHeight="1" x14ac:dyDescent="0.25">
      <c r="A8779" s="10"/>
      <c r="B8779" s="10"/>
      <c r="C8779" s="10"/>
      <c r="D8779" s="10"/>
      <c r="E8779" s="10"/>
      <c r="F8779" s="10"/>
      <c r="G8779" s="10"/>
      <c r="H8779" s="10"/>
      <c r="I8779" s="10"/>
      <c r="J8779" s="10"/>
      <c r="K8779" s="10"/>
      <c r="L8779" s="10"/>
    </row>
    <row r="8780" spans="1:12" ht="15" customHeight="1" x14ac:dyDescent="0.25">
      <c r="A8780" s="10"/>
      <c r="B8780" s="10"/>
      <c r="C8780" s="10"/>
      <c r="D8780" s="10"/>
      <c r="E8780" s="10"/>
      <c r="F8780" s="10"/>
      <c r="G8780" s="10"/>
      <c r="H8780" s="10"/>
      <c r="I8780" s="10"/>
      <c r="J8780" s="10"/>
      <c r="K8780" s="10"/>
      <c r="L8780" s="10"/>
    </row>
    <row r="8781" spans="1:12" ht="15" customHeight="1" x14ac:dyDescent="0.25">
      <c r="A8781" s="10"/>
      <c r="B8781" s="10"/>
      <c r="C8781" s="10"/>
      <c r="D8781" s="10"/>
      <c r="E8781" s="10"/>
      <c r="F8781" s="10"/>
      <c r="G8781" s="10"/>
      <c r="H8781" s="10"/>
      <c r="I8781" s="10"/>
      <c r="J8781" s="10"/>
      <c r="K8781" s="10"/>
      <c r="L8781" s="10"/>
    </row>
    <row r="8782" spans="1:12" ht="15" customHeight="1" x14ac:dyDescent="0.25">
      <c r="A8782" s="10"/>
      <c r="B8782" s="10"/>
      <c r="C8782" s="10"/>
      <c r="D8782" s="10"/>
      <c r="E8782" s="10"/>
      <c r="F8782" s="10"/>
      <c r="G8782" s="10"/>
      <c r="H8782" s="10"/>
      <c r="I8782" s="10"/>
      <c r="J8782" s="10"/>
      <c r="K8782" s="10"/>
      <c r="L8782" s="10"/>
    </row>
    <row r="8783" spans="1:12" ht="15" customHeight="1" x14ac:dyDescent="0.25">
      <c r="A8783" s="10"/>
      <c r="B8783" s="10"/>
      <c r="C8783" s="10"/>
      <c r="D8783" s="10"/>
      <c r="E8783" s="10"/>
      <c r="F8783" s="10"/>
      <c r="G8783" s="10"/>
      <c r="H8783" s="10"/>
      <c r="I8783" s="10"/>
      <c r="J8783" s="10"/>
      <c r="K8783" s="10"/>
      <c r="L8783" s="10"/>
    </row>
    <row r="8784" spans="1:12" ht="15" customHeight="1" x14ac:dyDescent="0.25">
      <c r="A8784" s="10"/>
      <c r="B8784" s="10"/>
      <c r="C8784" s="10"/>
      <c r="D8784" s="10"/>
      <c r="E8784" s="10"/>
      <c r="F8784" s="10"/>
      <c r="G8784" s="10"/>
      <c r="H8784" s="10"/>
      <c r="I8784" s="10"/>
      <c r="J8784" s="10"/>
      <c r="K8784" s="10"/>
      <c r="L8784" s="10"/>
    </row>
    <row r="8785" spans="1:12" ht="15" customHeight="1" x14ac:dyDescent="0.25">
      <c r="A8785" s="10"/>
      <c r="B8785" s="10"/>
      <c r="C8785" s="10"/>
      <c r="D8785" s="10"/>
      <c r="E8785" s="10"/>
      <c r="F8785" s="10"/>
      <c r="G8785" s="10"/>
      <c r="H8785" s="10"/>
      <c r="I8785" s="10"/>
      <c r="J8785" s="10"/>
      <c r="K8785" s="10"/>
      <c r="L8785" s="10"/>
    </row>
    <row r="8786" spans="1:12" ht="15" customHeight="1" x14ac:dyDescent="0.25">
      <c r="A8786" s="10"/>
      <c r="B8786" s="10"/>
      <c r="C8786" s="10"/>
      <c r="D8786" s="10"/>
      <c r="E8786" s="10"/>
      <c r="F8786" s="10"/>
      <c r="G8786" s="10"/>
      <c r="H8786" s="10"/>
      <c r="I8786" s="10"/>
      <c r="J8786" s="10"/>
      <c r="K8786" s="10"/>
      <c r="L8786" s="10"/>
    </row>
    <row r="8787" spans="1:12" ht="15" customHeight="1" x14ac:dyDescent="0.25">
      <c r="A8787" s="10"/>
      <c r="B8787" s="10"/>
      <c r="C8787" s="10"/>
      <c r="D8787" s="10"/>
      <c r="E8787" s="10"/>
      <c r="F8787" s="10"/>
      <c r="G8787" s="10"/>
      <c r="H8787" s="10"/>
      <c r="I8787" s="10"/>
      <c r="J8787" s="10"/>
      <c r="K8787" s="10"/>
      <c r="L8787" s="10"/>
    </row>
    <row r="8788" spans="1:12" ht="15" customHeight="1" x14ac:dyDescent="0.25">
      <c r="A8788" s="10"/>
      <c r="B8788" s="10"/>
      <c r="C8788" s="10"/>
      <c r="D8788" s="10"/>
      <c r="E8788" s="10"/>
      <c r="F8788" s="10"/>
      <c r="G8788" s="10"/>
      <c r="H8788" s="10"/>
      <c r="I8788" s="10"/>
      <c r="J8788" s="10"/>
      <c r="K8788" s="10"/>
      <c r="L8788" s="10"/>
    </row>
    <row r="8789" spans="1:12" ht="15" customHeight="1" x14ac:dyDescent="0.25">
      <c r="A8789" s="10"/>
      <c r="B8789" s="10"/>
      <c r="C8789" s="10"/>
      <c r="D8789" s="10"/>
      <c r="E8789" s="10"/>
      <c r="F8789" s="10"/>
      <c r="G8789" s="10"/>
      <c r="H8789" s="10"/>
      <c r="I8789" s="10"/>
      <c r="J8789" s="10"/>
      <c r="K8789" s="10"/>
      <c r="L8789" s="10"/>
    </row>
    <row r="8790" spans="1:12" ht="15" customHeight="1" x14ac:dyDescent="0.25">
      <c r="A8790" s="10"/>
      <c r="B8790" s="10"/>
      <c r="C8790" s="10"/>
      <c r="D8790" s="10"/>
      <c r="E8790" s="10"/>
      <c r="F8790" s="10"/>
      <c r="G8790" s="10"/>
      <c r="H8790" s="10"/>
      <c r="I8790" s="10"/>
      <c r="J8790" s="10"/>
      <c r="K8790" s="10"/>
      <c r="L8790" s="10"/>
    </row>
    <row r="8791" spans="1:12" ht="15" customHeight="1" x14ac:dyDescent="0.25">
      <c r="A8791" s="10"/>
      <c r="B8791" s="10"/>
      <c r="C8791" s="10"/>
      <c r="D8791" s="10"/>
      <c r="E8791" s="10"/>
      <c r="F8791" s="10"/>
      <c r="G8791" s="10"/>
      <c r="H8791" s="10"/>
      <c r="I8791" s="10"/>
      <c r="J8791" s="10"/>
      <c r="K8791" s="10"/>
      <c r="L8791" s="10"/>
    </row>
    <row r="8792" spans="1:12" ht="15" customHeight="1" x14ac:dyDescent="0.25">
      <c r="A8792" s="10"/>
      <c r="B8792" s="10"/>
      <c r="C8792" s="10"/>
      <c r="D8792" s="10"/>
      <c r="E8792" s="10"/>
      <c r="F8792" s="10"/>
      <c r="G8792" s="10"/>
      <c r="H8792" s="10"/>
      <c r="I8792" s="10"/>
      <c r="J8792" s="10"/>
      <c r="K8792" s="10"/>
      <c r="L8792" s="10"/>
    </row>
    <row r="8793" spans="1:12" ht="15" customHeight="1" x14ac:dyDescent="0.25">
      <c r="A8793" s="10"/>
      <c r="B8793" s="10"/>
      <c r="C8793" s="10"/>
      <c r="D8793" s="10"/>
      <c r="E8793" s="10"/>
      <c r="F8793" s="10"/>
      <c r="G8793" s="10"/>
      <c r="H8793" s="10"/>
      <c r="I8793" s="10"/>
      <c r="J8793" s="10"/>
      <c r="K8793" s="10"/>
      <c r="L8793" s="10"/>
    </row>
    <row r="8794" spans="1:12" ht="15" customHeight="1" x14ac:dyDescent="0.25">
      <c r="A8794" s="10"/>
      <c r="B8794" s="10"/>
      <c r="C8794" s="10"/>
      <c r="D8794" s="10"/>
      <c r="E8794" s="10"/>
      <c r="F8794" s="10"/>
      <c r="G8794" s="10"/>
      <c r="H8794" s="10"/>
      <c r="I8794" s="10"/>
      <c r="J8794" s="10"/>
      <c r="K8794" s="10"/>
      <c r="L8794" s="10"/>
    </row>
    <row r="8795" spans="1:12" ht="15" customHeight="1" x14ac:dyDescent="0.25">
      <c r="A8795" s="10"/>
      <c r="B8795" s="10"/>
      <c r="C8795" s="10"/>
      <c r="D8795" s="10"/>
      <c r="E8795" s="10"/>
      <c r="F8795" s="10"/>
      <c r="G8795" s="10"/>
      <c r="H8795" s="10"/>
      <c r="I8795" s="10"/>
      <c r="J8795" s="10"/>
      <c r="K8795" s="10"/>
      <c r="L8795" s="10"/>
    </row>
    <row r="8796" spans="1:12" ht="15" customHeight="1" x14ac:dyDescent="0.25">
      <c r="A8796" s="10"/>
      <c r="B8796" s="10"/>
      <c r="C8796" s="10"/>
      <c r="D8796" s="10"/>
      <c r="E8796" s="10"/>
      <c r="F8796" s="10"/>
      <c r="G8796" s="10"/>
      <c r="H8796" s="10"/>
      <c r="I8796" s="10"/>
      <c r="J8796" s="10"/>
      <c r="K8796" s="10"/>
      <c r="L8796" s="10"/>
    </row>
    <row r="8797" spans="1:12" ht="15" customHeight="1" x14ac:dyDescent="0.25">
      <c r="A8797" s="10"/>
      <c r="B8797" s="10"/>
      <c r="C8797" s="10"/>
      <c r="D8797" s="10"/>
      <c r="E8797" s="10"/>
      <c r="F8797" s="10"/>
      <c r="G8797" s="10"/>
      <c r="H8797" s="10"/>
      <c r="I8797" s="10"/>
      <c r="J8797" s="10"/>
      <c r="K8797" s="10"/>
      <c r="L8797" s="10"/>
    </row>
    <row r="8798" spans="1:12" ht="15" customHeight="1" x14ac:dyDescent="0.25">
      <c r="A8798" s="10"/>
      <c r="B8798" s="10"/>
      <c r="C8798" s="10"/>
      <c r="D8798" s="10"/>
      <c r="E8798" s="10"/>
      <c r="F8798" s="10"/>
      <c r="G8798" s="10"/>
      <c r="H8798" s="10"/>
      <c r="I8798" s="10"/>
      <c r="J8798" s="10"/>
      <c r="K8798" s="10"/>
      <c r="L8798" s="10"/>
    </row>
    <row r="8799" spans="1:12" ht="15" customHeight="1" x14ac:dyDescent="0.25">
      <c r="A8799" s="10"/>
      <c r="B8799" s="10"/>
      <c r="C8799" s="10"/>
      <c r="D8799" s="10"/>
      <c r="E8799" s="10"/>
      <c r="F8799" s="10"/>
      <c r="G8799" s="10"/>
      <c r="H8799" s="10"/>
      <c r="I8799" s="10"/>
      <c r="J8799" s="10"/>
      <c r="K8799" s="10"/>
      <c r="L8799" s="10"/>
    </row>
    <row r="8800" spans="1:12" ht="15" customHeight="1" x14ac:dyDescent="0.25">
      <c r="A8800" s="10"/>
      <c r="B8800" s="10"/>
      <c r="C8800" s="10"/>
      <c r="D8800" s="10"/>
      <c r="E8800" s="10"/>
      <c r="F8800" s="10"/>
      <c r="G8800" s="10"/>
      <c r="H8800" s="10"/>
      <c r="I8800" s="10"/>
      <c r="J8800" s="10"/>
      <c r="K8800" s="10"/>
      <c r="L8800" s="10"/>
    </row>
    <row r="8801" spans="1:12" ht="15" customHeight="1" x14ac:dyDescent="0.25">
      <c r="A8801" s="10"/>
      <c r="B8801" s="10"/>
      <c r="C8801" s="10"/>
      <c r="D8801" s="10"/>
      <c r="E8801" s="10"/>
      <c r="F8801" s="10"/>
      <c r="G8801" s="10"/>
      <c r="H8801" s="10"/>
      <c r="I8801" s="10"/>
      <c r="J8801" s="10"/>
      <c r="K8801" s="10"/>
      <c r="L8801" s="10"/>
    </row>
    <row r="8802" spans="1:12" ht="15" customHeight="1" x14ac:dyDescent="0.25">
      <c r="A8802" s="10"/>
      <c r="B8802" s="10"/>
      <c r="C8802" s="10"/>
      <c r="D8802" s="10"/>
      <c r="E8802" s="10"/>
      <c r="F8802" s="10"/>
      <c r="G8802" s="10"/>
      <c r="H8802" s="10"/>
      <c r="I8802" s="10"/>
      <c r="J8802" s="10"/>
      <c r="K8802" s="10"/>
      <c r="L8802" s="10"/>
    </row>
    <row r="8803" spans="1:12" ht="15" customHeight="1" x14ac:dyDescent="0.25">
      <c r="A8803" s="10"/>
      <c r="B8803" s="10"/>
      <c r="C8803" s="10"/>
      <c r="D8803" s="10"/>
      <c r="E8803" s="10"/>
      <c r="F8803" s="10"/>
      <c r="G8803" s="10"/>
      <c r="H8803" s="10"/>
      <c r="I8803" s="10"/>
      <c r="J8803" s="10"/>
      <c r="K8803" s="10"/>
      <c r="L8803" s="10"/>
    </row>
    <row r="8804" spans="1:12" ht="15" customHeight="1" x14ac:dyDescent="0.25">
      <c r="A8804" s="10"/>
      <c r="B8804" s="10"/>
      <c r="C8804" s="10"/>
      <c r="D8804" s="10"/>
      <c r="E8804" s="10"/>
      <c r="F8804" s="10"/>
      <c r="G8804" s="10"/>
      <c r="H8804" s="10"/>
      <c r="I8804" s="10"/>
      <c r="J8804" s="10"/>
      <c r="K8804" s="10"/>
      <c r="L8804" s="10"/>
    </row>
    <row r="8805" spans="1:12" ht="15" customHeight="1" x14ac:dyDescent="0.25">
      <c r="A8805" s="10"/>
      <c r="B8805" s="10"/>
      <c r="C8805" s="10"/>
      <c r="D8805" s="10"/>
      <c r="E8805" s="10"/>
      <c r="F8805" s="10"/>
      <c r="G8805" s="10"/>
      <c r="H8805" s="10"/>
      <c r="I8805" s="10"/>
      <c r="J8805" s="10"/>
      <c r="K8805" s="10"/>
      <c r="L8805" s="10"/>
    </row>
    <row r="8806" spans="1:12" ht="15" customHeight="1" x14ac:dyDescent="0.25">
      <c r="A8806" s="10"/>
      <c r="B8806" s="10"/>
      <c r="C8806" s="10"/>
      <c r="D8806" s="10"/>
      <c r="E8806" s="10"/>
      <c r="F8806" s="10"/>
      <c r="G8806" s="10"/>
      <c r="H8806" s="10"/>
      <c r="I8806" s="10"/>
      <c r="J8806" s="10"/>
      <c r="K8806" s="10"/>
      <c r="L8806" s="10"/>
    </row>
    <row r="8807" spans="1:12" ht="15" customHeight="1" x14ac:dyDescent="0.25">
      <c r="A8807" s="10"/>
      <c r="B8807" s="10"/>
      <c r="C8807" s="10"/>
      <c r="D8807" s="10"/>
      <c r="E8807" s="10"/>
      <c r="F8807" s="10"/>
      <c r="G8807" s="10"/>
      <c r="H8807" s="10"/>
      <c r="I8807" s="10"/>
      <c r="J8807" s="10"/>
      <c r="K8807" s="10"/>
      <c r="L8807" s="10"/>
    </row>
    <row r="8808" spans="1:12" ht="15" customHeight="1" x14ac:dyDescent="0.25">
      <c r="A8808" s="10"/>
      <c r="B8808" s="10"/>
      <c r="C8808" s="10"/>
      <c r="D8808" s="10"/>
      <c r="E8808" s="10"/>
      <c r="F8808" s="10"/>
      <c r="G8808" s="10"/>
      <c r="H8808" s="10"/>
      <c r="I8808" s="10"/>
      <c r="J8808" s="10"/>
      <c r="K8808" s="10"/>
      <c r="L8808" s="10"/>
    </row>
    <row r="8809" spans="1:12" ht="15" customHeight="1" x14ac:dyDescent="0.25">
      <c r="A8809" s="10"/>
      <c r="B8809" s="10"/>
      <c r="C8809" s="10"/>
      <c r="D8809" s="10"/>
      <c r="E8809" s="10"/>
      <c r="F8809" s="10"/>
      <c r="G8809" s="10"/>
      <c r="H8809" s="10"/>
      <c r="I8809" s="10"/>
      <c r="J8809" s="10"/>
      <c r="K8809" s="10"/>
      <c r="L8809" s="10"/>
    </row>
    <row r="8810" spans="1:12" ht="15" customHeight="1" x14ac:dyDescent="0.25">
      <c r="A8810" s="10"/>
      <c r="B8810" s="10"/>
      <c r="C8810" s="10"/>
      <c r="D8810" s="10"/>
      <c r="E8810" s="10"/>
      <c r="F8810" s="10"/>
      <c r="G8810" s="10"/>
      <c r="H8810" s="10"/>
      <c r="I8810" s="10"/>
      <c r="J8810" s="10"/>
      <c r="K8810" s="10"/>
      <c r="L8810" s="10"/>
    </row>
    <row r="8811" spans="1:12" ht="15" customHeight="1" x14ac:dyDescent="0.25">
      <c r="A8811" s="10"/>
      <c r="B8811" s="10"/>
      <c r="C8811" s="10"/>
      <c r="D8811" s="10"/>
      <c r="E8811" s="10"/>
      <c r="F8811" s="10"/>
      <c r="G8811" s="10"/>
      <c r="H8811" s="10"/>
      <c r="I8811" s="10"/>
      <c r="J8811" s="10"/>
      <c r="K8811" s="10"/>
      <c r="L8811" s="10"/>
    </row>
    <row r="8812" spans="1:12" ht="15" customHeight="1" x14ac:dyDescent="0.25">
      <c r="A8812" s="10"/>
      <c r="B8812" s="10"/>
      <c r="C8812" s="10"/>
      <c r="D8812" s="10"/>
      <c r="E8812" s="10"/>
      <c r="F8812" s="10"/>
      <c r="G8812" s="10"/>
      <c r="H8812" s="10"/>
      <c r="I8812" s="10"/>
      <c r="J8812" s="10"/>
      <c r="K8812" s="10"/>
      <c r="L8812" s="10"/>
    </row>
    <row r="8813" spans="1:12" ht="15" customHeight="1" x14ac:dyDescent="0.25">
      <c r="A8813" s="10"/>
      <c r="B8813" s="10"/>
      <c r="C8813" s="10"/>
      <c r="D8813" s="10"/>
      <c r="E8813" s="10"/>
      <c r="F8813" s="10"/>
      <c r="G8813" s="10"/>
      <c r="H8813" s="10"/>
      <c r="I8813" s="10"/>
      <c r="J8813" s="10"/>
      <c r="K8813" s="10"/>
      <c r="L8813" s="10"/>
    </row>
    <row r="8814" spans="1:12" ht="15" customHeight="1" x14ac:dyDescent="0.25">
      <c r="A8814" s="10"/>
      <c r="B8814" s="10"/>
      <c r="C8814" s="10"/>
      <c r="D8814" s="10"/>
      <c r="E8814" s="10"/>
      <c r="F8814" s="10"/>
      <c r="G8814" s="10"/>
      <c r="H8814" s="10"/>
      <c r="I8814" s="10"/>
      <c r="J8814" s="10"/>
      <c r="K8814" s="10"/>
      <c r="L8814" s="10"/>
    </row>
    <row r="8815" spans="1:12" ht="15" customHeight="1" x14ac:dyDescent="0.25">
      <c r="A8815" s="10"/>
      <c r="B8815" s="10"/>
      <c r="C8815" s="10"/>
      <c r="D8815" s="10"/>
      <c r="E8815" s="10"/>
      <c r="F8815" s="10"/>
      <c r="G8815" s="10"/>
      <c r="H8815" s="10"/>
      <c r="I8815" s="10"/>
      <c r="J8815" s="10"/>
      <c r="K8815" s="10"/>
      <c r="L8815" s="10"/>
    </row>
    <row r="8816" spans="1:12" ht="15" customHeight="1" x14ac:dyDescent="0.25">
      <c r="A8816" s="10"/>
      <c r="B8816" s="10"/>
      <c r="C8816" s="10"/>
      <c r="D8816" s="10"/>
      <c r="E8816" s="10"/>
      <c r="F8816" s="10"/>
      <c r="G8816" s="10"/>
      <c r="H8816" s="10"/>
      <c r="I8816" s="10"/>
      <c r="J8816" s="10"/>
      <c r="K8816" s="10"/>
      <c r="L8816" s="10"/>
    </row>
    <row r="8817" spans="1:12" ht="15" customHeight="1" x14ac:dyDescent="0.25">
      <c r="A8817" s="10"/>
      <c r="B8817" s="10"/>
      <c r="C8817" s="10"/>
      <c r="D8817" s="10"/>
      <c r="E8817" s="10"/>
      <c r="F8817" s="10"/>
      <c r="G8817" s="10"/>
      <c r="H8817" s="10"/>
      <c r="I8817" s="10"/>
      <c r="J8817" s="10"/>
      <c r="K8817" s="10"/>
      <c r="L8817" s="10"/>
    </row>
    <row r="8818" spans="1:12" ht="15" customHeight="1" x14ac:dyDescent="0.25">
      <c r="A8818" s="10"/>
      <c r="B8818" s="10"/>
      <c r="C8818" s="10"/>
      <c r="D8818" s="10"/>
      <c r="E8818" s="10"/>
      <c r="F8818" s="10"/>
      <c r="G8818" s="10"/>
      <c r="H8818" s="10"/>
      <c r="I8818" s="10"/>
      <c r="J8818" s="10"/>
      <c r="K8818" s="10"/>
      <c r="L8818" s="10"/>
    </row>
    <row r="8819" spans="1:12" ht="15" customHeight="1" x14ac:dyDescent="0.25">
      <c r="A8819" s="10"/>
      <c r="B8819" s="10"/>
      <c r="C8819" s="10"/>
      <c r="D8819" s="10"/>
      <c r="E8819" s="10"/>
      <c r="F8819" s="10"/>
      <c r="G8819" s="10"/>
      <c r="H8819" s="10"/>
      <c r="I8819" s="10"/>
      <c r="J8819" s="10"/>
      <c r="K8819" s="10"/>
      <c r="L8819" s="10"/>
    </row>
    <row r="8820" spans="1:12" ht="15" customHeight="1" x14ac:dyDescent="0.25">
      <c r="A8820" s="10"/>
      <c r="B8820" s="10"/>
      <c r="C8820" s="10"/>
      <c r="D8820" s="10"/>
      <c r="E8820" s="10"/>
      <c r="F8820" s="10"/>
      <c r="G8820" s="10"/>
      <c r="H8820" s="10"/>
      <c r="I8820" s="10"/>
      <c r="J8820" s="10"/>
      <c r="K8820" s="10"/>
      <c r="L8820" s="10"/>
    </row>
    <row r="8821" spans="1:12" ht="15" customHeight="1" x14ac:dyDescent="0.25">
      <c r="A8821" s="10"/>
      <c r="B8821" s="10"/>
      <c r="C8821" s="10"/>
      <c r="D8821" s="10"/>
      <c r="E8821" s="10"/>
      <c r="F8821" s="10"/>
      <c r="G8821" s="10"/>
      <c r="H8821" s="10"/>
      <c r="I8821" s="10"/>
      <c r="J8821" s="10"/>
      <c r="K8821" s="10"/>
      <c r="L8821" s="10"/>
    </row>
    <row r="8822" spans="1:12" ht="15" customHeight="1" x14ac:dyDescent="0.25">
      <c r="A8822" s="10"/>
      <c r="B8822" s="10"/>
      <c r="C8822" s="10"/>
      <c r="D8822" s="10"/>
      <c r="E8822" s="10"/>
      <c r="F8822" s="10"/>
      <c r="G8822" s="10"/>
      <c r="H8822" s="10"/>
      <c r="I8822" s="10"/>
      <c r="J8822" s="10"/>
      <c r="K8822" s="10"/>
      <c r="L8822" s="10"/>
    </row>
    <row r="8823" spans="1:12" ht="15" customHeight="1" x14ac:dyDescent="0.25">
      <c r="A8823" s="10"/>
      <c r="B8823" s="10"/>
      <c r="C8823" s="10"/>
      <c r="D8823" s="10"/>
      <c r="E8823" s="10"/>
      <c r="F8823" s="10"/>
      <c r="G8823" s="10"/>
      <c r="H8823" s="10"/>
      <c r="I8823" s="10"/>
      <c r="J8823" s="10"/>
      <c r="K8823" s="10"/>
      <c r="L8823" s="10"/>
    </row>
    <row r="8824" spans="1:12" ht="15" customHeight="1" x14ac:dyDescent="0.25">
      <c r="A8824" s="10"/>
      <c r="B8824" s="10"/>
      <c r="C8824" s="10"/>
      <c r="D8824" s="10"/>
      <c r="E8824" s="10"/>
      <c r="F8824" s="10"/>
      <c r="G8824" s="10"/>
      <c r="H8824" s="10"/>
      <c r="I8824" s="10"/>
      <c r="J8824" s="10"/>
      <c r="K8824" s="10"/>
      <c r="L8824" s="10"/>
    </row>
    <row r="8825" spans="1:12" ht="15" customHeight="1" x14ac:dyDescent="0.25">
      <c r="A8825" s="10"/>
      <c r="B8825" s="10"/>
      <c r="C8825" s="10"/>
      <c r="D8825" s="10"/>
      <c r="E8825" s="10"/>
      <c r="F8825" s="10"/>
      <c r="G8825" s="10"/>
      <c r="H8825" s="10"/>
      <c r="I8825" s="10"/>
      <c r="J8825" s="10"/>
      <c r="K8825" s="10"/>
      <c r="L8825" s="10"/>
    </row>
    <row r="8826" spans="1:12" ht="15" customHeight="1" x14ac:dyDescent="0.25">
      <c r="A8826" s="10"/>
      <c r="B8826" s="10"/>
      <c r="C8826" s="10"/>
      <c r="D8826" s="10"/>
      <c r="E8826" s="10"/>
      <c r="F8826" s="10"/>
      <c r="G8826" s="10"/>
      <c r="H8826" s="10"/>
      <c r="I8826" s="10"/>
      <c r="J8826" s="10"/>
      <c r="K8826" s="10"/>
      <c r="L8826" s="10"/>
    </row>
    <row r="8827" spans="1:12" ht="15" customHeight="1" x14ac:dyDescent="0.25">
      <c r="A8827" s="10"/>
      <c r="B8827" s="10"/>
      <c r="C8827" s="10"/>
      <c r="D8827" s="10"/>
      <c r="E8827" s="10"/>
      <c r="F8827" s="10"/>
      <c r="G8827" s="10"/>
      <c r="H8827" s="10"/>
      <c r="I8827" s="10"/>
      <c r="J8827" s="10"/>
      <c r="K8827" s="10"/>
      <c r="L8827" s="10"/>
    </row>
    <row r="8828" spans="1:12" ht="15" customHeight="1" x14ac:dyDescent="0.25">
      <c r="A8828" s="10"/>
      <c r="B8828" s="10"/>
      <c r="C8828" s="10"/>
      <c r="D8828" s="10"/>
      <c r="E8828" s="10"/>
      <c r="F8828" s="10"/>
      <c r="G8828" s="10"/>
      <c r="H8828" s="10"/>
      <c r="I8828" s="10"/>
      <c r="J8828" s="10"/>
      <c r="K8828" s="10"/>
      <c r="L8828" s="10"/>
    </row>
    <row r="8829" spans="1:12" ht="15" customHeight="1" x14ac:dyDescent="0.25">
      <c r="A8829" s="10"/>
      <c r="B8829" s="10"/>
      <c r="C8829" s="10"/>
      <c r="D8829" s="10"/>
      <c r="E8829" s="10"/>
      <c r="F8829" s="10"/>
      <c r="G8829" s="10"/>
      <c r="H8829" s="10"/>
      <c r="I8829" s="10"/>
      <c r="J8829" s="10"/>
      <c r="K8829" s="10"/>
      <c r="L8829" s="10"/>
    </row>
    <row r="8830" spans="1:12" ht="15" customHeight="1" x14ac:dyDescent="0.25">
      <c r="A8830" s="10"/>
      <c r="B8830" s="10"/>
      <c r="C8830" s="10"/>
      <c r="D8830" s="10"/>
      <c r="E8830" s="10"/>
      <c r="F8830" s="10"/>
      <c r="G8830" s="10"/>
      <c r="H8830" s="10"/>
      <c r="I8830" s="10"/>
      <c r="J8830" s="10"/>
      <c r="K8830" s="10"/>
      <c r="L8830" s="10"/>
    </row>
    <row r="8831" spans="1:12" ht="15" customHeight="1" x14ac:dyDescent="0.25">
      <c r="A8831" s="10"/>
      <c r="B8831" s="10"/>
      <c r="C8831" s="10"/>
      <c r="D8831" s="10"/>
      <c r="E8831" s="10"/>
      <c r="F8831" s="10"/>
      <c r="G8831" s="10"/>
      <c r="H8831" s="10"/>
      <c r="I8831" s="10"/>
      <c r="J8831" s="10"/>
      <c r="K8831" s="10"/>
      <c r="L8831" s="10"/>
    </row>
    <row r="8832" spans="1:12" ht="15" customHeight="1" x14ac:dyDescent="0.25">
      <c r="A8832" s="10"/>
      <c r="B8832" s="10"/>
      <c r="C8832" s="10"/>
      <c r="D8832" s="10"/>
      <c r="E8832" s="10"/>
      <c r="F8832" s="10"/>
      <c r="G8832" s="10"/>
      <c r="H8832" s="10"/>
      <c r="I8832" s="10"/>
      <c r="J8832" s="10"/>
      <c r="K8832" s="10"/>
      <c r="L8832" s="10"/>
    </row>
    <row r="8833" spans="1:12" ht="15" customHeight="1" x14ac:dyDescent="0.25">
      <c r="A8833" s="10"/>
      <c r="B8833" s="10"/>
      <c r="C8833" s="10"/>
      <c r="D8833" s="10"/>
      <c r="E8833" s="10"/>
      <c r="F8833" s="10"/>
      <c r="G8833" s="10"/>
      <c r="H8833" s="10"/>
      <c r="I8833" s="10"/>
      <c r="J8833" s="10"/>
      <c r="K8833" s="10"/>
      <c r="L8833" s="10"/>
    </row>
    <row r="8834" spans="1:12" ht="15" customHeight="1" x14ac:dyDescent="0.25">
      <c r="A8834" s="10"/>
      <c r="B8834" s="10"/>
      <c r="C8834" s="10"/>
      <c r="D8834" s="10"/>
      <c r="E8834" s="10"/>
      <c r="F8834" s="10"/>
      <c r="G8834" s="10"/>
      <c r="H8834" s="10"/>
      <c r="I8834" s="10"/>
      <c r="J8834" s="10"/>
      <c r="K8834" s="10"/>
      <c r="L8834" s="10"/>
    </row>
    <row r="8835" spans="1:12" ht="15" customHeight="1" x14ac:dyDescent="0.25">
      <c r="A8835" s="10"/>
      <c r="B8835" s="10"/>
      <c r="C8835" s="10"/>
      <c r="D8835" s="10"/>
      <c r="E8835" s="10"/>
      <c r="F8835" s="10"/>
      <c r="G8835" s="10"/>
      <c r="H8835" s="10"/>
      <c r="I8835" s="10"/>
      <c r="J8835" s="10"/>
      <c r="K8835" s="10"/>
      <c r="L8835" s="10"/>
    </row>
    <row r="8836" spans="1:12" ht="15" customHeight="1" x14ac:dyDescent="0.25">
      <c r="A8836" s="10"/>
      <c r="B8836" s="10"/>
      <c r="C8836" s="10"/>
      <c r="D8836" s="10"/>
      <c r="E8836" s="10"/>
      <c r="F8836" s="10"/>
      <c r="G8836" s="10"/>
      <c r="H8836" s="10"/>
      <c r="I8836" s="10"/>
      <c r="J8836" s="10"/>
      <c r="K8836" s="10"/>
      <c r="L8836" s="10"/>
    </row>
    <row r="8837" spans="1:12" ht="15" customHeight="1" x14ac:dyDescent="0.25">
      <c r="A8837" s="10"/>
      <c r="B8837" s="10"/>
      <c r="C8837" s="10"/>
      <c r="D8837" s="10"/>
      <c r="E8837" s="10"/>
      <c r="F8837" s="10"/>
      <c r="G8837" s="10"/>
      <c r="H8837" s="10"/>
      <c r="I8837" s="10"/>
      <c r="J8837" s="10"/>
      <c r="K8837" s="10"/>
      <c r="L8837" s="10"/>
    </row>
    <row r="8838" spans="1:12" ht="15" customHeight="1" x14ac:dyDescent="0.25">
      <c r="A8838" s="10"/>
      <c r="B8838" s="10"/>
      <c r="C8838" s="10"/>
      <c r="D8838" s="10"/>
      <c r="E8838" s="10"/>
      <c r="F8838" s="10"/>
      <c r="G8838" s="10"/>
      <c r="H8838" s="10"/>
      <c r="I8838" s="10"/>
      <c r="J8838" s="10"/>
      <c r="K8838" s="10"/>
      <c r="L8838" s="10"/>
    </row>
    <row r="8839" spans="1:12" ht="15" customHeight="1" x14ac:dyDescent="0.25">
      <c r="A8839" s="10"/>
      <c r="B8839" s="10"/>
      <c r="C8839" s="10"/>
      <c r="D8839" s="10"/>
      <c r="E8839" s="10"/>
      <c r="F8839" s="10"/>
      <c r="G8839" s="10"/>
      <c r="H8839" s="10"/>
      <c r="I8839" s="10"/>
      <c r="J8839" s="10"/>
      <c r="K8839" s="10"/>
      <c r="L8839" s="10"/>
    </row>
    <row r="8840" spans="1:12" ht="15" customHeight="1" x14ac:dyDescent="0.25">
      <c r="A8840" s="10"/>
      <c r="B8840" s="10"/>
      <c r="C8840" s="10"/>
      <c r="D8840" s="10"/>
      <c r="E8840" s="10"/>
      <c r="F8840" s="10"/>
      <c r="G8840" s="10"/>
      <c r="H8840" s="10"/>
      <c r="I8840" s="10"/>
      <c r="J8840" s="10"/>
      <c r="K8840" s="10"/>
      <c r="L8840" s="10"/>
    </row>
    <row r="8841" spans="1:12" ht="15" customHeight="1" x14ac:dyDescent="0.25">
      <c r="A8841" s="10"/>
      <c r="B8841" s="10"/>
      <c r="C8841" s="10"/>
      <c r="D8841" s="10"/>
      <c r="E8841" s="10"/>
      <c r="F8841" s="10"/>
      <c r="G8841" s="10"/>
      <c r="H8841" s="10"/>
      <c r="I8841" s="10"/>
      <c r="J8841" s="10"/>
      <c r="K8841" s="10"/>
      <c r="L8841" s="10"/>
    </row>
    <row r="8842" spans="1:12" ht="15" customHeight="1" x14ac:dyDescent="0.25">
      <c r="A8842" s="10"/>
      <c r="B8842" s="10"/>
      <c r="C8842" s="10"/>
      <c r="D8842" s="10"/>
      <c r="E8842" s="10"/>
      <c r="F8842" s="10"/>
      <c r="G8842" s="10"/>
      <c r="H8842" s="10"/>
      <c r="I8842" s="10"/>
      <c r="J8842" s="10"/>
      <c r="K8842" s="10"/>
      <c r="L8842" s="10"/>
    </row>
    <row r="8843" spans="1:12" ht="15" customHeight="1" x14ac:dyDescent="0.25">
      <c r="A8843" s="10"/>
      <c r="B8843" s="10"/>
      <c r="C8843" s="10"/>
      <c r="D8843" s="10"/>
      <c r="E8843" s="10"/>
      <c r="F8843" s="10"/>
      <c r="G8843" s="10"/>
      <c r="H8843" s="10"/>
      <c r="I8843" s="10"/>
      <c r="J8843" s="10"/>
      <c r="K8843" s="10"/>
      <c r="L8843" s="10"/>
    </row>
    <row r="8844" spans="1:12" ht="15" customHeight="1" x14ac:dyDescent="0.25">
      <c r="A8844" s="10"/>
      <c r="B8844" s="10"/>
      <c r="C8844" s="10"/>
      <c r="D8844" s="10"/>
      <c r="E8844" s="10"/>
      <c r="F8844" s="10"/>
      <c r="G8844" s="10"/>
      <c r="H8844" s="10"/>
      <c r="I8844" s="10"/>
      <c r="J8844" s="10"/>
      <c r="K8844" s="10"/>
      <c r="L8844" s="10"/>
    </row>
    <row r="8845" spans="1:12" ht="15" customHeight="1" x14ac:dyDescent="0.25">
      <c r="A8845" s="10"/>
      <c r="B8845" s="10"/>
      <c r="C8845" s="10"/>
      <c r="D8845" s="10"/>
      <c r="E8845" s="10"/>
      <c r="F8845" s="10"/>
      <c r="G8845" s="10"/>
      <c r="H8845" s="10"/>
      <c r="I8845" s="10"/>
      <c r="J8845" s="10"/>
      <c r="K8845" s="10"/>
      <c r="L8845" s="10"/>
    </row>
    <row r="8846" spans="1:12" ht="15" customHeight="1" x14ac:dyDescent="0.25">
      <c r="A8846" s="10"/>
      <c r="B8846" s="10"/>
      <c r="C8846" s="10"/>
      <c r="D8846" s="10"/>
      <c r="E8846" s="10"/>
      <c r="F8846" s="10"/>
      <c r="G8846" s="10"/>
      <c r="H8846" s="10"/>
      <c r="I8846" s="10"/>
      <c r="J8846" s="10"/>
      <c r="K8846" s="10"/>
      <c r="L8846" s="10"/>
    </row>
    <row r="8847" spans="1:12" ht="15" customHeight="1" x14ac:dyDescent="0.25">
      <c r="A8847" s="10"/>
      <c r="B8847" s="10"/>
      <c r="C8847" s="10"/>
      <c r="D8847" s="10"/>
      <c r="E8847" s="10"/>
      <c r="F8847" s="10"/>
      <c r="G8847" s="10"/>
      <c r="H8847" s="10"/>
      <c r="I8847" s="10"/>
      <c r="J8847" s="10"/>
      <c r="K8847" s="10"/>
      <c r="L8847" s="10"/>
    </row>
    <row r="8848" spans="1:12" ht="15" customHeight="1" x14ac:dyDescent="0.25">
      <c r="A8848" s="10"/>
      <c r="B8848" s="10"/>
      <c r="C8848" s="10"/>
      <c r="D8848" s="10"/>
      <c r="E8848" s="10"/>
      <c r="F8848" s="10"/>
      <c r="G8848" s="10"/>
      <c r="H8848" s="10"/>
      <c r="I8848" s="10"/>
      <c r="J8848" s="10"/>
      <c r="K8848" s="10"/>
      <c r="L8848" s="10"/>
    </row>
    <row r="8849" spans="1:12" ht="15" customHeight="1" x14ac:dyDescent="0.25">
      <c r="A8849" s="10"/>
      <c r="B8849" s="10"/>
      <c r="C8849" s="10"/>
      <c r="D8849" s="10"/>
      <c r="E8849" s="10"/>
      <c r="F8849" s="10"/>
      <c r="G8849" s="10"/>
      <c r="H8849" s="10"/>
      <c r="I8849" s="10"/>
      <c r="J8849" s="10"/>
      <c r="K8849" s="10"/>
      <c r="L8849" s="10"/>
    </row>
    <row r="8850" spans="1:12" ht="15" customHeight="1" x14ac:dyDescent="0.25">
      <c r="A8850" s="10"/>
      <c r="B8850" s="10"/>
      <c r="C8850" s="10"/>
      <c r="D8850" s="10"/>
      <c r="E8850" s="10"/>
      <c r="F8850" s="10"/>
      <c r="G8850" s="10"/>
      <c r="H8850" s="10"/>
      <c r="I8850" s="10"/>
      <c r="J8850" s="10"/>
      <c r="K8850" s="10"/>
      <c r="L8850" s="10"/>
    </row>
    <row r="8851" spans="1:12" ht="15" customHeight="1" x14ac:dyDescent="0.25">
      <c r="A8851" s="10"/>
      <c r="B8851" s="10"/>
      <c r="C8851" s="10"/>
      <c r="D8851" s="10"/>
      <c r="E8851" s="10"/>
      <c r="F8851" s="10"/>
      <c r="G8851" s="10"/>
      <c r="H8851" s="10"/>
      <c r="I8851" s="10"/>
      <c r="J8851" s="10"/>
      <c r="K8851" s="10"/>
      <c r="L8851" s="10"/>
    </row>
    <row r="8852" spans="1:12" ht="15" customHeight="1" x14ac:dyDescent="0.25">
      <c r="A8852" s="10"/>
      <c r="B8852" s="10"/>
      <c r="C8852" s="10"/>
      <c r="D8852" s="10"/>
      <c r="E8852" s="10"/>
      <c r="F8852" s="10"/>
      <c r="G8852" s="10"/>
      <c r="H8852" s="10"/>
      <c r="I8852" s="10"/>
      <c r="J8852" s="10"/>
      <c r="K8852" s="10"/>
      <c r="L8852" s="10"/>
    </row>
    <row r="8853" spans="1:12" ht="15" customHeight="1" x14ac:dyDescent="0.25">
      <c r="A8853" s="10"/>
      <c r="B8853" s="10"/>
      <c r="C8853" s="10"/>
      <c r="D8853" s="10"/>
      <c r="E8853" s="10"/>
      <c r="F8853" s="10"/>
      <c r="G8853" s="10"/>
      <c r="H8853" s="10"/>
      <c r="I8853" s="10"/>
      <c r="J8853" s="10"/>
      <c r="K8853" s="10"/>
      <c r="L8853" s="10"/>
    </row>
    <row r="8854" spans="1:12" ht="15" customHeight="1" x14ac:dyDescent="0.25">
      <c r="A8854" s="10"/>
      <c r="B8854" s="10"/>
      <c r="C8854" s="10"/>
      <c r="D8854" s="10"/>
      <c r="E8854" s="10"/>
      <c r="F8854" s="10"/>
      <c r="G8854" s="10"/>
      <c r="H8854" s="10"/>
      <c r="I8854" s="10"/>
      <c r="J8854" s="10"/>
      <c r="K8854" s="10"/>
      <c r="L8854" s="10"/>
    </row>
    <row r="8855" spans="1:12" ht="15" customHeight="1" x14ac:dyDescent="0.25">
      <c r="A8855" s="10"/>
      <c r="B8855" s="10"/>
      <c r="C8855" s="10"/>
      <c r="D8855" s="10"/>
      <c r="E8855" s="10"/>
      <c r="F8855" s="10"/>
      <c r="G8855" s="10"/>
      <c r="H8855" s="10"/>
      <c r="I8855" s="10"/>
      <c r="J8855" s="10"/>
      <c r="K8855" s="10"/>
      <c r="L8855" s="10"/>
    </row>
    <row r="8856" spans="1:12" ht="15" customHeight="1" x14ac:dyDescent="0.25">
      <c r="A8856" s="10"/>
      <c r="B8856" s="10"/>
      <c r="C8856" s="10"/>
      <c r="D8856" s="10"/>
      <c r="E8856" s="10"/>
      <c r="F8856" s="10"/>
      <c r="G8856" s="10"/>
      <c r="H8856" s="10"/>
      <c r="I8856" s="10"/>
      <c r="J8856" s="10"/>
      <c r="K8856" s="10"/>
      <c r="L8856" s="10"/>
    </row>
    <row r="8857" spans="1:12" ht="15" customHeight="1" x14ac:dyDescent="0.25">
      <c r="A8857" s="10"/>
      <c r="B8857" s="10"/>
      <c r="C8857" s="10"/>
      <c r="D8857" s="10"/>
      <c r="E8857" s="10"/>
      <c r="F8857" s="10"/>
      <c r="G8857" s="10"/>
      <c r="H8857" s="10"/>
      <c r="I8857" s="10"/>
      <c r="J8857" s="10"/>
      <c r="K8857" s="10"/>
      <c r="L8857" s="10"/>
    </row>
    <row r="8858" spans="1:12" ht="15" customHeight="1" x14ac:dyDescent="0.25">
      <c r="A8858" s="10"/>
      <c r="B8858" s="10"/>
      <c r="C8858" s="10"/>
      <c r="D8858" s="10"/>
      <c r="E8858" s="10"/>
      <c r="F8858" s="10"/>
      <c r="G8858" s="10"/>
      <c r="H8858" s="10"/>
      <c r="I8858" s="10"/>
      <c r="J8858" s="10"/>
      <c r="K8858" s="10"/>
      <c r="L8858" s="10"/>
    </row>
    <row r="8859" spans="1:12" ht="15" customHeight="1" x14ac:dyDescent="0.25">
      <c r="A8859" s="10"/>
      <c r="B8859" s="10"/>
      <c r="C8859" s="10"/>
      <c r="D8859" s="10"/>
      <c r="E8859" s="10"/>
      <c r="F8859" s="10"/>
      <c r="G8859" s="10"/>
      <c r="H8859" s="10"/>
      <c r="I8859" s="10"/>
      <c r="J8859" s="10"/>
      <c r="K8859" s="10"/>
      <c r="L8859" s="10"/>
    </row>
    <row r="8860" spans="1:12" ht="15" customHeight="1" x14ac:dyDescent="0.25">
      <c r="A8860" s="10"/>
      <c r="B8860" s="10"/>
      <c r="C8860" s="10"/>
      <c r="D8860" s="10"/>
      <c r="E8860" s="10"/>
      <c r="F8860" s="10"/>
      <c r="G8860" s="10"/>
      <c r="H8860" s="10"/>
      <c r="I8860" s="10"/>
      <c r="J8860" s="10"/>
      <c r="K8860" s="10"/>
      <c r="L8860" s="10"/>
    </row>
    <row r="8861" spans="1:12" ht="15" customHeight="1" x14ac:dyDescent="0.25">
      <c r="A8861" s="10"/>
      <c r="B8861" s="10"/>
      <c r="C8861" s="10"/>
      <c r="D8861" s="10"/>
      <c r="E8861" s="10"/>
      <c r="F8861" s="10"/>
      <c r="G8861" s="10"/>
      <c r="H8861" s="10"/>
      <c r="I8861" s="10"/>
      <c r="J8861" s="10"/>
      <c r="K8861" s="10"/>
      <c r="L8861" s="10"/>
    </row>
    <row r="8862" spans="1:12" ht="15" customHeight="1" x14ac:dyDescent="0.25">
      <c r="A8862" s="10"/>
      <c r="B8862" s="10"/>
      <c r="C8862" s="10"/>
      <c r="D8862" s="10"/>
      <c r="E8862" s="10"/>
      <c r="F8862" s="10"/>
      <c r="G8862" s="10"/>
      <c r="H8862" s="10"/>
      <c r="I8862" s="10"/>
      <c r="J8862" s="10"/>
      <c r="K8862" s="10"/>
      <c r="L8862" s="10"/>
    </row>
    <row r="8863" spans="1:12" ht="15" customHeight="1" x14ac:dyDescent="0.25">
      <c r="A8863" s="10"/>
      <c r="B8863" s="10"/>
      <c r="C8863" s="10"/>
      <c r="D8863" s="10"/>
      <c r="E8863" s="10"/>
      <c r="F8863" s="10"/>
      <c r="G8863" s="10"/>
      <c r="H8863" s="10"/>
      <c r="I8863" s="10"/>
      <c r="J8863" s="10"/>
      <c r="K8863" s="10"/>
      <c r="L8863" s="10"/>
    </row>
    <row r="8864" spans="1:12" ht="15" customHeight="1" x14ac:dyDescent="0.25">
      <c r="A8864" s="10"/>
      <c r="B8864" s="10"/>
      <c r="C8864" s="10"/>
      <c r="D8864" s="10"/>
      <c r="E8864" s="10"/>
      <c r="F8864" s="10"/>
      <c r="G8864" s="10"/>
      <c r="H8864" s="10"/>
      <c r="I8864" s="10"/>
      <c r="J8864" s="10"/>
      <c r="K8864" s="10"/>
      <c r="L8864" s="10"/>
    </row>
    <row r="8865" spans="1:12" ht="15" customHeight="1" x14ac:dyDescent="0.25">
      <c r="A8865" s="10"/>
      <c r="B8865" s="10"/>
      <c r="C8865" s="10"/>
      <c r="D8865" s="10"/>
      <c r="E8865" s="10"/>
      <c r="F8865" s="10"/>
      <c r="G8865" s="10"/>
      <c r="H8865" s="10"/>
      <c r="I8865" s="10"/>
      <c r="J8865" s="10"/>
      <c r="K8865" s="10"/>
      <c r="L8865" s="10"/>
    </row>
    <row r="8866" spans="1:12" ht="15" customHeight="1" x14ac:dyDescent="0.25">
      <c r="A8866" s="10"/>
      <c r="B8866" s="10"/>
      <c r="C8866" s="10"/>
      <c r="D8866" s="10"/>
      <c r="E8866" s="10"/>
      <c r="F8866" s="10"/>
      <c r="G8866" s="10"/>
      <c r="H8866" s="10"/>
      <c r="I8866" s="10"/>
      <c r="J8866" s="10"/>
      <c r="K8866" s="10"/>
      <c r="L8866" s="10"/>
    </row>
    <row r="8867" spans="1:12" ht="15" customHeight="1" x14ac:dyDescent="0.25">
      <c r="A8867" s="10"/>
      <c r="B8867" s="10"/>
      <c r="C8867" s="10"/>
      <c r="D8867" s="10"/>
      <c r="E8867" s="10"/>
      <c r="F8867" s="10"/>
      <c r="G8867" s="10"/>
      <c r="H8867" s="10"/>
      <c r="I8867" s="10"/>
      <c r="J8867" s="10"/>
      <c r="K8867" s="10"/>
      <c r="L8867" s="10"/>
    </row>
    <row r="8868" spans="1:12" ht="15" customHeight="1" x14ac:dyDescent="0.25">
      <c r="A8868" s="10"/>
      <c r="B8868" s="10"/>
      <c r="C8868" s="10"/>
      <c r="D8868" s="10"/>
      <c r="E8868" s="10"/>
      <c r="F8868" s="10"/>
      <c r="G8868" s="10"/>
      <c r="H8868" s="10"/>
      <c r="I8868" s="10"/>
      <c r="J8868" s="10"/>
      <c r="K8868" s="10"/>
      <c r="L8868" s="10"/>
    </row>
    <row r="8869" spans="1:12" ht="15" customHeight="1" x14ac:dyDescent="0.25">
      <c r="A8869" s="10"/>
      <c r="B8869" s="10"/>
      <c r="C8869" s="10"/>
      <c r="D8869" s="10"/>
      <c r="E8869" s="10"/>
      <c r="F8869" s="10"/>
      <c r="G8869" s="10"/>
      <c r="H8869" s="10"/>
      <c r="I8869" s="10"/>
      <c r="J8869" s="10"/>
      <c r="K8869" s="10"/>
      <c r="L8869" s="10"/>
    </row>
    <row r="8870" spans="1:12" ht="15" customHeight="1" x14ac:dyDescent="0.25">
      <c r="A8870" s="10"/>
      <c r="B8870" s="10"/>
      <c r="C8870" s="10"/>
      <c r="D8870" s="10"/>
      <c r="E8870" s="10"/>
      <c r="F8870" s="10"/>
      <c r="G8870" s="10"/>
      <c r="H8870" s="10"/>
      <c r="I8870" s="10"/>
      <c r="J8870" s="10"/>
      <c r="K8870" s="10"/>
      <c r="L8870" s="10"/>
    </row>
    <row r="8871" spans="1:12" ht="15" customHeight="1" x14ac:dyDescent="0.25">
      <c r="A8871" s="10"/>
      <c r="B8871" s="10"/>
      <c r="C8871" s="10"/>
      <c r="D8871" s="10"/>
      <c r="E8871" s="10"/>
      <c r="F8871" s="10"/>
      <c r="G8871" s="10"/>
      <c r="H8871" s="10"/>
      <c r="I8871" s="10"/>
      <c r="J8871" s="10"/>
      <c r="K8871" s="10"/>
      <c r="L8871" s="10"/>
    </row>
    <row r="8872" spans="1:12" ht="15" customHeight="1" x14ac:dyDescent="0.25">
      <c r="A8872" s="10"/>
      <c r="B8872" s="10"/>
      <c r="C8872" s="10"/>
      <c r="D8872" s="10"/>
      <c r="E8872" s="10"/>
      <c r="F8872" s="10"/>
      <c r="G8872" s="10"/>
      <c r="H8872" s="10"/>
      <c r="I8872" s="10"/>
      <c r="J8872" s="10"/>
      <c r="K8872" s="10"/>
      <c r="L8872" s="10"/>
    </row>
    <row r="8873" spans="1:12" ht="15" customHeight="1" x14ac:dyDescent="0.25">
      <c r="A8873" s="10"/>
      <c r="B8873" s="10"/>
      <c r="C8873" s="10"/>
      <c r="D8873" s="10"/>
      <c r="E8873" s="10"/>
      <c r="F8873" s="10"/>
      <c r="G8873" s="10"/>
      <c r="H8873" s="10"/>
      <c r="I8873" s="10"/>
      <c r="J8873" s="10"/>
      <c r="K8873" s="10"/>
      <c r="L8873" s="10"/>
    </row>
    <row r="8874" spans="1:12" ht="15" customHeight="1" x14ac:dyDescent="0.25">
      <c r="A8874" s="10"/>
      <c r="B8874" s="10"/>
      <c r="C8874" s="10"/>
      <c r="D8874" s="10"/>
      <c r="E8874" s="10"/>
      <c r="F8874" s="10"/>
      <c r="G8874" s="10"/>
      <c r="H8874" s="10"/>
      <c r="I8874" s="10"/>
      <c r="J8874" s="10"/>
      <c r="K8874" s="10"/>
      <c r="L8874" s="10"/>
    </row>
    <row r="8875" spans="1:12" ht="15" customHeight="1" x14ac:dyDescent="0.25">
      <c r="A8875" s="10"/>
      <c r="B8875" s="10"/>
      <c r="C8875" s="10"/>
      <c r="D8875" s="10"/>
      <c r="E8875" s="10"/>
      <c r="F8875" s="10"/>
      <c r="G8875" s="10"/>
      <c r="H8875" s="10"/>
      <c r="I8875" s="10"/>
      <c r="J8875" s="10"/>
      <c r="K8875" s="10"/>
      <c r="L8875" s="10"/>
    </row>
    <row r="8876" spans="1:12" ht="15" customHeight="1" x14ac:dyDescent="0.25">
      <c r="A8876" s="10"/>
      <c r="B8876" s="10"/>
      <c r="C8876" s="10"/>
      <c r="D8876" s="10"/>
      <c r="E8876" s="10"/>
      <c r="F8876" s="10"/>
      <c r="G8876" s="10"/>
      <c r="H8876" s="10"/>
      <c r="I8876" s="10"/>
      <c r="J8876" s="10"/>
      <c r="K8876" s="10"/>
      <c r="L8876" s="10"/>
    </row>
    <row r="8877" spans="1:12" ht="15" customHeight="1" x14ac:dyDescent="0.25">
      <c r="A8877" s="10"/>
      <c r="B8877" s="10"/>
      <c r="C8877" s="10"/>
      <c r="D8877" s="10"/>
      <c r="E8877" s="10"/>
      <c r="F8877" s="10"/>
      <c r="G8877" s="10"/>
      <c r="H8877" s="10"/>
      <c r="I8877" s="10"/>
      <c r="J8877" s="10"/>
      <c r="K8877" s="10"/>
      <c r="L8877" s="10"/>
    </row>
    <row r="8878" spans="1:12" ht="15" customHeight="1" x14ac:dyDescent="0.25">
      <c r="A8878" s="10"/>
      <c r="B8878" s="10"/>
      <c r="C8878" s="10"/>
      <c r="D8878" s="10"/>
      <c r="E8878" s="10"/>
      <c r="F8878" s="10"/>
      <c r="G8878" s="10"/>
      <c r="H8878" s="10"/>
      <c r="I8878" s="10"/>
      <c r="J8878" s="10"/>
      <c r="K8878" s="10"/>
      <c r="L8878" s="10"/>
    </row>
    <row r="8879" spans="1:12" ht="15" customHeight="1" x14ac:dyDescent="0.25">
      <c r="A8879" s="10"/>
      <c r="B8879" s="10"/>
      <c r="C8879" s="10"/>
      <c r="D8879" s="10"/>
      <c r="E8879" s="10"/>
      <c r="F8879" s="10"/>
      <c r="G8879" s="10"/>
      <c r="H8879" s="10"/>
      <c r="I8879" s="10"/>
      <c r="J8879" s="10"/>
      <c r="K8879" s="10"/>
      <c r="L8879" s="10"/>
    </row>
    <row r="8880" spans="1:12" ht="15" customHeight="1" x14ac:dyDescent="0.25">
      <c r="A8880" s="10"/>
      <c r="B8880" s="10"/>
      <c r="C8880" s="10"/>
      <c r="D8880" s="10"/>
      <c r="E8880" s="10"/>
      <c r="F8880" s="10"/>
      <c r="G8880" s="10"/>
      <c r="H8880" s="10"/>
      <c r="I8880" s="10"/>
      <c r="J8880" s="10"/>
      <c r="K8880" s="10"/>
      <c r="L8880" s="10"/>
    </row>
    <row r="8881" spans="1:12" ht="15" customHeight="1" x14ac:dyDescent="0.25">
      <c r="A8881" s="10"/>
      <c r="B8881" s="10"/>
      <c r="C8881" s="10"/>
      <c r="D8881" s="10"/>
      <c r="E8881" s="10"/>
      <c r="F8881" s="10"/>
      <c r="G8881" s="10"/>
      <c r="H8881" s="10"/>
      <c r="I8881" s="10"/>
      <c r="J8881" s="10"/>
      <c r="K8881" s="10"/>
      <c r="L8881" s="10"/>
    </row>
    <row r="8882" spans="1:12" ht="15" customHeight="1" x14ac:dyDescent="0.25">
      <c r="A8882" s="10"/>
      <c r="B8882" s="10"/>
      <c r="C8882" s="10"/>
      <c r="D8882" s="10"/>
      <c r="E8882" s="10"/>
      <c r="F8882" s="10"/>
      <c r="G8882" s="10"/>
      <c r="H8882" s="10"/>
      <c r="I8882" s="10"/>
      <c r="J8882" s="10"/>
      <c r="K8882" s="10"/>
      <c r="L8882" s="10"/>
    </row>
    <row r="8883" spans="1:12" ht="15" customHeight="1" x14ac:dyDescent="0.25">
      <c r="A8883" s="10"/>
      <c r="B8883" s="10"/>
      <c r="C8883" s="10"/>
      <c r="D8883" s="10"/>
      <c r="E8883" s="10"/>
      <c r="F8883" s="10"/>
      <c r="G8883" s="10"/>
      <c r="H8883" s="10"/>
      <c r="I8883" s="10"/>
      <c r="J8883" s="10"/>
      <c r="K8883" s="10"/>
      <c r="L8883" s="10"/>
    </row>
    <row r="8884" spans="1:12" ht="15" customHeight="1" x14ac:dyDescent="0.25">
      <c r="A8884" s="10"/>
      <c r="B8884" s="10"/>
      <c r="C8884" s="10"/>
      <c r="D8884" s="10"/>
      <c r="E8884" s="10"/>
      <c r="F8884" s="10"/>
      <c r="G8884" s="10"/>
      <c r="H8884" s="10"/>
      <c r="I8884" s="10"/>
      <c r="J8884" s="10"/>
      <c r="K8884" s="10"/>
      <c r="L8884" s="10"/>
    </row>
    <row r="8885" spans="1:12" ht="15" customHeight="1" x14ac:dyDescent="0.25">
      <c r="A8885" s="10"/>
      <c r="B8885" s="10"/>
      <c r="C8885" s="10"/>
      <c r="D8885" s="10"/>
      <c r="E8885" s="10"/>
      <c r="F8885" s="10"/>
      <c r="G8885" s="10"/>
      <c r="H8885" s="10"/>
      <c r="I8885" s="10"/>
      <c r="J8885" s="10"/>
      <c r="K8885" s="10"/>
      <c r="L8885" s="10"/>
    </row>
    <row r="8886" spans="1:12" ht="15" customHeight="1" x14ac:dyDescent="0.25">
      <c r="A8886" s="10"/>
      <c r="B8886" s="10"/>
      <c r="C8886" s="10"/>
      <c r="D8886" s="10"/>
      <c r="E8886" s="10"/>
      <c r="F8886" s="10"/>
      <c r="G8886" s="10"/>
      <c r="H8886" s="10"/>
      <c r="I8886" s="10"/>
      <c r="J8886" s="10"/>
      <c r="K8886" s="10"/>
      <c r="L8886" s="10"/>
    </row>
    <row r="8887" spans="1:12" ht="15" customHeight="1" x14ac:dyDescent="0.25">
      <c r="A8887" s="10"/>
      <c r="B8887" s="10"/>
      <c r="C8887" s="10"/>
      <c r="D8887" s="10"/>
      <c r="E8887" s="10"/>
      <c r="F8887" s="10"/>
      <c r="G8887" s="10"/>
      <c r="H8887" s="10"/>
      <c r="I8887" s="10"/>
      <c r="J8887" s="10"/>
      <c r="K8887" s="10"/>
      <c r="L8887" s="10"/>
    </row>
    <row r="8888" spans="1:12" ht="15" customHeight="1" x14ac:dyDescent="0.25">
      <c r="A8888" s="10"/>
      <c r="B8888" s="10"/>
      <c r="C8888" s="10"/>
      <c r="D8888" s="10"/>
      <c r="E8888" s="10"/>
      <c r="F8888" s="10"/>
      <c r="G8888" s="10"/>
      <c r="H8888" s="10"/>
      <c r="I8888" s="10"/>
      <c r="J8888" s="10"/>
      <c r="K8888" s="10"/>
      <c r="L8888" s="10"/>
    </row>
    <row r="8889" spans="1:12" ht="15" customHeight="1" x14ac:dyDescent="0.25">
      <c r="A8889" s="10"/>
      <c r="B8889" s="10"/>
      <c r="C8889" s="10"/>
      <c r="D8889" s="10"/>
      <c r="E8889" s="10"/>
      <c r="F8889" s="10"/>
      <c r="G8889" s="10"/>
      <c r="H8889" s="10"/>
      <c r="I8889" s="10"/>
      <c r="J8889" s="10"/>
      <c r="K8889" s="10"/>
      <c r="L8889" s="10"/>
    </row>
    <row r="8890" spans="1:12" ht="15" customHeight="1" x14ac:dyDescent="0.25">
      <c r="A8890" s="10"/>
      <c r="B8890" s="10"/>
      <c r="C8890" s="10"/>
      <c r="D8890" s="10"/>
      <c r="E8890" s="10"/>
      <c r="F8890" s="10"/>
      <c r="G8890" s="10"/>
      <c r="H8890" s="10"/>
      <c r="I8890" s="10"/>
      <c r="J8890" s="10"/>
      <c r="K8890" s="10"/>
      <c r="L8890" s="10"/>
    </row>
    <row r="8891" spans="1:12" ht="15" customHeight="1" x14ac:dyDescent="0.25">
      <c r="A8891" s="10"/>
      <c r="B8891" s="10"/>
      <c r="C8891" s="10"/>
      <c r="D8891" s="10"/>
      <c r="E8891" s="10"/>
      <c r="F8891" s="10"/>
      <c r="G8891" s="10"/>
      <c r="H8891" s="10"/>
      <c r="I8891" s="10"/>
      <c r="J8891" s="10"/>
      <c r="K8891" s="10"/>
      <c r="L8891" s="10"/>
    </row>
    <row r="8892" spans="1:12" ht="15" customHeight="1" x14ac:dyDescent="0.25">
      <c r="A8892" s="10"/>
      <c r="B8892" s="10"/>
      <c r="C8892" s="10"/>
      <c r="D8892" s="10"/>
      <c r="E8892" s="10"/>
      <c r="F8892" s="10"/>
      <c r="G8892" s="10"/>
      <c r="H8892" s="10"/>
      <c r="I8892" s="10"/>
      <c r="J8892" s="10"/>
      <c r="K8892" s="10"/>
      <c r="L8892" s="10"/>
    </row>
    <row r="8893" spans="1:12" ht="15" customHeight="1" x14ac:dyDescent="0.25">
      <c r="A8893" s="10"/>
      <c r="B8893" s="10"/>
      <c r="C8893" s="10"/>
      <c r="D8893" s="10"/>
      <c r="E8893" s="10"/>
      <c r="F8893" s="10"/>
      <c r="G8893" s="10"/>
      <c r="H8893" s="10"/>
      <c r="I8893" s="10"/>
      <c r="J8893" s="10"/>
      <c r="K8893" s="10"/>
      <c r="L8893" s="10"/>
    </row>
    <row r="8894" spans="1:12" ht="15" customHeight="1" x14ac:dyDescent="0.25">
      <c r="A8894" s="10"/>
      <c r="B8894" s="10"/>
      <c r="C8894" s="10"/>
      <c r="D8894" s="10"/>
      <c r="E8894" s="10"/>
      <c r="F8894" s="10"/>
      <c r="G8894" s="10"/>
      <c r="H8894" s="10"/>
      <c r="I8894" s="10"/>
      <c r="J8894" s="10"/>
      <c r="K8894" s="10"/>
      <c r="L8894" s="10"/>
    </row>
    <row r="8895" spans="1:12" ht="15" customHeight="1" x14ac:dyDescent="0.25">
      <c r="A8895" s="10"/>
      <c r="B8895" s="10"/>
      <c r="C8895" s="10"/>
      <c r="D8895" s="10"/>
      <c r="E8895" s="10"/>
      <c r="F8895" s="10"/>
      <c r="G8895" s="10"/>
      <c r="H8895" s="10"/>
      <c r="I8895" s="10"/>
      <c r="J8895" s="10"/>
      <c r="K8895" s="10"/>
      <c r="L8895" s="10"/>
    </row>
    <row r="8896" spans="1:12" ht="15" customHeight="1" x14ac:dyDescent="0.25">
      <c r="A8896" s="10"/>
      <c r="B8896" s="10"/>
      <c r="C8896" s="10"/>
      <c r="D8896" s="10"/>
      <c r="E8896" s="10"/>
      <c r="F8896" s="10"/>
      <c r="G8896" s="10"/>
      <c r="H8896" s="10"/>
      <c r="I8896" s="10"/>
      <c r="J8896" s="10"/>
      <c r="K8896" s="10"/>
      <c r="L8896" s="10"/>
    </row>
    <row r="8897" spans="1:12" ht="15" customHeight="1" x14ac:dyDescent="0.25">
      <c r="A8897" s="10"/>
      <c r="B8897" s="10"/>
      <c r="C8897" s="10"/>
      <c r="D8897" s="10"/>
      <c r="E8897" s="10"/>
      <c r="F8897" s="10"/>
      <c r="G8897" s="10"/>
      <c r="H8897" s="10"/>
      <c r="I8897" s="10"/>
      <c r="J8897" s="10"/>
      <c r="K8897" s="10"/>
      <c r="L8897" s="10"/>
    </row>
    <row r="8898" spans="1:12" ht="15" customHeight="1" x14ac:dyDescent="0.25">
      <c r="A8898" s="10"/>
      <c r="B8898" s="10"/>
      <c r="C8898" s="10"/>
      <c r="D8898" s="10"/>
      <c r="E8898" s="10"/>
      <c r="F8898" s="10"/>
      <c r="G8898" s="10"/>
      <c r="H8898" s="10"/>
      <c r="I8898" s="10"/>
      <c r="J8898" s="10"/>
      <c r="K8898" s="10"/>
      <c r="L8898" s="10"/>
    </row>
    <row r="8899" spans="1:12" ht="15" customHeight="1" x14ac:dyDescent="0.25">
      <c r="A8899" s="10"/>
      <c r="B8899" s="10"/>
      <c r="C8899" s="10"/>
      <c r="D8899" s="10"/>
      <c r="E8899" s="10"/>
      <c r="F8899" s="10"/>
      <c r="G8899" s="10"/>
      <c r="H8899" s="10"/>
      <c r="I8899" s="10"/>
      <c r="J8899" s="10"/>
      <c r="K8899" s="10"/>
      <c r="L8899" s="10"/>
    </row>
    <row r="8900" spans="1:12" ht="15" customHeight="1" x14ac:dyDescent="0.25">
      <c r="A8900" s="10"/>
      <c r="B8900" s="10"/>
      <c r="C8900" s="10"/>
      <c r="D8900" s="10"/>
      <c r="E8900" s="10"/>
      <c r="F8900" s="10"/>
      <c r="G8900" s="10"/>
      <c r="H8900" s="10"/>
      <c r="I8900" s="10"/>
      <c r="J8900" s="10"/>
      <c r="K8900" s="10"/>
      <c r="L8900" s="10"/>
    </row>
    <row r="8901" spans="1:12" ht="15" customHeight="1" x14ac:dyDescent="0.25">
      <c r="A8901" s="10"/>
      <c r="B8901" s="10"/>
      <c r="C8901" s="10"/>
      <c r="D8901" s="10"/>
      <c r="E8901" s="10"/>
      <c r="F8901" s="10"/>
      <c r="G8901" s="10"/>
      <c r="H8901" s="10"/>
      <c r="I8901" s="10"/>
      <c r="J8901" s="10"/>
      <c r="K8901" s="10"/>
      <c r="L8901" s="10"/>
    </row>
    <row r="8902" spans="1:12" ht="15" customHeight="1" x14ac:dyDescent="0.25">
      <c r="A8902" s="10"/>
      <c r="B8902" s="10"/>
      <c r="C8902" s="10"/>
      <c r="D8902" s="10"/>
      <c r="E8902" s="10"/>
      <c r="F8902" s="10"/>
      <c r="G8902" s="10"/>
      <c r="H8902" s="10"/>
      <c r="I8902" s="10"/>
      <c r="J8902" s="10"/>
      <c r="K8902" s="10"/>
      <c r="L8902" s="10"/>
    </row>
    <row r="8903" spans="1:12" ht="15" customHeight="1" x14ac:dyDescent="0.25">
      <c r="A8903" s="10"/>
      <c r="B8903" s="10"/>
      <c r="C8903" s="10"/>
      <c r="D8903" s="10"/>
      <c r="E8903" s="10"/>
      <c r="F8903" s="10"/>
      <c r="G8903" s="10"/>
      <c r="H8903" s="10"/>
      <c r="I8903" s="10"/>
      <c r="J8903" s="10"/>
      <c r="K8903" s="10"/>
      <c r="L8903" s="10"/>
    </row>
    <row r="8904" spans="1:12" ht="15" customHeight="1" x14ac:dyDescent="0.25">
      <c r="A8904" s="10"/>
      <c r="B8904" s="10"/>
      <c r="C8904" s="10"/>
      <c r="D8904" s="10"/>
      <c r="E8904" s="10"/>
      <c r="F8904" s="10"/>
      <c r="G8904" s="10"/>
      <c r="H8904" s="10"/>
      <c r="I8904" s="10"/>
      <c r="J8904" s="10"/>
      <c r="K8904" s="10"/>
      <c r="L8904" s="10"/>
    </row>
    <row r="8905" spans="1:12" ht="15" customHeight="1" x14ac:dyDescent="0.25">
      <c r="A8905" s="10"/>
      <c r="B8905" s="10"/>
      <c r="C8905" s="10"/>
      <c r="D8905" s="10"/>
      <c r="E8905" s="10"/>
      <c r="F8905" s="10"/>
      <c r="G8905" s="10"/>
      <c r="H8905" s="10"/>
      <c r="I8905" s="10"/>
      <c r="J8905" s="10"/>
      <c r="K8905" s="10"/>
      <c r="L8905" s="10"/>
    </row>
    <row r="8906" spans="1:12" ht="15" customHeight="1" x14ac:dyDescent="0.25">
      <c r="A8906" s="10"/>
      <c r="B8906" s="10"/>
      <c r="C8906" s="10"/>
      <c r="D8906" s="10"/>
      <c r="E8906" s="10"/>
      <c r="F8906" s="10"/>
      <c r="G8906" s="10"/>
      <c r="H8906" s="10"/>
      <c r="I8906" s="10"/>
      <c r="J8906" s="10"/>
      <c r="K8906" s="10"/>
      <c r="L8906" s="10"/>
    </row>
    <row r="8907" spans="1:12" ht="15" customHeight="1" x14ac:dyDescent="0.25">
      <c r="A8907" s="10"/>
      <c r="B8907" s="10"/>
      <c r="C8907" s="10"/>
      <c r="D8907" s="10"/>
      <c r="E8907" s="10"/>
      <c r="F8907" s="10"/>
      <c r="G8907" s="10"/>
      <c r="H8907" s="10"/>
      <c r="I8907" s="10"/>
      <c r="J8907" s="10"/>
      <c r="K8907" s="10"/>
      <c r="L8907" s="10"/>
    </row>
    <row r="8908" spans="1:12" ht="15" customHeight="1" x14ac:dyDescent="0.25">
      <c r="A8908" s="10"/>
      <c r="B8908" s="10"/>
      <c r="C8908" s="10"/>
      <c r="D8908" s="10"/>
      <c r="E8908" s="10"/>
      <c r="F8908" s="10"/>
      <c r="G8908" s="10"/>
      <c r="H8908" s="10"/>
      <c r="I8908" s="10"/>
      <c r="J8908" s="10"/>
      <c r="K8908" s="10"/>
      <c r="L8908" s="10"/>
    </row>
    <row r="8909" spans="1:12" ht="15" customHeight="1" x14ac:dyDescent="0.25">
      <c r="A8909" s="10"/>
      <c r="B8909" s="10"/>
      <c r="C8909" s="10"/>
      <c r="D8909" s="10"/>
      <c r="E8909" s="10"/>
      <c r="F8909" s="10"/>
      <c r="G8909" s="10"/>
      <c r="H8909" s="10"/>
      <c r="I8909" s="10"/>
      <c r="J8909" s="10"/>
      <c r="K8909" s="10"/>
      <c r="L8909" s="10"/>
    </row>
    <row r="8910" spans="1:12" ht="15" customHeight="1" x14ac:dyDescent="0.25">
      <c r="A8910" s="10"/>
      <c r="B8910" s="10"/>
      <c r="C8910" s="10"/>
      <c r="D8910" s="10"/>
      <c r="E8910" s="10"/>
      <c r="F8910" s="10"/>
      <c r="G8910" s="10"/>
      <c r="H8910" s="10"/>
      <c r="I8910" s="10"/>
      <c r="J8910" s="10"/>
      <c r="K8910" s="10"/>
      <c r="L8910" s="10"/>
    </row>
    <row r="8911" spans="1:12" ht="15" customHeight="1" x14ac:dyDescent="0.25">
      <c r="A8911" s="10"/>
      <c r="B8911" s="10"/>
      <c r="C8911" s="10"/>
      <c r="D8911" s="10"/>
      <c r="E8911" s="10"/>
      <c r="F8911" s="10"/>
      <c r="G8911" s="10"/>
      <c r="H8911" s="10"/>
      <c r="I8911" s="10"/>
      <c r="J8911" s="10"/>
      <c r="K8911" s="10"/>
      <c r="L8911" s="10"/>
    </row>
    <row r="8912" spans="1:12" ht="15" customHeight="1" x14ac:dyDescent="0.25">
      <c r="A8912" s="10"/>
      <c r="B8912" s="10"/>
      <c r="C8912" s="10"/>
      <c r="D8912" s="10"/>
      <c r="E8912" s="10"/>
      <c r="F8912" s="10"/>
      <c r="G8912" s="10"/>
      <c r="H8912" s="10"/>
      <c r="I8912" s="10"/>
      <c r="J8912" s="10"/>
      <c r="K8912" s="10"/>
      <c r="L8912" s="10"/>
    </row>
    <row r="8913" spans="1:12" ht="15" customHeight="1" x14ac:dyDescent="0.25">
      <c r="A8913" s="10"/>
      <c r="B8913" s="10"/>
      <c r="C8913" s="10"/>
      <c r="D8913" s="10"/>
      <c r="E8913" s="10"/>
      <c r="F8913" s="10"/>
      <c r="G8913" s="10"/>
      <c r="H8913" s="10"/>
      <c r="I8913" s="10"/>
      <c r="J8913" s="10"/>
      <c r="K8913" s="10"/>
      <c r="L8913" s="10"/>
    </row>
    <row r="8914" spans="1:12" ht="15" customHeight="1" x14ac:dyDescent="0.25">
      <c r="A8914" s="10"/>
      <c r="B8914" s="10"/>
      <c r="C8914" s="10"/>
      <c r="D8914" s="10"/>
      <c r="E8914" s="10"/>
      <c r="F8914" s="10"/>
      <c r="G8914" s="10"/>
      <c r="H8914" s="10"/>
      <c r="I8914" s="10"/>
      <c r="J8914" s="10"/>
      <c r="K8914" s="10"/>
      <c r="L8914" s="10"/>
    </row>
    <row r="8915" spans="1:12" ht="15" customHeight="1" x14ac:dyDescent="0.25">
      <c r="A8915" s="10"/>
      <c r="B8915" s="10"/>
      <c r="C8915" s="10"/>
      <c r="D8915" s="10"/>
      <c r="E8915" s="10"/>
      <c r="F8915" s="10"/>
      <c r="G8915" s="10"/>
      <c r="H8915" s="10"/>
      <c r="I8915" s="10"/>
      <c r="J8915" s="10"/>
      <c r="K8915" s="10"/>
      <c r="L8915" s="10"/>
    </row>
    <row r="8916" spans="1:12" ht="15" customHeight="1" x14ac:dyDescent="0.25">
      <c r="A8916" s="10"/>
      <c r="B8916" s="10"/>
      <c r="C8916" s="10"/>
      <c r="D8916" s="10"/>
      <c r="E8916" s="10"/>
      <c r="F8916" s="10"/>
      <c r="G8916" s="10"/>
      <c r="H8916" s="10"/>
      <c r="I8916" s="10"/>
      <c r="J8916" s="10"/>
      <c r="K8916" s="10"/>
      <c r="L8916" s="10"/>
    </row>
    <row r="8917" spans="1:12" ht="15" customHeight="1" x14ac:dyDescent="0.25">
      <c r="A8917" s="10"/>
      <c r="B8917" s="10"/>
      <c r="C8917" s="10"/>
      <c r="D8917" s="10"/>
      <c r="E8917" s="10"/>
      <c r="F8917" s="10"/>
      <c r="G8917" s="10"/>
      <c r="H8917" s="10"/>
      <c r="I8917" s="10"/>
      <c r="J8917" s="10"/>
      <c r="K8917" s="10"/>
      <c r="L8917" s="10"/>
    </row>
    <row r="8918" spans="1:12" ht="15" customHeight="1" x14ac:dyDescent="0.25">
      <c r="A8918" s="10"/>
      <c r="B8918" s="10"/>
      <c r="C8918" s="10"/>
      <c r="D8918" s="10"/>
      <c r="E8918" s="10"/>
      <c r="F8918" s="10"/>
      <c r="G8918" s="10"/>
      <c r="H8918" s="10"/>
      <c r="I8918" s="10"/>
      <c r="J8918" s="10"/>
      <c r="K8918" s="10"/>
      <c r="L8918" s="10"/>
    </row>
    <row r="8919" spans="1:12" ht="15" customHeight="1" x14ac:dyDescent="0.25">
      <c r="A8919" s="10"/>
      <c r="B8919" s="10"/>
      <c r="C8919" s="10"/>
      <c r="D8919" s="10"/>
      <c r="E8919" s="10"/>
      <c r="F8919" s="10"/>
      <c r="G8919" s="10"/>
      <c r="H8919" s="10"/>
      <c r="I8919" s="10"/>
      <c r="J8919" s="10"/>
      <c r="K8919" s="10"/>
      <c r="L8919" s="10"/>
    </row>
    <row r="8920" spans="1:12" ht="15" customHeight="1" x14ac:dyDescent="0.25">
      <c r="A8920" s="10"/>
      <c r="B8920" s="10"/>
      <c r="C8920" s="10"/>
      <c r="D8920" s="10"/>
      <c r="E8920" s="10"/>
      <c r="F8920" s="10"/>
      <c r="G8920" s="10"/>
      <c r="H8920" s="10"/>
      <c r="I8920" s="10"/>
      <c r="J8920" s="10"/>
      <c r="K8920" s="10"/>
      <c r="L8920" s="10"/>
    </row>
    <row r="8921" spans="1:12" ht="15" customHeight="1" x14ac:dyDescent="0.25">
      <c r="A8921" s="10"/>
      <c r="B8921" s="10"/>
      <c r="C8921" s="10"/>
      <c r="D8921" s="10"/>
      <c r="E8921" s="10"/>
      <c r="F8921" s="10"/>
      <c r="G8921" s="10"/>
      <c r="H8921" s="10"/>
      <c r="I8921" s="10"/>
      <c r="J8921" s="10"/>
      <c r="K8921" s="10"/>
      <c r="L8921" s="10"/>
    </row>
    <row r="8922" spans="1:12" ht="15" customHeight="1" x14ac:dyDescent="0.25">
      <c r="A8922" s="10"/>
      <c r="B8922" s="10"/>
      <c r="C8922" s="10"/>
      <c r="D8922" s="10"/>
      <c r="E8922" s="10"/>
      <c r="F8922" s="10"/>
      <c r="G8922" s="10"/>
      <c r="H8922" s="10"/>
      <c r="I8922" s="10"/>
      <c r="J8922" s="10"/>
      <c r="K8922" s="10"/>
      <c r="L8922" s="10"/>
    </row>
    <row r="8923" spans="1:12" ht="15" customHeight="1" x14ac:dyDescent="0.25">
      <c r="A8923" s="10"/>
      <c r="B8923" s="10"/>
      <c r="C8923" s="10"/>
      <c r="D8923" s="10"/>
      <c r="E8923" s="10"/>
      <c r="F8923" s="10"/>
      <c r="G8923" s="10"/>
      <c r="H8923" s="10"/>
      <c r="I8923" s="10"/>
      <c r="J8923" s="10"/>
      <c r="K8923" s="10"/>
      <c r="L8923" s="10"/>
    </row>
    <row r="8924" spans="1:12" ht="15" customHeight="1" x14ac:dyDescent="0.25">
      <c r="A8924" s="10"/>
      <c r="B8924" s="10"/>
      <c r="C8924" s="10"/>
      <c r="D8924" s="10"/>
      <c r="E8924" s="10"/>
      <c r="F8924" s="10"/>
      <c r="G8924" s="10"/>
      <c r="H8924" s="10"/>
      <c r="I8924" s="10"/>
      <c r="J8924" s="10"/>
      <c r="K8924" s="10"/>
      <c r="L8924" s="10"/>
    </row>
    <row r="8925" spans="1:12" ht="15" customHeight="1" x14ac:dyDescent="0.25">
      <c r="A8925" s="10"/>
      <c r="B8925" s="10"/>
      <c r="C8925" s="10"/>
      <c r="D8925" s="10"/>
      <c r="E8925" s="10"/>
      <c r="F8925" s="10"/>
      <c r="G8925" s="10"/>
      <c r="H8925" s="10"/>
      <c r="I8925" s="10"/>
      <c r="J8925" s="10"/>
      <c r="K8925" s="10"/>
      <c r="L8925" s="10"/>
    </row>
    <row r="8926" spans="1:12" ht="15" customHeight="1" x14ac:dyDescent="0.25">
      <c r="A8926" s="10"/>
      <c r="B8926" s="10"/>
      <c r="C8926" s="10"/>
      <c r="D8926" s="10"/>
      <c r="E8926" s="10"/>
      <c r="F8926" s="10"/>
      <c r="G8926" s="10"/>
      <c r="H8926" s="10"/>
      <c r="I8926" s="10"/>
      <c r="J8926" s="10"/>
      <c r="K8926" s="10"/>
      <c r="L8926" s="10"/>
    </row>
    <row r="8927" spans="1:12" ht="15" customHeight="1" x14ac:dyDescent="0.25">
      <c r="A8927" s="10"/>
      <c r="B8927" s="10"/>
      <c r="C8927" s="10"/>
      <c r="D8927" s="10"/>
      <c r="E8927" s="10"/>
      <c r="F8927" s="10"/>
      <c r="G8927" s="10"/>
      <c r="H8927" s="10"/>
      <c r="I8927" s="10"/>
      <c r="J8927" s="10"/>
      <c r="K8927" s="10"/>
      <c r="L8927" s="10"/>
    </row>
    <row r="8928" spans="1:12" ht="15" customHeight="1" x14ac:dyDescent="0.25">
      <c r="A8928" s="10"/>
      <c r="B8928" s="10"/>
      <c r="C8928" s="10"/>
      <c r="D8928" s="10"/>
      <c r="E8928" s="10"/>
      <c r="F8928" s="10"/>
      <c r="G8928" s="10"/>
      <c r="H8928" s="10"/>
      <c r="I8928" s="10"/>
      <c r="J8928" s="10"/>
      <c r="K8928" s="10"/>
      <c r="L8928" s="10"/>
    </row>
    <row r="8929" spans="1:12" ht="15" customHeight="1" x14ac:dyDescent="0.25">
      <c r="A8929" s="10"/>
      <c r="B8929" s="10"/>
      <c r="C8929" s="10"/>
      <c r="D8929" s="10"/>
      <c r="E8929" s="10"/>
      <c r="F8929" s="10"/>
      <c r="G8929" s="10"/>
      <c r="H8929" s="10"/>
      <c r="I8929" s="10"/>
      <c r="J8929" s="10"/>
      <c r="K8929" s="10"/>
      <c r="L8929" s="10"/>
    </row>
    <row r="8930" spans="1:12" ht="15" customHeight="1" x14ac:dyDescent="0.25">
      <c r="A8930" s="10"/>
      <c r="B8930" s="10"/>
      <c r="C8930" s="10"/>
      <c r="D8930" s="10"/>
      <c r="E8930" s="10"/>
      <c r="F8930" s="10"/>
      <c r="G8930" s="10"/>
      <c r="H8930" s="10"/>
      <c r="I8930" s="10"/>
      <c r="J8930" s="10"/>
      <c r="K8930" s="10"/>
      <c r="L8930" s="10"/>
    </row>
    <row r="8931" spans="1:12" ht="15" customHeight="1" x14ac:dyDescent="0.25">
      <c r="A8931" s="10"/>
      <c r="B8931" s="10"/>
      <c r="C8931" s="10"/>
      <c r="D8931" s="10"/>
      <c r="E8931" s="10"/>
      <c r="F8931" s="10"/>
      <c r="G8931" s="10"/>
      <c r="H8931" s="10"/>
      <c r="I8931" s="10"/>
      <c r="J8931" s="10"/>
      <c r="K8931" s="10"/>
      <c r="L8931" s="10"/>
    </row>
    <row r="8932" spans="1:12" ht="15" customHeight="1" x14ac:dyDescent="0.25">
      <c r="A8932" s="10"/>
      <c r="B8932" s="10"/>
      <c r="C8932" s="10"/>
      <c r="D8932" s="10"/>
      <c r="E8932" s="10"/>
      <c r="F8932" s="10"/>
      <c r="G8932" s="10"/>
      <c r="H8932" s="10"/>
      <c r="I8932" s="10"/>
      <c r="J8932" s="10"/>
      <c r="K8932" s="10"/>
      <c r="L8932" s="10"/>
    </row>
    <row r="8933" spans="1:12" ht="15" customHeight="1" x14ac:dyDescent="0.25">
      <c r="A8933" s="10"/>
      <c r="B8933" s="10"/>
      <c r="C8933" s="10"/>
      <c r="D8933" s="10"/>
      <c r="E8933" s="10"/>
      <c r="F8933" s="10"/>
      <c r="G8933" s="10"/>
      <c r="H8933" s="10"/>
      <c r="I8933" s="10"/>
      <c r="J8933" s="10"/>
      <c r="K8933" s="10"/>
      <c r="L8933" s="10"/>
    </row>
    <row r="8934" spans="1:12" ht="15" customHeight="1" x14ac:dyDescent="0.25">
      <c r="A8934" s="10"/>
      <c r="B8934" s="10"/>
      <c r="C8934" s="10"/>
      <c r="D8934" s="10"/>
      <c r="E8934" s="10"/>
      <c r="F8934" s="10"/>
      <c r="G8934" s="10"/>
      <c r="H8934" s="10"/>
      <c r="I8934" s="10"/>
      <c r="J8934" s="10"/>
      <c r="K8934" s="10"/>
      <c r="L8934" s="10"/>
    </row>
    <row r="8935" spans="1:12" ht="15" customHeight="1" x14ac:dyDescent="0.25">
      <c r="A8935" s="10"/>
      <c r="B8935" s="10"/>
      <c r="C8935" s="10"/>
      <c r="D8935" s="10"/>
      <c r="E8935" s="10"/>
      <c r="F8935" s="10"/>
      <c r="G8935" s="10"/>
      <c r="H8935" s="10"/>
      <c r="I8935" s="10"/>
      <c r="J8935" s="10"/>
      <c r="K8935" s="10"/>
      <c r="L8935" s="10"/>
    </row>
    <row r="8936" spans="1:12" ht="15" customHeight="1" x14ac:dyDescent="0.25">
      <c r="A8936" s="10"/>
      <c r="B8936" s="10"/>
      <c r="C8936" s="10"/>
      <c r="D8936" s="10"/>
      <c r="E8936" s="10"/>
      <c r="F8936" s="10"/>
      <c r="G8936" s="10"/>
      <c r="H8936" s="10"/>
      <c r="I8936" s="10"/>
      <c r="J8936" s="10"/>
      <c r="K8936" s="10"/>
      <c r="L8936" s="10"/>
    </row>
    <row r="8937" spans="1:12" ht="15" customHeight="1" x14ac:dyDescent="0.25">
      <c r="A8937" s="10"/>
      <c r="B8937" s="10"/>
      <c r="C8937" s="10"/>
      <c r="D8937" s="10"/>
      <c r="E8937" s="10"/>
      <c r="F8937" s="10"/>
      <c r="G8937" s="10"/>
      <c r="H8937" s="10"/>
      <c r="I8937" s="10"/>
      <c r="J8937" s="10"/>
      <c r="K8937" s="10"/>
      <c r="L8937" s="10"/>
    </row>
    <row r="8938" spans="1:12" ht="15" customHeight="1" x14ac:dyDescent="0.25">
      <c r="A8938" s="10"/>
      <c r="B8938" s="10"/>
      <c r="C8938" s="10"/>
      <c r="D8938" s="10"/>
      <c r="E8938" s="10"/>
      <c r="F8938" s="10"/>
      <c r="G8938" s="10"/>
      <c r="H8938" s="10"/>
      <c r="I8938" s="10"/>
      <c r="J8938" s="10"/>
      <c r="K8938" s="10"/>
      <c r="L8938" s="10"/>
    </row>
    <row r="8939" spans="1:12" ht="15" customHeight="1" x14ac:dyDescent="0.25">
      <c r="A8939" s="10"/>
      <c r="B8939" s="10"/>
      <c r="C8939" s="10"/>
      <c r="D8939" s="10"/>
      <c r="E8939" s="10"/>
      <c r="F8939" s="10"/>
      <c r="G8939" s="10"/>
      <c r="H8939" s="10"/>
      <c r="I8939" s="10"/>
      <c r="J8939" s="10"/>
      <c r="K8939" s="10"/>
      <c r="L8939" s="10"/>
    </row>
    <row r="8940" spans="1:12" ht="15" customHeight="1" x14ac:dyDescent="0.25">
      <c r="A8940" s="10"/>
      <c r="B8940" s="10"/>
      <c r="C8940" s="10"/>
      <c r="D8940" s="10"/>
      <c r="E8940" s="10"/>
      <c r="F8940" s="10"/>
      <c r="G8940" s="10"/>
      <c r="H8940" s="10"/>
      <c r="I8940" s="10"/>
      <c r="J8940" s="10"/>
      <c r="K8940" s="10"/>
      <c r="L8940" s="10"/>
    </row>
    <row r="8941" spans="1:12" ht="15" customHeight="1" x14ac:dyDescent="0.25">
      <c r="A8941" s="10"/>
      <c r="B8941" s="10"/>
      <c r="C8941" s="10"/>
      <c r="D8941" s="10"/>
      <c r="E8941" s="10"/>
      <c r="F8941" s="10"/>
      <c r="G8941" s="10"/>
      <c r="H8941" s="10"/>
      <c r="I8941" s="10"/>
      <c r="J8941" s="10"/>
      <c r="K8941" s="10"/>
      <c r="L8941" s="10"/>
    </row>
    <row r="8942" spans="1:12" ht="15" customHeight="1" x14ac:dyDescent="0.25">
      <c r="A8942" s="10"/>
      <c r="B8942" s="10"/>
      <c r="C8942" s="10"/>
      <c r="D8942" s="10"/>
      <c r="E8942" s="10"/>
      <c r="F8942" s="10"/>
      <c r="G8942" s="10"/>
      <c r="H8942" s="10"/>
      <c r="I8942" s="10"/>
      <c r="J8942" s="10"/>
      <c r="K8942" s="10"/>
      <c r="L8942" s="10"/>
    </row>
    <row r="8943" spans="1:12" ht="15" customHeight="1" x14ac:dyDescent="0.25">
      <c r="A8943" s="10"/>
      <c r="B8943" s="10"/>
      <c r="C8943" s="10"/>
      <c r="D8943" s="10"/>
      <c r="E8943" s="10"/>
      <c r="F8943" s="10"/>
      <c r="G8943" s="10"/>
      <c r="H8943" s="10"/>
      <c r="I8943" s="10"/>
      <c r="J8943" s="10"/>
      <c r="K8943" s="10"/>
      <c r="L8943" s="10"/>
    </row>
    <row r="8944" spans="1:12" ht="15" customHeight="1" x14ac:dyDescent="0.25">
      <c r="A8944" s="10"/>
      <c r="B8944" s="10"/>
      <c r="C8944" s="10"/>
      <c r="D8944" s="10"/>
      <c r="E8944" s="10"/>
      <c r="F8944" s="10"/>
      <c r="G8944" s="10"/>
      <c r="H8944" s="10"/>
      <c r="I8944" s="10"/>
      <c r="J8944" s="10"/>
      <c r="K8944" s="10"/>
      <c r="L8944" s="10"/>
    </row>
    <row r="8945" spans="1:12" ht="15" customHeight="1" x14ac:dyDescent="0.25">
      <c r="A8945" s="10"/>
      <c r="B8945" s="10"/>
      <c r="C8945" s="10"/>
      <c r="D8945" s="10"/>
      <c r="E8945" s="10"/>
      <c r="F8945" s="10"/>
      <c r="G8945" s="10"/>
      <c r="H8945" s="10"/>
      <c r="I8945" s="10"/>
      <c r="J8945" s="10"/>
      <c r="K8945" s="10"/>
      <c r="L8945" s="10"/>
    </row>
    <row r="8946" spans="1:12" ht="15" customHeight="1" x14ac:dyDescent="0.25">
      <c r="A8946" s="10"/>
      <c r="B8946" s="10"/>
      <c r="C8946" s="10"/>
      <c r="D8946" s="10"/>
      <c r="E8946" s="10"/>
      <c r="F8946" s="10"/>
      <c r="G8946" s="10"/>
      <c r="H8946" s="10"/>
      <c r="I8946" s="10"/>
      <c r="J8946" s="10"/>
      <c r="K8946" s="10"/>
      <c r="L8946" s="10"/>
    </row>
    <row r="8947" spans="1:12" ht="15" customHeight="1" x14ac:dyDescent="0.25">
      <c r="A8947" s="10"/>
      <c r="B8947" s="10"/>
      <c r="C8947" s="10"/>
      <c r="D8947" s="10"/>
      <c r="E8947" s="10"/>
      <c r="F8947" s="10"/>
      <c r="G8947" s="10"/>
      <c r="H8947" s="10"/>
      <c r="I8947" s="10"/>
      <c r="J8947" s="10"/>
      <c r="K8947" s="10"/>
      <c r="L8947" s="10"/>
    </row>
    <row r="8948" spans="1:12" ht="15" customHeight="1" x14ac:dyDescent="0.25">
      <c r="A8948" s="10"/>
      <c r="B8948" s="10"/>
      <c r="C8948" s="10"/>
      <c r="D8948" s="10"/>
      <c r="E8948" s="10"/>
      <c r="F8948" s="10"/>
      <c r="G8948" s="10"/>
      <c r="H8948" s="10"/>
      <c r="I8948" s="10"/>
      <c r="J8948" s="10"/>
      <c r="K8948" s="10"/>
      <c r="L8948" s="10"/>
    </row>
    <row r="8949" spans="1:12" ht="15" customHeight="1" x14ac:dyDescent="0.25">
      <c r="A8949" s="10"/>
      <c r="B8949" s="10"/>
      <c r="C8949" s="10"/>
      <c r="D8949" s="10"/>
      <c r="E8949" s="10"/>
      <c r="F8949" s="10"/>
      <c r="G8949" s="10"/>
      <c r="H8949" s="10"/>
      <c r="I8949" s="10"/>
      <c r="J8949" s="10"/>
      <c r="K8949" s="10"/>
      <c r="L8949" s="10"/>
    </row>
    <row r="8950" spans="1:12" ht="15" customHeight="1" x14ac:dyDescent="0.25">
      <c r="A8950" s="10"/>
      <c r="B8950" s="10"/>
      <c r="C8950" s="10"/>
      <c r="D8950" s="10"/>
      <c r="E8950" s="10"/>
      <c r="F8950" s="10"/>
      <c r="G8950" s="10"/>
      <c r="H8950" s="10"/>
      <c r="I8950" s="10"/>
      <c r="J8950" s="10"/>
      <c r="K8950" s="10"/>
      <c r="L8950" s="10"/>
    </row>
    <row r="8951" spans="1:12" ht="15" customHeight="1" x14ac:dyDescent="0.25">
      <c r="A8951" s="10"/>
      <c r="B8951" s="10"/>
      <c r="C8951" s="10"/>
      <c r="D8951" s="10"/>
      <c r="E8951" s="10"/>
      <c r="F8951" s="10"/>
      <c r="G8951" s="10"/>
      <c r="H8951" s="10"/>
      <c r="I8951" s="10"/>
      <c r="J8951" s="10"/>
      <c r="K8951" s="10"/>
      <c r="L8951" s="10"/>
    </row>
    <row r="8952" spans="1:12" ht="15" customHeight="1" x14ac:dyDescent="0.25">
      <c r="A8952" s="10"/>
      <c r="B8952" s="10"/>
      <c r="C8952" s="10"/>
      <c r="D8952" s="10"/>
      <c r="E8952" s="10"/>
      <c r="F8952" s="10"/>
      <c r="G8952" s="10"/>
      <c r="H8952" s="10"/>
      <c r="I8952" s="10"/>
      <c r="J8952" s="10"/>
      <c r="K8952" s="10"/>
      <c r="L8952" s="10"/>
    </row>
    <row r="8953" spans="1:12" ht="15" customHeight="1" x14ac:dyDescent="0.25">
      <c r="A8953" s="10"/>
      <c r="B8953" s="10"/>
      <c r="C8953" s="10"/>
      <c r="D8953" s="10"/>
      <c r="E8953" s="10"/>
      <c r="F8953" s="10"/>
      <c r="G8953" s="10"/>
      <c r="H8953" s="10"/>
      <c r="I8953" s="10"/>
      <c r="J8953" s="10"/>
      <c r="K8953" s="10"/>
      <c r="L8953" s="10"/>
    </row>
    <row r="8954" spans="1:12" ht="15" customHeight="1" x14ac:dyDescent="0.25">
      <c r="A8954" s="10"/>
      <c r="B8954" s="10"/>
      <c r="C8954" s="10"/>
      <c r="D8954" s="10"/>
      <c r="E8954" s="10"/>
      <c r="F8954" s="10"/>
      <c r="G8954" s="10"/>
      <c r="H8954" s="10"/>
      <c r="I8954" s="10"/>
      <c r="J8954" s="10"/>
      <c r="K8954" s="10"/>
      <c r="L8954" s="10"/>
    </row>
    <row r="8955" spans="1:12" ht="15" customHeight="1" x14ac:dyDescent="0.25">
      <c r="A8955" s="10"/>
      <c r="B8955" s="10"/>
      <c r="C8955" s="10"/>
      <c r="D8955" s="10"/>
      <c r="E8955" s="10"/>
      <c r="F8955" s="10"/>
      <c r="G8955" s="10"/>
      <c r="H8955" s="10"/>
      <c r="I8955" s="10"/>
      <c r="J8955" s="10"/>
      <c r="K8955" s="10"/>
      <c r="L8955" s="10"/>
    </row>
    <row r="8956" spans="1:12" ht="15" customHeight="1" x14ac:dyDescent="0.25">
      <c r="A8956" s="10"/>
      <c r="B8956" s="10"/>
      <c r="C8956" s="10"/>
      <c r="D8956" s="10"/>
      <c r="E8956" s="10"/>
      <c r="F8956" s="10"/>
      <c r="G8956" s="10"/>
      <c r="H8956" s="10"/>
      <c r="I8956" s="10"/>
      <c r="J8956" s="10"/>
      <c r="K8956" s="10"/>
      <c r="L8956" s="10"/>
    </row>
    <row r="8957" spans="1:12" ht="15" customHeight="1" x14ac:dyDescent="0.25">
      <c r="A8957" s="10"/>
      <c r="B8957" s="10"/>
      <c r="C8957" s="10"/>
      <c r="D8957" s="10"/>
      <c r="E8957" s="10"/>
      <c r="F8957" s="10"/>
      <c r="G8957" s="10"/>
      <c r="H8957" s="10"/>
      <c r="I8957" s="10"/>
      <c r="J8957" s="10"/>
      <c r="K8957" s="10"/>
      <c r="L8957" s="10"/>
    </row>
    <row r="8958" spans="1:12" ht="15" customHeight="1" x14ac:dyDescent="0.25">
      <c r="A8958" s="10"/>
      <c r="B8958" s="10"/>
      <c r="C8958" s="10"/>
      <c r="D8958" s="10"/>
      <c r="E8958" s="10"/>
      <c r="F8958" s="10"/>
      <c r="G8958" s="10"/>
      <c r="H8958" s="10"/>
      <c r="I8958" s="10"/>
      <c r="J8958" s="10"/>
      <c r="K8958" s="10"/>
      <c r="L8958" s="10"/>
    </row>
    <row r="8959" spans="1:12" ht="15" customHeight="1" x14ac:dyDescent="0.25">
      <c r="A8959" s="10"/>
      <c r="B8959" s="10"/>
      <c r="C8959" s="10"/>
      <c r="D8959" s="10"/>
      <c r="E8959" s="10"/>
      <c r="F8959" s="10"/>
      <c r="G8959" s="10"/>
      <c r="H8959" s="10"/>
      <c r="I8959" s="10"/>
      <c r="J8959" s="10"/>
      <c r="K8959" s="10"/>
      <c r="L8959" s="10"/>
    </row>
    <row r="8960" spans="1:12" ht="15" customHeight="1" x14ac:dyDescent="0.25">
      <c r="A8960" s="10"/>
      <c r="B8960" s="10"/>
      <c r="C8960" s="10"/>
      <c r="D8960" s="10"/>
      <c r="E8960" s="10"/>
      <c r="F8960" s="10"/>
      <c r="G8960" s="10"/>
      <c r="H8960" s="10"/>
      <c r="I8960" s="10"/>
      <c r="J8960" s="10"/>
      <c r="K8960" s="10"/>
      <c r="L8960" s="10"/>
    </row>
    <row r="8961" spans="1:12" ht="15" customHeight="1" x14ac:dyDescent="0.25">
      <c r="A8961" s="10"/>
      <c r="B8961" s="10"/>
      <c r="C8961" s="10"/>
      <c r="D8961" s="10"/>
      <c r="E8961" s="10"/>
      <c r="F8961" s="10"/>
      <c r="G8961" s="10"/>
      <c r="H8961" s="10"/>
      <c r="I8961" s="10"/>
      <c r="J8961" s="10"/>
      <c r="K8961" s="10"/>
      <c r="L8961" s="10"/>
    </row>
    <row r="8962" spans="1:12" ht="15" customHeight="1" x14ac:dyDescent="0.25">
      <c r="A8962" s="10"/>
      <c r="B8962" s="10"/>
      <c r="C8962" s="10"/>
      <c r="D8962" s="10"/>
      <c r="E8962" s="10"/>
      <c r="F8962" s="10"/>
      <c r="G8962" s="10"/>
      <c r="H8962" s="10"/>
      <c r="I8962" s="10"/>
      <c r="J8962" s="10"/>
      <c r="K8962" s="10"/>
      <c r="L8962" s="10"/>
    </row>
    <row r="8963" spans="1:12" ht="15" customHeight="1" x14ac:dyDescent="0.25">
      <c r="A8963" s="10"/>
      <c r="B8963" s="10"/>
      <c r="C8963" s="10"/>
      <c r="D8963" s="10"/>
      <c r="E8963" s="10"/>
      <c r="F8963" s="10"/>
      <c r="G8963" s="10"/>
      <c r="H8963" s="10"/>
      <c r="I8963" s="10"/>
      <c r="J8963" s="10"/>
      <c r="K8963" s="10"/>
      <c r="L8963" s="10"/>
    </row>
    <row r="8964" spans="1:12" ht="15" customHeight="1" x14ac:dyDescent="0.25">
      <c r="A8964" s="10"/>
      <c r="B8964" s="10"/>
      <c r="C8964" s="10"/>
      <c r="D8964" s="10"/>
      <c r="E8964" s="10"/>
      <c r="F8964" s="10"/>
      <c r="G8964" s="10"/>
      <c r="H8964" s="10"/>
      <c r="I8964" s="10"/>
      <c r="J8964" s="10"/>
      <c r="K8964" s="10"/>
      <c r="L8964" s="10"/>
    </row>
    <row r="8965" spans="1:12" ht="15" customHeight="1" x14ac:dyDescent="0.25">
      <c r="A8965" s="10"/>
      <c r="B8965" s="10"/>
      <c r="C8965" s="10"/>
      <c r="D8965" s="10"/>
      <c r="E8965" s="10"/>
      <c r="F8965" s="10"/>
      <c r="G8965" s="10"/>
      <c r="H8965" s="10"/>
      <c r="I8965" s="10"/>
      <c r="J8965" s="10"/>
      <c r="K8965" s="10"/>
      <c r="L8965" s="10"/>
    </row>
    <row r="8966" spans="1:12" ht="15" customHeight="1" x14ac:dyDescent="0.25">
      <c r="A8966" s="10"/>
      <c r="B8966" s="10"/>
      <c r="C8966" s="10"/>
      <c r="D8966" s="10"/>
      <c r="E8966" s="10"/>
      <c r="F8966" s="10"/>
      <c r="G8966" s="10"/>
      <c r="H8966" s="10"/>
      <c r="I8966" s="10"/>
      <c r="J8966" s="10"/>
      <c r="K8966" s="10"/>
      <c r="L8966" s="10"/>
    </row>
    <row r="8967" spans="1:12" ht="15" customHeight="1" x14ac:dyDescent="0.25">
      <c r="A8967" s="10"/>
      <c r="B8967" s="10"/>
      <c r="C8967" s="10"/>
      <c r="D8967" s="10"/>
      <c r="E8967" s="10"/>
      <c r="F8967" s="10"/>
      <c r="G8967" s="10"/>
      <c r="H8967" s="10"/>
      <c r="I8967" s="10"/>
      <c r="J8967" s="10"/>
      <c r="K8967" s="10"/>
      <c r="L8967" s="10"/>
    </row>
    <row r="8968" spans="1:12" ht="15" customHeight="1" x14ac:dyDescent="0.25">
      <c r="A8968" s="10"/>
      <c r="B8968" s="10"/>
      <c r="C8968" s="10"/>
      <c r="D8968" s="10"/>
      <c r="E8968" s="10"/>
      <c r="F8968" s="10"/>
      <c r="G8968" s="10"/>
      <c r="H8968" s="10"/>
      <c r="I8968" s="10"/>
      <c r="J8968" s="10"/>
      <c r="K8968" s="10"/>
      <c r="L8968" s="10"/>
    </row>
    <row r="8969" spans="1:12" ht="15" customHeight="1" x14ac:dyDescent="0.25">
      <c r="A8969" s="10"/>
      <c r="B8969" s="10"/>
      <c r="C8969" s="10"/>
      <c r="D8969" s="10"/>
      <c r="E8969" s="10"/>
      <c r="F8969" s="10"/>
      <c r="G8969" s="10"/>
      <c r="H8969" s="10"/>
      <c r="I8969" s="10"/>
      <c r="J8969" s="10"/>
      <c r="K8969" s="10"/>
      <c r="L8969" s="10"/>
    </row>
    <row r="8970" spans="1:12" ht="15" customHeight="1" x14ac:dyDescent="0.25">
      <c r="A8970" s="10"/>
      <c r="B8970" s="10"/>
      <c r="C8970" s="10"/>
      <c r="D8970" s="10"/>
      <c r="E8970" s="10"/>
      <c r="F8970" s="10"/>
      <c r="G8970" s="10"/>
      <c r="H8970" s="10"/>
      <c r="I8970" s="10"/>
      <c r="J8970" s="10"/>
      <c r="K8970" s="10"/>
      <c r="L8970" s="10"/>
    </row>
    <row r="8971" spans="1:12" ht="15" customHeight="1" x14ac:dyDescent="0.25">
      <c r="A8971" s="10"/>
      <c r="B8971" s="10"/>
      <c r="C8971" s="10"/>
      <c r="D8971" s="10"/>
      <c r="E8971" s="10"/>
      <c r="F8971" s="10"/>
      <c r="G8971" s="10"/>
      <c r="H8971" s="10"/>
      <c r="I8971" s="10"/>
      <c r="J8971" s="10"/>
      <c r="K8971" s="10"/>
      <c r="L8971" s="10"/>
    </row>
    <row r="8972" spans="1:12" ht="15" customHeight="1" x14ac:dyDescent="0.25">
      <c r="A8972" s="10"/>
      <c r="B8972" s="10"/>
      <c r="C8972" s="10"/>
      <c r="D8972" s="10"/>
      <c r="E8972" s="10"/>
      <c r="F8972" s="10"/>
      <c r="G8972" s="10"/>
      <c r="H8972" s="10"/>
      <c r="I8972" s="10"/>
      <c r="J8972" s="10"/>
      <c r="K8972" s="10"/>
      <c r="L8972" s="10"/>
    </row>
    <row r="8973" spans="1:12" ht="15" customHeight="1" x14ac:dyDescent="0.25">
      <c r="A8973" s="10"/>
      <c r="B8973" s="10"/>
      <c r="C8973" s="10"/>
      <c r="D8973" s="10"/>
      <c r="E8973" s="10"/>
      <c r="F8973" s="10"/>
      <c r="G8973" s="10"/>
      <c r="H8973" s="10"/>
      <c r="I8973" s="10"/>
      <c r="J8973" s="10"/>
      <c r="K8973" s="10"/>
      <c r="L8973" s="10"/>
    </row>
    <row r="8974" spans="1:12" ht="15" customHeight="1" x14ac:dyDescent="0.25">
      <c r="A8974" s="10"/>
      <c r="B8974" s="10"/>
      <c r="C8974" s="10"/>
      <c r="D8974" s="10"/>
      <c r="E8974" s="10"/>
      <c r="F8974" s="10"/>
      <c r="G8974" s="10"/>
      <c r="H8974" s="10"/>
      <c r="I8974" s="10"/>
      <c r="J8974" s="10"/>
      <c r="K8974" s="10"/>
      <c r="L8974" s="10"/>
    </row>
    <row r="8975" spans="1:12" ht="15" customHeight="1" x14ac:dyDescent="0.25">
      <c r="A8975" s="10"/>
      <c r="B8975" s="10"/>
      <c r="C8975" s="10"/>
      <c r="D8975" s="10"/>
      <c r="E8975" s="10"/>
      <c r="F8975" s="10"/>
      <c r="G8975" s="10"/>
      <c r="H8975" s="10"/>
      <c r="I8975" s="10"/>
      <c r="J8975" s="10"/>
      <c r="K8975" s="10"/>
      <c r="L8975" s="10"/>
    </row>
    <row r="8976" spans="1:12" ht="15" customHeight="1" x14ac:dyDescent="0.25">
      <c r="A8976" s="10"/>
      <c r="B8976" s="10"/>
      <c r="C8976" s="10"/>
      <c r="D8976" s="10"/>
      <c r="E8976" s="10"/>
      <c r="F8976" s="10"/>
      <c r="G8976" s="10"/>
      <c r="H8976" s="10"/>
      <c r="I8976" s="10"/>
      <c r="J8976" s="10"/>
      <c r="K8976" s="10"/>
      <c r="L8976" s="10"/>
    </row>
    <row r="8977" spans="1:12" ht="15" customHeight="1" x14ac:dyDescent="0.25">
      <c r="A8977" s="10"/>
      <c r="B8977" s="10"/>
      <c r="C8977" s="10"/>
      <c r="D8977" s="10"/>
      <c r="E8977" s="10"/>
      <c r="F8977" s="10"/>
      <c r="G8977" s="10"/>
      <c r="H8977" s="10"/>
      <c r="I8977" s="10"/>
      <c r="J8977" s="10"/>
      <c r="K8977" s="10"/>
      <c r="L8977" s="10"/>
    </row>
    <row r="8978" spans="1:12" ht="15" customHeight="1" x14ac:dyDescent="0.25">
      <c r="A8978" s="10"/>
      <c r="B8978" s="10"/>
      <c r="C8978" s="10"/>
      <c r="D8978" s="10"/>
      <c r="E8978" s="10"/>
      <c r="F8978" s="10"/>
      <c r="G8978" s="10"/>
      <c r="H8978" s="10"/>
      <c r="I8978" s="10"/>
      <c r="J8978" s="10"/>
      <c r="K8978" s="10"/>
      <c r="L8978" s="10"/>
    </row>
    <row r="8979" spans="1:12" ht="15" customHeight="1" x14ac:dyDescent="0.25">
      <c r="A8979" s="10"/>
      <c r="B8979" s="10"/>
      <c r="C8979" s="10"/>
      <c r="D8979" s="10"/>
      <c r="E8979" s="10"/>
      <c r="F8979" s="10"/>
      <c r="G8979" s="10"/>
      <c r="H8979" s="10"/>
      <c r="I8979" s="10"/>
      <c r="J8979" s="10"/>
      <c r="K8979" s="10"/>
      <c r="L8979" s="10"/>
    </row>
    <row r="8980" spans="1:12" ht="15" customHeight="1" x14ac:dyDescent="0.25">
      <c r="A8980" s="10"/>
      <c r="B8980" s="10"/>
      <c r="C8980" s="10"/>
      <c r="D8980" s="10"/>
      <c r="E8980" s="10"/>
      <c r="F8980" s="10"/>
      <c r="G8980" s="10"/>
      <c r="H8980" s="10"/>
      <c r="I8980" s="10"/>
      <c r="J8980" s="10"/>
      <c r="K8980" s="10"/>
      <c r="L8980" s="10"/>
    </row>
    <row r="8981" spans="1:12" ht="15" customHeight="1" x14ac:dyDescent="0.25">
      <c r="A8981" s="10"/>
      <c r="B8981" s="10"/>
      <c r="C8981" s="10"/>
      <c r="D8981" s="10"/>
      <c r="E8981" s="10"/>
      <c r="F8981" s="10"/>
      <c r="G8981" s="10"/>
      <c r="H8981" s="10"/>
      <c r="I8981" s="10"/>
      <c r="J8981" s="10"/>
      <c r="K8981" s="10"/>
      <c r="L8981" s="10"/>
    </row>
    <row r="8982" spans="1:12" ht="15" customHeight="1" x14ac:dyDescent="0.25">
      <c r="A8982" s="10"/>
      <c r="B8982" s="10"/>
      <c r="C8982" s="10"/>
      <c r="D8982" s="10"/>
      <c r="E8982" s="10"/>
      <c r="F8982" s="10"/>
      <c r="G8982" s="10"/>
      <c r="H8982" s="10"/>
      <c r="I8982" s="10"/>
      <c r="J8982" s="10"/>
      <c r="K8982" s="10"/>
      <c r="L8982" s="10"/>
    </row>
    <row r="8983" spans="1:12" ht="15" customHeight="1" x14ac:dyDescent="0.25">
      <c r="A8983" s="10"/>
      <c r="B8983" s="10"/>
      <c r="C8983" s="10"/>
      <c r="D8983" s="10"/>
      <c r="E8983" s="10"/>
      <c r="F8983" s="10"/>
      <c r="G8983" s="10"/>
      <c r="H8983" s="10"/>
      <c r="I8983" s="10"/>
      <c r="J8983" s="10"/>
      <c r="K8983" s="10"/>
      <c r="L8983" s="10"/>
    </row>
    <row r="8984" spans="1:12" ht="15" customHeight="1" x14ac:dyDescent="0.25">
      <c r="A8984" s="10"/>
      <c r="B8984" s="10"/>
      <c r="C8984" s="10"/>
      <c r="D8984" s="10"/>
      <c r="E8984" s="10"/>
      <c r="F8984" s="10"/>
      <c r="G8984" s="10"/>
      <c r="H8984" s="10"/>
      <c r="I8984" s="10"/>
      <c r="J8984" s="10"/>
      <c r="K8984" s="10"/>
      <c r="L8984" s="10"/>
    </row>
    <row r="8985" spans="1:12" ht="15" customHeight="1" x14ac:dyDescent="0.25">
      <c r="A8985" s="10"/>
      <c r="B8985" s="10"/>
      <c r="C8985" s="10"/>
      <c r="D8985" s="10"/>
      <c r="E8985" s="10"/>
      <c r="F8985" s="10"/>
      <c r="G8985" s="10"/>
      <c r="H8985" s="10"/>
      <c r="I8985" s="10"/>
      <c r="J8985" s="10"/>
      <c r="K8985" s="10"/>
      <c r="L8985" s="10"/>
    </row>
    <row r="8986" spans="1:12" ht="15" customHeight="1" x14ac:dyDescent="0.25">
      <c r="A8986" s="10"/>
      <c r="B8986" s="10"/>
      <c r="C8986" s="10"/>
      <c r="D8986" s="10"/>
      <c r="E8986" s="10"/>
      <c r="F8986" s="10"/>
      <c r="G8986" s="10"/>
      <c r="H8986" s="10"/>
      <c r="I8986" s="10"/>
      <c r="J8986" s="10"/>
      <c r="K8986" s="10"/>
      <c r="L8986" s="10"/>
    </row>
    <row r="8987" spans="1:12" ht="15" customHeight="1" x14ac:dyDescent="0.25">
      <c r="A8987" s="10"/>
      <c r="B8987" s="10"/>
      <c r="C8987" s="10"/>
      <c r="D8987" s="10"/>
      <c r="E8987" s="10"/>
      <c r="F8987" s="10"/>
      <c r="G8987" s="10"/>
      <c r="H8987" s="10"/>
      <c r="I8987" s="10"/>
      <c r="J8987" s="10"/>
      <c r="K8987" s="10"/>
      <c r="L8987" s="10"/>
    </row>
    <row r="8988" spans="1:12" ht="15" customHeight="1" x14ac:dyDescent="0.25">
      <c r="A8988" s="10"/>
      <c r="B8988" s="10"/>
      <c r="C8988" s="10"/>
      <c r="D8988" s="10"/>
      <c r="E8988" s="10"/>
      <c r="F8988" s="10"/>
      <c r="G8988" s="10"/>
      <c r="H8988" s="10"/>
      <c r="I8988" s="10"/>
      <c r="J8988" s="10"/>
      <c r="K8988" s="10"/>
      <c r="L8988" s="10"/>
    </row>
    <row r="8989" spans="1:12" ht="15" customHeight="1" x14ac:dyDescent="0.25">
      <c r="A8989" s="10"/>
      <c r="B8989" s="10"/>
      <c r="C8989" s="10"/>
      <c r="D8989" s="10"/>
      <c r="E8989" s="10"/>
      <c r="F8989" s="10"/>
      <c r="G8989" s="10"/>
      <c r="H8989" s="10"/>
      <c r="I8989" s="10"/>
      <c r="J8989" s="10"/>
      <c r="K8989" s="10"/>
      <c r="L8989" s="10"/>
    </row>
    <row r="8990" spans="1:12" ht="15" customHeight="1" x14ac:dyDescent="0.25">
      <c r="A8990" s="10"/>
      <c r="B8990" s="10"/>
      <c r="C8990" s="10"/>
      <c r="D8990" s="10"/>
      <c r="E8990" s="10"/>
      <c r="F8990" s="10"/>
      <c r="G8990" s="10"/>
      <c r="H8990" s="10"/>
      <c r="I8990" s="10"/>
      <c r="J8990" s="10"/>
      <c r="K8990" s="10"/>
      <c r="L8990" s="10"/>
    </row>
    <row r="8991" spans="1:12" ht="15" customHeight="1" x14ac:dyDescent="0.25">
      <c r="A8991" s="10"/>
      <c r="B8991" s="10"/>
      <c r="C8991" s="10"/>
      <c r="D8991" s="10"/>
      <c r="E8991" s="10"/>
      <c r="F8991" s="10"/>
      <c r="G8991" s="10"/>
      <c r="H8991" s="10"/>
      <c r="I8991" s="10"/>
      <c r="J8991" s="10"/>
      <c r="K8991" s="10"/>
      <c r="L8991" s="10"/>
    </row>
    <row r="8992" spans="1:12" ht="15" customHeight="1" x14ac:dyDescent="0.25">
      <c r="A8992" s="10"/>
      <c r="B8992" s="10"/>
      <c r="C8992" s="10"/>
      <c r="D8992" s="10"/>
      <c r="E8992" s="10"/>
      <c r="F8992" s="10"/>
      <c r="G8992" s="10"/>
      <c r="H8992" s="10"/>
      <c r="I8992" s="10"/>
      <c r="J8992" s="10"/>
      <c r="K8992" s="10"/>
      <c r="L8992" s="10"/>
    </row>
    <row r="8993" spans="1:12" ht="15" customHeight="1" x14ac:dyDescent="0.25">
      <c r="A8993" s="10"/>
      <c r="B8993" s="10"/>
      <c r="C8993" s="10"/>
      <c r="D8993" s="10"/>
      <c r="E8993" s="10"/>
      <c r="F8993" s="10"/>
      <c r="G8993" s="10"/>
      <c r="H8993" s="10"/>
      <c r="I8993" s="10"/>
      <c r="J8993" s="10"/>
      <c r="K8993" s="10"/>
      <c r="L8993" s="10"/>
    </row>
    <row r="8994" spans="1:12" ht="15" customHeight="1" x14ac:dyDescent="0.25">
      <c r="A8994" s="10"/>
      <c r="B8994" s="10"/>
      <c r="C8994" s="10"/>
      <c r="D8994" s="10"/>
      <c r="E8994" s="10"/>
      <c r="F8994" s="10"/>
      <c r="G8994" s="10"/>
      <c r="H8994" s="10"/>
      <c r="I8994" s="10"/>
      <c r="J8994" s="10"/>
      <c r="K8994" s="10"/>
      <c r="L8994" s="10"/>
    </row>
    <row r="8995" spans="1:12" ht="15" customHeight="1" x14ac:dyDescent="0.25">
      <c r="A8995" s="10"/>
      <c r="B8995" s="10"/>
      <c r="C8995" s="10"/>
      <c r="D8995" s="10"/>
      <c r="E8995" s="10"/>
      <c r="F8995" s="10"/>
      <c r="G8995" s="10"/>
      <c r="H8995" s="10"/>
      <c r="I8995" s="10"/>
      <c r="J8995" s="10"/>
      <c r="K8995" s="10"/>
      <c r="L8995" s="10"/>
    </row>
    <row r="8996" spans="1:12" ht="15" customHeight="1" x14ac:dyDescent="0.25">
      <c r="A8996" s="10"/>
      <c r="B8996" s="10"/>
      <c r="C8996" s="10"/>
      <c r="D8996" s="10"/>
      <c r="E8996" s="10"/>
      <c r="F8996" s="10"/>
      <c r="G8996" s="10"/>
      <c r="H8996" s="10"/>
      <c r="I8996" s="10"/>
      <c r="J8996" s="10"/>
      <c r="K8996" s="10"/>
      <c r="L8996" s="10"/>
    </row>
    <row r="8997" spans="1:12" ht="15" customHeight="1" x14ac:dyDescent="0.25">
      <c r="A8997" s="10"/>
      <c r="B8997" s="10"/>
      <c r="C8997" s="10"/>
      <c r="D8997" s="10"/>
      <c r="E8997" s="10"/>
      <c r="F8997" s="10"/>
      <c r="G8997" s="10"/>
      <c r="H8997" s="10"/>
      <c r="I8997" s="10"/>
      <c r="J8997" s="10"/>
      <c r="K8997" s="10"/>
      <c r="L8997" s="10"/>
    </row>
    <row r="8998" spans="1:12" ht="15" customHeight="1" x14ac:dyDescent="0.25">
      <c r="A8998" s="10"/>
      <c r="B8998" s="10"/>
      <c r="C8998" s="10"/>
      <c r="D8998" s="10"/>
      <c r="E8998" s="10"/>
      <c r="F8998" s="10"/>
      <c r="G8998" s="10"/>
      <c r="H8998" s="10"/>
      <c r="I8998" s="10"/>
      <c r="J8998" s="10"/>
      <c r="K8998" s="10"/>
      <c r="L8998" s="10"/>
    </row>
    <row r="8999" spans="1:12" ht="15" customHeight="1" x14ac:dyDescent="0.25">
      <c r="A8999" s="10"/>
      <c r="B8999" s="10"/>
      <c r="C8999" s="10"/>
      <c r="D8999" s="10"/>
      <c r="E8999" s="10"/>
      <c r="F8999" s="10"/>
      <c r="G8999" s="10"/>
      <c r="H8999" s="10"/>
      <c r="I8999" s="10"/>
      <c r="J8999" s="10"/>
      <c r="K8999" s="10"/>
      <c r="L8999" s="10"/>
    </row>
    <row r="9000" spans="1:12" ht="15" customHeight="1" x14ac:dyDescent="0.25">
      <c r="A9000" s="10"/>
      <c r="B9000" s="10"/>
      <c r="C9000" s="10"/>
      <c r="D9000" s="10"/>
      <c r="E9000" s="10"/>
      <c r="F9000" s="10"/>
      <c r="G9000" s="10"/>
      <c r="H9000" s="10"/>
      <c r="I9000" s="10"/>
      <c r="J9000" s="10"/>
      <c r="K9000" s="10"/>
      <c r="L9000" s="10"/>
    </row>
    <row r="9001" spans="1:12" ht="15" customHeight="1" x14ac:dyDescent="0.25">
      <c r="A9001" s="10"/>
      <c r="B9001" s="10"/>
      <c r="C9001" s="10"/>
      <c r="D9001" s="10"/>
      <c r="E9001" s="10"/>
      <c r="F9001" s="10"/>
      <c r="G9001" s="10"/>
      <c r="H9001" s="10"/>
      <c r="I9001" s="10"/>
      <c r="J9001" s="10"/>
      <c r="K9001" s="10"/>
      <c r="L9001" s="10"/>
    </row>
    <row r="9002" spans="1:12" ht="15" customHeight="1" x14ac:dyDescent="0.25">
      <c r="A9002" s="10"/>
      <c r="B9002" s="10"/>
      <c r="C9002" s="10"/>
      <c r="D9002" s="10"/>
      <c r="E9002" s="10"/>
      <c r="F9002" s="10"/>
      <c r="G9002" s="10"/>
      <c r="H9002" s="10"/>
      <c r="I9002" s="10"/>
      <c r="J9002" s="10"/>
      <c r="K9002" s="10"/>
      <c r="L9002" s="10"/>
    </row>
    <row r="9003" spans="1:12" ht="15" customHeight="1" x14ac:dyDescent="0.25">
      <c r="A9003" s="10"/>
      <c r="B9003" s="10"/>
      <c r="C9003" s="10"/>
      <c r="D9003" s="10"/>
      <c r="E9003" s="10"/>
      <c r="F9003" s="10"/>
      <c r="G9003" s="10"/>
      <c r="H9003" s="10"/>
      <c r="I9003" s="10"/>
      <c r="J9003" s="10"/>
      <c r="K9003" s="10"/>
      <c r="L9003" s="10"/>
    </row>
    <row r="9004" spans="1:12" ht="15" customHeight="1" x14ac:dyDescent="0.25">
      <c r="A9004" s="10"/>
      <c r="B9004" s="10"/>
      <c r="C9004" s="10"/>
      <c r="D9004" s="10"/>
      <c r="E9004" s="10"/>
      <c r="F9004" s="10"/>
      <c r="G9004" s="10"/>
      <c r="H9004" s="10"/>
      <c r="I9004" s="10"/>
      <c r="J9004" s="10"/>
      <c r="K9004" s="10"/>
      <c r="L9004" s="10"/>
    </row>
    <row r="9005" spans="1:12" ht="15" customHeight="1" x14ac:dyDescent="0.25">
      <c r="A9005" s="10"/>
      <c r="B9005" s="10"/>
      <c r="C9005" s="10"/>
      <c r="D9005" s="10"/>
      <c r="E9005" s="10"/>
      <c r="F9005" s="10"/>
      <c r="G9005" s="10"/>
      <c r="H9005" s="10"/>
      <c r="I9005" s="10"/>
      <c r="J9005" s="10"/>
      <c r="K9005" s="10"/>
      <c r="L9005" s="10"/>
    </row>
    <row r="9006" spans="1:12" ht="15" customHeight="1" x14ac:dyDescent="0.25">
      <c r="A9006" s="10"/>
      <c r="B9006" s="10"/>
      <c r="C9006" s="10"/>
      <c r="D9006" s="10"/>
      <c r="E9006" s="10"/>
      <c r="F9006" s="10"/>
      <c r="G9006" s="10"/>
      <c r="H9006" s="10"/>
      <c r="I9006" s="10"/>
      <c r="J9006" s="10"/>
      <c r="K9006" s="10"/>
      <c r="L9006" s="10"/>
    </row>
    <row r="9007" spans="1:12" ht="15" customHeight="1" x14ac:dyDescent="0.25">
      <c r="A9007" s="10"/>
      <c r="B9007" s="10"/>
      <c r="C9007" s="10"/>
      <c r="D9007" s="10"/>
      <c r="E9007" s="10"/>
      <c r="F9007" s="10"/>
      <c r="G9007" s="10"/>
      <c r="H9007" s="10"/>
      <c r="I9007" s="10"/>
      <c r="J9007" s="10"/>
      <c r="K9007" s="10"/>
      <c r="L9007" s="10"/>
    </row>
    <row r="9008" spans="1:12" ht="15" customHeight="1" x14ac:dyDescent="0.25">
      <c r="A9008" s="10"/>
      <c r="B9008" s="10"/>
      <c r="C9008" s="10"/>
      <c r="D9008" s="10"/>
      <c r="E9008" s="10"/>
      <c r="F9008" s="10"/>
      <c r="G9008" s="10"/>
      <c r="H9008" s="10"/>
      <c r="I9008" s="10"/>
      <c r="J9008" s="10"/>
      <c r="K9008" s="10"/>
      <c r="L9008" s="10"/>
    </row>
    <row r="9009" spans="1:12" ht="15" customHeight="1" x14ac:dyDescent="0.25">
      <c r="A9009" s="10"/>
      <c r="B9009" s="10"/>
      <c r="C9009" s="10"/>
      <c r="D9009" s="10"/>
      <c r="E9009" s="10"/>
      <c r="F9009" s="10"/>
      <c r="G9009" s="10"/>
      <c r="H9009" s="10"/>
      <c r="I9009" s="10"/>
      <c r="J9009" s="10"/>
      <c r="K9009" s="10"/>
      <c r="L9009" s="10"/>
    </row>
    <row r="9010" spans="1:12" ht="15" customHeight="1" x14ac:dyDescent="0.25">
      <c r="A9010" s="10"/>
      <c r="B9010" s="10"/>
      <c r="C9010" s="10"/>
      <c r="D9010" s="10"/>
      <c r="E9010" s="10"/>
      <c r="F9010" s="10"/>
      <c r="G9010" s="10"/>
      <c r="H9010" s="10"/>
      <c r="I9010" s="10"/>
      <c r="J9010" s="10"/>
      <c r="K9010" s="10"/>
      <c r="L9010" s="10"/>
    </row>
    <row r="9011" spans="1:12" ht="15" customHeight="1" x14ac:dyDescent="0.25">
      <c r="A9011" s="10"/>
      <c r="B9011" s="10"/>
      <c r="C9011" s="10"/>
      <c r="D9011" s="10"/>
      <c r="E9011" s="10"/>
      <c r="F9011" s="10"/>
      <c r="G9011" s="10"/>
      <c r="H9011" s="10"/>
      <c r="I9011" s="10"/>
      <c r="J9011" s="10"/>
      <c r="K9011" s="10"/>
      <c r="L9011" s="10"/>
    </row>
    <row r="9012" spans="1:12" ht="15" customHeight="1" x14ac:dyDescent="0.25">
      <c r="A9012" s="10"/>
      <c r="B9012" s="10"/>
      <c r="C9012" s="10"/>
      <c r="D9012" s="10"/>
      <c r="E9012" s="10"/>
      <c r="F9012" s="10"/>
      <c r="G9012" s="10"/>
      <c r="H9012" s="10"/>
      <c r="I9012" s="10"/>
      <c r="J9012" s="10"/>
      <c r="K9012" s="10"/>
      <c r="L9012" s="10"/>
    </row>
    <row r="9013" spans="1:12" ht="15" customHeight="1" x14ac:dyDescent="0.25">
      <c r="A9013" s="10"/>
      <c r="B9013" s="10"/>
      <c r="C9013" s="10"/>
      <c r="D9013" s="10"/>
      <c r="E9013" s="10"/>
      <c r="F9013" s="10"/>
      <c r="G9013" s="10"/>
      <c r="H9013" s="10"/>
      <c r="I9013" s="10"/>
      <c r="J9013" s="10"/>
      <c r="K9013" s="10"/>
      <c r="L9013" s="10"/>
    </row>
    <row r="9014" spans="1:12" ht="15" customHeight="1" x14ac:dyDescent="0.25">
      <c r="A9014" s="10"/>
      <c r="B9014" s="10"/>
      <c r="C9014" s="10"/>
      <c r="D9014" s="10"/>
      <c r="E9014" s="10"/>
      <c r="F9014" s="10"/>
      <c r="G9014" s="10"/>
      <c r="H9014" s="10"/>
      <c r="I9014" s="10"/>
      <c r="J9014" s="10"/>
      <c r="K9014" s="10"/>
      <c r="L9014" s="10"/>
    </row>
    <row r="9015" spans="1:12" ht="15" customHeight="1" x14ac:dyDescent="0.25">
      <c r="A9015" s="10"/>
      <c r="B9015" s="10"/>
      <c r="C9015" s="10"/>
      <c r="D9015" s="10"/>
      <c r="E9015" s="10"/>
      <c r="F9015" s="10"/>
      <c r="G9015" s="10"/>
      <c r="H9015" s="10"/>
      <c r="I9015" s="10"/>
      <c r="J9015" s="10"/>
      <c r="K9015" s="10"/>
      <c r="L9015" s="10"/>
    </row>
    <row r="9016" spans="1:12" ht="15" customHeight="1" x14ac:dyDescent="0.25">
      <c r="A9016" s="10"/>
      <c r="B9016" s="10"/>
      <c r="C9016" s="10"/>
      <c r="D9016" s="10"/>
      <c r="E9016" s="10"/>
      <c r="F9016" s="10"/>
      <c r="G9016" s="10"/>
      <c r="H9016" s="10"/>
      <c r="I9016" s="10"/>
      <c r="J9016" s="10"/>
      <c r="K9016" s="10"/>
      <c r="L9016" s="10"/>
    </row>
    <row r="9017" spans="1:12" ht="15" customHeight="1" x14ac:dyDescent="0.25">
      <c r="A9017" s="10"/>
      <c r="B9017" s="10"/>
      <c r="C9017" s="10"/>
      <c r="D9017" s="10"/>
      <c r="E9017" s="10"/>
      <c r="F9017" s="10"/>
      <c r="G9017" s="10"/>
      <c r="H9017" s="10"/>
      <c r="I9017" s="10"/>
      <c r="J9017" s="10"/>
      <c r="K9017" s="10"/>
      <c r="L9017" s="10"/>
    </row>
    <row r="9018" spans="1:12" ht="15" customHeight="1" x14ac:dyDescent="0.25">
      <c r="A9018" s="10"/>
      <c r="B9018" s="10"/>
      <c r="C9018" s="10"/>
      <c r="D9018" s="10"/>
      <c r="E9018" s="10"/>
      <c r="F9018" s="10"/>
      <c r="G9018" s="10"/>
      <c r="H9018" s="10"/>
      <c r="I9018" s="10"/>
      <c r="J9018" s="10"/>
      <c r="K9018" s="10"/>
      <c r="L9018" s="10"/>
    </row>
    <row r="9019" spans="1:12" ht="15" customHeight="1" x14ac:dyDescent="0.25">
      <c r="A9019" s="10"/>
      <c r="B9019" s="10"/>
      <c r="C9019" s="10"/>
      <c r="D9019" s="10"/>
      <c r="E9019" s="10"/>
      <c r="F9019" s="10"/>
      <c r="G9019" s="10"/>
      <c r="H9019" s="10"/>
      <c r="I9019" s="10"/>
      <c r="J9019" s="10"/>
      <c r="K9019" s="10"/>
      <c r="L9019" s="10"/>
    </row>
    <row r="9020" spans="1:12" ht="15" customHeight="1" x14ac:dyDescent="0.25">
      <c r="A9020" s="10"/>
      <c r="B9020" s="10"/>
      <c r="C9020" s="10"/>
      <c r="D9020" s="10"/>
      <c r="E9020" s="10"/>
      <c r="F9020" s="10"/>
      <c r="G9020" s="10"/>
      <c r="H9020" s="10"/>
      <c r="I9020" s="10"/>
      <c r="J9020" s="10"/>
      <c r="K9020" s="10"/>
      <c r="L9020" s="10"/>
    </row>
    <row r="9021" spans="1:12" ht="15" customHeight="1" x14ac:dyDescent="0.25">
      <c r="A9021" s="10"/>
      <c r="B9021" s="10"/>
      <c r="C9021" s="10"/>
      <c r="D9021" s="10"/>
      <c r="E9021" s="10"/>
      <c r="F9021" s="10"/>
      <c r="G9021" s="10"/>
      <c r="H9021" s="10"/>
      <c r="I9021" s="10"/>
      <c r="J9021" s="10"/>
      <c r="K9021" s="10"/>
      <c r="L9021" s="10"/>
    </row>
    <row r="9022" spans="1:12" ht="15" customHeight="1" x14ac:dyDescent="0.25">
      <c r="A9022" s="10"/>
      <c r="B9022" s="10"/>
      <c r="C9022" s="10"/>
      <c r="D9022" s="10"/>
      <c r="E9022" s="10"/>
      <c r="F9022" s="10"/>
      <c r="G9022" s="10"/>
      <c r="H9022" s="10"/>
      <c r="I9022" s="10"/>
      <c r="J9022" s="10"/>
      <c r="K9022" s="10"/>
      <c r="L9022" s="10"/>
    </row>
    <row r="9023" spans="1:12" ht="15" customHeight="1" x14ac:dyDescent="0.25">
      <c r="A9023" s="10"/>
      <c r="B9023" s="10"/>
      <c r="C9023" s="10"/>
      <c r="D9023" s="10"/>
      <c r="E9023" s="10"/>
      <c r="F9023" s="10"/>
      <c r="G9023" s="10"/>
      <c r="H9023" s="10"/>
      <c r="I9023" s="10"/>
      <c r="J9023" s="10"/>
      <c r="K9023" s="10"/>
      <c r="L9023" s="10"/>
    </row>
    <row r="9024" spans="1:12" ht="15" customHeight="1" x14ac:dyDescent="0.25">
      <c r="A9024" s="10"/>
      <c r="B9024" s="10"/>
      <c r="C9024" s="10"/>
      <c r="D9024" s="10"/>
      <c r="E9024" s="10"/>
      <c r="F9024" s="10"/>
      <c r="G9024" s="10"/>
      <c r="H9024" s="10"/>
      <c r="I9024" s="10"/>
      <c r="J9024" s="10"/>
      <c r="K9024" s="10"/>
      <c r="L9024" s="10"/>
    </row>
    <row r="9025" spans="1:12" ht="15" customHeight="1" x14ac:dyDescent="0.25">
      <c r="A9025" s="10"/>
      <c r="B9025" s="10"/>
      <c r="C9025" s="10"/>
      <c r="D9025" s="10"/>
      <c r="E9025" s="10"/>
      <c r="F9025" s="10"/>
      <c r="G9025" s="10"/>
      <c r="H9025" s="10"/>
      <c r="I9025" s="10"/>
      <c r="J9025" s="10"/>
      <c r="K9025" s="10"/>
      <c r="L9025" s="10"/>
    </row>
    <row r="9026" spans="1:12" ht="15" customHeight="1" x14ac:dyDescent="0.25">
      <c r="A9026" s="10"/>
      <c r="B9026" s="10"/>
      <c r="C9026" s="10"/>
      <c r="D9026" s="10"/>
      <c r="E9026" s="10"/>
      <c r="F9026" s="10"/>
      <c r="G9026" s="10"/>
      <c r="H9026" s="10"/>
      <c r="I9026" s="10"/>
      <c r="J9026" s="10"/>
      <c r="K9026" s="10"/>
      <c r="L9026" s="10"/>
    </row>
    <row r="9027" spans="1:12" ht="15" customHeight="1" x14ac:dyDescent="0.25">
      <c r="A9027" s="10"/>
      <c r="B9027" s="10"/>
      <c r="C9027" s="10"/>
      <c r="D9027" s="10"/>
      <c r="E9027" s="10"/>
      <c r="F9027" s="10"/>
      <c r="G9027" s="10"/>
      <c r="H9027" s="10"/>
      <c r="I9027" s="10"/>
      <c r="J9027" s="10"/>
      <c r="K9027" s="10"/>
      <c r="L9027" s="10"/>
    </row>
    <row r="9028" spans="1:12" ht="15" customHeight="1" x14ac:dyDescent="0.25">
      <c r="A9028" s="10"/>
      <c r="B9028" s="10"/>
      <c r="C9028" s="10"/>
      <c r="D9028" s="10"/>
      <c r="E9028" s="10"/>
      <c r="F9028" s="10"/>
      <c r="G9028" s="10"/>
      <c r="H9028" s="10"/>
      <c r="I9028" s="10"/>
      <c r="J9028" s="10"/>
      <c r="K9028" s="10"/>
      <c r="L9028" s="10"/>
    </row>
    <row r="9029" spans="1:12" ht="15" customHeight="1" x14ac:dyDescent="0.25">
      <c r="A9029" s="10"/>
      <c r="B9029" s="10"/>
      <c r="C9029" s="10"/>
      <c r="D9029" s="10"/>
      <c r="E9029" s="10"/>
      <c r="F9029" s="10"/>
      <c r="G9029" s="10"/>
      <c r="H9029" s="10"/>
      <c r="I9029" s="10"/>
      <c r="J9029" s="10"/>
      <c r="K9029" s="10"/>
      <c r="L9029" s="10"/>
    </row>
    <row r="9030" spans="1:12" ht="15" customHeight="1" x14ac:dyDescent="0.25">
      <c r="A9030" s="10"/>
      <c r="B9030" s="10"/>
      <c r="C9030" s="10"/>
      <c r="D9030" s="10"/>
      <c r="E9030" s="10"/>
      <c r="F9030" s="10"/>
      <c r="G9030" s="10"/>
      <c r="H9030" s="10"/>
      <c r="I9030" s="10"/>
      <c r="J9030" s="10"/>
      <c r="K9030" s="10"/>
      <c r="L9030" s="10"/>
    </row>
    <row r="9031" spans="1:12" ht="15" customHeight="1" x14ac:dyDescent="0.25">
      <c r="A9031" s="10"/>
      <c r="B9031" s="10"/>
      <c r="C9031" s="10"/>
      <c r="D9031" s="10"/>
      <c r="E9031" s="10"/>
      <c r="F9031" s="10"/>
      <c r="G9031" s="10"/>
      <c r="H9031" s="10"/>
      <c r="I9031" s="10"/>
      <c r="J9031" s="10"/>
      <c r="K9031" s="10"/>
      <c r="L9031" s="10"/>
    </row>
    <row r="9032" spans="1:12" ht="15" customHeight="1" x14ac:dyDescent="0.25">
      <c r="A9032" s="10"/>
      <c r="B9032" s="10"/>
      <c r="C9032" s="10"/>
      <c r="D9032" s="10"/>
      <c r="E9032" s="10"/>
      <c r="F9032" s="10"/>
      <c r="G9032" s="10"/>
      <c r="H9032" s="10"/>
      <c r="I9032" s="10"/>
      <c r="J9032" s="10"/>
      <c r="K9032" s="10"/>
      <c r="L9032" s="10"/>
    </row>
    <row r="9033" spans="1:12" ht="15" customHeight="1" x14ac:dyDescent="0.25">
      <c r="A9033" s="10"/>
      <c r="B9033" s="10"/>
      <c r="C9033" s="10"/>
      <c r="D9033" s="10"/>
      <c r="E9033" s="10"/>
      <c r="F9033" s="10"/>
      <c r="G9033" s="10"/>
      <c r="H9033" s="10"/>
      <c r="I9033" s="10"/>
      <c r="J9033" s="10"/>
      <c r="K9033" s="10"/>
      <c r="L9033" s="10"/>
    </row>
    <row r="9034" spans="1:12" ht="15" customHeight="1" x14ac:dyDescent="0.25">
      <c r="A9034" s="10"/>
      <c r="B9034" s="10"/>
      <c r="C9034" s="10"/>
      <c r="D9034" s="10"/>
      <c r="E9034" s="10"/>
      <c r="F9034" s="10"/>
      <c r="G9034" s="10"/>
      <c r="H9034" s="10"/>
      <c r="I9034" s="10"/>
      <c r="J9034" s="10"/>
      <c r="K9034" s="10"/>
      <c r="L9034" s="10"/>
    </row>
    <row r="9035" spans="1:12" ht="15" customHeight="1" x14ac:dyDescent="0.25">
      <c r="A9035" s="10"/>
      <c r="B9035" s="10"/>
      <c r="C9035" s="10"/>
      <c r="D9035" s="10"/>
      <c r="E9035" s="10"/>
      <c r="F9035" s="10"/>
      <c r="G9035" s="10"/>
      <c r="H9035" s="10"/>
      <c r="I9035" s="10"/>
      <c r="J9035" s="10"/>
      <c r="K9035" s="10"/>
      <c r="L9035" s="10"/>
    </row>
    <row r="9036" spans="1:12" ht="15" customHeight="1" x14ac:dyDescent="0.25">
      <c r="A9036" s="10"/>
      <c r="B9036" s="10"/>
      <c r="C9036" s="10"/>
      <c r="D9036" s="10"/>
      <c r="E9036" s="10"/>
      <c r="F9036" s="10"/>
      <c r="G9036" s="10"/>
      <c r="H9036" s="10"/>
      <c r="I9036" s="10"/>
      <c r="J9036" s="10"/>
      <c r="K9036" s="10"/>
      <c r="L9036" s="10"/>
    </row>
    <row r="9037" spans="1:12" ht="15" customHeight="1" x14ac:dyDescent="0.25">
      <c r="A9037" s="10"/>
      <c r="B9037" s="10"/>
      <c r="C9037" s="10"/>
      <c r="D9037" s="10"/>
      <c r="E9037" s="10"/>
      <c r="F9037" s="10"/>
      <c r="G9037" s="10"/>
      <c r="H9037" s="10"/>
      <c r="I9037" s="10"/>
      <c r="J9037" s="10"/>
      <c r="K9037" s="10"/>
      <c r="L9037" s="10"/>
    </row>
    <row r="9038" spans="1:12" ht="15" customHeight="1" x14ac:dyDescent="0.25">
      <c r="A9038" s="10"/>
      <c r="B9038" s="10"/>
      <c r="C9038" s="10"/>
      <c r="D9038" s="10"/>
      <c r="E9038" s="10"/>
      <c r="F9038" s="10"/>
      <c r="G9038" s="10"/>
      <c r="H9038" s="10"/>
      <c r="I9038" s="10"/>
      <c r="J9038" s="10"/>
      <c r="K9038" s="10"/>
      <c r="L9038" s="10"/>
    </row>
    <row r="9039" spans="1:12" ht="15" customHeight="1" x14ac:dyDescent="0.25">
      <c r="A9039" s="10"/>
      <c r="B9039" s="10"/>
      <c r="C9039" s="10"/>
      <c r="D9039" s="10"/>
      <c r="E9039" s="10"/>
      <c r="F9039" s="10"/>
      <c r="G9039" s="10"/>
      <c r="H9039" s="10"/>
      <c r="I9039" s="10"/>
      <c r="J9039" s="10"/>
      <c r="K9039" s="10"/>
      <c r="L9039" s="10"/>
    </row>
    <row r="9040" spans="1:12" ht="15" customHeight="1" x14ac:dyDescent="0.25">
      <c r="A9040" s="10"/>
      <c r="B9040" s="10"/>
      <c r="C9040" s="10"/>
      <c r="D9040" s="10"/>
      <c r="E9040" s="10"/>
      <c r="F9040" s="10"/>
      <c r="G9040" s="10"/>
      <c r="H9040" s="10"/>
      <c r="I9040" s="10"/>
      <c r="J9040" s="10"/>
      <c r="K9040" s="10"/>
      <c r="L9040" s="10"/>
    </row>
    <row r="9041" spans="1:12" ht="15" customHeight="1" x14ac:dyDescent="0.25">
      <c r="A9041" s="10"/>
      <c r="B9041" s="10"/>
      <c r="C9041" s="10"/>
      <c r="D9041" s="10"/>
      <c r="E9041" s="10"/>
      <c r="F9041" s="10"/>
      <c r="G9041" s="10"/>
      <c r="H9041" s="10"/>
      <c r="I9041" s="10"/>
      <c r="J9041" s="10"/>
      <c r="K9041" s="10"/>
      <c r="L9041" s="10"/>
    </row>
    <row r="9042" spans="1:12" ht="15" customHeight="1" x14ac:dyDescent="0.25">
      <c r="A9042" s="10"/>
      <c r="B9042" s="10"/>
      <c r="C9042" s="10"/>
      <c r="D9042" s="10"/>
      <c r="E9042" s="10"/>
      <c r="F9042" s="10"/>
      <c r="G9042" s="10"/>
      <c r="H9042" s="10"/>
      <c r="I9042" s="10"/>
      <c r="J9042" s="10"/>
      <c r="K9042" s="10"/>
      <c r="L9042" s="10"/>
    </row>
    <row r="9043" spans="1:12" ht="15" customHeight="1" x14ac:dyDescent="0.25">
      <c r="A9043" s="10"/>
      <c r="B9043" s="10"/>
      <c r="C9043" s="10"/>
      <c r="D9043" s="10"/>
      <c r="E9043" s="10"/>
      <c r="F9043" s="10"/>
      <c r="G9043" s="10"/>
      <c r="H9043" s="10"/>
      <c r="I9043" s="10"/>
      <c r="J9043" s="10"/>
      <c r="K9043" s="10"/>
      <c r="L9043" s="10"/>
    </row>
    <row r="9044" spans="1:12" ht="15" customHeight="1" x14ac:dyDescent="0.25">
      <c r="A9044" s="10"/>
      <c r="B9044" s="10"/>
      <c r="C9044" s="10"/>
      <c r="D9044" s="10"/>
      <c r="E9044" s="10"/>
      <c r="F9044" s="10"/>
      <c r="G9044" s="10"/>
      <c r="H9044" s="10"/>
      <c r="I9044" s="10"/>
      <c r="J9044" s="10"/>
      <c r="K9044" s="10"/>
      <c r="L9044" s="10"/>
    </row>
    <row r="9045" spans="1:12" ht="15" customHeight="1" x14ac:dyDescent="0.25">
      <c r="A9045" s="10"/>
      <c r="B9045" s="10"/>
      <c r="C9045" s="10"/>
      <c r="D9045" s="10"/>
      <c r="E9045" s="10"/>
      <c r="F9045" s="10"/>
      <c r="G9045" s="10"/>
      <c r="H9045" s="10"/>
      <c r="I9045" s="10"/>
      <c r="J9045" s="10"/>
      <c r="K9045" s="10"/>
      <c r="L9045" s="10"/>
    </row>
    <row r="9046" spans="1:12" ht="15" customHeight="1" x14ac:dyDescent="0.25">
      <c r="A9046" s="10"/>
      <c r="B9046" s="10"/>
      <c r="C9046" s="10"/>
      <c r="D9046" s="10"/>
      <c r="E9046" s="10"/>
      <c r="F9046" s="10"/>
      <c r="G9046" s="10"/>
      <c r="H9046" s="10"/>
      <c r="I9046" s="10"/>
      <c r="J9046" s="10"/>
      <c r="K9046" s="10"/>
      <c r="L9046" s="10"/>
    </row>
    <row r="9047" spans="1:12" ht="15" customHeight="1" x14ac:dyDescent="0.25">
      <c r="A9047" s="10"/>
      <c r="B9047" s="10"/>
      <c r="C9047" s="10"/>
      <c r="D9047" s="10"/>
      <c r="E9047" s="10"/>
      <c r="F9047" s="10"/>
      <c r="G9047" s="10"/>
      <c r="H9047" s="10"/>
      <c r="I9047" s="10"/>
      <c r="J9047" s="10"/>
      <c r="K9047" s="10"/>
      <c r="L9047" s="10"/>
    </row>
    <row r="9048" spans="1:12" ht="15" customHeight="1" x14ac:dyDescent="0.25">
      <c r="A9048" s="10"/>
      <c r="B9048" s="10"/>
      <c r="C9048" s="10"/>
      <c r="D9048" s="10"/>
      <c r="E9048" s="10"/>
      <c r="F9048" s="10"/>
      <c r="G9048" s="10"/>
      <c r="H9048" s="10"/>
      <c r="I9048" s="10"/>
      <c r="J9048" s="10"/>
      <c r="K9048" s="10"/>
      <c r="L9048" s="10"/>
    </row>
    <row r="9049" spans="1:12" ht="15" customHeight="1" x14ac:dyDescent="0.25">
      <c r="A9049" s="10"/>
      <c r="B9049" s="10"/>
      <c r="C9049" s="10"/>
      <c r="D9049" s="10"/>
      <c r="E9049" s="10"/>
      <c r="F9049" s="10"/>
      <c r="G9049" s="10"/>
      <c r="H9049" s="10"/>
      <c r="I9049" s="10"/>
      <c r="J9049" s="10"/>
      <c r="K9049" s="10"/>
      <c r="L9049" s="10"/>
    </row>
    <row r="9050" spans="1:12" ht="15" customHeight="1" x14ac:dyDescent="0.25">
      <c r="A9050" s="10"/>
      <c r="B9050" s="10"/>
      <c r="C9050" s="10"/>
      <c r="D9050" s="10"/>
      <c r="E9050" s="10"/>
      <c r="F9050" s="10"/>
      <c r="G9050" s="10"/>
      <c r="H9050" s="10"/>
      <c r="I9050" s="10"/>
      <c r="J9050" s="10"/>
      <c r="K9050" s="10"/>
      <c r="L9050" s="10"/>
    </row>
    <row r="9051" spans="1:12" ht="15" customHeight="1" x14ac:dyDescent="0.25">
      <c r="A9051" s="10"/>
      <c r="B9051" s="10"/>
      <c r="C9051" s="10"/>
      <c r="D9051" s="10"/>
      <c r="E9051" s="10"/>
      <c r="F9051" s="10"/>
      <c r="G9051" s="10"/>
      <c r="H9051" s="10"/>
      <c r="I9051" s="10"/>
      <c r="J9051" s="10"/>
      <c r="K9051" s="10"/>
      <c r="L9051" s="10"/>
    </row>
    <row r="9052" spans="1:12" ht="15" customHeight="1" x14ac:dyDescent="0.25">
      <c r="A9052" s="10"/>
      <c r="B9052" s="10"/>
      <c r="C9052" s="10"/>
      <c r="D9052" s="10"/>
      <c r="E9052" s="10"/>
      <c r="F9052" s="10"/>
      <c r="G9052" s="10"/>
      <c r="H9052" s="10"/>
      <c r="I9052" s="10"/>
      <c r="J9052" s="10"/>
      <c r="K9052" s="10"/>
      <c r="L9052" s="10"/>
    </row>
    <row r="9053" spans="1:12" ht="15" customHeight="1" x14ac:dyDescent="0.25">
      <c r="A9053" s="10"/>
      <c r="B9053" s="10"/>
      <c r="C9053" s="10"/>
      <c r="D9053" s="10"/>
      <c r="E9053" s="10"/>
      <c r="F9053" s="10"/>
      <c r="G9053" s="10"/>
      <c r="H9053" s="10"/>
      <c r="I9053" s="10"/>
      <c r="J9053" s="10"/>
      <c r="K9053" s="10"/>
      <c r="L9053" s="10"/>
    </row>
    <row r="9054" spans="1:12" ht="15" customHeight="1" x14ac:dyDescent="0.25">
      <c r="A9054" s="10"/>
      <c r="B9054" s="10"/>
      <c r="C9054" s="10"/>
      <c r="D9054" s="10"/>
      <c r="E9054" s="10"/>
      <c r="F9054" s="10"/>
      <c r="G9054" s="10"/>
      <c r="H9054" s="10"/>
      <c r="I9054" s="10"/>
      <c r="J9054" s="10"/>
      <c r="K9054" s="10"/>
      <c r="L9054" s="10"/>
    </row>
    <row r="9055" spans="1:12" ht="15" customHeight="1" x14ac:dyDescent="0.25">
      <c r="A9055" s="10"/>
      <c r="B9055" s="10"/>
      <c r="C9055" s="10"/>
      <c r="D9055" s="10"/>
      <c r="E9055" s="10"/>
      <c r="F9055" s="10"/>
      <c r="G9055" s="10"/>
      <c r="H9055" s="10"/>
      <c r="I9055" s="10"/>
      <c r="J9055" s="10"/>
      <c r="K9055" s="10"/>
      <c r="L9055" s="10"/>
    </row>
    <row r="9056" spans="1:12" ht="15" customHeight="1" x14ac:dyDescent="0.25">
      <c r="A9056" s="10"/>
      <c r="B9056" s="10"/>
      <c r="C9056" s="10"/>
      <c r="D9056" s="10"/>
      <c r="E9056" s="10"/>
      <c r="F9056" s="10"/>
      <c r="G9056" s="10"/>
      <c r="H9056" s="10"/>
      <c r="I9056" s="10"/>
      <c r="J9056" s="10"/>
      <c r="K9056" s="10"/>
      <c r="L9056" s="10"/>
    </row>
    <row r="9057" spans="1:12" ht="15" customHeight="1" x14ac:dyDescent="0.25">
      <c r="A9057" s="10"/>
      <c r="B9057" s="10"/>
      <c r="C9057" s="10"/>
      <c r="D9057" s="10"/>
      <c r="E9057" s="10"/>
      <c r="F9057" s="10"/>
      <c r="G9057" s="10"/>
      <c r="H9057" s="10"/>
      <c r="I9057" s="10"/>
      <c r="J9057" s="10"/>
      <c r="K9057" s="10"/>
      <c r="L9057" s="10"/>
    </row>
    <row r="9058" spans="1:12" ht="15" customHeight="1" x14ac:dyDescent="0.25">
      <c r="A9058" s="10"/>
      <c r="B9058" s="10"/>
      <c r="C9058" s="10"/>
      <c r="D9058" s="10"/>
      <c r="E9058" s="10"/>
      <c r="F9058" s="10"/>
      <c r="G9058" s="10"/>
      <c r="H9058" s="10"/>
      <c r="I9058" s="10"/>
      <c r="J9058" s="10"/>
      <c r="K9058" s="10"/>
      <c r="L9058" s="10"/>
    </row>
    <row r="9059" spans="1:12" ht="15" customHeight="1" x14ac:dyDescent="0.25">
      <c r="A9059" s="10"/>
      <c r="B9059" s="10"/>
      <c r="C9059" s="10"/>
      <c r="D9059" s="10"/>
      <c r="E9059" s="10"/>
      <c r="F9059" s="10"/>
      <c r="G9059" s="10"/>
      <c r="H9059" s="10"/>
      <c r="I9059" s="10"/>
      <c r="J9059" s="10"/>
      <c r="K9059" s="10"/>
      <c r="L9059" s="10"/>
    </row>
    <row r="9060" spans="1:12" ht="15" customHeight="1" x14ac:dyDescent="0.25">
      <c r="A9060" s="10"/>
      <c r="B9060" s="10"/>
      <c r="C9060" s="10"/>
      <c r="D9060" s="10"/>
      <c r="E9060" s="10"/>
      <c r="F9060" s="10"/>
      <c r="G9060" s="10"/>
      <c r="H9060" s="10"/>
      <c r="I9060" s="10"/>
      <c r="J9060" s="10"/>
      <c r="K9060" s="10"/>
      <c r="L9060" s="10"/>
    </row>
    <row r="9061" spans="1:12" ht="15" customHeight="1" x14ac:dyDescent="0.25">
      <c r="A9061" s="10"/>
      <c r="B9061" s="10"/>
      <c r="C9061" s="10"/>
      <c r="D9061" s="10"/>
      <c r="E9061" s="10"/>
      <c r="F9061" s="10"/>
      <c r="G9061" s="10"/>
      <c r="H9061" s="10"/>
      <c r="I9061" s="10"/>
      <c r="J9061" s="10"/>
      <c r="K9061" s="10"/>
      <c r="L9061" s="10"/>
    </row>
    <row r="9062" spans="1:12" ht="15" customHeight="1" x14ac:dyDescent="0.25">
      <c r="A9062" s="10"/>
      <c r="B9062" s="10"/>
      <c r="C9062" s="10"/>
      <c r="D9062" s="10"/>
      <c r="E9062" s="10"/>
      <c r="F9062" s="10"/>
      <c r="G9062" s="10"/>
      <c r="H9062" s="10"/>
      <c r="I9062" s="10"/>
      <c r="J9062" s="10"/>
      <c r="K9062" s="10"/>
      <c r="L9062" s="10"/>
    </row>
    <row r="9063" spans="1:12" ht="15" customHeight="1" x14ac:dyDescent="0.25">
      <c r="A9063" s="10"/>
      <c r="B9063" s="10"/>
      <c r="C9063" s="10"/>
      <c r="D9063" s="10"/>
      <c r="E9063" s="10"/>
      <c r="F9063" s="10"/>
      <c r="G9063" s="10"/>
      <c r="H9063" s="10"/>
      <c r="I9063" s="10"/>
      <c r="J9063" s="10"/>
      <c r="K9063" s="10"/>
      <c r="L9063" s="10"/>
    </row>
    <row r="9064" spans="1:12" ht="15" customHeight="1" x14ac:dyDescent="0.25">
      <c r="A9064" s="10"/>
      <c r="B9064" s="10"/>
      <c r="C9064" s="10"/>
      <c r="D9064" s="10"/>
      <c r="E9064" s="10"/>
      <c r="F9064" s="10"/>
      <c r="G9064" s="10"/>
      <c r="H9064" s="10"/>
      <c r="I9064" s="10"/>
      <c r="J9064" s="10"/>
      <c r="K9064" s="10"/>
      <c r="L9064" s="10"/>
    </row>
    <row r="9065" spans="1:12" ht="15" customHeight="1" x14ac:dyDescent="0.25">
      <c r="A9065" s="10"/>
      <c r="B9065" s="10"/>
      <c r="C9065" s="10"/>
      <c r="D9065" s="10"/>
      <c r="E9065" s="10"/>
      <c r="F9065" s="10"/>
      <c r="G9065" s="10"/>
      <c r="H9065" s="10"/>
      <c r="I9065" s="10"/>
      <c r="J9065" s="10"/>
      <c r="K9065" s="10"/>
      <c r="L9065" s="10"/>
    </row>
    <row r="9066" spans="1:12" ht="15" customHeight="1" x14ac:dyDescent="0.25">
      <c r="A9066" s="10"/>
      <c r="B9066" s="10"/>
      <c r="C9066" s="10"/>
      <c r="D9066" s="10"/>
      <c r="E9066" s="10"/>
      <c r="F9066" s="10"/>
      <c r="G9066" s="10"/>
      <c r="H9066" s="10"/>
      <c r="I9066" s="10"/>
      <c r="J9066" s="10"/>
      <c r="K9066" s="10"/>
      <c r="L9066" s="10"/>
    </row>
    <row r="9067" spans="1:12" ht="15" customHeight="1" x14ac:dyDescent="0.25">
      <c r="A9067" s="10"/>
      <c r="B9067" s="10"/>
      <c r="C9067" s="10"/>
      <c r="D9067" s="10"/>
      <c r="E9067" s="10"/>
      <c r="F9067" s="10"/>
      <c r="G9067" s="10"/>
      <c r="H9067" s="10"/>
      <c r="I9067" s="10"/>
      <c r="J9067" s="10"/>
      <c r="K9067" s="10"/>
      <c r="L9067" s="10"/>
    </row>
    <row r="9068" spans="1:12" ht="15" customHeight="1" x14ac:dyDescent="0.25">
      <c r="A9068" s="10"/>
      <c r="B9068" s="10"/>
      <c r="C9068" s="10"/>
      <c r="D9068" s="10"/>
      <c r="E9068" s="10"/>
      <c r="F9068" s="10"/>
      <c r="G9068" s="10"/>
      <c r="H9068" s="10"/>
      <c r="I9068" s="10"/>
      <c r="J9068" s="10"/>
      <c r="K9068" s="10"/>
      <c r="L9068" s="10"/>
    </row>
    <row r="9069" spans="1:12" ht="15" customHeight="1" x14ac:dyDescent="0.25">
      <c r="A9069" s="10"/>
      <c r="B9069" s="10"/>
      <c r="C9069" s="10"/>
      <c r="D9069" s="10"/>
      <c r="E9069" s="10"/>
      <c r="F9069" s="10"/>
      <c r="G9069" s="10"/>
      <c r="H9069" s="10"/>
      <c r="I9069" s="10"/>
      <c r="J9069" s="10"/>
      <c r="K9069" s="10"/>
      <c r="L9069" s="10"/>
    </row>
    <row r="9070" spans="1:12" ht="15" customHeight="1" x14ac:dyDescent="0.25">
      <c r="A9070" s="10"/>
      <c r="B9070" s="10"/>
      <c r="C9070" s="10"/>
      <c r="D9070" s="10"/>
      <c r="E9070" s="10"/>
      <c r="F9070" s="10"/>
      <c r="G9070" s="10"/>
      <c r="H9070" s="10"/>
      <c r="I9070" s="10"/>
      <c r="J9070" s="10"/>
      <c r="K9070" s="10"/>
      <c r="L9070" s="10"/>
    </row>
    <row r="9071" spans="1:12" ht="15" customHeight="1" x14ac:dyDescent="0.25">
      <c r="A9071" s="10"/>
      <c r="B9071" s="10"/>
      <c r="C9071" s="10"/>
      <c r="D9071" s="10"/>
      <c r="E9071" s="10"/>
      <c r="F9071" s="10"/>
      <c r="G9071" s="10"/>
      <c r="H9071" s="10"/>
      <c r="I9071" s="10"/>
      <c r="J9071" s="10"/>
      <c r="K9071" s="10"/>
      <c r="L9071" s="10"/>
    </row>
    <row r="9072" spans="1:12" ht="15" customHeight="1" x14ac:dyDescent="0.25">
      <c r="A9072" s="10"/>
      <c r="B9072" s="10"/>
      <c r="C9072" s="10"/>
      <c r="D9072" s="10"/>
      <c r="E9072" s="10"/>
      <c r="F9072" s="10"/>
      <c r="G9072" s="10"/>
      <c r="H9072" s="10"/>
      <c r="I9072" s="10"/>
      <c r="J9072" s="10"/>
      <c r="K9072" s="10"/>
      <c r="L9072" s="10"/>
    </row>
    <row r="9073" spans="1:12" ht="15" customHeight="1" x14ac:dyDescent="0.25">
      <c r="A9073" s="10"/>
      <c r="B9073" s="10"/>
      <c r="C9073" s="10"/>
      <c r="D9073" s="10"/>
      <c r="E9073" s="10"/>
      <c r="F9073" s="10"/>
      <c r="G9073" s="10"/>
      <c r="H9073" s="10"/>
      <c r="I9073" s="10"/>
      <c r="J9073" s="10"/>
      <c r="K9073" s="10"/>
      <c r="L9073" s="10"/>
    </row>
    <row r="9074" spans="1:12" ht="15" customHeight="1" x14ac:dyDescent="0.25">
      <c r="A9074" s="10"/>
      <c r="B9074" s="10"/>
      <c r="C9074" s="10"/>
      <c r="D9074" s="10"/>
      <c r="E9074" s="10"/>
      <c r="F9074" s="10"/>
      <c r="G9074" s="10"/>
      <c r="H9074" s="10"/>
      <c r="I9074" s="10"/>
      <c r="J9074" s="10"/>
      <c r="K9074" s="10"/>
      <c r="L9074" s="10"/>
    </row>
    <row r="9075" spans="1:12" ht="15" customHeight="1" x14ac:dyDescent="0.25">
      <c r="A9075" s="10"/>
      <c r="B9075" s="10"/>
      <c r="C9075" s="10"/>
      <c r="D9075" s="10"/>
      <c r="E9075" s="10"/>
      <c r="F9075" s="10"/>
      <c r="G9075" s="10"/>
      <c r="H9075" s="10"/>
      <c r="I9075" s="10"/>
      <c r="J9075" s="10"/>
      <c r="K9075" s="10"/>
      <c r="L9075" s="10"/>
    </row>
    <row r="9076" spans="1:12" ht="15" customHeight="1" x14ac:dyDescent="0.25">
      <c r="A9076" s="10"/>
      <c r="B9076" s="10"/>
      <c r="C9076" s="10"/>
      <c r="D9076" s="10"/>
      <c r="E9076" s="10"/>
      <c r="F9076" s="10"/>
      <c r="G9076" s="10"/>
      <c r="H9076" s="10"/>
      <c r="I9076" s="10"/>
      <c r="J9076" s="10"/>
      <c r="K9076" s="10"/>
      <c r="L9076" s="10"/>
    </row>
    <row r="9077" spans="1:12" ht="15" customHeight="1" x14ac:dyDescent="0.25">
      <c r="A9077" s="10"/>
      <c r="B9077" s="10"/>
      <c r="C9077" s="10"/>
      <c r="D9077" s="10"/>
      <c r="E9077" s="10"/>
      <c r="F9077" s="10"/>
      <c r="G9077" s="10"/>
      <c r="H9077" s="10"/>
      <c r="I9077" s="10"/>
      <c r="J9077" s="10"/>
      <c r="K9077" s="10"/>
      <c r="L9077" s="10"/>
    </row>
    <row r="9078" spans="1:12" ht="15" customHeight="1" x14ac:dyDescent="0.25">
      <c r="A9078" s="10"/>
      <c r="B9078" s="10"/>
      <c r="C9078" s="10"/>
      <c r="D9078" s="10"/>
      <c r="E9078" s="10"/>
      <c r="F9078" s="10"/>
      <c r="G9078" s="10"/>
      <c r="H9078" s="10"/>
      <c r="I9078" s="10"/>
      <c r="J9078" s="10"/>
      <c r="K9078" s="10"/>
      <c r="L9078" s="10"/>
    </row>
    <row r="9079" spans="1:12" ht="15" customHeight="1" x14ac:dyDescent="0.25">
      <c r="A9079" s="10"/>
      <c r="B9079" s="10"/>
      <c r="C9079" s="10"/>
      <c r="D9079" s="10"/>
      <c r="E9079" s="10"/>
      <c r="F9079" s="10"/>
      <c r="G9079" s="10"/>
      <c r="H9079" s="10"/>
      <c r="I9079" s="10"/>
      <c r="J9079" s="10"/>
      <c r="K9079" s="10"/>
      <c r="L9079" s="10"/>
    </row>
    <row r="9080" spans="1:12" ht="15" customHeight="1" x14ac:dyDescent="0.25">
      <c r="A9080" s="10"/>
      <c r="B9080" s="10"/>
      <c r="C9080" s="10"/>
      <c r="D9080" s="10"/>
      <c r="E9080" s="10"/>
      <c r="F9080" s="10"/>
      <c r="G9080" s="10"/>
      <c r="H9080" s="10"/>
      <c r="I9080" s="10"/>
      <c r="J9080" s="10"/>
      <c r="K9080" s="10"/>
      <c r="L9080" s="10"/>
    </row>
    <row r="9081" spans="1:12" ht="15" customHeight="1" x14ac:dyDescent="0.25">
      <c r="A9081" s="10"/>
      <c r="B9081" s="10"/>
      <c r="C9081" s="10"/>
      <c r="D9081" s="10"/>
      <c r="E9081" s="10"/>
      <c r="F9081" s="10"/>
      <c r="G9081" s="10"/>
      <c r="H9081" s="10"/>
      <c r="I9081" s="10"/>
      <c r="J9081" s="10"/>
      <c r="K9081" s="10"/>
      <c r="L9081" s="10"/>
    </row>
    <row r="9082" spans="1:12" ht="15" customHeight="1" x14ac:dyDescent="0.25">
      <c r="A9082" s="10"/>
      <c r="B9082" s="10"/>
      <c r="C9082" s="10"/>
      <c r="D9082" s="10"/>
      <c r="E9082" s="10"/>
      <c r="F9082" s="10"/>
      <c r="G9082" s="10"/>
      <c r="H9082" s="10"/>
      <c r="I9082" s="10"/>
      <c r="J9082" s="10"/>
      <c r="K9082" s="10"/>
      <c r="L9082" s="10"/>
    </row>
    <row r="9083" spans="1:12" ht="15" customHeight="1" x14ac:dyDescent="0.25">
      <c r="A9083" s="10"/>
      <c r="B9083" s="10"/>
      <c r="C9083" s="10"/>
      <c r="D9083" s="10"/>
      <c r="E9083" s="10"/>
      <c r="F9083" s="10"/>
      <c r="G9083" s="10"/>
      <c r="H9083" s="10"/>
      <c r="I9083" s="10"/>
      <c r="J9083" s="10"/>
      <c r="K9083" s="10"/>
      <c r="L9083" s="10"/>
    </row>
    <row r="9084" spans="1:12" ht="15" customHeight="1" x14ac:dyDescent="0.25">
      <c r="A9084" s="10"/>
      <c r="B9084" s="10"/>
      <c r="C9084" s="10"/>
      <c r="D9084" s="10"/>
      <c r="E9084" s="10"/>
      <c r="F9084" s="10"/>
      <c r="G9084" s="10"/>
      <c r="H9084" s="10"/>
      <c r="I9084" s="10"/>
      <c r="J9084" s="10"/>
      <c r="K9084" s="10"/>
      <c r="L9084" s="10"/>
    </row>
    <row r="9085" spans="1:12" ht="15" customHeight="1" x14ac:dyDescent="0.25">
      <c r="A9085" s="10"/>
      <c r="B9085" s="10"/>
      <c r="C9085" s="10"/>
      <c r="D9085" s="10"/>
      <c r="E9085" s="10"/>
      <c r="F9085" s="10"/>
      <c r="G9085" s="10"/>
      <c r="H9085" s="10"/>
      <c r="I9085" s="10"/>
      <c r="J9085" s="10"/>
      <c r="K9085" s="10"/>
      <c r="L9085" s="10"/>
    </row>
    <row r="9086" spans="1:12" ht="15" customHeight="1" x14ac:dyDescent="0.25">
      <c r="A9086" s="10"/>
      <c r="B9086" s="10"/>
      <c r="C9086" s="10"/>
      <c r="D9086" s="10"/>
      <c r="E9086" s="10"/>
      <c r="F9086" s="10"/>
      <c r="G9086" s="10"/>
      <c r="H9086" s="10"/>
      <c r="I9086" s="10"/>
      <c r="J9086" s="10"/>
      <c r="K9086" s="10"/>
      <c r="L9086" s="10"/>
    </row>
    <row r="9087" spans="1:12" ht="15" customHeight="1" x14ac:dyDescent="0.25">
      <c r="A9087" s="10"/>
      <c r="B9087" s="10"/>
      <c r="C9087" s="10"/>
      <c r="D9087" s="10"/>
      <c r="E9087" s="10"/>
      <c r="F9087" s="10"/>
      <c r="G9087" s="10"/>
      <c r="H9087" s="10"/>
      <c r="I9087" s="10"/>
      <c r="J9087" s="10"/>
      <c r="K9087" s="10"/>
      <c r="L9087" s="10"/>
    </row>
    <row r="9088" spans="1:12" ht="15" customHeight="1" x14ac:dyDescent="0.25">
      <c r="A9088" s="10"/>
      <c r="B9088" s="10"/>
      <c r="C9088" s="10"/>
      <c r="D9088" s="10"/>
      <c r="E9088" s="10"/>
      <c r="F9088" s="10"/>
      <c r="G9088" s="10"/>
      <c r="H9088" s="10"/>
      <c r="I9088" s="10"/>
      <c r="J9088" s="10"/>
      <c r="K9088" s="10"/>
      <c r="L9088" s="10"/>
    </row>
    <row r="9089" spans="1:12" ht="15" customHeight="1" x14ac:dyDescent="0.25">
      <c r="A9089" s="10"/>
      <c r="B9089" s="10"/>
      <c r="C9089" s="10"/>
      <c r="D9089" s="10"/>
      <c r="E9089" s="10"/>
      <c r="F9089" s="10"/>
      <c r="G9089" s="10"/>
      <c r="H9089" s="10"/>
      <c r="I9089" s="10"/>
      <c r="J9089" s="10"/>
      <c r="K9089" s="10"/>
      <c r="L9089" s="10"/>
    </row>
    <row r="9090" spans="1:12" ht="15" customHeight="1" x14ac:dyDescent="0.25">
      <c r="A9090" s="10"/>
      <c r="B9090" s="10"/>
      <c r="C9090" s="10"/>
      <c r="D9090" s="10"/>
      <c r="E9090" s="10"/>
      <c r="F9090" s="10"/>
      <c r="G9090" s="10"/>
      <c r="H9090" s="10"/>
      <c r="I9090" s="10"/>
      <c r="J9090" s="10"/>
      <c r="K9090" s="10"/>
      <c r="L9090" s="10"/>
    </row>
    <row r="9091" spans="1:12" ht="15" customHeight="1" x14ac:dyDescent="0.25">
      <c r="A9091" s="10"/>
      <c r="B9091" s="10"/>
      <c r="C9091" s="10"/>
      <c r="D9091" s="10"/>
      <c r="E9091" s="10"/>
      <c r="F9091" s="10"/>
      <c r="G9091" s="10"/>
      <c r="H9091" s="10"/>
      <c r="I9091" s="10"/>
      <c r="J9091" s="10"/>
      <c r="K9091" s="10"/>
      <c r="L9091" s="10"/>
    </row>
    <row r="9092" spans="1:12" ht="15" customHeight="1" x14ac:dyDescent="0.25">
      <c r="A9092" s="10"/>
      <c r="B9092" s="10"/>
      <c r="C9092" s="10"/>
      <c r="D9092" s="10"/>
      <c r="E9092" s="10"/>
      <c r="F9092" s="10"/>
      <c r="G9092" s="10"/>
      <c r="H9092" s="10"/>
      <c r="I9092" s="10"/>
      <c r="J9092" s="10"/>
      <c r="K9092" s="10"/>
      <c r="L9092" s="10"/>
    </row>
    <row r="9093" spans="1:12" ht="15" customHeight="1" x14ac:dyDescent="0.25">
      <c r="A9093" s="10"/>
      <c r="B9093" s="10"/>
      <c r="C9093" s="10"/>
      <c r="D9093" s="10"/>
      <c r="E9093" s="10"/>
      <c r="F9093" s="10"/>
      <c r="G9093" s="10"/>
      <c r="H9093" s="10"/>
      <c r="I9093" s="10"/>
      <c r="J9093" s="10"/>
      <c r="K9093" s="10"/>
      <c r="L9093" s="10"/>
    </row>
    <row r="9094" spans="1:12" ht="15" customHeight="1" x14ac:dyDescent="0.25">
      <c r="A9094" s="10"/>
      <c r="B9094" s="10"/>
      <c r="C9094" s="10"/>
      <c r="D9094" s="10"/>
      <c r="E9094" s="10"/>
      <c r="F9094" s="10"/>
      <c r="G9094" s="10"/>
      <c r="H9094" s="10"/>
      <c r="I9094" s="10"/>
      <c r="J9094" s="10"/>
      <c r="K9094" s="10"/>
      <c r="L9094" s="10"/>
    </row>
    <row r="9095" spans="1:12" ht="15" customHeight="1" x14ac:dyDescent="0.25">
      <c r="A9095" s="10"/>
      <c r="B9095" s="10"/>
      <c r="C9095" s="10"/>
      <c r="D9095" s="10"/>
      <c r="E9095" s="10"/>
      <c r="F9095" s="10"/>
      <c r="G9095" s="10"/>
      <c r="H9095" s="10"/>
      <c r="I9095" s="10"/>
      <c r="J9095" s="10"/>
      <c r="K9095" s="10"/>
      <c r="L9095" s="10"/>
    </row>
    <row r="9096" spans="1:12" ht="15" customHeight="1" x14ac:dyDescent="0.25">
      <c r="A9096" s="10"/>
      <c r="B9096" s="10"/>
      <c r="C9096" s="10"/>
      <c r="D9096" s="10"/>
      <c r="E9096" s="10"/>
      <c r="F9096" s="10"/>
      <c r="G9096" s="10"/>
      <c r="H9096" s="10"/>
      <c r="I9096" s="10"/>
      <c r="J9096" s="10"/>
      <c r="K9096" s="10"/>
      <c r="L9096" s="10"/>
    </row>
    <row r="9097" spans="1:12" ht="15" customHeight="1" x14ac:dyDescent="0.25">
      <c r="A9097" s="10"/>
      <c r="B9097" s="10"/>
      <c r="C9097" s="10"/>
      <c r="D9097" s="10"/>
      <c r="E9097" s="10"/>
      <c r="F9097" s="10"/>
      <c r="G9097" s="10"/>
      <c r="H9097" s="10"/>
      <c r="I9097" s="10"/>
      <c r="J9097" s="10"/>
      <c r="K9097" s="10"/>
      <c r="L9097" s="10"/>
    </row>
    <row r="9098" spans="1:12" ht="15" customHeight="1" x14ac:dyDescent="0.25">
      <c r="A9098" s="10"/>
      <c r="B9098" s="10"/>
      <c r="C9098" s="10"/>
      <c r="D9098" s="10"/>
      <c r="E9098" s="10"/>
      <c r="F9098" s="10"/>
      <c r="G9098" s="10"/>
      <c r="H9098" s="10"/>
      <c r="I9098" s="10"/>
      <c r="J9098" s="10"/>
      <c r="K9098" s="10"/>
      <c r="L9098" s="10"/>
    </row>
    <row r="9099" spans="1:12" ht="15" customHeight="1" x14ac:dyDescent="0.25">
      <c r="A9099" s="10"/>
      <c r="B9099" s="10"/>
      <c r="C9099" s="10"/>
      <c r="D9099" s="10"/>
      <c r="E9099" s="10"/>
      <c r="F9099" s="10"/>
      <c r="G9099" s="10"/>
      <c r="H9099" s="10"/>
      <c r="I9099" s="10"/>
      <c r="J9099" s="10"/>
      <c r="K9099" s="10"/>
      <c r="L9099" s="10"/>
    </row>
    <row r="9100" spans="1:12" ht="15" customHeight="1" x14ac:dyDescent="0.25">
      <c r="A9100" s="10"/>
      <c r="B9100" s="10"/>
      <c r="C9100" s="10"/>
      <c r="D9100" s="10"/>
      <c r="E9100" s="10"/>
      <c r="F9100" s="10"/>
      <c r="G9100" s="10"/>
      <c r="H9100" s="10"/>
      <c r="I9100" s="10"/>
      <c r="J9100" s="10"/>
      <c r="K9100" s="10"/>
      <c r="L9100" s="10"/>
    </row>
    <row r="9101" spans="1:12" ht="15" customHeight="1" x14ac:dyDescent="0.25">
      <c r="A9101" s="10"/>
      <c r="B9101" s="10"/>
      <c r="C9101" s="10"/>
      <c r="D9101" s="10"/>
      <c r="E9101" s="10"/>
      <c r="F9101" s="10"/>
      <c r="G9101" s="10"/>
      <c r="H9101" s="10"/>
      <c r="I9101" s="10"/>
      <c r="J9101" s="10"/>
      <c r="K9101" s="10"/>
      <c r="L9101" s="10"/>
    </row>
    <row r="9102" spans="1:12" ht="15" customHeight="1" x14ac:dyDescent="0.25">
      <c r="A9102" s="10"/>
      <c r="B9102" s="10"/>
      <c r="C9102" s="10"/>
      <c r="D9102" s="10"/>
      <c r="E9102" s="10"/>
      <c r="F9102" s="10"/>
      <c r="G9102" s="10"/>
      <c r="H9102" s="10"/>
      <c r="I9102" s="10"/>
      <c r="J9102" s="10"/>
      <c r="K9102" s="10"/>
      <c r="L9102" s="10"/>
    </row>
    <row r="9103" spans="1:12" ht="15" customHeight="1" x14ac:dyDescent="0.25">
      <c r="A9103" s="10"/>
      <c r="B9103" s="10"/>
      <c r="C9103" s="10"/>
      <c r="D9103" s="10"/>
      <c r="E9103" s="10"/>
      <c r="F9103" s="10"/>
      <c r="G9103" s="10"/>
      <c r="H9103" s="10"/>
      <c r="I9103" s="10"/>
      <c r="J9103" s="10"/>
      <c r="K9103" s="10"/>
      <c r="L9103" s="10"/>
    </row>
    <row r="9104" spans="1:12" ht="15" customHeight="1" x14ac:dyDescent="0.25">
      <c r="A9104" s="10"/>
      <c r="B9104" s="10"/>
      <c r="C9104" s="10"/>
      <c r="D9104" s="10"/>
      <c r="E9104" s="10"/>
      <c r="F9104" s="10"/>
      <c r="G9104" s="10"/>
      <c r="H9104" s="10"/>
      <c r="I9104" s="10"/>
      <c r="J9104" s="10"/>
      <c r="K9104" s="10"/>
      <c r="L9104" s="10"/>
    </row>
    <row r="9105" spans="1:12" ht="15" customHeight="1" x14ac:dyDescent="0.25">
      <c r="A9105" s="10"/>
      <c r="B9105" s="10"/>
      <c r="C9105" s="10"/>
      <c r="D9105" s="10"/>
      <c r="E9105" s="10"/>
      <c r="F9105" s="10"/>
      <c r="G9105" s="10"/>
      <c r="H9105" s="10"/>
      <c r="I9105" s="10"/>
      <c r="J9105" s="10"/>
      <c r="K9105" s="10"/>
      <c r="L9105" s="10"/>
    </row>
    <row r="9106" spans="1:12" ht="15" customHeight="1" x14ac:dyDescent="0.25">
      <c r="A9106" s="10"/>
      <c r="B9106" s="10"/>
      <c r="C9106" s="10"/>
      <c r="D9106" s="10"/>
      <c r="E9106" s="10"/>
      <c r="F9106" s="10"/>
      <c r="G9106" s="10"/>
      <c r="H9106" s="10"/>
      <c r="I9106" s="10"/>
      <c r="J9106" s="10"/>
      <c r="K9106" s="10"/>
      <c r="L9106" s="10"/>
    </row>
    <row r="9107" spans="1:12" ht="15" customHeight="1" x14ac:dyDescent="0.25">
      <c r="A9107" s="10"/>
      <c r="B9107" s="10"/>
      <c r="C9107" s="10"/>
      <c r="D9107" s="10"/>
      <c r="E9107" s="10"/>
      <c r="F9107" s="10"/>
      <c r="G9107" s="10"/>
      <c r="H9107" s="10"/>
      <c r="I9107" s="10"/>
      <c r="J9107" s="10"/>
      <c r="K9107" s="10"/>
      <c r="L9107" s="10"/>
    </row>
    <row r="9108" spans="1:12" ht="15" customHeight="1" x14ac:dyDescent="0.25">
      <c r="A9108" s="10"/>
      <c r="B9108" s="10"/>
      <c r="C9108" s="10"/>
      <c r="D9108" s="10"/>
      <c r="E9108" s="10"/>
      <c r="F9108" s="10"/>
      <c r="G9108" s="10"/>
      <c r="H9108" s="10"/>
      <c r="I9108" s="10"/>
      <c r="J9108" s="10"/>
      <c r="K9108" s="10"/>
      <c r="L9108" s="10"/>
    </row>
    <row r="9109" spans="1:12" ht="15" customHeight="1" x14ac:dyDescent="0.25">
      <c r="A9109" s="10"/>
      <c r="B9109" s="10"/>
      <c r="C9109" s="10"/>
      <c r="D9109" s="10"/>
      <c r="E9109" s="10"/>
      <c r="F9109" s="10"/>
      <c r="G9109" s="10"/>
      <c r="H9109" s="10"/>
      <c r="I9109" s="10"/>
      <c r="J9109" s="10"/>
      <c r="K9109" s="10"/>
      <c r="L9109" s="10"/>
    </row>
    <row r="9110" spans="1:12" ht="15" customHeight="1" x14ac:dyDescent="0.25">
      <c r="A9110" s="10"/>
      <c r="B9110" s="10"/>
      <c r="C9110" s="10"/>
      <c r="D9110" s="10"/>
      <c r="E9110" s="10"/>
      <c r="F9110" s="10"/>
      <c r="G9110" s="10"/>
      <c r="H9110" s="10"/>
      <c r="I9110" s="10"/>
      <c r="J9110" s="10"/>
      <c r="K9110" s="10"/>
      <c r="L9110" s="10"/>
    </row>
    <row r="9111" spans="1:12" ht="15" customHeight="1" x14ac:dyDescent="0.25">
      <c r="A9111" s="10"/>
      <c r="B9111" s="10"/>
      <c r="C9111" s="10"/>
      <c r="D9111" s="10"/>
      <c r="E9111" s="10"/>
      <c r="F9111" s="10"/>
      <c r="G9111" s="10"/>
      <c r="H9111" s="10"/>
      <c r="I9111" s="10"/>
      <c r="J9111" s="10"/>
      <c r="K9111" s="10"/>
      <c r="L9111" s="10"/>
    </row>
    <row r="9112" spans="1:12" ht="15" customHeight="1" x14ac:dyDescent="0.25">
      <c r="A9112" s="10"/>
      <c r="B9112" s="10"/>
      <c r="C9112" s="10"/>
      <c r="D9112" s="10"/>
      <c r="E9112" s="10"/>
      <c r="F9112" s="10"/>
      <c r="G9112" s="10"/>
      <c r="H9112" s="10"/>
      <c r="I9112" s="10"/>
      <c r="J9112" s="10"/>
      <c r="K9112" s="10"/>
      <c r="L9112" s="10"/>
    </row>
    <row r="9113" spans="1:12" ht="15" customHeight="1" x14ac:dyDescent="0.25">
      <c r="A9113" s="10"/>
      <c r="B9113" s="10"/>
      <c r="C9113" s="10"/>
      <c r="D9113" s="10"/>
      <c r="E9113" s="10"/>
      <c r="F9113" s="10"/>
      <c r="G9113" s="10"/>
      <c r="H9113" s="10"/>
      <c r="I9113" s="10"/>
      <c r="J9113" s="10"/>
      <c r="K9113" s="10"/>
      <c r="L9113" s="10"/>
    </row>
    <row r="9114" spans="1:12" ht="15" customHeight="1" x14ac:dyDescent="0.25">
      <c r="A9114" s="10"/>
      <c r="B9114" s="10"/>
      <c r="C9114" s="10"/>
      <c r="D9114" s="10"/>
      <c r="E9114" s="10"/>
      <c r="F9114" s="10"/>
      <c r="G9114" s="10"/>
      <c r="H9114" s="10"/>
      <c r="I9114" s="10"/>
      <c r="J9114" s="10"/>
      <c r="K9114" s="10"/>
      <c r="L9114" s="10"/>
    </row>
    <row r="9115" spans="1:12" ht="15" customHeight="1" x14ac:dyDescent="0.25">
      <c r="A9115" s="10"/>
      <c r="B9115" s="10"/>
      <c r="C9115" s="10"/>
      <c r="D9115" s="10"/>
      <c r="E9115" s="10"/>
      <c r="F9115" s="10"/>
      <c r="G9115" s="10"/>
      <c r="H9115" s="10"/>
      <c r="I9115" s="10"/>
      <c r="J9115" s="10"/>
      <c r="K9115" s="10"/>
      <c r="L9115" s="10"/>
    </row>
    <row r="9116" spans="1:12" ht="15" customHeight="1" x14ac:dyDescent="0.25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0"/>
    </row>
    <row r="9117" spans="1:12" ht="15" customHeight="1" x14ac:dyDescent="0.25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0"/>
    </row>
    <row r="9118" spans="1:12" ht="15" customHeight="1" x14ac:dyDescent="0.25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0"/>
    </row>
    <row r="9119" spans="1:12" ht="15" customHeight="1" x14ac:dyDescent="0.25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0"/>
    </row>
    <row r="9120" spans="1:12" ht="15" customHeight="1" x14ac:dyDescent="0.25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0"/>
    </row>
    <row r="9121" spans="1:12" ht="15" customHeight="1" x14ac:dyDescent="0.25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0"/>
    </row>
    <row r="9122" spans="1:12" ht="15" customHeight="1" x14ac:dyDescent="0.25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0"/>
    </row>
    <row r="9123" spans="1:12" ht="15" customHeight="1" x14ac:dyDescent="0.25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0"/>
    </row>
    <row r="9124" spans="1:12" ht="15" customHeight="1" x14ac:dyDescent="0.25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0"/>
    </row>
    <row r="9125" spans="1:12" ht="15" customHeight="1" x14ac:dyDescent="0.25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0"/>
    </row>
    <row r="9126" spans="1:12" ht="15" customHeight="1" x14ac:dyDescent="0.25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0"/>
    </row>
    <row r="9127" spans="1:12" ht="15" customHeight="1" x14ac:dyDescent="0.25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0"/>
    </row>
    <row r="9128" spans="1:12" ht="15" customHeight="1" x14ac:dyDescent="0.25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0"/>
    </row>
    <row r="9129" spans="1:12" ht="15" customHeight="1" x14ac:dyDescent="0.25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0"/>
    </row>
    <row r="9130" spans="1:12" ht="15" customHeight="1" x14ac:dyDescent="0.25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0"/>
    </row>
    <row r="9131" spans="1:12" ht="15" customHeight="1" x14ac:dyDescent="0.25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0"/>
    </row>
    <row r="9132" spans="1:12" ht="15" customHeight="1" x14ac:dyDescent="0.25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0"/>
    </row>
    <row r="9133" spans="1:12" ht="15" customHeight="1" x14ac:dyDescent="0.25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0"/>
    </row>
    <row r="9134" spans="1:12" ht="15" customHeight="1" x14ac:dyDescent="0.25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0"/>
    </row>
    <row r="9135" spans="1:12" ht="15" customHeight="1" x14ac:dyDescent="0.25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0"/>
    </row>
    <row r="9136" spans="1:12" ht="15" customHeight="1" x14ac:dyDescent="0.25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0"/>
    </row>
    <row r="9137" spans="1:12" ht="15" customHeight="1" x14ac:dyDescent="0.25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0"/>
    </row>
    <row r="9138" spans="1:12" ht="15" customHeight="1" x14ac:dyDescent="0.25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0"/>
    </row>
    <row r="9139" spans="1:12" ht="15" customHeight="1" x14ac:dyDescent="0.25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0"/>
    </row>
    <row r="9140" spans="1:12" ht="15" customHeight="1" x14ac:dyDescent="0.25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0"/>
    </row>
    <row r="9141" spans="1:12" ht="15" customHeight="1" x14ac:dyDescent="0.25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0"/>
    </row>
    <row r="9142" spans="1:12" ht="15" customHeight="1" x14ac:dyDescent="0.25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0"/>
    </row>
    <row r="9143" spans="1:12" ht="15" customHeight="1" x14ac:dyDescent="0.25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0"/>
    </row>
    <row r="9144" spans="1:12" ht="15" customHeight="1" x14ac:dyDescent="0.25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0"/>
    </row>
    <row r="9145" spans="1:12" ht="15" customHeight="1" x14ac:dyDescent="0.25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0"/>
    </row>
    <row r="9146" spans="1:12" ht="15" customHeight="1" x14ac:dyDescent="0.25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0"/>
    </row>
    <row r="9147" spans="1:12" ht="15" customHeight="1" x14ac:dyDescent="0.25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0"/>
    </row>
    <row r="9148" spans="1:12" ht="15" customHeight="1" x14ac:dyDescent="0.25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0"/>
    </row>
    <row r="9149" spans="1:12" ht="15" customHeight="1" x14ac:dyDescent="0.25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0"/>
    </row>
    <row r="9150" spans="1:12" ht="15" customHeight="1" x14ac:dyDescent="0.25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0"/>
    </row>
    <row r="9151" spans="1:12" ht="15" customHeight="1" x14ac:dyDescent="0.25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0"/>
    </row>
    <row r="9152" spans="1:12" ht="15" customHeight="1" x14ac:dyDescent="0.25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0"/>
    </row>
    <row r="9153" spans="1:12" ht="15" customHeight="1" x14ac:dyDescent="0.25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0"/>
    </row>
    <row r="9154" spans="1:12" ht="15" customHeight="1" x14ac:dyDescent="0.25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0"/>
    </row>
    <row r="9155" spans="1:12" ht="15" customHeight="1" x14ac:dyDescent="0.25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0"/>
    </row>
    <row r="9156" spans="1:12" ht="15" customHeight="1" x14ac:dyDescent="0.25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0"/>
    </row>
    <row r="9157" spans="1:12" ht="15" customHeight="1" x14ac:dyDescent="0.25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0"/>
    </row>
    <row r="9158" spans="1:12" ht="15" customHeight="1" x14ac:dyDescent="0.25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0"/>
    </row>
    <row r="9159" spans="1:12" ht="15" customHeight="1" x14ac:dyDescent="0.25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0"/>
    </row>
    <row r="9160" spans="1:12" ht="15" customHeight="1" x14ac:dyDescent="0.25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0"/>
    </row>
    <row r="9161" spans="1:12" ht="15" customHeight="1" x14ac:dyDescent="0.25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0"/>
    </row>
    <row r="9162" spans="1:12" ht="15" customHeight="1" x14ac:dyDescent="0.25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0"/>
    </row>
    <row r="9163" spans="1:12" ht="15" customHeight="1" x14ac:dyDescent="0.25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0"/>
    </row>
    <row r="9164" spans="1:12" ht="15" customHeight="1" x14ac:dyDescent="0.25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0"/>
    </row>
    <row r="9165" spans="1:12" ht="15" customHeight="1" x14ac:dyDescent="0.25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0"/>
    </row>
    <row r="9166" spans="1:12" ht="15" customHeight="1" x14ac:dyDescent="0.25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0"/>
    </row>
    <row r="9167" spans="1:12" ht="15" customHeight="1" x14ac:dyDescent="0.25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0"/>
    </row>
    <row r="9168" spans="1:12" ht="15" customHeight="1" x14ac:dyDescent="0.25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0"/>
    </row>
    <row r="9169" spans="1:12" ht="15" customHeight="1" x14ac:dyDescent="0.25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0"/>
    </row>
    <row r="9170" spans="1:12" ht="15" customHeight="1" x14ac:dyDescent="0.25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0"/>
    </row>
    <row r="9171" spans="1:12" ht="15" customHeight="1" x14ac:dyDescent="0.25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0"/>
    </row>
    <row r="9172" spans="1:12" ht="15" customHeight="1" x14ac:dyDescent="0.25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0"/>
    </row>
    <row r="9173" spans="1:12" ht="15" customHeight="1" x14ac:dyDescent="0.25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0"/>
    </row>
    <row r="9174" spans="1:12" ht="15" customHeight="1" x14ac:dyDescent="0.25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0"/>
    </row>
    <row r="9175" spans="1:12" ht="15" customHeight="1" x14ac:dyDescent="0.25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0"/>
    </row>
    <row r="9176" spans="1:12" ht="15" customHeight="1" x14ac:dyDescent="0.25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0"/>
    </row>
    <row r="9177" spans="1:12" ht="15" customHeight="1" x14ac:dyDescent="0.25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0"/>
    </row>
    <row r="9178" spans="1:12" ht="15" customHeight="1" x14ac:dyDescent="0.25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0"/>
    </row>
    <row r="9179" spans="1:12" ht="15" customHeight="1" x14ac:dyDescent="0.25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0"/>
    </row>
    <row r="9180" spans="1:12" ht="15" customHeight="1" x14ac:dyDescent="0.25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0"/>
    </row>
    <row r="9181" spans="1:12" ht="15" customHeight="1" x14ac:dyDescent="0.25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0"/>
    </row>
    <row r="9182" spans="1:12" ht="15" customHeight="1" x14ac:dyDescent="0.25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0"/>
    </row>
    <row r="9183" spans="1:12" ht="15" customHeight="1" x14ac:dyDescent="0.25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0"/>
    </row>
    <row r="9184" spans="1:12" ht="15" customHeight="1" x14ac:dyDescent="0.25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0"/>
    </row>
    <row r="9185" spans="1:12" ht="15" customHeight="1" x14ac:dyDescent="0.25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0"/>
    </row>
    <row r="9186" spans="1:12" ht="15" customHeight="1" x14ac:dyDescent="0.25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0"/>
    </row>
    <row r="9187" spans="1:12" ht="15" customHeight="1" x14ac:dyDescent="0.25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0"/>
    </row>
    <row r="9188" spans="1:12" ht="15" customHeight="1" x14ac:dyDescent="0.25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0"/>
    </row>
    <row r="9189" spans="1:12" ht="15" customHeight="1" x14ac:dyDescent="0.25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0"/>
    </row>
    <row r="9190" spans="1:12" ht="15" customHeight="1" x14ac:dyDescent="0.25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0"/>
    </row>
    <row r="9191" spans="1:12" ht="15" customHeight="1" x14ac:dyDescent="0.25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0"/>
    </row>
    <row r="9192" spans="1:12" ht="15" customHeight="1" x14ac:dyDescent="0.25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0"/>
    </row>
    <row r="9193" spans="1:12" ht="15" customHeight="1" x14ac:dyDescent="0.25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0"/>
    </row>
    <row r="9194" spans="1:12" ht="15" customHeight="1" x14ac:dyDescent="0.25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0"/>
    </row>
    <row r="9195" spans="1:12" ht="15" customHeight="1" x14ac:dyDescent="0.25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0"/>
    </row>
    <row r="9196" spans="1:12" ht="15" customHeight="1" x14ac:dyDescent="0.25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0"/>
    </row>
    <row r="9197" spans="1:12" ht="15" customHeight="1" x14ac:dyDescent="0.25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0"/>
    </row>
    <row r="9198" spans="1:12" ht="15" customHeight="1" x14ac:dyDescent="0.25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0"/>
    </row>
    <row r="9199" spans="1:12" ht="15" customHeight="1" x14ac:dyDescent="0.25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0"/>
    </row>
    <row r="9200" spans="1:12" ht="15" customHeight="1" x14ac:dyDescent="0.25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0"/>
    </row>
    <row r="9201" spans="1:12" ht="15" customHeight="1" x14ac:dyDescent="0.25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0"/>
    </row>
    <row r="9202" spans="1:12" ht="15" customHeight="1" x14ac:dyDescent="0.25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0"/>
    </row>
    <row r="9203" spans="1:12" ht="15" customHeight="1" x14ac:dyDescent="0.25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0"/>
    </row>
    <row r="9204" spans="1:12" ht="15" customHeight="1" x14ac:dyDescent="0.25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0"/>
    </row>
    <row r="9205" spans="1:12" ht="15" customHeight="1" x14ac:dyDescent="0.25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0"/>
    </row>
    <row r="9206" spans="1:12" ht="15" customHeight="1" x14ac:dyDescent="0.25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0"/>
    </row>
    <row r="9207" spans="1:12" ht="15" customHeight="1" x14ac:dyDescent="0.25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0"/>
    </row>
    <row r="9208" spans="1:12" ht="15" customHeight="1" x14ac:dyDescent="0.25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0"/>
    </row>
    <row r="9209" spans="1:12" ht="15" customHeight="1" x14ac:dyDescent="0.25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0"/>
    </row>
    <row r="9210" spans="1:12" ht="15" customHeight="1" x14ac:dyDescent="0.25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0"/>
    </row>
    <row r="9211" spans="1:12" ht="15" customHeight="1" x14ac:dyDescent="0.25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0"/>
    </row>
    <row r="9212" spans="1:12" ht="15" customHeight="1" x14ac:dyDescent="0.25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0"/>
    </row>
    <row r="9213" spans="1:12" ht="15" customHeight="1" x14ac:dyDescent="0.25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0"/>
    </row>
    <row r="9214" spans="1:12" ht="15" customHeight="1" x14ac:dyDescent="0.25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0"/>
    </row>
    <row r="9215" spans="1:12" ht="15" customHeight="1" x14ac:dyDescent="0.25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0"/>
    </row>
    <row r="9216" spans="1:12" ht="15" customHeight="1" x14ac:dyDescent="0.25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0"/>
    </row>
    <row r="9217" spans="1:12" ht="15" customHeight="1" x14ac:dyDescent="0.25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0"/>
    </row>
    <row r="9218" spans="1:12" ht="15" customHeight="1" x14ac:dyDescent="0.25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0"/>
    </row>
    <row r="9219" spans="1:12" ht="15" customHeight="1" x14ac:dyDescent="0.25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0"/>
    </row>
    <row r="9220" spans="1:12" ht="15" customHeight="1" x14ac:dyDescent="0.25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0"/>
    </row>
    <row r="9221" spans="1:12" ht="15" customHeight="1" x14ac:dyDescent="0.25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0"/>
    </row>
    <row r="9222" spans="1:12" ht="15" customHeight="1" x14ac:dyDescent="0.25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0"/>
    </row>
    <row r="9223" spans="1:12" ht="15" customHeight="1" x14ac:dyDescent="0.25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0"/>
    </row>
    <row r="9224" spans="1:12" ht="15" customHeight="1" x14ac:dyDescent="0.25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0"/>
    </row>
    <row r="9225" spans="1:12" ht="15" customHeight="1" x14ac:dyDescent="0.25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0"/>
    </row>
    <row r="9226" spans="1:12" ht="15" customHeight="1" x14ac:dyDescent="0.25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0"/>
    </row>
    <row r="9227" spans="1:12" ht="15" customHeight="1" x14ac:dyDescent="0.25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0"/>
    </row>
    <row r="9228" spans="1:12" ht="15" customHeight="1" x14ac:dyDescent="0.25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0"/>
    </row>
    <row r="9229" spans="1:12" ht="15" customHeight="1" x14ac:dyDescent="0.25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0"/>
    </row>
    <row r="9230" spans="1:12" ht="15" customHeight="1" x14ac:dyDescent="0.25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0"/>
    </row>
    <row r="9231" spans="1:12" ht="15" customHeight="1" x14ac:dyDescent="0.25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0"/>
    </row>
    <row r="9232" spans="1:12" ht="15" customHeight="1" x14ac:dyDescent="0.25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0"/>
    </row>
    <row r="9233" spans="1:12" ht="15" customHeight="1" x14ac:dyDescent="0.25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0"/>
    </row>
    <row r="9234" spans="1:12" ht="15" customHeight="1" x14ac:dyDescent="0.25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0"/>
    </row>
    <row r="9235" spans="1:12" ht="15" customHeight="1" x14ac:dyDescent="0.25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0"/>
    </row>
    <row r="9236" spans="1:12" ht="15" customHeight="1" x14ac:dyDescent="0.25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0"/>
    </row>
    <row r="9237" spans="1:12" ht="15" customHeight="1" x14ac:dyDescent="0.25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0"/>
    </row>
    <row r="9238" spans="1:12" ht="15" customHeight="1" x14ac:dyDescent="0.25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0"/>
    </row>
    <row r="9239" spans="1:12" ht="15" customHeight="1" x14ac:dyDescent="0.25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0"/>
    </row>
    <row r="9240" spans="1:12" ht="15" customHeight="1" x14ac:dyDescent="0.25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0"/>
    </row>
    <row r="9241" spans="1:12" ht="15" customHeight="1" x14ac:dyDescent="0.25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0"/>
    </row>
    <row r="9242" spans="1:12" ht="15" customHeight="1" x14ac:dyDescent="0.25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0"/>
    </row>
    <row r="9243" spans="1:12" ht="15" customHeight="1" x14ac:dyDescent="0.25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0"/>
    </row>
    <row r="9244" spans="1:12" ht="15" customHeight="1" x14ac:dyDescent="0.25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0"/>
    </row>
    <row r="9245" spans="1:12" ht="15" customHeight="1" x14ac:dyDescent="0.25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0"/>
    </row>
    <row r="9246" spans="1:12" ht="15" customHeight="1" x14ac:dyDescent="0.25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0"/>
    </row>
    <row r="9247" spans="1:12" ht="15" customHeight="1" x14ac:dyDescent="0.25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0"/>
    </row>
    <row r="9248" spans="1:12" ht="15" customHeight="1" x14ac:dyDescent="0.25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0"/>
    </row>
    <row r="9249" spans="1:12" ht="15" customHeight="1" x14ac:dyDescent="0.25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0"/>
    </row>
    <row r="9250" spans="1:12" ht="15" customHeight="1" x14ac:dyDescent="0.25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0"/>
    </row>
    <row r="9251" spans="1:12" ht="15" customHeight="1" x14ac:dyDescent="0.25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0"/>
    </row>
    <row r="9252" spans="1:12" ht="15" customHeight="1" x14ac:dyDescent="0.25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0"/>
    </row>
    <row r="9253" spans="1:12" ht="15" customHeight="1" x14ac:dyDescent="0.25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0"/>
    </row>
    <row r="9254" spans="1:12" ht="15" customHeight="1" x14ac:dyDescent="0.25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0"/>
    </row>
    <row r="9255" spans="1:12" ht="15" customHeight="1" x14ac:dyDescent="0.25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0"/>
    </row>
    <row r="9256" spans="1:12" ht="15" customHeight="1" x14ac:dyDescent="0.25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0"/>
    </row>
    <row r="9257" spans="1:12" ht="15" customHeight="1" x14ac:dyDescent="0.25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0"/>
    </row>
    <row r="9258" spans="1:12" ht="15" customHeight="1" x14ac:dyDescent="0.25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0"/>
    </row>
    <row r="9259" spans="1:12" ht="15" customHeight="1" x14ac:dyDescent="0.25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0"/>
    </row>
    <row r="9260" spans="1:12" ht="15" customHeight="1" x14ac:dyDescent="0.25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0"/>
    </row>
    <row r="9261" spans="1:12" ht="15" customHeight="1" x14ac:dyDescent="0.25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0"/>
    </row>
    <row r="9262" spans="1:12" ht="15" customHeight="1" x14ac:dyDescent="0.25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0"/>
    </row>
    <row r="9263" spans="1:12" ht="15" customHeight="1" x14ac:dyDescent="0.25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0"/>
    </row>
    <row r="9264" spans="1:12" ht="15" customHeight="1" x14ac:dyDescent="0.25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0"/>
    </row>
    <row r="9265" spans="1:12" ht="15" customHeight="1" x14ac:dyDescent="0.25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0"/>
    </row>
    <row r="9266" spans="1:12" ht="15" customHeight="1" x14ac:dyDescent="0.25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0"/>
    </row>
    <row r="9267" spans="1:12" ht="15" customHeight="1" x14ac:dyDescent="0.25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0"/>
    </row>
    <row r="9268" spans="1:12" ht="15" customHeight="1" x14ac:dyDescent="0.25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0"/>
    </row>
    <row r="9269" spans="1:12" ht="15" customHeight="1" x14ac:dyDescent="0.25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0"/>
    </row>
    <row r="9270" spans="1:12" ht="15" customHeight="1" x14ac:dyDescent="0.25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0"/>
    </row>
    <row r="9271" spans="1:12" ht="15" customHeight="1" x14ac:dyDescent="0.25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0"/>
    </row>
    <row r="9272" spans="1:12" ht="15" customHeight="1" x14ac:dyDescent="0.25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0"/>
    </row>
    <row r="9273" spans="1:12" ht="15" customHeight="1" x14ac:dyDescent="0.25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0"/>
    </row>
    <row r="9274" spans="1:12" ht="15" customHeight="1" x14ac:dyDescent="0.25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0"/>
    </row>
    <row r="9275" spans="1:12" ht="15" customHeight="1" x14ac:dyDescent="0.25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0"/>
    </row>
    <row r="9276" spans="1:12" ht="15" customHeight="1" x14ac:dyDescent="0.25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0"/>
    </row>
    <row r="9277" spans="1:12" ht="15" customHeight="1" x14ac:dyDescent="0.25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0"/>
    </row>
    <row r="9278" spans="1:12" ht="15" customHeight="1" x14ac:dyDescent="0.25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0"/>
    </row>
    <row r="9279" spans="1:12" ht="15" customHeight="1" x14ac:dyDescent="0.25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0"/>
    </row>
    <row r="9280" spans="1:12" ht="15" customHeight="1" x14ac:dyDescent="0.25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0"/>
    </row>
    <row r="9281" spans="1:12" ht="15" customHeight="1" x14ac:dyDescent="0.25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0"/>
    </row>
    <row r="9282" spans="1:12" ht="15" customHeight="1" x14ac:dyDescent="0.25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0"/>
    </row>
    <row r="9283" spans="1:12" ht="15" customHeight="1" x14ac:dyDescent="0.25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0"/>
    </row>
    <row r="9284" spans="1:12" ht="15" customHeight="1" x14ac:dyDescent="0.25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0"/>
    </row>
    <row r="9285" spans="1:12" ht="15" customHeight="1" x14ac:dyDescent="0.25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0"/>
    </row>
    <row r="9286" spans="1:12" ht="15" customHeight="1" x14ac:dyDescent="0.25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0"/>
    </row>
    <row r="9287" spans="1:12" ht="15" customHeight="1" x14ac:dyDescent="0.25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0"/>
    </row>
    <row r="9288" spans="1:12" ht="15" customHeight="1" x14ac:dyDescent="0.25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0"/>
    </row>
    <row r="9289" spans="1:12" ht="15" customHeight="1" x14ac:dyDescent="0.25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0"/>
    </row>
    <row r="9290" spans="1:12" ht="15" customHeight="1" x14ac:dyDescent="0.25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0"/>
    </row>
    <row r="9291" spans="1:12" ht="15" customHeight="1" x14ac:dyDescent="0.25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0"/>
    </row>
    <row r="9292" spans="1:12" ht="15" customHeight="1" x14ac:dyDescent="0.25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0"/>
    </row>
    <row r="9293" spans="1:12" ht="15" customHeight="1" x14ac:dyDescent="0.25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0"/>
    </row>
    <row r="9294" spans="1:12" ht="15" customHeight="1" x14ac:dyDescent="0.25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0"/>
    </row>
    <row r="9295" spans="1:12" ht="15" customHeight="1" x14ac:dyDescent="0.25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0"/>
    </row>
    <row r="9296" spans="1:12" ht="15" customHeight="1" x14ac:dyDescent="0.25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0"/>
    </row>
    <row r="9297" spans="1:12" ht="15" customHeight="1" x14ac:dyDescent="0.25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0"/>
    </row>
    <row r="9298" spans="1:12" ht="15" customHeight="1" x14ac:dyDescent="0.25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0"/>
    </row>
    <row r="9299" spans="1:12" ht="15" customHeight="1" x14ac:dyDescent="0.25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0"/>
    </row>
    <row r="9300" spans="1:12" ht="15" customHeight="1" x14ac:dyDescent="0.25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0"/>
    </row>
    <row r="9301" spans="1:12" ht="15" customHeight="1" x14ac:dyDescent="0.25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0"/>
    </row>
    <row r="9302" spans="1:12" ht="15" customHeight="1" x14ac:dyDescent="0.25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0"/>
    </row>
    <row r="9303" spans="1:12" ht="15" customHeight="1" x14ac:dyDescent="0.25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0"/>
    </row>
    <row r="9304" spans="1:12" ht="15" customHeight="1" x14ac:dyDescent="0.25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0"/>
    </row>
    <row r="9305" spans="1:12" ht="15" customHeight="1" x14ac:dyDescent="0.25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0"/>
    </row>
    <row r="9306" spans="1:12" ht="15" customHeight="1" x14ac:dyDescent="0.25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0"/>
    </row>
    <row r="9307" spans="1:12" ht="15" customHeight="1" x14ac:dyDescent="0.25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0"/>
    </row>
    <row r="9308" spans="1:12" ht="15" customHeight="1" x14ac:dyDescent="0.25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0"/>
    </row>
    <row r="9309" spans="1:12" ht="15" customHeight="1" x14ac:dyDescent="0.25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0"/>
    </row>
    <row r="9310" spans="1:12" ht="15" customHeight="1" x14ac:dyDescent="0.25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0"/>
    </row>
    <row r="9311" spans="1:12" ht="15" customHeight="1" x14ac:dyDescent="0.25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0"/>
    </row>
    <row r="9312" spans="1:12" ht="15" customHeight="1" x14ac:dyDescent="0.25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0"/>
    </row>
    <row r="9313" spans="1:12" ht="15" customHeight="1" x14ac:dyDescent="0.25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0"/>
    </row>
    <row r="9314" spans="1:12" ht="15" customHeight="1" x14ac:dyDescent="0.25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0"/>
    </row>
    <row r="9315" spans="1:12" ht="15" customHeight="1" x14ac:dyDescent="0.25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0"/>
    </row>
    <row r="9316" spans="1:12" ht="15" customHeight="1" x14ac:dyDescent="0.25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0"/>
    </row>
    <row r="9317" spans="1:12" ht="15" customHeight="1" x14ac:dyDescent="0.25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0"/>
    </row>
    <row r="9318" spans="1:12" ht="15" customHeight="1" x14ac:dyDescent="0.25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0"/>
    </row>
    <row r="9319" spans="1:12" ht="15" customHeight="1" x14ac:dyDescent="0.25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0"/>
    </row>
    <row r="9320" spans="1:12" ht="15" customHeight="1" x14ac:dyDescent="0.25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0"/>
    </row>
    <row r="9321" spans="1:12" ht="15" customHeight="1" x14ac:dyDescent="0.25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0"/>
    </row>
    <row r="9322" spans="1:12" ht="15" customHeight="1" x14ac:dyDescent="0.25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0"/>
    </row>
    <row r="9323" spans="1:12" ht="15" customHeight="1" x14ac:dyDescent="0.25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0"/>
    </row>
    <row r="9324" spans="1:12" ht="15" customHeight="1" x14ac:dyDescent="0.25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0"/>
    </row>
    <row r="9325" spans="1:12" ht="15" customHeight="1" x14ac:dyDescent="0.25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0"/>
    </row>
    <row r="9326" spans="1:12" ht="15" customHeight="1" x14ac:dyDescent="0.25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0"/>
    </row>
    <row r="9327" spans="1:12" ht="15" customHeight="1" x14ac:dyDescent="0.25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0"/>
    </row>
    <row r="9328" spans="1:12" ht="15" customHeight="1" x14ac:dyDescent="0.25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0"/>
    </row>
    <row r="9329" spans="1:12" ht="15" customHeight="1" x14ac:dyDescent="0.25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0"/>
    </row>
    <row r="9330" spans="1:12" ht="15" customHeight="1" x14ac:dyDescent="0.25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0"/>
    </row>
    <row r="9331" spans="1:12" ht="15" customHeight="1" x14ac:dyDescent="0.25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0"/>
    </row>
    <row r="9332" spans="1:12" ht="15" customHeight="1" x14ac:dyDescent="0.25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0"/>
    </row>
    <row r="9333" spans="1:12" ht="15" customHeight="1" x14ac:dyDescent="0.25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0"/>
    </row>
    <row r="9334" spans="1:12" ht="15" customHeight="1" x14ac:dyDescent="0.25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0"/>
    </row>
    <row r="9335" spans="1:12" ht="15" customHeight="1" x14ac:dyDescent="0.25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0"/>
    </row>
    <row r="9336" spans="1:12" ht="15" customHeight="1" x14ac:dyDescent="0.25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0"/>
    </row>
    <row r="9337" spans="1:12" ht="15" customHeight="1" x14ac:dyDescent="0.25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0"/>
    </row>
    <row r="9338" spans="1:12" ht="15" customHeight="1" x14ac:dyDescent="0.25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0"/>
    </row>
    <row r="9339" spans="1:12" ht="15" customHeight="1" x14ac:dyDescent="0.25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0"/>
    </row>
    <row r="9340" spans="1:12" ht="15" customHeight="1" x14ac:dyDescent="0.25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0"/>
    </row>
    <row r="9341" spans="1:12" ht="15" customHeight="1" x14ac:dyDescent="0.25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0"/>
    </row>
    <row r="9342" spans="1:12" ht="15" customHeight="1" x14ac:dyDescent="0.25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0"/>
    </row>
    <row r="9343" spans="1:12" ht="15" customHeight="1" x14ac:dyDescent="0.25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0"/>
    </row>
    <row r="9344" spans="1:12" ht="15" customHeight="1" x14ac:dyDescent="0.25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0"/>
    </row>
    <row r="9345" spans="1:12" ht="15" customHeight="1" x14ac:dyDescent="0.25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0"/>
    </row>
    <row r="9346" spans="1:12" ht="15" customHeight="1" x14ac:dyDescent="0.25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0"/>
    </row>
    <row r="9347" spans="1:12" ht="15" customHeight="1" x14ac:dyDescent="0.25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0"/>
    </row>
    <row r="9348" spans="1:12" ht="15" customHeight="1" x14ac:dyDescent="0.25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0"/>
    </row>
    <row r="9349" spans="1:12" ht="15" customHeight="1" x14ac:dyDescent="0.25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0"/>
    </row>
    <row r="9350" spans="1:12" ht="15" customHeight="1" x14ac:dyDescent="0.25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0"/>
    </row>
    <row r="9351" spans="1:12" ht="15" customHeight="1" x14ac:dyDescent="0.25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0"/>
    </row>
    <row r="9352" spans="1:12" ht="15" customHeight="1" x14ac:dyDescent="0.25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0"/>
    </row>
    <row r="9353" spans="1:12" ht="15" customHeight="1" x14ac:dyDescent="0.25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0"/>
    </row>
    <row r="9354" spans="1:12" ht="15" customHeight="1" x14ac:dyDescent="0.25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0"/>
    </row>
    <row r="9355" spans="1:12" ht="15" customHeight="1" x14ac:dyDescent="0.25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0"/>
    </row>
    <row r="9356" spans="1:12" ht="15" customHeight="1" x14ac:dyDescent="0.25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0"/>
    </row>
    <row r="9357" spans="1:12" ht="15" customHeight="1" x14ac:dyDescent="0.25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0"/>
    </row>
    <row r="9358" spans="1:12" ht="15" customHeight="1" x14ac:dyDescent="0.25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0"/>
    </row>
    <row r="9359" spans="1:12" ht="15" customHeight="1" x14ac:dyDescent="0.25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0"/>
    </row>
    <row r="9360" spans="1:12" ht="15" customHeight="1" x14ac:dyDescent="0.25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0"/>
    </row>
    <row r="9361" spans="1:12" ht="15" customHeight="1" x14ac:dyDescent="0.25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0"/>
    </row>
    <row r="9362" spans="1:12" ht="15" customHeight="1" x14ac:dyDescent="0.25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0"/>
    </row>
    <row r="9363" spans="1:12" ht="15" customHeight="1" x14ac:dyDescent="0.25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0"/>
    </row>
    <row r="9364" spans="1:12" ht="15" customHeight="1" x14ac:dyDescent="0.25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0"/>
    </row>
    <row r="9365" spans="1:12" ht="15" customHeight="1" x14ac:dyDescent="0.25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0"/>
    </row>
    <row r="9366" spans="1:12" ht="15" customHeight="1" x14ac:dyDescent="0.25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0"/>
    </row>
    <row r="9367" spans="1:12" ht="15" customHeight="1" x14ac:dyDescent="0.25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0"/>
    </row>
    <row r="9368" spans="1:12" ht="15" customHeight="1" x14ac:dyDescent="0.25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0"/>
    </row>
    <row r="9369" spans="1:12" ht="15" customHeight="1" x14ac:dyDescent="0.25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0"/>
    </row>
    <row r="9370" spans="1:12" ht="15" customHeight="1" x14ac:dyDescent="0.25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0"/>
    </row>
    <row r="9371" spans="1:12" ht="15" customHeight="1" x14ac:dyDescent="0.25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0"/>
    </row>
    <row r="9372" spans="1:12" ht="15" customHeight="1" x14ac:dyDescent="0.25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0"/>
    </row>
    <row r="9373" spans="1:12" ht="15" customHeight="1" x14ac:dyDescent="0.25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0"/>
    </row>
    <row r="9374" spans="1:12" ht="15" customHeight="1" x14ac:dyDescent="0.25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0"/>
    </row>
    <row r="9375" spans="1:12" ht="15" customHeight="1" x14ac:dyDescent="0.25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0"/>
    </row>
    <row r="9376" spans="1:12" ht="15" customHeight="1" x14ac:dyDescent="0.25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0"/>
    </row>
    <row r="9377" spans="1:12" ht="15" customHeight="1" x14ac:dyDescent="0.25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0"/>
    </row>
    <row r="9378" spans="1:12" ht="15" customHeight="1" x14ac:dyDescent="0.25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0"/>
    </row>
    <row r="9379" spans="1:12" ht="15" customHeight="1" x14ac:dyDescent="0.25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0"/>
    </row>
    <row r="9380" spans="1:12" ht="15" customHeight="1" x14ac:dyDescent="0.25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0"/>
    </row>
    <row r="9381" spans="1:12" ht="15" customHeight="1" x14ac:dyDescent="0.25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0"/>
    </row>
    <row r="9382" spans="1:12" ht="15" customHeight="1" x14ac:dyDescent="0.25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0"/>
    </row>
    <row r="9383" spans="1:12" ht="15" customHeight="1" x14ac:dyDescent="0.25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0"/>
    </row>
    <row r="9384" spans="1:12" ht="15" customHeight="1" x14ac:dyDescent="0.25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0"/>
    </row>
    <row r="9385" spans="1:12" ht="15" customHeight="1" x14ac:dyDescent="0.25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0"/>
    </row>
    <row r="9386" spans="1:12" ht="15" customHeight="1" x14ac:dyDescent="0.25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0"/>
    </row>
    <row r="9387" spans="1:12" ht="15" customHeight="1" x14ac:dyDescent="0.25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0"/>
    </row>
    <row r="9388" spans="1:12" ht="15" customHeight="1" x14ac:dyDescent="0.25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0"/>
    </row>
    <row r="9389" spans="1:12" ht="15" customHeight="1" x14ac:dyDescent="0.25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0"/>
    </row>
    <row r="9390" spans="1:12" ht="15" customHeight="1" x14ac:dyDescent="0.25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0"/>
    </row>
    <row r="9391" spans="1:12" ht="15" customHeight="1" x14ac:dyDescent="0.25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0"/>
    </row>
    <row r="9392" spans="1:12" ht="15" customHeight="1" x14ac:dyDescent="0.25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0"/>
    </row>
    <row r="9393" spans="1:12" ht="15" customHeight="1" x14ac:dyDescent="0.25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0"/>
    </row>
    <row r="9394" spans="1:12" ht="15" customHeight="1" x14ac:dyDescent="0.25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0"/>
    </row>
    <row r="9395" spans="1:12" ht="15" customHeight="1" x14ac:dyDescent="0.25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0"/>
    </row>
    <row r="9396" spans="1:12" ht="15" customHeight="1" x14ac:dyDescent="0.25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0"/>
    </row>
    <row r="9397" spans="1:12" ht="15" customHeight="1" x14ac:dyDescent="0.25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0"/>
    </row>
    <row r="9398" spans="1:12" ht="15" customHeight="1" x14ac:dyDescent="0.25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0"/>
    </row>
    <row r="9399" spans="1:12" ht="15" customHeight="1" x14ac:dyDescent="0.25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0"/>
    </row>
    <row r="9400" spans="1:12" ht="15" customHeight="1" x14ac:dyDescent="0.25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0"/>
    </row>
    <row r="9401" spans="1:12" ht="15" customHeight="1" x14ac:dyDescent="0.25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0"/>
    </row>
    <row r="9402" spans="1:12" ht="15" customHeight="1" x14ac:dyDescent="0.25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0"/>
    </row>
    <row r="9403" spans="1:12" ht="15" customHeight="1" x14ac:dyDescent="0.25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0"/>
    </row>
    <row r="9404" spans="1:12" ht="15" customHeight="1" x14ac:dyDescent="0.25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0"/>
    </row>
    <row r="9405" spans="1:12" ht="15" customHeight="1" x14ac:dyDescent="0.25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0"/>
    </row>
    <row r="9406" spans="1:12" ht="15" customHeight="1" x14ac:dyDescent="0.25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0"/>
    </row>
    <row r="9407" spans="1:12" ht="15" customHeight="1" x14ac:dyDescent="0.25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0"/>
    </row>
    <row r="9408" spans="1:12" ht="15" customHeight="1" x14ac:dyDescent="0.25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0"/>
    </row>
    <row r="9409" spans="1:12" ht="15" customHeight="1" x14ac:dyDescent="0.25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0"/>
    </row>
    <row r="9410" spans="1:12" ht="15" customHeight="1" x14ac:dyDescent="0.25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0"/>
    </row>
    <row r="9411" spans="1:12" ht="15" customHeight="1" x14ac:dyDescent="0.25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0"/>
    </row>
    <row r="9412" spans="1:12" ht="15" customHeight="1" x14ac:dyDescent="0.25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0"/>
    </row>
    <row r="9413" spans="1:12" ht="15" customHeight="1" x14ac:dyDescent="0.25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0"/>
    </row>
    <row r="9414" spans="1:12" ht="15" customHeight="1" x14ac:dyDescent="0.25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0"/>
    </row>
    <row r="9415" spans="1:12" ht="15" customHeight="1" x14ac:dyDescent="0.25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0"/>
    </row>
    <row r="9416" spans="1:12" ht="15" customHeight="1" x14ac:dyDescent="0.25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0"/>
    </row>
    <row r="9417" spans="1:12" ht="15" customHeight="1" x14ac:dyDescent="0.25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0"/>
    </row>
    <row r="9418" spans="1:12" ht="15" customHeight="1" x14ac:dyDescent="0.25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0"/>
    </row>
    <row r="9419" spans="1:12" ht="15" customHeight="1" x14ac:dyDescent="0.25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0"/>
    </row>
    <row r="9420" spans="1:12" ht="15" customHeight="1" x14ac:dyDescent="0.25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0"/>
    </row>
    <row r="9421" spans="1:12" ht="15" customHeight="1" x14ac:dyDescent="0.25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0"/>
    </row>
    <row r="9422" spans="1:12" ht="15" customHeight="1" x14ac:dyDescent="0.25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0"/>
    </row>
    <row r="9423" spans="1:12" ht="15" customHeight="1" x14ac:dyDescent="0.25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0"/>
    </row>
    <row r="9424" spans="1:12" ht="15" customHeight="1" x14ac:dyDescent="0.25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0"/>
    </row>
    <row r="9425" spans="1:12" ht="15" customHeight="1" x14ac:dyDescent="0.25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0"/>
    </row>
    <row r="9426" spans="1:12" ht="15" customHeight="1" x14ac:dyDescent="0.25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0"/>
    </row>
    <row r="9427" spans="1:12" ht="15" customHeight="1" x14ac:dyDescent="0.25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0"/>
    </row>
    <row r="9428" spans="1:12" ht="15" customHeight="1" x14ac:dyDescent="0.25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0"/>
    </row>
    <row r="9429" spans="1:12" ht="15" customHeight="1" x14ac:dyDescent="0.25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0"/>
    </row>
    <row r="9430" spans="1:12" ht="15" customHeight="1" x14ac:dyDescent="0.25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0"/>
    </row>
    <row r="9431" spans="1:12" ht="15" customHeight="1" x14ac:dyDescent="0.25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0"/>
    </row>
    <row r="9432" spans="1:12" ht="15" customHeight="1" x14ac:dyDescent="0.25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0"/>
    </row>
    <row r="9433" spans="1:12" ht="15" customHeight="1" x14ac:dyDescent="0.25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0"/>
    </row>
    <row r="9434" spans="1:12" ht="15" customHeight="1" x14ac:dyDescent="0.25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0"/>
    </row>
    <row r="9435" spans="1:12" ht="15" customHeight="1" x14ac:dyDescent="0.25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0"/>
    </row>
    <row r="9436" spans="1:12" ht="15" customHeight="1" x14ac:dyDescent="0.25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0"/>
    </row>
    <row r="9437" spans="1:12" ht="15" customHeight="1" x14ac:dyDescent="0.25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0"/>
    </row>
    <row r="9438" spans="1:12" ht="15" customHeight="1" x14ac:dyDescent="0.25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0"/>
    </row>
    <row r="9439" spans="1:12" ht="15" customHeight="1" x14ac:dyDescent="0.25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0"/>
    </row>
    <row r="9440" spans="1:12" ht="15" customHeight="1" x14ac:dyDescent="0.25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0"/>
    </row>
    <row r="9441" spans="1:12" ht="15" customHeight="1" x14ac:dyDescent="0.25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0"/>
    </row>
    <row r="9442" spans="1:12" ht="15" customHeight="1" x14ac:dyDescent="0.25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0"/>
    </row>
    <row r="9443" spans="1:12" ht="15" customHeight="1" x14ac:dyDescent="0.25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0"/>
    </row>
    <row r="9444" spans="1:12" ht="15" customHeight="1" x14ac:dyDescent="0.25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0"/>
    </row>
    <row r="9445" spans="1:12" ht="15" customHeight="1" x14ac:dyDescent="0.25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0"/>
    </row>
    <row r="9446" spans="1:12" ht="15" customHeight="1" x14ac:dyDescent="0.25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0"/>
    </row>
    <row r="9447" spans="1:12" ht="15" customHeight="1" x14ac:dyDescent="0.25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0"/>
    </row>
    <row r="9448" spans="1:12" ht="15" customHeight="1" x14ac:dyDescent="0.25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0"/>
    </row>
    <row r="9449" spans="1:12" ht="15" customHeight="1" x14ac:dyDescent="0.25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0"/>
    </row>
    <row r="9450" spans="1:12" ht="15" customHeight="1" x14ac:dyDescent="0.25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0"/>
    </row>
    <row r="9451" spans="1:12" ht="15" customHeight="1" x14ac:dyDescent="0.25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0"/>
    </row>
    <row r="9452" spans="1:12" ht="15" customHeight="1" x14ac:dyDescent="0.25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0"/>
    </row>
    <row r="9453" spans="1:12" ht="15" customHeight="1" x14ac:dyDescent="0.25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0"/>
    </row>
    <row r="9454" spans="1:12" ht="15" customHeight="1" x14ac:dyDescent="0.25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0"/>
    </row>
    <row r="9455" spans="1:12" ht="15" customHeight="1" x14ac:dyDescent="0.25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0"/>
    </row>
    <row r="9456" spans="1:12" ht="15" customHeight="1" x14ac:dyDescent="0.25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0"/>
    </row>
    <row r="9457" spans="1:12" ht="15" customHeight="1" x14ac:dyDescent="0.25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0"/>
    </row>
    <row r="9458" spans="1:12" ht="15" customHeight="1" x14ac:dyDescent="0.25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0"/>
    </row>
    <row r="9459" spans="1:12" ht="15" customHeight="1" x14ac:dyDescent="0.25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0"/>
    </row>
    <row r="9460" spans="1:12" ht="15" customHeight="1" x14ac:dyDescent="0.25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0"/>
    </row>
    <row r="9461" spans="1:12" ht="15" customHeight="1" x14ac:dyDescent="0.25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0"/>
    </row>
    <row r="9462" spans="1:12" ht="15" customHeight="1" x14ac:dyDescent="0.25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0"/>
    </row>
    <row r="9463" spans="1:12" ht="15" customHeight="1" x14ac:dyDescent="0.25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0"/>
    </row>
    <row r="9464" spans="1:12" ht="15" customHeight="1" x14ac:dyDescent="0.25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0"/>
    </row>
    <row r="9465" spans="1:12" ht="15" customHeight="1" x14ac:dyDescent="0.25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0"/>
    </row>
    <row r="9466" spans="1:12" ht="15" customHeight="1" x14ac:dyDescent="0.25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0"/>
    </row>
    <row r="9467" spans="1:12" ht="15" customHeight="1" x14ac:dyDescent="0.25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0"/>
    </row>
    <row r="9468" spans="1:12" ht="15" customHeight="1" x14ac:dyDescent="0.25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0"/>
    </row>
    <row r="9469" spans="1:12" ht="15" customHeight="1" x14ac:dyDescent="0.25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0"/>
    </row>
    <row r="9470" spans="1:12" ht="15" customHeight="1" x14ac:dyDescent="0.25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0"/>
    </row>
    <row r="9471" spans="1:12" ht="15" customHeight="1" x14ac:dyDescent="0.25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0"/>
    </row>
    <row r="9472" spans="1:12" ht="15" customHeight="1" x14ac:dyDescent="0.25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0"/>
    </row>
    <row r="9473" spans="1:12" ht="15" customHeight="1" x14ac:dyDescent="0.25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0"/>
    </row>
    <row r="9474" spans="1:12" ht="15" customHeight="1" x14ac:dyDescent="0.25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0"/>
    </row>
    <row r="9475" spans="1:12" ht="15" customHeight="1" x14ac:dyDescent="0.25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0"/>
    </row>
    <row r="9476" spans="1:12" ht="15" customHeight="1" x14ac:dyDescent="0.25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0"/>
    </row>
    <row r="9477" spans="1:12" ht="15" customHeight="1" x14ac:dyDescent="0.25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0"/>
    </row>
    <row r="9478" spans="1:12" ht="15" customHeight="1" x14ac:dyDescent="0.25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0"/>
    </row>
    <row r="9479" spans="1:12" ht="15" customHeight="1" x14ac:dyDescent="0.25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0"/>
    </row>
    <row r="9480" spans="1:12" ht="15" customHeight="1" x14ac:dyDescent="0.25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0"/>
    </row>
    <row r="9481" spans="1:12" ht="15" customHeight="1" x14ac:dyDescent="0.25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0"/>
    </row>
    <row r="9482" spans="1:12" ht="15" customHeight="1" x14ac:dyDescent="0.25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0"/>
    </row>
    <row r="9483" spans="1:12" ht="15" customHeight="1" x14ac:dyDescent="0.25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0"/>
    </row>
    <row r="9484" spans="1:12" ht="15" customHeight="1" x14ac:dyDescent="0.25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0"/>
    </row>
    <row r="9485" spans="1:12" ht="15" customHeight="1" x14ac:dyDescent="0.25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0"/>
    </row>
    <row r="9486" spans="1:12" ht="15" customHeight="1" x14ac:dyDescent="0.25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0"/>
    </row>
    <row r="9487" spans="1:12" ht="15" customHeight="1" x14ac:dyDescent="0.25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0"/>
    </row>
    <row r="9488" spans="1:12" ht="15" customHeight="1" x14ac:dyDescent="0.25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0"/>
    </row>
    <row r="9489" spans="1:12" ht="15" customHeight="1" x14ac:dyDescent="0.25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0"/>
    </row>
    <row r="9490" spans="1:12" ht="15" customHeight="1" x14ac:dyDescent="0.25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0"/>
    </row>
    <row r="9491" spans="1:12" ht="15" customHeight="1" x14ac:dyDescent="0.25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0"/>
    </row>
    <row r="9492" spans="1:12" ht="15" customHeight="1" x14ac:dyDescent="0.25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0"/>
    </row>
    <row r="9493" spans="1:12" ht="15" customHeight="1" x14ac:dyDescent="0.25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0"/>
    </row>
    <row r="9494" spans="1:12" ht="15" customHeight="1" x14ac:dyDescent="0.25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0"/>
    </row>
    <row r="9495" spans="1:12" ht="15" customHeight="1" x14ac:dyDescent="0.25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0"/>
    </row>
    <row r="9496" spans="1:12" ht="15" customHeight="1" x14ac:dyDescent="0.25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0"/>
    </row>
    <row r="9497" spans="1:12" ht="15" customHeight="1" x14ac:dyDescent="0.25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0"/>
    </row>
    <row r="9498" spans="1:12" ht="15" customHeight="1" x14ac:dyDescent="0.25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0"/>
    </row>
    <row r="9499" spans="1:12" ht="15" customHeight="1" x14ac:dyDescent="0.25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0"/>
    </row>
    <row r="9500" spans="1:12" ht="15" customHeight="1" x14ac:dyDescent="0.25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0"/>
    </row>
    <row r="9501" spans="1:12" ht="15" customHeight="1" x14ac:dyDescent="0.25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0"/>
    </row>
    <row r="9502" spans="1:12" ht="15" customHeight="1" x14ac:dyDescent="0.25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0"/>
    </row>
    <row r="9503" spans="1:12" ht="15" customHeight="1" x14ac:dyDescent="0.25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0"/>
    </row>
    <row r="9504" spans="1:12" ht="15" customHeight="1" x14ac:dyDescent="0.25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0"/>
    </row>
    <row r="9505" spans="1:12" ht="15" customHeight="1" x14ac:dyDescent="0.25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0"/>
    </row>
    <row r="9506" spans="1:12" ht="15" customHeight="1" x14ac:dyDescent="0.25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0"/>
    </row>
    <row r="9507" spans="1:12" ht="15" customHeight="1" x14ac:dyDescent="0.25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0"/>
    </row>
    <row r="9508" spans="1:12" ht="15" customHeight="1" x14ac:dyDescent="0.25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0"/>
    </row>
    <row r="9509" spans="1:12" ht="15" customHeight="1" x14ac:dyDescent="0.25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0"/>
    </row>
    <row r="9510" spans="1:12" ht="15" customHeight="1" x14ac:dyDescent="0.25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0"/>
    </row>
    <row r="9511" spans="1:12" ht="15" customHeight="1" x14ac:dyDescent="0.25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0"/>
    </row>
    <row r="9512" spans="1:12" ht="15" customHeight="1" x14ac:dyDescent="0.25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0"/>
    </row>
    <row r="9513" spans="1:12" ht="15" customHeight="1" x14ac:dyDescent="0.25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0"/>
    </row>
    <row r="9514" spans="1:12" ht="15" customHeight="1" x14ac:dyDescent="0.25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0"/>
    </row>
    <row r="9515" spans="1:12" ht="15" customHeight="1" x14ac:dyDescent="0.25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0"/>
    </row>
    <row r="9516" spans="1:12" ht="15" customHeight="1" x14ac:dyDescent="0.25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0"/>
    </row>
    <row r="9517" spans="1:12" ht="15" customHeight="1" x14ac:dyDescent="0.25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0"/>
    </row>
    <row r="9518" spans="1:12" ht="15" customHeight="1" x14ac:dyDescent="0.25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0"/>
    </row>
    <row r="9519" spans="1:12" ht="15" customHeight="1" x14ac:dyDescent="0.25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0"/>
    </row>
    <row r="9520" spans="1:12" ht="15" customHeight="1" x14ac:dyDescent="0.25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0"/>
    </row>
    <row r="9521" spans="1:12" ht="15" customHeight="1" x14ac:dyDescent="0.25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0"/>
    </row>
    <row r="9522" spans="1:12" ht="15" customHeight="1" x14ac:dyDescent="0.25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0"/>
    </row>
    <row r="9523" spans="1:12" ht="15" customHeight="1" x14ac:dyDescent="0.25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0"/>
    </row>
    <row r="9524" spans="1:12" ht="15" customHeight="1" x14ac:dyDescent="0.25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0"/>
    </row>
    <row r="9525" spans="1:12" ht="15" customHeight="1" x14ac:dyDescent="0.25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0"/>
    </row>
    <row r="9526" spans="1:12" ht="15" customHeight="1" x14ac:dyDescent="0.25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0"/>
    </row>
    <row r="9527" spans="1:12" ht="15" customHeight="1" x14ac:dyDescent="0.25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0"/>
    </row>
    <row r="9528" spans="1:12" ht="15" customHeight="1" x14ac:dyDescent="0.25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0"/>
    </row>
    <row r="9529" spans="1:12" ht="15" customHeight="1" x14ac:dyDescent="0.25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0"/>
    </row>
    <row r="9530" spans="1:12" ht="15" customHeight="1" x14ac:dyDescent="0.25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0"/>
    </row>
    <row r="9531" spans="1:12" ht="15" customHeight="1" x14ac:dyDescent="0.25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0"/>
    </row>
    <row r="9532" spans="1:12" ht="15" customHeight="1" x14ac:dyDescent="0.25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0"/>
    </row>
    <row r="9533" spans="1:12" ht="15" customHeight="1" x14ac:dyDescent="0.25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0"/>
    </row>
    <row r="9534" spans="1:12" ht="15" customHeight="1" x14ac:dyDescent="0.25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0"/>
    </row>
    <row r="9535" spans="1:12" ht="15" customHeight="1" x14ac:dyDescent="0.25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0"/>
    </row>
    <row r="9536" spans="1:12" ht="15" customHeight="1" x14ac:dyDescent="0.25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0"/>
    </row>
    <row r="9537" spans="1:12" ht="15" customHeight="1" x14ac:dyDescent="0.25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0"/>
    </row>
    <row r="9538" spans="1:12" ht="15" customHeight="1" x14ac:dyDescent="0.25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0"/>
    </row>
    <row r="9539" spans="1:12" ht="15" customHeight="1" x14ac:dyDescent="0.25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0"/>
    </row>
    <row r="9540" spans="1:12" ht="15" customHeight="1" x14ac:dyDescent="0.25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0"/>
    </row>
    <row r="9541" spans="1:12" ht="15" customHeight="1" x14ac:dyDescent="0.25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0"/>
    </row>
    <row r="9542" spans="1:12" ht="15" customHeight="1" x14ac:dyDescent="0.25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0"/>
    </row>
    <row r="9543" spans="1:12" ht="15" customHeight="1" x14ac:dyDescent="0.25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0"/>
    </row>
    <row r="9544" spans="1:12" ht="15" customHeight="1" x14ac:dyDescent="0.25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0"/>
    </row>
    <row r="9545" spans="1:12" ht="15" customHeight="1" x14ac:dyDescent="0.25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0"/>
    </row>
    <row r="9546" spans="1:12" ht="15" customHeight="1" x14ac:dyDescent="0.25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0"/>
    </row>
    <row r="9547" spans="1:12" ht="15" customHeight="1" x14ac:dyDescent="0.25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0"/>
    </row>
    <row r="9548" spans="1:12" ht="15" customHeight="1" x14ac:dyDescent="0.25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0"/>
    </row>
    <row r="9549" spans="1:12" ht="15" customHeight="1" x14ac:dyDescent="0.25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0"/>
    </row>
    <row r="9550" spans="1:12" ht="15" customHeight="1" x14ac:dyDescent="0.25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0"/>
    </row>
    <row r="9551" spans="1:12" ht="15" customHeight="1" x14ac:dyDescent="0.25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0"/>
    </row>
    <row r="9552" spans="1:12" ht="15" customHeight="1" x14ac:dyDescent="0.25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0"/>
    </row>
    <row r="9553" spans="1:12" ht="15" customHeight="1" x14ac:dyDescent="0.25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0"/>
    </row>
    <row r="9554" spans="1:12" ht="15" customHeight="1" x14ac:dyDescent="0.25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0"/>
    </row>
    <row r="9555" spans="1:12" ht="15" customHeight="1" x14ac:dyDescent="0.25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0"/>
    </row>
    <row r="9556" spans="1:12" ht="15" customHeight="1" x14ac:dyDescent="0.25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0"/>
    </row>
    <row r="9557" spans="1:12" ht="15" customHeight="1" x14ac:dyDescent="0.25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0"/>
    </row>
    <row r="9558" spans="1:12" ht="15" customHeight="1" x14ac:dyDescent="0.25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0"/>
    </row>
    <row r="9559" spans="1:12" ht="15" customHeight="1" x14ac:dyDescent="0.25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0"/>
    </row>
    <row r="9560" spans="1:12" ht="15" customHeight="1" x14ac:dyDescent="0.25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0"/>
    </row>
    <row r="9561" spans="1:12" ht="15" customHeight="1" x14ac:dyDescent="0.25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0"/>
    </row>
    <row r="9562" spans="1:12" ht="15" customHeight="1" x14ac:dyDescent="0.25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0"/>
    </row>
    <row r="9563" spans="1:12" ht="15" customHeight="1" x14ac:dyDescent="0.25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0"/>
    </row>
    <row r="9564" spans="1:12" ht="15" customHeight="1" x14ac:dyDescent="0.25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0"/>
    </row>
    <row r="9565" spans="1:12" ht="15" customHeight="1" x14ac:dyDescent="0.25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0"/>
    </row>
    <row r="9566" spans="1:12" ht="15" customHeight="1" x14ac:dyDescent="0.25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0"/>
    </row>
    <row r="9567" spans="1:12" ht="15" customHeight="1" x14ac:dyDescent="0.25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0"/>
    </row>
    <row r="9568" spans="1:12" ht="15" customHeight="1" x14ac:dyDescent="0.25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0"/>
    </row>
    <row r="9569" spans="1:12" ht="15" customHeight="1" x14ac:dyDescent="0.25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0"/>
    </row>
    <row r="9570" spans="1:12" ht="15" customHeight="1" x14ac:dyDescent="0.25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0"/>
    </row>
    <row r="9571" spans="1:12" ht="15" customHeight="1" x14ac:dyDescent="0.25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0"/>
    </row>
    <row r="9572" spans="1:12" ht="15" customHeight="1" x14ac:dyDescent="0.25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0"/>
    </row>
    <row r="9573" spans="1:12" ht="15" customHeight="1" x14ac:dyDescent="0.25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0"/>
    </row>
    <row r="9574" spans="1:12" ht="15" customHeight="1" x14ac:dyDescent="0.25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0"/>
    </row>
    <row r="9575" spans="1:12" ht="15" customHeight="1" x14ac:dyDescent="0.25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0"/>
    </row>
    <row r="9576" spans="1:12" ht="15" customHeight="1" x14ac:dyDescent="0.25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0"/>
    </row>
    <row r="9577" spans="1:12" ht="15" customHeight="1" x14ac:dyDescent="0.25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0"/>
    </row>
    <row r="9578" spans="1:12" ht="15" customHeight="1" x14ac:dyDescent="0.25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0"/>
    </row>
    <row r="9579" spans="1:12" ht="15" customHeight="1" x14ac:dyDescent="0.25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0"/>
    </row>
    <row r="9580" spans="1:12" ht="15" customHeight="1" x14ac:dyDescent="0.25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0"/>
    </row>
    <row r="9581" spans="1:12" ht="15" customHeight="1" x14ac:dyDescent="0.25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0"/>
    </row>
    <row r="9582" spans="1:12" ht="15" customHeight="1" x14ac:dyDescent="0.25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0"/>
    </row>
    <row r="9583" spans="1:12" ht="15" customHeight="1" x14ac:dyDescent="0.25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0"/>
    </row>
    <row r="9584" spans="1:12" ht="15" customHeight="1" x14ac:dyDescent="0.25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0"/>
    </row>
    <row r="9585" spans="1:12" ht="15" customHeight="1" x14ac:dyDescent="0.25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0"/>
    </row>
    <row r="9586" spans="1:12" ht="15" customHeight="1" x14ac:dyDescent="0.25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0"/>
    </row>
    <row r="9587" spans="1:12" ht="15" customHeight="1" x14ac:dyDescent="0.25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0"/>
    </row>
    <row r="9588" spans="1:12" ht="15" customHeight="1" x14ac:dyDescent="0.25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0"/>
    </row>
    <row r="9589" spans="1:12" ht="15" customHeight="1" x14ac:dyDescent="0.25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0"/>
    </row>
    <row r="9590" spans="1:12" ht="15" customHeight="1" x14ac:dyDescent="0.25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0"/>
    </row>
    <row r="9591" spans="1:12" ht="15" customHeight="1" x14ac:dyDescent="0.25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0"/>
    </row>
    <row r="9592" spans="1:12" ht="15" customHeight="1" x14ac:dyDescent="0.25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0"/>
    </row>
    <row r="9593" spans="1:12" ht="15" customHeight="1" x14ac:dyDescent="0.25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0"/>
    </row>
    <row r="9594" spans="1:12" ht="15" customHeight="1" x14ac:dyDescent="0.25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0"/>
    </row>
    <row r="9595" spans="1:12" ht="15" customHeight="1" x14ac:dyDescent="0.25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0"/>
    </row>
    <row r="9596" spans="1:12" ht="15" customHeight="1" x14ac:dyDescent="0.25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0"/>
    </row>
    <row r="9597" spans="1:12" ht="15" customHeight="1" x14ac:dyDescent="0.25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0"/>
    </row>
    <row r="9598" spans="1:12" ht="15" customHeight="1" x14ac:dyDescent="0.25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0"/>
    </row>
    <row r="9599" spans="1:12" ht="15" customHeight="1" x14ac:dyDescent="0.25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0"/>
    </row>
    <row r="9600" spans="1:12" ht="15" customHeight="1" x14ac:dyDescent="0.25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0"/>
    </row>
    <row r="9601" spans="1:12" ht="15" customHeight="1" x14ac:dyDescent="0.25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0"/>
    </row>
    <row r="9602" spans="1:12" ht="15" customHeight="1" x14ac:dyDescent="0.25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0"/>
    </row>
    <row r="9603" spans="1:12" ht="15" customHeight="1" x14ac:dyDescent="0.25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0"/>
    </row>
    <row r="9604" spans="1:12" ht="15" customHeight="1" x14ac:dyDescent="0.25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0"/>
    </row>
    <row r="9605" spans="1:12" ht="15" customHeight="1" x14ac:dyDescent="0.25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0"/>
    </row>
    <row r="9606" spans="1:12" ht="15" customHeight="1" x14ac:dyDescent="0.25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0"/>
    </row>
    <row r="9607" spans="1:12" ht="15" customHeight="1" x14ac:dyDescent="0.25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0"/>
    </row>
    <row r="9608" spans="1:12" ht="15" customHeight="1" x14ac:dyDescent="0.25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0"/>
    </row>
    <row r="9609" spans="1:12" ht="15" customHeight="1" x14ac:dyDescent="0.25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0"/>
    </row>
    <row r="9610" spans="1:12" ht="15" customHeight="1" x14ac:dyDescent="0.25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0"/>
    </row>
    <row r="9611" spans="1:12" ht="15" customHeight="1" x14ac:dyDescent="0.25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0"/>
    </row>
    <row r="9612" spans="1:12" ht="15" customHeight="1" x14ac:dyDescent="0.25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0"/>
    </row>
    <row r="9613" spans="1:12" ht="15" customHeight="1" x14ac:dyDescent="0.25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0"/>
    </row>
    <row r="9614" spans="1:12" ht="15" customHeight="1" x14ac:dyDescent="0.25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0"/>
    </row>
    <row r="9615" spans="1:12" ht="15" customHeight="1" x14ac:dyDescent="0.25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0"/>
    </row>
    <row r="9616" spans="1:12" ht="15" customHeight="1" x14ac:dyDescent="0.25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0"/>
    </row>
    <row r="9617" spans="1:12" ht="15" customHeight="1" x14ac:dyDescent="0.25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0"/>
    </row>
    <row r="9618" spans="1:12" ht="15" customHeight="1" x14ac:dyDescent="0.25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0"/>
    </row>
    <row r="9619" spans="1:12" ht="15" customHeight="1" x14ac:dyDescent="0.25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0"/>
    </row>
    <row r="9620" spans="1:12" ht="15" customHeight="1" x14ac:dyDescent="0.25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0"/>
    </row>
    <row r="9621" spans="1:12" ht="15" customHeight="1" x14ac:dyDescent="0.25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0"/>
    </row>
    <row r="9622" spans="1:12" ht="15" customHeight="1" x14ac:dyDescent="0.25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0"/>
    </row>
    <row r="9623" spans="1:12" ht="15" customHeight="1" x14ac:dyDescent="0.25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0"/>
    </row>
    <row r="9624" spans="1:12" ht="15" customHeight="1" x14ac:dyDescent="0.25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0"/>
    </row>
    <row r="9625" spans="1:12" ht="15" customHeight="1" x14ac:dyDescent="0.25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0"/>
    </row>
    <row r="9626" spans="1:12" ht="15" customHeight="1" x14ac:dyDescent="0.25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0"/>
    </row>
    <row r="9627" spans="1:12" ht="15" customHeight="1" x14ac:dyDescent="0.25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0"/>
    </row>
    <row r="9628" spans="1:12" ht="15" customHeight="1" x14ac:dyDescent="0.25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0"/>
    </row>
    <row r="9629" spans="1:12" ht="15" customHeight="1" x14ac:dyDescent="0.25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0"/>
    </row>
    <row r="9630" spans="1:12" ht="15" customHeight="1" x14ac:dyDescent="0.25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0"/>
    </row>
    <row r="9631" spans="1:12" ht="15" customHeight="1" x14ac:dyDescent="0.25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0"/>
    </row>
    <row r="9632" spans="1:12" ht="15" customHeight="1" x14ac:dyDescent="0.25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0"/>
    </row>
    <row r="9633" spans="1:12" ht="15" customHeight="1" x14ac:dyDescent="0.25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0"/>
    </row>
    <row r="9634" spans="1:12" ht="15" customHeight="1" x14ac:dyDescent="0.25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0"/>
    </row>
    <row r="9635" spans="1:12" ht="15" customHeight="1" x14ac:dyDescent="0.25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0"/>
    </row>
    <row r="9636" spans="1:12" ht="15" customHeight="1" x14ac:dyDescent="0.25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0"/>
    </row>
    <row r="9637" spans="1:12" ht="15" customHeight="1" x14ac:dyDescent="0.25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0"/>
    </row>
    <row r="9638" spans="1:12" ht="15" customHeight="1" x14ac:dyDescent="0.25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0"/>
    </row>
    <row r="9639" spans="1:12" ht="15" customHeight="1" x14ac:dyDescent="0.25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0"/>
    </row>
    <row r="9640" spans="1:12" ht="15" customHeight="1" x14ac:dyDescent="0.25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0"/>
    </row>
    <row r="9641" spans="1:12" ht="15" customHeight="1" x14ac:dyDescent="0.25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0"/>
    </row>
    <row r="9642" spans="1:12" ht="15" customHeight="1" x14ac:dyDescent="0.25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0"/>
    </row>
    <row r="9643" spans="1:12" ht="15" customHeight="1" x14ac:dyDescent="0.25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0"/>
    </row>
    <row r="9644" spans="1:12" ht="15" customHeight="1" x14ac:dyDescent="0.25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0"/>
    </row>
    <row r="9645" spans="1:12" ht="15" customHeight="1" x14ac:dyDescent="0.25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0"/>
    </row>
    <row r="9646" spans="1:12" ht="15" customHeight="1" x14ac:dyDescent="0.25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0"/>
    </row>
    <row r="9647" spans="1:12" ht="15" customHeight="1" x14ac:dyDescent="0.25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0"/>
    </row>
    <row r="9648" spans="1:12" ht="15" customHeight="1" x14ac:dyDescent="0.25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0"/>
    </row>
    <row r="9649" spans="1:12" ht="15" customHeight="1" x14ac:dyDescent="0.25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0"/>
    </row>
    <row r="9650" spans="1:12" ht="15" customHeight="1" x14ac:dyDescent="0.25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0"/>
    </row>
    <row r="9651" spans="1:12" ht="15" customHeight="1" x14ac:dyDescent="0.25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0"/>
    </row>
    <row r="9652" spans="1:12" ht="15" customHeight="1" x14ac:dyDescent="0.25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0"/>
    </row>
    <row r="9653" spans="1:12" ht="15" customHeight="1" x14ac:dyDescent="0.25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0"/>
    </row>
    <row r="9654" spans="1:12" ht="15" customHeight="1" x14ac:dyDescent="0.25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0"/>
    </row>
    <row r="9655" spans="1:12" ht="15" customHeight="1" x14ac:dyDescent="0.25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0"/>
    </row>
    <row r="9656" spans="1:12" ht="15" customHeight="1" x14ac:dyDescent="0.25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0"/>
    </row>
    <row r="9657" spans="1:12" ht="15" customHeight="1" x14ac:dyDescent="0.25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0"/>
    </row>
    <row r="9658" spans="1:12" ht="15" customHeight="1" x14ac:dyDescent="0.25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0"/>
    </row>
    <row r="9659" spans="1:12" ht="15" customHeight="1" x14ac:dyDescent="0.25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0"/>
    </row>
    <row r="9660" spans="1:12" ht="15" customHeight="1" x14ac:dyDescent="0.25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0"/>
    </row>
    <row r="9661" spans="1:12" ht="15" customHeight="1" x14ac:dyDescent="0.25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0"/>
    </row>
    <row r="9662" spans="1:12" ht="15" customHeight="1" x14ac:dyDescent="0.25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0"/>
    </row>
    <row r="9663" spans="1:12" ht="15" customHeight="1" x14ac:dyDescent="0.25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0"/>
    </row>
    <row r="9664" spans="1:12" ht="15" customHeight="1" x14ac:dyDescent="0.25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0"/>
    </row>
    <row r="9665" spans="1:12" ht="15" customHeight="1" x14ac:dyDescent="0.25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0"/>
    </row>
    <row r="9666" spans="1:12" ht="15" customHeight="1" x14ac:dyDescent="0.25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0"/>
    </row>
    <row r="9667" spans="1:12" ht="15" customHeight="1" x14ac:dyDescent="0.25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0"/>
    </row>
    <row r="9668" spans="1:12" ht="15" customHeight="1" x14ac:dyDescent="0.25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0"/>
    </row>
    <row r="9669" spans="1:12" ht="15" customHeight="1" x14ac:dyDescent="0.25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0"/>
    </row>
    <row r="9670" spans="1:12" ht="15" customHeight="1" x14ac:dyDescent="0.25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0"/>
    </row>
    <row r="9671" spans="1:12" ht="15" customHeight="1" x14ac:dyDescent="0.25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0"/>
    </row>
    <row r="9672" spans="1:12" ht="15" customHeight="1" x14ac:dyDescent="0.25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0"/>
    </row>
    <row r="9673" spans="1:12" ht="15" customHeight="1" x14ac:dyDescent="0.25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0"/>
    </row>
    <row r="9674" spans="1:12" ht="15" customHeight="1" x14ac:dyDescent="0.25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0"/>
    </row>
    <row r="9675" spans="1:12" ht="15" customHeight="1" x14ac:dyDescent="0.25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0"/>
    </row>
    <row r="9676" spans="1:12" ht="15" customHeight="1" x14ac:dyDescent="0.25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0"/>
    </row>
    <row r="9677" spans="1:12" ht="15" customHeight="1" x14ac:dyDescent="0.25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0"/>
    </row>
    <row r="9678" spans="1:12" ht="15" customHeight="1" x14ac:dyDescent="0.25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0"/>
    </row>
    <row r="9679" spans="1:12" ht="15" customHeight="1" x14ac:dyDescent="0.25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0"/>
    </row>
    <row r="9680" spans="1:12" ht="15" customHeight="1" x14ac:dyDescent="0.25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0"/>
    </row>
    <row r="9681" spans="1:12" ht="15" customHeight="1" x14ac:dyDescent="0.25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0"/>
    </row>
    <row r="9682" spans="1:12" ht="15" customHeight="1" x14ac:dyDescent="0.25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0"/>
    </row>
    <row r="9683" spans="1:12" ht="15" customHeight="1" x14ac:dyDescent="0.25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0"/>
    </row>
    <row r="9684" spans="1:12" ht="15" customHeight="1" x14ac:dyDescent="0.25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0"/>
    </row>
    <row r="9685" spans="1:12" ht="15" customHeight="1" x14ac:dyDescent="0.25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0"/>
    </row>
    <row r="9686" spans="1:12" ht="15" customHeight="1" x14ac:dyDescent="0.25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0"/>
    </row>
    <row r="9687" spans="1:12" ht="15" customHeight="1" x14ac:dyDescent="0.25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0"/>
    </row>
    <row r="9688" spans="1:12" ht="15" customHeight="1" x14ac:dyDescent="0.25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0"/>
    </row>
    <row r="9689" spans="1:12" ht="15" customHeight="1" x14ac:dyDescent="0.25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0"/>
    </row>
    <row r="9690" spans="1:12" ht="15" customHeight="1" x14ac:dyDescent="0.25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0"/>
    </row>
    <row r="9691" spans="1:12" ht="15" customHeight="1" x14ac:dyDescent="0.25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0"/>
    </row>
    <row r="9692" spans="1:12" ht="15" customHeight="1" x14ac:dyDescent="0.25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0"/>
    </row>
    <row r="9693" spans="1:12" ht="15" customHeight="1" x14ac:dyDescent="0.25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0"/>
    </row>
    <row r="9694" spans="1:12" ht="15" customHeight="1" x14ac:dyDescent="0.25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0"/>
    </row>
    <row r="9695" spans="1:12" ht="15" customHeight="1" x14ac:dyDescent="0.25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0"/>
    </row>
    <row r="9696" spans="1:12" ht="15" customHeight="1" x14ac:dyDescent="0.25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0"/>
    </row>
    <row r="9697" spans="1:12" ht="15" customHeight="1" x14ac:dyDescent="0.25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0"/>
    </row>
    <row r="9698" spans="1:12" ht="15" customHeight="1" x14ac:dyDescent="0.25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0"/>
    </row>
    <row r="9699" spans="1:12" ht="15" customHeight="1" x14ac:dyDescent="0.25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0"/>
    </row>
    <row r="9700" spans="1:12" ht="15" customHeight="1" x14ac:dyDescent="0.25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0"/>
    </row>
    <row r="9701" spans="1:12" ht="15" customHeight="1" x14ac:dyDescent="0.25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0"/>
    </row>
    <row r="9702" spans="1:12" ht="15" customHeight="1" x14ac:dyDescent="0.25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0"/>
    </row>
    <row r="9703" spans="1:12" ht="15" customHeight="1" x14ac:dyDescent="0.25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0"/>
    </row>
    <row r="9704" spans="1:12" ht="15" customHeight="1" x14ac:dyDescent="0.25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0"/>
    </row>
    <row r="9705" spans="1:12" ht="15" customHeight="1" x14ac:dyDescent="0.25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0"/>
    </row>
    <row r="9706" spans="1:12" ht="15" customHeight="1" x14ac:dyDescent="0.25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0"/>
    </row>
    <row r="9707" spans="1:12" ht="15" customHeight="1" x14ac:dyDescent="0.25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0"/>
    </row>
    <row r="9708" spans="1:12" ht="15" customHeight="1" x14ac:dyDescent="0.25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0"/>
    </row>
    <row r="9709" spans="1:12" ht="15" customHeight="1" x14ac:dyDescent="0.25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0"/>
    </row>
    <row r="9710" spans="1:12" ht="15" customHeight="1" x14ac:dyDescent="0.25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0"/>
    </row>
    <row r="9711" spans="1:12" ht="15" customHeight="1" x14ac:dyDescent="0.25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0"/>
    </row>
    <row r="9712" spans="1:12" ht="15" customHeight="1" x14ac:dyDescent="0.25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0"/>
    </row>
    <row r="9713" spans="1:12" ht="15" customHeight="1" x14ac:dyDescent="0.25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0"/>
    </row>
    <row r="9714" spans="1:12" ht="15" customHeight="1" x14ac:dyDescent="0.25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0"/>
    </row>
    <row r="9715" spans="1:12" ht="15" customHeight="1" x14ac:dyDescent="0.25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0"/>
    </row>
    <row r="9716" spans="1:12" ht="15" customHeight="1" x14ac:dyDescent="0.25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0"/>
    </row>
    <row r="9717" spans="1:12" ht="15" customHeight="1" x14ac:dyDescent="0.25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0"/>
    </row>
    <row r="9718" spans="1:12" ht="15" customHeight="1" x14ac:dyDescent="0.25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0"/>
    </row>
    <row r="9719" spans="1:12" ht="15" customHeight="1" x14ac:dyDescent="0.25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0"/>
    </row>
    <row r="9720" spans="1:12" ht="15" customHeight="1" x14ac:dyDescent="0.25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0"/>
    </row>
    <row r="9721" spans="1:12" ht="15" customHeight="1" x14ac:dyDescent="0.25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0"/>
    </row>
    <row r="9722" spans="1:12" ht="15" customHeight="1" x14ac:dyDescent="0.25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0"/>
    </row>
    <row r="9723" spans="1:12" ht="15" customHeight="1" x14ac:dyDescent="0.25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0"/>
    </row>
    <row r="9724" spans="1:12" ht="15" customHeight="1" x14ac:dyDescent="0.25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0"/>
    </row>
    <row r="9725" spans="1:12" ht="15" customHeight="1" x14ac:dyDescent="0.25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0"/>
    </row>
    <row r="9726" spans="1:12" ht="15" customHeight="1" x14ac:dyDescent="0.25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0"/>
    </row>
    <row r="9727" spans="1:12" ht="15" customHeight="1" x14ac:dyDescent="0.25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0"/>
    </row>
    <row r="9728" spans="1:12" ht="15" customHeight="1" x14ac:dyDescent="0.25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0"/>
    </row>
    <row r="9729" spans="1:12" ht="15" customHeight="1" x14ac:dyDescent="0.25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0"/>
    </row>
    <row r="9730" spans="1:12" ht="15" customHeight="1" x14ac:dyDescent="0.25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0"/>
    </row>
    <row r="9731" spans="1:12" ht="15" customHeight="1" x14ac:dyDescent="0.25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0"/>
    </row>
    <row r="9732" spans="1:12" ht="15" customHeight="1" x14ac:dyDescent="0.25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0"/>
    </row>
    <row r="9733" spans="1:12" ht="15" customHeight="1" x14ac:dyDescent="0.25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0"/>
    </row>
    <row r="9734" spans="1:12" ht="15" customHeight="1" x14ac:dyDescent="0.25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0"/>
    </row>
    <row r="9735" spans="1:12" ht="15" customHeight="1" x14ac:dyDescent="0.25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0"/>
    </row>
    <row r="9736" spans="1:12" ht="15" customHeight="1" x14ac:dyDescent="0.25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0"/>
    </row>
    <row r="9737" spans="1:12" ht="15" customHeight="1" x14ac:dyDescent="0.25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0"/>
    </row>
    <row r="9738" spans="1:12" ht="15" customHeight="1" x14ac:dyDescent="0.25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0"/>
    </row>
    <row r="9739" spans="1:12" ht="15" customHeight="1" x14ac:dyDescent="0.25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0"/>
    </row>
    <row r="9740" spans="1:12" ht="15" customHeight="1" x14ac:dyDescent="0.25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0"/>
    </row>
    <row r="9741" spans="1:12" ht="15" customHeight="1" x14ac:dyDescent="0.25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0"/>
    </row>
    <row r="9742" spans="1:12" ht="15" customHeight="1" x14ac:dyDescent="0.25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0"/>
    </row>
    <row r="9743" spans="1:12" ht="15" customHeight="1" x14ac:dyDescent="0.25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0"/>
    </row>
    <row r="9744" spans="1:12" ht="15" customHeight="1" x14ac:dyDescent="0.25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0"/>
    </row>
    <row r="9745" spans="1:12" ht="15" customHeight="1" x14ac:dyDescent="0.25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0"/>
    </row>
    <row r="9746" spans="1:12" ht="15" customHeight="1" x14ac:dyDescent="0.25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0"/>
    </row>
    <row r="9747" spans="1:12" ht="15" customHeight="1" x14ac:dyDescent="0.25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0"/>
    </row>
    <row r="9748" spans="1:12" ht="15" customHeight="1" x14ac:dyDescent="0.25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0"/>
    </row>
    <row r="9749" spans="1:12" ht="15" customHeight="1" x14ac:dyDescent="0.25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0"/>
    </row>
    <row r="9750" spans="1:12" ht="15" customHeight="1" x14ac:dyDescent="0.25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0"/>
    </row>
    <row r="9751" spans="1:12" ht="15" customHeight="1" x14ac:dyDescent="0.25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0"/>
    </row>
    <row r="9752" spans="1:12" ht="15" customHeight="1" x14ac:dyDescent="0.25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0"/>
    </row>
    <row r="9753" spans="1:12" ht="15" customHeight="1" x14ac:dyDescent="0.25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0"/>
    </row>
    <row r="9754" spans="1:12" ht="15" customHeight="1" x14ac:dyDescent="0.25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0"/>
    </row>
    <row r="9755" spans="1:12" ht="15" customHeight="1" x14ac:dyDescent="0.25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0"/>
    </row>
    <row r="9756" spans="1:12" ht="15" customHeight="1" x14ac:dyDescent="0.25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0"/>
    </row>
    <row r="9757" spans="1:12" ht="15" customHeight="1" x14ac:dyDescent="0.25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0"/>
    </row>
    <row r="9758" spans="1:12" ht="15" customHeight="1" x14ac:dyDescent="0.25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0"/>
    </row>
    <row r="9759" spans="1:12" ht="15" customHeight="1" x14ac:dyDescent="0.25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0"/>
    </row>
    <row r="9760" spans="1:12" ht="15" customHeight="1" x14ac:dyDescent="0.25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0"/>
    </row>
    <row r="9761" spans="1:12" ht="15" customHeight="1" x14ac:dyDescent="0.25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0"/>
    </row>
    <row r="9762" spans="1:12" ht="15" customHeight="1" x14ac:dyDescent="0.25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0"/>
    </row>
    <row r="9763" spans="1:12" ht="15" customHeight="1" x14ac:dyDescent="0.25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0"/>
    </row>
    <row r="9764" spans="1:12" ht="15" customHeight="1" x14ac:dyDescent="0.25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0"/>
    </row>
    <row r="9765" spans="1:12" ht="15" customHeight="1" x14ac:dyDescent="0.25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0"/>
    </row>
    <row r="9766" spans="1:12" ht="15" customHeight="1" x14ac:dyDescent="0.25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0"/>
    </row>
    <row r="9767" spans="1:12" ht="15" customHeight="1" x14ac:dyDescent="0.25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0"/>
    </row>
    <row r="9768" spans="1:12" ht="15" customHeight="1" x14ac:dyDescent="0.25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0"/>
    </row>
    <row r="9769" spans="1:12" ht="15" customHeight="1" x14ac:dyDescent="0.25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0"/>
    </row>
    <row r="9770" spans="1:12" ht="15" customHeight="1" x14ac:dyDescent="0.25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0"/>
    </row>
    <row r="9771" spans="1:12" ht="15" customHeight="1" x14ac:dyDescent="0.25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0"/>
    </row>
    <row r="9772" spans="1:12" ht="15" customHeight="1" x14ac:dyDescent="0.25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0"/>
    </row>
    <row r="9773" spans="1:12" ht="15" customHeight="1" x14ac:dyDescent="0.25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0"/>
    </row>
    <row r="9774" spans="1:12" ht="15" customHeight="1" x14ac:dyDescent="0.25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0"/>
    </row>
    <row r="9775" spans="1:12" ht="15" customHeight="1" x14ac:dyDescent="0.25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0"/>
    </row>
    <row r="9776" spans="1:12" ht="15" customHeight="1" x14ac:dyDescent="0.25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0"/>
    </row>
    <row r="9777" spans="1:12" ht="15" customHeight="1" x14ac:dyDescent="0.25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0"/>
    </row>
    <row r="9778" spans="1:12" ht="15" customHeight="1" x14ac:dyDescent="0.25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0"/>
    </row>
    <row r="9779" spans="1:12" ht="15" customHeight="1" x14ac:dyDescent="0.25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0"/>
    </row>
    <row r="9780" spans="1:12" ht="15" customHeight="1" x14ac:dyDescent="0.25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0"/>
    </row>
    <row r="9781" spans="1:12" ht="15" customHeight="1" x14ac:dyDescent="0.25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0"/>
    </row>
    <row r="9782" spans="1:12" ht="15" customHeight="1" x14ac:dyDescent="0.25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0"/>
    </row>
    <row r="9783" spans="1:12" ht="15" customHeight="1" x14ac:dyDescent="0.25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0"/>
    </row>
    <row r="9784" spans="1:12" ht="15" customHeight="1" x14ac:dyDescent="0.25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0"/>
    </row>
    <row r="9785" spans="1:12" ht="15" customHeight="1" x14ac:dyDescent="0.25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0"/>
    </row>
    <row r="9786" spans="1:12" ht="15" customHeight="1" x14ac:dyDescent="0.25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0"/>
    </row>
    <row r="9787" spans="1:12" ht="15" customHeight="1" x14ac:dyDescent="0.25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0"/>
    </row>
    <row r="9788" spans="1:12" ht="15" customHeight="1" x14ac:dyDescent="0.25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0"/>
    </row>
    <row r="9789" spans="1:12" ht="15" customHeight="1" x14ac:dyDescent="0.25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0"/>
    </row>
    <row r="9790" spans="1:12" ht="15" customHeight="1" x14ac:dyDescent="0.25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0"/>
    </row>
    <row r="9791" spans="1:12" ht="15" customHeight="1" x14ac:dyDescent="0.25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0"/>
    </row>
    <row r="9792" spans="1:12" ht="15" customHeight="1" x14ac:dyDescent="0.25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0"/>
    </row>
    <row r="9793" spans="1:12" ht="15" customHeight="1" x14ac:dyDescent="0.25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0"/>
    </row>
    <row r="9794" spans="1:12" ht="15" customHeight="1" x14ac:dyDescent="0.25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0"/>
    </row>
    <row r="9795" spans="1:12" ht="15" customHeight="1" x14ac:dyDescent="0.25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0"/>
    </row>
    <row r="9796" spans="1:12" ht="15" customHeight="1" x14ac:dyDescent="0.25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0"/>
    </row>
    <row r="9797" spans="1:12" ht="15" customHeight="1" x14ac:dyDescent="0.25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0"/>
    </row>
    <row r="9798" spans="1:12" ht="15" customHeight="1" x14ac:dyDescent="0.25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0"/>
    </row>
    <row r="9799" spans="1:12" ht="15" customHeight="1" x14ac:dyDescent="0.25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0"/>
    </row>
    <row r="9800" spans="1:12" ht="15" customHeight="1" x14ac:dyDescent="0.25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0"/>
    </row>
    <row r="9801" spans="1:12" ht="15" customHeight="1" x14ac:dyDescent="0.25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0"/>
    </row>
    <row r="9802" spans="1:12" ht="15" customHeight="1" x14ac:dyDescent="0.25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0"/>
    </row>
    <row r="9803" spans="1:12" ht="15" customHeight="1" x14ac:dyDescent="0.25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0"/>
    </row>
    <row r="9804" spans="1:12" ht="15" customHeight="1" x14ac:dyDescent="0.25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0"/>
    </row>
    <row r="9805" spans="1:12" ht="15" customHeight="1" x14ac:dyDescent="0.25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0"/>
    </row>
    <row r="9806" spans="1:12" ht="15" customHeight="1" x14ac:dyDescent="0.25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0"/>
    </row>
    <row r="9807" spans="1:12" ht="15" customHeight="1" x14ac:dyDescent="0.25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0"/>
    </row>
    <row r="9808" spans="1:12" ht="15" customHeight="1" x14ac:dyDescent="0.25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0"/>
    </row>
    <row r="9809" spans="1:12" ht="15" customHeight="1" x14ac:dyDescent="0.25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0"/>
    </row>
    <row r="9810" spans="1:12" ht="15" customHeight="1" x14ac:dyDescent="0.25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0"/>
    </row>
    <row r="9811" spans="1:12" ht="15" customHeight="1" x14ac:dyDescent="0.25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0"/>
    </row>
    <row r="9812" spans="1:12" ht="15" customHeight="1" x14ac:dyDescent="0.25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0"/>
    </row>
    <row r="9813" spans="1:12" ht="15" customHeight="1" x14ac:dyDescent="0.25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0"/>
    </row>
    <row r="9814" spans="1:12" ht="15" customHeight="1" x14ac:dyDescent="0.25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0"/>
    </row>
    <row r="9815" spans="1:12" ht="15" customHeight="1" x14ac:dyDescent="0.25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0"/>
    </row>
    <row r="9816" spans="1:12" ht="15" customHeight="1" x14ac:dyDescent="0.25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0"/>
    </row>
    <row r="9817" spans="1:12" ht="15" customHeight="1" x14ac:dyDescent="0.25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0"/>
    </row>
    <row r="9818" spans="1:12" ht="15" customHeight="1" x14ac:dyDescent="0.25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0"/>
    </row>
    <row r="9819" spans="1:12" ht="15" customHeight="1" x14ac:dyDescent="0.25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0"/>
    </row>
    <row r="9820" spans="1:12" ht="15" customHeight="1" x14ac:dyDescent="0.25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0"/>
    </row>
    <row r="9821" spans="1:12" ht="15" customHeight="1" x14ac:dyDescent="0.25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0"/>
    </row>
    <row r="9822" spans="1:12" ht="15" customHeight="1" x14ac:dyDescent="0.25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0"/>
    </row>
    <row r="9823" spans="1:12" ht="15" customHeight="1" x14ac:dyDescent="0.25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0"/>
    </row>
    <row r="9824" spans="1:12" ht="15" customHeight="1" x14ac:dyDescent="0.25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0"/>
    </row>
    <row r="9825" spans="1:12" ht="15" customHeight="1" x14ac:dyDescent="0.25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0"/>
    </row>
    <row r="9826" spans="1:12" ht="15" customHeight="1" x14ac:dyDescent="0.25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0"/>
    </row>
    <row r="9827" spans="1:12" ht="15" customHeight="1" x14ac:dyDescent="0.25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0"/>
    </row>
    <row r="9828" spans="1:12" ht="15" customHeight="1" x14ac:dyDescent="0.25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0"/>
    </row>
    <row r="9829" spans="1:12" ht="15" customHeight="1" x14ac:dyDescent="0.25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0"/>
    </row>
    <row r="9830" spans="1:12" ht="15" customHeight="1" x14ac:dyDescent="0.25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0"/>
    </row>
    <row r="9831" spans="1:12" ht="15" customHeight="1" x14ac:dyDescent="0.25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0"/>
    </row>
    <row r="9832" spans="1:12" ht="15" customHeight="1" x14ac:dyDescent="0.25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0"/>
    </row>
    <row r="9833" spans="1:12" ht="15" customHeight="1" x14ac:dyDescent="0.25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0"/>
    </row>
    <row r="9834" spans="1:12" ht="15" customHeight="1" x14ac:dyDescent="0.25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0"/>
    </row>
    <row r="9835" spans="1:12" ht="15" customHeight="1" x14ac:dyDescent="0.25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0"/>
    </row>
    <row r="9836" spans="1:12" ht="15" customHeight="1" x14ac:dyDescent="0.25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0"/>
    </row>
    <row r="9837" spans="1:12" ht="15" customHeight="1" x14ac:dyDescent="0.25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0"/>
    </row>
    <row r="9838" spans="1:12" ht="15" customHeight="1" x14ac:dyDescent="0.25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0"/>
    </row>
    <row r="9839" spans="1:12" ht="15" customHeight="1" x14ac:dyDescent="0.25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0"/>
    </row>
    <row r="9840" spans="1:12" ht="15" customHeight="1" x14ac:dyDescent="0.25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0"/>
    </row>
    <row r="9841" spans="1:12" ht="15" customHeight="1" x14ac:dyDescent="0.25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0"/>
    </row>
    <row r="9842" spans="1:12" ht="15" customHeight="1" x14ac:dyDescent="0.25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0"/>
    </row>
    <row r="9843" spans="1:12" ht="15" customHeight="1" x14ac:dyDescent="0.25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0"/>
    </row>
    <row r="9844" spans="1:12" ht="15" customHeight="1" x14ac:dyDescent="0.25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0"/>
    </row>
    <row r="9845" spans="1:12" ht="15" customHeight="1" x14ac:dyDescent="0.25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0"/>
    </row>
    <row r="9846" spans="1:12" ht="15" customHeight="1" x14ac:dyDescent="0.25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0"/>
    </row>
    <row r="9847" spans="1:12" ht="15" customHeight="1" x14ac:dyDescent="0.25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0"/>
    </row>
    <row r="9848" spans="1:12" ht="15" customHeight="1" x14ac:dyDescent="0.25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0"/>
    </row>
    <row r="9849" spans="1:12" ht="15" customHeight="1" x14ac:dyDescent="0.25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0"/>
    </row>
    <row r="9850" spans="1:12" ht="15" customHeight="1" x14ac:dyDescent="0.25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0"/>
    </row>
    <row r="9851" spans="1:12" ht="15" customHeight="1" x14ac:dyDescent="0.25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0"/>
    </row>
    <row r="9852" spans="1:12" ht="15" customHeight="1" x14ac:dyDescent="0.25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0"/>
    </row>
    <row r="9853" spans="1:12" ht="15" customHeight="1" x14ac:dyDescent="0.25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0"/>
    </row>
    <row r="9854" spans="1:12" ht="15" customHeight="1" x14ac:dyDescent="0.25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0"/>
    </row>
    <row r="9855" spans="1:12" ht="15" customHeight="1" x14ac:dyDescent="0.25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0"/>
    </row>
    <row r="9856" spans="1:12" ht="15" customHeight="1" x14ac:dyDescent="0.25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0"/>
    </row>
    <row r="9857" spans="1:12" ht="15" customHeight="1" x14ac:dyDescent="0.25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0"/>
    </row>
    <row r="9858" spans="1:12" ht="15" customHeight="1" x14ac:dyDescent="0.25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0"/>
    </row>
    <row r="9859" spans="1:12" ht="15" customHeight="1" x14ac:dyDescent="0.25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0"/>
    </row>
    <row r="9860" spans="1:12" ht="15" customHeight="1" x14ac:dyDescent="0.25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0"/>
    </row>
    <row r="9861" spans="1:12" ht="15" customHeight="1" x14ac:dyDescent="0.25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0"/>
    </row>
    <row r="9862" spans="1:12" ht="15" customHeight="1" x14ac:dyDescent="0.25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0"/>
    </row>
    <row r="9863" spans="1:12" ht="15" customHeight="1" x14ac:dyDescent="0.25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0"/>
    </row>
    <row r="9864" spans="1:12" ht="15" customHeight="1" x14ac:dyDescent="0.25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0"/>
    </row>
    <row r="9865" spans="1:12" ht="15" customHeight="1" x14ac:dyDescent="0.25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0"/>
    </row>
    <row r="9866" spans="1:12" ht="15" customHeight="1" x14ac:dyDescent="0.25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0"/>
    </row>
    <row r="9867" spans="1:12" ht="15" customHeight="1" x14ac:dyDescent="0.25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0"/>
    </row>
    <row r="9868" spans="1:12" ht="15" customHeight="1" x14ac:dyDescent="0.25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0"/>
    </row>
    <row r="9869" spans="1:12" ht="15" customHeight="1" x14ac:dyDescent="0.25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0"/>
    </row>
    <row r="9870" spans="1:12" ht="15" customHeight="1" x14ac:dyDescent="0.25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0"/>
    </row>
    <row r="9871" spans="1:12" ht="15" customHeight="1" x14ac:dyDescent="0.25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0"/>
    </row>
    <row r="9872" spans="1:12" ht="15" customHeight="1" x14ac:dyDescent="0.25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0"/>
    </row>
    <row r="9873" spans="1:12" ht="15" customHeight="1" x14ac:dyDescent="0.25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0"/>
    </row>
    <row r="9874" spans="1:12" ht="15" customHeight="1" x14ac:dyDescent="0.25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0"/>
    </row>
    <row r="9875" spans="1:12" ht="15" customHeight="1" x14ac:dyDescent="0.25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0"/>
    </row>
    <row r="9876" spans="1:12" ht="15" customHeight="1" x14ac:dyDescent="0.25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0"/>
    </row>
    <row r="9877" spans="1:12" ht="15" customHeight="1" x14ac:dyDescent="0.25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0"/>
    </row>
    <row r="9878" spans="1:12" ht="15" customHeight="1" x14ac:dyDescent="0.25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0"/>
    </row>
    <row r="9879" spans="1:12" ht="15" customHeight="1" x14ac:dyDescent="0.25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0"/>
    </row>
    <row r="9880" spans="1:12" ht="15" customHeight="1" x14ac:dyDescent="0.25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0"/>
    </row>
    <row r="9881" spans="1:12" ht="15" customHeight="1" x14ac:dyDescent="0.25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0"/>
    </row>
    <row r="9882" spans="1:12" ht="15" customHeight="1" x14ac:dyDescent="0.25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0"/>
    </row>
    <row r="9883" spans="1:12" ht="15" customHeight="1" x14ac:dyDescent="0.25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0"/>
    </row>
    <row r="9884" spans="1:12" ht="15" customHeight="1" x14ac:dyDescent="0.25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0"/>
    </row>
    <row r="9885" spans="1:12" ht="15" customHeight="1" x14ac:dyDescent="0.25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0"/>
    </row>
    <row r="9886" spans="1:12" ht="15" customHeight="1" x14ac:dyDescent="0.25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0"/>
    </row>
    <row r="9887" spans="1:12" ht="15" customHeight="1" x14ac:dyDescent="0.25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0"/>
    </row>
    <row r="9888" spans="1:12" ht="15" customHeight="1" x14ac:dyDescent="0.25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0"/>
    </row>
    <row r="9889" spans="1:12" ht="15" customHeight="1" x14ac:dyDescent="0.25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0"/>
    </row>
    <row r="9890" spans="1:12" ht="15" customHeight="1" x14ac:dyDescent="0.25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0"/>
    </row>
    <row r="9891" spans="1:12" ht="15" customHeight="1" x14ac:dyDescent="0.25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0"/>
    </row>
    <row r="9892" spans="1:12" ht="15" customHeight="1" x14ac:dyDescent="0.25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0"/>
    </row>
    <row r="9893" spans="1:12" ht="15" customHeight="1" x14ac:dyDescent="0.25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0"/>
    </row>
    <row r="9894" spans="1:12" ht="15" customHeight="1" x14ac:dyDescent="0.25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0"/>
    </row>
    <row r="9895" spans="1:12" ht="15" customHeight="1" x14ac:dyDescent="0.25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0"/>
    </row>
    <row r="9896" spans="1:12" ht="15" customHeight="1" x14ac:dyDescent="0.25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0"/>
    </row>
    <row r="9897" spans="1:12" ht="15" customHeight="1" x14ac:dyDescent="0.25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0"/>
    </row>
    <row r="9898" spans="1:12" ht="15" customHeight="1" x14ac:dyDescent="0.25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0"/>
    </row>
    <row r="9899" spans="1:12" ht="15" customHeight="1" x14ac:dyDescent="0.25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0"/>
    </row>
    <row r="9900" spans="1:12" ht="15" customHeight="1" x14ac:dyDescent="0.25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0"/>
    </row>
    <row r="9901" spans="1:12" ht="15" customHeight="1" x14ac:dyDescent="0.25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0"/>
    </row>
    <row r="9902" spans="1:12" ht="15" customHeight="1" x14ac:dyDescent="0.25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0"/>
    </row>
    <row r="9903" spans="1:12" ht="15" customHeight="1" x14ac:dyDescent="0.25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0"/>
    </row>
    <row r="9904" spans="1:12" ht="15" customHeight="1" x14ac:dyDescent="0.25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0"/>
    </row>
    <row r="9905" spans="1:12" ht="15" customHeight="1" x14ac:dyDescent="0.25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0"/>
    </row>
    <row r="9906" spans="1:12" ht="15" customHeight="1" x14ac:dyDescent="0.25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0"/>
    </row>
    <row r="9907" spans="1:12" ht="15" customHeight="1" x14ac:dyDescent="0.25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0"/>
    </row>
    <row r="9908" spans="1:12" ht="15" customHeight="1" x14ac:dyDescent="0.25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0"/>
    </row>
    <row r="9909" spans="1:12" ht="15" customHeight="1" x14ac:dyDescent="0.25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0"/>
    </row>
    <row r="9910" spans="1:12" ht="15" customHeight="1" x14ac:dyDescent="0.25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0"/>
    </row>
    <row r="9911" spans="1:12" ht="15" customHeight="1" x14ac:dyDescent="0.25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0"/>
    </row>
    <row r="9912" spans="1:12" ht="15" customHeight="1" x14ac:dyDescent="0.25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0"/>
    </row>
    <row r="9913" spans="1:12" ht="15" customHeight="1" x14ac:dyDescent="0.25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0"/>
    </row>
    <row r="9914" spans="1:12" ht="15" customHeight="1" x14ac:dyDescent="0.25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0"/>
    </row>
    <row r="9915" spans="1:12" ht="15" customHeight="1" x14ac:dyDescent="0.25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0"/>
    </row>
    <row r="9916" spans="1:12" ht="15" customHeight="1" x14ac:dyDescent="0.25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0"/>
    </row>
    <row r="9917" spans="1:12" ht="15" customHeight="1" x14ac:dyDescent="0.25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0"/>
    </row>
    <row r="9918" spans="1:12" ht="15" customHeight="1" x14ac:dyDescent="0.25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0"/>
    </row>
    <row r="9919" spans="1:12" ht="15" customHeight="1" x14ac:dyDescent="0.25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0"/>
    </row>
    <row r="9920" spans="1:12" ht="15" customHeight="1" x14ac:dyDescent="0.25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0"/>
    </row>
    <row r="9921" spans="1:12" ht="15" customHeight="1" x14ac:dyDescent="0.25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0"/>
    </row>
    <row r="9922" spans="1:12" ht="15" customHeight="1" x14ac:dyDescent="0.25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0"/>
    </row>
    <row r="9923" spans="1:12" ht="15" customHeight="1" x14ac:dyDescent="0.25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0"/>
    </row>
    <row r="9924" spans="1:12" ht="15" customHeight="1" x14ac:dyDescent="0.25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0"/>
    </row>
    <row r="9925" spans="1:12" ht="15" customHeight="1" x14ac:dyDescent="0.25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0"/>
    </row>
    <row r="9926" spans="1:12" ht="15" customHeight="1" x14ac:dyDescent="0.25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0"/>
    </row>
    <row r="9927" spans="1:12" ht="15" customHeight="1" x14ac:dyDescent="0.25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0"/>
    </row>
    <row r="9928" spans="1:12" ht="15" customHeight="1" x14ac:dyDescent="0.25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0"/>
    </row>
    <row r="9929" spans="1:12" ht="15" customHeight="1" x14ac:dyDescent="0.25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0"/>
    </row>
    <row r="9930" spans="1:12" ht="15" customHeight="1" x14ac:dyDescent="0.25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0"/>
    </row>
    <row r="9931" spans="1:12" ht="15" customHeight="1" x14ac:dyDescent="0.25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0"/>
    </row>
    <row r="9932" spans="1:12" ht="15" customHeight="1" x14ac:dyDescent="0.25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0"/>
    </row>
    <row r="9933" spans="1:12" ht="15" customHeight="1" x14ac:dyDescent="0.25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0"/>
    </row>
    <row r="9934" spans="1:12" ht="15" customHeight="1" x14ac:dyDescent="0.25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0"/>
    </row>
    <row r="9935" spans="1:12" ht="15" customHeight="1" x14ac:dyDescent="0.25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0"/>
    </row>
    <row r="9936" spans="1:12" ht="15" customHeight="1" x14ac:dyDescent="0.25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0"/>
    </row>
    <row r="9937" spans="1:12" ht="15" customHeight="1" x14ac:dyDescent="0.25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0"/>
    </row>
    <row r="9938" spans="1:12" ht="15" customHeight="1" x14ac:dyDescent="0.25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0"/>
    </row>
    <row r="9939" spans="1:12" ht="15" customHeight="1" x14ac:dyDescent="0.25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0"/>
    </row>
    <row r="9940" spans="1:12" ht="15" customHeight="1" x14ac:dyDescent="0.25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0"/>
    </row>
    <row r="9941" spans="1:12" ht="15" customHeight="1" x14ac:dyDescent="0.25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0"/>
    </row>
    <row r="9942" spans="1:12" ht="15" customHeight="1" x14ac:dyDescent="0.25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0"/>
    </row>
    <row r="9943" spans="1:12" ht="15" customHeight="1" x14ac:dyDescent="0.25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0"/>
    </row>
    <row r="9944" spans="1:12" ht="15" customHeight="1" x14ac:dyDescent="0.25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0"/>
    </row>
    <row r="9945" spans="1:12" ht="15" customHeight="1" x14ac:dyDescent="0.25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0"/>
    </row>
    <row r="9946" spans="1:12" ht="15" customHeight="1" x14ac:dyDescent="0.25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0"/>
    </row>
    <row r="9947" spans="1:12" ht="15" customHeight="1" x14ac:dyDescent="0.25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0"/>
    </row>
    <row r="9948" spans="1:12" ht="15" customHeight="1" x14ac:dyDescent="0.25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0"/>
    </row>
    <row r="9949" spans="1:12" ht="15" customHeight="1" x14ac:dyDescent="0.25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0"/>
    </row>
    <row r="9950" spans="1:12" ht="15" customHeight="1" x14ac:dyDescent="0.25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0"/>
    </row>
    <row r="9951" spans="1:12" ht="15" customHeight="1" x14ac:dyDescent="0.25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0"/>
    </row>
    <row r="9952" spans="1:12" ht="15" customHeight="1" x14ac:dyDescent="0.25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0"/>
    </row>
    <row r="9953" spans="1:12" ht="15" customHeight="1" x14ac:dyDescent="0.25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0"/>
    </row>
    <row r="9954" spans="1:12" ht="15" customHeight="1" x14ac:dyDescent="0.25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0"/>
    </row>
    <row r="9955" spans="1:12" ht="15" customHeight="1" x14ac:dyDescent="0.25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0"/>
    </row>
    <row r="9956" spans="1:12" ht="15" customHeight="1" x14ac:dyDescent="0.25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0"/>
    </row>
    <row r="9957" spans="1:12" ht="15" customHeight="1" x14ac:dyDescent="0.25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0"/>
    </row>
    <row r="9958" spans="1:12" ht="15" customHeight="1" x14ac:dyDescent="0.25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0"/>
    </row>
    <row r="9959" spans="1:12" ht="15" customHeight="1" x14ac:dyDescent="0.25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0"/>
    </row>
    <row r="9960" spans="1:12" ht="15" customHeight="1" x14ac:dyDescent="0.25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0"/>
    </row>
    <row r="9961" spans="1:12" ht="15" customHeight="1" x14ac:dyDescent="0.25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0"/>
    </row>
    <row r="9962" spans="1:12" ht="15" customHeight="1" x14ac:dyDescent="0.25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0"/>
    </row>
    <row r="9963" spans="1:12" ht="15" customHeight="1" x14ac:dyDescent="0.25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0"/>
    </row>
    <row r="9964" spans="1:12" ht="15" customHeight="1" x14ac:dyDescent="0.25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0"/>
    </row>
    <row r="9965" spans="1:12" ht="15" customHeight="1" x14ac:dyDescent="0.25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0"/>
    </row>
    <row r="9966" spans="1:12" ht="15" customHeight="1" x14ac:dyDescent="0.25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0"/>
    </row>
    <row r="9967" spans="1:12" ht="15" customHeight="1" x14ac:dyDescent="0.25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0"/>
    </row>
    <row r="9968" spans="1:12" ht="15" customHeight="1" x14ac:dyDescent="0.25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0"/>
    </row>
    <row r="9969" spans="1:12" ht="15" customHeight="1" x14ac:dyDescent="0.25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0"/>
    </row>
    <row r="9970" spans="1:12" ht="15" customHeight="1" x14ac:dyDescent="0.25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0"/>
    </row>
    <row r="9971" spans="1:12" ht="15" customHeight="1" x14ac:dyDescent="0.25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0"/>
    </row>
    <row r="9972" spans="1:12" ht="15" customHeight="1" x14ac:dyDescent="0.25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0"/>
    </row>
    <row r="9973" spans="1:12" ht="15" customHeight="1" x14ac:dyDescent="0.25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0"/>
    </row>
    <row r="9974" spans="1:12" ht="15" customHeight="1" x14ac:dyDescent="0.25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0"/>
    </row>
    <row r="9975" spans="1:12" ht="15" customHeight="1" x14ac:dyDescent="0.25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0"/>
    </row>
    <row r="9976" spans="1:12" ht="15" customHeight="1" x14ac:dyDescent="0.25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0"/>
    </row>
    <row r="9977" spans="1:12" ht="15" customHeight="1" x14ac:dyDescent="0.25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0"/>
    </row>
    <row r="9978" spans="1:12" ht="15" customHeight="1" x14ac:dyDescent="0.25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0"/>
    </row>
    <row r="9979" spans="1:12" ht="15" customHeight="1" x14ac:dyDescent="0.25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0"/>
    </row>
    <row r="9980" spans="1:12" ht="15" customHeight="1" x14ac:dyDescent="0.25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0"/>
    </row>
    <row r="9981" spans="1:12" ht="15" customHeight="1" x14ac:dyDescent="0.25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0"/>
    </row>
    <row r="9982" spans="1:12" ht="15" customHeight="1" x14ac:dyDescent="0.25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0"/>
    </row>
    <row r="9983" spans="1:12" ht="15" customHeight="1" x14ac:dyDescent="0.25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0"/>
    </row>
    <row r="9984" spans="1:12" ht="15" customHeight="1" x14ac:dyDescent="0.25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0"/>
    </row>
    <row r="9985" spans="1:12" ht="15" customHeight="1" x14ac:dyDescent="0.25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0"/>
    </row>
    <row r="9986" spans="1:12" ht="15" customHeight="1" x14ac:dyDescent="0.25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0"/>
    </row>
    <row r="9987" spans="1:12" ht="15" customHeight="1" x14ac:dyDescent="0.25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0"/>
    </row>
    <row r="9988" spans="1:12" ht="15" customHeight="1" x14ac:dyDescent="0.25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0"/>
    </row>
    <row r="9989" spans="1:12" ht="15" customHeight="1" x14ac:dyDescent="0.25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0"/>
    </row>
    <row r="9990" spans="1:12" ht="15" customHeight="1" x14ac:dyDescent="0.25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0"/>
    </row>
    <row r="9991" spans="1:12" ht="15" customHeight="1" x14ac:dyDescent="0.25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0"/>
    </row>
    <row r="9992" spans="1:12" ht="15" customHeight="1" x14ac:dyDescent="0.25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0"/>
    </row>
    <row r="9993" spans="1:12" ht="15" customHeight="1" x14ac:dyDescent="0.25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0"/>
    </row>
    <row r="9994" spans="1:12" ht="15" customHeight="1" x14ac:dyDescent="0.25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0"/>
    </row>
    <row r="9995" spans="1:12" ht="15" customHeight="1" x14ac:dyDescent="0.25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0"/>
    </row>
    <row r="9996" spans="1:12" ht="15" customHeight="1" x14ac:dyDescent="0.25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0"/>
    </row>
    <row r="9997" spans="1:12" ht="15" customHeight="1" x14ac:dyDescent="0.25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0"/>
    </row>
    <row r="9998" spans="1:12" ht="15" customHeight="1" x14ac:dyDescent="0.25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0"/>
    </row>
    <row r="9999" spans="1:12" ht="15" customHeight="1" x14ac:dyDescent="0.25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0"/>
    </row>
    <row r="10000" spans="1:12" ht="15" customHeight="1" x14ac:dyDescent="0.25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0"/>
    </row>
    <row r="10001" spans="1:12" ht="15" customHeight="1" x14ac:dyDescent="0.25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0"/>
    </row>
    <row r="10002" spans="1:12" ht="15" customHeight="1" x14ac:dyDescent="0.25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0"/>
    </row>
    <row r="10003" spans="1:12" ht="15" customHeight="1" x14ac:dyDescent="0.25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0"/>
    </row>
    <row r="10004" spans="1:12" ht="15" customHeight="1" x14ac:dyDescent="0.25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0"/>
    </row>
    <row r="10005" spans="1:12" ht="15" customHeight="1" x14ac:dyDescent="0.25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0"/>
    </row>
    <row r="10006" spans="1:12" ht="15" customHeight="1" x14ac:dyDescent="0.25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0"/>
    </row>
    <row r="10007" spans="1:12" ht="15" customHeight="1" x14ac:dyDescent="0.25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0"/>
    </row>
    <row r="10008" spans="1:12" ht="15" customHeight="1" x14ac:dyDescent="0.25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0"/>
    </row>
    <row r="10009" spans="1:12" ht="15" customHeight="1" x14ac:dyDescent="0.25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0"/>
    </row>
    <row r="10010" spans="1:12" ht="15" customHeight="1" x14ac:dyDescent="0.25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0"/>
    </row>
    <row r="10011" spans="1:12" ht="15" customHeight="1" x14ac:dyDescent="0.25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0"/>
    </row>
    <row r="10012" spans="1:12" ht="15" customHeight="1" x14ac:dyDescent="0.25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0"/>
    </row>
    <row r="10013" spans="1:12" ht="15" customHeight="1" x14ac:dyDescent="0.25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0"/>
    </row>
    <row r="10014" spans="1:12" ht="15" customHeight="1" x14ac:dyDescent="0.25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0"/>
    </row>
    <row r="10015" spans="1:12" ht="15" customHeight="1" x14ac:dyDescent="0.25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0"/>
    </row>
    <row r="10016" spans="1:12" ht="15" customHeight="1" x14ac:dyDescent="0.25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0"/>
    </row>
    <row r="10017" spans="1:12" ht="15" customHeight="1" x14ac:dyDescent="0.25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0"/>
    </row>
    <row r="10018" spans="1:12" ht="15" customHeight="1" x14ac:dyDescent="0.25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0"/>
    </row>
    <row r="10019" spans="1:12" ht="15" customHeight="1" x14ac:dyDescent="0.25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0"/>
    </row>
    <row r="10020" spans="1:12" ht="15" customHeight="1" x14ac:dyDescent="0.25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0"/>
    </row>
    <row r="10021" spans="1:12" ht="15" customHeight="1" x14ac:dyDescent="0.25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0"/>
    </row>
    <row r="10022" spans="1:12" ht="15" customHeight="1" x14ac:dyDescent="0.25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0"/>
    </row>
    <row r="10023" spans="1:12" ht="15" customHeight="1" x14ac:dyDescent="0.25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0"/>
    </row>
    <row r="10024" spans="1:12" ht="15" customHeight="1" x14ac:dyDescent="0.25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0"/>
    </row>
    <row r="10025" spans="1:12" ht="15" customHeight="1" x14ac:dyDescent="0.25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0"/>
    </row>
    <row r="10026" spans="1:12" ht="15" customHeight="1" x14ac:dyDescent="0.25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0"/>
    </row>
    <row r="10027" spans="1:12" ht="15" customHeight="1" x14ac:dyDescent="0.25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0"/>
    </row>
    <row r="10028" spans="1:12" ht="15" customHeight="1" x14ac:dyDescent="0.25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0"/>
    </row>
    <row r="10029" spans="1:12" ht="15" customHeight="1" x14ac:dyDescent="0.25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0"/>
    </row>
    <row r="10030" spans="1:12" ht="15" customHeight="1" x14ac:dyDescent="0.25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0"/>
    </row>
    <row r="10031" spans="1:12" ht="15" customHeight="1" x14ac:dyDescent="0.25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0"/>
    </row>
    <row r="10032" spans="1:12" ht="15" customHeight="1" x14ac:dyDescent="0.25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0"/>
    </row>
    <row r="10033" spans="1:12" ht="15" customHeight="1" x14ac:dyDescent="0.25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0"/>
    </row>
    <row r="10034" spans="1:12" ht="15" customHeight="1" x14ac:dyDescent="0.25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0"/>
    </row>
    <row r="10035" spans="1:12" ht="15" customHeight="1" x14ac:dyDescent="0.25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0"/>
    </row>
    <row r="10036" spans="1:12" ht="15" customHeight="1" x14ac:dyDescent="0.25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0"/>
    </row>
    <row r="10037" spans="1:12" ht="15" customHeight="1" x14ac:dyDescent="0.25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0"/>
    </row>
    <row r="10038" spans="1:12" ht="15" customHeight="1" x14ac:dyDescent="0.25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0"/>
    </row>
    <row r="10039" spans="1:12" ht="15" customHeight="1" x14ac:dyDescent="0.25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0"/>
    </row>
    <row r="10040" spans="1:12" ht="15" customHeight="1" x14ac:dyDescent="0.25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0"/>
    </row>
    <row r="10041" spans="1:12" ht="15" customHeight="1" x14ac:dyDescent="0.25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0"/>
    </row>
    <row r="10042" spans="1:12" ht="15" customHeight="1" x14ac:dyDescent="0.25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0"/>
    </row>
    <row r="10043" spans="1:12" ht="15" customHeight="1" x14ac:dyDescent="0.25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0"/>
    </row>
    <row r="10044" spans="1:12" ht="15" customHeight="1" x14ac:dyDescent="0.25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0"/>
    </row>
    <row r="10045" spans="1:12" ht="15" customHeight="1" x14ac:dyDescent="0.25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0"/>
    </row>
    <row r="10046" spans="1:12" ht="15" customHeight="1" x14ac:dyDescent="0.25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0"/>
    </row>
    <row r="10047" spans="1:12" ht="15" customHeight="1" x14ac:dyDescent="0.25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0"/>
    </row>
    <row r="10048" spans="1:12" ht="15" customHeight="1" x14ac:dyDescent="0.25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0"/>
    </row>
    <row r="10049" spans="1:12" ht="15" customHeight="1" x14ac:dyDescent="0.25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0"/>
    </row>
    <row r="10050" spans="1:12" ht="15" customHeight="1" x14ac:dyDescent="0.25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0"/>
    </row>
    <row r="10051" spans="1:12" ht="15" customHeight="1" x14ac:dyDescent="0.25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0"/>
    </row>
    <row r="10052" spans="1:12" ht="15" customHeight="1" x14ac:dyDescent="0.25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0"/>
    </row>
    <row r="10053" spans="1:12" ht="15" customHeight="1" x14ac:dyDescent="0.25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0"/>
    </row>
    <row r="10054" spans="1:12" ht="15" customHeight="1" x14ac:dyDescent="0.25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0"/>
    </row>
    <row r="10055" spans="1:12" ht="15" customHeight="1" x14ac:dyDescent="0.25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0"/>
    </row>
    <row r="10056" spans="1:12" ht="15" customHeight="1" x14ac:dyDescent="0.25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0"/>
    </row>
    <row r="10057" spans="1:12" ht="15" customHeight="1" x14ac:dyDescent="0.25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0"/>
    </row>
    <row r="10058" spans="1:12" ht="15" customHeight="1" x14ac:dyDescent="0.25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0"/>
    </row>
    <row r="10059" spans="1:12" ht="15" customHeight="1" x14ac:dyDescent="0.25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0"/>
    </row>
    <row r="10060" spans="1:12" ht="15" customHeight="1" x14ac:dyDescent="0.25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0"/>
    </row>
    <row r="10061" spans="1:12" ht="15" customHeight="1" x14ac:dyDescent="0.25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0"/>
    </row>
    <row r="10062" spans="1:12" ht="15" customHeight="1" x14ac:dyDescent="0.25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0"/>
    </row>
    <row r="10063" spans="1:12" ht="15" customHeight="1" x14ac:dyDescent="0.25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0"/>
    </row>
    <row r="10064" spans="1:12" ht="15" customHeight="1" x14ac:dyDescent="0.25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0"/>
    </row>
    <row r="10065" spans="1:12" ht="15" customHeight="1" x14ac:dyDescent="0.25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0"/>
    </row>
    <row r="10066" spans="1:12" ht="15" customHeight="1" x14ac:dyDescent="0.25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0"/>
    </row>
  </sheetData>
  <sortState ref="J3:K7">
    <sortCondition descending="1" ref="K3:K7"/>
  </sortState>
  <mergeCells count="31">
    <mergeCell ref="I2:T2"/>
    <mergeCell ref="I5:T6"/>
    <mergeCell ref="I7:T8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T10:U10"/>
    <mergeCell ref="CZ116:DW116"/>
    <mergeCell ref="DX116:EU116"/>
    <mergeCell ref="EV116:FS116"/>
    <mergeCell ref="FT116:GQ116"/>
    <mergeCell ref="CZ79:DS79"/>
    <mergeCell ref="DT79:EM79"/>
    <mergeCell ref="EN79:FG79"/>
    <mergeCell ref="FH79:GA79"/>
    <mergeCell ref="CZ99:DX99"/>
    <mergeCell ref="DY99:EW99"/>
    <mergeCell ref="EX99:FV99"/>
    <mergeCell ref="FW99:GU99"/>
    <mergeCell ref="V10:W10"/>
    <mergeCell ref="FE58:FW58"/>
    <mergeCell ref="X10:AA10"/>
    <mergeCell ref="CZ58:DR58"/>
    <mergeCell ref="DS58:EK58"/>
    <mergeCell ref="EL58:FD58"/>
  </mergeCells>
  <conditionalFormatting sqref="B11:B20 D11:D20 F11:F20 H11:H20 J11:J20 L11:L20 N11:N20 P11:P20 R11:R20 T11:T20 V11:V20">
    <cfRule type="dataBar" priority="23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{D25B62F2-14DE-4193-BD11-30CF3ECA4F84}</x14:id>
        </ext>
      </extLst>
    </cfRule>
    <cfRule type="expression" dxfId="32" priority="102">
      <formula>AND(B$10=valRegionPicked,B11&lt;&gt;"",C11&lt;&gt;"")</formula>
    </cfRule>
  </conditionalFormatting>
  <conditionalFormatting sqref="C11:C20 E11:E20 G11:G20 I11:I20 K11:K20 M11:M20 O11:O20 Q11:Q20 S11:S20 U11:U20 W11:W20">
    <cfRule type="expression" dxfId="31" priority="24">
      <formula>AND(B$10&lt;&gt;valRegionPicked,B11&lt;&gt;"",C11&lt;&gt;"")</formula>
    </cfRule>
    <cfRule type="expression" dxfId="30" priority="89">
      <formula>AND(B$10=valRegionPicked,B11&lt;&gt;"",C11&lt;&gt;"")</formula>
    </cfRule>
  </conditionalFormatting>
  <conditionalFormatting sqref="A10">
    <cfRule type="expression" dxfId="29" priority="55">
      <formula>(A$10&lt;&gt;"")</formula>
    </cfRule>
  </conditionalFormatting>
  <conditionalFormatting sqref="A11:A20">
    <cfRule type="expression" dxfId="28" priority="26">
      <formula>($A11&lt;&gt;"")</formula>
    </cfRule>
  </conditionalFormatting>
  <conditionalFormatting sqref="B10:W10">
    <cfRule type="expression" dxfId="27" priority="54">
      <formula>AND(B$10&lt;&gt;valRegionPicked,B$10&lt;&gt;"")</formula>
    </cfRule>
    <cfRule type="expression" dxfId="26" priority="103">
      <formula>AND(B$10=valRegionPicked,B$10&lt;&gt;"")</formula>
    </cfRule>
  </conditionalFormatting>
  <conditionalFormatting sqref="A20:U20">
    <cfRule type="expression" dxfId="25" priority="20">
      <formula>(AND($C$135=1,$F$141=1))</formula>
    </cfRule>
  </conditionalFormatting>
  <conditionalFormatting sqref="A20:K20">
    <cfRule type="expression" dxfId="24" priority="19">
      <formula>(AND($C$135=1,$F$141=2))</formula>
    </cfRule>
  </conditionalFormatting>
  <conditionalFormatting sqref="A20:M20">
    <cfRule type="expression" dxfId="23" priority="18">
      <formula>(AND($C$135=1,$F$141=3))</formula>
    </cfRule>
  </conditionalFormatting>
  <conditionalFormatting sqref="A19:W19">
    <cfRule type="expression" dxfId="22" priority="17">
      <formula>(AND($C$135=2,$F$141=1))</formula>
    </cfRule>
  </conditionalFormatting>
  <conditionalFormatting sqref="A19:K19">
    <cfRule type="expression" dxfId="21" priority="16">
      <formula>(AND($C$135=2,$F$141=2))</formula>
    </cfRule>
  </conditionalFormatting>
  <conditionalFormatting sqref="A19:M19">
    <cfRule type="expression" dxfId="20" priority="15">
      <formula>(AND($C$135=2,$F$141=3))</formula>
    </cfRule>
  </conditionalFormatting>
  <conditionalFormatting sqref="A14:W14">
    <cfRule type="expression" dxfId="19" priority="14">
      <formula>(AND($C$135=3,$F$141=1))</formula>
    </cfRule>
  </conditionalFormatting>
  <conditionalFormatting sqref="A14:U14">
    <cfRule type="expression" dxfId="18" priority="13">
      <formula>(AND($C$135=3,$F$141=2))</formula>
    </cfRule>
  </conditionalFormatting>
  <conditionalFormatting sqref="A14:M14">
    <cfRule type="expression" dxfId="17" priority="12">
      <formula>(AND($C$135=3,$F$141=3))</formula>
    </cfRule>
  </conditionalFormatting>
  <conditionalFormatting sqref="A15:W15">
    <cfRule type="expression" dxfId="16" priority="11">
      <formula>(AND($C$135=4,$F$141=1))</formula>
    </cfRule>
  </conditionalFormatting>
  <conditionalFormatting sqref="A15:U15">
    <cfRule type="expression" dxfId="15" priority="10">
      <formula>(AND($C$135=4,$F$141=2))</formula>
    </cfRule>
  </conditionalFormatting>
  <conditionalFormatting sqref="A15:K15">
    <cfRule type="expression" dxfId="14" priority="9">
      <formula>(AND($C$135=4,$F$141=3))</formula>
    </cfRule>
  </conditionalFormatting>
  <conditionalFormatting sqref="D11:W20">
    <cfRule type="top10" dxfId="13" priority="113" rank="1"/>
  </conditionalFormatting>
  <conditionalFormatting sqref="D11:V20">
    <cfRule type="expression" dxfId="12" priority="114">
      <formula>(D11=$B$149)</formula>
    </cfRule>
  </conditionalFormatting>
  <conditionalFormatting sqref="E11:W20">
    <cfRule type="expression" dxfId="11" priority="5">
      <formula>(D11=$B$149)</formula>
    </cfRule>
    <cfRule type="expression" dxfId="10" priority="6">
      <formula>(D11=$B$148)</formula>
    </cfRule>
  </conditionalFormatting>
  <conditionalFormatting sqref="B11:B20">
    <cfRule type="top10" dxfId="9" priority="4" rank="1"/>
    <cfRule type="top10" dxfId="8" priority="3" bottom="1" rank="1"/>
  </conditionalFormatting>
  <conditionalFormatting sqref="C11:C20">
    <cfRule type="expression" dxfId="7" priority="2">
      <formula>(B11=MAX($B$11:$B$20))</formula>
    </cfRule>
    <cfRule type="expression" dxfId="6" priority="1">
      <formula>(B11=MIN($B$11:$B$20))</formula>
    </cfRule>
  </conditionalFormatting>
  <pageMargins left="0.7" right="0.7" top="0.75" bottom="0.75" header="0.3" footer="0.3"/>
  <pageSetup orientation="portrait" r:id="rId1"/>
  <ignoredErrors>
    <ignoredError sqref="C11:W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ist Box 1">
              <controlPr defaultSize="0" autoLine="0" autoPict="0">
                <anchor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2</xdr:col>
                    <xdr:colOff>180975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List Box 2">
              <controlPr defaultSize="0" autoLine="0" autoPict="0">
                <anchor>
                  <from>
                    <xdr:col>2</xdr:col>
                    <xdr:colOff>228600</xdr:colOff>
                    <xdr:row>1</xdr:row>
                    <xdr:rowOff>171450</xdr:rowOff>
                  </from>
                  <to>
                    <xdr:col>6</xdr:col>
                    <xdr:colOff>190500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>
                  <from>
                    <xdr:col>0</xdr:col>
                    <xdr:colOff>9525</xdr:colOff>
                    <xdr:row>5</xdr:row>
                    <xdr:rowOff>66675</xdr:rowOff>
                  </from>
                  <to>
                    <xdr:col>1</xdr:col>
                    <xdr:colOff>142875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>
                  <from>
                    <xdr:col>1</xdr:col>
                    <xdr:colOff>200025</xdr:colOff>
                    <xdr:row>5</xdr:row>
                    <xdr:rowOff>66675</xdr:rowOff>
                  </from>
                  <to>
                    <xdr:col>3</xdr:col>
                    <xdr:colOff>504825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>
                  <from>
                    <xdr:col>3</xdr:col>
                    <xdr:colOff>447675</xdr:colOff>
                    <xdr:row>5</xdr:row>
                    <xdr:rowOff>66675</xdr:rowOff>
                  </from>
                  <to>
                    <xdr:col>6</xdr:col>
                    <xdr:colOff>238125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5B62F2-14DE-4193-BD11-30CF3ECA4F84}">
            <x14:dataBar minLength="0" maxLength="100" border="1" negativeBarBorderColorSameAsPositive="0">
              <x14:cfvo type="autoMin"/>
              <x14:cfvo type="autoMax"/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B11:B20 D11:D20 F11:F20 H11:H20 J11:J20 L11:L20 N11:N20 P11:P20 R11:R20 T11:T20 V11:V20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negative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G3</xm:sqref>
            </x14:sparkline>
            <x14:sparkline>
              <xm:sqref>G4</xm:sqref>
            </x14:sparkline>
            <x14:sparkline>
              <xm:sqref>G5</xm:sqref>
            </x14:sparkline>
            <x14:sparkline>
              <xm:sqref>G6</xm:sqref>
            </x14:sparkline>
            <x14:sparkline>
              <xm:sqref>G7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sqref>G2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335"/>
  <sheetViews>
    <sheetView showGridLines="0" workbookViewId="0">
      <selection activeCell="D3" sqref="D3"/>
    </sheetView>
  </sheetViews>
  <sheetFormatPr defaultRowHeight="15" x14ac:dyDescent="0.25"/>
  <cols>
    <col min="1" max="1" width="4.42578125" customWidth="1"/>
    <col min="2" max="2" width="15.5703125" customWidth="1"/>
    <col min="3" max="3" width="17.42578125" customWidth="1"/>
    <col min="4" max="4" width="23.5703125" customWidth="1"/>
    <col min="5" max="5" width="20.85546875" bestFit="1" customWidth="1"/>
    <col min="6" max="6" width="21.140625" customWidth="1"/>
    <col min="7" max="7" width="16" customWidth="1"/>
    <col min="8" max="8" width="16.140625" customWidth="1"/>
    <col min="9" max="9" width="21" bestFit="1" customWidth="1"/>
    <col min="10" max="10" width="20" customWidth="1"/>
    <col min="11" max="12" width="15.140625" customWidth="1"/>
    <col min="13" max="13" width="28" customWidth="1"/>
    <col min="14" max="14" width="18" customWidth="1"/>
    <col min="15" max="15" width="13" customWidth="1"/>
    <col min="16" max="16" width="17.140625" customWidth="1"/>
  </cols>
  <sheetData>
    <row r="1" spans="2:8" ht="23.25" x14ac:dyDescent="0.35">
      <c r="B1" s="1" t="s">
        <v>1444</v>
      </c>
      <c r="C1" s="1"/>
      <c r="D1" s="1"/>
      <c r="E1" s="1"/>
    </row>
    <row r="3" spans="2:8" ht="33" customHeight="1" x14ac:dyDescent="0.25">
      <c r="B3" s="3" t="s">
        <v>101</v>
      </c>
      <c r="C3" s="3" t="s">
        <v>1434</v>
      </c>
      <c r="D3" s="3" t="s">
        <v>1436</v>
      </c>
      <c r="E3" s="3" t="s">
        <v>1450</v>
      </c>
      <c r="F3" s="3" t="s">
        <v>1452</v>
      </c>
      <c r="G3" s="3" t="s">
        <v>1456</v>
      </c>
      <c r="H3" s="3" t="s">
        <v>1435</v>
      </c>
    </row>
    <row r="4" spans="2:8" ht="15" customHeight="1" x14ac:dyDescent="0.25">
      <c r="B4" t="s">
        <v>102</v>
      </c>
      <c r="C4" s="2">
        <v>54000</v>
      </c>
      <c r="D4" t="s">
        <v>14</v>
      </c>
      <c r="E4" t="s">
        <v>1</v>
      </c>
      <c r="F4" t="s">
        <v>1</v>
      </c>
      <c r="G4" t="s">
        <v>1440</v>
      </c>
      <c r="H4" t="s">
        <v>1445</v>
      </c>
    </row>
    <row r="5" spans="2:8" ht="15" customHeight="1" x14ac:dyDescent="0.25">
      <c r="B5" t="s">
        <v>103</v>
      </c>
      <c r="C5" s="2">
        <v>15600</v>
      </c>
      <c r="D5" t="s">
        <v>38</v>
      </c>
      <c r="E5" t="s">
        <v>22</v>
      </c>
      <c r="F5" t="s">
        <v>1451</v>
      </c>
      <c r="G5" t="s">
        <v>1441</v>
      </c>
      <c r="H5" t="s">
        <v>1446</v>
      </c>
    </row>
    <row r="6" spans="2:8" ht="15" customHeight="1" x14ac:dyDescent="0.25">
      <c r="B6" t="s">
        <v>104</v>
      </c>
      <c r="C6" s="2">
        <v>35000</v>
      </c>
      <c r="D6" t="s">
        <v>3</v>
      </c>
      <c r="E6" t="s">
        <v>1</v>
      </c>
      <c r="F6" t="s">
        <v>1</v>
      </c>
      <c r="G6" t="s">
        <v>1442</v>
      </c>
      <c r="H6" t="s">
        <v>1447</v>
      </c>
    </row>
    <row r="7" spans="2:8" ht="15" customHeight="1" x14ac:dyDescent="0.25">
      <c r="B7" t="s">
        <v>105</v>
      </c>
      <c r="C7" s="2">
        <v>188000</v>
      </c>
      <c r="D7" t="s">
        <v>1439</v>
      </c>
      <c r="E7" t="s">
        <v>1</v>
      </c>
      <c r="F7" t="s">
        <v>1</v>
      </c>
      <c r="G7" t="s">
        <v>1442</v>
      </c>
      <c r="H7" t="s">
        <v>1446</v>
      </c>
    </row>
    <row r="8" spans="2:8" ht="15" customHeight="1" x14ac:dyDescent="0.25">
      <c r="B8" t="s">
        <v>106</v>
      </c>
      <c r="C8" s="2">
        <v>27500</v>
      </c>
      <c r="D8" t="s">
        <v>3</v>
      </c>
      <c r="E8" t="s">
        <v>1</v>
      </c>
      <c r="F8" t="s">
        <v>1</v>
      </c>
      <c r="G8" t="s">
        <v>1440</v>
      </c>
      <c r="H8" t="s">
        <v>1445</v>
      </c>
    </row>
    <row r="9" spans="2:8" ht="15" customHeight="1" x14ac:dyDescent="0.25">
      <c r="B9" t="s">
        <v>107</v>
      </c>
      <c r="C9" s="2">
        <v>140000</v>
      </c>
      <c r="D9" t="s">
        <v>38</v>
      </c>
      <c r="E9" t="s">
        <v>1</v>
      </c>
      <c r="F9" t="s">
        <v>1</v>
      </c>
      <c r="G9" t="s">
        <v>1443</v>
      </c>
      <c r="H9" t="s">
        <v>1447</v>
      </c>
    </row>
    <row r="10" spans="2:8" ht="15" customHeight="1" x14ac:dyDescent="0.25">
      <c r="B10" t="s">
        <v>108</v>
      </c>
      <c r="C10" s="2">
        <v>69871.969144538423</v>
      </c>
      <c r="D10" t="s">
        <v>3</v>
      </c>
      <c r="E10" t="s">
        <v>43</v>
      </c>
      <c r="F10" t="s">
        <v>1453</v>
      </c>
      <c r="G10" t="s">
        <v>1440</v>
      </c>
      <c r="H10" t="s">
        <v>1447</v>
      </c>
    </row>
    <row r="11" spans="2:8" ht="15" customHeight="1" x14ac:dyDescent="0.25">
      <c r="B11" t="s">
        <v>109</v>
      </c>
      <c r="C11" s="2">
        <v>45000</v>
      </c>
      <c r="D11" t="s">
        <v>3</v>
      </c>
      <c r="E11" t="s">
        <v>1</v>
      </c>
      <c r="F11" t="s">
        <v>1</v>
      </c>
      <c r="G11" t="s">
        <v>1441</v>
      </c>
      <c r="H11" t="s">
        <v>1445</v>
      </c>
    </row>
    <row r="12" spans="2:8" ht="15" customHeight="1" x14ac:dyDescent="0.25">
      <c r="B12" t="s">
        <v>110</v>
      </c>
      <c r="C12" s="2">
        <v>95000</v>
      </c>
      <c r="D12" t="s">
        <v>3</v>
      </c>
      <c r="E12" t="s">
        <v>18</v>
      </c>
      <c r="F12" t="s">
        <v>18</v>
      </c>
      <c r="G12" t="s">
        <v>1443</v>
      </c>
      <c r="H12" t="s">
        <v>1446</v>
      </c>
    </row>
    <row r="13" spans="2:8" ht="15" customHeight="1" x14ac:dyDescent="0.25">
      <c r="B13" t="s">
        <v>111</v>
      </c>
      <c r="C13" s="2">
        <v>158085.99674240855</v>
      </c>
      <c r="D13" t="s">
        <v>11</v>
      </c>
      <c r="E13" t="s">
        <v>18</v>
      </c>
      <c r="F13" t="s">
        <v>18</v>
      </c>
      <c r="G13" t="s">
        <v>1441</v>
      </c>
      <c r="H13" t="s">
        <v>1446</v>
      </c>
    </row>
    <row r="14" spans="2:8" ht="15" customHeight="1" x14ac:dyDescent="0.25">
      <c r="B14" t="s">
        <v>112</v>
      </c>
      <c r="C14" s="2">
        <v>63807.047488395103</v>
      </c>
      <c r="D14" t="s">
        <v>3</v>
      </c>
      <c r="E14" t="s">
        <v>45</v>
      </c>
      <c r="F14" t="s">
        <v>1451</v>
      </c>
      <c r="G14" t="s">
        <v>1441</v>
      </c>
      <c r="H14" t="s">
        <v>1448</v>
      </c>
    </row>
    <row r="15" spans="2:8" ht="15" customHeight="1" x14ac:dyDescent="0.25">
      <c r="B15" t="s">
        <v>113</v>
      </c>
      <c r="C15" s="2">
        <v>38000</v>
      </c>
      <c r="D15" t="s">
        <v>3</v>
      </c>
      <c r="E15" t="s">
        <v>1</v>
      </c>
      <c r="F15" t="s">
        <v>1</v>
      </c>
      <c r="G15" t="s">
        <v>1440</v>
      </c>
      <c r="H15" t="s">
        <v>1446</v>
      </c>
    </row>
    <row r="16" spans="2:8" ht="15" customHeight="1" x14ac:dyDescent="0.25">
      <c r="B16" t="s">
        <v>114</v>
      </c>
      <c r="C16" s="2">
        <v>90000</v>
      </c>
      <c r="D16" t="s">
        <v>11</v>
      </c>
      <c r="E16" t="s">
        <v>1</v>
      </c>
      <c r="F16" t="s">
        <v>1</v>
      </c>
      <c r="G16" t="s">
        <v>1441</v>
      </c>
      <c r="H16" t="s">
        <v>1447</v>
      </c>
    </row>
    <row r="17" spans="2:8" ht="15" customHeight="1" x14ac:dyDescent="0.25">
      <c r="B17" t="s">
        <v>115</v>
      </c>
      <c r="C17" s="2">
        <v>45393.934235537781</v>
      </c>
      <c r="D17" t="s">
        <v>11</v>
      </c>
      <c r="E17" t="s">
        <v>15</v>
      </c>
      <c r="F17" t="s">
        <v>15</v>
      </c>
      <c r="G17" t="s">
        <v>1441</v>
      </c>
      <c r="H17" t="s">
        <v>1448</v>
      </c>
    </row>
    <row r="18" spans="2:8" ht="15" customHeight="1" x14ac:dyDescent="0.25">
      <c r="B18" t="s">
        <v>116</v>
      </c>
      <c r="C18" s="2">
        <v>33099.743713412965</v>
      </c>
      <c r="D18" t="s">
        <v>3</v>
      </c>
      <c r="E18" t="s">
        <v>15</v>
      </c>
      <c r="F18" t="s">
        <v>15</v>
      </c>
      <c r="G18" t="s">
        <v>1440</v>
      </c>
      <c r="H18" t="s">
        <v>1447</v>
      </c>
    </row>
    <row r="19" spans="2:8" ht="15" customHeight="1" x14ac:dyDescent="0.25">
      <c r="B19" t="s">
        <v>117</v>
      </c>
      <c r="C19" s="2">
        <v>4285</v>
      </c>
      <c r="D19" t="s">
        <v>3</v>
      </c>
      <c r="E19" t="s">
        <v>0</v>
      </c>
      <c r="F19" t="s">
        <v>0</v>
      </c>
      <c r="G19" t="s">
        <v>1440</v>
      </c>
      <c r="H19" t="s">
        <v>1447</v>
      </c>
    </row>
    <row r="20" spans="2:8" ht="15" customHeight="1" x14ac:dyDescent="0.25">
      <c r="B20" t="s">
        <v>118</v>
      </c>
      <c r="C20" s="2">
        <v>6000</v>
      </c>
      <c r="D20" t="s">
        <v>11</v>
      </c>
      <c r="E20" t="s">
        <v>46</v>
      </c>
      <c r="F20" t="s">
        <v>1451</v>
      </c>
      <c r="G20" t="s">
        <v>1442</v>
      </c>
      <c r="H20" t="s">
        <v>1446</v>
      </c>
    </row>
    <row r="21" spans="2:8" ht="15" customHeight="1" x14ac:dyDescent="0.25">
      <c r="B21" t="s">
        <v>119</v>
      </c>
      <c r="C21" s="2">
        <v>22438.012440857987</v>
      </c>
      <c r="D21" t="s">
        <v>3</v>
      </c>
      <c r="E21" t="s">
        <v>18</v>
      </c>
      <c r="F21" t="s">
        <v>18</v>
      </c>
      <c r="G21" t="s">
        <v>1441</v>
      </c>
      <c r="H21" t="s">
        <v>1447</v>
      </c>
    </row>
    <row r="22" spans="2:8" ht="15" customHeight="1" x14ac:dyDescent="0.25">
      <c r="B22" t="s">
        <v>120</v>
      </c>
      <c r="C22" s="2">
        <v>90000</v>
      </c>
      <c r="D22" t="s">
        <v>11</v>
      </c>
      <c r="E22" t="s">
        <v>1</v>
      </c>
      <c r="F22" t="s">
        <v>1</v>
      </c>
      <c r="G22" t="s">
        <v>1443</v>
      </c>
      <c r="H22" t="s">
        <v>1446</v>
      </c>
    </row>
    <row r="23" spans="2:8" ht="15" customHeight="1" x14ac:dyDescent="0.25">
      <c r="B23" t="s">
        <v>121</v>
      </c>
      <c r="C23" s="2">
        <v>150000</v>
      </c>
      <c r="D23" t="s">
        <v>1439</v>
      </c>
      <c r="E23" t="s">
        <v>1</v>
      </c>
      <c r="F23" t="s">
        <v>1</v>
      </c>
      <c r="G23" t="s">
        <v>1441</v>
      </c>
      <c r="H23" t="s">
        <v>1448</v>
      </c>
    </row>
    <row r="24" spans="2:8" ht="15" customHeight="1" x14ac:dyDescent="0.25">
      <c r="B24" t="s">
        <v>122</v>
      </c>
      <c r="C24" s="2">
        <v>132588.25533234264</v>
      </c>
      <c r="D24" t="s">
        <v>31</v>
      </c>
      <c r="E24" t="s">
        <v>18</v>
      </c>
      <c r="F24" t="s">
        <v>18</v>
      </c>
      <c r="G24" t="s">
        <v>1443</v>
      </c>
      <c r="H24" t="s">
        <v>1448</v>
      </c>
    </row>
    <row r="25" spans="2:8" ht="15" customHeight="1" x14ac:dyDescent="0.25">
      <c r="B25" t="s">
        <v>123</v>
      </c>
      <c r="C25" s="2">
        <v>45000</v>
      </c>
      <c r="D25" t="s">
        <v>3</v>
      </c>
      <c r="E25" t="s">
        <v>1</v>
      </c>
      <c r="F25" t="s">
        <v>1</v>
      </c>
      <c r="G25" t="s">
        <v>1441</v>
      </c>
      <c r="H25" t="s">
        <v>1445</v>
      </c>
    </row>
    <row r="26" spans="2:8" ht="15" customHeight="1" x14ac:dyDescent="0.25">
      <c r="B26" t="s">
        <v>124</v>
      </c>
      <c r="C26" s="2">
        <v>50000</v>
      </c>
      <c r="D26" t="s">
        <v>14</v>
      </c>
      <c r="E26" t="s">
        <v>1</v>
      </c>
      <c r="F26" t="s">
        <v>1</v>
      </c>
      <c r="G26" t="s">
        <v>1443</v>
      </c>
      <c r="H26" t="s">
        <v>1447</v>
      </c>
    </row>
    <row r="27" spans="2:8" ht="15" customHeight="1" x14ac:dyDescent="0.25">
      <c r="B27" t="s">
        <v>125</v>
      </c>
      <c r="C27" s="2">
        <v>300000</v>
      </c>
      <c r="D27" t="s">
        <v>1439</v>
      </c>
      <c r="E27" t="s">
        <v>1</v>
      </c>
      <c r="F27" t="s">
        <v>1</v>
      </c>
      <c r="G27" t="s">
        <v>1443</v>
      </c>
      <c r="H27" t="s">
        <v>1448</v>
      </c>
    </row>
    <row r="28" spans="2:8" ht="15" customHeight="1" x14ac:dyDescent="0.25">
      <c r="B28" t="s">
        <v>126</v>
      </c>
      <c r="C28" s="2">
        <v>104030.78495306884</v>
      </c>
      <c r="D28" t="s">
        <v>11</v>
      </c>
      <c r="E28" t="s">
        <v>18</v>
      </c>
      <c r="F28" t="s">
        <v>18</v>
      </c>
      <c r="G28" t="s">
        <v>1442</v>
      </c>
      <c r="H28" t="s">
        <v>1447</v>
      </c>
    </row>
    <row r="29" spans="2:8" ht="15" customHeight="1" x14ac:dyDescent="0.25">
      <c r="B29" t="s">
        <v>127</v>
      </c>
      <c r="C29" s="2">
        <v>115000</v>
      </c>
      <c r="D29" t="s">
        <v>11</v>
      </c>
      <c r="E29" t="s">
        <v>1</v>
      </c>
      <c r="F29" t="s">
        <v>1</v>
      </c>
      <c r="G29" t="s">
        <v>1441</v>
      </c>
      <c r="H29" t="s">
        <v>1446</v>
      </c>
    </row>
    <row r="30" spans="2:8" ht="15" customHeight="1" x14ac:dyDescent="0.25">
      <c r="B30" t="s">
        <v>128</v>
      </c>
      <c r="C30" s="2">
        <v>70000</v>
      </c>
      <c r="D30" t="s">
        <v>3</v>
      </c>
      <c r="E30" t="s">
        <v>1</v>
      </c>
      <c r="F30" t="s">
        <v>1</v>
      </c>
      <c r="G30" t="s">
        <v>1441</v>
      </c>
      <c r="H30" t="s">
        <v>1445</v>
      </c>
    </row>
    <row r="31" spans="2:8" ht="15" customHeight="1" x14ac:dyDescent="0.25">
      <c r="B31" t="s">
        <v>129</v>
      </c>
      <c r="C31" s="2">
        <v>108110.42357867939</v>
      </c>
      <c r="D31" t="s">
        <v>14</v>
      </c>
      <c r="E31" t="s">
        <v>18</v>
      </c>
      <c r="F31" t="s">
        <v>18</v>
      </c>
      <c r="G31" t="s">
        <v>1441</v>
      </c>
      <c r="H31" t="s">
        <v>1446</v>
      </c>
    </row>
    <row r="32" spans="2:8" ht="15" customHeight="1" x14ac:dyDescent="0.25">
      <c r="B32" t="s">
        <v>130</v>
      </c>
      <c r="C32" s="2">
        <v>75000</v>
      </c>
      <c r="D32" t="s">
        <v>3</v>
      </c>
      <c r="E32" t="s">
        <v>1</v>
      </c>
      <c r="F32" t="s">
        <v>1</v>
      </c>
      <c r="G32" t="s">
        <v>1443</v>
      </c>
      <c r="H32" t="s">
        <v>1448</v>
      </c>
    </row>
    <row r="33" spans="2:8" ht="15" customHeight="1" x14ac:dyDescent="0.25">
      <c r="B33" t="s">
        <v>131</v>
      </c>
      <c r="C33" s="2">
        <v>40414</v>
      </c>
      <c r="D33" t="s">
        <v>3</v>
      </c>
      <c r="E33" t="s">
        <v>1</v>
      </c>
      <c r="F33" t="s">
        <v>1</v>
      </c>
      <c r="G33" t="s">
        <v>1441</v>
      </c>
      <c r="H33" t="s">
        <v>1447</v>
      </c>
    </row>
    <row r="34" spans="2:8" ht="15" customHeight="1" x14ac:dyDescent="0.25">
      <c r="B34" t="s">
        <v>132</v>
      </c>
      <c r="C34" s="2">
        <v>65000</v>
      </c>
      <c r="D34" t="s">
        <v>3</v>
      </c>
      <c r="E34" t="s">
        <v>1</v>
      </c>
      <c r="F34" t="s">
        <v>1</v>
      </c>
      <c r="G34" t="s">
        <v>1441</v>
      </c>
      <c r="H34" t="s">
        <v>1445</v>
      </c>
    </row>
    <row r="35" spans="2:8" ht="15" customHeight="1" x14ac:dyDescent="0.25">
      <c r="B35" t="s">
        <v>133</v>
      </c>
      <c r="C35" s="2">
        <v>120000</v>
      </c>
      <c r="D35" t="s">
        <v>3</v>
      </c>
      <c r="E35" t="s">
        <v>1</v>
      </c>
      <c r="F35" t="s">
        <v>1</v>
      </c>
      <c r="G35" t="s">
        <v>1440</v>
      </c>
      <c r="H35" t="s">
        <v>1447</v>
      </c>
    </row>
    <row r="36" spans="2:8" ht="15" customHeight="1" x14ac:dyDescent="0.25">
      <c r="B36" t="s">
        <v>134</v>
      </c>
      <c r="C36" s="2">
        <v>15092.18020692008</v>
      </c>
      <c r="D36" t="s">
        <v>31</v>
      </c>
      <c r="E36" t="s">
        <v>47</v>
      </c>
      <c r="F36" t="s">
        <v>1454</v>
      </c>
      <c r="G36" t="s">
        <v>1441</v>
      </c>
      <c r="H36" t="s">
        <v>1447</v>
      </c>
    </row>
    <row r="37" spans="2:8" ht="15" customHeight="1" x14ac:dyDescent="0.25">
      <c r="B37" t="s">
        <v>135</v>
      </c>
      <c r="C37" s="2">
        <v>36000</v>
      </c>
      <c r="D37" t="s">
        <v>33</v>
      </c>
      <c r="E37" t="s">
        <v>13</v>
      </c>
      <c r="F37" t="s">
        <v>1451</v>
      </c>
      <c r="G37" t="s">
        <v>1440</v>
      </c>
      <c r="H37" t="s">
        <v>1447</v>
      </c>
    </row>
    <row r="38" spans="2:8" ht="15" customHeight="1" x14ac:dyDescent="0.25">
      <c r="B38" t="s">
        <v>136</v>
      </c>
      <c r="C38" s="2">
        <v>63519.971949580387</v>
      </c>
      <c r="D38" t="s">
        <v>3</v>
      </c>
      <c r="E38" t="s">
        <v>4</v>
      </c>
      <c r="F38" t="s">
        <v>1453</v>
      </c>
      <c r="G38" t="s">
        <v>1443</v>
      </c>
      <c r="H38" t="s">
        <v>1445</v>
      </c>
    </row>
    <row r="39" spans="2:8" ht="15" customHeight="1" x14ac:dyDescent="0.25">
      <c r="B39" t="s">
        <v>137</v>
      </c>
      <c r="C39" s="2">
        <v>108000</v>
      </c>
      <c r="D39" t="s">
        <v>33</v>
      </c>
      <c r="E39" t="s">
        <v>1</v>
      </c>
      <c r="F39" t="s">
        <v>1</v>
      </c>
      <c r="G39" t="s">
        <v>1443</v>
      </c>
      <c r="H39" t="s">
        <v>1447</v>
      </c>
    </row>
    <row r="40" spans="2:8" ht="15" customHeight="1" x14ac:dyDescent="0.25">
      <c r="B40" t="s">
        <v>138</v>
      </c>
      <c r="C40" s="2">
        <v>75000</v>
      </c>
      <c r="D40" t="s">
        <v>3</v>
      </c>
      <c r="E40" t="s">
        <v>1</v>
      </c>
      <c r="F40" t="s">
        <v>1</v>
      </c>
      <c r="G40" t="s">
        <v>1441</v>
      </c>
      <c r="H40" t="s">
        <v>1445</v>
      </c>
    </row>
    <row r="41" spans="2:8" ht="15" customHeight="1" x14ac:dyDescent="0.25">
      <c r="B41" t="s">
        <v>139</v>
      </c>
      <c r="C41" s="2">
        <v>7123.1666749770275</v>
      </c>
      <c r="D41" t="s">
        <v>11</v>
      </c>
      <c r="E41" t="s">
        <v>0</v>
      </c>
      <c r="F41" t="s">
        <v>0</v>
      </c>
      <c r="G41" t="s">
        <v>1442</v>
      </c>
      <c r="H41" t="s">
        <v>1445</v>
      </c>
    </row>
    <row r="42" spans="2:8" ht="15" customHeight="1" x14ac:dyDescent="0.25">
      <c r="B42" t="s">
        <v>140</v>
      </c>
      <c r="C42" s="2">
        <v>50000</v>
      </c>
      <c r="D42" t="s">
        <v>11</v>
      </c>
      <c r="E42" t="s">
        <v>0</v>
      </c>
      <c r="F42" t="s">
        <v>0</v>
      </c>
      <c r="G42" t="s">
        <v>1442</v>
      </c>
      <c r="H42" t="s">
        <v>1448</v>
      </c>
    </row>
    <row r="43" spans="2:8" ht="15" customHeight="1" x14ac:dyDescent="0.25">
      <c r="B43" t="s">
        <v>141</v>
      </c>
      <c r="C43" s="2">
        <v>45000</v>
      </c>
      <c r="D43" t="s">
        <v>3</v>
      </c>
      <c r="E43" t="s">
        <v>1</v>
      </c>
      <c r="F43" t="s">
        <v>1</v>
      </c>
      <c r="G43" t="s">
        <v>1441</v>
      </c>
      <c r="H43" t="s">
        <v>1446</v>
      </c>
    </row>
    <row r="44" spans="2:8" ht="15" customHeight="1" x14ac:dyDescent="0.25">
      <c r="B44" t="s">
        <v>142</v>
      </c>
      <c r="C44" s="2">
        <v>45000</v>
      </c>
      <c r="D44" t="s">
        <v>31</v>
      </c>
      <c r="E44" t="s">
        <v>1</v>
      </c>
      <c r="F44" t="s">
        <v>1</v>
      </c>
      <c r="G44" t="s">
        <v>1441</v>
      </c>
      <c r="H44" t="s">
        <v>1447</v>
      </c>
    </row>
    <row r="45" spans="2:8" ht="15" customHeight="1" x14ac:dyDescent="0.25">
      <c r="B45" t="s">
        <v>143</v>
      </c>
      <c r="C45" s="2">
        <v>90000</v>
      </c>
      <c r="D45" t="s">
        <v>11</v>
      </c>
      <c r="E45" t="s">
        <v>1</v>
      </c>
      <c r="F45" t="s">
        <v>1</v>
      </c>
      <c r="G45" t="s">
        <v>1443</v>
      </c>
      <c r="H45" t="s">
        <v>1446</v>
      </c>
    </row>
    <row r="46" spans="2:8" ht="15" customHeight="1" x14ac:dyDescent="0.25">
      <c r="B46" t="s">
        <v>144</v>
      </c>
      <c r="C46" s="2">
        <v>4273.9000049862161</v>
      </c>
      <c r="D46" t="s">
        <v>3</v>
      </c>
      <c r="E46" t="s">
        <v>0</v>
      </c>
      <c r="F46" t="s">
        <v>0</v>
      </c>
      <c r="G46" t="s">
        <v>1443</v>
      </c>
      <c r="H46" t="s">
        <v>1445</v>
      </c>
    </row>
    <row r="47" spans="2:8" ht="15" customHeight="1" x14ac:dyDescent="0.25">
      <c r="B47" t="s">
        <v>145</v>
      </c>
      <c r="C47" s="2">
        <v>50000</v>
      </c>
      <c r="D47" t="s">
        <v>11</v>
      </c>
      <c r="E47" t="s">
        <v>0</v>
      </c>
      <c r="F47" t="s">
        <v>0</v>
      </c>
      <c r="G47" t="s">
        <v>1442</v>
      </c>
      <c r="H47" t="s">
        <v>1447</v>
      </c>
    </row>
    <row r="48" spans="2:8" ht="15" customHeight="1" x14ac:dyDescent="0.25">
      <c r="B48" t="s">
        <v>146</v>
      </c>
      <c r="C48" s="2">
        <v>65000</v>
      </c>
      <c r="D48" t="s">
        <v>3</v>
      </c>
      <c r="E48" t="s">
        <v>1</v>
      </c>
      <c r="F48" t="s">
        <v>1</v>
      </c>
      <c r="G48" t="s">
        <v>1443</v>
      </c>
      <c r="H48" t="s">
        <v>1446</v>
      </c>
    </row>
    <row r="49" spans="2:8" ht="15" customHeight="1" x14ac:dyDescent="0.25">
      <c r="B49" t="s">
        <v>147</v>
      </c>
      <c r="C49" s="2">
        <v>70000</v>
      </c>
      <c r="D49" t="s">
        <v>3</v>
      </c>
      <c r="E49" t="s">
        <v>1</v>
      </c>
      <c r="F49" t="s">
        <v>1</v>
      </c>
      <c r="G49" t="s">
        <v>1443</v>
      </c>
      <c r="H49" t="s">
        <v>1446</v>
      </c>
    </row>
    <row r="50" spans="2:8" ht="15" customHeight="1" x14ac:dyDescent="0.25">
      <c r="B50" t="s">
        <v>148</v>
      </c>
      <c r="C50" s="2">
        <v>160000</v>
      </c>
      <c r="D50" t="s">
        <v>3</v>
      </c>
      <c r="E50" t="s">
        <v>1</v>
      </c>
      <c r="F50" t="s">
        <v>1</v>
      </c>
      <c r="G50" t="s">
        <v>1441</v>
      </c>
      <c r="H50" t="s">
        <v>1445</v>
      </c>
    </row>
    <row r="51" spans="2:8" ht="15" customHeight="1" x14ac:dyDescent="0.25">
      <c r="B51" t="s">
        <v>149</v>
      </c>
      <c r="C51" s="2">
        <v>101990.96564026357</v>
      </c>
      <c r="D51" t="s">
        <v>11</v>
      </c>
      <c r="E51" t="s">
        <v>18</v>
      </c>
      <c r="F51" t="s">
        <v>18</v>
      </c>
      <c r="G51" t="s">
        <v>1443</v>
      </c>
      <c r="H51" t="s">
        <v>1446</v>
      </c>
    </row>
    <row r="52" spans="2:8" ht="15" customHeight="1" x14ac:dyDescent="0.25">
      <c r="B52" t="s">
        <v>150</v>
      </c>
      <c r="C52" s="2">
        <v>6767.0083412281756</v>
      </c>
      <c r="D52" t="s">
        <v>11</v>
      </c>
      <c r="E52" t="s">
        <v>0</v>
      </c>
      <c r="F52" t="s">
        <v>0</v>
      </c>
      <c r="G52" t="s">
        <v>1441</v>
      </c>
      <c r="H52" t="s">
        <v>1447</v>
      </c>
    </row>
    <row r="53" spans="2:8" ht="15" customHeight="1" x14ac:dyDescent="0.25">
      <c r="B53" t="s">
        <v>151</v>
      </c>
      <c r="C53" s="2">
        <v>30000</v>
      </c>
      <c r="D53" t="s">
        <v>3</v>
      </c>
      <c r="E53" t="s">
        <v>1</v>
      </c>
      <c r="F53" t="s">
        <v>1</v>
      </c>
      <c r="G53" t="s">
        <v>1443</v>
      </c>
      <c r="H53" t="s">
        <v>1447</v>
      </c>
    </row>
    <row r="54" spans="2:8" ht="15" customHeight="1" x14ac:dyDescent="0.25">
      <c r="B54" t="s">
        <v>152</v>
      </c>
      <c r="C54" s="2">
        <v>7479.3250087258784</v>
      </c>
      <c r="D54" t="s">
        <v>3</v>
      </c>
      <c r="E54" t="s">
        <v>0</v>
      </c>
      <c r="F54" t="s">
        <v>0</v>
      </c>
      <c r="G54" t="s">
        <v>1441</v>
      </c>
      <c r="H54" t="s">
        <v>1445</v>
      </c>
    </row>
    <row r="55" spans="2:8" ht="15" customHeight="1" x14ac:dyDescent="0.25">
      <c r="B55" t="s">
        <v>153</v>
      </c>
      <c r="C55" s="2">
        <v>61000</v>
      </c>
      <c r="D55" t="s">
        <v>11</v>
      </c>
      <c r="E55" t="s">
        <v>1</v>
      </c>
      <c r="F55" t="s">
        <v>1</v>
      </c>
      <c r="G55" t="s">
        <v>1441</v>
      </c>
      <c r="H55" t="s">
        <v>1445</v>
      </c>
    </row>
    <row r="56" spans="2:8" ht="15" customHeight="1" x14ac:dyDescent="0.25">
      <c r="B56" t="s">
        <v>154</v>
      </c>
      <c r="C56" s="2">
        <v>13800</v>
      </c>
      <c r="D56" t="s">
        <v>38</v>
      </c>
      <c r="E56" t="s">
        <v>48</v>
      </c>
      <c r="F56" t="s">
        <v>1454</v>
      </c>
      <c r="G56" t="s">
        <v>1441</v>
      </c>
      <c r="H56" t="s">
        <v>1446</v>
      </c>
    </row>
    <row r="57" spans="2:8" ht="15" customHeight="1" x14ac:dyDescent="0.25">
      <c r="B57" t="s">
        <v>155</v>
      </c>
      <c r="C57" s="2">
        <v>15136.729184326183</v>
      </c>
      <c r="D57" t="s">
        <v>3</v>
      </c>
      <c r="E57" t="s">
        <v>0</v>
      </c>
      <c r="F57" t="s">
        <v>0</v>
      </c>
      <c r="G57" t="s">
        <v>1441</v>
      </c>
      <c r="H57" t="s">
        <v>1447</v>
      </c>
    </row>
    <row r="58" spans="2:8" ht="15" customHeight="1" x14ac:dyDescent="0.25">
      <c r="B58" t="s">
        <v>156</v>
      </c>
      <c r="C58" s="2">
        <v>32054.250037396621</v>
      </c>
      <c r="D58" t="s">
        <v>11</v>
      </c>
      <c r="E58" t="s">
        <v>0</v>
      </c>
      <c r="F58" t="s">
        <v>0</v>
      </c>
      <c r="G58" t="s">
        <v>1443</v>
      </c>
      <c r="H58" t="s">
        <v>1447</v>
      </c>
    </row>
    <row r="59" spans="2:8" ht="15" customHeight="1" x14ac:dyDescent="0.25">
      <c r="B59" t="s">
        <v>157</v>
      </c>
      <c r="C59" s="2">
        <v>80000</v>
      </c>
      <c r="D59" t="s">
        <v>38</v>
      </c>
      <c r="E59" t="s">
        <v>1</v>
      </c>
      <c r="F59" t="s">
        <v>1</v>
      </c>
      <c r="G59" t="s">
        <v>1441</v>
      </c>
      <c r="H59" t="s">
        <v>1446</v>
      </c>
    </row>
    <row r="60" spans="2:8" ht="15" customHeight="1" x14ac:dyDescent="0.25">
      <c r="B60" t="s">
        <v>158</v>
      </c>
      <c r="C60" s="2">
        <v>21000</v>
      </c>
      <c r="D60" t="s">
        <v>11</v>
      </c>
      <c r="E60" t="s">
        <v>0</v>
      </c>
      <c r="F60" t="s">
        <v>0</v>
      </c>
      <c r="G60" t="s">
        <v>1440</v>
      </c>
      <c r="H60" t="s">
        <v>1448</v>
      </c>
    </row>
    <row r="61" spans="2:8" ht="15" customHeight="1" x14ac:dyDescent="0.25">
      <c r="B61" t="s">
        <v>159</v>
      </c>
      <c r="C61" s="2">
        <v>245840.3807575817</v>
      </c>
      <c r="D61" t="s">
        <v>3</v>
      </c>
      <c r="E61" t="s">
        <v>19</v>
      </c>
      <c r="F61" t="s">
        <v>19</v>
      </c>
      <c r="G61" t="s">
        <v>1441</v>
      </c>
      <c r="H61" t="s">
        <v>1449</v>
      </c>
    </row>
    <row r="62" spans="2:8" ht="15" customHeight="1" x14ac:dyDescent="0.25">
      <c r="B62" t="s">
        <v>160</v>
      </c>
      <c r="C62" s="2">
        <v>2849.2666699908109</v>
      </c>
      <c r="D62" t="s">
        <v>1437</v>
      </c>
      <c r="E62" t="s">
        <v>0</v>
      </c>
      <c r="F62" t="s">
        <v>0</v>
      </c>
      <c r="G62" t="s">
        <v>1440</v>
      </c>
      <c r="H62" t="s">
        <v>1445</v>
      </c>
    </row>
    <row r="63" spans="2:8" ht="15" customHeight="1" x14ac:dyDescent="0.25">
      <c r="B63" t="s">
        <v>161</v>
      </c>
      <c r="C63" s="2">
        <v>8400</v>
      </c>
      <c r="D63" t="s">
        <v>11</v>
      </c>
      <c r="E63" t="s">
        <v>0</v>
      </c>
      <c r="F63" t="s">
        <v>0</v>
      </c>
      <c r="G63" t="s">
        <v>1440</v>
      </c>
      <c r="H63" t="s">
        <v>1448</v>
      </c>
    </row>
    <row r="64" spans="2:8" ht="15" customHeight="1" x14ac:dyDescent="0.25">
      <c r="B64" t="s">
        <v>162</v>
      </c>
      <c r="C64" s="2">
        <v>86692.320794224041</v>
      </c>
      <c r="D64" t="s">
        <v>33</v>
      </c>
      <c r="E64" t="s">
        <v>18</v>
      </c>
      <c r="F64" t="s">
        <v>18</v>
      </c>
      <c r="G64" t="s">
        <v>1442</v>
      </c>
      <c r="H64" t="s">
        <v>1446</v>
      </c>
    </row>
    <row r="65" spans="2:8" ht="15" customHeight="1" x14ac:dyDescent="0.25">
      <c r="B65" t="s">
        <v>163</v>
      </c>
      <c r="C65" s="2">
        <v>50000</v>
      </c>
      <c r="D65" t="s">
        <v>11</v>
      </c>
      <c r="E65" t="s">
        <v>1</v>
      </c>
      <c r="F65" t="s">
        <v>1</v>
      </c>
      <c r="G65" t="s">
        <v>1441</v>
      </c>
      <c r="H65" t="s">
        <v>1446</v>
      </c>
    </row>
    <row r="66" spans="2:8" ht="15" customHeight="1" x14ac:dyDescent="0.25">
      <c r="B66" t="s">
        <v>164</v>
      </c>
      <c r="C66" s="2">
        <v>4000</v>
      </c>
      <c r="D66" t="s">
        <v>1437</v>
      </c>
      <c r="E66" t="s">
        <v>0</v>
      </c>
      <c r="F66" t="s">
        <v>0</v>
      </c>
      <c r="G66" t="s">
        <v>1440</v>
      </c>
      <c r="H66" t="s">
        <v>1447</v>
      </c>
    </row>
    <row r="67" spans="2:8" ht="15" customHeight="1" x14ac:dyDescent="0.25">
      <c r="B67" t="s">
        <v>165</v>
      </c>
      <c r="C67" s="2">
        <v>101990.96564026357</v>
      </c>
      <c r="D67" t="s">
        <v>3</v>
      </c>
      <c r="E67" t="s">
        <v>18</v>
      </c>
      <c r="F67" t="s">
        <v>18</v>
      </c>
      <c r="G67" t="s">
        <v>1440</v>
      </c>
      <c r="H67" t="s">
        <v>1445</v>
      </c>
    </row>
    <row r="68" spans="2:8" ht="15" customHeight="1" x14ac:dyDescent="0.25">
      <c r="B68" t="s">
        <v>166</v>
      </c>
      <c r="C68" s="2">
        <v>95000</v>
      </c>
      <c r="D68" t="s">
        <v>11</v>
      </c>
      <c r="E68" t="s">
        <v>1</v>
      </c>
      <c r="F68" t="s">
        <v>1</v>
      </c>
      <c r="G68" t="s">
        <v>1442</v>
      </c>
      <c r="H68" t="s">
        <v>1447</v>
      </c>
    </row>
    <row r="69" spans="2:8" ht="15" customHeight="1" x14ac:dyDescent="0.25">
      <c r="B69" t="s">
        <v>167</v>
      </c>
      <c r="C69" s="2">
        <v>10000</v>
      </c>
      <c r="D69" t="s">
        <v>11</v>
      </c>
      <c r="E69" t="s">
        <v>49</v>
      </c>
      <c r="F69" t="s">
        <v>1454</v>
      </c>
      <c r="G69" t="s">
        <v>1443</v>
      </c>
      <c r="H69" t="s">
        <v>1445</v>
      </c>
    </row>
    <row r="70" spans="2:8" ht="15" customHeight="1" x14ac:dyDescent="0.25">
      <c r="B70" t="s">
        <v>168</v>
      </c>
      <c r="C70" s="2">
        <v>4200</v>
      </c>
      <c r="D70" t="s">
        <v>1437</v>
      </c>
      <c r="E70" t="s">
        <v>0</v>
      </c>
      <c r="F70" t="s">
        <v>0</v>
      </c>
      <c r="G70" t="s">
        <v>1440</v>
      </c>
      <c r="H70" t="s">
        <v>1445</v>
      </c>
    </row>
    <row r="71" spans="2:8" ht="15" customHeight="1" x14ac:dyDescent="0.25">
      <c r="B71" t="s">
        <v>169</v>
      </c>
      <c r="C71" s="2">
        <v>12821.700014958649</v>
      </c>
      <c r="D71" t="s">
        <v>11</v>
      </c>
      <c r="E71" t="s">
        <v>0</v>
      </c>
      <c r="F71" t="s">
        <v>0</v>
      </c>
      <c r="G71" t="s">
        <v>1441</v>
      </c>
      <c r="H71" t="s">
        <v>1446</v>
      </c>
    </row>
    <row r="72" spans="2:8" ht="15" customHeight="1" x14ac:dyDescent="0.25">
      <c r="B72" t="s">
        <v>170</v>
      </c>
      <c r="C72" s="2">
        <v>39000</v>
      </c>
      <c r="D72" t="s">
        <v>3</v>
      </c>
      <c r="E72" t="s">
        <v>1</v>
      </c>
      <c r="F72" t="s">
        <v>1</v>
      </c>
      <c r="G72" t="s">
        <v>1440</v>
      </c>
      <c r="H72" t="s">
        <v>1445</v>
      </c>
    </row>
    <row r="73" spans="2:8" ht="15" customHeight="1" x14ac:dyDescent="0.25">
      <c r="B73" t="s">
        <v>171</v>
      </c>
      <c r="C73" s="2">
        <v>60000</v>
      </c>
      <c r="D73" t="s">
        <v>3</v>
      </c>
      <c r="E73" t="s">
        <v>1</v>
      </c>
      <c r="F73" t="s">
        <v>1</v>
      </c>
      <c r="G73" t="s">
        <v>1441</v>
      </c>
      <c r="H73" t="s">
        <v>1446</v>
      </c>
    </row>
    <row r="74" spans="2:8" ht="15" customHeight="1" x14ac:dyDescent="0.25">
      <c r="B74" t="s">
        <v>172</v>
      </c>
      <c r="C74" s="2">
        <v>173384.64158844808</v>
      </c>
      <c r="D74" t="s">
        <v>3</v>
      </c>
      <c r="E74" t="s">
        <v>18</v>
      </c>
      <c r="F74" t="s">
        <v>18</v>
      </c>
      <c r="G74" t="s">
        <v>1440</v>
      </c>
      <c r="H74" t="s">
        <v>1447</v>
      </c>
    </row>
    <row r="75" spans="2:8" ht="15" customHeight="1" x14ac:dyDescent="0.25">
      <c r="B75" t="s">
        <v>173</v>
      </c>
      <c r="C75" s="2">
        <v>125000</v>
      </c>
      <c r="D75" t="s">
        <v>3</v>
      </c>
      <c r="E75" t="s">
        <v>1</v>
      </c>
      <c r="F75" t="s">
        <v>1</v>
      </c>
      <c r="G75" t="s">
        <v>1443</v>
      </c>
      <c r="H75" t="s">
        <v>1446</v>
      </c>
    </row>
    <row r="76" spans="2:8" ht="15" customHeight="1" x14ac:dyDescent="0.25">
      <c r="B76" t="s">
        <v>174</v>
      </c>
      <c r="C76" s="2">
        <v>79552.953199405587</v>
      </c>
      <c r="D76" t="s">
        <v>31</v>
      </c>
      <c r="E76" t="s">
        <v>18</v>
      </c>
      <c r="F76" t="s">
        <v>18</v>
      </c>
      <c r="G76" t="s">
        <v>1440</v>
      </c>
      <c r="H76" t="s">
        <v>1445</v>
      </c>
    </row>
    <row r="77" spans="2:8" ht="15" customHeight="1" x14ac:dyDescent="0.25">
      <c r="B77" t="s">
        <v>175</v>
      </c>
      <c r="C77" s="2">
        <v>3561.5833374885137</v>
      </c>
      <c r="D77" t="s">
        <v>31</v>
      </c>
      <c r="E77" t="s">
        <v>0</v>
      </c>
      <c r="F77" t="s">
        <v>0</v>
      </c>
      <c r="G77" t="s">
        <v>1441</v>
      </c>
      <c r="H77" t="s">
        <v>1445</v>
      </c>
    </row>
    <row r="78" spans="2:8" ht="15" customHeight="1" x14ac:dyDescent="0.25">
      <c r="B78" t="s">
        <v>176</v>
      </c>
      <c r="C78" s="2">
        <v>80000</v>
      </c>
      <c r="D78" t="s">
        <v>11</v>
      </c>
      <c r="E78" t="s">
        <v>1</v>
      </c>
      <c r="F78" t="s">
        <v>1</v>
      </c>
      <c r="G78" t="s">
        <v>1441</v>
      </c>
      <c r="H78" t="s">
        <v>1447</v>
      </c>
    </row>
    <row r="79" spans="2:8" ht="15" customHeight="1" x14ac:dyDescent="0.25">
      <c r="B79" t="s">
        <v>177</v>
      </c>
      <c r="C79" s="2">
        <v>10684.750012465542</v>
      </c>
      <c r="D79" t="s">
        <v>3</v>
      </c>
      <c r="E79" t="s">
        <v>0</v>
      </c>
      <c r="F79" t="s">
        <v>0</v>
      </c>
      <c r="G79" t="s">
        <v>1443</v>
      </c>
      <c r="H79" t="s">
        <v>1445</v>
      </c>
    </row>
    <row r="80" spans="2:8" ht="15" customHeight="1" x14ac:dyDescent="0.25">
      <c r="B80" t="s">
        <v>178</v>
      </c>
      <c r="C80" s="2">
        <v>5342.3750062327708</v>
      </c>
      <c r="D80" t="s">
        <v>29</v>
      </c>
      <c r="E80" t="s">
        <v>0</v>
      </c>
      <c r="F80" t="s">
        <v>0</v>
      </c>
      <c r="G80" t="s">
        <v>1440</v>
      </c>
      <c r="H80" t="s">
        <v>1445</v>
      </c>
    </row>
    <row r="81" spans="2:8" ht="15" customHeight="1" x14ac:dyDescent="0.25">
      <c r="B81" t="s">
        <v>179</v>
      </c>
      <c r="C81" s="2">
        <v>71231.666749770273</v>
      </c>
      <c r="D81" t="s">
        <v>11</v>
      </c>
      <c r="E81" t="s">
        <v>0</v>
      </c>
      <c r="F81" t="s">
        <v>0</v>
      </c>
      <c r="G81" t="s">
        <v>1441</v>
      </c>
      <c r="H81" t="s">
        <v>1445</v>
      </c>
    </row>
    <row r="82" spans="2:8" ht="15" customHeight="1" x14ac:dyDescent="0.25">
      <c r="B82" t="s">
        <v>180</v>
      </c>
      <c r="C82" s="2">
        <v>80135.625093491559</v>
      </c>
      <c r="D82" t="s">
        <v>1439</v>
      </c>
      <c r="E82" t="s">
        <v>0</v>
      </c>
      <c r="F82" t="s">
        <v>0</v>
      </c>
      <c r="G82" t="s">
        <v>1442</v>
      </c>
      <c r="H82" t="s">
        <v>1447</v>
      </c>
    </row>
    <row r="83" spans="2:8" ht="15" customHeight="1" x14ac:dyDescent="0.25">
      <c r="B83" t="s">
        <v>181</v>
      </c>
      <c r="C83" s="2">
        <v>54084.883766667976</v>
      </c>
      <c r="D83" t="s">
        <v>11</v>
      </c>
      <c r="E83" t="s">
        <v>19</v>
      </c>
      <c r="F83" t="s">
        <v>19</v>
      </c>
      <c r="G83" t="s">
        <v>1441</v>
      </c>
      <c r="H83" t="s">
        <v>1445</v>
      </c>
    </row>
    <row r="84" spans="2:8" ht="15" customHeight="1" x14ac:dyDescent="0.25">
      <c r="B84" t="s">
        <v>182</v>
      </c>
      <c r="C84" s="2">
        <v>53000</v>
      </c>
      <c r="D84" t="s">
        <v>3</v>
      </c>
      <c r="E84" t="s">
        <v>1</v>
      </c>
      <c r="F84" t="s">
        <v>1</v>
      </c>
      <c r="G84" t="s">
        <v>1441</v>
      </c>
      <c r="H84" t="s">
        <v>1448</v>
      </c>
    </row>
    <row r="85" spans="2:8" ht="15" customHeight="1" x14ac:dyDescent="0.25">
      <c r="B85" t="s">
        <v>183</v>
      </c>
      <c r="C85" s="2">
        <v>5342.3750062327708</v>
      </c>
      <c r="D85" t="s">
        <v>1437</v>
      </c>
      <c r="E85" t="s">
        <v>0</v>
      </c>
      <c r="F85" t="s">
        <v>0</v>
      </c>
      <c r="G85" t="s">
        <v>1441</v>
      </c>
      <c r="H85" t="s">
        <v>1445</v>
      </c>
    </row>
    <row r="86" spans="2:8" ht="15" customHeight="1" x14ac:dyDescent="0.25">
      <c r="B86" t="s">
        <v>184</v>
      </c>
      <c r="C86" s="2">
        <v>7123.1666749770275</v>
      </c>
      <c r="D86" t="s">
        <v>11</v>
      </c>
      <c r="E86" t="s">
        <v>0</v>
      </c>
      <c r="F86" t="s">
        <v>0</v>
      </c>
      <c r="G86" t="s">
        <v>1442</v>
      </c>
      <c r="H86" t="s">
        <v>1445</v>
      </c>
    </row>
    <row r="87" spans="2:8" ht="15" customHeight="1" x14ac:dyDescent="0.25">
      <c r="B87" t="s">
        <v>185</v>
      </c>
      <c r="C87" s="2">
        <v>10684.750012465542</v>
      </c>
      <c r="D87" t="s">
        <v>11</v>
      </c>
      <c r="E87" t="s">
        <v>0</v>
      </c>
      <c r="F87" t="s">
        <v>0</v>
      </c>
      <c r="G87" t="s">
        <v>1441</v>
      </c>
      <c r="H87" t="s">
        <v>1446</v>
      </c>
    </row>
    <row r="88" spans="2:8" ht="15" customHeight="1" x14ac:dyDescent="0.25">
      <c r="B88" t="s">
        <v>186</v>
      </c>
      <c r="C88" s="2">
        <v>4000</v>
      </c>
      <c r="D88" t="s">
        <v>1437</v>
      </c>
      <c r="E88" t="s">
        <v>0</v>
      </c>
      <c r="F88" t="s">
        <v>0</v>
      </c>
      <c r="G88" t="s">
        <v>1440</v>
      </c>
      <c r="H88" t="s">
        <v>1445</v>
      </c>
    </row>
    <row r="89" spans="2:8" ht="15" customHeight="1" x14ac:dyDescent="0.25">
      <c r="B89" t="s">
        <v>187</v>
      </c>
      <c r="C89" s="2">
        <v>8000</v>
      </c>
      <c r="D89" t="s">
        <v>11</v>
      </c>
      <c r="E89" t="s">
        <v>30</v>
      </c>
      <c r="F89" t="s">
        <v>1454</v>
      </c>
      <c r="G89" t="s">
        <v>1440</v>
      </c>
      <c r="H89" t="s">
        <v>1445</v>
      </c>
    </row>
    <row r="90" spans="2:8" ht="15" customHeight="1" x14ac:dyDescent="0.25">
      <c r="B90" t="s">
        <v>188</v>
      </c>
      <c r="C90" s="2">
        <v>2671.1875031163854</v>
      </c>
      <c r="D90" t="s">
        <v>11</v>
      </c>
      <c r="E90" t="s">
        <v>0</v>
      </c>
      <c r="F90" t="s">
        <v>0</v>
      </c>
      <c r="G90" t="s">
        <v>1443</v>
      </c>
      <c r="H90" t="s">
        <v>1445</v>
      </c>
    </row>
    <row r="91" spans="2:8" ht="15" customHeight="1" x14ac:dyDescent="0.25">
      <c r="B91" t="s">
        <v>189</v>
      </c>
      <c r="C91" s="2">
        <v>14246.333349954055</v>
      </c>
      <c r="D91" t="s">
        <v>29</v>
      </c>
      <c r="E91" t="s">
        <v>0</v>
      </c>
      <c r="F91" t="s">
        <v>0</v>
      </c>
      <c r="G91" t="s">
        <v>1443</v>
      </c>
      <c r="H91" t="s">
        <v>1445</v>
      </c>
    </row>
    <row r="92" spans="2:8" ht="15" customHeight="1" x14ac:dyDescent="0.25">
      <c r="B92" t="s">
        <v>190</v>
      </c>
      <c r="C92" s="2">
        <v>8547.8000099724322</v>
      </c>
      <c r="D92" t="s">
        <v>1437</v>
      </c>
      <c r="E92" t="s">
        <v>0</v>
      </c>
      <c r="F92" t="s">
        <v>0</v>
      </c>
      <c r="G92" t="s">
        <v>1442</v>
      </c>
      <c r="H92" t="s">
        <v>1445</v>
      </c>
    </row>
    <row r="93" spans="2:8" ht="15" customHeight="1" x14ac:dyDescent="0.25">
      <c r="B93" t="s">
        <v>191</v>
      </c>
      <c r="C93" s="2">
        <v>7693.0200089751897</v>
      </c>
      <c r="D93" t="s">
        <v>11</v>
      </c>
      <c r="E93" t="s">
        <v>0</v>
      </c>
      <c r="F93" t="s">
        <v>0</v>
      </c>
      <c r="G93" t="s">
        <v>1443</v>
      </c>
      <c r="H93" t="s">
        <v>1445</v>
      </c>
    </row>
    <row r="94" spans="2:8" ht="15" customHeight="1" x14ac:dyDescent="0.25">
      <c r="B94" t="s">
        <v>192</v>
      </c>
      <c r="C94" s="2">
        <v>4000</v>
      </c>
      <c r="D94" t="s">
        <v>11</v>
      </c>
      <c r="E94" t="s">
        <v>0</v>
      </c>
      <c r="F94" t="s">
        <v>0</v>
      </c>
      <c r="G94" t="s">
        <v>1440</v>
      </c>
      <c r="H94" t="s">
        <v>1447</v>
      </c>
    </row>
    <row r="95" spans="2:8" ht="15" customHeight="1" x14ac:dyDescent="0.25">
      <c r="B95" t="s">
        <v>193</v>
      </c>
      <c r="C95" s="2">
        <v>5400</v>
      </c>
      <c r="D95" t="s">
        <v>11</v>
      </c>
      <c r="E95" t="s">
        <v>0</v>
      </c>
      <c r="F95" t="s">
        <v>0</v>
      </c>
      <c r="G95" t="s">
        <v>1440</v>
      </c>
      <c r="H95" t="s">
        <v>1445</v>
      </c>
    </row>
    <row r="96" spans="2:8" ht="15" customHeight="1" x14ac:dyDescent="0.25">
      <c r="B96" t="s">
        <v>194</v>
      </c>
      <c r="C96" s="2">
        <v>186983.12521814698</v>
      </c>
      <c r="D96" t="s">
        <v>11</v>
      </c>
      <c r="E96" t="s">
        <v>0</v>
      </c>
      <c r="F96" t="s">
        <v>0</v>
      </c>
      <c r="G96" t="s">
        <v>1443</v>
      </c>
      <c r="H96" t="s">
        <v>1447</v>
      </c>
    </row>
    <row r="97" spans="2:8" ht="15" customHeight="1" x14ac:dyDescent="0.25">
      <c r="B97" t="s">
        <v>195</v>
      </c>
      <c r="C97" s="2">
        <v>21500</v>
      </c>
      <c r="D97" t="s">
        <v>3</v>
      </c>
      <c r="E97" t="s">
        <v>0</v>
      </c>
      <c r="F97" t="s">
        <v>0</v>
      </c>
      <c r="G97" t="s">
        <v>1441</v>
      </c>
      <c r="H97" t="s">
        <v>1447</v>
      </c>
    </row>
    <row r="98" spans="2:8" ht="15" customHeight="1" x14ac:dyDescent="0.25">
      <c r="B98" t="s">
        <v>196</v>
      </c>
      <c r="C98" s="2">
        <v>15000</v>
      </c>
      <c r="D98" t="s">
        <v>1437</v>
      </c>
      <c r="E98" t="s">
        <v>0</v>
      </c>
      <c r="F98" t="s">
        <v>0</v>
      </c>
      <c r="G98" t="s">
        <v>1440</v>
      </c>
      <c r="H98" t="s">
        <v>1445</v>
      </c>
    </row>
    <row r="99" spans="2:8" ht="15" customHeight="1" x14ac:dyDescent="0.25">
      <c r="B99" t="s">
        <v>197</v>
      </c>
      <c r="C99" s="2">
        <v>2122.8177433598262</v>
      </c>
      <c r="D99" t="s">
        <v>31</v>
      </c>
      <c r="E99" t="s">
        <v>2</v>
      </c>
      <c r="F99" t="s">
        <v>2</v>
      </c>
      <c r="G99" t="s">
        <v>1443</v>
      </c>
      <c r="H99" t="s">
        <v>1445</v>
      </c>
    </row>
    <row r="100" spans="2:8" ht="15" customHeight="1" x14ac:dyDescent="0.25">
      <c r="B100" t="s">
        <v>198</v>
      </c>
      <c r="C100" s="2">
        <v>16917.52085307044</v>
      </c>
      <c r="D100" t="s">
        <v>11</v>
      </c>
      <c r="E100" t="s">
        <v>0</v>
      </c>
      <c r="F100" t="s">
        <v>0</v>
      </c>
      <c r="G100" t="s">
        <v>1441</v>
      </c>
      <c r="H100" t="s">
        <v>1445</v>
      </c>
    </row>
    <row r="101" spans="2:8" ht="15" customHeight="1" x14ac:dyDescent="0.25">
      <c r="B101" t="s">
        <v>199</v>
      </c>
      <c r="C101" s="2">
        <v>2938.3062534280239</v>
      </c>
      <c r="D101" t="s">
        <v>11</v>
      </c>
      <c r="E101" t="s">
        <v>0</v>
      </c>
      <c r="F101" t="s">
        <v>0</v>
      </c>
      <c r="G101" t="s">
        <v>1440</v>
      </c>
      <c r="H101" t="s">
        <v>1446</v>
      </c>
    </row>
    <row r="102" spans="2:8" ht="15" customHeight="1" x14ac:dyDescent="0.25">
      <c r="B102" t="s">
        <v>200</v>
      </c>
      <c r="C102" s="2">
        <v>16800</v>
      </c>
      <c r="D102" t="s">
        <v>3</v>
      </c>
      <c r="E102" t="s">
        <v>2</v>
      </c>
      <c r="F102" t="s">
        <v>2</v>
      </c>
      <c r="G102" t="s">
        <v>1441</v>
      </c>
      <c r="H102" t="s">
        <v>1446</v>
      </c>
    </row>
    <row r="103" spans="2:8" ht="15" customHeight="1" x14ac:dyDescent="0.25">
      <c r="B103" t="s">
        <v>201</v>
      </c>
      <c r="C103" s="2">
        <v>37000</v>
      </c>
      <c r="D103" t="s">
        <v>29</v>
      </c>
      <c r="E103" t="s">
        <v>0</v>
      </c>
      <c r="F103" t="s">
        <v>0</v>
      </c>
      <c r="G103" t="s">
        <v>1441</v>
      </c>
      <c r="H103" t="s">
        <v>1447</v>
      </c>
    </row>
    <row r="104" spans="2:8" ht="15" customHeight="1" x14ac:dyDescent="0.25">
      <c r="B104" t="s">
        <v>202</v>
      </c>
      <c r="C104" s="2">
        <v>5342.3750062327708</v>
      </c>
      <c r="D104" t="s">
        <v>3</v>
      </c>
      <c r="E104" t="s">
        <v>0</v>
      </c>
      <c r="F104" t="s">
        <v>0</v>
      </c>
      <c r="G104" t="s">
        <v>1441</v>
      </c>
      <c r="H104" t="s">
        <v>1445</v>
      </c>
    </row>
    <row r="105" spans="2:8" ht="15" customHeight="1" x14ac:dyDescent="0.25">
      <c r="B105" t="s">
        <v>203</v>
      </c>
      <c r="C105" s="2">
        <v>3561.5833374885137</v>
      </c>
      <c r="D105" t="s">
        <v>1437</v>
      </c>
      <c r="E105" t="s">
        <v>0</v>
      </c>
      <c r="F105" t="s">
        <v>0</v>
      </c>
      <c r="G105" t="s">
        <v>1440</v>
      </c>
      <c r="H105" t="s">
        <v>1445</v>
      </c>
    </row>
    <row r="106" spans="2:8" ht="15" customHeight="1" x14ac:dyDescent="0.25">
      <c r="B106" t="s">
        <v>204</v>
      </c>
      <c r="C106" s="2">
        <v>8547.8000099724322</v>
      </c>
      <c r="D106" t="s">
        <v>11</v>
      </c>
      <c r="E106" t="s">
        <v>0</v>
      </c>
      <c r="F106" t="s">
        <v>0</v>
      </c>
      <c r="G106" t="s">
        <v>1443</v>
      </c>
      <c r="H106" t="s">
        <v>1447</v>
      </c>
    </row>
    <row r="107" spans="2:8" ht="15" customHeight="1" x14ac:dyDescent="0.25">
      <c r="B107" t="s">
        <v>205</v>
      </c>
      <c r="C107" s="2">
        <v>5800</v>
      </c>
      <c r="D107" t="s">
        <v>11</v>
      </c>
      <c r="E107" t="s">
        <v>0</v>
      </c>
      <c r="F107" t="s">
        <v>0</v>
      </c>
      <c r="G107" t="s">
        <v>1440</v>
      </c>
      <c r="H107" t="s">
        <v>1447</v>
      </c>
    </row>
    <row r="108" spans="2:8" ht="15" customHeight="1" x14ac:dyDescent="0.25">
      <c r="B108" t="s">
        <v>206</v>
      </c>
      <c r="C108" s="2">
        <v>4095.8208381117906</v>
      </c>
      <c r="D108" t="s">
        <v>1437</v>
      </c>
      <c r="E108" t="s">
        <v>0</v>
      </c>
      <c r="F108" t="s">
        <v>0</v>
      </c>
      <c r="G108" t="s">
        <v>1440</v>
      </c>
      <c r="H108" t="s">
        <v>1445</v>
      </c>
    </row>
    <row r="109" spans="2:8" ht="15" customHeight="1" x14ac:dyDescent="0.25">
      <c r="B109" t="s">
        <v>207</v>
      </c>
      <c r="C109" s="2">
        <v>4914.9850057341491</v>
      </c>
      <c r="D109" t="s">
        <v>11</v>
      </c>
      <c r="E109" t="s">
        <v>2</v>
      </c>
      <c r="F109" t="s">
        <v>2</v>
      </c>
      <c r="G109" t="s">
        <v>1442</v>
      </c>
      <c r="H109" t="s">
        <v>1445</v>
      </c>
    </row>
    <row r="110" spans="2:8" ht="15" customHeight="1" x14ac:dyDescent="0.25">
      <c r="B110" t="s">
        <v>208</v>
      </c>
      <c r="C110" s="2">
        <v>24000</v>
      </c>
      <c r="D110" t="s">
        <v>11</v>
      </c>
      <c r="E110" t="s">
        <v>21</v>
      </c>
      <c r="F110" t="s">
        <v>1451</v>
      </c>
      <c r="G110" t="s">
        <v>1441</v>
      </c>
      <c r="H110" t="s">
        <v>1446</v>
      </c>
    </row>
    <row r="111" spans="2:8" ht="15" customHeight="1" x14ac:dyDescent="0.25">
      <c r="B111" t="s">
        <v>209</v>
      </c>
      <c r="C111" s="2">
        <v>24000</v>
      </c>
      <c r="D111" t="s">
        <v>31</v>
      </c>
      <c r="E111" t="s">
        <v>26</v>
      </c>
      <c r="F111" t="s">
        <v>1451</v>
      </c>
      <c r="G111" t="s">
        <v>1443</v>
      </c>
      <c r="H111" t="s">
        <v>1446</v>
      </c>
    </row>
    <row r="112" spans="2:8" ht="15" customHeight="1" x14ac:dyDescent="0.25">
      <c r="B112" t="s">
        <v>210</v>
      </c>
      <c r="C112" s="2">
        <v>8738</v>
      </c>
      <c r="D112" t="s">
        <v>11</v>
      </c>
      <c r="E112" t="s">
        <v>0</v>
      </c>
      <c r="F112" t="s">
        <v>0</v>
      </c>
      <c r="G112" t="s">
        <v>1440</v>
      </c>
      <c r="H112" t="s">
        <v>1447</v>
      </c>
    </row>
    <row r="113" spans="2:8" ht="15" customHeight="1" x14ac:dyDescent="0.25">
      <c r="B113" t="s">
        <v>211</v>
      </c>
      <c r="C113" s="2">
        <v>15000</v>
      </c>
      <c r="D113" t="s">
        <v>3</v>
      </c>
      <c r="E113" t="s">
        <v>49</v>
      </c>
      <c r="F113" t="s">
        <v>1454</v>
      </c>
      <c r="G113" t="s">
        <v>1441</v>
      </c>
      <c r="H113" t="s">
        <v>1445</v>
      </c>
    </row>
    <row r="114" spans="2:8" ht="15" customHeight="1" x14ac:dyDescent="0.25">
      <c r="B114" t="s">
        <v>212</v>
      </c>
      <c r="C114" s="2">
        <v>56400</v>
      </c>
      <c r="D114" t="s">
        <v>11</v>
      </c>
      <c r="E114" t="s">
        <v>26</v>
      </c>
      <c r="F114" t="s">
        <v>1451</v>
      </c>
      <c r="G114" t="s">
        <v>1443</v>
      </c>
      <c r="H114" t="s">
        <v>1447</v>
      </c>
    </row>
    <row r="115" spans="2:8" ht="15" customHeight="1" x14ac:dyDescent="0.25">
      <c r="B115" t="s">
        <v>213</v>
      </c>
      <c r="C115" s="2">
        <v>10200</v>
      </c>
      <c r="D115" t="s">
        <v>3</v>
      </c>
      <c r="E115" t="s">
        <v>0</v>
      </c>
      <c r="F115" t="s">
        <v>0</v>
      </c>
      <c r="G115" t="s">
        <v>1441</v>
      </c>
      <c r="H115" t="s">
        <v>1445</v>
      </c>
    </row>
    <row r="116" spans="2:8" ht="15" customHeight="1" x14ac:dyDescent="0.25">
      <c r="B116" t="s">
        <v>214</v>
      </c>
      <c r="C116" s="2">
        <v>5787.5729234188348</v>
      </c>
      <c r="D116" t="s">
        <v>1437</v>
      </c>
      <c r="E116" t="s">
        <v>0</v>
      </c>
      <c r="F116" t="s">
        <v>0</v>
      </c>
      <c r="G116" t="s">
        <v>1440</v>
      </c>
      <c r="H116" t="s">
        <v>1445</v>
      </c>
    </row>
    <row r="117" spans="2:8" ht="15" customHeight="1" x14ac:dyDescent="0.25">
      <c r="B117" t="s">
        <v>215</v>
      </c>
      <c r="C117" s="2">
        <v>105000</v>
      </c>
      <c r="D117" t="s">
        <v>33</v>
      </c>
      <c r="E117" t="s">
        <v>1</v>
      </c>
      <c r="F117" t="s">
        <v>1</v>
      </c>
      <c r="G117" t="s">
        <v>1443</v>
      </c>
      <c r="H117" t="s">
        <v>1446</v>
      </c>
    </row>
    <row r="118" spans="2:8" ht="15" customHeight="1" x14ac:dyDescent="0.25">
      <c r="B118" t="s">
        <v>216</v>
      </c>
      <c r="C118" s="2">
        <v>4451.9791718606421</v>
      </c>
      <c r="D118" t="s">
        <v>11</v>
      </c>
      <c r="E118" t="s">
        <v>0</v>
      </c>
      <c r="F118" t="s">
        <v>0</v>
      </c>
      <c r="G118" t="s">
        <v>1443</v>
      </c>
      <c r="H118" t="s">
        <v>1445</v>
      </c>
    </row>
    <row r="119" spans="2:8" ht="15" customHeight="1" x14ac:dyDescent="0.25">
      <c r="B119" t="s">
        <v>217</v>
      </c>
      <c r="C119" s="2">
        <v>8369.7208430980063</v>
      </c>
      <c r="D119" t="s">
        <v>33</v>
      </c>
      <c r="E119" t="s">
        <v>0</v>
      </c>
      <c r="F119" t="s">
        <v>0</v>
      </c>
      <c r="G119" t="s">
        <v>1440</v>
      </c>
      <c r="H119" t="s">
        <v>1445</v>
      </c>
    </row>
    <row r="120" spans="2:8" ht="15" customHeight="1" x14ac:dyDescent="0.25">
      <c r="B120" t="s">
        <v>218</v>
      </c>
      <c r="C120" s="2">
        <v>17067.637625607145</v>
      </c>
      <c r="D120" t="s">
        <v>11</v>
      </c>
      <c r="E120" t="s">
        <v>32</v>
      </c>
      <c r="F120" t="s">
        <v>1454</v>
      </c>
      <c r="G120" t="s">
        <v>1441</v>
      </c>
      <c r="H120" t="s">
        <v>1447</v>
      </c>
    </row>
    <row r="121" spans="2:8" ht="15" customHeight="1" x14ac:dyDescent="0.25">
      <c r="B121" t="s">
        <v>219</v>
      </c>
      <c r="C121" s="2">
        <v>101990.96564026357</v>
      </c>
      <c r="D121" t="s">
        <v>11</v>
      </c>
      <c r="E121" t="s">
        <v>18</v>
      </c>
      <c r="F121" t="s">
        <v>18</v>
      </c>
      <c r="G121" t="s">
        <v>1442</v>
      </c>
      <c r="H121" t="s">
        <v>1446</v>
      </c>
    </row>
    <row r="122" spans="2:8" ht="15" customHeight="1" x14ac:dyDescent="0.25">
      <c r="B122" t="s">
        <v>220</v>
      </c>
      <c r="C122" s="2">
        <v>3917.7416712373652</v>
      </c>
      <c r="D122" t="s">
        <v>3</v>
      </c>
      <c r="E122" t="s">
        <v>0</v>
      </c>
      <c r="F122" t="s">
        <v>0</v>
      </c>
      <c r="G122" t="s">
        <v>1443</v>
      </c>
      <c r="H122" t="s">
        <v>1445</v>
      </c>
    </row>
    <row r="123" spans="2:8" ht="15" customHeight="1" x14ac:dyDescent="0.25">
      <c r="B123" t="s">
        <v>221</v>
      </c>
      <c r="C123" s="2">
        <v>52000</v>
      </c>
      <c r="D123" t="s">
        <v>14</v>
      </c>
      <c r="E123" t="s">
        <v>1</v>
      </c>
      <c r="F123" t="s">
        <v>1</v>
      </c>
      <c r="G123" t="s">
        <v>1441</v>
      </c>
      <c r="H123" t="s">
        <v>1446</v>
      </c>
    </row>
    <row r="124" spans="2:8" ht="15" customHeight="1" x14ac:dyDescent="0.25">
      <c r="B124" t="s">
        <v>222</v>
      </c>
      <c r="C124" s="2">
        <v>4630.058338735068</v>
      </c>
      <c r="D124" t="s">
        <v>3</v>
      </c>
      <c r="E124" t="s">
        <v>0</v>
      </c>
      <c r="F124" t="s">
        <v>0</v>
      </c>
      <c r="G124" t="s">
        <v>1441</v>
      </c>
      <c r="H124" t="s">
        <v>1445</v>
      </c>
    </row>
    <row r="125" spans="2:8" ht="15" customHeight="1" x14ac:dyDescent="0.25">
      <c r="B125" t="s">
        <v>223</v>
      </c>
      <c r="C125" s="2">
        <v>2136.9500024931081</v>
      </c>
      <c r="D125" t="s">
        <v>3</v>
      </c>
      <c r="E125" t="s">
        <v>0</v>
      </c>
      <c r="F125" t="s">
        <v>0</v>
      </c>
      <c r="G125" t="s">
        <v>1443</v>
      </c>
      <c r="H125" t="s">
        <v>1445</v>
      </c>
    </row>
    <row r="126" spans="2:8" ht="15" customHeight="1" x14ac:dyDescent="0.25">
      <c r="B126" t="s">
        <v>224</v>
      </c>
      <c r="C126" s="2">
        <v>13000</v>
      </c>
      <c r="D126" t="s">
        <v>3</v>
      </c>
      <c r="E126" t="s">
        <v>0</v>
      </c>
      <c r="F126" t="s">
        <v>0</v>
      </c>
      <c r="G126" t="s">
        <v>1442</v>
      </c>
      <c r="H126" t="s">
        <v>1445</v>
      </c>
    </row>
    <row r="127" spans="2:8" ht="15" customHeight="1" x14ac:dyDescent="0.25">
      <c r="B127" t="s">
        <v>225</v>
      </c>
      <c r="C127" s="2">
        <v>2564.3400029917298</v>
      </c>
      <c r="D127" t="s">
        <v>11</v>
      </c>
      <c r="E127" t="s">
        <v>0</v>
      </c>
      <c r="F127" t="s">
        <v>0</v>
      </c>
      <c r="G127" t="s">
        <v>1443</v>
      </c>
      <c r="H127" t="s">
        <v>1447</v>
      </c>
    </row>
    <row r="128" spans="2:8" ht="15" customHeight="1" x14ac:dyDescent="0.25">
      <c r="B128" t="s">
        <v>226</v>
      </c>
      <c r="C128" s="2">
        <v>20479.104190558952</v>
      </c>
      <c r="D128" t="s">
        <v>11</v>
      </c>
      <c r="E128" t="s">
        <v>0</v>
      </c>
      <c r="F128" t="s">
        <v>0</v>
      </c>
      <c r="G128" t="s">
        <v>1443</v>
      </c>
      <c r="H128" t="s">
        <v>1447</v>
      </c>
    </row>
    <row r="129" spans="2:8" ht="15" customHeight="1" x14ac:dyDescent="0.25">
      <c r="B129" t="s">
        <v>227</v>
      </c>
      <c r="C129" s="2">
        <v>33500</v>
      </c>
      <c r="D129" t="s">
        <v>31</v>
      </c>
      <c r="E129" t="s">
        <v>34</v>
      </c>
      <c r="F129" t="s">
        <v>1451</v>
      </c>
      <c r="G129" t="s">
        <v>1442</v>
      </c>
      <c r="H129" t="s">
        <v>1447</v>
      </c>
    </row>
    <row r="130" spans="2:8" ht="15" customHeight="1" x14ac:dyDescent="0.25">
      <c r="B130" t="s">
        <v>228</v>
      </c>
      <c r="C130" s="2">
        <v>50000</v>
      </c>
      <c r="D130" t="s">
        <v>11</v>
      </c>
      <c r="E130" t="s">
        <v>0</v>
      </c>
      <c r="F130" t="s">
        <v>0</v>
      </c>
      <c r="G130" t="s">
        <v>1443</v>
      </c>
      <c r="H130" t="s">
        <v>1446</v>
      </c>
    </row>
    <row r="131" spans="2:8" ht="15" customHeight="1" x14ac:dyDescent="0.25">
      <c r="B131" t="s">
        <v>229</v>
      </c>
      <c r="C131" s="2">
        <v>5342.3750062327708</v>
      </c>
      <c r="D131" t="s">
        <v>11</v>
      </c>
      <c r="E131" t="s">
        <v>0</v>
      </c>
      <c r="F131" t="s">
        <v>0</v>
      </c>
      <c r="G131" t="s">
        <v>1443</v>
      </c>
      <c r="H131" t="s">
        <v>1445</v>
      </c>
    </row>
    <row r="132" spans="2:8" ht="15" customHeight="1" x14ac:dyDescent="0.25">
      <c r="B132" t="s">
        <v>230</v>
      </c>
      <c r="C132" s="2">
        <v>11539.530013462785</v>
      </c>
      <c r="D132" t="s">
        <v>3</v>
      </c>
      <c r="E132" t="s">
        <v>0</v>
      </c>
      <c r="F132" t="s">
        <v>0</v>
      </c>
      <c r="G132" t="s">
        <v>1440</v>
      </c>
      <c r="H132" t="s">
        <v>1445</v>
      </c>
    </row>
    <row r="133" spans="2:8" ht="15" customHeight="1" x14ac:dyDescent="0.25">
      <c r="B133" t="s">
        <v>231</v>
      </c>
      <c r="C133" s="2">
        <v>7000</v>
      </c>
      <c r="D133" t="s">
        <v>11</v>
      </c>
      <c r="E133" t="s">
        <v>0</v>
      </c>
      <c r="F133" t="s">
        <v>0</v>
      </c>
      <c r="G133" t="s">
        <v>1441</v>
      </c>
      <c r="H133" t="s">
        <v>1448</v>
      </c>
    </row>
    <row r="134" spans="2:8" ht="15" customHeight="1" x14ac:dyDescent="0.25">
      <c r="B134" t="s">
        <v>232</v>
      </c>
      <c r="C134" s="2">
        <v>6767.0083412281756</v>
      </c>
      <c r="D134" t="s">
        <v>1437</v>
      </c>
      <c r="E134" t="s">
        <v>0</v>
      </c>
      <c r="F134" t="s">
        <v>0</v>
      </c>
      <c r="G134" t="s">
        <v>1443</v>
      </c>
      <c r="H134" t="s">
        <v>1447</v>
      </c>
    </row>
    <row r="135" spans="2:8" ht="15" customHeight="1" x14ac:dyDescent="0.25">
      <c r="B135" t="s">
        <v>233</v>
      </c>
      <c r="C135" s="2">
        <v>3000</v>
      </c>
      <c r="D135" t="s">
        <v>33</v>
      </c>
      <c r="E135" t="s">
        <v>50</v>
      </c>
      <c r="F135" t="s">
        <v>1454</v>
      </c>
      <c r="G135" t="s">
        <v>1443</v>
      </c>
      <c r="H135" t="s">
        <v>1445</v>
      </c>
    </row>
    <row r="136" spans="2:8" ht="15" customHeight="1" x14ac:dyDescent="0.25">
      <c r="B136" t="s">
        <v>234</v>
      </c>
      <c r="C136" s="2">
        <v>4451.9791718606421</v>
      </c>
      <c r="D136" t="s">
        <v>1437</v>
      </c>
      <c r="E136" t="s">
        <v>0</v>
      </c>
      <c r="F136" t="s">
        <v>0</v>
      </c>
      <c r="G136" t="s">
        <v>1440</v>
      </c>
      <c r="H136" t="s">
        <v>1445</v>
      </c>
    </row>
    <row r="137" spans="2:8" ht="15" customHeight="1" x14ac:dyDescent="0.25">
      <c r="B137" t="s">
        <v>235</v>
      </c>
      <c r="C137" s="2">
        <v>2671.1875031163854</v>
      </c>
      <c r="D137" t="s">
        <v>1439</v>
      </c>
      <c r="E137" t="s">
        <v>0</v>
      </c>
      <c r="F137" t="s">
        <v>0</v>
      </c>
      <c r="G137" t="s">
        <v>1441</v>
      </c>
      <c r="H137" t="s">
        <v>1445</v>
      </c>
    </row>
    <row r="138" spans="2:8" ht="15" customHeight="1" x14ac:dyDescent="0.25">
      <c r="B138" t="s">
        <v>236</v>
      </c>
      <c r="C138" s="2">
        <v>4957.7240057840108</v>
      </c>
      <c r="D138" t="s">
        <v>11</v>
      </c>
      <c r="E138" t="s">
        <v>0</v>
      </c>
      <c r="F138" t="s">
        <v>0</v>
      </c>
      <c r="G138" t="s">
        <v>1441</v>
      </c>
      <c r="H138" t="s">
        <v>1445</v>
      </c>
    </row>
    <row r="139" spans="2:8" ht="15" customHeight="1" x14ac:dyDescent="0.25">
      <c r="B139" t="s">
        <v>237</v>
      </c>
      <c r="C139" s="2">
        <v>3205.4250037396623</v>
      </c>
      <c r="D139" t="s">
        <v>31</v>
      </c>
      <c r="E139" t="s">
        <v>0</v>
      </c>
      <c r="F139" t="s">
        <v>0</v>
      </c>
      <c r="G139" t="s">
        <v>1443</v>
      </c>
      <c r="H139" t="s">
        <v>1446</v>
      </c>
    </row>
    <row r="140" spans="2:8" ht="15" customHeight="1" x14ac:dyDescent="0.25">
      <c r="B140" t="s">
        <v>238</v>
      </c>
      <c r="C140" s="2">
        <v>14246.333349954055</v>
      </c>
      <c r="D140" t="s">
        <v>11</v>
      </c>
      <c r="E140" t="s">
        <v>0</v>
      </c>
      <c r="F140" t="s">
        <v>0</v>
      </c>
      <c r="G140" t="s">
        <v>1441</v>
      </c>
      <c r="H140" t="s">
        <v>1447</v>
      </c>
    </row>
    <row r="141" spans="2:8" ht="15" customHeight="1" x14ac:dyDescent="0.25">
      <c r="B141" t="s">
        <v>239</v>
      </c>
      <c r="C141" s="2">
        <v>5342.3750062327708</v>
      </c>
      <c r="D141" t="s">
        <v>3</v>
      </c>
      <c r="E141" t="s">
        <v>0</v>
      </c>
      <c r="F141" t="s">
        <v>0</v>
      </c>
      <c r="G141" t="s">
        <v>1440</v>
      </c>
      <c r="H141" t="s">
        <v>1447</v>
      </c>
    </row>
    <row r="142" spans="2:8" ht="15" customHeight="1" x14ac:dyDescent="0.25">
      <c r="B142" t="s">
        <v>240</v>
      </c>
      <c r="C142" s="2">
        <v>6588.9291743537506</v>
      </c>
      <c r="D142" t="s">
        <v>3</v>
      </c>
      <c r="E142" t="s">
        <v>0</v>
      </c>
      <c r="F142" t="s">
        <v>0</v>
      </c>
      <c r="G142" t="s">
        <v>1440</v>
      </c>
      <c r="H142" t="s">
        <v>1445</v>
      </c>
    </row>
    <row r="143" spans="2:8" ht="15" customHeight="1" x14ac:dyDescent="0.25">
      <c r="B143" t="s">
        <v>241</v>
      </c>
      <c r="C143" s="2">
        <v>6588.9291743537506</v>
      </c>
      <c r="D143" t="s">
        <v>3</v>
      </c>
      <c r="E143" t="s">
        <v>0</v>
      </c>
      <c r="F143" t="s">
        <v>0</v>
      </c>
      <c r="G143" t="s">
        <v>1440</v>
      </c>
      <c r="H143" t="s">
        <v>1445</v>
      </c>
    </row>
    <row r="144" spans="2:8" ht="15" customHeight="1" x14ac:dyDescent="0.25">
      <c r="B144" t="s">
        <v>242</v>
      </c>
      <c r="C144" s="2">
        <v>35000</v>
      </c>
      <c r="D144" t="s">
        <v>14</v>
      </c>
      <c r="E144" t="s">
        <v>1</v>
      </c>
      <c r="F144" t="s">
        <v>1</v>
      </c>
      <c r="G144" t="s">
        <v>1441</v>
      </c>
      <c r="H144" t="s">
        <v>1447</v>
      </c>
    </row>
    <row r="145" spans="2:8" ht="15" customHeight="1" x14ac:dyDescent="0.25">
      <c r="B145" t="s">
        <v>243</v>
      </c>
      <c r="C145" s="2">
        <v>12821.700014958649</v>
      </c>
      <c r="D145" t="s">
        <v>31</v>
      </c>
      <c r="E145" t="s">
        <v>0</v>
      </c>
      <c r="F145" t="s">
        <v>0</v>
      </c>
      <c r="G145" t="s">
        <v>1441</v>
      </c>
      <c r="H145" t="s">
        <v>1445</v>
      </c>
    </row>
    <row r="146" spans="2:8" ht="15" customHeight="1" x14ac:dyDescent="0.25">
      <c r="B146" t="s">
        <v>244</v>
      </c>
      <c r="C146" s="2">
        <v>10684.750012465542</v>
      </c>
      <c r="D146" t="s">
        <v>11</v>
      </c>
      <c r="E146" t="s">
        <v>0</v>
      </c>
      <c r="F146" t="s">
        <v>0</v>
      </c>
      <c r="G146" t="s">
        <v>1442</v>
      </c>
      <c r="H146" t="s">
        <v>1445</v>
      </c>
    </row>
    <row r="147" spans="2:8" ht="15" customHeight="1" x14ac:dyDescent="0.25">
      <c r="B147" t="s">
        <v>245</v>
      </c>
      <c r="C147" s="2">
        <v>10000</v>
      </c>
      <c r="D147" t="s">
        <v>11</v>
      </c>
      <c r="E147" t="s">
        <v>0</v>
      </c>
      <c r="F147" t="s">
        <v>0</v>
      </c>
      <c r="G147" t="s">
        <v>1441</v>
      </c>
      <c r="H147" t="s">
        <v>1445</v>
      </c>
    </row>
    <row r="148" spans="2:8" ht="15" customHeight="1" x14ac:dyDescent="0.25">
      <c r="B148" t="s">
        <v>246</v>
      </c>
      <c r="C148" s="2">
        <v>2136.9500024931081</v>
      </c>
      <c r="D148" t="s">
        <v>3</v>
      </c>
      <c r="E148" t="s">
        <v>0</v>
      </c>
      <c r="F148" t="s">
        <v>0</v>
      </c>
      <c r="G148" t="s">
        <v>1442</v>
      </c>
      <c r="H148" t="s">
        <v>1445</v>
      </c>
    </row>
    <row r="149" spans="2:8" ht="15" customHeight="1" x14ac:dyDescent="0.25">
      <c r="B149" t="s">
        <v>247</v>
      </c>
      <c r="C149" s="2">
        <v>8547.8000099724322</v>
      </c>
      <c r="D149" t="s">
        <v>3</v>
      </c>
      <c r="E149" t="s">
        <v>0</v>
      </c>
      <c r="F149" t="s">
        <v>0</v>
      </c>
      <c r="G149" t="s">
        <v>1441</v>
      </c>
      <c r="H149" t="s">
        <v>1445</v>
      </c>
    </row>
    <row r="150" spans="2:8" ht="15" customHeight="1" x14ac:dyDescent="0.25">
      <c r="B150" t="s">
        <v>248</v>
      </c>
      <c r="C150" s="2">
        <v>8013.5625093491553</v>
      </c>
      <c r="D150" t="s">
        <v>3</v>
      </c>
      <c r="E150" t="s">
        <v>0</v>
      </c>
      <c r="F150" t="s">
        <v>0</v>
      </c>
      <c r="G150" t="s">
        <v>1440</v>
      </c>
      <c r="H150" t="s">
        <v>1447</v>
      </c>
    </row>
    <row r="151" spans="2:8" ht="15" customHeight="1" x14ac:dyDescent="0.25">
      <c r="B151" t="s">
        <v>249</v>
      </c>
      <c r="C151" s="2">
        <v>7123.1666749770275</v>
      </c>
      <c r="D151" t="s">
        <v>33</v>
      </c>
      <c r="E151" t="s">
        <v>0</v>
      </c>
      <c r="F151" t="s">
        <v>0</v>
      </c>
      <c r="G151" t="s">
        <v>1441</v>
      </c>
      <c r="H151" t="s">
        <v>1445</v>
      </c>
    </row>
    <row r="152" spans="2:8" ht="15" customHeight="1" x14ac:dyDescent="0.25">
      <c r="B152" t="s">
        <v>250</v>
      </c>
      <c r="C152" s="2">
        <v>40958.208381117904</v>
      </c>
      <c r="D152" t="s">
        <v>3</v>
      </c>
      <c r="E152" t="s">
        <v>0</v>
      </c>
      <c r="F152" t="s">
        <v>0</v>
      </c>
      <c r="G152" t="s">
        <v>1440</v>
      </c>
      <c r="H152" t="s">
        <v>1445</v>
      </c>
    </row>
    <row r="153" spans="2:8" ht="15" customHeight="1" x14ac:dyDescent="0.25">
      <c r="B153" t="s">
        <v>251</v>
      </c>
      <c r="C153" s="2">
        <v>11325.835013213473</v>
      </c>
      <c r="D153" t="s">
        <v>11</v>
      </c>
      <c r="E153" t="s">
        <v>0</v>
      </c>
      <c r="F153" t="s">
        <v>0</v>
      </c>
      <c r="G153" t="s">
        <v>1441</v>
      </c>
      <c r="H153" t="s">
        <v>1445</v>
      </c>
    </row>
    <row r="154" spans="2:8" ht="15" customHeight="1" x14ac:dyDescent="0.25">
      <c r="B154" t="s">
        <v>252</v>
      </c>
      <c r="C154" s="2">
        <v>15000</v>
      </c>
      <c r="D154" t="s">
        <v>31</v>
      </c>
      <c r="E154" t="s">
        <v>51</v>
      </c>
      <c r="F154" t="s">
        <v>1451</v>
      </c>
      <c r="G154" t="s">
        <v>1441</v>
      </c>
      <c r="H154" t="s">
        <v>1445</v>
      </c>
    </row>
    <row r="155" spans="2:8" ht="15" customHeight="1" x14ac:dyDescent="0.25">
      <c r="B155" t="s">
        <v>253</v>
      </c>
      <c r="C155" s="2">
        <v>12000</v>
      </c>
      <c r="D155" t="s">
        <v>3</v>
      </c>
      <c r="E155" t="s">
        <v>26</v>
      </c>
      <c r="F155" t="s">
        <v>1451</v>
      </c>
      <c r="G155" t="s">
        <v>1441</v>
      </c>
      <c r="H155" t="s">
        <v>1446</v>
      </c>
    </row>
    <row r="156" spans="2:8" ht="15" customHeight="1" x14ac:dyDescent="0.25">
      <c r="B156" t="s">
        <v>254</v>
      </c>
      <c r="C156" s="2">
        <v>8903.9583437212841</v>
      </c>
      <c r="D156" t="s">
        <v>1437</v>
      </c>
      <c r="E156" t="s">
        <v>0</v>
      </c>
      <c r="F156" t="s">
        <v>0</v>
      </c>
      <c r="G156" t="s">
        <v>1443</v>
      </c>
      <c r="H156" t="s">
        <v>1445</v>
      </c>
    </row>
    <row r="157" spans="2:8" ht="15" customHeight="1" x14ac:dyDescent="0.25">
      <c r="B157" t="s">
        <v>255</v>
      </c>
      <c r="C157" s="2">
        <v>8903.9583437212841</v>
      </c>
      <c r="D157" t="s">
        <v>29</v>
      </c>
      <c r="E157" t="s">
        <v>0</v>
      </c>
      <c r="F157" t="s">
        <v>0</v>
      </c>
      <c r="G157" t="s">
        <v>1440</v>
      </c>
      <c r="H157" t="s">
        <v>1445</v>
      </c>
    </row>
    <row r="158" spans="2:8" ht="15" customHeight="1" x14ac:dyDescent="0.25">
      <c r="B158" t="s">
        <v>256</v>
      </c>
      <c r="C158" s="2">
        <v>12821.700014958649</v>
      </c>
      <c r="D158" t="s">
        <v>11</v>
      </c>
      <c r="E158" t="s">
        <v>0</v>
      </c>
      <c r="F158" t="s">
        <v>0</v>
      </c>
      <c r="G158" t="s">
        <v>1440</v>
      </c>
      <c r="H158" t="s">
        <v>1447</v>
      </c>
    </row>
    <row r="159" spans="2:8" ht="15" customHeight="1" x14ac:dyDescent="0.25">
      <c r="B159" t="s">
        <v>257</v>
      </c>
      <c r="C159" s="2">
        <v>3205.4250037396623</v>
      </c>
      <c r="D159" t="s">
        <v>11</v>
      </c>
      <c r="E159" t="s">
        <v>0</v>
      </c>
      <c r="F159" t="s">
        <v>0</v>
      </c>
      <c r="G159" t="s">
        <v>1440</v>
      </c>
      <c r="H159" t="s">
        <v>1447</v>
      </c>
    </row>
    <row r="160" spans="2:8" ht="15" customHeight="1" x14ac:dyDescent="0.25">
      <c r="B160" t="s">
        <v>258</v>
      </c>
      <c r="C160" s="2">
        <v>6677.9687577909626</v>
      </c>
      <c r="D160" t="s">
        <v>11</v>
      </c>
      <c r="E160" t="s">
        <v>0</v>
      </c>
      <c r="F160" t="s">
        <v>0</v>
      </c>
      <c r="G160" t="s">
        <v>1443</v>
      </c>
      <c r="H160" t="s">
        <v>1447</v>
      </c>
    </row>
    <row r="161" spans="2:8" ht="15" customHeight="1" x14ac:dyDescent="0.25">
      <c r="B161" t="s">
        <v>259</v>
      </c>
      <c r="C161" s="2">
        <v>67794.987956419791</v>
      </c>
      <c r="D161" t="s">
        <v>11</v>
      </c>
      <c r="E161" t="s">
        <v>45</v>
      </c>
      <c r="F161" t="s">
        <v>1451</v>
      </c>
      <c r="G161" t="s">
        <v>1441</v>
      </c>
      <c r="H161" t="s">
        <v>1446</v>
      </c>
    </row>
    <row r="162" spans="2:8" ht="15" customHeight="1" x14ac:dyDescent="0.25">
      <c r="B162" t="s">
        <v>260</v>
      </c>
      <c r="C162" s="2">
        <v>31250</v>
      </c>
      <c r="D162" t="s">
        <v>11</v>
      </c>
      <c r="E162" t="s">
        <v>0</v>
      </c>
      <c r="F162" t="s">
        <v>0</v>
      </c>
      <c r="G162" t="s">
        <v>1443</v>
      </c>
      <c r="H162" t="s">
        <v>1447</v>
      </c>
    </row>
    <row r="163" spans="2:8" ht="15" customHeight="1" x14ac:dyDescent="0.25">
      <c r="B163" t="s">
        <v>261</v>
      </c>
      <c r="C163" s="2">
        <v>2165.2740982270229</v>
      </c>
      <c r="D163" t="s">
        <v>11</v>
      </c>
      <c r="E163" t="s">
        <v>2</v>
      </c>
      <c r="F163" t="s">
        <v>2</v>
      </c>
      <c r="G163" t="s">
        <v>1440</v>
      </c>
      <c r="H163" t="s">
        <v>1445</v>
      </c>
    </row>
    <row r="164" spans="2:8" ht="15" customHeight="1" x14ac:dyDescent="0.25">
      <c r="B164" t="s">
        <v>262</v>
      </c>
      <c r="C164" s="2">
        <v>7123.1666749770275</v>
      </c>
      <c r="D164" t="s">
        <v>1437</v>
      </c>
      <c r="E164" t="s">
        <v>0</v>
      </c>
      <c r="F164" t="s">
        <v>0</v>
      </c>
      <c r="G164" t="s">
        <v>1440</v>
      </c>
      <c r="H164" t="s">
        <v>1445</v>
      </c>
    </row>
    <row r="165" spans="2:8" ht="15" customHeight="1" x14ac:dyDescent="0.25">
      <c r="B165" t="s">
        <v>263</v>
      </c>
      <c r="C165" s="2">
        <v>130000</v>
      </c>
      <c r="D165" t="s">
        <v>11</v>
      </c>
      <c r="E165" t="s">
        <v>18</v>
      </c>
      <c r="F165" t="s">
        <v>18</v>
      </c>
      <c r="G165" t="s">
        <v>1441</v>
      </c>
      <c r="H165" t="s">
        <v>1445</v>
      </c>
    </row>
    <row r="166" spans="2:8" ht="15" customHeight="1" x14ac:dyDescent="0.25">
      <c r="B166" t="s">
        <v>264</v>
      </c>
      <c r="C166" s="2">
        <v>4451.9791718606421</v>
      </c>
      <c r="D166" t="s">
        <v>11</v>
      </c>
      <c r="E166" t="s">
        <v>0</v>
      </c>
      <c r="F166" t="s">
        <v>0</v>
      </c>
      <c r="G166" t="s">
        <v>1441</v>
      </c>
      <c r="H166" t="s">
        <v>1447</v>
      </c>
    </row>
    <row r="167" spans="2:8" ht="15" customHeight="1" x14ac:dyDescent="0.25">
      <c r="B167" t="s">
        <v>265</v>
      </c>
      <c r="C167" s="2">
        <v>9600</v>
      </c>
      <c r="D167" t="s">
        <v>3</v>
      </c>
      <c r="E167" t="s">
        <v>10</v>
      </c>
      <c r="F167" t="s">
        <v>1451</v>
      </c>
      <c r="G167" t="s">
        <v>1441</v>
      </c>
      <c r="H167" t="s">
        <v>1445</v>
      </c>
    </row>
    <row r="168" spans="2:8" ht="15" customHeight="1" x14ac:dyDescent="0.25">
      <c r="B168" t="s">
        <v>266</v>
      </c>
      <c r="C168" s="2">
        <v>6945.0875081026015</v>
      </c>
      <c r="D168" t="s">
        <v>3</v>
      </c>
      <c r="E168" t="s">
        <v>0</v>
      </c>
      <c r="F168" t="s">
        <v>0</v>
      </c>
      <c r="G168" t="s">
        <v>1441</v>
      </c>
      <c r="H168" t="s">
        <v>1445</v>
      </c>
    </row>
    <row r="169" spans="2:8" ht="15" customHeight="1" x14ac:dyDescent="0.25">
      <c r="B169" t="s">
        <v>267</v>
      </c>
      <c r="C169" s="2">
        <v>10684.750012465542</v>
      </c>
      <c r="D169" t="s">
        <v>31</v>
      </c>
      <c r="E169" t="s">
        <v>0</v>
      </c>
      <c r="F169" t="s">
        <v>0</v>
      </c>
      <c r="G169" t="s">
        <v>1440</v>
      </c>
      <c r="H169" t="s">
        <v>1447</v>
      </c>
    </row>
    <row r="170" spans="2:8" ht="15" customHeight="1" x14ac:dyDescent="0.25">
      <c r="B170" t="s">
        <v>268</v>
      </c>
      <c r="C170" s="2">
        <v>8547.8000099724322</v>
      </c>
      <c r="D170" t="s">
        <v>3</v>
      </c>
      <c r="E170" t="s">
        <v>0</v>
      </c>
      <c r="F170" t="s">
        <v>0</v>
      </c>
      <c r="G170" t="s">
        <v>1443</v>
      </c>
      <c r="H170" t="s">
        <v>1445</v>
      </c>
    </row>
    <row r="171" spans="2:8" ht="15" customHeight="1" x14ac:dyDescent="0.25">
      <c r="B171" t="s">
        <v>269</v>
      </c>
      <c r="C171" s="2">
        <v>35000</v>
      </c>
      <c r="D171" t="s">
        <v>3</v>
      </c>
      <c r="E171" t="s">
        <v>0</v>
      </c>
      <c r="F171" t="s">
        <v>0</v>
      </c>
      <c r="G171" t="s">
        <v>1441</v>
      </c>
      <c r="H171" t="s">
        <v>1447</v>
      </c>
    </row>
    <row r="172" spans="2:8" ht="15" customHeight="1" x14ac:dyDescent="0.25">
      <c r="B172" t="s">
        <v>270</v>
      </c>
      <c r="C172" s="2">
        <v>17807.916687442568</v>
      </c>
      <c r="D172" t="s">
        <v>3</v>
      </c>
      <c r="E172" t="s">
        <v>0</v>
      </c>
      <c r="F172" t="s">
        <v>0</v>
      </c>
      <c r="G172" t="s">
        <v>1443</v>
      </c>
      <c r="H172" t="s">
        <v>1446</v>
      </c>
    </row>
    <row r="173" spans="2:8" ht="15" customHeight="1" x14ac:dyDescent="0.25">
      <c r="B173" t="s">
        <v>271</v>
      </c>
      <c r="C173" s="2">
        <v>3205.4250037396623</v>
      </c>
      <c r="D173" t="s">
        <v>31</v>
      </c>
      <c r="E173" t="s">
        <v>0</v>
      </c>
      <c r="F173" t="s">
        <v>0</v>
      </c>
      <c r="G173" t="s">
        <v>1440</v>
      </c>
      <c r="H173" t="s">
        <v>1445</v>
      </c>
    </row>
    <row r="174" spans="2:8" ht="15" customHeight="1" x14ac:dyDescent="0.25">
      <c r="B174" t="s">
        <v>272</v>
      </c>
      <c r="C174" s="2">
        <v>60000</v>
      </c>
      <c r="D174" t="s">
        <v>11</v>
      </c>
      <c r="E174" t="s">
        <v>13</v>
      </c>
      <c r="F174" t="s">
        <v>1451</v>
      </c>
      <c r="G174" t="s">
        <v>1441</v>
      </c>
      <c r="H174" t="s">
        <v>1447</v>
      </c>
    </row>
    <row r="175" spans="2:8" ht="15" customHeight="1" x14ac:dyDescent="0.25">
      <c r="B175" t="s">
        <v>273</v>
      </c>
      <c r="C175" s="2">
        <v>14246.333349954055</v>
      </c>
      <c r="D175" t="s">
        <v>11</v>
      </c>
      <c r="E175" t="s">
        <v>0</v>
      </c>
      <c r="F175" t="s">
        <v>0</v>
      </c>
      <c r="G175" t="s">
        <v>1443</v>
      </c>
      <c r="H175" t="s">
        <v>1446</v>
      </c>
    </row>
    <row r="176" spans="2:8" ht="15" customHeight="1" x14ac:dyDescent="0.25">
      <c r="B176" t="s">
        <v>274</v>
      </c>
      <c r="C176" s="2">
        <v>10684.750012465542</v>
      </c>
      <c r="D176" t="s">
        <v>11</v>
      </c>
      <c r="E176" t="s">
        <v>0</v>
      </c>
      <c r="F176" t="s">
        <v>0</v>
      </c>
      <c r="G176" t="s">
        <v>1443</v>
      </c>
      <c r="H176" t="s">
        <v>1447</v>
      </c>
    </row>
    <row r="177" spans="2:8" ht="15" customHeight="1" x14ac:dyDescent="0.25">
      <c r="B177" t="s">
        <v>275</v>
      </c>
      <c r="C177" s="2">
        <v>40000</v>
      </c>
      <c r="D177" t="s">
        <v>11</v>
      </c>
      <c r="E177" t="s">
        <v>0</v>
      </c>
      <c r="F177" t="s">
        <v>0</v>
      </c>
      <c r="G177" t="s">
        <v>1440</v>
      </c>
      <c r="H177" t="s">
        <v>1446</v>
      </c>
    </row>
    <row r="178" spans="2:8" ht="15" customHeight="1" x14ac:dyDescent="0.25">
      <c r="B178" t="s">
        <v>276</v>
      </c>
      <c r="C178" s="2">
        <v>5022</v>
      </c>
      <c r="D178" t="s">
        <v>3</v>
      </c>
      <c r="E178" t="s">
        <v>2</v>
      </c>
      <c r="F178" t="s">
        <v>2</v>
      </c>
      <c r="G178" t="s">
        <v>1441</v>
      </c>
      <c r="H178" t="s">
        <v>1446</v>
      </c>
    </row>
    <row r="179" spans="2:8" ht="15" customHeight="1" x14ac:dyDescent="0.25">
      <c r="B179" t="s">
        <v>277</v>
      </c>
      <c r="C179" s="2">
        <v>7301.2458418514525</v>
      </c>
      <c r="D179" t="s">
        <v>3</v>
      </c>
      <c r="E179" t="s">
        <v>0</v>
      </c>
      <c r="F179" t="s">
        <v>0</v>
      </c>
      <c r="G179" t="s">
        <v>1440</v>
      </c>
      <c r="H179" t="s">
        <v>1445</v>
      </c>
    </row>
    <row r="180" spans="2:8" ht="15" customHeight="1" x14ac:dyDescent="0.25">
      <c r="B180" t="s">
        <v>278</v>
      </c>
      <c r="C180" s="2">
        <v>19831.432821021317</v>
      </c>
      <c r="D180" t="s">
        <v>3</v>
      </c>
      <c r="E180" t="s">
        <v>52</v>
      </c>
      <c r="F180" t="s">
        <v>1451</v>
      </c>
      <c r="G180" t="s">
        <v>1440</v>
      </c>
      <c r="H180" t="s">
        <v>1445</v>
      </c>
    </row>
    <row r="181" spans="2:8" ht="15" customHeight="1" x14ac:dyDescent="0.25">
      <c r="B181" t="s">
        <v>279</v>
      </c>
      <c r="C181" s="2">
        <v>10684.750012465542</v>
      </c>
      <c r="D181" t="s">
        <v>11</v>
      </c>
      <c r="E181" t="s">
        <v>0</v>
      </c>
      <c r="F181" t="s">
        <v>0</v>
      </c>
      <c r="G181" t="s">
        <v>1441</v>
      </c>
      <c r="H181" t="s">
        <v>1445</v>
      </c>
    </row>
    <row r="182" spans="2:8" ht="15" customHeight="1" x14ac:dyDescent="0.25">
      <c r="B182" t="s">
        <v>280</v>
      </c>
      <c r="C182" s="2">
        <v>4800</v>
      </c>
      <c r="D182" t="s">
        <v>3</v>
      </c>
      <c r="E182" t="s">
        <v>53</v>
      </c>
      <c r="F182" t="s">
        <v>1454</v>
      </c>
      <c r="G182" t="s">
        <v>1441</v>
      </c>
      <c r="H182" t="s">
        <v>1445</v>
      </c>
    </row>
    <row r="183" spans="2:8" ht="15" customHeight="1" x14ac:dyDescent="0.25">
      <c r="B183" t="s">
        <v>281</v>
      </c>
      <c r="C183" s="2">
        <v>83846.362973446114</v>
      </c>
      <c r="D183" t="s">
        <v>3</v>
      </c>
      <c r="E183" t="s">
        <v>4</v>
      </c>
      <c r="F183" t="s">
        <v>1453</v>
      </c>
      <c r="G183" t="s">
        <v>1441</v>
      </c>
      <c r="H183" t="s">
        <v>1447</v>
      </c>
    </row>
    <row r="184" spans="2:8" ht="15" customHeight="1" x14ac:dyDescent="0.25">
      <c r="B184" t="s">
        <v>282</v>
      </c>
      <c r="C184" s="2">
        <v>15000</v>
      </c>
      <c r="D184" t="s">
        <v>38</v>
      </c>
      <c r="E184" t="s">
        <v>0</v>
      </c>
      <c r="F184" t="s">
        <v>0</v>
      </c>
      <c r="G184" t="s">
        <v>1443</v>
      </c>
      <c r="H184" t="s">
        <v>1445</v>
      </c>
    </row>
    <row r="185" spans="2:8" ht="15" customHeight="1" x14ac:dyDescent="0.25">
      <c r="B185" t="s">
        <v>283</v>
      </c>
      <c r="C185" s="2">
        <v>10000</v>
      </c>
      <c r="D185" t="s">
        <v>3</v>
      </c>
      <c r="E185" t="s">
        <v>0</v>
      </c>
      <c r="F185" t="s">
        <v>0</v>
      </c>
      <c r="G185" t="s">
        <v>1441</v>
      </c>
      <c r="H185" t="s">
        <v>1446</v>
      </c>
    </row>
    <row r="186" spans="2:8" ht="15" customHeight="1" x14ac:dyDescent="0.25">
      <c r="B186" t="s">
        <v>284</v>
      </c>
      <c r="C186" s="2">
        <v>116637.19213297902</v>
      </c>
      <c r="D186" t="s">
        <v>11</v>
      </c>
      <c r="E186" t="s">
        <v>15</v>
      </c>
      <c r="F186" t="s">
        <v>15</v>
      </c>
      <c r="G186" t="s">
        <v>1441</v>
      </c>
      <c r="H186" t="s">
        <v>1445</v>
      </c>
    </row>
    <row r="187" spans="2:8" ht="15" customHeight="1" x14ac:dyDescent="0.25">
      <c r="B187" t="s">
        <v>285</v>
      </c>
      <c r="C187" s="2">
        <v>34357.533974522659</v>
      </c>
      <c r="D187" t="s">
        <v>3</v>
      </c>
      <c r="E187" t="s">
        <v>15</v>
      </c>
      <c r="F187" t="s">
        <v>15</v>
      </c>
      <c r="G187" t="s">
        <v>1440</v>
      </c>
      <c r="H187" t="s">
        <v>1445</v>
      </c>
    </row>
    <row r="188" spans="2:8" ht="15" customHeight="1" x14ac:dyDescent="0.25">
      <c r="B188" t="s">
        <v>286</v>
      </c>
      <c r="C188" s="2">
        <v>102451.58768437347</v>
      </c>
      <c r="D188" t="s">
        <v>11</v>
      </c>
      <c r="E188" t="s">
        <v>15</v>
      </c>
      <c r="F188" t="s">
        <v>15</v>
      </c>
      <c r="G188" t="s">
        <v>1441</v>
      </c>
      <c r="H188" t="s">
        <v>1446</v>
      </c>
    </row>
    <row r="189" spans="2:8" ht="15" customHeight="1" x14ac:dyDescent="0.25">
      <c r="B189" t="s">
        <v>287</v>
      </c>
      <c r="C189" s="2">
        <v>16000</v>
      </c>
      <c r="D189" t="s">
        <v>29</v>
      </c>
      <c r="E189" t="s">
        <v>0</v>
      </c>
      <c r="F189" t="s">
        <v>0</v>
      </c>
      <c r="G189" t="s">
        <v>1443</v>
      </c>
      <c r="H189" t="s">
        <v>1445</v>
      </c>
    </row>
    <row r="190" spans="2:8" ht="15" customHeight="1" x14ac:dyDescent="0.25">
      <c r="B190" t="s">
        <v>288</v>
      </c>
      <c r="C190" s="2">
        <v>6000</v>
      </c>
      <c r="D190" t="s">
        <v>11</v>
      </c>
      <c r="E190" t="s">
        <v>0</v>
      </c>
      <c r="F190" t="s">
        <v>0</v>
      </c>
      <c r="G190" t="s">
        <v>1443</v>
      </c>
      <c r="H190" t="s">
        <v>1447</v>
      </c>
    </row>
    <row r="191" spans="2:8" ht="15" customHeight="1" x14ac:dyDescent="0.25">
      <c r="B191" t="s">
        <v>289</v>
      </c>
      <c r="C191" s="2">
        <v>6410.8500074793246</v>
      </c>
      <c r="D191" t="s">
        <v>11</v>
      </c>
      <c r="E191" t="s">
        <v>0</v>
      </c>
      <c r="F191" t="s">
        <v>0</v>
      </c>
      <c r="G191" t="s">
        <v>1440</v>
      </c>
      <c r="H191" t="s">
        <v>1447</v>
      </c>
    </row>
    <row r="192" spans="2:8" ht="15" customHeight="1" x14ac:dyDescent="0.25">
      <c r="B192" t="s">
        <v>290</v>
      </c>
      <c r="C192" s="2">
        <v>36000</v>
      </c>
      <c r="D192" t="s">
        <v>29</v>
      </c>
      <c r="E192" t="s">
        <v>26</v>
      </c>
      <c r="F192" t="s">
        <v>1451</v>
      </c>
      <c r="G192" t="s">
        <v>1442</v>
      </c>
      <c r="H192" t="s">
        <v>1447</v>
      </c>
    </row>
    <row r="193" spans="2:8" ht="15" customHeight="1" x14ac:dyDescent="0.25">
      <c r="B193" t="s">
        <v>291</v>
      </c>
      <c r="C193" s="2">
        <v>20000</v>
      </c>
      <c r="D193" t="s">
        <v>29</v>
      </c>
      <c r="E193" t="s">
        <v>0</v>
      </c>
      <c r="F193" t="s">
        <v>0</v>
      </c>
      <c r="G193" t="s">
        <v>1442</v>
      </c>
      <c r="H193" t="s">
        <v>1447</v>
      </c>
    </row>
    <row r="194" spans="2:8" ht="15" customHeight="1" x14ac:dyDescent="0.25">
      <c r="B194" t="s">
        <v>292</v>
      </c>
      <c r="C194" s="2">
        <v>4273.9000049862161</v>
      </c>
      <c r="D194" t="s">
        <v>31</v>
      </c>
      <c r="E194" t="s">
        <v>0</v>
      </c>
      <c r="F194" t="s">
        <v>0</v>
      </c>
      <c r="G194" t="s">
        <v>1441</v>
      </c>
      <c r="H194" t="s">
        <v>1447</v>
      </c>
    </row>
    <row r="195" spans="2:8" ht="15" customHeight="1" x14ac:dyDescent="0.25">
      <c r="B195" t="s">
        <v>293</v>
      </c>
      <c r="C195" s="2">
        <v>37828.278529614821</v>
      </c>
      <c r="D195" t="s">
        <v>14</v>
      </c>
      <c r="E195" t="s">
        <v>15</v>
      </c>
      <c r="F195" t="s">
        <v>15</v>
      </c>
      <c r="G195" t="s">
        <v>1440</v>
      </c>
      <c r="H195" t="s">
        <v>1447</v>
      </c>
    </row>
    <row r="196" spans="2:8" ht="15" customHeight="1" x14ac:dyDescent="0.25">
      <c r="B196" t="s">
        <v>294</v>
      </c>
      <c r="C196" s="2">
        <v>11000</v>
      </c>
      <c r="D196" t="s">
        <v>11</v>
      </c>
      <c r="E196" t="s">
        <v>48</v>
      </c>
      <c r="F196" t="s">
        <v>1454</v>
      </c>
      <c r="G196" t="s">
        <v>1440</v>
      </c>
      <c r="H196" t="s">
        <v>1445</v>
      </c>
    </row>
    <row r="197" spans="2:8" ht="15" customHeight="1" x14ac:dyDescent="0.25">
      <c r="B197" t="s">
        <v>295</v>
      </c>
      <c r="C197" s="2">
        <v>8000</v>
      </c>
      <c r="D197" t="s">
        <v>3</v>
      </c>
      <c r="E197" t="s">
        <v>0</v>
      </c>
      <c r="F197" t="s">
        <v>0</v>
      </c>
      <c r="G197" t="s">
        <v>1443</v>
      </c>
      <c r="H197" t="s">
        <v>1447</v>
      </c>
    </row>
    <row r="198" spans="2:8" ht="15" customHeight="1" x14ac:dyDescent="0.25">
      <c r="B198" t="s">
        <v>296</v>
      </c>
      <c r="C198" s="2">
        <v>4006.7812546745777</v>
      </c>
      <c r="D198" t="s">
        <v>1437</v>
      </c>
      <c r="E198" t="s">
        <v>0</v>
      </c>
      <c r="F198" t="s">
        <v>0</v>
      </c>
      <c r="G198" t="s">
        <v>1440</v>
      </c>
      <c r="H198" t="s">
        <v>1447</v>
      </c>
    </row>
    <row r="199" spans="2:8" ht="15" customHeight="1" x14ac:dyDescent="0.25">
      <c r="B199" t="s">
        <v>297</v>
      </c>
      <c r="C199" s="2">
        <v>9171.0323574730355</v>
      </c>
      <c r="D199" t="s">
        <v>11</v>
      </c>
      <c r="E199" t="s">
        <v>54</v>
      </c>
      <c r="F199" t="s">
        <v>1451</v>
      </c>
      <c r="G199" t="s">
        <v>1443</v>
      </c>
      <c r="H199" t="s">
        <v>1445</v>
      </c>
    </row>
    <row r="200" spans="2:8" ht="15" customHeight="1" x14ac:dyDescent="0.25">
      <c r="B200" t="s">
        <v>298</v>
      </c>
      <c r="C200" s="2">
        <v>4273.9000049862161</v>
      </c>
      <c r="D200" t="s">
        <v>3</v>
      </c>
      <c r="E200" t="s">
        <v>0</v>
      </c>
      <c r="F200" t="s">
        <v>0</v>
      </c>
      <c r="G200" t="s">
        <v>1443</v>
      </c>
      <c r="H200" t="s">
        <v>1446</v>
      </c>
    </row>
    <row r="201" spans="2:8" ht="15" customHeight="1" x14ac:dyDescent="0.25">
      <c r="B201" t="s">
        <v>299</v>
      </c>
      <c r="C201" s="2">
        <v>12465.541681209797</v>
      </c>
      <c r="D201" t="s">
        <v>3</v>
      </c>
      <c r="E201" t="s">
        <v>0</v>
      </c>
      <c r="F201" t="s">
        <v>0</v>
      </c>
      <c r="G201" t="s">
        <v>1440</v>
      </c>
      <c r="H201" t="s">
        <v>1445</v>
      </c>
    </row>
    <row r="202" spans="2:8" ht="15" customHeight="1" x14ac:dyDescent="0.25">
      <c r="B202" t="s">
        <v>300</v>
      </c>
      <c r="C202" s="2">
        <v>24000</v>
      </c>
      <c r="D202" t="s">
        <v>3</v>
      </c>
      <c r="E202" t="s">
        <v>0</v>
      </c>
      <c r="F202" t="s">
        <v>0</v>
      </c>
      <c r="G202" t="s">
        <v>1443</v>
      </c>
      <c r="H202" t="s">
        <v>1445</v>
      </c>
    </row>
    <row r="203" spans="2:8" ht="15" customHeight="1" x14ac:dyDescent="0.25">
      <c r="B203" t="s">
        <v>301</v>
      </c>
      <c r="C203" s="2">
        <v>20000</v>
      </c>
      <c r="D203" t="s">
        <v>33</v>
      </c>
      <c r="E203" t="s">
        <v>55</v>
      </c>
      <c r="F203" t="s">
        <v>1453</v>
      </c>
      <c r="G203" t="s">
        <v>1443</v>
      </c>
      <c r="H203" t="s">
        <v>1446</v>
      </c>
    </row>
    <row r="204" spans="2:8" ht="15" customHeight="1" x14ac:dyDescent="0.25">
      <c r="B204" t="s">
        <v>302</v>
      </c>
      <c r="C204" s="2">
        <v>62000</v>
      </c>
      <c r="D204" t="s">
        <v>3</v>
      </c>
      <c r="E204" t="s">
        <v>1</v>
      </c>
      <c r="F204" t="s">
        <v>1</v>
      </c>
      <c r="G204" t="s">
        <v>1443</v>
      </c>
      <c r="H204" t="s">
        <v>1446</v>
      </c>
    </row>
    <row r="205" spans="2:8" ht="15" customHeight="1" x14ac:dyDescent="0.25">
      <c r="B205" t="s">
        <v>303</v>
      </c>
      <c r="C205" s="2">
        <v>14960</v>
      </c>
      <c r="D205" t="s">
        <v>38</v>
      </c>
      <c r="E205" t="s">
        <v>21</v>
      </c>
      <c r="F205" t="s">
        <v>1451</v>
      </c>
      <c r="G205" t="s">
        <v>1440</v>
      </c>
      <c r="H205" t="s">
        <v>1445</v>
      </c>
    </row>
    <row r="206" spans="2:8" ht="15" customHeight="1" x14ac:dyDescent="0.25">
      <c r="B206" t="s">
        <v>304</v>
      </c>
      <c r="C206" s="2">
        <v>2136.9500024931081</v>
      </c>
      <c r="D206" t="s">
        <v>31</v>
      </c>
      <c r="E206" t="s">
        <v>0</v>
      </c>
      <c r="F206" t="s">
        <v>0</v>
      </c>
      <c r="G206" t="s">
        <v>1443</v>
      </c>
      <c r="H206" t="s">
        <v>1445</v>
      </c>
    </row>
    <row r="207" spans="2:8" ht="15" customHeight="1" x14ac:dyDescent="0.25">
      <c r="B207" t="s">
        <v>305</v>
      </c>
      <c r="C207" s="2">
        <v>30232</v>
      </c>
      <c r="D207" t="s">
        <v>31</v>
      </c>
      <c r="E207" t="s">
        <v>1</v>
      </c>
      <c r="F207" t="s">
        <v>1</v>
      </c>
      <c r="G207" t="s">
        <v>1443</v>
      </c>
      <c r="H207" t="s">
        <v>1445</v>
      </c>
    </row>
    <row r="208" spans="2:8" ht="15" customHeight="1" x14ac:dyDescent="0.25">
      <c r="B208" t="s">
        <v>306</v>
      </c>
      <c r="C208" s="2">
        <v>41000</v>
      </c>
      <c r="D208" t="s">
        <v>3</v>
      </c>
      <c r="E208" t="s">
        <v>1</v>
      </c>
      <c r="F208" t="s">
        <v>1</v>
      </c>
      <c r="G208" t="s">
        <v>1440</v>
      </c>
      <c r="H208" t="s">
        <v>1445</v>
      </c>
    </row>
    <row r="209" spans="2:8" ht="15" customHeight="1" x14ac:dyDescent="0.25">
      <c r="B209" t="s">
        <v>307</v>
      </c>
      <c r="C209" s="2">
        <v>96891.417358250401</v>
      </c>
      <c r="D209" t="s">
        <v>3</v>
      </c>
      <c r="E209" t="s">
        <v>18</v>
      </c>
      <c r="F209" t="s">
        <v>18</v>
      </c>
      <c r="G209" t="s">
        <v>1443</v>
      </c>
      <c r="H209" t="s">
        <v>1446</v>
      </c>
    </row>
    <row r="210" spans="2:8" ht="15" customHeight="1" x14ac:dyDescent="0.25">
      <c r="B210" t="s">
        <v>308</v>
      </c>
      <c r="C210" s="2">
        <v>21369.500024931083</v>
      </c>
      <c r="D210" t="s">
        <v>11</v>
      </c>
      <c r="E210" t="s">
        <v>0</v>
      </c>
      <c r="F210" t="s">
        <v>0</v>
      </c>
      <c r="G210" t="s">
        <v>1440</v>
      </c>
      <c r="H210" t="s">
        <v>1446</v>
      </c>
    </row>
    <row r="211" spans="2:8" ht="15" customHeight="1" x14ac:dyDescent="0.25">
      <c r="B211" t="s">
        <v>309</v>
      </c>
      <c r="C211" s="2">
        <v>3650.6229209257262</v>
      </c>
      <c r="D211" t="s">
        <v>31</v>
      </c>
      <c r="E211" t="s">
        <v>0</v>
      </c>
      <c r="F211" t="s">
        <v>0</v>
      </c>
      <c r="G211" t="s">
        <v>1440</v>
      </c>
      <c r="H211" t="s">
        <v>1447</v>
      </c>
    </row>
    <row r="212" spans="2:8" ht="15" customHeight="1" x14ac:dyDescent="0.25">
      <c r="B212" t="s">
        <v>310</v>
      </c>
      <c r="C212" s="2">
        <v>19068</v>
      </c>
      <c r="D212" t="s">
        <v>31</v>
      </c>
      <c r="E212" t="s">
        <v>32</v>
      </c>
      <c r="F212" t="s">
        <v>1454</v>
      </c>
      <c r="G212" t="s">
        <v>1440</v>
      </c>
      <c r="H212" t="s">
        <v>1446</v>
      </c>
    </row>
    <row r="213" spans="2:8" ht="15" customHeight="1" x14ac:dyDescent="0.25">
      <c r="B213" t="s">
        <v>311</v>
      </c>
      <c r="C213" s="2">
        <v>5342.3750062327708</v>
      </c>
      <c r="D213" t="s">
        <v>38</v>
      </c>
      <c r="E213" t="s">
        <v>0</v>
      </c>
      <c r="F213" t="s">
        <v>0</v>
      </c>
      <c r="G213" t="s">
        <v>1440</v>
      </c>
      <c r="H213" t="s">
        <v>1445</v>
      </c>
    </row>
    <row r="214" spans="2:8" ht="15" customHeight="1" x14ac:dyDescent="0.25">
      <c r="B214" t="s">
        <v>312</v>
      </c>
      <c r="C214" s="2">
        <v>48000</v>
      </c>
      <c r="D214" t="s">
        <v>33</v>
      </c>
      <c r="E214" t="s">
        <v>25</v>
      </c>
      <c r="F214" t="s">
        <v>1454</v>
      </c>
      <c r="G214" t="s">
        <v>1440</v>
      </c>
      <c r="H214" t="s">
        <v>1445</v>
      </c>
    </row>
    <row r="215" spans="2:8" ht="15" customHeight="1" x14ac:dyDescent="0.25">
      <c r="B215" t="s">
        <v>313</v>
      </c>
      <c r="C215" s="2">
        <v>3917.7416712373652</v>
      </c>
      <c r="D215" t="s">
        <v>29</v>
      </c>
      <c r="E215" t="s">
        <v>0</v>
      </c>
      <c r="F215" t="s">
        <v>0</v>
      </c>
      <c r="G215" t="s">
        <v>1441</v>
      </c>
      <c r="H215" t="s">
        <v>1445</v>
      </c>
    </row>
    <row r="216" spans="2:8" ht="15" customHeight="1" x14ac:dyDescent="0.25">
      <c r="B216" t="s">
        <v>314</v>
      </c>
      <c r="C216" s="2">
        <v>13500</v>
      </c>
      <c r="D216" t="s">
        <v>1437</v>
      </c>
      <c r="E216" t="s">
        <v>0</v>
      </c>
      <c r="F216" t="s">
        <v>0</v>
      </c>
      <c r="G216" t="s">
        <v>1440</v>
      </c>
      <c r="H216" t="s">
        <v>1445</v>
      </c>
    </row>
    <row r="217" spans="2:8" ht="15" customHeight="1" x14ac:dyDescent="0.25">
      <c r="B217" t="s">
        <v>315</v>
      </c>
      <c r="C217" s="2">
        <v>45000</v>
      </c>
      <c r="D217" t="s">
        <v>11</v>
      </c>
      <c r="E217" t="s">
        <v>0</v>
      </c>
      <c r="F217" t="s">
        <v>0</v>
      </c>
      <c r="G217" t="s">
        <v>1442</v>
      </c>
      <c r="H217" t="s">
        <v>1446</v>
      </c>
    </row>
    <row r="218" spans="2:8" ht="15" customHeight="1" x14ac:dyDescent="0.25">
      <c r="B218" t="s">
        <v>316</v>
      </c>
      <c r="C218" s="2">
        <v>69871.969144538423</v>
      </c>
      <c r="D218" t="s">
        <v>1439</v>
      </c>
      <c r="E218" t="s">
        <v>56</v>
      </c>
      <c r="F218" t="s">
        <v>1453</v>
      </c>
      <c r="G218" t="s">
        <v>1443</v>
      </c>
      <c r="H218" t="s">
        <v>1446</v>
      </c>
    </row>
    <row r="219" spans="2:8" ht="15" customHeight="1" x14ac:dyDescent="0.25">
      <c r="B219" t="s">
        <v>317</v>
      </c>
      <c r="C219" s="2">
        <v>8547.8000099724322</v>
      </c>
      <c r="D219" t="s">
        <v>11</v>
      </c>
      <c r="E219" t="s">
        <v>0</v>
      </c>
      <c r="F219" t="s">
        <v>0</v>
      </c>
      <c r="G219" t="s">
        <v>1441</v>
      </c>
      <c r="H219" t="s">
        <v>1446</v>
      </c>
    </row>
    <row r="220" spans="2:8" ht="15" customHeight="1" x14ac:dyDescent="0.25">
      <c r="B220" t="s">
        <v>318</v>
      </c>
      <c r="C220" s="2">
        <v>9146.5655463031271</v>
      </c>
      <c r="D220" t="s">
        <v>31</v>
      </c>
      <c r="E220" t="s">
        <v>34</v>
      </c>
      <c r="F220" t="s">
        <v>1451</v>
      </c>
      <c r="G220" t="s">
        <v>1442</v>
      </c>
      <c r="H220" t="s">
        <v>1447</v>
      </c>
    </row>
    <row r="221" spans="2:8" ht="15" customHeight="1" x14ac:dyDescent="0.25">
      <c r="B221" t="s">
        <v>319</v>
      </c>
      <c r="C221" s="2">
        <v>10150.512511842264</v>
      </c>
      <c r="D221" t="s">
        <v>3</v>
      </c>
      <c r="E221" t="s">
        <v>0</v>
      </c>
      <c r="F221" t="s">
        <v>0</v>
      </c>
      <c r="G221" t="s">
        <v>1440</v>
      </c>
      <c r="H221" t="s">
        <v>1445</v>
      </c>
    </row>
    <row r="222" spans="2:8" ht="15" customHeight="1" x14ac:dyDescent="0.25">
      <c r="B222" t="s">
        <v>320</v>
      </c>
      <c r="C222" s="2">
        <v>11325.835013213473</v>
      </c>
      <c r="D222" t="s">
        <v>11</v>
      </c>
      <c r="E222" t="s">
        <v>0</v>
      </c>
      <c r="F222" t="s">
        <v>0</v>
      </c>
      <c r="G222" t="s">
        <v>1441</v>
      </c>
      <c r="H222" t="s">
        <v>1447</v>
      </c>
    </row>
    <row r="223" spans="2:8" ht="15" customHeight="1" x14ac:dyDescent="0.25">
      <c r="B223" t="s">
        <v>321</v>
      </c>
      <c r="C223" s="2">
        <v>1910.5359690238436</v>
      </c>
      <c r="D223" t="s">
        <v>1437</v>
      </c>
      <c r="E223" t="s">
        <v>2</v>
      </c>
      <c r="F223" t="s">
        <v>2</v>
      </c>
      <c r="G223" t="s">
        <v>1440</v>
      </c>
      <c r="H223" t="s">
        <v>1447</v>
      </c>
    </row>
    <row r="224" spans="2:8" ht="15" customHeight="1" x14ac:dyDescent="0.25">
      <c r="B224" t="s">
        <v>322</v>
      </c>
      <c r="C224" s="2">
        <v>36000</v>
      </c>
      <c r="D224" t="s">
        <v>11</v>
      </c>
      <c r="E224" t="s">
        <v>18</v>
      </c>
      <c r="F224" t="s">
        <v>18</v>
      </c>
      <c r="G224" t="s">
        <v>1443</v>
      </c>
      <c r="H224" t="s">
        <v>1446</v>
      </c>
    </row>
    <row r="225" spans="2:8" ht="15" customHeight="1" x14ac:dyDescent="0.25">
      <c r="B225" t="s">
        <v>323</v>
      </c>
      <c r="C225" s="2">
        <v>40067.812546745779</v>
      </c>
      <c r="D225" t="s">
        <v>31</v>
      </c>
      <c r="E225" t="s">
        <v>0</v>
      </c>
      <c r="F225" t="s">
        <v>0</v>
      </c>
      <c r="G225" t="s">
        <v>1442</v>
      </c>
      <c r="H225" t="s">
        <v>1445</v>
      </c>
    </row>
    <row r="226" spans="2:8" ht="15" customHeight="1" x14ac:dyDescent="0.25">
      <c r="B226" t="s">
        <v>324</v>
      </c>
      <c r="C226" s="2">
        <v>16000</v>
      </c>
      <c r="D226" t="s">
        <v>1437</v>
      </c>
      <c r="E226" t="s">
        <v>0</v>
      </c>
      <c r="F226" t="s">
        <v>0</v>
      </c>
      <c r="G226" t="s">
        <v>1440</v>
      </c>
      <c r="H226" t="s">
        <v>1445</v>
      </c>
    </row>
    <row r="227" spans="2:8" ht="15" customHeight="1" x14ac:dyDescent="0.25">
      <c r="B227" t="s">
        <v>325</v>
      </c>
      <c r="C227" s="2">
        <v>4273.9000049862161</v>
      </c>
      <c r="D227" t="s">
        <v>3</v>
      </c>
      <c r="E227" t="s">
        <v>0</v>
      </c>
      <c r="F227" t="s">
        <v>0</v>
      </c>
      <c r="G227" t="s">
        <v>1440</v>
      </c>
      <c r="H227" t="s">
        <v>1445</v>
      </c>
    </row>
    <row r="228" spans="2:8" ht="15" customHeight="1" x14ac:dyDescent="0.25">
      <c r="B228" t="s">
        <v>326</v>
      </c>
      <c r="C228" s="2">
        <v>7123.1666749770275</v>
      </c>
      <c r="D228" t="s">
        <v>11</v>
      </c>
      <c r="E228" t="s">
        <v>0</v>
      </c>
      <c r="F228" t="s">
        <v>0</v>
      </c>
      <c r="G228" t="s">
        <v>1441</v>
      </c>
      <c r="H228" t="s">
        <v>1447</v>
      </c>
    </row>
    <row r="229" spans="2:8" ht="15" customHeight="1" x14ac:dyDescent="0.25">
      <c r="B229" t="s">
        <v>327</v>
      </c>
      <c r="C229" s="2">
        <v>10000</v>
      </c>
      <c r="D229" t="s">
        <v>11</v>
      </c>
      <c r="E229" t="s">
        <v>0</v>
      </c>
      <c r="F229" t="s">
        <v>0</v>
      </c>
      <c r="G229" t="s">
        <v>1442</v>
      </c>
      <c r="H229" t="s">
        <v>1446</v>
      </c>
    </row>
    <row r="230" spans="2:8" ht="15" customHeight="1" x14ac:dyDescent="0.25">
      <c r="B230" t="s">
        <v>328</v>
      </c>
      <c r="C230" s="2">
        <v>64901.860520001574</v>
      </c>
      <c r="D230" t="s">
        <v>3</v>
      </c>
      <c r="E230" t="s">
        <v>19</v>
      </c>
      <c r="F230" t="s">
        <v>19</v>
      </c>
      <c r="G230" t="s">
        <v>1443</v>
      </c>
      <c r="H230" t="s">
        <v>1446</v>
      </c>
    </row>
    <row r="231" spans="2:8" ht="15" customHeight="1" x14ac:dyDescent="0.25">
      <c r="B231" t="s">
        <v>329</v>
      </c>
      <c r="C231" s="2">
        <v>65000</v>
      </c>
      <c r="D231" t="s">
        <v>3</v>
      </c>
      <c r="E231" t="s">
        <v>1</v>
      </c>
      <c r="F231" t="s">
        <v>1</v>
      </c>
      <c r="G231" t="s">
        <v>1443</v>
      </c>
      <c r="H231" t="s">
        <v>1447</v>
      </c>
    </row>
    <row r="232" spans="2:8" ht="15" customHeight="1" x14ac:dyDescent="0.25">
      <c r="B232" t="s">
        <v>330</v>
      </c>
      <c r="C232" s="2">
        <v>8013.5625093491553</v>
      </c>
      <c r="D232" t="s">
        <v>11</v>
      </c>
      <c r="E232" t="s">
        <v>0</v>
      </c>
      <c r="F232" t="s">
        <v>0</v>
      </c>
      <c r="G232" t="s">
        <v>1440</v>
      </c>
      <c r="H232" t="s">
        <v>1445</v>
      </c>
    </row>
    <row r="233" spans="2:8" ht="15" customHeight="1" x14ac:dyDescent="0.25">
      <c r="B233" t="s">
        <v>331</v>
      </c>
      <c r="C233" s="2">
        <v>98336.152303032693</v>
      </c>
      <c r="D233" t="s">
        <v>1439</v>
      </c>
      <c r="E233" t="s">
        <v>19</v>
      </c>
      <c r="F233" t="s">
        <v>19</v>
      </c>
      <c r="G233" t="s">
        <v>1441</v>
      </c>
      <c r="H233" t="s">
        <v>1445</v>
      </c>
    </row>
    <row r="234" spans="2:8" ht="15" customHeight="1" x14ac:dyDescent="0.25">
      <c r="B234" t="s">
        <v>332</v>
      </c>
      <c r="C234" s="2">
        <v>2671.1875031163854</v>
      </c>
      <c r="D234" t="s">
        <v>3</v>
      </c>
      <c r="E234" t="s">
        <v>0</v>
      </c>
      <c r="F234" t="s">
        <v>0</v>
      </c>
      <c r="G234" t="s">
        <v>1441</v>
      </c>
      <c r="H234" t="s">
        <v>1445</v>
      </c>
    </row>
    <row r="235" spans="2:8" ht="15" customHeight="1" x14ac:dyDescent="0.25">
      <c r="B235" t="s">
        <v>333</v>
      </c>
      <c r="C235" s="2">
        <v>96000</v>
      </c>
      <c r="D235" t="s">
        <v>1437</v>
      </c>
      <c r="E235" t="s">
        <v>0</v>
      </c>
      <c r="F235" t="s">
        <v>0</v>
      </c>
      <c r="G235" t="s">
        <v>1440</v>
      </c>
      <c r="H235" t="s">
        <v>1447</v>
      </c>
    </row>
    <row r="236" spans="2:8" ht="15" customHeight="1" x14ac:dyDescent="0.25">
      <c r="B236" t="s">
        <v>334</v>
      </c>
      <c r="C236" s="2">
        <v>20514.720023933838</v>
      </c>
      <c r="D236" t="s">
        <v>31</v>
      </c>
      <c r="E236" t="s">
        <v>0</v>
      </c>
      <c r="F236" t="s">
        <v>0</v>
      </c>
      <c r="G236" t="s">
        <v>1441</v>
      </c>
      <c r="H236" t="s">
        <v>1447</v>
      </c>
    </row>
    <row r="237" spans="2:8" ht="15" customHeight="1" x14ac:dyDescent="0.25">
      <c r="B237" t="s">
        <v>335</v>
      </c>
      <c r="C237" s="2">
        <v>19055.991584874118</v>
      </c>
      <c r="D237" t="s">
        <v>3</v>
      </c>
      <c r="E237" t="s">
        <v>42</v>
      </c>
      <c r="F237" t="s">
        <v>1453</v>
      </c>
      <c r="G237" t="s">
        <v>1443</v>
      </c>
      <c r="H237" t="s">
        <v>1447</v>
      </c>
    </row>
    <row r="238" spans="2:8" ht="15" customHeight="1" x14ac:dyDescent="0.25">
      <c r="B238" t="s">
        <v>336</v>
      </c>
      <c r="C238" s="2">
        <v>66294.12766617132</v>
      </c>
      <c r="D238" t="s">
        <v>3</v>
      </c>
      <c r="E238" t="s">
        <v>18</v>
      </c>
      <c r="F238" t="s">
        <v>18</v>
      </c>
      <c r="G238" t="s">
        <v>1440</v>
      </c>
      <c r="H238" t="s">
        <v>1447</v>
      </c>
    </row>
    <row r="239" spans="2:8" ht="15" customHeight="1" x14ac:dyDescent="0.25">
      <c r="B239" t="s">
        <v>337</v>
      </c>
      <c r="C239" s="2">
        <v>6713.584591165848</v>
      </c>
      <c r="D239" t="s">
        <v>3</v>
      </c>
      <c r="E239" t="s">
        <v>0</v>
      </c>
      <c r="F239" t="s">
        <v>0</v>
      </c>
      <c r="G239" t="s">
        <v>1442</v>
      </c>
      <c r="H239" t="s">
        <v>1447</v>
      </c>
    </row>
    <row r="240" spans="2:8" ht="15" customHeight="1" x14ac:dyDescent="0.25">
      <c r="B240" t="s">
        <v>338</v>
      </c>
      <c r="C240" s="2">
        <v>45709.169889951241</v>
      </c>
      <c r="D240" t="s">
        <v>1437</v>
      </c>
      <c r="E240" t="s">
        <v>15</v>
      </c>
      <c r="F240" t="s">
        <v>15</v>
      </c>
      <c r="G240" t="s">
        <v>1443</v>
      </c>
      <c r="H240" t="s">
        <v>1446</v>
      </c>
    </row>
    <row r="241" spans="2:8" ht="15" customHeight="1" x14ac:dyDescent="0.25">
      <c r="B241" t="s">
        <v>339</v>
      </c>
      <c r="C241" s="2">
        <v>48500</v>
      </c>
      <c r="D241" t="s">
        <v>11</v>
      </c>
      <c r="E241" t="s">
        <v>1</v>
      </c>
      <c r="F241" t="s">
        <v>1</v>
      </c>
      <c r="G241" t="s">
        <v>1443</v>
      </c>
      <c r="H241" t="s">
        <v>1447</v>
      </c>
    </row>
    <row r="242" spans="2:8" ht="15" customHeight="1" x14ac:dyDescent="0.25">
      <c r="B242" t="s">
        <v>340</v>
      </c>
      <c r="C242" s="2">
        <v>10684.750012465542</v>
      </c>
      <c r="D242" t="s">
        <v>3</v>
      </c>
      <c r="E242" t="s">
        <v>0</v>
      </c>
      <c r="F242" t="s">
        <v>0</v>
      </c>
      <c r="G242" t="s">
        <v>1440</v>
      </c>
      <c r="H242" t="s">
        <v>1445</v>
      </c>
    </row>
    <row r="243" spans="2:8" ht="15" customHeight="1" x14ac:dyDescent="0.25">
      <c r="B243" t="s">
        <v>341</v>
      </c>
      <c r="C243" s="2">
        <v>33900</v>
      </c>
      <c r="D243" t="s">
        <v>3</v>
      </c>
      <c r="E243" t="s">
        <v>1</v>
      </c>
      <c r="F243" t="s">
        <v>1</v>
      </c>
      <c r="G243" t="s">
        <v>1443</v>
      </c>
      <c r="H243" t="s">
        <v>1447</v>
      </c>
    </row>
    <row r="244" spans="2:8" ht="15" customHeight="1" x14ac:dyDescent="0.25">
      <c r="B244" t="s">
        <v>342</v>
      </c>
      <c r="C244" s="2">
        <v>109729.60187662003</v>
      </c>
      <c r="D244" t="s">
        <v>3</v>
      </c>
      <c r="E244" t="s">
        <v>10</v>
      </c>
      <c r="F244" t="s">
        <v>1451</v>
      </c>
      <c r="G244" t="s">
        <v>1440</v>
      </c>
      <c r="H244" t="s">
        <v>1449</v>
      </c>
    </row>
    <row r="245" spans="2:8" ht="15" customHeight="1" x14ac:dyDescent="0.25">
      <c r="B245" t="s">
        <v>343</v>
      </c>
      <c r="C245" s="2">
        <v>15136.729184326183</v>
      </c>
      <c r="D245" t="s">
        <v>3</v>
      </c>
      <c r="E245" t="s">
        <v>0</v>
      </c>
      <c r="F245" t="s">
        <v>0</v>
      </c>
      <c r="G245" t="s">
        <v>1441</v>
      </c>
      <c r="H245" t="s">
        <v>1445</v>
      </c>
    </row>
    <row r="246" spans="2:8" ht="15" customHeight="1" x14ac:dyDescent="0.25">
      <c r="B246" t="s">
        <v>344</v>
      </c>
      <c r="C246" s="2">
        <v>85000</v>
      </c>
      <c r="D246" t="s">
        <v>1439</v>
      </c>
      <c r="E246" t="s">
        <v>1</v>
      </c>
      <c r="F246" t="s">
        <v>1</v>
      </c>
      <c r="G246" t="s">
        <v>1441</v>
      </c>
      <c r="H246" t="s">
        <v>1446</v>
      </c>
    </row>
    <row r="247" spans="2:8" ht="15" customHeight="1" x14ac:dyDescent="0.25">
      <c r="B247" t="s">
        <v>345</v>
      </c>
      <c r="C247" s="2">
        <v>8013.5625093491553</v>
      </c>
      <c r="D247" t="s">
        <v>11</v>
      </c>
      <c r="E247" t="s">
        <v>0</v>
      </c>
      <c r="F247" t="s">
        <v>0</v>
      </c>
      <c r="G247" t="s">
        <v>1441</v>
      </c>
      <c r="H247" t="s">
        <v>1447</v>
      </c>
    </row>
    <row r="248" spans="2:8" ht="15" customHeight="1" x14ac:dyDescent="0.25">
      <c r="B248" t="s">
        <v>346</v>
      </c>
      <c r="C248" s="2">
        <v>48000</v>
      </c>
      <c r="D248" t="s">
        <v>11</v>
      </c>
      <c r="E248" t="s">
        <v>1</v>
      </c>
      <c r="F248" t="s">
        <v>1</v>
      </c>
      <c r="G248" t="s">
        <v>1443</v>
      </c>
      <c r="H248" t="s">
        <v>1446</v>
      </c>
    </row>
    <row r="249" spans="2:8" ht="15" customHeight="1" x14ac:dyDescent="0.25">
      <c r="B249" t="s">
        <v>347</v>
      </c>
      <c r="C249" s="2">
        <v>3027.3458368652364</v>
      </c>
      <c r="D249" t="s">
        <v>1437</v>
      </c>
      <c r="E249" t="s">
        <v>0</v>
      </c>
      <c r="F249" t="s">
        <v>0</v>
      </c>
      <c r="G249" t="s">
        <v>1441</v>
      </c>
      <c r="H249" t="s">
        <v>1445</v>
      </c>
    </row>
    <row r="250" spans="2:8" ht="15" customHeight="1" x14ac:dyDescent="0.25">
      <c r="B250" t="s">
        <v>348</v>
      </c>
      <c r="C250" s="2">
        <v>13100</v>
      </c>
      <c r="D250" t="s">
        <v>31</v>
      </c>
      <c r="E250" t="s">
        <v>0</v>
      </c>
      <c r="F250" t="s">
        <v>0</v>
      </c>
      <c r="G250" t="s">
        <v>1443</v>
      </c>
      <c r="H250" t="s">
        <v>1445</v>
      </c>
    </row>
    <row r="251" spans="2:8" ht="15" customHeight="1" x14ac:dyDescent="0.25">
      <c r="B251" t="s">
        <v>349</v>
      </c>
      <c r="C251" s="2">
        <v>60000</v>
      </c>
      <c r="D251" t="s">
        <v>11</v>
      </c>
      <c r="E251" t="s">
        <v>26</v>
      </c>
      <c r="F251" t="s">
        <v>1451</v>
      </c>
      <c r="G251" t="s">
        <v>1443</v>
      </c>
      <c r="H251" t="s">
        <v>1446</v>
      </c>
    </row>
    <row r="252" spans="2:8" ht="15" customHeight="1" x14ac:dyDescent="0.25">
      <c r="B252" t="s">
        <v>350</v>
      </c>
      <c r="C252" s="2">
        <v>24000</v>
      </c>
      <c r="D252" t="s">
        <v>11</v>
      </c>
      <c r="E252" t="s">
        <v>57</v>
      </c>
      <c r="F252" t="s">
        <v>1453</v>
      </c>
      <c r="G252" t="s">
        <v>1443</v>
      </c>
      <c r="H252" t="s">
        <v>1445</v>
      </c>
    </row>
    <row r="253" spans="2:8" ht="15" customHeight="1" x14ac:dyDescent="0.25">
      <c r="B253" t="s">
        <v>351</v>
      </c>
      <c r="C253" s="2">
        <v>4273.9000049862161</v>
      </c>
      <c r="D253" t="s">
        <v>11</v>
      </c>
      <c r="E253" t="s">
        <v>0</v>
      </c>
      <c r="F253" t="s">
        <v>0</v>
      </c>
      <c r="G253" t="s">
        <v>1443</v>
      </c>
      <c r="H253" t="s">
        <v>1445</v>
      </c>
    </row>
    <row r="254" spans="2:8" ht="15" customHeight="1" x14ac:dyDescent="0.25">
      <c r="B254" t="s">
        <v>352</v>
      </c>
      <c r="C254" s="2">
        <v>11575.14584683767</v>
      </c>
      <c r="D254" t="s">
        <v>11</v>
      </c>
      <c r="E254" t="s">
        <v>0</v>
      </c>
      <c r="F254" t="s">
        <v>0</v>
      </c>
      <c r="G254" t="s">
        <v>1443</v>
      </c>
      <c r="H254" t="s">
        <v>1445</v>
      </c>
    </row>
    <row r="255" spans="2:8" ht="15" customHeight="1" x14ac:dyDescent="0.25">
      <c r="B255" t="s">
        <v>353</v>
      </c>
      <c r="C255" s="2">
        <v>95000</v>
      </c>
      <c r="D255" t="s">
        <v>3</v>
      </c>
      <c r="E255" t="s">
        <v>1</v>
      </c>
      <c r="F255" t="s">
        <v>1</v>
      </c>
      <c r="G255" t="s">
        <v>1443</v>
      </c>
      <c r="H255" t="s">
        <v>1446</v>
      </c>
    </row>
    <row r="256" spans="2:8" ht="15" customHeight="1" x14ac:dyDescent="0.25">
      <c r="B256" t="s">
        <v>354</v>
      </c>
      <c r="C256" s="2">
        <v>9188.8850107203652</v>
      </c>
      <c r="D256" t="s">
        <v>11</v>
      </c>
      <c r="E256" t="s">
        <v>0</v>
      </c>
      <c r="F256" t="s">
        <v>0</v>
      </c>
      <c r="G256" t="s">
        <v>1441</v>
      </c>
      <c r="H256" t="s">
        <v>1445</v>
      </c>
    </row>
    <row r="257" spans="2:8" ht="15" customHeight="1" x14ac:dyDescent="0.25">
      <c r="B257" t="s">
        <v>355</v>
      </c>
      <c r="C257" s="2">
        <v>8975.1900104710548</v>
      </c>
      <c r="D257" t="s">
        <v>11</v>
      </c>
      <c r="E257" t="s">
        <v>0</v>
      </c>
      <c r="F257" t="s">
        <v>0</v>
      </c>
      <c r="G257" t="s">
        <v>1440</v>
      </c>
      <c r="H257" t="s">
        <v>1445</v>
      </c>
    </row>
    <row r="258" spans="2:8" ht="15" customHeight="1" x14ac:dyDescent="0.25">
      <c r="B258" t="s">
        <v>356</v>
      </c>
      <c r="C258" s="2">
        <v>2564.3400029917298</v>
      </c>
      <c r="D258" t="s">
        <v>3</v>
      </c>
      <c r="E258" t="s">
        <v>0</v>
      </c>
      <c r="F258" t="s">
        <v>0</v>
      </c>
      <c r="G258" t="s">
        <v>1440</v>
      </c>
      <c r="H258" t="s">
        <v>1445</v>
      </c>
    </row>
    <row r="259" spans="2:8" ht="15" customHeight="1" x14ac:dyDescent="0.25">
      <c r="B259" t="s">
        <v>357</v>
      </c>
      <c r="C259" s="2">
        <v>86689.804963700633</v>
      </c>
      <c r="D259" t="s">
        <v>38</v>
      </c>
      <c r="E259" t="s">
        <v>15</v>
      </c>
      <c r="F259" t="s">
        <v>15</v>
      </c>
      <c r="G259" t="s">
        <v>1441</v>
      </c>
      <c r="H259" t="s">
        <v>1446</v>
      </c>
    </row>
    <row r="260" spans="2:8" ht="15" customHeight="1" x14ac:dyDescent="0.25">
      <c r="B260" t="s">
        <v>358</v>
      </c>
      <c r="C260" s="2">
        <v>15500</v>
      </c>
      <c r="D260" t="s">
        <v>29</v>
      </c>
      <c r="E260" t="s">
        <v>0</v>
      </c>
      <c r="F260" t="s">
        <v>0</v>
      </c>
      <c r="G260" t="s">
        <v>1442</v>
      </c>
      <c r="H260" t="s">
        <v>1445</v>
      </c>
    </row>
    <row r="261" spans="2:8" ht="15" customHeight="1" x14ac:dyDescent="0.25">
      <c r="B261" t="s">
        <v>359</v>
      </c>
      <c r="C261" s="2">
        <v>148284.35006969364</v>
      </c>
      <c r="D261" t="s">
        <v>3</v>
      </c>
      <c r="E261" t="s">
        <v>22</v>
      </c>
      <c r="F261" t="s">
        <v>1451</v>
      </c>
      <c r="G261" t="s">
        <v>1440</v>
      </c>
      <c r="H261" t="s">
        <v>1445</v>
      </c>
    </row>
    <row r="262" spans="2:8" ht="15" customHeight="1" x14ac:dyDescent="0.25">
      <c r="B262" t="s">
        <v>360</v>
      </c>
      <c r="C262" s="2">
        <v>10684.750012465542</v>
      </c>
      <c r="D262" t="s">
        <v>3</v>
      </c>
      <c r="E262" t="s">
        <v>0</v>
      </c>
      <c r="F262" t="s">
        <v>0</v>
      </c>
      <c r="G262" t="s">
        <v>1440</v>
      </c>
      <c r="H262" t="s">
        <v>1445</v>
      </c>
    </row>
    <row r="263" spans="2:8" ht="15" customHeight="1" x14ac:dyDescent="0.25">
      <c r="B263" t="s">
        <v>361</v>
      </c>
      <c r="C263" s="2">
        <v>75000</v>
      </c>
      <c r="D263" t="s">
        <v>3</v>
      </c>
      <c r="E263" t="s">
        <v>1</v>
      </c>
      <c r="F263" t="s">
        <v>1</v>
      </c>
      <c r="G263" t="s">
        <v>1443</v>
      </c>
      <c r="H263" t="s">
        <v>1448</v>
      </c>
    </row>
    <row r="264" spans="2:8" ht="15" customHeight="1" x14ac:dyDescent="0.25">
      <c r="B264" t="s">
        <v>362</v>
      </c>
      <c r="C264" s="2">
        <v>12000</v>
      </c>
      <c r="D264" t="s">
        <v>11</v>
      </c>
      <c r="E264" t="s">
        <v>5</v>
      </c>
      <c r="F264" t="s">
        <v>1451</v>
      </c>
      <c r="G264" t="s">
        <v>1441</v>
      </c>
      <c r="H264" t="s">
        <v>1445</v>
      </c>
    </row>
    <row r="265" spans="2:8" ht="15" customHeight="1" x14ac:dyDescent="0.25">
      <c r="B265" t="s">
        <v>363</v>
      </c>
      <c r="C265" s="2">
        <v>30273.458368652366</v>
      </c>
      <c r="D265" t="s">
        <v>11</v>
      </c>
      <c r="E265" t="s">
        <v>0</v>
      </c>
      <c r="F265" t="s">
        <v>0</v>
      </c>
      <c r="G265" t="s">
        <v>1440</v>
      </c>
      <c r="H265" t="s">
        <v>1445</v>
      </c>
    </row>
    <row r="266" spans="2:8" ht="15" customHeight="1" x14ac:dyDescent="0.25">
      <c r="B266" t="s">
        <v>364</v>
      </c>
      <c r="C266" s="2">
        <v>30000</v>
      </c>
      <c r="D266" t="s">
        <v>38</v>
      </c>
      <c r="E266" t="s">
        <v>49</v>
      </c>
      <c r="F266" t="s">
        <v>1454</v>
      </c>
      <c r="G266" t="s">
        <v>1441</v>
      </c>
      <c r="H266" t="s">
        <v>1447</v>
      </c>
    </row>
    <row r="267" spans="2:8" ht="15" customHeight="1" x14ac:dyDescent="0.25">
      <c r="B267" t="s">
        <v>365</v>
      </c>
      <c r="C267" s="2">
        <v>6410.8500074793246</v>
      </c>
      <c r="D267" t="s">
        <v>3</v>
      </c>
      <c r="E267" t="s">
        <v>0</v>
      </c>
      <c r="F267" t="s">
        <v>0</v>
      </c>
      <c r="G267" t="s">
        <v>1440</v>
      </c>
      <c r="H267" t="s">
        <v>1445</v>
      </c>
    </row>
    <row r="268" spans="2:8" ht="15" customHeight="1" x14ac:dyDescent="0.25">
      <c r="B268" t="s">
        <v>366</v>
      </c>
      <c r="C268" s="2">
        <v>100000</v>
      </c>
      <c r="D268" t="s">
        <v>1439</v>
      </c>
      <c r="E268" t="s">
        <v>1</v>
      </c>
      <c r="F268" t="s">
        <v>1</v>
      </c>
      <c r="G268" t="s">
        <v>1441</v>
      </c>
      <c r="H268" t="s">
        <v>1447</v>
      </c>
    </row>
    <row r="269" spans="2:8" ht="15" customHeight="1" x14ac:dyDescent="0.25">
      <c r="B269" t="s">
        <v>367</v>
      </c>
      <c r="C269" s="2">
        <v>53356.776437647524</v>
      </c>
      <c r="D269" t="s">
        <v>29</v>
      </c>
      <c r="E269" t="s">
        <v>43</v>
      </c>
      <c r="F269" t="s">
        <v>1453</v>
      </c>
      <c r="G269" t="s">
        <v>1441</v>
      </c>
      <c r="H269" t="s">
        <v>1445</v>
      </c>
    </row>
    <row r="270" spans="2:8" ht="15" customHeight="1" x14ac:dyDescent="0.25">
      <c r="B270" t="s">
        <v>368</v>
      </c>
      <c r="C270" s="2">
        <v>40000</v>
      </c>
      <c r="D270" t="s">
        <v>11</v>
      </c>
      <c r="E270" t="s">
        <v>1</v>
      </c>
      <c r="F270" t="s">
        <v>1</v>
      </c>
      <c r="G270" t="s">
        <v>1443</v>
      </c>
      <c r="H270" t="s">
        <v>1446</v>
      </c>
    </row>
    <row r="271" spans="2:8" ht="15" customHeight="1" x14ac:dyDescent="0.25">
      <c r="B271" t="s">
        <v>369</v>
      </c>
      <c r="C271" s="2">
        <v>9794.354178093412</v>
      </c>
      <c r="D271" t="s">
        <v>3</v>
      </c>
      <c r="E271" t="s">
        <v>0</v>
      </c>
      <c r="F271" t="s">
        <v>0</v>
      </c>
      <c r="G271" t="s">
        <v>1441</v>
      </c>
      <c r="H271" t="s">
        <v>1445</v>
      </c>
    </row>
    <row r="272" spans="2:8" ht="15" customHeight="1" x14ac:dyDescent="0.25">
      <c r="B272" t="s">
        <v>370</v>
      </c>
      <c r="C272" s="2">
        <v>18499.860539512854</v>
      </c>
      <c r="D272" t="s">
        <v>14</v>
      </c>
      <c r="E272" t="s">
        <v>16</v>
      </c>
      <c r="F272" t="s">
        <v>1451</v>
      </c>
      <c r="G272" t="s">
        <v>1441</v>
      </c>
      <c r="H272" t="s">
        <v>1447</v>
      </c>
    </row>
    <row r="273" spans="2:8" ht="15" customHeight="1" x14ac:dyDescent="0.25">
      <c r="B273" t="s">
        <v>371</v>
      </c>
      <c r="C273" s="2">
        <v>19818.231248269083</v>
      </c>
      <c r="D273" t="s">
        <v>38</v>
      </c>
      <c r="E273" t="s">
        <v>6</v>
      </c>
      <c r="F273" t="s">
        <v>1453</v>
      </c>
      <c r="G273" t="s">
        <v>1441</v>
      </c>
      <c r="H273" t="s">
        <v>1445</v>
      </c>
    </row>
    <row r="274" spans="2:8" ht="15" customHeight="1" x14ac:dyDescent="0.25">
      <c r="B274" t="s">
        <v>372</v>
      </c>
      <c r="C274" s="2">
        <v>10684.750012465542</v>
      </c>
      <c r="D274" t="s">
        <v>11</v>
      </c>
      <c r="E274" t="s">
        <v>0</v>
      </c>
      <c r="F274" t="s">
        <v>0</v>
      </c>
      <c r="G274" t="s">
        <v>1440</v>
      </c>
      <c r="H274" t="s">
        <v>1446</v>
      </c>
    </row>
    <row r="275" spans="2:8" ht="15" customHeight="1" x14ac:dyDescent="0.25">
      <c r="B275" t="s">
        <v>373</v>
      </c>
      <c r="C275" s="2">
        <v>10684.750012465542</v>
      </c>
      <c r="D275" t="s">
        <v>11</v>
      </c>
      <c r="E275" t="s">
        <v>0</v>
      </c>
      <c r="F275" t="s">
        <v>0</v>
      </c>
      <c r="G275" t="s">
        <v>1443</v>
      </c>
      <c r="H275" t="s">
        <v>1446</v>
      </c>
    </row>
    <row r="276" spans="2:8" ht="15" customHeight="1" x14ac:dyDescent="0.25">
      <c r="B276" t="s">
        <v>374</v>
      </c>
      <c r="C276" s="2">
        <v>17807.916687442568</v>
      </c>
      <c r="D276" t="s">
        <v>3</v>
      </c>
      <c r="E276" t="s">
        <v>0</v>
      </c>
      <c r="F276" t="s">
        <v>0</v>
      </c>
      <c r="G276" t="s">
        <v>1441</v>
      </c>
      <c r="H276" t="s">
        <v>1447</v>
      </c>
    </row>
    <row r="277" spans="2:8" ht="15" customHeight="1" x14ac:dyDescent="0.25">
      <c r="B277" t="s">
        <v>375</v>
      </c>
      <c r="C277" s="2">
        <v>13000</v>
      </c>
      <c r="D277" t="s">
        <v>3</v>
      </c>
      <c r="E277" t="s">
        <v>0</v>
      </c>
      <c r="F277" t="s">
        <v>0</v>
      </c>
      <c r="G277" t="s">
        <v>1440</v>
      </c>
      <c r="H277" t="s">
        <v>1447</v>
      </c>
    </row>
    <row r="278" spans="2:8" ht="15" customHeight="1" x14ac:dyDescent="0.25">
      <c r="B278" t="s">
        <v>376</v>
      </c>
      <c r="C278" s="2">
        <v>16027.125018698311</v>
      </c>
      <c r="D278" t="s">
        <v>11</v>
      </c>
      <c r="E278" t="s">
        <v>0</v>
      </c>
      <c r="F278" t="s">
        <v>0</v>
      </c>
      <c r="G278" t="s">
        <v>1442</v>
      </c>
      <c r="H278" t="s">
        <v>1447</v>
      </c>
    </row>
    <row r="279" spans="2:8" ht="15" customHeight="1" x14ac:dyDescent="0.25">
      <c r="B279" t="s">
        <v>377</v>
      </c>
      <c r="C279" s="2">
        <v>85000</v>
      </c>
      <c r="D279" t="s">
        <v>31</v>
      </c>
      <c r="E279" t="s">
        <v>1</v>
      </c>
      <c r="F279" t="s">
        <v>1</v>
      </c>
      <c r="G279" t="s">
        <v>1440</v>
      </c>
      <c r="H279" t="s">
        <v>1445</v>
      </c>
    </row>
    <row r="280" spans="2:8" ht="15" customHeight="1" x14ac:dyDescent="0.25">
      <c r="B280" t="s">
        <v>378</v>
      </c>
      <c r="C280" s="2">
        <v>6000</v>
      </c>
      <c r="D280" t="s">
        <v>3</v>
      </c>
      <c r="E280" t="s">
        <v>27</v>
      </c>
      <c r="F280" t="s">
        <v>1454</v>
      </c>
      <c r="G280" t="s">
        <v>1442</v>
      </c>
      <c r="H280" t="s">
        <v>1447</v>
      </c>
    </row>
    <row r="281" spans="2:8" ht="15" customHeight="1" x14ac:dyDescent="0.25">
      <c r="B281" t="s">
        <v>379</v>
      </c>
      <c r="C281" s="2">
        <v>30000</v>
      </c>
      <c r="D281" t="s">
        <v>1437</v>
      </c>
      <c r="E281" t="s">
        <v>0</v>
      </c>
      <c r="F281" t="s">
        <v>0</v>
      </c>
      <c r="G281" t="s">
        <v>1441</v>
      </c>
      <c r="H281" t="s">
        <v>1445</v>
      </c>
    </row>
    <row r="282" spans="2:8" ht="15" customHeight="1" x14ac:dyDescent="0.25">
      <c r="B282" t="s">
        <v>380</v>
      </c>
      <c r="C282" s="2">
        <v>157617.8272067284</v>
      </c>
      <c r="D282" t="s">
        <v>38</v>
      </c>
      <c r="E282" t="s">
        <v>15</v>
      </c>
      <c r="F282" t="s">
        <v>15</v>
      </c>
      <c r="G282" t="s">
        <v>1443</v>
      </c>
      <c r="H282" t="s">
        <v>1446</v>
      </c>
    </row>
    <row r="283" spans="2:8" ht="15" customHeight="1" x14ac:dyDescent="0.25">
      <c r="B283" t="s">
        <v>381</v>
      </c>
      <c r="C283" s="2">
        <v>21369.500024931083</v>
      </c>
      <c r="D283" t="s">
        <v>11</v>
      </c>
      <c r="E283" t="s">
        <v>0</v>
      </c>
      <c r="F283" t="s">
        <v>0</v>
      </c>
      <c r="G283" t="s">
        <v>1442</v>
      </c>
      <c r="H283" t="s">
        <v>1446</v>
      </c>
    </row>
    <row r="284" spans="2:8" ht="15" customHeight="1" x14ac:dyDescent="0.25">
      <c r="B284" t="s">
        <v>382</v>
      </c>
      <c r="C284" s="2">
        <v>3561.5833374885137</v>
      </c>
      <c r="D284" t="s">
        <v>1437</v>
      </c>
      <c r="E284" t="s">
        <v>0</v>
      </c>
      <c r="F284" t="s">
        <v>0</v>
      </c>
      <c r="G284" t="s">
        <v>1441</v>
      </c>
      <c r="H284" t="s">
        <v>1445</v>
      </c>
    </row>
    <row r="285" spans="2:8" ht="15" customHeight="1" x14ac:dyDescent="0.25">
      <c r="B285" t="s">
        <v>383</v>
      </c>
      <c r="C285" s="2">
        <v>5000</v>
      </c>
      <c r="D285" t="s">
        <v>11</v>
      </c>
      <c r="E285" t="s">
        <v>0</v>
      </c>
      <c r="F285" t="s">
        <v>0</v>
      </c>
      <c r="G285" t="s">
        <v>1441</v>
      </c>
      <c r="H285" t="s">
        <v>1445</v>
      </c>
    </row>
    <row r="286" spans="2:8" ht="15" customHeight="1" x14ac:dyDescent="0.25">
      <c r="B286" t="s">
        <v>384</v>
      </c>
      <c r="C286" s="2">
        <v>3561.5833374885137</v>
      </c>
      <c r="D286" t="s">
        <v>3</v>
      </c>
      <c r="E286" t="s">
        <v>0</v>
      </c>
      <c r="F286" t="s">
        <v>0</v>
      </c>
      <c r="G286" t="s">
        <v>1441</v>
      </c>
      <c r="H286" t="s">
        <v>1445</v>
      </c>
    </row>
    <row r="287" spans="2:8" ht="15" customHeight="1" x14ac:dyDescent="0.25">
      <c r="B287" t="s">
        <v>385</v>
      </c>
      <c r="C287" s="2">
        <v>38111.983169748237</v>
      </c>
      <c r="D287" t="s">
        <v>31</v>
      </c>
      <c r="E287" t="s">
        <v>6</v>
      </c>
      <c r="F287" t="s">
        <v>1453</v>
      </c>
      <c r="G287" t="s">
        <v>1440</v>
      </c>
      <c r="H287" t="s">
        <v>1447</v>
      </c>
    </row>
    <row r="288" spans="2:8" ht="15" customHeight="1" x14ac:dyDescent="0.25">
      <c r="B288" t="s">
        <v>386</v>
      </c>
      <c r="C288" s="2">
        <v>17807.916687442568</v>
      </c>
      <c r="D288" t="s">
        <v>3</v>
      </c>
      <c r="E288" t="s">
        <v>0</v>
      </c>
      <c r="F288" t="s">
        <v>0</v>
      </c>
      <c r="G288" t="s">
        <v>1441</v>
      </c>
      <c r="H288" t="s">
        <v>1447</v>
      </c>
    </row>
    <row r="289" spans="2:8" ht="15" customHeight="1" x14ac:dyDescent="0.25">
      <c r="B289" t="s">
        <v>387</v>
      </c>
      <c r="C289" s="2">
        <v>11575.14584683767</v>
      </c>
      <c r="D289" t="s">
        <v>3</v>
      </c>
      <c r="E289" t="s">
        <v>0</v>
      </c>
      <c r="F289" t="s">
        <v>0</v>
      </c>
      <c r="G289" t="s">
        <v>1440</v>
      </c>
      <c r="H289" t="s">
        <v>1445</v>
      </c>
    </row>
    <row r="290" spans="2:8" ht="15" customHeight="1" x14ac:dyDescent="0.25">
      <c r="B290" t="s">
        <v>388</v>
      </c>
      <c r="C290" s="2">
        <v>98336.152303032693</v>
      </c>
      <c r="D290" t="s">
        <v>11</v>
      </c>
      <c r="E290" t="s">
        <v>19</v>
      </c>
      <c r="F290" t="s">
        <v>19</v>
      </c>
      <c r="G290" t="s">
        <v>1443</v>
      </c>
      <c r="H290" t="s">
        <v>1447</v>
      </c>
    </row>
    <row r="291" spans="2:8" ht="15" customHeight="1" x14ac:dyDescent="0.25">
      <c r="B291" t="s">
        <v>389</v>
      </c>
      <c r="C291" s="2">
        <v>92500</v>
      </c>
      <c r="D291" t="s">
        <v>3</v>
      </c>
      <c r="E291" t="s">
        <v>1</v>
      </c>
      <c r="F291" t="s">
        <v>1</v>
      </c>
      <c r="G291" t="s">
        <v>1443</v>
      </c>
      <c r="H291" t="s">
        <v>1446</v>
      </c>
    </row>
    <row r="292" spans="2:8" ht="15" customHeight="1" x14ac:dyDescent="0.25">
      <c r="B292" t="s">
        <v>390</v>
      </c>
      <c r="C292" s="2">
        <v>9794.354178093412</v>
      </c>
      <c r="D292" t="s">
        <v>3</v>
      </c>
      <c r="E292" t="s">
        <v>0</v>
      </c>
      <c r="F292" t="s">
        <v>0</v>
      </c>
      <c r="G292" t="s">
        <v>1441</v>
      </c>
      <c r="H292" t="s">
        <v>1445</v>
      </c>
    </row>
    <row r="293" spans="2:8" ht="15" customHeight="1" x14ac:dyDescent="0.25">
      <c r="B293" t="s">
        <v>391</v>
      </c>
      <c r="C293" s="2">
        <v>32000</v>
      </c>
      <c r="D293" t="s">
        <v>11</v>
      </c>
      <c r="E293" t="s">
        <v>1</v>
      </c>
      <c r="F293" t="s">
        <v>1</v>
      </c>
      <c r="G293" t="s">
        <v>1441</v>
      </c>
      <c r="H293" t="s">
        <v>1445</v>
      </c>
    </row>
    <row r="294" spans="2:8" ht="15" customHeight="1" x14ac:dyDescent="0.25">
      <c r="B294" t="s">
        <v>392</v>
      </c>
      <c r="C294" s="2">
        <v>55000</v>
      </c>
      <c r="D294" t="s">
        <v>3</v>
      </c>
      <c r="E294" t="s">
        <v>1</v>
      </c>
      <c r="F294" t="s">
        <v>1</v>
      </c>
      <c r="G294" t="s">
        <v>1441</v>
      </c>
      <c r="H294" t="s">
        <v>1447</v>
      </c>
    </row>
    <row r="295" spans="2:8" ht="15" customHeight="1" x14ac:dyDescent="0.25">
      <c r="B295" t="s">
        <v>393</v>
      </c>
      <c r="C295" s="2">
        <v>40000</v>
      </c>
      <c r="D295" t="s">
        <v>3</v>
      </c>
      <c r="E295" t="s">
        <v>1</v>
      </c>
      <c r="F295" t="s">
        <v>1</v>
      </c>
      <c r="G295" t="s">
        <v>1440</v>
      </c>
      <c r="H295" t="s">
        <v>1445</v>
      </c>
    </row>
    <row r="296" spans="2:8" ht="15" customHeight="1" x14ac:dyDescent="0.25">
      <c r="B296" t="s">
        <v>394</v>
      </c>
      <c r="C296" s="2">
        <v>3000</v>
      </c>
      <c r="D296" t="s">
        <v>3</v>
      </c>
      <c r="E296" t="s">
        <v>2</v>
      </c>
      <c r="F296" t="s">
        <v>2</v>
      </c>
      <c r="G296" t="s">
        <v>1443</v>
      </c>
      <c r="H296" t="s">
        <v>1445</v>
      </c>
    </row>
    <row r="297" spans="2:8" ht="15" customHeight="1" x14ac:dyDescent="0.25">
      <c r="B297" t="s">
        <v>395</v>
      </c>
      <c r="C297" s="2">
        <v>43600</v>
      </c>
      <c r="D297" t="s">
        <v>3</v>
      </c>
      <c r="E297" t="s">
        <v>1</v>
      </c>
      <c r="F297" t="s">
        <v>1</v>
      </c>
      <c r="G297" t="s">
        <v>1441</v>
      </c>
      <c r="H297" t="s">
        <v>1445</v>
      </c>
    </row>
    <row r="298" spans="2:8" ht="15" customHeight="1" x14ac:dyDescent="0.25">
      <c r="B298" t="s">
        <v>396</v>
      </c>
      <c r="C298" s="2">
        <v>9616.275011218986</v>
      </c>
      <c r="D298" t="s">
        <v>3</v>
      </c>
      <c r="E298" t="s">
        <v>0</v>
      </c>
      <c r="F298" t="s">
        <v>0</v>
      </c>
      <c r="G298" t="s">
        <v>1440</v>
      </c>
      <c r="H298" t="s">
        <v>1447</v>
      </c>
    </row>
    <row r="299" spans="2:8" ht="15" customHeight="1" x14ac:dyDescent="0.25">
      <c r="B299" t="s">
        <v>397</v>
      </c>
      <c r="C299" s="2">
        <v>35000</v>
      </c>
      <c r="D299" t="s">
        <v>11</v>
      </c>
      <c r="E299" t="s">
        <v>59</v>
      </c>
      <c r="F299" t="s">
        <v>1451</v>
      </c>
      <c r="G299" t="s">
        <v>1440</v>
      </c>
      <c r="H299" t="s">
        <v>1447</v>
      </c>
    </row>
    <row r="300" spans="2:8" ht="15" customHeight="1" x14ac:dyDescent="0.25">
      <c r="B300" t="s">
        <v>398</v>
      </c>
      <c r="C300" s="2">
        <v>12000</v>
      </c>
      <c r="D300" t="s">
        <v>33</v>
      </c>
      <c r="E300" t="s">
        <v>42</v>
      </c>
      <c r="F300" t="s">
        <v>1453</v>
      </c>
      <c r="G300" t="s">
        <v>1443</v>
      </c>
      <c r="H300" t="s">
        <v>1446</v>
      </c>
    </row>
    <row r="301" spans="2:8" ht="15" customHeight="1" x14ac:dyDescent="0.25">
      <c r="B301" t="s">
        <v>399</v>
      </c>
      <c r="C301" s="2">
        <v>5000</v>
      </c>
      <c r="D301" t="s">
        <v>33</v>
      </c>
      <c r="E301" t="s">
        <v>60</v>
      </c>
      <c r="F301" t="s">
        <v>1451</v>
      </c>
      <c r="G301" t="s">
        <v>1442</v>
      </c>
      <c r="H301" t="s">
        <v>1446</v>
      </c>
    </row>
    <row r="302" spans="2:8" ht="15" customHeight="1" x14ac:dyDescent="0.25">
      <c r="B302" t="s">
        <v>400</v>
      </c>
      <c r="C302" s="2">
        <v>16337.518501630093</v>
      </c>
      <c r="D302" t="s">
        <v>3</v>
      </c>
      <c r="E302" t="s">
        <v>10</v>
      </c>
      <c r="F302" t="s">
        <v>1451</v>
      </c>
      <c r="G302" t="s">
        <v>1441</v>
      </c>
      <c r="H302" t="s">
        <v>1445</v>
      </c>
    </row>
    <row r="303" spans="2:8" ht="15" customHeight="1" x14ac:dyDescent="0.25">
      <c r="B303" t="s">
        <v>401</v>
      </c>
      <c r="C303" s="2">
        <v>65000</v>
      </c>
      <c r="D303" t="s">
        <v>3</v>
      </c>
      <c r="E303" t="s">
        <v>1</v>
      </c>
      <c r="F303" t="s">
        <v>1</v>
      </c>
      <c r="G303" t="s">
        <v>1442</v>
      </c>
      <c r="H303" t="s">
        <v>1447</v>
      </c>
    </row>
    <row r="304" spans="2:8" ht="15" customHeight="1" x14ac:dyDescent="0.25">
      <c r="B304" t="s">
        <v>402</v>
      </c>
      <c r="C304" s="2">
        <v>40000</v>
      </c>
      <c r="D304" t="s">
        <v>3</v>
      </c>
      <c r="E304" t="s">
        <v>1</v>
      </c>
      <c r="F304" t="s">
        <v>1</v>
      </c>
      <c r="G304" t="s">
        <v>1440</v>
      </c>
      <c r="H304" t="s">
        <v>1445</v>
      </c>
    </row>
    <row r="305" spans="2:8" ht="15" customHeight="1" x14ac:dyDescent="0.25">
      <c r="B305" t="s">
        <v>403</v>
      </c>
      <c r="C305" s="2">
        <v>98000</v>
      </c>
      <c r="D305" t="s">
        <v>11</v>
      </c>
      <c r="E305" t="s">
        <v>49</v>
      </c>
      <c r="F305" t="s">
        <v>1454</v>
      </c>
      <c r="G305" t="s">
        <v>1443</v>
      </c>
      <c r="H305" t="s">
        <v>1446</v>
      </c>
    </row>
    <row r="306" spans="2:8" ht="15" customHeight="1" x14ac:dyDescent="0.25">
      <c r="B306" t="s">
        <v>404</v>
      </c>
      <c r="C306" s="2">
        <v>50000</v>
      </c>
      <c r="D306" t="s">
        <v>1439</v>
      </c>
      <c r="E306" t="s">
        <v>1</v>
      </c>
      <c r="F306" t="s">
        <v>1</v>
      </c>
      <c r="G306" t="s">
        <v>1440</v>
      </c>
      <c r="H306" t="s">
        <v>1446</v>
      </c>
    </row>
    <row r="307" spans="2:8" ht="15" customHeight="1" x14ac:dyDescent="0.25">
      <c r="B307" t="s">
        <v>405</v>
      </c>
      <c r="C307" s="2">
        <v>135000</v>
      </c>
      <c r="D307" t="s">
        <v>1439</v>
      </c>
      <c r="E307" t="s">
        <v>1</v>
      </c>
      <c r="F307" t="s">
        <v>1</v>
      </c>
      <c r="G307" t="s">
        <v>1441</v>
      </c>
      <c r="H307" t="s">
        <v>1448</v>
      </c>
    </row>
    <row r="308" spans="2:8" ht="15" customHeight="1" x14ac:dyDescent="0.25">
      <c r="B308" t="s">
        <v>406</v>
      </c>
      <c r="C308" s="2">
        <v>125000</v>
      </c>
      <c r="D308" t="s">
        <v>11</v>
      </c>
      <c r="E308" t="s">
        <v>41</v>
      </c>
      <c r="F308" t="s">
        <v>1453</v>
      </c>
      <c r="G308" t="s">
        <v>1441</v>
      </c>
      <c r="H308" t="s">
        <v>1447</v>
      </c>
    </row>
    <row r="309" spans="2:8" ht="15" customHeight="1" x14ac:dyDescent="0.25">
      <c r="B309" t="s">
        <v>407</v>
      </c>
      <c r="C309" s="2">
        <v>4500</v>
      </c>
      <c r="D309" t="s">
        <v>3</v>
      </c>
      <c r="E309" t="s">
        <v>49</v>
      </c>
      <c r="F309" t="s">
        <v>1454</v>
      </c>
      <c r="G309" t="s">
        <v>1443</v>
      </c>
      <c r="H309" t="s">
        <v>1445</v>
      </c>
    </row>
    <row r="310" spans="2:8" ht="15" customHeight="1" x14ac:dyDescent="0.25">
      <c r="B310" t="s">
        <v>408</v>
      </c>
      <c r="C310" s="2">
        <v>115000</v>
      </c>
      <c r="D310" t="s">
        <v>3</v>
      </c>
      <c r="E310" t="s">
        <v>1</v>
      </c>
      <c r="F310" t="s">
        <v>1</v>
      </c>
      <c r="G310" t="s">
        <v>1441</v>
      </c>
      <c r="H310" t="s">
        <v>1447</v>
      </c>
    </row>
    <row r="311" spans="2:8" ht="15" customHeight="1" x14ac:dyDescent="0.25">
      <c r="B311" t="s">
        <v>409</v>
      </c>
      <c r="C311" s="2">
        <v>70000</v>
      </c>
      <c r="D311" t="s">
        <v>3</v>
      </c>
      <c r="E311" t="s">
        <v>1</v>
      </c>
      <c r="F311" t="s">
        <v>1</v>
      </c>
      <c r="G311" t="s">
        <v>1440</v>
      </c>
      <c r="H311" t="s">
        <v>1446</v>
      </c>
    </row>
    <row r="312" spans="2:8" ht="15" customHeight="1" x14ac:dyDescent="0.25">
      <c r="B312" t="s">
        <v>410</v>
      </c>
      <c r="C312" s="2">
        <v>60000</v>
      </c>
      <c r="D312" t="s">
        <v>3</v>
      </c>
      <c r="E312" t="s">
        <v>1</v>
      </c>
      <c r="F312" t="s">
        <v>1</v>
      </c>
      <c r="G312" t="s">
        <v>1443</v>
      </c>
      <c r="H312" t="s">
        <v>1447</v>
      </c>
    </row>
    <row r="313" spans="2:8" ht="15" customHeight="1" x14ac:dyDescent="0.25">
      <c r="B313" t="s">
        <v>411</v>
      </c>
      <c r="C313" s="2">
        <v>87456</v>
      </c>
      <c r="D313" t="s">
        <v>11</v>
      </c>
      <c r="E313" t="s">
        <v>1</v>
      </c>
      <c r="F313" t="s">
        <v>1</v>
      </c>
      <c r="G313" t="s">
        <v>1443</v>
      </c>
      <c r="H313" t="s">
        <v>1446</v>
      </c>
    </row>
    <row r="314" spans="2:8" ht="15" customHeight="1" x14ac:dyDescent="0.25">
      <c r="B314" t="s">
        <v>412</v>
      </c>
      <c r="C314" s="2">
        <v>26400</v>
      </c>
      <c r="D314" t="s">
        <v>3</v>
      </c>
      <c r="E314" t="s">
        <v>26</v>
      </c>
      <c r="F314" t="s">
        <v>1451</v>
      </c>
      <c r="G314" t="s">
        <v>1440</v>
      </c>
      <c r="H314" t="s">
        <v>1447</v>
      </c>
    </row>
    <row r="315" spans="2:8" ht="15" customHeight="1" x14ac:dyDescent="0.25">
      <c r="B315" t="s">
        <v>413</v>
      </c>
      <c r="C315" s="2">
        <v>12000</v>
      </c>
      <c r="D315" t="s">
        <v>11</v>
      </c>
      <c r="E315" t="s">
        <v>26</v>
      </c>
      <c r="F315" t="s">
        <v>1451</v>
      </c>
      <c r="G315" t="s">
        <v>1440</v>
      </c>
      <c r="H315" t="s">
        <v>1446</v>
      </c>
    </row>
    <row r="316" spans="2:8" ht="15" customHeight="1" x14ac:dyDescent="0.25">
      <c r="B316" t="s">
        <v>414</v>
      </c>
      <c r="C316" s="2">
        <v>2564.3400029917298</v>
      </c>
      <c r="D316" t="s">
        <v>3</v>
      </c>
      <c r="E316" t="s">
        <v>0</v>
      </c>
      <c r="F316" t="s">
        <v>0</v>
      </c>
      <c r="G316" t="s">
        <v>1441</v>
      </c>
      <c r="H316" t="s">
        <v>1445</v>
      </c>
    </row>
    <row r="317" spans="2:8" ht="15" customHeight="1" x14ac:dyDescent="0.25">
      <c r="B317" t="s">
        <v>415</v>
      </c>
      <c r="C317" s="2">
        <v>62000</v>
      </c>
      <c r="D317" t="s">
        <v>11</v>
      </c>
      <c r="E317" t="s">
        <v>61</v>
      </c>
      <c r="F317" t="s">
        <v>1451</v>
      </c>
      <c r="G317" t="s">
        <v>1440</v>
      </c>
      <c r="H317" t="s">
        <v>1446</v>
      </c>
    </row>
    <row r="318" spans="2:8" ht="15" customHeight="1" x14ac:dyDescent="0.25">
      <c r="B318" t="s">
        <v>416</v>
      </c>
      <c r="C318" s="2">
        <v>5342.3750062327708</v>
      </c>
      <c r="D318" t="s">
        <v>3</v>
      </c>
      <c r="E318" t="s">
        <v>0</v>
      </c>
      <c r="F318" t="s">
        <v>0</v>
      </c>
      <c r="G318" t="s">
        <v>1442</v>
      </c>
      <c r="H318" t="s">
        <v>1447</v>
      </c>
    </row>
    <row r="319" spans="2:8" ht="15" customHeight="1" x14ac:dyDescent="0.25">
      <c r="B319" t="s">
        <v>417</v>
      </c>
      <c r="C319" s="2">
        <v>50815.977559664309</v>
      </c>
      <c r="D319" t="s">
        <v>3</v>
      </c>
      <c r="E319" t="s">
        <v>43</v>
      </c>
      <c r="F319" t="s">
        <v>1453</v>
      </c>
      <c r="G319" t="s">
        <v>1441</v>
      </c>
      <c r="H319" t="s">
        <v>1445</v>
      </c>
    </row>
    <row r="320" spans="2:8" ht="15" customHeight="1" x14ac:dyDescent="0.25">
      <c r="B320" t="s">
        <v>418</v>
      </c>
      <c r="C320" s="2">
        <v>25560</v>
      </c>
      <c r="D320" t="s">
        <v>11</v>
      </c>
      <c r="E320" t="s">
        <v>21</v>
      </c>
      <c r="F320" t="s">
        <v>1451</v>
      </c>
      <c r="G320" t="s">
        <v>1441</v>
      </c>
      <c r="H320" t="s">
        <v>1445</v>
      </c>
    </row>
    <row r="321" spans="2:8" ht="15" customHeight="1" x14ac:dyDescent="0.25">
      <c r="B321" t="s">
        <v>419</v>
      </c>
      <c r="C321" s="2">
        <v>12821.700014958649</v>
      </c>
      <c r="D321" t="s">
        <v>31</v>
      </c>
      <c r="E321" t="s">
        <v>0</v>
      </c>
      <c r="F321" t="s">
        <v>0</v>
      </c>
      <c r="G321" t="s">
        <v>1441</v>
      </c>
      <c r="H321" t="s">
        <v>1445</v>
      </c>
    </row>
    <row r="322" spans="2:8" ht="15" customHeight="1" x14ac:dyDescent="0.25">
      <c r="B322" t="s">
        <v>420</v>
      </c>
      <c r="C322" s="2">
        <v>10684.750012465542</v>
      </c>
      <c r="D322" t="s">
        <v>11</v>
      </c>
      <c r="E322" t="s">
        <v>0</v>
      </c>
      <c r="F322" t="s">
        <v>0</v>
      </c>
      <c r="G322" t="s">
        <v>1440</v>
      </c>
      <c r="H322" t="s">
        <v>1445</v>
      </c>
    </row>
    <row r="323" spans="2:8" ht="15" customHeight="1" x14ac:dyDescent="0.25">
      <c r="B323" t="s">
        <v>421</v>
      </c>
      <c r="C323" s="2">
        <v>4457.9172610556352</v>
      </c>
      <c r="D323" t="s">
        <v>11</v>
      </c>
      <c r="E323" t="s">
        <v>2</v>
      </c>
      <c r="F323" t="s">
        <v>2</v>
      </c>
      <c r="G323" t="s">
        <v>1440</v>
      </c>
      <c r="H323" t="s">
        <v>1445</v>
      </c>
    </row>
    <row r="324" spans="2:8" ht="15" customHeight="1" x14ac:dyDescent="0.25">
      <c r="B324" t="s">
        <v>422</v>
      </c>
      <c r="C324" s="2">
        <v>125000</v>
      </c>
      <c r="D324" t="s">
        <v>1439</v>
      </c>
      <c r="E324" t="s">
        <v>10</v>
      </c>
      <c r="F324" t="s">
        <v>1451</v>
      </c>
      <c r="G324" t="s">
        <v>1441</v>
      </c>
      <c r="H324" t="s">
        <v>1446</v>
      </c>
    </row>
    <row r="325" spans="2:8" ht="15" customHeight="1" x14ac:dyDescent="0.25">
      <c r="B325" t="s">
        <v>423</v>
      </c>
      <c r="C325" s="2">
        <v>43000</v>
      </c>
      <c r="D325" t="s">
        <v>3</v>
      </c>
      <c r="E325" t="s">
        <v>1</v>
      </c>
      <c r="F325" t="s">
        <v>1</v>
      </c>
      <c r="G325" t="s">
        <v>1441</v>
      </c>
      <c r="H325" t="s">
        <v>1445</v>
      </c>
    </row>
    <row r="326" spans="2:8" ht="15" customHeight="1" x14ac:dyDescent="0.25">
      <c r="B326" t="s">
        <v>424</v>
      </c>
      <c r="C326" s="2">
        <v>7123.1666749770275</v>
      </c>
      <c r="D326" t="s">
        <v>29</v>
      </c>
      <c r="E326" t="s">
        <v>0</v>
      </c>
      <c r="F326" t="s">
        <v>0</v>
      </c>
      <c r="G326" t="s">
        <v>1443</v>
      </c>
      <c r="H326" t="s">
        <v>1447</v>
      </c>
    </row>
    <row r="327" spans="2:8" ht="15" customHeight="1" x14ac:dyDescent="0.25">
      <c r="B327" t="s">
        <v>425</v>
      </c>
      <c r="C327" s="2">
        <v>10000</v>
      </c>
      <c r="D327" t="s">
        <v>31</v>
      </c>
      <c r="E327" t="s">
        <v>62</v>
      </c>
      <c r="F327" t="s">
        <v>1454</v>
      </c>
      <c r="G327" t="s">
        <v>1441</v>
      </c>
      <c r="H327" t="s">
        <v>1445</v>
      </c>
    </row>
    <row r="328" spans="2:8" ht="15" customHeight="1" x14ac:dyDescent="0.25">
      <c r="B328" t="s">
        <v>426</v>
      </c>
      <c r="C328" s="2">
        <v>8903.9583437212841</v>
      </c>
      <c r="D328" t="s">
        <v>11</v>
      </c>
      <c r="E328" t="s">
        <v>0</v>
      </c>
      <c r="F328" t="s">
        <v>0</v>
      </c>
      <c r="G328" t="s">
        <v>1442</v>
      </c>
      <c r="H328" t="s">
        <v>1445</v>
      </c>
    </row>
    <row r="329" spans="2:8" ht="15" customHeight="1" x14ac:dyDescent="0.25">
      <c r="B329" t="s">
        <v>427</v>
      </c>
      <c r="C329" s="2">
        <v>36500</v>
      </c>
      <c r="D329" t="s">
        <v>31</v>
      </c>
      <c r="E329" t="s">
        <v>21</v>
      </c>
      <c r="F329" t="s">
        <v>1451</v>
      </c>
      <c r="G329" t="s">
        <v>1441</v>
      </c>
      <c r="H329" t="s">
        <v>1446</v>
      </c>
    </row>
    <row r="330" spans="2:8" ht="15" customHeight="1" x14ac:dyDescent="0.25">
      <c r="B330" t="s">
        <v>428</v>
      </c>
      <c r="C330" s="2">
        <v>100000</v>
      </c>
      <c r="D330" t="s">
        <v>1439</v>
      </c>
      <c r="E330" t="s">
        <v>23</v>
      </c>
      <c r="F330" t="s">
        <v>1453</v>
      </c>
      <c r="G330" t="s">
        <v>1440</v>
      </c>
      <c r="H330" t="s">
        <v>1447</v>
      </c>
    </row>
    <row r="331" spans="2:8" ht="15" customHeight="1" x14ac:dyDescent="0.25">
      <c r="B331" t="s">
        <v>429</v>
      </c>
      <c r="C331" s="2">
        <v>7123.1666749770275</v>
      </c>
      <c r="D331" t="s">
        <v>31</v>
      </c>
      <c r="E331" t="s">
        <v>0</v>
      </c>
      <c r="F331" t="s">
        <v>0</v>
      </c>
      <c r="G331" t="s">
        <v>1443</v>
      </c>
      <c r="H331" t="s">
        <v>1447</v>
      </c>
    </row>
    <row r="332" spans="2:8" ht="15" customHeight="1" x14ac:dyDescent="0.25">
      <c r="B332" t="s">
        <v>430</v>
      </c>
      <c r="C332" s="2">
        <v>40958.208381117904</v>
      </c>
      <c r="D332" t="s">
        <v>11</v>
      </c>
      <c r="E332" t="s">
        <v>0</v>
      </c>
      <c r="F332" t="s">
        <v>0</v>
      </c>
      <c r="G332" t="s">
        <v>1443</v>
      </c>
      <c r="H332" t="s">
        <v>1447</v>
      </c>
    </row>
    <row r="333" spans="2:8" ht="15" customHeight="1" x14ac:dyDescent="0.25">
      <c r="B333" t="s">
        <v>431</v>
      </c>
      <c r="C333" s="2">
        <v>21369.500024931083</v>
      </c>
      <c r="D333" t="s">
        <v>1439</v>
      </c>
      <c r="E333" t="s">
        <v>0</v>
      </c>
      <c r="F333" t="s">
        <v>0</v>
      </c>
      <c r="G333" t="s">
        <v>1441</v>
      </c>
      <c r="H333" t="s">
        <v>1446</v>
      </c>
    </row>
    <row r="334" spans="2:8" ht="15" customHeight="1" x14ac:dyDescent="0.25">
      <c r="B334" t="s">
        <v>432</v>
      </c>
      <c r="C334" s="2">
        <v>2136.9500024931081</v>
      </c>
      <c r="D334" t="s">
        <v>11</v>
      </c>
      <c r="E334" t="s">
        <v>0</v>
      </c>
      <c r="F334" t="s">
        <v>0</v>
      </c>
      <c r="G334" t="s">
        <v>1441</v>
      </c>
      <c r="H334" t="s">
        <v>1445</v>
      </c>
    </row>
    <row r="335" spans="2:8" ht="15" customHeight="1" x14ac:dyDescent="0.25">
      <c r="B335" t="s">
        <v>433</v>
      </c>
      <c r="C335" s="2">
        <v>8903.9583437212841</v>
      </c>
      <c r="D335" t="s">
        <v>29</v>
      </c>
      <c r="E335" t="s">
        <v>0</v>
      </c>
      <c r="F335" t="s">
        <v>0</v>
      </c>
      <c r="G335" t="s">
        <v>1443</v>
      </c>
      <c r="H335" t="s">
        <v>1445</v>
      </c>
    </row>
    <row r="336" spans="2:8" ht="15" customHeight="1" x14ac:dyDescent="0.25">
      <c r="B336" t="s">
        <v>434</v>
      </c>
      <c r="C336" s="2">
        <v>17807.916687442568</v>
      </c>
      <c r="D336" t="s">
        <v>11</v>
      </c>
      <c r="E336" t="s">
        <v>0</v>
      </c>
      <c r="F336" t="s">
        <v>0</v>
      </c>
      <c r="G336" t="s">
        <v>1441</v>
      </c>
      <c r="H336" t="s">
        <v>1445</v>
      </c>
    </row>
    <row r="337" spans="2:8" ht="15" customHeight="1" x14ac:dyDescent="0.25">
      <c r="B337" t="s">
        <v>435</v>
      </c>
      <c r="C337" s="2">
        <v>15136.729184326183</v>
      </c>
      <c r="D337" t="s">
        <v>11</v>
      </c>
      <c r="E337" t="s">
        <v>0</v>
      </c>
      <c r="F337" t="s">
        <v>0</v>
      </c>
      <c r="G337" t="s">
        <v>1443</v>
      </c>
      <c r="H337" t="s">
        <v>1445</v>
      </c>
    </row>
    <row r="338" spans="2:8" ht="15" customHeight="1" x14ac:dyDescent="0.25">
      <c r="B338" t="s">
        <v>436</v>
      </c>
      <c r="C338" s="2">
        <v>3982.448779308334</v>
      </c>
      <c r="D338" t="s">
        <v>3</v>
      </c>
      <c r="E338" t="s">
        <v>32</v>
      </c>
      <c r="F338" t="s">
        <v>1454</v>
      </c>
      <c r="G338" t="s">
        <v>1441</v>
      </c>
      <c r="H338" t="s">
        <v>1447</v>
      </c>
    </row>
    <row r="339" spans="2:8" ht="15" customHeight="1" x14ac:dyDescent="0.25">
      <c r="B339" t="s">
        <v>437</v>
      </c>
      <c r="C339" s="2">
        <v>15600</v>
      </c>
      <c r="D339" t="s">
        <v>38</v>
      </c>
      <c r="E339" t="s">
        <v>63</v>
      </c>
      <c r="F339" t="s">
        <v>1451</v>
      </c>
      <c r="G339" t="s">
        <v>1441</v>
      </c>
      <c r="H339" t="s">
        <v>1446</v>
      </c>
    </row>
    <row r="340" spans="2:8" ht="15" customHeight="1" x14ac:dyDescent="0.25">
      <c r="B340" t="s">
        <v>438</v>
      </c>
      <c r="C340" s="2">
        <v>3205.4250037396623</v>
      </c>
      <c r="D340" t="s">
        <v>3</v>
      </c>
      <c r="E340" t="s">
        <v>0</v>
      </c>
      <c r="F340" t="s">
        <v>0</v>
      </c>
      <c r="G340" t="s">
        <v>1443</v>
      </c>
      <c r="H340" t="s">
        <v>1445</v>
      </c>
    </row>
    <row r="341" spans="2:8" ht="15" customHeight="1" x14ac:dyDescent="0.25">
      <c r="B341" t="s">
        <v>439</v>
      </c>
      <c r="C341" s="2">
        <v>10000</v>
      </c>
      <c r="D341" t="s">
        <v>11</v>
      </c>
      <c r="E341" t="s">
        <v>0</v>
      </c>
      <c r="F341" t="s">
        <v>0</v>
      </c>
      <c r="G341" t="s">
        <v>1441</v>
      </c>
      <c r="H341" t="s">
        <v>1447</v>
      </c>
    </row>
    <row r="342" spans="2:8" ht="15" customHeight="1" x14ac:dyDescent="0.25">
      <c r="B342" t="s">
        <v>440</v>
      </c>
      <c r="C342" s="2">
        <v>75010</v>
      </c>
      <c r="D342" t="s">
        <v>3</v>
      </c>
      <c r="E342" t="s">
        <v>1</v>
      </c>
      <c r="F342" t="s">
        <v>1</v>
      </c>
      <c r="G342" t="s">
        <v>1443</v>
      </c>
      <c r="H342" t="s">
        <v>1447</v>
      </c>
    </row>
    <row r="343" spans="2:8" ht="15" customHeight="1" x14ac:dyDescent="0.25">
      <c r="B343" t="s">
        <v>441</v>
      </c>
      <c r="C343" s="2">
        <v>10684.750012465542</v>
      </c>
      <c r="D343" t="s">
        <v>11</v>
      </c>
      <c r="E343" t="s">
        <v>0</v>
      </c>
      <c r="F343" t="s">
        <v>0</v>
      </c>
      <c r="G343" t="s">
        <v>1440</v>
      </c>
      <c r="H343" t="s">
        <v>1447</v>
      </c>
    </row>
    <row r="344" spans="2:8" ht="15" customHeight="1" x14ac:dyDescent="0.25">
      <c r="B344" t="s">
        <v>442</v>
      </c>
      <c r="C344" s="2">
        <v>16350</v>
      </c>
      <c r="D344" t="s">
        <v>11</v>
      </c>
      <c r="E344" t="s">
        <v>0</v>
      </c>
      <c r="F344" t="s">
        <v>0</v>
      </c>
      <c r="G344" t="s">
        <v>1441</v>
      </c>
      <c r="H344" t="s">
        <v>1445</v>
      </c>
    </row>
    <row r="345" spans="2:8" ht="15" customHeight="1" x14ac:dyDescent="0.25">
      <c r="B345" t="s">
        <v>443</v>
      </c>
      <c r="C345" s="2">
        <v>126094.26176538273</v>
      </c>
      <c r="D345" t="s">
        <v>31</v>
      </c>
      <c r="E345" t="s">
        <v>15</v>
      </c>
      <c r="F345" t="s">
        <v>15</v>
      </c>
      <c r="G345" t="s">
        <v>1441</v>
      </c>
      <c r="H345" t="s">
        <v>1447</v>
      </c>
    </row>
    <row r="346" spans="2:8" ht="15" customHeight="1" x14ac:dyDescent="0.25">
      <c r="B346" t="s">
        <v>444</v>
      </c>
      <c r="C346" s="2">
        <v>60000</v>
      </c>
      <c r="D346" t="s">
        <v>31</v>
      </c>
      <c r="E346" t="s">
        <v>25</v>
      </c>
      <c r="F346" t="s">
        <v>1454</v>
      </c>
      <c r="G346" t="s">
        <v>1440</v>
      </c>
      <c r="H346" t="s">
        <v>1447</v>
      </c>
    </row>
    <row r="347" spans="2:8" ht="15" customHeight="1" x14ac:dyDescent="0.25">
      <c r="B347" t="s">
        <v>445</v>
      </c>
      <c r="C347" s="2">
        <v>23150.291693675339</v>
      </c>
      <c r="D347" t="s">
        <v>11</v>
      </c>
      <c r="E347" t="s">
        <v>0</v>
      </c>
      <c r="F347" t="s">
        <v>0</v>
      </c>
      <c r="G347" t="s">
        <v>1442</v>
      </c>
      <c r="H347" t="s">
        <v>1445</v>
      </c>
    </row>
    <row r="348" spans="2:8" ht="15" customHeight="1" x14ac:dyDescent="0.25">
      <c r="B348" t="s">
        <v>446</v>
      </c>
      <c r="C348" s="2">
        <v>13801.135432767991</v>
      </c>
      <c r="D348" t="s">
        <v>3</v>
      </c>
      <c r="E348" t="s">
        <v>0</v>
      </c>
      <c r="F348" t="s">
        <v>0</v>
      </c>
      <c r="G348" t="s">
        <v>1441</v>
      </c>
      <c r="H348" t="s">
        <v>1445</v>
      </c>
    </row>
    <row r="349" spans="2:8" ht="15" customHeight="1" x14ac:dyDescent="0.25">
      <c r="B349" t="s">
        <v>447</v>
      </c>
      <c r="C349" s="2">
        <v>18698.312521814696</v>
      </c>
      <c r="D349" t="s">
        <v>11</v>
      </c>
      <c r="E349" t="s">
        <v>0</v>
      </c>
      <c r="F349" t="s">
        <v>0</v>
      </c>
      <c r="G349" t="s">
        <v>1440</v>
      </c>
      <c r="H349" t="s">
        <v>1445</v>
      </c>
    </row>
    <row r="350" spans="2:8" ht="15" customHeight="1" x14ac:dyDescent="0.25">
      <c r="B350" t="s">
        <v>448</v>
      </c>
      <c r="C350" s="2">
        <v>36000</v>
      </c>
      <c r="D350" t="s">
        <v>38</v>
      </c>
      <c r="E350" t="s">
        <v>64</v>
      </c>
      <c r="F350" t="s">
        <v>1453</v>
      </c>
      <c r="G350" t="s">
        <v>1443</v>
      </c>
      <c r="H350" t="s">
        <v>1447</v>
      </c>
    </row>
    <row r="351" spans="2:8" ht="15" customHeight="1" x14ac:dyDescent="0.25">
      <c r="B351" t="s">
        <v>449</v>
      </c>
      <c r="C351" s="2">
        <v>8654.6475100970874</v>
      </c>
      <c r="D351" t="s">
        <v>11</v>
      </c>
      <c r="E351" t="s">
        <v>0</v>
      </c>
      <c r="F351" t="s">
        <v>0</v>
      </c>
      <c r="G351" t="s">
        <v>1440</v>
      </c>
      <c r="H351" t="s">
        <v>1447</v>
      </c>
    </row>
    <row r="352" spans="2:8" ht="15" customHeight="1" x14ac:dyDescent="0.25">
      <c r="B352" t="s">
        <v>450</v>
      </c>
      <c r="C352" s="2">
        <v>102451.58768437347</v>
      </c>
      <c r="D352" t="s">
        <v>11</v>
      </c>
      <c r="E352" t="s">
        <v>15</v>
      </c>
      <c r="F352" t="s">
        <v>15</v>
      </c>
      <c r="G352" t="s">
        <v>1442</v>
      </c>
      <c r="H352" t="s">
        <v>1446</v>
      </c>
    </row>
    <row r="353" spans="2:8" ht="15" customHeight="1" x14ac:dyDescent="0.25">
      <c r="B353" t="s">
        <v>451</v>
      </c>
      <c r="C353" s="2">
        <v>36400</v>
      </c>
      <c r="D353" t="s">
        <v>3</v>
      </c>
      <c r="E353" t="s">
        <v>65</v>
      </c>
      <c r="F353" t="s">
        <v>1451</v>
      </c>
      <c r="G353" t="s">
        <v>1441</v>
      </c>
      <c r="H353" t="s">
        <v>1446</v>
      </c>
    </row>
    <row r="354" spans="2:8" ht="15" customHeight="1" x14ac:dyDescent="0.25">
      <c r="B354" t="s">
        <v>452</v>
      </c>
      <c r="C354" s="2">
        <v>101206.40684944032</v>
      </c>
      <c r="D354" t="s">
        <v>33</v>
      </c>
      <c r="E354" t="s">
        <v>15</v>
      </c>
      <c r="F354" t="s">
        <v>15</v>
      </c>
      <c r="G354" t="s">
        <v>1441</v>
      </c>
      <c r="H354" t="s">
        <v>1446</v>
      </c>
    </row>
    <row r="355" spans="2:8" ht="15" customHeight="1" x14ac:dyDescent="0.25">
      <c r="B355" t="s">
        <v>453</v>
      </c>
      <c r="C355" s="2">
        <v>5342.3750062327708</v>
      </c>
      <c r="D355" t="s">
        <v>3</v>
      </c>
      <c r="E355" t="s">
        <v>0</v>
      </c>
      <c r="F355" t="s">
        <v>0</v>
      </c>
      <c r="G355" t="s">
        <v>1441</v>
      </c>
      <c r="H355" t="s">
        <v>1445</v>
      </c>
    </row>
    <row r="356" spans="2:8" ht="15" customHeight="1" x14ac:dyDescent="0.25">
      <c r="B356" t="s">
        <v>454</v>
      </c>
      <c r="C356" s="2">
        <v>28310.79811950968</v>
      </c>
      <c r="D356" t="s">
        <v>3</v>
      </c>
      <c r="E356" t="s">
        <v>26</v>
      </c>
      <c r="F356" t="s">
        <v>1451</v>
      </c>
      <c r="G356" t="s">
        <v>1441</v>
      </c>
      <c r="H356" t="s">
        <v>1446</v>
      </c>
    </row>
    <row r="357" spans="2:8" ht="15" customHeight="1" x14ac:dyDescent="0.25">
      <c r="B357" t="s">
        <v>455</v>
      </c>
      <c r="C357" s="2">
        <v>26043.18849932796</v>
      </c>
      <c r="D357" t="s">
        <v>11</v>
      </c>
      <c r="E357" t="s">
        <v>17</v>
      </c>
      <c r="F357" t="s">
        <v>1453</v>
      </c>
      <c r="G357" t="s">
        <v>1441</v>
      </c>
      <c r="H357" t="s">
        <v>1447</v>
      </c>
    </row>
    <row r="358" spans="2:8" ht="15" customHeight="1" x14ac:dyDescent="0.25">
      <c r="B358" t="s">
        <v>456</v>
      </c>
      <c r="C358" s="2">
        <v>96891.417358250401</v>
      </c>
      <c r="D358" t="s">
        <v>3</v>
      </c>
      <c r="E358" t="s">
        <v>18</v>
      </c>
      <c r="F358" t="s">
        <v>18</v>
      </c>
      <c r="G358" t="s">
        <v>1442</v>
      </c>
      <c r="H358" t="s">
        <v>1447</v>
      </c>
    </row>
    <row r="359" spans="2:8" ht="15" customHeight="1" x14ac:dyDescent="0.25">
      <c r="B359" t="s">
        <v>457</v>
      </c>
      <c r="C359" s="2">
        <v>2564.3400029917298</v>
      </c>
      <c r="D359" t="s">
        <v>38</v>
      </c>
      <c r="E359" t="s">
        <v>0</v>
      </c>
      <c r="F359" t="s">
        <v>0</v>
      </c>
      <c r="G359" t="s">
        <v>1441</v>
      </c>
      <c r="H359" t="s">
        <v>1445</v>
      </c>
    </row>
    <row r="360" spans="2:8" ht="15" customHeight="1" x14ac:dyDescent="0.25">
      <c r="B360" t="s">
        <v>458</v>
      </c>
      <c r="C360" s="2">
        <v>3205.4250037396623</v>
      </c>
      <c r="D360" t="s">
        <v>1437</v>
      </c>
      <c r="E360" t="s">
        <v>0</v>
      </c>
      <c r="F360" t="s">
        <v>0</v>
      </c>
      <c r="G360" t="s">
        <v>1440</v>
      </c>
      <c r="H360" t="s">
        <v>1447</v>
      </c>
    </row>
    <row r="361" spans="2:8" ht="15" customHeight="1" x14ac:dyDescent="0.25">
      <c r="B361" t="s">
        <v>459</v>
      </c>
      <c r="C361" s="2">
        <v>10684.750012465542</v>
      </c>
      <c r="D361" t="s">
        <v>3</v>
      </c>
      <c r="E361" t="s">
        <v>0</v>
      </c>
      <c r="F361" t="s">
        <v>0</v>
      </c>
      <c r="G361" t="s">
        <v>1440</v>
      </c>
      <c r="H361" t="s">
        <v>1447</v>
      </c>
    </row>
    <row r="362" spans="2:8" ht="15" customHeight="1" x14ac:dyDescent="0.25">
      <c r="B362" t="s">
        <v>460</v>
      </c>
      <c r="C362" s="2">
        <v>150000</v>
      </c>
      <c r="D362" t="s">
        <v>38</v>
      </c>
      <c r="E362" t="s">
        <v>1</v>
      </c>
      <c r="F362" t="s">
        <v>1</v>
      </c>
      <c r="G362" t="s">
        <v>1441</v>
      </c>
      <c r="H362" t="s">
        <v>1448</v>
      </c>
    </row>
    <row r="363" spans="2:8" ht="15" customHeight="1" x14ac:dyDescent="0.25">
      <c r="B363" t="s">
        <v>461</v>
      </c>
      <c r="C363" s="2">
        <v>12465.541681209797</v>
      </c>
      <c r="D363" t="s">
        <v>11</v>
      </c>
      <c r="E363" t="s">
        <v>0</v>
      </c>
      <c r="F363" t="s">
        <v>0</v>
      </c>
      <c r="G363" t="s">
        <v>1441</v>
      </c>
      <c r="H363" t="s">
        <v>1445</v>
      </c>
    </row>
    <row r="364" spans="2:8" ht="15" customHeight="1" x14ac:dyDescent="0.25">
      <c r="B364" t="s">
        <v>462</v>
      </c>
      <c r="C364" s="2">
        <v>19055.991584874118</v>
      </c>
      <c r="D364" t="s">
        <v>3</v>
      </c>
      <c r="E364" t="s">
        <v>66</v>
      </c>
      <c r="F364" t="s">
        <v>1453</v>
      </c>
      <c r="G364" t="s">
        <v>1441</v>
      </c>
      <c r="H364" t="s">
        <v>1445</v>
      </c>
    </row>
    <row r="365" spans="2:8" ht="15" customHeight="1" x14ac:dyDescent="0.25">
      <c r="B365" t="s">
        <v>463</v>
      </c>
      <c r="C365" s="2">
        <v>105000</v>
      </c>
      <c r="D365" t="s">
        <v>3</v>
      </c>
      <c r="E365" t="s">
        <v>1</v>
      </c>
      <c r="F365" t="s">
        <v>1</v>
      </c>
      <c r="G365" t="s">
        <v>1441</v>
      </c>
      <c r="H365" t="s">
        <v>1446</v>
      </c>
    </row>
    <row r="366" spans="2:8" ht="15" customHeight="1" x14ac:dyDescent="0.25">
      <c r="B366" t="s">
        <v>464</v>
      </c>
      <c r="C366" s="2">
        <v>24000</v>
      </c>
      <c r="D366" t="s">
        <v>3</v>
      </c>
      <c r="E366" t="s">
        <v>0</v>
      </c>
      <c r="F366" t="s">
        <v>0</v>
      </c>
      <c r="G366" t="s">
        <v>1441</v>
      </c>
      <c r="H366" t="s">
        <v>1445</v>
      </c>
    </row>
    <row r="367" spans="2:8" ht="15" customHeight="1" x14ac:dyDescent="0.25">
      <c r="B367" t="s">
        <v>465</v>
      </c>
      <c r="C367" s="2">
        <v>78808.913603364199</v>
      </c>
      <c r="D367" t="s">
        <v>3</v>
      </c>
      <c r="E367" t="s">
        <v>15</v>
      </c>
      <c r="F367" t="s">
        <v>15</v>
      </c>
      <c r="G367" t="s">
        <v>1440</v>
      </c>
      <c r="H367" t="s">
        <v>1447</v>
      </c>
    </row>
    <row r="368" spans="2:8" ht="15" customHeight="1" x14ac:dyDescent="0.25">
      <c r="B368" t="s">
        <v>466</v>
      </c>
      <c r="C368" s="2">
        <v>42000</v>
      </c>
      <c r="D368" t="s">
        <v>38</v>
      </c>
      <c r="E368" t="s">
        <v>21</v>
      </c>
      <c r="F368" t="s">
        <v>1451</v>
      </c>
      <c r="G368" t="s">
        <v>1440</v>
      </c>
      <c r="H368" t="s">
        <v>1446</v>
      </c>
    </row>
    <row r="369" spans="2:8" ht="15" customHeight="1" x14ac:dyDescent="0.25">
      <c r="B369" t="s">
        <v>467</v>
      </c>
      <c r="C369" s="2">
        <v>9490.1984044603923</v>
      </c>
      <c r="D369" t="s">
        <v>3</v>
      </c>
      <c r="E369" t="s">
        <v>22</v>
      </c>
      <c r="F369" t="s">
        <v>1451</v>
      </c>
      <c r="G369" t="s">
        <v>1440</v>
      </c>
      <c r="H369" t="s">
        <v>1447</v>
      </c>
    </row>
    <row r="370" spans="2:8" ht="15" customHeight="1" x14ac:dyDescent="0.25">
      <c r="B370" t="s">
        <v>468</v>
      </c>
      <c r="C370" s="2">
        <v>60000</v>
      </c>
      <c r="D370" t="s">
        <v>33</v>
      </c>
      <c r="E370" t="s">
        <v>25</v>
      </c>
      <c r="F370" t="s">
        <v>1454</v>
      </c>
      <c r="G370" t="s">
        <v>1441</v>
      </c>
      <c r="H370" t="s">
        <v>1445</v>
      </c>
    </row>
    <row r="371" spans="2:8" ht="15" customHeight="1" x14ac:dyDescent="0.25">
      <c r="B371" t="s">
        <v>469</v>
      </c>
      <c r="C371" s="2">
        <v>17807.916687442568</v>
      </c>
      <c r="D371" t="s">
        <v>11</v>
      </c>
      <c r="E371" t="s">
        <v>0</v>
      </c>
      <c r="F371" t="s">
        <v>0</v>
      </c>
      <c r="G371" t="s">
        <v>1440</v>
      </c>
      <c r="H371" t="s">
        <v>1447</v>
      </c>
    </row>
    <row r="372" spans="2:8" ht="15" customHeight="1" x14ac:dyDescent="0.25">
      <c r="B372" t="s">
        <v>470</v>
      </c>
      <c r="C372" s="2">
        <v>12465.541681209797</v>
      </c>
      <c r="D372" t="s">
        <v>3</v>
      </c>
      <c r="E372" t="s">
        <v>0</v>
      </c>
      <c r="F372" t="s">
        <v>0</v>
      </c>
      <c r="G372" t="s">
        <v>1440</v>
      </c>
      <c r="H372" t="s">
        <v>1445</v>
      </c>
    </row>
    <row r="373" spans="2:8" ht="15" customHeight="1" x14ac:dyDescent="0.25">
      <c r="B373" t="s">
        <v>471</v>
      </c>
      <c r="C373" s="2">
        <v>20571</v>
      </c>
      <c r="D373" t="s">
        <v>1439</v>
      </c>
      <c r="E373" t="s">
        <v>67</v>
      </c>
      <c r="F373" t="s">
        <v>1451</v>
      </c>
      <c r="G373" t="s">
        <v>1441</v>
      </c>
      <c r="H373" t="s">
        <v>1447</v>
      </c>
    </row>
    <row r="374" spans="2:8" ht="15" customHeight="1" x14ac:dyDescent="0.25">
      <c r="B374" t="s">
        <v>472</v>
      </c>
      <c r="C374" s="2">
        <v>3480</v>
      </c>
      <c r="D374" t="s">
        <v>11</v>
      </c>
      <c r="E374" t="s">
        <v>2</v>
      </c>
      <c r="F374" t="s">
        <v>2</v>
      </c>
      <c r="G374" t="s">
        <v>1440</v>
      </c>
      <c r="H374" t="s">
        <v>1447</v>
      </c>
    </row>
    <row r="375" spans="2:8" ht="15" customHeight="1" x14ac:dyDescent="0.25">
      <c r="B375" t="s">
        <v>473</v>
      </c>
      <c r="C375" s="2">
        <v>18060</v>
      </c>
      <c r="D375" t="s">
        <v>1437</v>
      </c>
      <c r="E375" t="s">
        <v>32</v>
      </c>
      <c r="F375" t="s">
        <v>1454</v>
      </c>
      <c r="G375" t="s">
        <v>1441</v>
      </c>
      <c r="H375" t="s">
        <v>1446</v>
      </c>
    </row>
    <row r="376" spans="2:8" ht="15" customHeight="1" x14ac:dyDescent="0.25">
      <c r="B376" t="s">
        <v>474</v>
      </c>
      <c r="C376" s="2">
        <v>30000</v>
      </c>
      <c r="D376" t="s">
        <v>31</v>
      </c>
      <c r="E376" t="s">
        <v>39</v>
      </c>
      <c r="F376" t="s">
        <v>1451</v>
      </c>
      <c r="G376" t="s">
        <v>1443</v>
      </c>
      <c r="H376" t="s">
        <v>1448</v>
      </c>
    </row>
    <row r="377" spans="2:8" ht="15" customHeight="1" x14ac:dyDescent="0.25">
      <c r="B377" t="s">
        <v>475</v>
      </c>
      <c r="C377" s="2">
        <v>24000</v>
      </c>
      <c r="D377" t="s">
        <v>11</v>
      </c>
      <c r="E377" t="s">
        <v>0</v>
      </c>
      <c r="F377" t="s">
        <v>0</v>
      </c>
      <c r="G377" t="s">
        <v>1441</v>
      </c>
      <c r="H377" t="s">
        <v>1447</v>
      </c>
    </row>
    <row r="378" spans="2:8" ht="15" customHeight="1" x14ac:dyDescent="0.25">
      <c r="B378" t="s">
        <v>476</v>
      </c>
      <c r="C378" s="2">
        <v>80289.244544269619</v>
      </c>
      <c r="D378" t="s">
        <v>33</v>
      </c>
      <c r="E378" t="s">
        <v>20</v>
      </c>
      <c r="F378" t="s">
        <v>1453</v>
      </c>
      <c r="G378" t="s">
        <v>1441</v>
      </c>
      <c r="H378" t="s">
        <v>1445</v>
      </c>
    </row>
    <row r="379" spans="2:8" ht="15" customHeight="1" x14ac:dyDescent="0.25">
      <c r="B379" t="s">
        <v>477</v>
      </c>
      <c r="C379" s="2">
        <v>70000</v>
      </c>
      <c r="D379" t="s">
        <v>11</v>
      </c>
      <c r="E379" t="s">
        <v>1</v>
      </c>
      <c r="F379" t="s">
        <v>1</v>
      </c>
      <c r="G379" t="s">
        <v>1441</v>
      </c>
      <c r="H379" t="s">
        <v>1445</v>
      </c>
    </row>
    <row r="380" spans="2:8" ht="15" customHeight="1" x14ac:dyDescent="0.25">
      <c r="B380" t="s">
        <v>478</v>
      </c>
      <c r="C380" s="2">
        <v>8547.8000099724322</v>
      </c>
      <c r="D380" t="s">
        <v>11</v>
      </c>
      <c r="E380" t="s">
        <v>0</v>
      </c>
      <c r="F380" t="s">
        <v>0</v>
      </c>
      <c r="G380" t="s">
        <v>1443</v>
      </c>
      <c r="H380" t="s">
        <v>1445</v>
      </c>
    </row>
    <row r="381" spans="2:8" ht="15" customHeight="1" x14ac:dyDescent="0.25">
      <c r="B381" t="s">
        <v>479</v>
      </c>
      <c r="C381" s="2">
        <v>10684.750012465542</v>
      </c>
      <c r="D381" t="s">
        <v>3</v>
      </c>
      <c r="E381" t="s">
        <v>0</v>
      </c>
      <c r="F381" t="s">
        <v>0</v>
      </c>
      <c r="G381" t="s">
        <v>1441</v>
      </c>
      <c r="H381" t="s">
        <v>1446</v>
      </c>
    </row>
    <row r="382" spans="2:8" ht="15" customHeight="1" x14ac:dyDescent="0.25">
      <c r="B382" t="s">
        <v>480</v>
      </c>
      <c r="C382" s="2">
        <v>10684.750012465542</v>
      </c>
      <c r="D382" t="s">
        <v>3</v>
      </c>
      <c r="E382" t="s">
        <v>0</v>
      </c>
      <c r="F382" t="s">
        <v>0</v>
      </c>
      <c r="G382" t="s">
        <v>1443</v>
      </c>
      <c r="H382" t="s">
        <v>1445</v>
      </c>
    </row>
    <row r="383" spans="2:8" ht="15" customHeight="1" x14ac:dyDescent="0.25">
      <c r="B383" t="s">
        <v>481</v>
      </c>
      <c r="C383" s="2">
        <v>20000</v>
      </c>
      <c r="D383" t="s">
        <v>31</v>
      </c>
      <c r="E383" t="s">
        <v>68</v>
      </c>
      <c r="F383" t="s">
        <v>1451</v>
      </c>
      <c r="G383" t="s">
        <v>1440</v>
      </c>
      <c r="H383" t="s">
        <v>1445</v>
      </c>
    </row>
    <row r="384" spans="2:8" ht="15" customHeight="1" x14ac:dyDescent="0.25">
      <c r="B384" t="s">
        <v>482</v>
      </c>
      <c r="C384" s="2">
        <v>53356.776437647524</v>
      </c>
      <c r="D384" t="s">
        <v>33</v>
      </c>
      <c r="E384" t="s">
        <v>4</v>
      </c>
      <c r="F384" t="s">
        <v>1453</v>
      </c>
      <c r="G384" t="s">
        <v>1443</v>
      </c>
      <c r="H384" t="s">
        <v>1445</v>
      </c>
    </row>
    <row r="385" spans="2:8" ht="15" customHeight="1" x14ac:dyDescent="0.25">
      <c r="B385" t="s">
        <v>483</v>
      </c>
      <c r="C385" s="2">
        <v>36000</v>
      </c>
      <c r="D385" t="s">
        <v>31</v>
      </c>
      <c r="E385" t="s">
        <v>26</v>
      </c>
      <c r="F385" t="s">
        <v>1451</v>
      </c>
      <c r="G385" t="s">
        <v>1441</v>
      </c>
      <c r="H385" t="s">
        <v>1445</v>
      </c>
    </row>
    <row r="386" spans="2:8" ht="15" customHeight="1" x14ac:dyDescent="0.25">
      <c r="B386" t="s">
        <v>484</v>
      </c>
      <c r="C386" s="2">
        <v>57000</v>
      </c>
      <c r="D386" t="s">
        <v>29</v>
      </c>
      <c r="E386" t="s">
        <v>1</v>
      </c>
      <c r="F386" t="s">
        <v>1</v>
      </c>
      <c r="G386" t="s">
        <v>1443</v>
      </c>
      <c r="H386" t="s">
        <v>1445</v>
      </c>
    </row>
    <row r="387" spans="2:8" ht="15" customHeight="1" x14ac:dyDescent="0.25">
      <c r="B387" t="s">
        <v>485</v>
      </c>
      <c r="C387" s="2">
        <v>135000</v>
      </c>
      <c r="D387" t="s">
        <v>11</v>
      </c>
      <c r="E387" t="s">
        <v>1</v>
      </c>
      <c r="F387" t="s">
        <v>1</v>
      </c>
      <c r="G387" t="s">
        <v>1440</v>
      </c>
      <c r="H387" t="s">
        <v>1446</v>
      </c>
    </row>
    <row r="388" spans="2:8" ht="15" customHeight="1" x14ac:dyDescent="0.25">
      <c r="B388" t="s">
        <v>486</v>
      </c>
      <c r="C388" s="2">
        <v>95279.957924370581</v>
      </c>
      <c r="D388" t="s">
        <v>3</v>
      </c>
      <c r="E388" t="s">
        <v>43</v>
      </c>
      <c r="F388" t="s">
        <v>1453</v>
      </c>
      <c r="G388" t="s">
        <v>1441</v>
      </c>
      <c r="H388" t="s">
        <v>1445</v>
      </c>
    </row>
    <row r="389" spans="2:8" ht="15" customHeight="1" x14ac:dyDescent="0.25">
      <c r="B389" t="s">
        <v>487</v>
      </c>
      <c r="C389" s="2">
        <v>57167.974754622352</v>
      </c>
      <c r="D389" t="s">
        <v>3</v>
      </c>
      <c r="E389" t="s">
        <v>43</v>
      </c>
      <c r="F389" t="s">
        <v>1453</v>
      </c>
      <c r="G389" t="s">
        <v>1443</v>
      </c>
      <c r="H389" t="s">
        <v>1447</v>
      </c>
    </row>
    <row r="390" spans="2:8" ht="15" customHeight="1" x14ac:dyDescent="0.25">
      <c r="B390" t="s">
        <v>488</v>
      </c>
      <c r="C390" s="2">
        <v>12326.656394453004</v>
      </c>
      <c r="D390" t="s">
        <v>11</v>
      </c>
      <c r="E390" t="s">
        <v>54</v>
      </c>
      <c r="F390" t="s">
        <v>1451</v>
      </c>
      <c r="G390" t="s">
        <v>1441</v>
      </c>
      <c r="H390" t="s">
        <v>1445</v>
      </c>
    </row>
    <row r="391" spans="2:8" ht="15" customHeight="1" x14ac:dyDescent="0.25">
      <c r="B391" t="s">
        <v>489</v>
      </c>
      <c r="C391" s="2">
        <v>8000</v>
      </c>
      <c r="D391" t="s">
        <v>3</v>
      </c>
      <c r="E391" t="s">
        <v>0</v>
      </c>
      <c r="F391" t="s">
        <v>0</v>
      </c>
      <c r="G391" t="s">
        <v>1442</v>
      </c>
      <c r="H391" t="s">
        <v>1445</v>
      </c>
    </row>
    <row r="392" spans="2:8" ht="15" customHeight="1" x14ac:dyDescent="0.25">
      <c r="B392" t="s">
        <v>490</v>
      </c>
      <c r="C392" s="2">
        <v>48000</v>
      </c>
      <c r="D392" t="s">
        <v>11</v>
      </c>
      <c r="E392" t="s">
        <v>20</v>
      </c>
      <c r="F392" t="s">
        <v>1453</v>
      </c>
      <c r="G392" t="s">
        <v>1441</v>
      </c>
      <c r="H392" t="s">
        <v>1445</v>
      </c>
    </row>
    <row r="393" spans="2:8" ht="15" customHeight="1" x14ac:dyDescent="0.25">
      <c r="B393" t="s">
        <v>491</v>
      </c>
      <c r="C393" s="2">
        <v>40000</v>
      </c>
      <c r="D393" t="s">
        <v>3</v>
      </c>
      <c r="E393" t="s">
        <v>45</v>
      </c>
      <c r="F393" t="s">
        <v>1451</v>
      </c>
      <c r="G393" t="s">
        <v>1441</v>
      </c>
      <c r="H393" t="s">
        <v>1445</v>
      </c>
    </row>
    <row r="394" spans="2:8" ht="15" customHeight="1" x14ac:dyDescent="0.25">
      <c r="B394" t="s">
        <v>492</v>
      </c>
      <c r="C394" s="2">
        <v>59819.107020370408</v>
      </c>
      <c r="D394" t="s">
        <v>3</v>
      </c>
      <c r="E394" t="s">
        <v>45</v>
      </c>
      <c r="F394" t="s">
        <v>1451</v>
      </c>
      <c r="G394" t="s">
        <v>1441</v>
      </c>
      <c r="H394" t="s">
        <v>1447</v>
      </c>
    </row>
    <row r="395" spans="2:8" ht="15" customHeight="1" x14ac:dyDescent="0.25">
      <c r="B395" t="s">
        <v>493</v>
      </c>
      <c r="C395" s="2">
        <v>150000</v>
      </c>
      <c r="D395" t="s">
        <v>3</v>
      </c>
      <c r="E395" t="s">
        <v>9</v>
      </c>
      <c r="F395" t="s">
        <v>1453</v>
      </c>
      <c r="G395" t="s">
        <v>1442</v>
      </c>
      <c r="H395" t="s">
        <v>1446</v>
      </c>
    </row>
    <row r="396" spans="2:8" ht="15" customHeight="1" x14ac:dyDescent="0.25">
      <c r="B396" t="s">
        <v>494</v>
      </c>
      <c r="C396" s="2">
        <v>81592.772512210868</v>
      </c>
      <c r="D396" t="s">
        <v>11</v>
      </c>
      <c r="E396" t="s">
        <v>18</v>
      </c>
      <c r="F396" t="s">
        <v>18</v>
      </c>
      <c r="G396" t="s">
        <v>1441</v>
      </c>
      <c r="H396" t="s">
        <v>1448</v>
      </c>
    </row>
    <row r="397" spans="2:8" ht="15" customHeight="1" x14ac:dyDescent="0.25">
      <c r="B397" t="s">
        <v>495</v>
      </c>
      <c r="C397" s="2">
        <v>96891.417358250401</v>
      </c>
      <c r="D397" t="s">
        <v>3</v>
      </c>
      <c r="E397" t="s">
        <v>18</v>
      </c>
      <c r="F397" t="s">
        <v>18</v>
      </c>
      <c r="G397" t="s">
        <v>1443</v>
      </c>
      <c r="H397" t="s">
        <v>1446</v>
      </c>
    </row>
    <row r="398" spans="2:8" ht="15" customHeight="1" x14ac:dyDescent="0.25">
      <c r="B398" t="s">
        <v>496</v>
      </c>
      <c r="C398" s="2">
        <v>91791.869076237213</v>
      </c>
      <c r="D398" t="s">
        <v>3</v>
      </c>
      <c r="E398" t="s">
        <v>18</v>
      </c>
      <c r="F398" t="s">
        <v>18</v>
      </c>
      <c r="G398" t="s">
        <v>1441</v>
      </c>
      <c r="H398" t="s">
        <v>1446</v>
      </c>
    </row>
    <row r="399" spans="2:8" ht="15" customHeight="1" x14ac:dyDescent="0.25">
      <c r="B399" t="s">
        <v>497</v>
      </c>
      <c r="C399" s="2">
        <v>15000</v>
      </c>
      <c r="D399" t="s">
        <v>3</v>
      </c>
      <c r="E399" t="s">
        <v>0</v>
      </c>
      <c r="F399" t="s">
        <v>0</v>
      </c>
      <c r="G399" t="s">
        <v>1443</v>
      </c>
      <c r="H399" t="s">
        <v>1445</v>
      </c>
    </row>
    <row r="400" spans="2:8" ht="15" customHeight="1" x14ac:dyDescent="0.25">
      <c r="B400" t="s">
        <v>498</v>
      </c>
      <c r="C400" s="2">
        <v>66294.12766617132</v>
      </c>
      <c r="D400" t="s">
        <v>11</v>
      </c>
      <c r="E400" t="s">
        <v>18</v>
      </c>
      <c r="F400" t="s">
        <v>18</v>
      </c>
      <c r="G400" t="s">
        <v>1443</v>
      </c>
      <c r="H400" t="s">
        <v>1445</v>
      </c>
    </row>
    <row r="401" spans="2:8" ht="15" customHeight="1" x14ac:dyDescent="0.25">
      <c r="B401" t="s">
        <v>499</v>
      </c>
      <c r="C401" s="2">
        <v>101990.96564026357</v>
      </c>
      <c r="D401" t="s">
        <v>33</v>
      </c>
      <c r="E401" t="s">
        <v>18</v>
      </c>
      <c r="F401" t="s">
        <v>18</v>
      </c>
      <c r="G401" t="s">
        <v>1440</v>
      </c>
      <c r="H401" t="s">
        <v>1447</v>
      </c>
    </row>
    <row r="402" spans="2:8" ht="15" customHeight="1" x14ac:dyDescent="0.25">
      <c r="B402" t="s">
        <v>500</v>
      </c>
      <c r="C402" s="2">
        <v>60000</v>
      </c>
      <c r="D402" t="s">
        <v>11</v>
      </c>
      <c r="E402" t="s">
        <v>1</v>
      </c>
      <c r="F402" t="s">
        <v>1</v>
      </c>
      <c r="G402" t="s">
        <v>1443</v>
      </c>
      <c r="H402" t="s">
        <v>1445</v>
      </c>
    </row>
    <row r="403" spans="2:8" ht="15" customHeight="1" x14ac:dyDescent="0.25">
      <c r="B403" t="s">
        <v>501</v>
      </c>
      <c r="C403" s="2">
        <v>43856.11522531334</v>
      </c>
      <c r="D403" t="s">
        <v>11</v>
      </c>
      <c r="E403" t="s">
        <v>18</v>
      </c>
      <c r="F403" t="s">
        <v>18</v>
      </c>
      <c r="G403" t="s">
        <v>1440</v>
      </c>
      <c r="H403" t="s">
        <v>1445</v>
      </c>
    </row>
    <row r="404" spans="2:8" ht="15" customHeight="1" x14ac:dyDescent="0.25">
      <c r="B404" t="s">
        <v>502</v>
      </c>
      <c r="C404" s="2">
        <v>45616</v>
      </c>
      <c r="D404" t="s">
        <v>3</v>
      </c>
      <c r="E404" t="s">
        <v>18</v>
      </c>
      <c r="F404" t="s">
        <v>18</v>
      </c>
      <c r="G404" t="s">
        <v>1441</v>
      </c>
      <c r="H404" t="s">
        <v>1445</v>
      </c>
    </row>
    <row r="405" spans="2:8" ht="15" customHeight="1" x14ac:dyDescent="0.25">
      <c r="B405" t="s">
        <v>503</v>
      </c>
      <c r="C405" s="2">
        <v>75770.868892469181</v>
      </c>
      <c r="D405" t="s">
        <v>31</v>
      </c>
      <c r="E405" t="s">
        <v>45</v>
      </c>
      <c r="F405" t="s">
        <v>1451</v>
      </c>
      <c r="G405" t="s">
        <v>1441</v>
      </c>
      <c r="H405" t="s">
        <v>1446</v>
      </c>
    </row>
    <row r="406" spans="2:8" ht="15" customHeight="1" x14ac:dyDescent="0.25">
      <c r="B406" t="s">
        <v>504</v>
      </c>
      <c r="C406" s="2">
        <v>57726.886552389187</v>
      </c>
      <c r="D406" t="s">
        <v>11</v>
      </c>
      <c r="E406" t="s">
        <v>18</v>
      </c>
      <c r="F406" t="s">
        <v>18</v>
      </c>
      <c r="G406" t="s">
        <v>1443</v>
      </c>
      <c r="H406" t="s">
        <v>1445</v>
      </c>
    </row>
    <row r="407" spans="2:8" ht="15" customHeight="1" x14ac:dyDescent="0.25">
      <c r="B407" t="s">
        <v>505</v>
      </c>
      <c r="C407" s="2">
        <v>20000</v>
      </c>
      <c r="D407" t="s">
        <v>3</v>
      </c>
      <c r="E407" t="s">
        <v>18</v>
      </c>
      <c r="F407" t="s">
        <v>18</v>
      </c>
      <c r="G407" t="s">
        <v>1443</v>
      </c>
      <c r="H407" t="s">
        <v>1445</v>
      </c>
    </row>
    <row r="408" spans="2:8" ht="15" customHeight="1" x14ac:dyDescent="0.25">
      <c r="B408" t="s">
        <v>506</v>
      </c>
      <c r="C408" s="2">
        <v>203981.93128052715</v>
      </c>
      <c r="D408" t="s">
        <v>11</v>
      </c>
      <c r="E408" t="s">
        <v>18</v>
      </c>
      <c r="F408" t="s">
        <v>18</v>
      </c>
      <c r="G408" t="s">
        <v>1441</v>
      </c>
      <c r="H408" t="s">
        <v>1446</v>
      </c>
    </row>
    <row r="409" spans="2:8" ht="15" customHeight="1" x14ac:dyDescent="0.25">
      <c r="B409" t="s">
        <v>507</v>
      </c>
      <c r="C409" s="2">
        <v>50995.482820131787</v>
      </c>
      <c r="D409" t="s">
        <v>38</v>
      </c>
      <c r="E409" t="s">
        <v>18</v>
      </c>
      <c r="F409" t="s">
        <v>18</v>
      </c>
      <c r="G409" t="s">
        <v>1442</v>
      </c>
      <c r="H409" t="s">
        <v>1445</v>
      </c>
    </row>
    <row r="410" spans="2:8" ht="15" customHeight="1" x14ac:dyDescent="0.25">
      <c r="B410" t="s">
        <v>508</v>
      </c>
      <c r="C410" s="2">
        <v>127488.70705032947</v>
      </c>
      <c r="D410" t="s">
        <v>1439</v>
      </c>
      <c r="E410" t="s">
        <v>18</v>
      </c>
      <c r="F410" t="s">
        <v>18</v>
      </c>
      <c r="G410" t="s">
        <v>1441</v>
      </c>
      <c r="H410" t="s">
        <v>1446</v>
      </c>
    </row>
    <row r="411" spans="2:8" ht="15" customHeight="1" x14ac:dyDescent="0.25">
      <c r="B411" t="s">
        <v>509</v>
      </c>
      <c r="C411" s="2">
        <v>66294.12766617132</v>
      </c>
      <c r="D411" t="s">
        <v>3</v>
      </c>
      <c r="E411" t="s">
        <v>18</v>
      </c>
      <c r="F411" t="s">
        <v>18</v>
      </c>
      <c r="G411" t="s">
        <v>1441</v>
      </c>
      <c r="H411" t="s">
        <v>1445</v>
      </c>
    </row>
    <row r="412" spans="2:8" ht="15" customHeight="1" x14ac:dyDescent="0.25">
      <c r="B412" t="s">
        <v>510</v>
      </c>
      <c r="C412" s="2">
        <v>63234.398696963413</v>
      </c>
      <c r="D412" t="s">
        <v>3</v>
      </c>
      <c r="E412" t="s">
        <v>18</v>
      </c>
      <c r="F412" t="s">
        <v>18</v>
      </c>
      <c r="G412" t="s">
        <v>1441</v>
      </c>
      <c r="H412" t="s">
        <v>1445</v>
      </c>
    </row>
    <row r="413" spans="2:8" ht="15" customHeight="1" x14ac:dyDescent="0.25">
      <c r="B413" t="s">
        <v>511</v>
      </c>
      <c r="C413" s="2">
        <v>260000</v>
      </c>
      <c r="D413" t="s">
        <v>1439</v>
      </c>
      <c r="E413" t="s">
        <v>1</v>
      </c>
      <c r="F413" t="s">
        <v>1</v>
      </c>
      <c r="G413" t="s">
        <v>1443</v>
      </c>
      <c r="H413" t="s">
        <v>1447</v>
      </c>
    </row>
    <row r="414" spans="2:8" ht="15" customHeight="1" x14ac:dyDescent="0.25">
      <c r="B414" t="s">
        <v>512</v>
      </c>
      <c r="C414" s="2">
        <v>112190.06220428993</v>
      </c>
      <c r="D414" t="s">
        <v>11</v>
      </c>
      <c r="E414" t="s">
        <v>18</v>
      </c>
      <c r="F414" t="s">
        <v>18</v>
      </c>
      <c r="G414" t="s">
        <v>1443</v>
      </c>
      <c r="H414" t="s">
        <v>1447</v>
      </c>
    </row>
    <row r="415" spans="2:8" ht="15" customHeight="1" x14ac:dyDescent="0.25">
      <c r="B415" t="s">
        <v>513</v>
      </c>
      <c r="C415" s="2">
        <v>71393.675948184507</v>
      </c>
      <c r="D415" t="s">
        <v>11</v>
      </c>
      <c r="E415" t="s">
        <v>18</v>
      </c>
      <c r="F415" t="s">
        <v>18</v>
      </c>
      <c r="G415" t="s">
        <v>1441</v>
      </c>
      <c r="H415" t="s">
        <v>1447</v>
      </c>
    </row>
    <row r="416" spans="2:8" ht="15" customHeight="1" x14ac:dyDescent="0.25">
      <c r="B416" t="s">
        <v>514</v>
      </c>
      <c r="C416" s="2">
        <v>85000</v>
      </c>
      <c r="D416" t="s">
        <v>1437</v>
      </c>
      <c r="E416" t="s">
        <v>18</v>
      </c>
      <c r="F416" t="s">
        <v>18</v>
      </c>
      <c r="G416" t="s">
        <v>1441</v>
      </c>
      <c r="H416" t="s">
        <v>1447</v>
      </c>
    </row>
    <row r="417" spans="2:8" ht="15" customHeight="1" x14ac:dyDescent="0.25">
      <c r="B417" t="s">
        <v>515</v>
      </c>
      <c r="C417" s="2">
        <v>95871.50770184776</v>
      </c>
      <c r="D417" t="s">
        <v>3</v>
      </c>
      <c r="E417" t="s">
        <v>18</v>
      </c>
      <c r="F417" t="s">
        <v>18</v>
      </c>
      <c r="G417" t="s">
        <v>1443</v>
      </c>
      <c r="H417" t="s">
        <v>1445</v>
      </c>
    </row>
    <row r="418" spans="2:8" ht="15" customHeight="1" x14ac:dyDescent="0.25">
      <c r="B418" t="s">
        <v>516</v>
      </c>
      <c r="C418" s="2">
        <v>109130.33323508203</v>
      </c>
      <c r="D418" t="s">
        <v>11</v>
      </c>
      <c r="E418" t="s">
        <v>18</v>
      </c>
      <c r="F418" t="s">
        <v>18</v>
      </c>
      <c r="G418" t="s">
        <v>1441</v>
      </c>
      <c r="H418" t="s">
        <v>1449</v>
      </c>
    </row>
    <row r="419" spans="2:8" ht="15" customHeight="1" x14ac:dyDescent="0.25">
      <c r="B419" t="s">
        <v>517</v>
      </c>
      <c r="C419" s="2">
        <v>36000</v>
      </c>
      <c r="D419" t="s">
        <v>11</v>
      </c>
      <c r="E419" t="s">
        <v>69</v>
      </c>
      <c r="F419" t="s">
        <v>1454</v>
      </c>
      <c r="G419" t="s">
        <v>1442</v>
      </c>
      <c r="H419" t="s">
        <v>1445</v>
      </c>
    </row>
    <row r="420" spans="2:8" ht="15" customHeight="1" x14ac:dyDescent="0.25">
      <c r="B420" t="s">
        <v>518</v>
      </c>
      <c r="C420" s="2">
        <v>122389.15876831629</v>
      </c>
      <c r="D420" t="s">
        <v>3</v>
      </c>
      <c r="E420" t="s">
        <v>18</v>
      </c>
      <c r="F420" t="s">
        <v>18</v>
      </c>
      <c r="G420" t="s">
        <v>1441</v>
      </c>
      <c r="H420" t="s">
        <v>1445</v>
      </c>
    </row>
    <row r="421" spans="2:8" ht="15" customHeight="1" x14ac:dyDescent="0.25">
      <c r="B421" t="s">
        <v>519</v>
      </c>
      <c r="C421" s="2">
        <v>53035.30213293706</v>
      </c>
      <c r="D421" t="s">
        <v>3</v>
      </c>
      <c r="E421" t="s">
        <v>18</v>
      </c>
      <c r="F421" t="s">
        <v>18</v>
      </c>
      <c r="G421" t="s">
        <v>1441</v>
      </c>
      <c r="H421" t="s">
        <v>1445</v>
      </c>
    </row>
    <row r="422" spans="2:8" ht="15" customHeight="1" x14ac:dyDescent="0.25">
      <c r="B422" t="s">
        <v>520</v>
      </c>
      <c r="C422" s="2">
        <v>125000</v>
      </c>
      <c r="D422" t="s">
        <v>1439</v>
      </c>
      <c r="E422" t="s">
        <v>1</v>
      </c>
      <c r="F422" t="s">
        <v>1</v>
      </c>
      <c r="G422" t="s">
        <v>1441</v>
      </c>
      <c r="H422" t="s">
        <v>1447</v>
      </c>
    </row>
    <row r="423" spans="2:8" ht="15" customHeight="1" x14ac:dyDescent="0.25">
      <c r="B423" t="s">
        <v>521</v>
      </c>
      <c r="C423" s="2">
        <v>19000</v>
      </c>
      <c r="D423" t="s">
        <v>3</v>
      </c>
      <c r="E423" t="s">
        <v>47</v>
      </c>
      <c r="F423" t="s">
        <v>1454</v>
      </c>
      <c r="G423" t="s">
        <v>1441</v>
      </c>
      <c r="H423" t="s">
        <v>1447</v>
      </c>
    </row>
    <row r="424" spans="2:8" ht="15" customHeight="1" x14ac:dyDescent="0.25">
      <c r="B424" t="s">
        <v>522</v>
      </c>
      <c r="C424" s="2">
        <v>93831.688389042494</v>
      </c>
      <c r="D424" t="s">
        <v>3</v>
      </c>
      <c r="E424" t="s">
        <v>18</v>
      </c>
      <c r="F424" t="s">
        <v>18</v>
      </c>
      <c r="G424" t="s">
        <v>1440</v>
      </c>
      <c r="H424" t="s">
        <v>1447</v>
      </c>
    </row>
    <row r="425" spans="2:8" ht="15" customHeight="1" x14ac:dyDescent="0.25">
      <c r="B425" t="s">
        <v>523</v>
      </c>
      <c r="C425" s="2">
        <v>101990.96564026357</v>
      </c>
      <c r="D425" t="s">
        <v>3</v>
      </c>
      <c r="E425" t="s">
        <v>18</v>
      </c>
      <c r="F425" t="s">
        <v>18</v>
      </c>
      <c r="G425" t="s">
        <v>1441</v>
      </c>
      <c r="H425" t="s">
        <v>1446</v>
      </c>
    </row>
    <row r="426" spans="2:8" ht="15" customHeight="1" x14ac:dyDescent="0.25">
      <c r="B426" t="s">
        <v>524</v>
      </c>
      <c r="C426" s="2">
        <v>122389.15876831629</v>
      </c>
      <c r="D426" t="s">
        <v>3</v>
      </c>
      <c r="E426" t="s">
        <v>18</v>
      </c>
      <c r="F426" t="s">
        <v>18</v>
      </c>
      <c r="G426" t="s">
        <v>1441</v>
      </c>
      <c r="H426" t="s">
        <v>1445</v>
      </c>
    </row>
    <row r="427" spans="2:8" ht="15" customHeight="1" x14ac:dyDescent="0.25">
      <c r="B427" t="s">
        <v>525</v>
      </c>
      <c r="C427" s="2">
        <v>34417.653306061438</v>
      </c>
      <c r="D427" t="s">
        <v>3</v>
      </c>
      <c r="E427" t="s">
        <v>19</v>
      </c>
      <c r="F427" t="s">
        <v>19</v>
      </c>
      <c r="G427" t="s">
        <v>1440</v>
      </c>
      <c r="H427" t="s">
        <v>1445</v>
      </c>
    </row>
    <row r="428" spans="2:8" ht="15" customHeight="1" x14ac:dyDescent="0.25">
      <c r="B428" t="s">
        <v>526</v>
      </c>
      <c r="C428" s="2">
        <v>12000</v>
      </c>
      <c r="D428" t="s">
        <v>11</v>
      </c>
      <c r="E428" t="s">
        <v>70</v>
      </c>
      <c r="F428" t="s">
        <v>1454</v>
      </c>
      <c r="G428" t="s">
        <v>1440</v>
      </c>
      <c r="H428" t="s">
        <v>1445</v>
      </c>
    </row>
    <row r="429" spans="2:8" ht="15" customHeight="1" x14ac:dyDescent="0.25">
      <c r="B429" t="s">
        <v>527</v>
      </c>
      <c r="C429" s="2">
        <v>3632.815004238284</v>
      </c>
      <c r="D429" t="s">
        <v>11</v>
      </c>
      <c r="E429" t="s">
        <v>0</v>
      </c>
      <c r="F429" t="s">
        <v>0</v>
      </c>
      <c r="G429" t="s">
        <v>1441</v>
      </c>
      <c r="H429" t="s">
        <v>1445</v>
      </c>
    </row>
    <row r="430" spans="2:8" ht="15" customHeight="1" x14ac:dyDescent="0.25">
      <c r="B430" t="s">
        <v>528</v>
      </c>
      <c r="C430" s="2">
        <v>21369.500024931083</v>
      </c>
      <c r="D430" t="s">
        <v>33</v>
      </c>
      <c r="E430" t="s">
        <v>0</v>
      </c>
      <c r="F430" t="s">
        <v>0</v>
      </c>
      <c r="G430" t="s">
        <v>1440</v>
      </c>
      <c r="H430" t="s">
        <v>1447</v>
      </c>
    </row>
    <row r="431" spans="2:8" ht="15" customHeight="1" x14ac:dyDescent="0.25">
      <c r="B431" t="s">
        <v>529</v>
      </c>
      <c r="C431" s="2">
        <v>8903.9583437212841</v>
      </c>
      <c r="D431" t="s">
        <v>3</v>
      </c>
      <c r="E431" t="s">
        <v>0</v>
      </c>
      <c r="F431" t="s">
        <v>0</v>
      </c>
      <c r="G431" t="s">
        <v>1441</v>
      </c>
      <c r="H431" t="s">
        <v>1447</v>
      </c>
    </row>
    <row r="432" spans="2:8" ht="15" customHeight="1" x14ac:dyDescent="0.25">
      <c r="B432" t="s">
        <v>530</v>
      </c>
      <c r="C432" s="2">
        <v>15206.427249917633</v>
      </c>
      <c r="D432" t="s">
        <v>11</v>
      </c>
      <c r="E432" t="s">
        <v>69</v>
      </c>
      <c r="F432" t="s">
        <v>1454</v>
      </c>
      <c r="G432" t="s">
        <v>1441</v>
      </c>
      <c r="H432" t="s">
        <v>1445</v>
      </c>
    </row>
    <row r="433" spans="2:8" ht="15" customHeight="1" x14ac:dyDescent="0.25">
      <c r="B433" t="s">
        <v>531</v>
      </c>
      <c r="C433" s="2">
        <v>143565.85684888897</v>
      </c>
      <c r="D433" t="s">
        <v>11</v>
      </c>
      <c r="E433" t="s">
        <v>45</v>
      </c>
      <c r="F433" t="s">
        <v>1451</v>
      </c>
      <c r="G433" t="s">
        <v>1441</v>
      </c>
      <c r="H433" t="s">
        <v>1448</v>
      </c>
    </row>
    <row r="434" spans="2:8" ht="15" customHeight="1" x14ac:dyDescent="0.25">
      <c r="B434" t="s">
        <v>532</v>
      </c>
      <c r="C434" s="2">
        <v>9705.3145946561999</v>
      </c>
      <c r="D434" t="s">
        <v>11</v>
      </c>
      <c r="E434" t="s">
        <v>0</v>
      </c>
      <c r="F434" t="s">
        <v>0</v>
      </c>
      <c r="G434" t="s">
        <v>1443</v>
      </c>
      <c r="H434" t="s">
        <v>1447</v>
      </c>
    </row>
    <row r="435" spans="2:8" ht="15" customHeight="1" x14ac:dyDescent="0.25">
      <c r="B435" t="s">
        <v>533</v>
      </c>
      <c r="C435" s="2">
        <v>17807.916687442568</v>
      </c>
      <c r="D435" t="s">
        <v>11</v>
      </c>
      <c r="E435" t="s">
        <v>0</v>
      </c>
      <c r="F435" t="s">
        <v>0</v>
      </c>
      <c r="G435" t="s">
        <v>1440</v>
      </c>
      <c r="H435" t="s">
        <v>1447</v>
      </c>
    </row>
    <row r="436" spans="2:8" ht="15" customHeight="1" x14ac:dyDescent="0.25">
      <c r="B436" t="s">
        <v>534</v>
      </c>
      <c r="C436" s="2">
        <v>3205.4250037396623</v>
      </c>
      <c r="D436" t="s">
        <v>3</v>
      </c>
      <c r="E436" t="s">
        <v>0</v>
      </c>
      <c r="F436" t="s">
        <v>0</v>
      </c>
      <c r="G436" t="s">
        <v>1441</v>
      </c>
      <c r="H436" t="s">
        <v>1447</v>
      </c>
    </row>
    <row r="437" spans="2:8" ht="15" customHeight="1" x14ac:dyDescent="0.25">
      <c r="B437" t="s">
        <v>535</v>
      </c>
      <c r="C437" s="2">
        <v>45000</v>
      </c>
      <c r="D437" t="s">
        <v>31</v>
      </c>
      <c r="E437" t="s">
        <v>1</v>
      </c>
      <c r="F437" t="s">
        <v>1</v>
      </c>
      <c r="G437" t="s">
        <v>1440</v>
      </c>
      <c r="H437" t="s">
        <v>1445</v>
      </c>
    </row>
    <row r="438" spans="2:8" ht="15" customHeight="1" x14ac:dyDescent="0.25">
      <c r="B438" t="s">
        <v>536</v>
      </c>
      <c r="C438" s="2">
        <v>12465.541681209797</v>
      </c>
      <c r="D438" t="s">
        <v>11</v>
      </c>
      <c r="E438" t="s">
        <v>0</v>
      </c>
      <c r="F438" t="s">
        <v>0</v>
      </c>
      <c r="G438" t="s">
        <v>1443</v>
      </c>
      <c r="H438" t="s">
        <v>1447</v>
      </c>
    </row>
    <row r="439" spans="2:8" ht="15" customHeight="1" x14ac:dyDescent="0.25">
      <c r="B439" t="s">
        <v>537</v>
      </c>
      <c r="C439" s="2">
        <v>95871.50770184776</v>
      </c>
      <c r="D439" t="s">
        <v>3</v>
      </c>
      <c r="E439" t="s">
        <v>18</v>
      </c>
      <c r="F439" t="s">
        <v>18</v>
      </c>
      <c r="G439" t="s">
        <v>1443</v>
      </c>
      <c r="H439" t="s">
        <v>1446</v>
      </c>
    </row>
    <row r="440" spans="2:8" ht="15" customHeight="1" x14ac:dyDescent="0.25">
      <c r="B440" t="s">
        <v>538</v>
      </c>
      <c r="C440" s="2">
        <v>173384.64158844808</v>
      </c>
      <c r="D440" t="s">
        <v>33</v>
      </c>
      <c r="E440" t="s">
        <v>18</v>
      </c>
      <c r="F440" t="s">
        <v>18</v>
      </c>
      <c r="G440" t="s">
        <v>1443</v>
      </c>
      <c r="H440" t="s">
        <v>1447</v>
      </c>
    </row>
    <row r="441" spans="2:8" ht="15" customHeight="1" x14ac:dyDescent="0.25">
      <c r="B441" t="s">
        <v>539</v>
      </c>
      <c r="C441" s="2">
        <v>11575.14584683767</v>
      </c>
      <c r="D441" t="s">
        <v>11</v>
      </c>
      <c r="E441" t="s">
        <v>0</v>
      </c>
      <c r="F441" t="s">
        <v>0</v>
      </c>
      <c r="G441" t="s">
        <v>1443</v>
      </c>
      <c r="H441" t="s">
        <v>1445</v>
      </c>
    </row>
    <row r="442" spans="2:8" ht="15" customHeight="1" x14ac:dyDescent="0.25">
      <c r="B442" t="s">
        <v>540</v>
      </c>
      <c r="C442" s="2">
        <v>18000</v>
      </c>
      <c r="D442" t="s">
        <v>14</v>
      </c>
      <c r="E442" t="s">
        <v>0</v>
      </c>
      <c r="F442" t="s">
        <v>0</v>
      </c>
      <c r="G442" t="s">
        <v>1440</v>
      </c>
      <c r="H442" t="s">
        <v>1447</v>
      </c>
    </row>
    <row r="443" spans="2:8" ht="15" customHeight="1" x14ac:dyDescent="0.25">
      <c r="B443" t="s">
        <v>541</v>
      </c>
      <c r="C443" s="2">
        <v>71393.675948184507</v>
      </c>
      <c r="D443" t="s">
        <v>1439</v>
      </c>
      <c r="E443" t="s">
        <v>18</v>
      </c>
      <c r="F443" t="s">
        <v>18</v>
      </c>
      <c r="G443" t="s">
        <v>1440</v>
      </c>
      <c r="H443" t="s">
        <v>1445</v>
      </c>
    </row>
    <row r="444" spans="2:8" ht="15" customHeight="1" x14ac:dyDescent="0.25">
      <c r="B444" t="s">
        <v>542</v>
      </c>
      <c r="C444" s="2">
        <v>6232.7708406048987</v>
      </c>
      <c r="D444" t="s">
        <v>3</v>
      </c>
      <c r="E444" t="s">
        <v>0</v>
      </c>
      <c r="F444" t="s">
        <v>0</v>
      </c>
      <c r="G444" t="s">
        <v>1441</v>
      </c>
      <c r="H444" t="s">
        <v>1445</v>
      </c>
    </row>
    <row r="445" spans="2:8" ht="15" customHeight="1" x14ac:dyDescent="0.25">
      <c r="B445" t="s">
        <v>543</v>
      </c>
      <c r="C445" s="2">
        <v>1805.7739622442759</v>
      </c>
      <c r="D445" t="s">
        <v>11</v>
      </c>
      <c r="E445" t="s">
        <v>48</v>
      </c>
      <c r="F445" t="s">
        <v>1454</v>
      </c>
      <c r="G445" t="s">
        <v>1441</v>
      </c>
      <c r="H445" t="s">
        <v>1445</v>
      </c>
    </row>
    <row r="446" spans="2:8" ht="15" customHeight="1" x14ac:dyDescent="0.25">
      <c r="B446" t="s">
        <v>544</v>
      </c>
      <c r="C446" s="2">
        <v>11397.066679963244</v>
      </c>
      <c r="D446" t="s">
        <v>3</v>
      </c>
      <c r="E446" t="s">
        <v>0</v>
      </c>
      <c r="F446" t="s">
        <v>0</v>
      </c>
      <c r="G446" t="s">
        <v>1440</v>
      </c>
      <c r="H446" t="s">
        <v>1447</v>
      </c>
    </row>
    <row r="447" spans="2:8" ht="15" customHeight="1" x14ac:dyDescent="0.25">
      <c r="B447" t="s">
        <v>545</v>
      </c>
      <c r="C447" s="2">
        <v>15000</v>
      </c>
      <c r="D447" t="s">
        <v>11</v>
      </c>
      <c r="E447" t="s">
        <v>0</v>
      </c>
      <c r="F447" t="s">
        <v>0</v>
      </c>
      <c r="G447" t="s">
        <v>1441</v>
      </c>
      <c r="H447" t="s">
        <v>1445</v>
      </c>
    </row>
    <row r="448" spans="2:8" ht="15" customHeight="1" x14ac:dyDescent="0.25">
      <c r="B448" t="s">
        <v>546</v>
      </c>
      <c r="C448" s="2">
        <v>37612.869087708088</v>
      </c>
      <c r="D448" t="s">
        <v>11</v>
      </c>
      <c r="E448" t="s">
        <v>10</v>
      </c>
      <c r="F448" t="s">
        <v>1451</v>
      </c>
      <c r="G448" t="s">
        <v>1440</v>
      </c>
      <c r="H448" t="s">
        <v>1445</v>
      </c>
    </row>
    <row r="449" spans="2:8" ht="15" customHeight="1" x14ac:dyDescent="0.25">
      <c r="B449" t="s">
        <v>547</v>
      </c>
      <c r="C449" s="2">
        <v>6499.8895909165376</v>
      </c>
      <c r="D449" t="s">
        <v>3</v>
      </c>
      <c r="E449" t="s">
        <v>0</v>
      </c>
      <c r="F449" t="s">
        <v>0</v>
      </c>
      <c r="G449" t="s">
        <v>1441</v>
      </c>
      <c r="H449" t="s">
        <v>1445</v>
      </c>
    </row>
    <row r="450" spans="2:8" ht="15" customHeight="1" x14ac:dyDescent="0.25">
      <c r="B450" t="s">
        <v>548</v>
      </c>
      <c r="C450" s="2">
        <v>20000</v>
      </c>
      <c r="D450" t="s">
        <v>1437</v>
      </c>
      <c r="E450" t="s">
        <v>71</v>
      </c>
      <c r="F450" t="s">
        <v>1451</v>
      </c>
      <c r="G450" t="s">
        <v>1440</v>
      </c>
      <c r="H450" t="s">
        <v>1447</v>
      </c>
    </row>
    <row r="451" spans="2:8" ht="15" customHeight="1" x14ac:dyDescent="0.25">
      <c r="B451" t="s">
        <v>549</v>
      </c>
      <c r="C451" s="2">
        <v>7265</v>
      </c>
      <c r="D451" t="s">
        <v>29</v>
      </c>
      <c r="E451" t="s">
        <v>0</v>
      </c>
      <c r="F451" t="s">
        <v>0</v>
      </c>
      <c r="G451" t="s">
        <v>1441</v>
      </c>
      <c r="H451" t="s">
        <v>1447</v>
      </c>
    </row>
    <row r="452" spans="2:8" ht="15" customHeight="1" x14ac:dyDescent="0.25">
      <c r="B452" t="s">
        <v>550</v>
      </c>
      <c r="C452" s="2">
        <v>72571.80269935554</v>
      </c>
      <c r="D452" t="s">
        <v>11</v>
      </c>
      <c r="E452" t="s">
        <v>25</v>
      </c>
      <c r="F452" t="s">
        <v>1454</v>
      </c>
      <c r="G452" t="s">
        <v>1440</v>
      </c>
      <c r="H452" t="s">
        <v>1446</v>
      </c>
    </row>
    <row r="453" spans="2:8" ht="15" customHeight="1" x14ac:dyDescent="0.25">
      <c r="B453" t="s">
        <v>551</v>
      </c>
      <c r="C453" s="2">
        <v>8013.5625093491553</v>
      </c>
      <c r="D453" t="s">
        <v>11</v>
      </c>
      <c r="E453" t="s">
        <v>0</v>
      </c>
      <c r="F453" t="s">
        <v>0</v>
      </c>
      <c r="G453" t="s">
        <v>1440</v>
      </c>
      <c r="H453" t="s">
        <v>1446</v>
      </c>
    </row>
    <row r="454" spans="2:8" ht="15" customHeight="1" x14ac:dyDescent="0.25">
      <c r="B454" t="s">
        <v>552</v>
      </c>
      <c r="C454" s="2">
        <v>10150.512511842264</v>
      </c>
      <c r="D454" t="s">
        <v>3</v>
      </c>
      <c r="E454" t="s">
        <v>0</v>
      </c>
      <c r="F454" t="s">
        <v>0</v>
      </c>
      <c r="G454" t="s">
        <v>1441</v>
      </c>
      <c r="H454" t="s">
        <v>1445</v>
      </c>
    </row>
    <row r="455" spans="2:8" ht="15" customHeight="1" x14ac:dyDescent="0.25">
      <c r="B455" t="s">
        <v>553</v>
      </c>
      <c r="C455" s="2">
        <v>65000</v>
      </c>
      <c r="D455" t="s">
        <v>38</v>
      </c>
      <c r="E455" t="s">
        <v>1</v>
      </c>
      <c r="F455" t="s">
        <v>1</v>
      </c>
      <c r="G455" t="s">
        <v>1441</v>
      </c>
      <c r="H455" t="s">
        <v>1447</v>
      </c>
    </row>
    <row r="456" spans="2:8" ht="15" customHeight="1" x14ac:dyDescent="0.25">
      <c r="B456" t="s">
        <v>554</v>
      </c>
      <c r="C456" s="2">
        <v>3184.2266150397395</v>
      </c>
      <c r="D456" t="s">
        <v>11</v>
      </c>
      <c r="E456" t="s">
        <v>2</v>
      </c>
      <c r="F456" t="s">
        <v>2</v>
      </c>
      <c r="G456" t="s">
        <v>1441</v>
      </c>
      <c r="H456" t="s">
        <v>1445</v>
      </c>
    </row>
    <row r="457" spans="2:8" ht="15" customHeight="1" x14ac:dyDescent="0.25">
      <c r="B457" t="s">
        <v>555</v>
      </c>
      <c r="C457" s="2">
        <v>10898.445012714852</v>
      </c>
      <c r="D457" t="s">
        <v>11</v>
      </c>
      <c r="E457" t="s">
        <v>0</v>
      </c>
      <c r="F457" t="s">
        <v>0</v>
      </c>
      <c r="G457" t="s">
        <v>1443</v>
      </c>
      <c r="H457" t="s">
        <v>1446</v>
      </c>
    </row>
    <row r="458" spans="2:8" ht="15" customHeight="1" x14ac:dyDescent="0.25">
      <c r="B458" t="s">
        <v>556</v>
      </c>
      <c r="C458" s="2">
        <v>10800</v>
      </c>
      <c r="D458" t="s">
        <v>11</v>
      </c>
      <c r="E458" t="s">
        <v>2</v>
      </c>
      <c r="F458" t="s">
        <v>2</v>
      </c>
      <c r="G458" t="s">
        <v>1440</v>
      </c>
      <c r="H458" t="s">
        <v>1445</v>
      </c>
    </row>
    <row r="459" spans="2:8" ht="15" customHeight="1" x14ac:dyDescent="0.25">
      <c r="B459" t="s">
        <v>557</v>
      </c>
      <c r="C459" s="2">
        <v>2136.9500024931081</v>
      </c>
      <c r="D459" t="s">
        <v>3</v>
      </c>
      <c r="E459" t="s">
        <v>0</v>
      </c>
      <c r="F459" t="s">
        <v>0</v>
      </c>
      <c r="G459" t="s">
        <v>1443</v>
      </c>
      <c r="H459" t="s">
        <v>1445</v>
      </c>
    </row>
    <row r="460" spans="2:8" ht="15" customHeight="1" x14ac:dyDescent="0.25">
      <c r="B460" t="s">
        <v>558</v>
      </c>
      <c r="C460" s="2">
        <v>45000</v>
      </c>
      <c r="D460" t="s">
        <v>29</v>
      </c>
      <c r="E460" t="s">
        <v>25</v>
      </c>
      <c r="F460" t="s">
        <v>1454</v>
      </c>
      <c r="G460" t="s">
        <v>1443</v>
      </c>
      <c r="H460" t="s">
        <v>1445</v>
      </c>
    </row>
    <row r="461" spans="2:8" ht="15" customHeight="1" x14ac:dyDescent="0.25">
      <c r="B461" t="s">
        <v>559</v>
      </c>
      <c r="C461" s="2">
        <v>7123.1666749770275</v>
      </c>
      <c r="D461" t="s">
        <v>11</v>
      </c>
      <c r="E461" t="s">
        <v>0</v>
      </c>
      <c r="F461" t="s">
        <v>0</v>
      </c>
      <c r="G461" t="s">
        <v>1443</v>
      </c>
      <c r="H461" t="s">
        <v>1445</v>
      </c>
    </row>
    <row r="462" spans="2:8" ht="15" customHeight="1" x14ac:dyDescent="0.25">
      <c r="B462" t="s">
        <v>560</v>
      </c>
      <c r="C462" s="2">
        <v>5342.3750062327708</v>
      </c>
      <c r="D462" t="s">
        <v>31</v>
      </c>
      <c r="E462" t="s">
        <v>0</v>
      </c>
      <c r="F462" t="s">
        <v>0</v>
      </c>
      <c r="G462" t="s">
        <v>1443</v>
      </c>
      <c r="H462" t="s">
        <v>1445</v>
      </c>
    </row>
    <row r="463" spans="2:8" ht="15" customHeight="1" x14ac:dyDescent="0.25">
      <c r="B463" t="s">
        <v>561</v>
      </c>
      <c r="C463" s="2">
        <v>18000</v>
      </c>
      <c r="D463" t="s">
        <v>11</v>
      </c>
      <c r="E463" t="s">
        <v>0</v>
      </c>
      <c r="F463" t="s">
        <v>0</v>
      </c>
      <c r="G463" t="s">
        <v>1443</v>
      </c>
      <c r="H463" t="s">
        <v>1445</v>
      </c>
    </row>
    <row r="464" spans="2:8" ht="15" customHeight="1" x14ac:dyDescent="0.25">
      <c r="B464" t="s">
        <v>562</v>
      </c>
      <c r="C464" s="2">
        <v>4840.0244548604041</v>
      </c>
      <c r="D464" t="s">
        <v>11</v>
      </c>
      <c r="E464" t="s">
        <v>2</v>
      </c>
      <c r="F464" t="s">
        <v>2</v>
      </c>
      <c r="G464" t="s">
        <v>1441</v>
      </c>
      <c r="H464" t="s">
        <v>1445</v>
      </c>
    </row>
    <row r="465" spans="2:8" ht="15" customHeight="1" x14ac:dyDescent="0.25">
      <c r="B465" t="s">
        <v>563</v>
      </c>
      <c r="C465" s="2">
        <v>7479.3250087258784</v>
      </c>
      <c r="D465" t="s">
        <v>3</v>
      </c>
      <c r="E465" t="s">
        <v>0</v>
      </c>
      <c r="F465" t="s">
        <v>0</v>
      </c>
      <c r="G465" t="s">
        <v>1443</v>
      </c>
      <c r="H465" t="s">
        <v>1447</v>
      </c>
    </row>
    <row r="466" spans="2:8" ht="15" customHeight="1" x14ac:dyDescent="0.25">
      <c r="B466" t="s">
        <v>564</v>
      </c>
      <c r="C466" s="2">
        <v>3739.6625043629392</v>
      </c>
      <c r="D466" t="s">
        <v>1437</v>
      </c>
      <c r="E466" t="s">
        <v>0</v>
      </c>
      <c r="F466" t="s">
        <v>0</v>
      </c>
      <c r="G466" t="s">
        <v>1440</v>
      </c>
      <c r="H466" t="s">
        <v>1445</v>
      </c>
    </row>
    <row r="467" spans="2:8" ht="15" customHeight="1" x14ac:dyDescent="0.25">
      <c r="B467" t="s">
        <v>565</v>
      </c>
      <c r="C467" s="2">
        <v>42000</v>
      </c>
      <c r="D467" t="s">
        <v>11</v>
      </c>
      <c r="E467" t="s">
        <v>72</v>
      </c>
      <c r="F467" t="s">
        <v>1451</v>
      </c>
      <c r="G467" t="s">
        <v>1440</v>
      </c>
      <c r="H467" t="s">
        <v>1445</v>
      </c>
    </row>
    <row r="468" spans="2:8" ht="15" customHeight="1" x14ac:dyDescent="0.25">
      <c r="B468" t="s">
        <v>566</v>
      </c>
      <c r="C468" s="2">
        <v>28000</v>
      </c>
      <c r="D468" t="s">
        <v>1437</v>
      </c>
      <c r="E468" t="s">
        <v>0</v>
      </c>
      <c r="F468" t="s">
        <v>0</v>
      </c>
      <c r="G468" t="s">
        <v>1443</v>
      </c>
      <c r="H468" t="s">
        <v>1445</v>
      </c>
    </row>
    <row r="469" spans="2:8" ht="15" customHeight="1" x14ac:dyDescent="0.25">
      <c r="B469" t="s">
        <v>567</v>
      </c>
      <c r="C469" s="2">
        <v>6000</v>
      </c>
      <c r="D469" t="s">
        <v>11</v>
      </c>
      <c r="E469" t="s">
        <v>0</v>
      </c>
      <c r="F469" t="s">
        <v>0</v>
      </c>
      <c r="G469" t="s">
        <v>1441</v>
      </c>
      <c r="H469" t="s">
        <v>1445</v>
      </c>
    </row>
    <row r="470" spans="2:8" ht="15" customHeight="1" x14ac:dyDescent="0.25">
      <c r="B470" t="s">
        <v>568</v>
      </c>
      <c r="C470" s="2">
        <v>43867.345148271634</v>
      </c>
      <c r="D470" t="s">
        <v>3</v>
      </c>
      <c r="E470" t="s">
        <v>45</v>
      </c>
      <c r="F470" t="s">
        <v>1451</v>
      </c>
      <c r="G470" t="s">
        <v>1440</v>
      </c>
      <c r="H470" t="s">
        <v>1447</v>
      </c>
    </row>
    <row r="471" spans="2:8" ht="15" customHeight="1" x14ac:dyDescent="0.25">
      <c r="B471" t="s">
        <v>569</v>
      </c>
      <c r="C471" s="2">
        <v>17807.916687442568</v>
      </c>
      <c r="D471" t="s">
        <v>3</v>
      </c>
      <c r="E471" t="s">
        <v>0</v>
      </c>
      <c r="F471" t="s">
        <v>0</v>
      </c>
      <c r="G471" t="s">
        <v>1442</v>
      </c>
      <c r="H471" t="s">
        <v>1448</v>
      </c>
    </row>
    <row r="472" spans="2:8" ht="15" customHeight="1" x14ac:dyDescent="0.25">
      <c r="B472" t="s">
        <v>570</v>
      </c>
      <c r="C472" s="2">
        <v>10684.750012465542</v>
      </c>
      <c r="D472" t="s">
        <v>3</v>
      </c>
      <c r="E472" t="s">
        <v>0</v>
      </c>
      <c r="F472" t="s">
        <v>0</v>
      </c>
      <c r="G472" t="s">
        <v>1440</v>
      </c>
      <c r="H472" t="s">
        <v>1446</v>
      </c>
    </row>
    <row r="473" spans="2:8" ht="15" customHeight="1" x14ac:dyDescent="0.25">
      <c r="B473" t="s">
        <v>571</v>
      </c>
      <c r="C473" s="2">
        <v>60000</v>
      </c>
      <c r="D473" t="s">
        <v>33</v>
      </c>
      <c r="E473" t="s">
        <v>40</v>
      </c>
      <c r="F473" t="s">
        <v>1453</v>
      </c>
      <c r="G473" t="s">
        <v>1440</v>
      </c>
      <c r="H473" t="s">
        <v>1445</v>
      </c>
    </row>
    <row r="474" spans="2:8" ht="15" customHeight="1" x14ac:dyDescent="0.25">
      <c r="B474" t="s">
        <v>572</v>
      </c>
      <c r="C474" s="2">
        <v>8476.5683432226633</v>
      </c>
      <c r="D474" t="s">
        <v>1437</v>
      </c>
      <c r="E474" t="s">
        <v>0</v>
      </c>
      <c r="F474" t="s">
        <v>0</v>
      </c>
      <c r="G474" t="s">
        <v>1441</v>
      </c>
      <c r="H474" t="s">
        <v>1447</v>
      </c>
    </row>
    <row r="475" spans="2:8" ht="15" customHeight="1" x14ac:dyDescent="0.25">
      <c r="B475" t="s">
        <v>573</v>
      </c>
      <c r="C475" s="2">
        <v>8700</v>
      </c>
      <c r="D475" t="s">
        <v>38</v>
      </c>
      <c r="E475" t="s">
        <v>0</v>
      </c>
      <c r="F475" t="s">
        <v>0</v>
      </c>
      <c r="G475" t="s">
        <v>1443</v>
      </c>
      <c r="H475" t="s">
        <v>1447</v>
      </c>
    </row>
    <row r="476" spans="2:8" ht="15" customHeight="1" x14ac:dyDescent="0.25">
      <c r="B476" t="s">
        <v>574</v>
      </c>
      <c r="C476" s="2">
        <v>3561.5833374885137</v>
      </c>
      <c r="D476" t="s">
        <v>11</v>
      </c>
      <c r="E476" t="s">
        <v>0</v>
      </c>
      <c r="F476" t="s">
        <v>0</v>
      </c>
      <c r="G476" t="s">
        <v>1440</v>
      </c>
      <c r="H476" t="s">
        <v>1447</v>
      </c>
    </row>
    <row r="477" spans="2:8" ht="15" customHeight="1" x14ac:dyDescent="0.25">
      <c r="B477" t="s">
        <v>575</v>
      </c>
      <c r="C477" s="2">
        <v>3205.4250037396623</v>
      </c>
      <c r="D477" t="s">
        <v>1437</v>
      </c>
      <c r="E477" t="s">
        <v>0</v>
      </c>
      <c r="F477" t="s">
        <v>0</v>
      </c>
      <c r="G477" t="s">
        <v>1440</v>
      </c>
      <c r="H477" t="s">
        <v>1445</v>
      </c>
    </row>
    <row r="478" spans="2:8" ht="15" customHeight="1" x14ac:dyDescent="0.25">
      <c r="B478" t="s">
        <v>576</v>
      </c>
      <c r="C478" s="2">
        <v>4487.5950052355274</v>
      </c>
      <c r="D478" t="s">
        <v>31</v>
      </c>
      <c r="E478" t="s">
        <v>0</v>
      </c>
      <c r="F478" t="s">
        <v>0</v>
      </c>
      <c r="G478" t="s">
        <v>1442</v>
      </c>
      <c r="H478" t="s">
        <v>1445</v>
      </c>
    </row>
    <row r="479" spans="2:8" ht="15" customHeight="1" x14ac:dyDescent="0.25">
      <c r="B479" t="s">
        <v>577</v>
      </c>
      <c r="C479" s="2">
        <v>12465.541681209797</v>
      </c>
      <c r="D479" t="s">
        <v>3</v>
      </c>
      <c r="E479" t="s">
        <v>0</v>
      </c>
      <c r="F479" t="s">
        <v>0</v>
      </c>
      <c r="G479" t="s">
        <v>1441</v>
      </c>
      <c r="H479" t="s">
        <v>1445</v>
      </c>
    </row>
    <row r="480" spans="2:8" ht="15" customHeight="1" x14ac:dyDescent="0.25">
      <c r="B480" t="s">
        <v>578</v>
      </c>
      <c r="C480" s="2">
        <v>2400</v>
      </c>
      <c r="D480" t="s">
        <v>31</v>
      </c>
      <c r="E480" t="s">
        <v>2</v>
      </c>
      <c r="F480" t="s">
        <v>2</v>
      </c>
      <c r="G480" t="s">
        <v>1443</v>
      </c>
      <c r="H480" t="s">
        <v>1446</v>
      </c>
    </row>
    <row r="481" spans="2:8" ht="15" customHeight="1" x14ac:dyDescent="0.25">
      <c r="B481" t="s">
        <v>579</v>
      </c>
      <c r="C481" s="2">
        <v>55000</v>
      </c>
      <c r="D481" t="s">
        <v>1437</v>
      </c>
      <c r="E481" t="s">
        <v>35</v>
      </c>
      <c r="F481" t="s">
        <v>1451</v>
      </c>
      <c r="G481" t="s">
        <v>1441</v>
      </c>
      <c r="H481" t="s">
        <v>1447</v>
      </c>
    </row>
    <row r="482" spans="2:8" ht="15" customHeight="1" x14ac:dyDescent="0.25">
      <c r="B482" t="s">
        <v>580</v>
      </c>
      <c r="C482" s="2">
        <v>12000</v>
      </c>
      <c r="D482" t="s">
        <v>38</v>
      </c>
      <c r="E482" t="s">
        <v>39</v>
      </c>
      <c r="F482" t="s">
        <v>1451</v>
      </c>
      <c r="G482" t="s">
        <v>1441</v>
      </c>
      <c r="H482" t="s">
        <v>1445</v>
      </c>
    </row>
    <row r="483" spans="2:8" ht="15" customHeight="1" x14ac:dyDescent="0.25">
      <c r="B483" t="s">
        <v>581</v>
      </c>
      <c r="C483" s="2">
        <v>55262.375596134938</v>
      </c>
      <c r="D483" t="s">
        <v>11</v>
      </c>
      <c r="E483" t="s">
        <v>42</v>
      </c>
      <c r="F483" t="s">
        <v>1453</v>
      </c>
      <c r="G483" t="s">
        <v>1443</v>
      </c>
      <c r="H483" t="s">
        <v>1447</v>
      </c>
    </row>
    <row r="484" spans="2:8" ht="15" customHeight="1" x14ac:dyDescent="0.25">
      <c r="B484" t="s">
        <v>582</v>
      </c>
      <c r="C484" s="2">
        <v>21369.500024931083</v>
      </c>
      <c r="D484" t="s">
        <v>11</v>
      </c>
      <c r="E484" t="s">
        <v>0</v>
      </c>
      <c r="F484" t="s">
        <v>0</v>
      </c>
      <c r="G484" t="s">
        <v>1443</v>
      </c>
      <c r="H484" t="s">
        <v>1445</v>
      </c>
    </row>
    <row r="485" spans="2:8" ht="15" customHeight="1" x14ac:dyDescent="0.25">
      <c r="B485" t="s">
        <v>583</v>
      </c>
      <c r="C485" s="2">
        <v>40980.635073749385</v>
      </c>
      <c r="D485" t="s">
        <v>33</v>
      </c>
      <c r="E485" t="s">
        <v>15</v>
      </c>
      <c r="F485" t="s">
        <v>15</v>
      </c>
      <c r="G485" t="s">
        <v>1440</v>
      </c>
      <c r="H485" t="s">
        <v>1447</v>
      </c>
    </row>
    <row r="486" spans="2:8" ht="15" customHeight="1" x14ac:dyDescent="0.25">
      <c r="B486" t="s">
        <v>584</v>
      </c>
      <c r="C486" s="2">
        <v>50995.482820131787</v>
      </c>
      <c r="D486" t="s">
        <v>3</v>
      </c>
      <c r="E486" t="s">
        <v>18</v>
      </c>
      <c r="F486" t="s">
        <v>18</v>
      </c>
      <c r="G486" t="s">
        <v>1441</v>
      </c>
      <c r="H486" t="s">
        <v>1445</v>
      </c>
    </row>
    <row r="487" spans="2:8" ht="15" customHeight="1" x14ac:dyDescent="0.25">
      <c r="B487" t="s">
        <v>585</v>
      </c>
      <c r="C487" s="2">
        <v>20326.391023865726</v>
      </c>
      <c r="D487" t="s">
        <v>11</v>
      </c>
      <c r="E487" t="s">
        <v>24</v>
      </c>
      <c r="F487" t="s">
        <v>1453</v>
      </c>
      <c r="G487" t="s">
        <v>1440</v>
      </c>
      <c r="H487" t="s">
        <v>1446</v>
      </c>
    </row>
    <row r="488" spans="2:8" ht="15" customHeight="1" x14ac:dyDescent="0.25">
      <c r="B488" t="s">
        <v>586</v>
      </c>
      <c r="C488" s="2">
        <v>12000</v>
      </c>
      <c r="D488" t="s">
        <v>33</v>
      </c>
      <c r="E488" t="s">
        <v>0</v>
      </c>
      <c r="F488" t="s">
        <v>0</v>
      </c>
      <c r="G488" t="s">
        <v>1443</v>
      </c>
      <c r="H488" t="s">
        <v>1447</v>
      </c>
    </row>
    <row r="489" spans="2:8" ht="15" customHeight="1" x14ac:dyDescent="0.25">
      <c r="B489" t="s">
        <v>587</v>
      </c>
      <c r="C489" s="2">
        <v>29261.227167098674</v>
      </c>
      <c r="D489" t="s">
        <v>31</v>
      </c>
      <c r="E489" t="s">
        <v>10</v>
      </c>
      <c r="F489" t="s">
        <v>1451</v>
      </c>
      <c r="G489" t="s">
        <v>1443</v>
      </c>
      <c r="H489" t="s">
        <v>1446</v>
      </c>
    </row>
    <row r="490" spans="2:8" ht="15" customHeight="1" x14ac:dyDescent="0.25">
      <c r="B490" t="s">
        <v>588</v>
      </c>
      <c r="C490" s="2">
        <v>14630.613583549337</v>
      </c>
      <c r="D490" t="s">
        <v>1439</v>
      </c>
      <c r="E490" t="s">
        <v>10</v>
      </c>
      <c r="F490" t="s">
        <v>1451</v>
      </c>
      <c r="G490" t="s">
        <v>1441</v>
      </c>
      <c r="H490" t="s">
        <v>1447</v>
      </c>
    </row>
    <row r="491" spans="2:8" ht="15" customHeight="1" x14ac:dyDescent="0.25">
      <c r="B491" t="s">
        <v>589</v>
      </c>
      <c r="C491" s="2">
        <v>7265.630008476568</v>
      </c>
      <c r="D491" t="s">
        <v>31</v>
      </c>
      <c r="E491" t="s">
        <v>0</v>
      </c>
      <c r="F491" t="s">
        <v>0</v>
      </c>
      <c r="G491" t="s">
        <v>1440</v>
      </c>
      <c r="H491" t="s">
        <v>1445</v>
      </c>
    </row>
    <row r="492" spans="2:8" ht="15" customHeight="1" x14ac:dyDescent="0.25">
      <c r="B492" t="s">
        <v>590</v>
      </c>
      <c r="C492" s="2">
        <v>44132.991617883956</v>
      </c>
      <c r="D492" t="s">
        <v>3</v>
      </c>
      <c r="E492" t="s">
        <v>15</v>
      </c>
      <c r="F492" t="s">
        <v>15</v>
      </c>
      <c r="G492" t="s">
        <v>1443</v>
      </c>
      <c r="H492" t="s">
        <v>1446</v>
      </c>
    </row>
    <row r="493" spans="2:8" ht="15" customHeight="1" x14ac:dyDescent="0.25">
      <c r="B493" t="s">
        <v>591</v>
      </c>
      <c r="C493" s="2">
        <v>9438.1958443445619</v>
      </c>
      <c r="D493" t="s">
        <v>3</v>
      </c>
      <c r="E493" t="s">
        <v>0</v>
      </c>
      <c r="F493" t="s">
        <v>0</v>
      </c>
      <c r="G493" t="s">
        <v>1443</v>
      </c>
      <c r="H493" t="s">
        <v>1447</v>
      </c>
    </row>
    <row r="494" spans="2:8" ht="15" customHeight="1" x14ac:dyDescent="0.25">
      <c r="B494" t="s">
        <v>592</v>
      </c>
      <c r="C494" s="2">
        <v>18000</v>
      </c>
      <c r="D494" t="s">
        <v>3</v>
      </c>
      <c r="E494" t="s">
        <v>17</v>
      </c>
      <c r="F494" t="s">
        <v>1453</v>
      </c>
      <c r="G494" t="s">
        <v>1441</v>
      </c>
      <c r="H494" t="s">
        <v>1447</v>
      </c>
    </row>
    <row r="495" spans="2:8" ht="15" customHeight="1" x14ac:dyDescent="0.25">
      <c r="B495" t="s">
        <v>593</v>
      </c>
      <c r="C495" s="2">
        <v>3561.5833374885137</v>
      </c>
      <c r="D495" t="s">
        <v>11</v>
      </c>
      <c r="E495" t="s">
        <v>0</v>
      </c>
      <c r="F495" t="s">
        <v>0</v>
      </c>
      <c r="G495" t="s">
        <v>1443</v>
      </c>
      <c r="H495" t="s">
        <v>1445</v>
      </c>
    </row>
    <row r="496" spans="2:8" ht="15" customHeight="1" x14ac:dyDescent="0.25">
      <c r="B496" t="s">
        <v>594</v>
      </c>
      <c r="C496" s="2">
        <v>3561.5833374885137</v>
      </c>
      <c r="D496" t="s">
        <v>1437</v>
      </c>
      <c r="E496" t="s">
        <v>0</v>
      </c>
      <c r="F496" t="s">
        <v>0</v>
      </c>
      <c r="G496" t="s">
        <v>1441</v>
      </c>
      <c r="H496" t="s">
        <v>1445</v>
      </c>
    </row>
    <row r="497" spans="2:8" ht="15" customHeight="1" x14ac:dyDescent="0.25">
      <c r="B497" t="s">
        <v>595</v>
      </c>
      <c r="C497" s="2">
        <v>5100</v>
      </c>
      <c r="D497" t="s">
        <v>1437</v>
      </c>
      <c r="E497" t="s">
        <v>0</v>
      </c>
      <c r="F497" t="s">
        <v>0</v>
      </c>
      <c r="G497" t="s">
        <v>1440</v>
      </c>
      <c r="H497" t="s">
        <v>1447</v>
      </c>
    </row>
    <row r="498" spans="2:8" ht="15" customHeight="1" x14ac:dyDescent="0.25">
      <c r="B498" t="s">
        <v>596</v>
      </c>
      <c r="C498" s="2">
        <v>21369.500024931083</v>
      </c>
      <c r="D498" t="s">
        <v>3</v>
      </c>
      <c r="E498" t="s">
        <v>0</v>
      </c>
      <c r="F498" t="s">
        <v>0</v>
      </c>
      <c r="G498" t="s">
        <v>1441</v>
      </c>
      <c r="H498" t="s">
        <v>1447</v>
      </c>
    </row>
    <row r="499" spans="2:8" ht="15" customHeight="1" x14ac:dyDescent="0.25">
      <c r="B499" t="s">
        <v>597</v>
      </c>
      <c r="C499" s="2">
        <v>5342.3750062327708</v>
      </c>
      <c r="D499" t="s">
        <v>33</v>
      </c>
      <c r="E499" t="s">
        <v>0</v>
      </c>
      <c r="F499" t="s">
        <v>0</v>
      </c>
      <c r="G499" t="s">
        <v>1443</v>
      </c>
      <c r="H499" t="s">
        <v>1445</v>
      </c>
    </row>
    <row r="500" spans="2:8" ht="15" customHeight="1" x14ac:dyDescent="0.25">
      <c r="B500" t="s">
        <v>598</v>
      </c>
      <c r="C500" s="2">
        <v>50000</v>
      </c>
      <c r="D500" t="s">
        <v>1439</v>
      </c>
      <c r="E500" t="s">
        <v>0</v>
      </c>
      <c r="F500" t="s">
        <v>0</v>
      </c>
      <c r="G500" t="s">
        <v>1442</v>
      </c>
      <c r="H500" t="s">
        <v>1448</v>
      </c>
    </row>
    <row r="501" spans="2:8" ht="15" customHeight="1" x14ac:dyDescent="0.25">
      <c r="B501" t="s">
        <v>599</v>
      </c>
      <c r="C501" s="2">
        <v>28492.66669990811</v>
      </c>
      <c r="D501" t="s">
        <v>11</v>
      </c>
      <c r="E501" t="s">
        <v>0</v>
      </c>
      <c r="F501" t="s">
        <v>0</v>
      </c>
      <c r="G501" t="s">
        <v>1440</v>
      </c>
      <c r="H501" t="s">
        <v>1447</v>
      </c>
    </row>
    <row r="502" spans="2:8" ht="15" customHeight="1" x14ac:dyDescent="0.25">
      <c r="B502" t="s">
        <v>600</v>
      </c>
      <c r="C502" s="2">
        <v>24588.381044249632</v>
      </c>
      <c r="D502" t="s">
        <v>3</v>
      </c>
      <c r="E502" t="s">
        <v>15</v>
      </c>
      <c r="F502" t="s">
        <v>15</v>
      </c>
      <c r="G502" t="s">
        <v>1440</v>
      </c>
      <c r="H502" t="s">
        <v>1445</v>
      </c>
    </row>
    <row r="503" spans="2:8" ht="15" customHeight="1" x14ac:dyDescent="0.25">
      <c r="B503" t="s">
        <v>601</v>
      </c>
      <c r="C503" s="2">
        <v>7000</v>
      </c>
      <c r="D503" t="s">
        <v>1437</v>
      </c>
      <c r="E503" t="s">
        <v>0</v>
      </c>
      <c r="F503" t="s">
        <v>0</v>
      </c>
      <c r="G503" t="s">
        <v>1440</v>
      </c>
      <c r="H503" t="s">
        <v>1445</v>
      </c>
    </row>
    <row r="504" spans="2:8" ht="15" customHeight="1" x14ac:dyDescent="0.25">
      <c r="B504" t="s">
        <v>602</v>
      </c>
      <c r="C504" s="2">
        <v>7799.8675090998449</v>
      </c>
      <c r="D504" t="s">
        <v>3</v>
      </c>
      <c r="E504" t="s">
        <v>0</v>
      </c>
      <c r="F504" t="s">
        <v>0</v>
      </c>
      <c r="G504" t="s">
        <v>1442</v>
      </c>
      <c r="H504" t="s">
        <v>1447</v>
      </c>
    </row>
    <row r="505" spans="2:8" ht="15" customHeight="1" x14ac:dyDescent="0.25">
      <c r="B505" t="s">
        <v>603</v>
      </c>
      <c r="C505" s="2">
        <v>78808.913603364199</v>
      </c>
      <c r="D505" t="s">
        <v>11</v>
      </c>
      <c r="E505" t="s">
        <v>15</v>
      </c>
      <c r="F505" t="s">
        <v>15</v>
      </c>
      <c r="G505" t="s">
        <v>1443</v>
      </c>
      <c r="H505" t="s">
        <v>1446</v>
      </c>
    </row>
    <row r="506" spans="2:8" ht="15" customHeight="1" x14ac:dyDescent="0.25">
      <c r="B506" t="s">
        <v>604</v>
      </c>
      <c r="C506" s="2">
        <v>6720</v>
      </c>
      <c r="D506" t="s">
        <v>1437</v>
      </c>
      <c r="E506" t="s">
        <v>0</v>
      </c>
      <c r="F506" t="s">
        <v>0</v>
      </c>
      <c r="G506" t="s">
        <v>1441</v>
      </c>
      <c r="H506" t="s">
        <v>1447</v>
      </c>
    </row>
    <row r="507" spans="2:8" ht="15" customHeight="1" x14ac:dyDescent="0.25">
      <c r="B507" t="s">
        <v>605</v>
      </c>
      <c r="C507" s="2">
        <v>4451.9791718606421</v>
      </c>
      <c r="D507" t="s">
        <v>1437</v>
      </c>
      <c r="E507" t="s">
        <v>0</v>
      </c>
      <c r="F507" t="s">
        <v>0</v>
      </c>
      <c r="G507" t="s">
        <v>1440</v>
      </c>
      <c r="H507" t="s">
        <v>1445</v>
      </c>
    </row>
    <row r="508" spans="2:8" ht="15" customHeight="1" x14ac:dyDescent="0.25">
      <c r="B508" t="s">
        <v>606</v>
      </c>
      <c r="C508" s="2">
        <v>47285.348162018527</v>
      </c>
      <c r="D508" t="s">
        <v>3</v>
      </c>
      <c r="E508" t="s">
        <v>15</v>
      </c>
      <c r="F508" t="s">
        <v>15</v>
      </c>
      <c r="G508" t="s">
        <v>1440</v>
      </c>
      <c r="H508" t="s">
        <v>1446</v>
      </c>
    </row>
    <row r="509" spans="2:8" ht="15" customHeight="1" x14ac:dyDescent="0.25">
      <c r="B509" t="s">
        <v>607</v>
      </c>
      <c r="C509" s="2">
        <v>7200</v>
      </c>
      <c r="D509" t="s">
        <v>3</v>
      </c>
      <c r="E509" t="s">
        <v>0</v>
      </c>
      <c r="F509" t="s">
        <v>0</v>
      </c>
      <c r="G509" t="s">
        <v>1440</v>
      </c>
      <c r="H509" t="s">
        <v>1447</v>
      </c>
    </row>
    <row r="510" spans="2:8" ht="15" customHeight="1" x14ac:dyDescent="0.25">
      <c r="B510" t="s">
        <v>608</v>
      </c>
      <c r="C510" s="2">
        <v>44519.791718606422</v>
      </c>
      <c r="D510" t="s">
        <v>1439</v>
      </c>
      <c r="E510" t="s">
        <v>0</v>
      </c>
      <c r="F510" t="s">
        <v>0</v>
      </c>
      <c r="G510" t="s">
        <v>1441</v>
      </c>
      <c r="H510" t="s">
        <v>1447</v>
      </c>
    </row>
    <row r="511" spans="2:8" ht="15" customHeight="1" x14ac:dyDescent="0.25">
      <c r="B511" t="s">
        <v>609</v>
      </c>
      <c r="C511" s="2">
        <v>2493.1083362419595</v>
      </c>
      <c r="D511" t="s">
        <v>31</v>
      </c>
      <c r="E511" t="s">
        <v>0</v>
      </c>
      <c r="F511" t="s">
        <v>0</v>
      </c>
      <c r="G511" t="s">
        <v>1441</v>
      </c>
      <c r="H511" t="s">
        <v>1445</v>
      </c>
    </row>
    <row r="512" spans="2:8" ht="15" customHeight="1" x14ac:dyDescent="0.25">
      <c r="B512" t="s">
        <v>610</v>
      </c>
      <c r="C512" s="2">
        <v>31523.565441345683</v>
      </c>
      <c r="D512" t="s">
        <v>3</v>
      </c>
      <c r="E512" t="s">
        <v>15</v>
      </c>
      <c r="F512" t="s">
        <v>15</v>
      </c>
      <c r="G512" t="s">
        <v>1441</v>
      </c>
      <c r="H512" t="s">
        <v>1445</v>
      </c>
    </row>
    <row r="513" spans="2:8" ht="15" customHeight="1" x14ac:dyDescent="0.25">
      <c r="B513" t="s">
        <v>611</v>
      </c>
      <c r="C513" s="2">
        <v>21369.500024931083</v>
      </c>
      <c r="D513" t="s">
        <v>38</v>
      </c>
      <c r="E513" t="s">
        <v>0</v>
      </c>
      <c r="F513" t="s">
        <v>0</v>
      </c>
      <c r="G513" t="s">
        <v>1441</v>
      </c>
      <c r="H513" t="s">
        <v>1447</v>
      </c>
    </row>
    <row r="514" spans="2:8" ht="15" customHeight="1" x14ac:dyDescent="0.25">
      <c r="B514" t="s">
        <v>612</v>
      </c>
      <c r="C514" s="2">
        <v>126094.26176538273</v>
      </c>
      <c r="D514" t="s">
        <v>33</v>
      </c>
      <c r="E514" t="s">
        <v>15</v>
      </c>
      <c r="F514" t="s">
        <v>15</v>
      </c>
      <c r="G514" t="s">
        <v>1441</v>
      </c>
      <c r="H514" t="s">
        <v>1447</v>
      </c>
    </row>
    <row r="515" spans="2:8" ht="15" customHeight="1" x14ac:dyDescent="0.25">
      <c r="B515" t="s">
        <v>613</v>
      </c>
      <c r="C515" s="2">
        <v>99299.231140238902</v>
      </c>
      <c r="D515" t="s">
        <v>14</v>
      </c>
      <c r="E515" t="s">
        <v>15</v>
      </c>
      <c r="F515" t="s">
        <v>15</v>
      </c>
      <c r="G515" t="s">
        <v>1443</v>
      </c>
      <c r="H515" t="s">
        <v>1445</v>
      </c>
    </row>
    <row r="516" spans="2:8" ht="15" customHeight="1" x14ac:dyDescent="0.25">
      <c r="B516" t="s">
        <v>614</v>
      </c>
      <c r="C516" s="2">
        <v>86689.804963700633</v>
      </c>
      <c r="D516" t="s">
        <v>1439</v>
      </c>
      <c r="E516" t="s">
        <v>15</v>
      </c>
      <c r="F516" t="s">
        <v>15</v>
      </c>
      <c r="G516" t="s">
        <v>1443</v>
      </c>
      <c r="H516" t="s">
        <v>1448</v>
      </c>
    </row>
    <row r="517" spans="2:8" ht="15" customHeight="1" x14ac:dyDescent="0.25">
      <c r="B517" t="s">
        <v>615</v>
      </c>
      <c r="C517" s="2">
        <v>50000</v>
      </c>
      <c r="D517" t="s">
        <v>11</v>
      </c>
      <c r="E517" t="s">
        <v>0</v>
      </c>
      <c r="F517" t="s">
        <v>0</v>
      </c>
      <c r="G517" t="s">
        <v>1443</v>
      </c>
      <c r="H517" t="s">
        <v>1448</v>
      </c>
    </row>
    <row r="518" spans="2:8" ht="15" customHeight="1" x14ac:dyDescent="0.25">
      <c r="B518" t="s">
        <v>616</v>
      </c>
      <c r="C518" s="2">
        <v>4273.9000049862161</v>
      </c>
      <c r="D518" t="s">
        <v>3</v>
      </c>
      <c r="E518" t="s">
        <v>0</v>
      </c>
      <c r="F518" t="s">
        <v>0</v>
      </c>
      <c r="G518" t="s">
        <v>1443</v>
      </c>
      <c r="H518" t="s">
        <v>1445</v>
      </c>
    </row>
    <row r="519" spans="2:8" ht="15" customHeight="1" x14ac:dyDescent="0.25">
      <c r="B519" t="s">
        <v>617</v>
      </c>
      <c r="C519" s="2">
        <v>4451.9791718606421</v>
      </c>
      <c r="D519" t="s">
        <v>1437</v>
      </c>
      <c r="E519" t="s">
        <v>0</v>
      </c>
      <c r="F519" t="s">
        <v>0</v>
      </c>
      <c r="G519" t="s">
        <v>1443</v>
      </c>
      <c r="H519" t="s">
        <v>1445</v>
      </c>
    </row>
    <row r="520" spans="2:8" ht="15" customHeight="1" x14ac:dyDescent="0.25">
      <c r="B520" t="s">
        <v>618</v>
      </c>
      <c r="C520" s="2">
        <v>10684.750012465542</v>
      </c>
      <c r="D520" t="s">
        <v>3</v>
      </c>
      <c r="E520" t="s">
        <v>0</v>
      </c>
      <c r="F520" t="s">
        <v>0</v>
      </c>
      <c r="G520" t="s">
        <v>1441</v>
      </c>
      <c r="H520" t="s">
        <v>1447</v>
      </c>
    </row>
    <row r="521" spans="2:8" ht="15" customHeight="1" x14ac:dyDescent="0.25">
      <c r="B521" t="s">
        <v>619</v>
      </c>
      <c r="C521" s="2">
        <v>63835.220018725006</v>
      </c>
      <c r="D521" t="s">
        <v>11</v>
      </c>
      <c r="E521" t="s">
        <v>15</v>
      </c>
      <c r="F521" t="s">
        <v>15</v>
      </c>
      <c r="G521" t="s">
        <v>1443</v>
      </c>
      <c r="H521" t="s">
        <v>1448</v>
      </c>
    </row>
    <row r="522" spans="2:8" ht="15" customHeight="1" x14ac:dyDescent="0.25">
      <c r="B522" t="s">
        <v>620</v>
      </c>
      <c r="C522" s="2">
        <v>36252.100257547536</v>
      </c>
      <c r="D522" t="s">
        <v>3</v>
      </c>
      <c r="E522" t="s">
        <v>15</v>
      </c>
      <c r="F522" t="s">
        <v>15</v>
      </c>
      <c r="G522" t="s">
        <v>1440</v>
      </c>
      <c r="H522" t="s">
        <v>1445</v>
      </c>
    </row>
    <row r="523" spans="2:8" ht="15" customHeight="1" x14ac:dyDescent="0.25">
      <c r="B523" t="s">
        <v>621</v>
      </c>
      <c r="C523" s="2">
        <v>7960</v>
      </c>
      <c r="D523" t="s">
        <v>11</v>
      </c>
      <c r="E523" t="s">
        <v>0</v>
      </c>
      <c r="F523" t="s">
        <v>0</v>
      </c>
      <c r="G523" t="s">
        <v>1441</v>
      </c>
      <c r="H523" t="s">
        <v>1447</v>
      </c>
    </row>
    <row r="524" spans="2:8" ht="15" customHeight="1" x14ac:dyDescent="0.25">
      <c r="B524" t="s">
        <v>622</v>
      </c>
      <c r="C524" s="2">
        <v>8903.9583437212841</v>
      </c>
      <c r="D524" t="s">
        <v>3</v>
      </c>
      <c r="E524" t="s">
        <v>0</v>
      </c>
      <c r="F524" t="s">
        <v>0</v>
      </c>
      <c r="G524" t="s">
        <v>1443</v>
      </c>
      <c r="H524" t="s">
        <v>1448</v>
      </c>
    </row>
    <row r="525" spans="2:8" ht="15" customHeight="1" x14ac:dyDescent="0.25">
      <c r="B525" t="s">
        <v>623</v>
      </c>
      <c r="C525" s="2">
        <v>50815.977559664309</v>
      </c>
      <c r="D525" t="s">
        <v>3</v>
      </c>
      <c r="E525" t="s">
        <v>43</v>
      </c>
      <c r="F525" t="s">
        <v>1453</v>
      </c>
      <c r="G525" t="s">
        <v>1441</v>
      </c>
      <c r="H525" t="s">
        <v>1445</v>
      </c>
    </row>
    <row r="526" spans="2:8" ht="15" customHeight="1" x14ac:dyDescent="0.25">
      <c r="B526" t="s">
        <v>624</v>
      </c>
      <c r="C526" s="2">
        <v>47285.348162018527</v>
      </c>
      <c r="D526" t="s">
        <v>3</v>
      </c>
      <c r="E526" t="s">
        <v>15</v>
      </c>
      <c r="F526" t="s">
        <v>15</v>
      </c>
      <c r="G526" t="s">
        <v>1441</v>
      </c>
      <c r="H526" t="s">
        <v>1445</v>
      </c>
    </row>
    <row r="527" spans="2:8" ht="15" customHeight="1" x14ac:dyDescent="0.25">
      <c r="B527" t="s">
        <v>625</v>
      </c>
      <c r="C527" s="2">
        <v>75656.557059229643</v>
      </c>
      <c r="D527" t="s">
        <v>11</v>
      </c>
      <c r="E527" t="s">
        <v>15</v>
      </c>
      <c r="F527" t="s">
        <v>15</v>
      </c>
      <c r="G527" t="s">
        <v>1443</v>
      </c>
      <c r="H527" t="s">
        <v>1447</v>
      </c>
    </row>
    <row r="528" spans="2:8" ht="15" customHeight="1" x14ac:dyDescent="0.25">
      <c r="B528" t="s">
        <v>626</v>
      </c>
      <c r="C528" s="2">
        <v>4273.9000049862161</v>
      </c>
      <c r="D528" t="s">
        <v>31</v>
      </c>
      <c r="E528" t="s">
        <v>0</v>
      </c>
      <c r="F528" t="s">
        <v>0</v>
      </c>
      <c r="G528" t="s">
        <v>1440</v>
      </c>
      <c r="H528" t="s">
        <v>1446</v>
      </c>
    </row>
    <row r="529" spans="2:8" ht="15" customHeight="1" x14ac:dyDescent="0.25">
      <c r="B529" t="s">
        <v>627</v>
      </c>
      <c r="C529" s="2">
        <v>47004.779242689488</v>
      </c>
      <c r="D529" t="s">
        <v>3</v>
      </c>
      <c r="E529" t="s">
        <v>42</v>
      </c>
      <c r="F529" t="s">
        <v>1453</v>
      </c>
      <c r="G529" t="s">
        <v>1441</v>
      </c>
      <c r="H529" t="s">
        <v>1446</v>
      </c>
    </row>
    <row r="530" spans="2:8" ht="15" customHeight="1" x14ac:dyDescent="0.25">
      <c r="B530" t="s">
        <v>628</v>
      </c>
      <c r="C530" s="2">
        <v>47285.348162018527</v>
      </c>
      <c r="D530" t="s">
        <v>3</v>
      </c>
      <c r="E530" t="s">
        <v>15</v>
      </c>
      <c r="F530" t="s">
        <v>15</v>
      </c>
      <c r="G530" t="s">
        <v>1440</v>
      </c>
      <c r="H530" t="s">
        <v>1447</v>
      </c>
    </row>
    <row r="531" spans="2:8" ht="15" customHeight="1" x14ac:dyDescent="0.25">
      <c r="B531" t="s">
        <v>629</v>
      </c>
      <c r="C531" s="2">
        <v>91418.339779902482</v>
      </c>
      <c r="D531" t="s">
        <v>3</v>
      </c>
      <c r="E531" t="s">
        <v>15</v>
      </c>
      <c r="F531" t="s">
        <v>15</v>
      </c>
      <c r="G531" t="s">
        <v>1440</v>
      </c>
      <c r="H531" t="s">
        <v>1447</v>
      </c>
    </row>
    <row r="532" spans="2:8" ht="15" customHeight="1" x14ac:dyDescent="0.25">
      <c r="B532" t="s">
        <v>630</v>
      </c>
      <c r="C532" s="2">
        <v>124518.08349331544</v>
      </c>
      <c r="D532" t="s">
        <v>3</v>
      </c>
      <c r="E532" t="s">
        <v>15</v>
      </c>
      <c r="F532" t="s">
        <v>15</v>
      </c>
      <c r="G532" t="s">
        <v>1443</v>
      </c>
      <c r="H532" t="s">
        <v>1446</v>
      </c>
    </row>
    <row r="533" spans="2:8" ht="15" customHeight="1" x14ac:dyDescent="0.25">
      <c r="B533" t="s">
        <v>631</v>
      </c>
      <c r="C533" s="2">
        <v>69213.140283018583</v>
      </c>
      <c r="D533" t="s">
        <v>3</v>
      </c>
      <c r="E533" t="s">
        <v>15</v>
      </c>
      <c r="F533" t="s">
        <v>15</v>
      </c>
      <c r="G533" t="s">
        <v>1440</v>
      </c>
      <c r="H533" t="s">
        <v>1445</v>
      </c>
    </row>
    <row r="534" spans="2:8" ht="15" customHeight="1" x14ac:dyDescent="0.25">
      <c r="B534" t="s">
        <v>632</v>
      </c>
      <c r="C534" s="2">
        <v>3500</v>
      </c>
      <c r="D534" t="s">
        <v>11</v>
      </c>
      <c r="E534" t="s">
        <v>2</v>
      </c>
      <c r="F534" t="s">
        <v>2</v>
      </c>
      <c r="G534" t="s">
        <v>1441</v>
      </c>
      <c r="H534" t="s">
        <v>1445</v>
      </c>
    </row>
    <row r="535" spans="2:8" ht="15" customHeight="1" x14ac:dyDescent="0.25">
      <c r="B535" t="s">
        <v>633</v>
      </c>
      <c r="C535" s="2">
        <v>63047.130882691366</v>
      </c>
      <c r="D535" t="s">
        <v>11</v>
      </c>
      <c r="E535" t="s">
        <v>15</v>
      </c>
      <c r="F535" t="s">
        <v>15</v>
      </c>
      <c r="G535" t="s">
        <v>1442</v>
      </c>
      <c r="H535" t="s">
        <v>1446</v>
      </c>
    </row>
    <row r="536" spans="2:8" ht="15" customHeight="1" x14ac:dyDescent="0.25">
      <c r="B536" t="s">
        <v>634</v>
      </c>
      <c r="C536" s="2">
        <v>72412.768022521646</v>
      </c>
      <c r="D536" t="s">
        <v>11</v>
      </c>
      <c r="E536" t="s">
        <v>41</v>
      </c>
      <c r="F536" t="s">
        <v>1453</v>
      </c>
      <c r="G536" t="s">
        <v>1442</v>
      </c>
      <c r="H536" t="s">
        <v>1446</v>
      </c>
    </row>
    <row r="537" spans="2:8" ht="15" customHeight="1" x14ac:dyDescent="0.25">
      <c r="B537" t="s">
        <v>635</v>
      </c>
      <c r="C537" s="2">
        <v>50815.977559664309</v>
      </c>
      <c r="D537" t="s">
        <v>31</v>
      </c>
      <c r="E537" t="s">
        <v>6</v>
      </c>
      <c r="F537" t="s">
        <v>1453</v>
      </c>
      <c r="G537" t="s">
        <v>1443</v>
      </c>
      <c r="H537" t="s">
        <v>1447</v>
      </c>
    </row>
    <row r="538" spans="2:8" ht="15" customHeight="1" x14ac:dyDescent="0.25">
      <c r="B538" t="s">
        <v>636</v>
      </c>
      <c r="C538" s="2">
        <v>21369.500024931083</v>
      </c>
      <c r="D538" t="s">
        <v>11</v>
      </c>
      <c r="E538" t="s">
        <v>0</v>
      </c>
      <c r="F538" t="s">
        <v>0</v>
      </c>
      <c r="G538" t="s">
        <v>1443</v>
      </c>
      <c r="H538" t="s">
        <v>1445</v>
      </c>
    </row>
    <row r="539" spans="2:8" ht="15" customHeight="1" x14ac:dyDescent="0.25">
      <c r="B539" t="s">
        <v>637</v>
      </c>
      <c r="C539" s="2">
        <v>55166.239522354947</v>
      </c>
      <c r="D539" t="s">
        <v>3</v>
      </c>
      <c r="E539" t="s">
        <v>15</v>
      </c>
      <c r="F539" t="s">
        <v>15</v>
      </c>
      <c r="G539" t="s">
        <v>1443</v>
      </c>
      <c r="H539" t="s">
        <v>1447</v>
      </c>
    </row>
    <row r="540" spans="2:8" ht="15" customHeight="1" x14ac:dyDescent="0.25">
      <c r="B540" t="s">
        <v>638</v>
      </c>
      <c r="C540" s="2">
        <v>3205.4250037396623</v>
      </c>
      <c r="D540" t="s">
        <v>3</v>
      </c>
      <c r="E540" t="s">
        <v>0</v>
      </c>
      <c r="F540" t="s">
        <v>0</v>
      </c>
      <c r="G540" t="s">
        <v>1440</v>
      </c>
      <c r="H540" t="s">
        <v>1445</v>
      </c>
    </row>
    <row r="541" spans="2:8" ht="15" customHeight="1" x14ac:dyDescent="0.25">
      <c r="B541" t="s">
        <v>639</v>
      </c>
      <c r="C541" s="2">
        <v>10684.750012465542</v>
      </c>
      <c r="D541" t="s">
        <v>31</v>
      </c>
      <c r="E541" t="s">
        <v>0</v>
      </c>
      <c r="F541" t="s">
        <v>0</v>
      </c>
      <c r="G541" t="s">
        <v>1443</v>
      </c>
      <c r="H541" t="s">
        <v>1447</v>
      </c>
    </row>
    <row r="542" spans="2:8" ht="15" customHeight="1" x14ac:dyDescent="0.25">
      <c r="B542" t="s">
        <v>640</v>
      </c>
      <c r="C542" s="2">
        <v>5342.3750062327708</v>
      </c>
      <c r="D542" t="s">
        <v>3</v>
      </c>
      <c r="E542" t="s">
        <v>0</v>
      </c>
      <c r="F542" t="s">
        <v>0</v>
      </c>
      <c r="G542" t="s">
        <v>1441</v>
      </c>
      <c r="H542" t="s">
        <v>1445</v>
      </c>
    </row>
    <row r="543" spans="2:8" ht="15" customHeight="1" x14ac:dyDescent="0.25">
      <c r="B543" t="s">
        <v>641</v>
      </c>
      <c r="C543" s="2">
        <v>118213.37040504631</v>
      </c>
      <c r="D543" t="s">
        <v>11</v>
      </c>
      <c r="E543" t="s">
        <v>15</v>
      </c>
      <c r="F543" t="s">
        <v>15</v>
      </c>
      <c r="G543" t="s">
        <v>1443</v>
      </c>
      <c r="H543" t="s">
        <v>1447</v>
      </c>
    </row>
    <row r="544" spans="2:8" ht="15" customHeight="1" x14ac:dyDescent="0.25">
      <c r="B544" t="s">
        <v>642</v>
      </c>
      <c r="C544" s="2">
        <v>12192.177986291113</v>
      </c>
      <c r="D544" t="s">
        <v>11</v>
      </c>
      <c r="E544" t="s">
        <v>10</v>
      </c>
      <c r="F544" t="s">
        <v>1451</v>
      </c>
      <c r="G544" t="s">
        <v>1440</v>
      </c>
      <c r="H544" t="s">
        <v>1446</v>
      </c>
    </row>
    <row r="545" spans="2:8" ht="15" customHeight="1" x14ac:dyDescent="0.25">
      <c r="B545" t="s">
        <v>643</v>
      </c>
      <c r="C545" s="2">
        <v>70928.022243027779</v>
      </c>
      <c r="D545" t="s">
        <v>1439</v>
      </c>
      <c r="E545" t="s">
        <v>15</v>
      </c>
      <c r="F545" t="s">
        <v>15</v>
      </c>
      <c r="G545" t="s">
        <v>1441</v>
      </c>
      <c r="H545" t="s">
        <v>1447</v>
      </c>
    </row>
    <row r="546" spans="2:8" ht="15" customHeight="1" x14ac:dyDescent="0.25">
      <c r="B546" t="s">
        <v>644</v>
      </c>
      <c r="C546" s="2">
        <v>39404.456801682099</v>
      </c>
      <c r="D546" t="s">
        <v>3</v>
      </c>
      <c r="E546" t="s">
        <v>15</v>
      </c>
      <c r="F546" t="s">
        <v>15</v>
      </c>
      <c r="G546" t="s">
        <v>1441</v>
      </c>
      <c r="H546" t="s">
        <v>1445</v>
      </c>
    </row>
    <row r="547" spans="2:8" ht="15" customHeight="1" x14ac:dyDescent="0.25">
      <c r="B547" t="s">
        <v>645</v>
      </c>
      <c r="C547" s="2">
        <v>18987</v>
      </c>
      <c r="D547" t="s">
        <v>3</v>
      </c>
      <c r="E547" t="s">
        <v>54</v>
      </c>
      <c r="F547" t="s">
        <v>1451</v>
      </c>
      <c r="G547" t="s">
        <v>1440</v>
      </c>
      <c r="H547" t="s">
        <v>1447</v>
      </c>
    </row>
    <row r="548" spans="2:8" ht="15" customHeight="1" x14ac:dyDescent="0.25">
      <c r="B548" t="s">
        <v>646</v>
      </c>
      <c r="C548" s="2">
        <v>44921.080753917595</v>
      </c>
      <c r="D548" t="s">
        <v>11</v>
      </c>
      <c r="E548" t="s">
        <v>15</v>
      </c>
      <c r="F548" t="s">
        <v>15</v>
      </c>
      <c r="G548" t="s">
        <v>1442</v>
      </c>
      <c r="H548" t="s">
        <v>1446</v>
      </c>
    </row>
    <row r="549" spans="2:8" ht="15" customHeight="1" x14ac:dyDescent="0.25">
      <c r="B549" t="s">
        <v>647</v>
      </c>
      <c r="C549" s="2">
        <v>60000</v>
      </c>
      <c r="D549" t="s">
        <v>11</v>
      </c>
      <c r="E549" t="s">
        <v>0</v>
      </c>
      <c r="F549" t="s">
        <v>0</v>
      </c>
      <c r="G549" t="s">
        <v>1440</v>
      </c>
      <c r="H549" t="s">
        <v>1446</v>
      </c>
    </row>
    <row r="550" spans="2:8" ht="15" customHeight="1" x14ac:dyDescent="0.25">
      <c r="B550" t="s">
        <v>648</v>
      </c>
      <c r="C550" s="2">
        <v>71243.257897441246</v>
      </c>
      <c r="D550" t="s">
        <v>11</v>
      </c>
      <c r="E550" t="s">
        <v>15</v>
      </c>
      <c r="F550" t="s">
        <v>15</v>
      </c>
      <c r="G550" t="s">
        <v>1443</v>
      </c>
      <c r="H550" t="s">
        <v>1445</v>
      </c>
    </row>
    <row r="551" spans="2:8" ht="15" customHeight="1" x14ac:dyDescent="0.25">
      <c r="B551" t="s">
        <v>649</v>
      </c>
      <c r="C551" s="2">
        <v>4487.5950052355274</v>
      </c>
      <c r="D551" t="s">
        <v>11</v>
      </c>
      <c r="E551" t="s">
        <v>0</v>
      </c>
      <c r="F551" t="s">
        <v>0</v>
      </c>
      <c r="G551" t="s">
        <v>1442</v>
      </c>
      <c r="H551" t="s">
        <v>1446</v>
      </c>
    </row>
    <row r="552" spans="2:8" ht="15" customHeight="1" x14ac:dyDescent="0.25">
      <c r="B552" t="s">
        <v>650</v>
      </c>
      <c r="C552" s="2">
        <v>4314.929445034084</v>
      </c>
      <c r="D552" t="s">
        <v>31</v>
      </c>
      <c r="E552" t="s">
        <v>0</v>
      </c>
      <c r="F552" t="s">
        <v>0</v>
      </c>
      <c r="G552" t="s">
        <v>1441</v>
      </c>
      <c r="H552" t="s">
        <v>1447</v>
      </c>
    </row>
    <row r="553" spans="2:8" ht="15" customHeight="1" x14ac:dyDescent="0.25">
      <c r="B553" t="s">
        <v>651</v>
      </c>
      <c r="C553" s="2">
        <v>3739.6625043629392</v>
      </c>
      <c r="D553" t="s">
        <v>3</v>
      </c>
      <c r="E553" t="s">
        <v>0</v>
      </c>
      <c r="F553" t="s">
        <v>0</v>
      </c>
      <c r="G553" t="s">
        <v>1440</v>
      </c>
      <c r="H553" t="s">
        <v>1445</v>
      </c>
    </row>
    <row r="554" spans="2:8" ht="15" customHeight="1" x14ac:dyDescent="0.25">
      <c r="B554" t="s">
        <v>652</v>
      </c>
      <c r="C554" s="2">
        <v>76223.966339496474</v>
      </c>
      <c r="D554" t="s">
        <v>11</v>
      </c>
      <c r="E554" t="s">
        <v>40</v>
      </c>
      <c r="F554" t="s">
        <v>1453</v>
      </c>
      <c r="G554" t="s">
        <v>1442</v>
      </c>
      <c r="H554" t="s">
        <v>1445</v>
      </c>
    </row>
    <row r="555" spans="2:8" ht="15" customHeight="1" x14ac:dyDescent="0.25">
      <c r="B555" t="s">
        <v>653</v>
      </c>
      <c r="C555" s="2">
        <v>32666.305522511171</v>
      </c>
      <c r="D555" t="s">
        <v>11</v>
      </c>
      <c r="E555" t="s">
        <v>26</v>
      </c>
      <c r="F555" t="s">
        <v>1451</v>
      </c>
      <c r="G555" t="s">
        <v>1443</v>
      </c>
      <c r="H555" t="s">
        <v>1446</v>
      </c>
    </row>
    <row r="556" spans="2:8" ht="15" customHeight="1" x14ac:dyDescent="0.25">
      <c r="B556" t="s">
        <v>654</v>
      </c>
      <c r="C556" s="2">
        <v>19000</v>
      </c>
      <c r="D556" t="s">
        <v>1437</v>
      </c>
      <c r="E556" t="s">
        <v>15</v>
      </c>
      <c r="F556" t="s">
        <v>15</v>
      </c>
      <c r="G556" t="s">
        <v>1440</v>
      </c>
      <c r="H556" t="s">
        <v>1447</v>
      </c>
    </row>
    <row r="557" spans="2:8" ht="15" customHeight="1" x14ac:dyDescent="0.25">
      <c r="B557" t="s">
        <v>655</v>
      </c>
      <c r="C557" s="2">
        <v>63519.971949580387</v>
      </c>
      <c r="D557" t="s">
        <v>29</v>
      </c>
      <c r="E557" t="s">
        <v>6</v>
      </c>
      <c r="F557" t="s">
        <v>1453</v>
      </c>
      <c r="G557" t="s">
        <v>1443</v>
      </c>
      <c r="H557" t="s">
        <v>1446</v>
      </c>
    </row>
    <row r="558" spans="2:8" ht="15" customHeight="1" x14ac:dyDescent="0.25">
      <c r="B558" t="s">
        <v>656</v>
      </c>
      <c r="C558" s="2">
        <v>16027.125018698311</v>
      </c>
      <c r="D558" t="s">
        <v>11</v>
      </c>
      <c r="E558" t="s">
        <v>0</v>
      </c>
      <c r="F558" t="s">
        <v>0</v>
      </c>
      <c r="G558" t="s">
        <v>1441</v>
      </c>
      <c r="H558" t="s">
        <v>1448</v>
      </c>
    </row>
    <row r="559" spans="2:8" ht="15" customHeight="1" x14ac:dyDescent="0.25">
      <c r="B559" t="s">
        <v>657</v>
      </c>
      <c r="C559" s="2">
        <v>7123.1666749770275</v>
      </c>
      <c r="D559" t="s">
        <v>1437</v>
      </c>
      <c r="E559" t="s">
        <v>0</v>
      </c>
      <c r="F559" t="s">
        <v>0</v>
      </c>
      <c r="G559" t="s">
        <v>1441</v>
      </c>
      <c r="H559" t="s">
        <v>1447</v>
      </c>
    </row>
    <row r="560" spans="2:8" ht="15" customHeight="1" x14ac:dyDescent="0.25">
      <c r="B560" t="s">
        <v>658</v>
      </c>
      <c r="C560" s="2">
        <v>2675.675098121621</v>
      </c>
      <c r="D560" t="s">
        <v>11</v>
      </c>
      <c r="E560" t="s">
        <v>0</v>
      </c>
      <c r="F560" t="s">
        <v>0</v>
      </c>
      <c r="G560" t="s">
        <v>1443</v>
      </c>
      <c r="H560" t="s">
        <v>1445</v>
      </c>
    </row>
    <row r="561" spans="2:8" ht="15" customHeight="1" x14ac:dyDescent="0.25">
      <c r="B561" t="s">
        <v>659</v>
      </c>
      <c r="C561" s="2">
        <v>23642.674081009263</v>
      </c>
      <c r="D561" t="s">
        <v>1437</v>
      </c>
      <c r="E561" t="s">
        <v>15</v>
      </c>
      <c r="F561" t="s">
        <v>15</v>
      </c>
      <c r="G561" t="s">
        <v>1440</v>
      </c>
      <c r="H561" t="s">
        <v>1445</v>
      </c>
    </row>
    <row r="562" spans="2:8" ht="15" customHeight="1" x14ac:dyDescent="0.25">
      <c r="B562" t="s">
        <v>660</v>
      </c>
      <c r="C562" s="2">
        <v>57167.974754622352</v>
      </c>
      <c r="D562" t="s">
        <v>11</v>
      </c>
      <c r="E562" t="s">
        <v>42</v>
      </c>
      <c r="F562" t="s">
        <v>1453</v>
      </c>
      <c r="G562" t="s">
        <v>1441</v>
      </c>
      <c r="H562" t="s">
        <v>1446</v>
      </c>
    </row>
    <row r="563" spans="2:8" ht="15" customHeight="1" x14ac:dyDescent="0.25">
      <c r="B563" t="s">
        <v>661</v>
      </c>
      <c r="C563" s="2">
        <v>42739.000049862167</v>
      </c>
      <c r="D563" t="s">
        <v>11</v>
      </c>
      <c r="E563" t="s">
        <v>0</v>
      </c>
      <c r="F563" t="s">
        <v>0</v>
      </c>
      <c r="G563" t="s">
        <v>1440</v>
      </c>
      <c r="H563" t="s">
        <v>1447</v>
      </c>
    </row>
    <row r="564" spans="2:8" ht="15" customHeight="1" x14ac:dyDescent="0.25">
      <c r="B564" t="s">
        <v>662</v>
      </c>
      <c r="C564" s="2">
        <v>5120.2912876821438</v>
      </c>
      <c r="D564" t="s">
        <v>11</v>
      </c>
      <c r="E564" t="s">
        <v>32</v>
      </c>
      <c r="F564" t="s">
        <v>1454</v>
      </c>
      <c r="G564" t="s">
        <v>1441</v>
      </c>
      <c r="H564" t="s">
        <v>1445</v>
      </c>
    </row>
    <row r="565" spans="2:8" ht="15" customHeight="1" x14ac:dyDescent="0.25">
      <c r="B565" t="s">
        <v>663</v>
      </c>
      <c r="C565" s="2">
        <v>127039.94389916077</v>
      </c>
      <c r="D565" t="s">
        <v>1439</v>
      </c>
      <c r="E565" t="s">
        <v>42</v>
      </c>
      <c r="F565" t="s">
        <v>1453</v>
      </c>
      <c r="G565" t="s">
        <v>1442</v>
      </c>
      <c r="H565" t="s">
        <v>1446</v>
      </c>
    </row>
    <row r="566" spans="2:8" ht="15" customHeight="1" x14ac:dyDescent="0.25">
      <c r="B566" t="s">
        <v>664</v>
      </c>
      <c r="C566" s="2">
        <v>90000</v>
      </c>
      <c r="D566" t="s">
        <v>11</v>
      </c>
      <c r="E566" t="s">
        <v>1</v>
      </c>
      <c r="F566" t="s">
        <v>1</v>
      </c>
      <c r="G566" t="s">
        <v>1441</v>
      </c>
      <c r="H566" t="s">
        <v>1445</v>
      </c>
    </row>
    <row r="567" spans="2:8" ht="15" customHeight="1" x14ac:dyDescent="0.25">
      <c r="B567" t="s">
        <v>665</v>
      </c>
      <c r="C567" s="2">
        <v>7123.1666749770275</v>
      </c>
      <c r="D567" t="s">
        <v>29</v>
      </c>
      <c r="E567" t="s">
        <v>0</v>
      </c>
      <c r="F567" t="s">
        <v>0</v>
      </c>
      <c r="G567" t="s">
        <v>1442</v>
      </c>
      <c r="H567" t="s">
        <v>1445</v>
      </c>
    </row>
    <row r="568" spans="2:8" ht="15" customHeight="1" x14ac:dyDescent="0.25">
      <c r="B568" t="s">
        <v>666</v>
      </c>
      <c r="C568" s="2">
        <v>10000</v>
      </c>
      <c r="D568" t="s">
        <v>3</v>
      </c>
      <c r="E568" t="s">
        <v>0</v>
      </c>
      <c r="F568" t="s">
        <v>0</v>
      </c>
      <c r="G568" t="s">
        <v>1443</v>
      </c>
      <c r="H568" t="s">
        <v>1445</v>
      </c>
    </row>
    <row r="569" spans="2:8" ht="15" customHeight="1" x14ac:dyDescent="0.25">
      <c r="B569" t="s">
        <v>667</v>
      </c>
      <c r="C569" s="2">
        <v>45709.169889951241</v>
      </c>
      <c r="D569" t="s">
        <v>3</v>
      </c>
      <c r="E569" t="s">
        <v>15</v>
      </c>
      <c r="F569" t="s">
        <v>15</v>
      </c>
      <c r="G569" t="s">
        <v>1441</v>
      </c>
      <c r="H569" t="s">
        <v>1446</v>
      </c>
    </row>
    <row r="570" spans="2:8" ht="15" customHeight="1" x14ac:dyDescent="0.25">
      <c r="B570" t="s">
        <v>668</v>
      </c>
      <c r="C570" s="2">
        <v>3561.5833374885137</v>
      </c>
      <c r="D570" t="s">
        <v>1437</v>
      </c>
      <c r="E570" t="s">
        <v>0</v>
      </c>
      <c r="F570" t="s">
        <v>0</v>
      </c>
      <c r="G570" t="s">
        <v>1440</v>
      </c>
      <c r="H570" t="s">
        <v>1445</v>
      </c>
    </row>
    <row r="571" spans="2:8" ht="15" customHeight="1" x14ac:dyDescent="0.25">
      <c r="B571" t="s">
        <v>669</v>
      </c>
      <c r="C571" s="2">
        <v>38111.983169748237</v>
      </c>
      <c r="D571" t="s">
        <v>3</v>
      </c>
      <c r="E571" t="s">
        <v>12</v>
      </c>
      <c r="F571" t="s">
        <v>1453</v>
      </c>
      <c r="G571" t="s">
        <v>1442</v>
      </c>
      <c r="H571" t="s">
        <v>1446</v>
      </c>
    </row>
    <row r="572" spans="2:8" ht="15" customHeight="1" x14ac:dyDescent="0.25">
      <c r="B572" t="s">
        <v>670</v>
      </c>
      <c r="C572" s="2">
        <v>60000</v>
      </c>
      <c r="D572" t="s">
        <v>3</v>
      </c>
      <c r="E572" t="s">
        <v>1</v>
      </c>
      <c r="F572" t="s">
        <v>1</v>
      </c>
      <c r="G572" t="s">
        <v>1443</v>
      </c>
      <c r="H572" t="s">
        <v>1445</v>
      </c>
    </row>
    <row r="573" spans="2:8" ht="15" customHeight="1" x14ac:dyDescent="0.25">
      <c r="B573" t="s">
        <v>671</v>
      </c>
      <c r="C573" s="2">
        <v>40000</v>
      </c>
      <c r="D573" t="s">
        <v>29</v>
      </c>
      <c r="E573" t="s">
        <v>0</v>
      </c>
      <c r="F573" t="s">
        <v>0</v>
      </c>
      <c r="G573" t="s">
        <v>1443</v>
      </c>
      <c r="H573" t="s">
        <v>1445</v>
      </c>
    </row>
    <row r="574" spans="2:8" ht="15" customHeight="1" x14ac:dyDescent="0.25">
      <c r="B574" t="s">
        <v>672</v>
      </c>
      <c r="C574" s="2">
        <v>15190.15293438851</v>
      </c>
      <c r="D574" t="s">
        <v>3</v>
      </c>
      <c r="E574" t="s">
        <v>0</v>
      </c>
      <c r="F574" t="s">
        <v>0</v>
      </c>
      <c r="G574" t="s">
        <v>1443</v>
      </c>
      <c r="H574" t="s">
        <v>1447</v>
      </c>
    </row>
    <row r="575" spans="2:8" ht="15" customHeight="1" x14ac:dyDescent="0.25">
      <c r="B575" t="s">
        <v>673</v>
      </c>
      <c r="C575" s="2">
        <v>114335.9495092447</v>
      </c>
      <c r="D575" t="s">
        <v>11</v>
      </c>
      <c r="E575" t="s">
        <v>81</v>
      </c>
      <c r="F575" t="s">
        <v>1451</v>
      </c>
      <c r="G575" t="s">
        <v>1443</v>
      </c>
      <c r="H575" t="s">
        <v>1446</v>
      </c>
    </row>
    <row r="576" spans="2:8" ht="15" customHeight="1" x14ac:dyDescent="0.25">
      <c r="B576" t="s">
        <v>674</v>
      </c>
      <c r="C576" s="2">
        <v>36252.100257547536</v>
      </c>
      <c r="D576" t="s">
        <v>11</v>
      </c>
      <c r="E576" t="s">
        <v>15</v>
      </c>
      <c r="F576" t="s">
        <v>15</v>
      </c>
      <c r="G576" t="s">
        <v>1441</v>
      </c>
      <c r="H576" t="s">
        <v>1447</v>
      </c>
    </row>
    <row r="577" spans="2:8" ht="15" customHeight="1" x14ac:dyDescent="0.25">
      <c r="B577" t="s">
        <v>675</v>
      </c>
      <c r="C577" s="2">
        <v>47285.348162018527</v>
      </c>
      <c r="D577" t="s">
        <v>31</v>
      </c>
      <c r="E577" t="s">
        <v>15</v>
      </c>
      <c r="F577" t="s">
        <v>15</v>
      </c>
      <c r="G577" t="s">
        <v>1443</v>
      </c>
      <c r="H577" t="s">
        <v>1445</v>
      </c>
    </row>
    <row r="578" spans="2:8" ht="15" customHeight="1" x14ac:dyDescent="0.25">
      <c r="B578" t="s">
        <v>676</v>
      </c>
      <c r="C578" s="2">
        <v>88927.960729412545</v>
      </c>
      <c r="D578" t="s">
        <v>33</v>
      </c>
      <c r="E578" t="s">
        <v>7</v>
      </c>
      <c r="F578" t="s">
        <v>1453</v>
      </c>
      <c r="G578" t="s">
        <v>1443</v>
      </c>
      <c r="H578" t="s">
        <v>1446</v>
      </c>
    </row>
    <row r="579" spans="2:8" ht="15" customHeight="1" x14ac:dyDescent="0.25">
      <c r="B579" t="s">
        <v>677</v>
      </c>
      <c r="C579" s="2">
        <v>6000</v>
      </c>
      <c r="D579" t="s">
        <v>31</v>
      </c>
      <c r="E579" t="s">
        <v>68</v>
      </c>
      <c r="F579" t="s">
        <v>1451</v>
      </c>
      <c r="G579" t="s">
        <v>1440</v>
      </c>
      <c r="H579" t="s">
        <v>1445</v>
      </c>
    </row>
    <row r="580" spans="2:8" ht="15" customHeight="1" x14ac:dyDescent="0.25">
      <c r="B580" t="s">
        <v>678</v>
      </c>
      <c r="C580" s="2">
        <v>35000</v>
      </c>
      <c r="D580" t="s">
        <v>3</v>
      </c>
      <c r="E580" t="s">
        <v>1</v>
      </c>
      <c r="F580" t="s">
        <v>1</v>
      </c>
      <c r="G580" t="s">
        <v>1440</v>
      </c>
      <c r="H580" t="s">
        <v>1446</v>
      </c>
    </row>
    <row r="581" spans="2:8" ht="15" customHeight="1" x14ac:dyDescent="0.25">
      <c r="B581" t="s">
        <v>679</v>
      </c>
      <c r="C581" s="2">
        <v>55166.239522354947</v>
      </c>
      <c r="D581" t="s">
        <v>3</v>
      </c>
      <c r="E581" t="s">
        <v>15</v>
      </c>
      <c r="F581" t="s">
        <v>15</v>
      </c>
      <c r="G581" t="s">
        <v>1441</v>
      </c>
      <c r="H581" t="s">
        <v>1447</v>
      </c>
    </row>
    <row r="582" spans="2:8" ht="15" customHeight="1" x14ac:dyDescent="0.25">
      <c r="B582" t="s">
        <v>680</v>
      </c>
      <c r="C582" s="2">
        <v>1783.166904422254</v>
      </c>
      <c r="D582" t="s">
        <v>31</v>
      </c>
      <c r="E582" t="s">
        <v>2</v>
      </c>
      <c r="F582" t="s">
        <v>2</v>
      </c>
      <c r="G582" t="s">
        <v>1441</v>
      </c>
      <c r="H582" t="s">
        <v>1447</v>
      </c>
    </row>
    <row r="583" spans="2:8" ht="15" customHeight="1" x14ac:dyDescent="0.25">
      <c r="B583" t="s">
        <v>681</v>
      </c>
      <c r="C583" s="2">
        <v>13500</v>
      </c>
      <c r="D583" t="s">
        <v>11</v>
      </c>
      <c r="E583" t="s">
        <v>73</v>
      </c>
      <c r="F583" t="s">
        <v>1451</v>
      </c>
      <c r="G583" t="s">
        <v>1441</v>
      </c>
      <c r="H583" t="s">
        <v>1446</v>
      </c>
    </row>
    <row r="584" spans="2:8" ht="15" customHeight="1" x14ac:dyDescent="0.25">
      <c r="B584" t="s">
        <v>682</v>
      </c>
      <c r="C584" s="2">
        <v>59106.685202523156</v>
      </c>
      <c r="D584" t="s">
        <v>31</v>
      </c>
      <c r="E584" t="s">
        <v>15</v>
      </c>
      <c r="F584" t="s">
        <v>15</v>
      </c>
      <c r="G584" t="s">
        <v>1443</v>
      </c>
      <c r="H584" t="s">
        <v>1445</v>
      </c>
    </row>
    <row r="585" spans="2:8" ht="15" customHeight="1" x14ac:dyDescent="0.25">
      <c r="B585" t="s">
        <v>683</v>
      </c>
      <c r="C585" s="2">
        <v>12608.005014709339</v>
      </c>
      <c r="D585" t="s">
        <v>11</v>
      </c>
      <c r="E585" t="s">
        <v>0</v>
      </c>
      <c r="F585" t="s">
        <v>0</v>
      </c>
      <c r="G585" t="s">
        <v>1441</v>
      </c>
      <c r="H585" t="s">
        <v>1445</v>
      </c>
    </row>
    <row r="586" spans="2:8" ht="15" customHeight="1" x14ac:dyDescent="0.25">
      <c r="B586" t="s">
        <v>684</v>
      </c>
      <c r="C586" s="2">
        <v>44654.095718350931</v>
      </c>
      <c r="D586" t="s">
        <v>31</v>
      </c>
      <c r="E586" t="s">
        <v>10</v>
      </c>
      <c r="F586" t="s">
        <v>1451</v>
      </c>
      <c r="G586" t="s">
        <v>1440</v>
      </c>
      <c r="H586" t="s">
        <v>1446</v>
      </c>
    </row>
    <row r="587" spans="2:8" ht="15" customHeight="1" x14ac:dyDescent="0.25">
      <c r="B587" t="s">
        <v>685</v>
      </c>
      <c r="C587" s="2">
        <v>69000</v>
      </c>
      <c r="D587" t="s">
        <v>3</v>
      </c>
      <c r="E587" t="s">
        <v>1</v>
      </c>
      <c r="F587" t="s">
        <v>1</v>
      </c>
      <c r="G587" t="s">
        <v>1443</v>
      </c>
      <c r="H587" t="s">
        <v>1446</v>
      </c>
    </row>
    <row r="588" spans="2:8" ht="15" customHeight="1" x14ac:dyDescent="0.25">
      <c r="B588" t="s">
        <v>686</v>
      </c>
      <c r="C588" s="2">
        <v>6000</v>
      </c>
      <c r="D588" t="s">
        <v>11</v>
      </c>
      <c r="E588" t="s">
        <v>0</v>
      </c>
      <c r="F588" t="s">
        <v>0</v>
      </c>
      <c r="G588" t="s">
        <v>1441</v>
      </c>
      <c r="H588" t="s">
        <v>1447</v>
      </c>
    </row>
    <row r="589" spans="2:8" ht="15" customHeight="1" x14ac:dyDescent="0.25">
      <c r="B589" t="s">
        <v>687</v>
      </c>
      <c r="C589" s="2">
        <v>8903.9583437212841</v>
      </c>
      <c r="D589" t="s">
        <v>11</v>
      </c>
      <c r="E589" t="s">
        <v>0</v>
      </c>
      <c r="F589" t="s">
        <v>0</v>
      </c>
      <c r="G589" t="s">
        <v>1442</v>
      </c>
      <c r="H589" t="s">
        <v>1448</v>
      </c>
    </row>
    <row r="590" spans="2:8" ht="15" customHeight="1" x14ac:dyDescent="0.25">
      <c r="B590" t="s">
        <v>688</v>
      </c>
      <c r="C590" s="2">
        <v>30000</v>
      </c>
      <c r="D590" t="s">
        <v>11</v>
      </c>
      <c r="E590" t="s">
        <v>23</v>
      </c>
      <c r="F590" t="s">
        <v>1453</v>
      </c>
      <c r="G590" t="s">
        <v>1440</v>
      </c>
      <c r="H590" t="s">
        <v>1446</v>
      </c>
    </row>
    <row r="591" spans="2:8" ht="15" customHeight="1" x14ac:dyDescent="0.25">
      <c r="B591" t="s">
        <v>689</v>
      </c>
      <c r="C591" s="2">
        <v>8600</v>
      </c>
      <c r="D591" t="s">
        <v>3</v>
      </c>
      <c r="E591" t="s">
        <v>0</v>
      </c>
      <c r="F591" t="s">
        <v>0</v>
      </c>
      <c r="G591" t="s">
        <v>1441</v>
      </c>
      <c r="H591" t="s">
        <v>1445</v>
      </c>
    </row>
    <row r="592" spans="2:8" ht="15" customHeight="1" x14ac:dyDescent="0.25">
      <c r="B592" t="s">
        <v>690</v>
      </c>
      <c r="C592" s="2">
        <v>81600</v>
      </c>
      <c r="D592" t="s">
        <v>3</v>
      </c>
      <c r="E592" t="s">
        <v>15</v>
      </c>
      <c r="F592" t="s">
        <v>15</v>
      </c>
      <c r="G592" t="s">
        <v>1441</v>
      </c>
      <c r="H592" t="s">
        <v>1445</v>
      </c>
    </row>
    <row r="593" spans="2:8" ht="15" customHeight="1" x14ac:dyDescent="0.25">
      <c r="B593" t="s">
        <v>691</v>
      </c>
      <c r="C593" s="2">
        <v>15404.364569961488</v>
      </c>
      <c r="D593" t="s">
        <v>3</v>
      </c>
      <c r="E593" t="s">
        <v>74</v>
      </c>
      <c r="F593" t="s">
        <v>1451</v>
      </c>
      <c r="G593" t="s">
        <v>1440</v>
      </c>
      <c r="H593" t="s">
        <v>1445</v>
      </c>
    </row>
    <row r="594" spans="2:8" ht="15" customHeight="1" x14ac:dyDescent="0.25">
      <c r="B594" t="s">
        <v>692</v>
      </c>
      <c r="C594" s="2">
        <v>63918.498996971248</v>
      </c>
      <c r="D594" t="s">
        <v>3</v>
      </c>
      <c r="E594" t="s">
        <v>19</v>
      </c>
      <c r="F594" t="s">
        <v>19</v>
      </c>
      <c r="G594" t="s">
        <v>1441</v>
      </c>
      <c r="H594" t="s">
        <v>1446</v>
      </c>
    </row>
    <row r="595" spans="2:8" ht="15" customHeight="1" x14ac:dyDescent="0.25">
      <c r="B595" t="s">
        <v>693</v>
      </c>
      <c r="C595" s="2">
        <v>75000</v>
      </c>
      <c r="D595" t="s">
        <v>38</v>
      </c>
      <c r="E595" t="s">
        <v>1</v>
      </c>
      <c r="F595" t="s">
        <v>1</v>
      </c>
      <c r="G595" t="s">
        <v>1443</v>
      </c>
      <c r="H595" t="s">
        <v>1446</v>
      </c>
    </row>
    <row r="596" spans="2:8" ht="15" customHeight="1" x14ac:dyDescent="0.25">
      <c r="B596" t="s">
        <v>694</v>
      </c>
      <c r="C596" s="2">
        <v>59000</v>
      </c>
      <c r="D596" t="s">
        <v>3</v>
      </c>
      <c r="E596" t="s">
        <v>1</v>
      </c>
      <c r="F596" t="s">
        <v>1</v>
      </c>
      <c r="G596" t="s">
        <v>1441</v>
      </c>
      <c r="H596" t="s">
        <v>1446</v>
      </c>
    </row>
    <row r="597" spans="2:8" ht="15" customHeight="1" x14ac:dyDescent="0.25">
      <c r="B597" t="s">
        <v>695</v>
      </c>
      <c r="C597" s="2">
        <v>50000</v>
      </c>
      <c r="D597" t="s">
        <v>11</v>
      </c>
      <c r="E597" t="s">
        <v>19</v>
      </c>
      <c r="F597" t="s">
        <v>19</v>
      </c>
      <c r="G597" t="s">
        <v>1442</v>
      </c>
      <c r="H597" t="s">
        <v>1445</v>
      </c>
    </row>
    <row r="598" spans="2:8" ht="15" customHeight="1" x14ac:dyDescent="0.25">
      <c r="B598" t="s">
        <v>696</v>
      </c>
      <c r="C598" s="2">
        <v>126094.26176538273</v>
      </c>
      <c r="D598" t="s">
        <v>38</v>
      </c>
      <c r="E598" t="s">
        <v>15</v>
      </c>
      <c r="F598" t="s">
        <v>15</v>
      </c>
      <c r="G598" t="s">
        <v>1441</v>
      </c>
      <c r="H598" t="s">
        <v>1446</v>
      </c>
    </row>
    <row r="599" spans="2:8" ht="15" customHeight="1" x14ac:dyDescent="0.25">
      <c r="B599" t="s">
        <v>697</v>
      </c>
      <c r="C599" s="2">
        <v>26691.183012544854</v>
      </c>
      <c r="D599" t="s">
        <v>11</v>
      </c>
      <c r="E599" t="s">
        <v>22</v>
      </c>
      <c r="F599" t="s">
        <v>1451</v>
      </c>
      <c r="G599" t="s">
        <v>1442</v>
      </c>
      <c r="H599" t="s">
        <v>1447</v>
      </c>
    </row>
    <row r="600" spans="2:8" ht="15" customHeight="1" x14ac:dyDescent="0.25">
      <c r="B600" t="s">
        <v>698</v>
      </c>
      <c r="C600" s="2">
        <v>8903.9583437212841</v>
      </c>
      <c r="D600" t="s">
        <v>3</v>
      </c>
      <c r="E600" t="s">
        <v>0</v>
      </c>
      <c r="F600" t="s">
        <v>0</v>
      </c>
      <c r="G600" t="s">
        <v>1441</v>
      </c>
      <c r="H600" t="s">
        <v>1445</v>
      </c>
    </row>
    <row r="601" spans="2:8" ht="15" customHeight="1" x14ac:dyDescent="0.25">
      <c r="B601" t="s">
        <v>699</v>
      </c>
      <c r="C601" s="2">
        <v>8725</v>
      </c>
      <c r="D601" t="s">
        <v>11</v>
      </c>
      <c r="E601" t="s">
        <v>2</v>
      </c>
      <c r="F601" t="s">
        <v>2</v>
      </c>
      <c r="G601" t="s">
        <v>1443</v>
      </c>
      <c r="H601" t="s">
        <v>1446</v>
      </c>
    </row>
    <row r="602" spans="2:8" ht="15" customHeight="1" x14ac:dyDescent="0.25">
      <c r="B602" t="s">
        <v>700</v>
      </c>
      <c r="C602" s="2">
        <v>50437.70470615309</v>
      </c>
      <c r="D602" t="s">
        <v>3</v>
      </c>
      <c r="E602" t="s">
        <v>15</v>
      </c>
      <c r="F602" t="s">
        <v>15</v>
      </c>
      <c r="G602" t="s">
        <v>1441</v>
      </c>
      <c r="H602" t="s">
        <v>1445</v>
      </c>
    </row>
    <row r="603" spans="2:8" ht="15" customHeight="1" x14ac:dyDescent="0.25">
      <c r="B603" t="s">
        <v>701</v>
      </c>
      <c r="C603" s="2">
        <v>67775.665698893223</v>
      </c>
      <c r="D603" t="s">
        <v>31</v>
      </c>
      <c r="E603" t="s">
        <v>15</v>
      </c>
      <c r="F603" t="s">
        <v>15</v>
      </c>
      <c r="G603" t="s">
        <v>1440</v>
      </c>
      <c r="H603" t="s">
        <v>1446</v>
      </c>
    </row>
    <row r="604" spans="2:8" ht="15" customHeight="1" x14ac:dyDescent="0.25">
      <c r="B604" t="s">
        <v>702</v>
      </c>
      <c r="C604" s="2">
        <v>52118.160720607324</v>
      </c>
      <c r="D604" t="s">
        <v>3</v>
      </c>
      <c r="E604" t="s">
        <v>19</v>
      </c>
      <c r="F604" t="s">
        <v>19</v>
      </c>
      <c r="G604" t="s">
        <v>1441</v>
      </c>
      <c r="H604" t="s">
        <v>1447</v>
      </c>
    </row>
    <row r="605" spans="2:8" ht="15" customHeight="1" x14ac:dyDescent="0.25">
      <c r="B605" t="s">
        <v>703</v>
      </c>
      <c r="C605" s="2">
        <v>3561.5833374885137</v>
      </c>
      <c r="D605" t="s">
        <v>3</v>
      </c>
      <c r="E605" t="s">
        <v>0</v>
      </c>
      <c r="F605" t="s">
        <v>0</v>
      </c>
      <c r="G605" t="s">
        <v>1442</v>
      </c>
      <c r="H605" t="s">
        <v>1447</v>
      </c>
    </row>
    <row r="606" spans="2:8" ht="15" customHeight="1" x14ac:dyDescent="0.25">
      <c r="B606" t="s">
        <v>704</v>
      </c>
      <c r="C606" s="2">
        <v>8013.5625093491553</v>
      </c>
      <c r="D606" t="s">
        <v>11</v>
      </c>
      <c r="E606" t="s">
        <v>0</v>
      </c>
      <c r="F606" t="s">
        <v>0</v>
      </c>
      <c r="G606" t="s">
        <v>1441</v>
      </c>
      <c r="H606" t="s">
        <v>1448</v>
      </c>
    </row>
    <row r="607" spans="2:8" ht="15" customHeight="1" x14ac:dyDescent="0.25">
      <c r="B607" t="s">
        <v>705</v>
      </c>
      <c r="C607" s="2">
        <v>28000</v>
      </c>
      <c r="D607" t="s">
        <v>11</v>
      </c>
      <c r="E607" t="s">
        <v>17</v>
      </c>
      <c r="F607" t="s">
        <v>1453</v>
      </c>
      <c r="G607" t="s">
        <v>1441</v>
      </c>
      <c r="H607" t="s">
        <v>1445</v>
      </c>
    </row>
    <row r="608" spans="2:8" ht="15" customHeight="1" x14ac:dyDescent="0.25">
      <c r="B608" t="s">
        <v>706</v>
      </c>
      <c r="C608" s="2">
        <v>50064.150455673145</v>
      </c>
      <c r="D608" t="s">
        <v>3</v>
      </c>
      <c r="E608" t="s">
        <v>15</v>
      </c>
      <c r="F608" t="s">
        <v>15</v>
      </c>
      <c r="G608" t="s">
        <v>1443</v>
      </c>
      <c r="H608" t="s">
        <v>1445</v>
      </c>
    </row>
    <row r="609" spans="2:8" ht="15" customHeight="1" x14ac:dyDescent="0.25">
      <c r="B609" t="s">
        <v>707</v>
      </c>
      <c r="C609" s="2">
        <v>50437.70470615309</v>
      </c>
      <c r="D609" t="s">
        <v>3</v>
      </c>
      <c r="E609" t="s">
        <v>19</v>
      </c>
      <c r="F609" t="s">
        <v>19</v>
      </c>
      <c r="G609" t="s">
        <v>1441</v>
      </c>
      <c r="H609" t="s">
        <v>1447</v>
      </c>
    </row>
    <row r="610" spans="2:8" ht="15" customHeight="1" x14ac:dyDescent="0.25">
      <c r="B610" t="s">
        <v>708</v>
      </c>
      <c r="C610" s="2">
        <v>27840</v>
      </c>
      <c r="D610" t="s">
        <v>3</v>
      </c>
      <c r="E610" t="s">
        <v>1</v>
      </c>
      <c r="F610" t="s">
        <v>1</v>
      </c>
      <c r="G610" t="s">
        <v>1443</v>
      </c>
      <c r="H610" t="s">
        <v>1445</v>
      </c>
    </row>
    <row r="611" spans="2:8" ht="15" customHeight="1" x14ac:dyDescent="0.25">
      <c r="B611" t="s">
        <v>709</v>
      </c>
      <c r="C611" s="2">
        <v>6232.7708406048987</v>
      </c>
      <c r="D611" t="s">
        <v>31</v>
      </c>
      <c r="E611" t="s">
        <v>0</v>
      </c>
      <c r="F611" t="s">
        <v>0</v>
      </c>
      <c r="G611" t="s">
        <v>1443</v>
      </c>
      <c r="H611" t="s">
        <v>1445</v>
      </c>
    </row>
    <row r="612" spans="2:8" ht="15" customHeight="1" x14ac:dyDescent="0.25">
      <c r="B612" t="s">
        <v>710</v>
      </c>
      <c r="C612" s="2">
        <v>50000</v>
      </c>
      <c r="D612" t="s">
        <v>29</v>
      </c>
      <c r="E612" t="s">
        <v>25</v>
      </c>
      <c r="F612" t="s">
        <v>1454</v>
      </c>
      <c r="G612" t="s">
        <v>1443</v>
      </c>
      <c r="H612" t="s">
        <v>1448</v>
      </c>
    </row>
    <row r="613" spans="2:8" ht="15" customHeight="1" x14ac:dyDescent="0.25">
      <c r="B613" t="s">
        <v>711</v>
      </c>
      <c r="C613" s="2">
        <v>48000</v>
      </c>
      <c r="D613" t="s">
        <v>38</v>
      </c>
      <c r="E613" t="s">
        <v>61</v>
      </c>
      <c r="F613" t="s">
        <v>1451</v>
      </c>
      <c r="G613" t="s">
        <v>1443</v>
      </c>
      <c r="H613" t="s">
        <v>1447</v>
      </c>
    </row>
    <row r="614" spans="2:8" ht="15" customHeight="1" x14ac:dyDescent="0.25">
      <c r="B614" t="s">
        <v>712</v>
      </c>
      <c r="C614" s="2">
        <v>24000</v>
      </c>
      <c r="D614" t="s">
        <v>11</v>
      </c>
      <c r="E614" t="s">
        <v>75</v>
      </c>
      <c r="F614" t="s">
        <v>1451</v>
      </c>
      <c r="G614" t="s">
        <v>1441</v>
      </c>
      <c r="H614" t="s">
        <v>1448</v>
      </c>
    </row>
    <row r="615" spans="2:8" ht="15" customHeight="1" x14ac:dyDescent="0.25">
      <c r="B615" t="s">
        <v>713</v>
      </c>
      <c r="C615" s="2">
        <v>75000</v>
      </c>
      <c r="D615" t="s">
        <v>3</v>
      </c>
      <c r="E615" t="s">
        <v>1</v>
      </c>
      <c r="F615" t="s">
        <v>1</v>
      </c>
      <c r="G615" t="s">
        <v>1441</v>
      </c>
      <c r="H615" t="s">
        <v>1446</v>
      </c>
    </row>
    <row r="616" spans="2:8" ht="15" customHeight="1" x14ac:dyDescent="0.25">
      <c r="B616" t="s">
        <v>714</v>
      </c>
      <c r="C616" s="2">
        <v>58799.349940520107</v>
      </c>
      <c r="D616" t="s">
        <v>3</v>
      </c>
      <c r="E616" t="s">
        <v>34</v>
      </c>
      <c r="F616" t="s">
        <v>1451</v>
      </c>
      <c r="G616" t="s">
        <v>1441</v>
      </c>
      <c r="H616" t="s">
        <v>1445</v>
      </c>
    </row>
    <row r="617" spans="2:8" ht="15" customHeight="1" x14ac:dyDescent="0.25">
      <c r="B617" t="s">
        <v>715</v>
      </c>
      <c r="C617" s="2">
        <v>21228.177433598263</v>
      </c>
      <c r="D617" t="s">
        <v>33</v>
      </c>
      <c r="E617" t="s">
        <v>2</v>
      </c>
      <c r="F617" t="s">
        <v>2</v>
      </c>
      <c r="G617" t="s">
        <v>1440</v>
      </c>
      <c r="H617" t="s">
        <v>1447</v>
      </c>
    </row>
    <row r="618" spans="2:8" ht="15" customHeight="1" x14ac:dyDescent="0.25">
      <c r="B618" t="s">
        <v>716</v>
      </c>
      <c r="C618" s="2">
        <v>60000</v>
      </c>
      <c r="D618" t="s">
        <v>11</v>
      </c>
      <c r="E618" t="s">
        <v>1</v>
      </c>
      <c r="F618" t="s">
        <v>1</v>
      </c>
      <c r="G618" t="s">
        <v>1443</v>
      </c>
      <c r="H618" t="s">
        <v>1447</v>
      </c>
    </row>
    <row r="619" spans="2:8" ht="15" customHeight="1" x14ac:dyDescent="0.25">
      <c r="B619" t="s">
        <v>717</v>
      </c>
      <c r="C619" s="2">
        <v>18018.883790212141</v>
      </c>
      <c r="D619" t="s">
        <v>3</v>
      </c>
      <c r="E619" t="s">
        <v>17</v>
      </c>
      <c r="F619" t="s">
        <v>1453</v>
      </c>
      <c r="G619" t="s">
        <v>1440</v>
      </c>
      <c r="H619" t="s">
        <v>1447</v>
      </c>
    </row>
    <row r="620" spans="2:8" ht="15" customHeight="1" x14ac:dyDescent="0.25">
      <c r="B620" t="s">
        <v>718</v>
      </c>
      <c r="C620" s="2">
        <v>7200</v>
      </c>
      <c r="D620" t="s">
        <v>1437</v>
      </c>
      <c r="E620" t="s">
        <v>0</v>
      </c>
      <c r="F620" t="s">
        <v>0</v>
      </c>
      <c r="G620" t="s">
        <v>1441</v>
      </c>
      <c r="H620" t="s">
        <v>1447</v>
      </c>
    </row>
    <row r="621" spans="2:8" ht="15" customHeight="1" x14ac:dyDescent="0.25">
      <c r="B621" t="s">
        <v>719</v>
      </c>
      <c r="C621" s="2">
        <v>56000</v>
      </c>
      <c r="D621" t="s">
        <v>3</v>
      </c>
      <c r="E621" t="s">
        <v>1</v>
      </c>
      <c r="F621" t="s">
        <v>1</v>
      </c>
      <c r="G621" t="s">
        <v>1442</v>
      </c>
      <c r="H621" t="s">
        <v>1445</v>
      </c>
    </row>
    <row r="622" spans="2:8" ht="15" customHeight="1" x14ac:dyDescent="0.25">
      <c r="B622" t="s">
        <v>720</v>
      </c>
      <c r="C622" s="2">
        <v>9616.275011218986</v>
      </c>
      <c r="D622" t="s">
        <v>3</v>
      </c>
      <c r="E622" t="s">
        <v>0</v>
      </c>
      <c r="F622" t="s">
        <v>0</v>
      </c>
      <c r="G622" t="s">
        <v>1441</v>
      </c>
      <c r="H622" t="s">
        <v>1447</v>
      </c>
    </row>
    <row r="623" spans="2:8" ht="15" customHeight="1" x14ac:dyDescent="0.25">
      <c r="B623" t="s">
        <v>721</v>
      </c>
      <c r="C623" s="2">
        <v>51497.005988023957</v>
      </c>
      <c r="D623" t="s">
        <v>11</v>
      </c>
      <c r="E623" t="s">
        <v>76</v>
      </c>
      <c r="F623" t="s">
        <v>1451</v>
      </c>
      <c r="G623" t="s">
        <v>1441</v>
      </c>
      <c r="H623" t="s">
        <v>1447</v>
      </c>
    </row>
    <row r="624" spans="2:8" ht="15" customHeight="1" x14ac:dyDescent="0.25">
      <c r="B624" t="s">
        <v>722</v>
      </c>
      <c r="C624" s="2">
        <v>104172.75399731184</v>
      </c>
      <c r="D624" t="s">
        <v>11</v>
      </c>
      <c r="E624" t="s">
        <v>43</v>
      </c>
      <c r="F624" t="s">
        <v>1453</v>
      </c>
      <c r="G624" t="s">
        <v>1440</v>
      </c>
      <c r="H624" t="s">
        <v>1448</v>
      </c>
    </row>
    <row r="625" spans="2:8" ht="15" customHeight="1" x14ac:dyDescent="0.25">
      <c r="B625" t="s">
        <v>723</v>
      </c>
      <c r="C625" s="2">
        <v>88000</v>
      </c>
      <c r="D625" t="s">
        <v>11</v>
      </c>
      <c r="E625" t="s">
        <v>1</v>
      </c>
      <c r="F625" t="s">
        <v>1</v>
      </c>
      <c r="G625" t="s">
        <v>1441</v>
      </c>
      <c r="H625" t="s">
        <v>1445</v>
      </c>
    </row>
    <row r="626" spans="2:8" ht="15" customHeight="1" x14ac:dyDescent="0.25">
      <c r="B626" t="s">
        <v>724</v>
      </c>
      <c r="C626" s="2">
        <v>80000</v>
      </c>
      <c r="D626" t="s">
        <v>3</v>
      </c>
      <c r="E626" t="s">
        <v>1</v>
      </c>
      <c r="F626" t="s">
        <v>1</v>
      </c>
      <c r="G626" t="s">
        <v>1441</v>
      </c>
      <c r="H626" t="s">
        <v>1447</v>
      </c>
    </row>
    <row r="627" spans="2:8" ht="15" customHeight="1" x14ac:dyDescent="0.25">
      <c r="B627" t="s">
        <v>725</v>
      </c>
      <c r="C627" s="2">
        <v>19000</v>
      </c>
      <c r="D627" t="s">
        <v>31</v>
      </c>
      <c r="E627" t="s">
        <v>15</v>
      </c>
      <c r="F627" t="s">
        <v>15</v>
      </c>
      <c r="G627" t="s">
        <v>1441</v>
      </c>
      <c r="H627" t="s">
        <v>1446</v>
      </c>
    </row>
    <row r="628" spans="2:8" ht="15" customHeight="1" x14ac:dyDescent="0.25">
      <c r="B628" t="s">
        <v>726</v>
      </c>
      <c r="C628" s="2">
        <v>19055.991584874118</v>
      </c>
      <c r="D628" t="s">
        <v>33</v>
      </c>
      <c r="E628" t="s">
        <v>56</v>
      </c>
      <c r="F628" t="s">
        <v>1453</v>
      </c>
      <c r="G628" t="s">
        <v>1441</v>
      </c>
      <c r="H628" t="s">
        <v>1445</v>
      </c>
    </row>
    <row r="629" spans="2:8" ht="15" customHeight="1" x14ac:dyDescent="0.25">
      <c r="B629" t="s">
        <v>727</v>
      </c>
      <c r="C629" s="2">
        <v>8547.8000099724322</v>
      </c>
      <c r="D629" t="s">
        <v>33</v>
      </c>
      <c r="E629" t="s">
        <v>0</v>
      </c>
      <c r="F629" t="s">
        <v>0</v>
      </c>
      <c r="G629" t="s">
        <v>1440</v>
      </c>
      <c r="H629" t="s">
        <v>1446</v>
      </c>
    </row>
    <row r="630" spans="2:8" ht="15" customHeight="1" x14ac:dyDescent="0.25">
      <c r="B630" t="s">
        <v>728</v>
      </c>
      <c r="C630" s="2">
        <v>19588.708356186824</v>
      </c>
      <c r="D630" t="s">
        <v>33</v>
      </c>
      <c r="E630" t="s">
        <v>0</v>
      </c>
      <c r="F630" t="s">
        <v>0</v>
      </c>
      <c r="G630" t="s">
        <v>1440</v>
      </c>
      <c r="H630" t="s">
        <v>1446</v>
      </c>
    </row>
    <row r="631" spans="2:8" ht="15" customHeight="1" x14ac:dyDescent="0.25">
      <c r="B631" t="s">
        <v>729</v>
      </c>
      <c r="C631" s="2">
        <v>61000</v>
      </c>
      <c r="D631" t="s">
        <v>3</v>
      </c>
      <c r="E631" t="s">
        <v>1</v>
      </c>
      <c r="F631" t="s">
        <v>1</v>
      </c>
      <c r="G631" t="s">
        <v>1441</v>
      </c>
      <c r="H631" t="s">
        <v>1445</v>
      </c>
    </row>
    <row r="632" spans="2:8" ht="15" customHeight="1" x14ac:dyDescent="0.25">
      <c r="B632" t="s">
        <v>730</v>
      </c>
      <c r="C632" s="2">
        <v>53590.061250287661</v>
      </c>
      <c r="D632" t="s">
        <v>31</v>
      </c>
      <c r="E632" t="s">
        <v>15</v>
      </c>
      <c r="F632" t="s">
        <v>15</v>
      </c>
      <c r="G632" t="s">
        <v>1440</v>
      </c>
      <c r="H632" t="s">
        <v>1447</v>
      </c>
    </row>
    <row r="633" spans="2:8" ht="15" customHeight="1" x14ac:dyDescent="0.25">
      <c r="B633" t="s">
        <v>731</v>
      </c>
      <c r="C633" s="2">
        <v>53590.061250287661</v>
      </c>
      <c r="D633" t="s">
        <v>31</v>
      </c>
      <c r="E633" t="s">
        <v>15</v>
      </c>
      <c r="F633" t="s">
        <v>15</v>
      </c>
      <c r="G633" t="s">
        <v>1440</v>
      </c>
      <c r="H633" t="s">
        <v>1447</v>
      </c>
    </row>
    <row r="634" spans="2:8" ht="15" customHeight="1" x14ac:dyDescent="0.25">
      <c r="B634" t="s">
        <v>732</v>
      </c>
      <c r="C634" s="2">
        <v>4451.9791718606421</v>
      </c>
      <c r="D634" t="s">
        <v>11</v>
      </c>
      <c r="E634" t="s">
        <v>0</v>
      </c>
      <c r="F634" t="s">
        <v>0</v>
      </c>
      <c r="G634" t="s">
        <v>1441</v>
      </c>
      <c r="H634" t="s">
        <v>1445</v>
      </c>
    </row>
    <row r="635" spans="2:8" ht="15" customHeight="1" x14ac:dyDescent="0.25">
      <c r="B635" t="s">
        <v>733</v>
      </c>
      <c r="C635" s="2">
        <v>25407.988779832154</v>
      </c>
      <c r="D635" t="s">
        <v>11</v>
      </c>
      <c r="E635" t="s">
        <v>24</v>
      </c>
      <c r="F635" t="s">
        <v>1453</v>
      </c>
      <c r="G635" t="s">
        <v>1442</v>
      </c>
      <c r="H635" t="s">
        <v>1446</v>
      </c>
    </row>
    <row r="636" spans="2:8" ht="15" customHeight="1" x14ac:dyDescent="0.25">
      <c r="B636" t="s">
        <v>734</v>
      </c>
      <c r="C636" s="2">
        <v>23000</v>
      </c>
      <c r="D636" t="s">
        <v>31</v>
      </c>
      <c r="E636" t="s">
        <v>21</v>
      </c>
      <c r="F636" t="s">
        <v>1451</v>
      </c>
      <c r="G636" t="s">
        <v>1440</v>
      </c>
      <c r="H636" t="s">
        <v>1446</v>
      </c>
    </row>
    <row r="637" spans="2:8" ht="15" customHeight="1" x14ac:dyDescent="0.25">
      <c r="B637" t="s">
        <v>735</v>
      </c>
      <c r="C637" s="2">
        <v>16027.125018698311</v>
      </c>
      <c r="D637" t="s">
        <v>11</v>
      </c>
      <c r="E637" t="s">
        <v>0</v>
      </c>
      <c r="F637" t="s">
        <v>0</v>
      </c>
      <c r="G637" t="s">
        <v>1442</v>
      </c>
      <c r="H637" t="s">
        <v>1446</v>
      </c>
    </row>
    <row r="638" spans="2:8" ht="15" customHeight="1" x14ac:dyDescent="0.25">
      <c r="B638" t="s">
        <v>736</v>
      </c>
      <c r="C638" s="2">
        <v>60000</v>
      </c>
      <c r="D638" t="s">
        <v>29</v>
      </c>
      <c r="E638" t="s">
        <v>1</v>
      </c>
      <c r="F638" t="s">
        <v>1</v>
      </c>
      <c r="G638" t="s">
        <v>1442</v>
      </c>
      <c r="H638" t="s">
        <v>1447</v>
      </c>
    </row>
    <row r="639" spans="2:8" ht="15" customHeight="1" x14ac:dyDescent="0.25">
      <c r="B639" t="s">
        <v>737</v>
      </c>
      <c r="C639" s="2">
        <v>4800</v>
      </c>
      <c r="D639" t="s">
        <v>3</v>
      </c>
      <c r="E639" t="s">
        <v>0</v>
      </c>
      <c r="F639" t="s">
        <v>0</v>
      </c>
      <c r="G639" t="s">
        <v>1441</v>
      </c>
      <c r="H639" t="s">
        <v>1445</v>
      </c>
    </row>
    <row r="640" spans="2:8" ht="15" customHeight="1" x14ac:dyDescent="0.25">
      <c r="B640" t="s">
        <v>738</v>
      </c>
      <c r="C640" s="2">
        <v>106815.148267971</v>
      </c>
      <c r="D640" t="s">
        <v>11</v>
      </c>
      <c r="E640" t="s">
        <v>55</v>
      </c>
      <c r="F640" t="s">
        <v>1453</v>
      </c>
      <c r="G640" t="s">
        <v>1441</v>
      </c>
      <c r="H640" t="s">
        <v>1448</v>
      </c>
    </row>
    <row r="641" spans="2:8" ht="15" customHeight="1" x14ac:dyDescent="0.25">
      <c r="B641" t="s">
        <v>739</v>
      </c>
      <c r="C641" s="2">
        <v>8903.9583437212841</v>
      </c>
      <c r="D641" t="s">
        <v>33</v>
      </c>
      <c r="E641" t="s">
        <v>0</v>
      </c>
      <c r="F641" t="s">
        <v>0</v>
      </c>
      <c r="G641" t="s">
        <v>1443</v>
      </c>
      <c r="H641" t="s">
        <v>1445</v>
      </c>
    </row>
    <row r="642" spans="2:8" ht="15" customHeight="1" x14ac:dyDescent="0.25">
      <c r="B642" t="s">
        <v>740</v>
      </c>
      <c r="C642" s="2">
        <v>60000</v>
      </c>
      <c r="D642" t="s">
        <v>11</v>
      </c>
      <c r="E642" t="s">
        <v>1</v>
      </c>
      <c r="F642" t="s">
        <v>1</v>
      </c>
      <c r="G642" t="s">
        <v>1441</v>
      </c>
      <c r="H642" t="s">
        <v>1446</v>
      </c>
    </row>
    <row r="643" spans="2:8" ht="15" customHeight="1" x14ac:dyDescent="0.25">
      <c r="B643" t="s">
        <v>741</v>
      </c>
      <c r="C643" s="2">
        <v>46300.583387350678</v>
      </c>
      <c r="D643" t="s">
        <v>11</v>
      </c>
      <c r="E643" t="s">
        <v>0</v>
      </c>
      <c r="F643" t="s">
        <v>0</v>
      </c>
      <c r="G643" t="s">
        <v>1441</v>
      </c>
      <c r="H643" t="s">
        <v>1445</v>
      </c>
    </row>
    <row r="644" spans="2:8" ht="15" customHeight="1" x14ac:dyDescent="0.25">
      <c r="B644" t="s">
        <v>742</v>
      </c>
      <c r="C644" s="2">
        <v>13355.937515581925</v>
      </c>
      <c r="D644" t="s">
        <v>11</v>
      </c>
      <c r="E644" t="s">
        <v>0</v>
      </c>
      <c r="F644" t="s">
        <v>0</v>
      </c>
      <c r="G644" t="s">
        <v>1443</v>
      </c>
      <c r="H644" t="s">
        <v>1445</v>
      </c>
    </row>
    <row r="645" spans="2:8" ht="15" customHeight="1" x14ac:dyDescent="0.25">
      <c r="B645" t="s">
        <v>743</v>
      </c>
      <c r="C645" s="2">
        <v>74000</v>
      </c>
      <c r="D645" t="s">
        <v>14</v>
      </c>
      <c r="E645" t="s">
        <v>1</v>
      </c>
      <c r="F645" t="s">
        <v>1</v>
      </c>
      <c r="G645" t="s">
        <v>1441</v>
      </c>
      <c r="H645" t="s">
        <v>1447</v>
      </c>
    </row>
    <row r="646" spans="2:8" ht="15" customHeight="1" x14ac:dyDescent="0.25">
      <c r="B646" t="s">
        <v>744</v>
      </c>
      <c r="C646" s="2">
        <v>95856</v>
      </c>
      <c r="D646" t="s">
        <v>3</v>
      </c>
      <c r="E646" t="s">
        <v>1</v>
      </c>
      <c r="F646" t="s">
        <v>1</v>
      </c>
      <c r="G646" t="s">
        <v>1443</v>
      </c>
      <c r="H646" t="s">
        <v>1446</v>
      </c>
    </row>
    <row r="647" spans="2:8" ht="15" customHeight="1" x14ac:dyDescent="0.25">
      <c r="B647" t="s">
        <v>745</v>
      </c>
      <c r="C647" s="2">
        <v>40000</v>
      </c>
      <c r="D647" t="s">
        <v>31</v>
      </c>
      <c r="E647" t="s">
        <v>1</v>
      </c>
      <c r="F647" t="s">
        <v>1</v>
      </c>
      <c r="G647" t="s">
        <v>1443</v>
      </c>
      <c r="H647" t="s">
        <v>1446</v>
      </c>
    </row>
    <row r="648" spans="2:8" ht="15" customHeight="1" x14ac:dyDescent="0.25">
      <c r="B648" t="s">
        <v>746</v>
      </c>
      <c r="C648" s="2">
        <v>4400</v>
      </c>
      <c r="D648" t="s">
        <v>11</v>
      </c>
      <c r="E648" t="s">
        <v>77</v>
      </c>
      <c r="F648" t="s">
        <v>1451</v>
      </c>
      <c r="G648" t="s">
        <v>1443</v>
      </c>
      <c r="H648" t="s">
        <v>1445</v>
      </c>
    </row>
    <row r="649" spans="2:8" ht="15" customHeight="1" x14ac:dyDescent="0.25">
      <c r="B649" t="s">
        <v>747</v>
      </c>
      <c r="C649" s="2">
        <v>90000</v>
      </c>
      <c r="D649" t="s">
        <v>3</v>
      </c>
      <c r="E649" t="s">
        <v>1</v>
      </c>
      <c r="F649" t="s">
        <v>1</v>
      </c>
      <c r="G649" t="s">
        <v>1441</v>
      </c>
      <c r="H649" t="s">
        <v>1448</v>
      </c>
    </row>
    <row r="650" spans="2:8" ht="15" customHeight="1" x14ac:dyDescent="0.25">
      <c r="B650" t="s">
        <v>748</v>
      </c>
      <c r="C650" s="2">
        <v>8013.5625093491553</v>
      </c>
      <c r="D650" t="s">
        <v>11</v>
      </c>
      <c r="E650" t="s">
        <v>0</v>
      </c>
      <c r="F650" t="s">
        <v>0</v>
      </c>
      <c r="G650" t="s">
        <v>1440</v>
      </c>
      <c r="H650" t="s">
        <v>1445</v>
      </c>
    </row>
    <row r="651" spans="2:8" ht="15" customHeight="1" x14ac:dyDescent="0.25">
      <c r="B651" t="s">
        <v>749</v>
      </c>
      <c r="C651" s="2">
        <v>17807.916687442568</v>
      </c>
      <c r="D651" t="s">
        <v>11</v>
      </c>
      <c r="E651" t="s">
        <v>0</v>
      </c>
      <c r="F651" t="s">
        <v>0</v>
      </c>
      <c r="G651" t="s">
        <v>1441</v>
      </c>
      <c r="H651" t="s">
        <v>1447</v>
      </c>
    </row>
    <row r="652" spans="2:8" ht="15" customHeight="1" x14ac:dyDescent="0.25">
      <c r="B652" t="s">
        <v>750</v>
      </c>
      <c r="C652" s="2">
        <v>12465.541681209797</v>
      </c>
      <c r="D652" t="s">
        <v>1437</v>
      </c>
      <c r="E652" t="s">
        <v>0</v>
      </c>
      <c r="F652" t="s">
        <v>0</v>
      </c>
      <c r="G652" t="s">
        <v>1441</v>
      </c>
      <c r="H652" t="s">
        <v>1447</v>
      </c>
    </row>
    <row r="653" spans="2:8" ht="15" customHeight="1" x14ac:dyDescent="0.25">
      <c r="B653" t="s">
        <v>751</v>
      </c>
      <c r="C653" s="2">
        <v>80000</v>
      </c>
      <c r="D653" t="s">
        <v>3</v>
      </c>
      <c r="E653" t="s">
        <v>25</v>
      </c>
      <c r="F653" t="s">
        <v>1454</v>
      </c>
      <c r="G653" t="s">
        <v>1442</v>
      </c>
      <c r="H653" t="s">
        <v>1447</v>
      </c>
    </row>
    <row r="654" spans="2:8" ht="15" customHeight="1" x14ac:dyDescent="0.25">
      <c r="B654" t="s">
        <v>752</v>
      </c>
      <c r="C654" s="2">
        <v>100000</v>
      </c>
      <c r="D654" t="s">
        <v>11</v>
      </c>
      <c r="E654" t="s">
        <v>1</v>
      </c>
      <c r="F654" t="s">
        <v>1</v>
      </c>
      <c r="G654" t="s">
        <v>1441</v>
      </c>
      <c r="H654" t="s">
        <v>1446</v>
      </c>
    </row>
    <row r="655" spans="2:8" ht="15" customHeight="1" x14ac:dyDescent="0.25">
      <c r="B655" t="s">
        <v>753</v>
      </c>
      <c r="C655" s="2">
        <v>49200</v>
      </c>
      <c r="D655" t="s">
        <v>31</v>
      </c>
      <c r="E655" t="s">
        <v>61</v>
      </c>
      <c r="F655" t="s">
        <v>1451</v>
      </c>
      <c r="G655" t="s">
        <v>1443</v>
      </c>
      <c r="H655" t="s">
        <v>1448</v>
      </c>
    </row>
    <row r="656" spans="2:8" ht="15" customHeight="1" x14ac:dyDescent="0.25">
      <c r="B656" t="s">
        <v>754</v>
      </c>
      <c r="C656" s="2">
        <v>9000</v>
      </c>
      <c r="D656" t="s">
        <v>11</v>
      </c>
      <c r="E656" t="s">
        <v>0</v>
      </c>
      <c r="F656" t="s">
        <v>0</v>
      </c>
      <c r="G656" t="s">
        <v>1441</v>
      </c>
      <c r="H656" t="s">
        <v>1445</v>
      </c>
    </row>
    <row r="657" spans="2:8" ht="15" customHeight="1" x14ac:dyDescent="0.25">
      <c r="B657" t="s">
        <v>755</v>
      </c>
      <c r="C657" s="2">
        <v>5342.3750062327708</v>
      </c>
      <c r="D657" t="s">
        <v>3</v>
      </c>
      <c r="E657" t="s">
        <v>0</v>
      </c>
      <c r="F657" t="s">
        <v>0</v>
      </c>
      <c r="G657" t="s">
        <v>1441</v>
      </c>
      <c r="H657" t="s">
        <v>1447</v>
      </c>
    </row>
    <row r="658" spans="2:8" ht="15" customHeight="1" x14ac:dyDescent="0.25">
      <c r="B658" t="s">
        <v>756</v>
      </c>
      <c r="C658" s="2">
        <v>40000</v>
      </c>
      <c r="D658" t="s">
        <v>11</v>
      </c>
      <c r="E658" t="s">
        <v>2</v>
      </c>
      <c r="F658" t="s">
        <v>2</v>
      </c>
      <c r="G658" t="s">
        <v>1441</v>
      </c>
      <c r="H658" t="s">
        <v>1446</v>
      </c>
    </row>
    <row r="659" spans="2:8" ht="15" customHeight="1" x14ac:dyDescent="0.25">
      <c r="B659" t="s">
        <v>757</v>
      </c>
      <c r="C659" s="2">
        <v>40980.635073749385</v>
      </c>
      <c r="D659" t="s">
        <v>3</v>
      </c>
      <c r="E659" t="s">
        <v>15</v>
      </c>
      <c r="F659" t="s">
        <v>15</v>
      </c>
      <c r="G659" t="s">
        <v>1441</v>
      </c>
      <c r="H659" t="s">
        <v>1445</v>
      </c>
    </row>
    <row r="660" spans="2:8" ht="15" customHeight="1" x14ac:dyDescent="0.25">
      <c r="B660" t="s">
        <v>758</v>
      </c>
      <c r="C660" s="2">
        <v>45709.169889951241</v>
      </c>
      <c r="D660" t="s">
        <v>31</v>
      </c>
      <c r="E660" t="s">
        <v>15</v>
      </c>
      <c r="F660" t="s">
        <v>15</v>
      </c>
      <c r="G660" t="s">
        <v>1443</v>
      </c>
      <c r="H660" t="s">
        <v>1447</v>
      </c>
    </row>
    <row r="661" spans="2:8" ht="15" customHeight="1" x14ac:dyDescent="0.25">
      <c r="B661" t="s">
        <v>759</v>
      </c>
      <c r="C661" s="2">
        <v>7123.1666749770275</v>
      </c>
      <c r="D661" t="s">
        <v>11</v>
      </c>
      <c r="E661" t="s">
        <v>0</v>
      </c>
      <c r="F661" t="s">
        <v>0</v>
      </c>
      <c r="G661" t="s">
        <v>1441</v>
      </c>
      <c r="H661" t="s">
        <v>1445</v>
      </c>
    </row>
    <row r="662" spans="2:8" ht="15" customHeight="1" x14ac:dyDescent="0.25">
      <c r="B662" t="s">
        <v>760</v>
      </c>
      <c r="C662" s="2">
        <v>100000</v>
      </c>
      <c r="D662" t="s">
        <v>38</v>
      </c>
      <c r="E662" t="s">
        <v>41</v>
      </c>
      <c r="F662" t="s">
        <v>1453</v>
      </c>
      <c r="G662" t="s">
        <v>1441</v>
      </c>
      <c r="H662" t="s">
        <v>1446</v>
      </c>
    </row>
    <row r="663" spans="2:8" ht="15" customHeight="1" x14ac:dyDescent="0.25">
      <c r="B663" t="s">
        <v>761</v>
      </c>
      <c r="C663" s="2">
        <v>78764.765217479682</v>
      </c>
      <c r="D663" t="s">
        <v>3</v>
      </c>
      <c r="E663" t="s">
        <v>43</v>
      </c>
      <c r="F663" t="s">
        <v>1453</v>
      </c>
      <c r="G663" t="s">
        <v>1441</v>
      </c>
      <c r="H663" t="s">
        <v>1446</v>
      </c>
    </row>
    <row r="664" spans="2:8" ht="15" customHeight="1" x14ac:dyDescent="0.25">
      <c r="B664" t="s">
        <v>762</v>
      </c>
      <c r="C664" s="2">
        <v>152986.44846039536</v>
      </c>
      <c r="D664" t="s">
        <v>3</v>
      </c>
      <c r="E664" t="s">
        <v>18</v>
      </c>
      <c r="F664" t="s">
        <v>18</v>
      </c>
      <c r="G664" t="s">
        <v>1443</v>
      </c>
      <c r="H664" t="s">
        <v>1447</v>
      </c>
    </row>
    <row r="665" spans="2:8" ht="15" customHeight="1" x14ac:dyDescent="0.25">
      <c r="B665" t="s">
        <v>763</v>
      </c>
      <c r="C665" s="2">
        <v>44463.980364706273</v>
      </c>
      <c r="D665" t="s">
        <v>3</v>
      </c>
      <c r="E665" t="s">
        <v>7</v>
      </c>
      <c r="F665" t="s">
        <v>1453</v>
      </c>
      <c r="G665" t="s">
        <v>1440</v>
      </c>
      <c r="H665" t="s">
        <v>1446</v>
      </c>
    </row>
    <row r="666" spans="2:8" ht="15" customHeight="1" x14ac:dyDescent="0.25">
      <c r="B666" t="s">
        <v>764</v>
      </c>
      <c r="C666" s="2">
        <v>38111.983169748237</v>
      </c>
      <c r="D666" t="s">
        <v>33</v>
      </c>
      <c r="E666" t="s">
        <v>43</v>
      </c>
      <c r="F666" t="s">
        <v>1453</v>
      </c>
      <c r="G666" t="s">
        <v>1442</v>
      </c>
      <c r="H666" t="s">
        <v>1447</v>
      </c>
    </row>
    <row r="667" spans="2:8" ht="15" customHeight="1" x14ac:dyDescent="0.25">
      <c r="B667" t="s">
        <v>765</v>
      </c>
      <c r="C667" s="2">
        <v>118213.37040504631</v>
      </c>
      <c r="D667" t="s">
        <v>11</v>
      </c>
      <c r="E667" t="s">
        <v>15</v>
      </c>
      <c r="F667" t="s">
        <v>15</v>
      </c>
      <c r="G667" t="s">
        <v>1441</v>
      </c>
      <c r="H667" t="s">
        <v>1446</v>
      </c>
    </row>
    <row r="668" spans="2:8" ht="15" customHeight="1" x14ac:dyDescent="0.25">
      <c r="B668" t="s">
        <v>766</v>
      </c>
      <c r="C668" s="2">
        <v>39404.456801682099</v>
      </c>
      <c r="D668" t="s">
        <v>31</v>
      </c>
      <c r="E668" t="s">
        <v>15</v>
      </c>
      <c r="F668" t="s">
        <v>15</v>
      </c>
      <c r="G668" t="s">
        <v>1443</v>
      </c>
      <c r="H668" t="s">
        <v>1447</v>
      </c>
    </row>
    <row r="669" spans="2:8" ht="15" customHeight="1" x14ac:dyDescent="0.25">
      <c r="B669" t="s">
        <v>767</v>
      </c>
      <c r="C669" s="2">
        <v>90198.36016840415</v>
      </c>
      <c r="D669" t="s">
        <v>33</v>
      </c>
      <c r="E669" t="s">
        <v>4</v>
      </c>
      <c r="F669" t="s">
        <v>1453</v>
      </c>
      <c r="G669" t="s">
        <v>1442</v>
      </c>
      <c r="H669" t="s">
        <v>1445</v>
      </c>
    </row>
    <row r="670" spans="2:8" ht="15" customHeight="1" x14ac:dyDescent="0.25">
      <c r="B670" t="s">
        <v>768</v>
      </c>
      <c r="C670" s="2">
        <v>47285.348162018527</v>
      </c>
      <c r="D670" t="s">
        <v>14</v>
      </c>
      <c r="E670" t="s">
        <v>15</v>
      </c>
      <c r="F670" t="s">
        <v>15</v>
      </c>
      <c r="G670" t="s">
        <v>1441</v>
      </c>
      <c r="H670" t="s">
        <v>1446</v>
      </c>
    </row>
    <row r="671" spans="2:8" ht="15" customHeight="1" x14ac:dyDescent="0.25">
      <c r="B671" t="s">
        <v>769</v>
      </c>
      <c r="C671" s="2">
        <v>56000</v>
      </c>
      <c r="D671" t="s">
        <v>31</v>
      </c>
      <c r="E671" t="s">
        <v>1</v>
      </c>
      <c r="F671" t="s">
        <v>1</v>
      </c>
      <c r="G671" t="s">
        <v>1441</v>
      </c>
      <c r="H671" t="s">
        <v>1445</v>
      </c>
    </row>
    <row r="672" spans="2:8" ht="15" customHeight="1" x14ac:dyDescent="0.25">
      <c r="B672" t="s">
        <v>770</v>
      </c>
      <c r="C672" s="2">
        <v>5082.6943786459069</v>
      </c>
      <c r="D672" t="s">
        <v>3</v>
      </c>
      <c r="E672" t="s">
        <v>49</v>
      </c>
      <c r="F672" t="s">
        <v>1454</v>
      </c>
      <c r="G672" t="s">
        <v>1442</v>
      </c>
      <c r="H672" t="s">
        <v>1445</v>
      </c>
    </row>
    <row r="673" spans="2:8" ht="15" customHeight="1" x14ac:dyDescent="0.25">
      <c r="B673" t="s">
        <v>771</v>
      </c>
      <c r="C673" s="2">
        <v>53590.061250287661</v>
      </c>
      <c r="D673" t="s">
        <v>31</v>
      </c>
      <c r="E673" t="s">
        <v>15</v>
      </c>
      <c r="F673" t="s">
        <v>15</v>
      </c>
      <c r="G673" t="s">
        <v>1440</v>
      </c>
      <c r="H673" t="s">
        <v>1447</v>
      </c>
    </row>
    <row r="674" spans="2:8" ht="15" customHeight="1" x14ac:dyDescent="0.25">
      <c r="B674" t="s">
        <v>772</v>
      </c>
      <c r="C674" s="2">
        <v>76906.906752939132</v>
      </c>
      <c r="D674" t="s">
        <v>1439</v>
      </c>
      <c r="E674" t="s">
        <v>55</v>
      </c>
      <c r="F674" t="s">
        <v>1453</v>
      </c>
      <c r="G674" t="s">
        <v>1440</v>
      </c>
      <c r="H674" t="s">
        <v>1446</v>
      </c>
    </row>
    <row r="675" spans="2:8" ht="15" customHeight="1" x14ac:dyDescent="0.25">
      <c r="B675" t="s">
        <v>773</v>
      </c>
      <c r="C675" s="2">
        <v>85000</v>
      </c>
      <c r="D675" t="s">
        <v>3</v>
      </c>
      <c r="E675" t="s">
        <v>1</v>
      </c>
      <c r="F675" t="s">
        <v>1</v>
      </c>
      <c r="G675" t="s">
        <v>1441</v>
      </c>
      <c r="H675" t="s">
        <v>1445</v>
      </c>
    </row>
    <row r="676" spans="2:8" ht="15" customHeight="1" x14ac:dyDescent="0.25">
      <c r="B676" t="s">
        <v>774</v>
      </c>
      <c r="C676" s="2">
        <v>72000</v>
      </c>
      <c r="D676" t="s">
        <v>33</v>
      </c>
      <c r="E676" t="s">
        <v>45</v>
      </c>
      <c r="F676" t="s">
        <v>1451</v>
      </c>
      <c r="G676" t="s">
        <v>1443</v>
      </c>
      <c r="H676" t="s">
        <v>1447</v>
      </c>
    </row>
    <row r="677" spans="2:8" ht="15" customHeight="1" x14ac:dyDescent="0.25">
      <c r="B677" t="s">
        <v>775</v>
      </c>
      <c r="C677" s="2">
        <v>55000</v>
      </c>
      <c r="D677" t="s">
        <v>3</v>
      </c>
      <c r="E677" t="s">
        <v>1</v>
      </c>
      <c r="F677" t="s">
        <v>1</v>
      </c>
      <c r="G677" t="s">
        <v>1442</v>
      </c>
      <c r="H677" t="s">
        <v>1447</v>
      </c>
    </row>
    <row r="678" spans="2:8" ht="15" customHeight="1" x14ac:dyDescent="0.25">
      <c r="B678" t="s">
        <v>776</v>
      </c>
      <c r="C678" s="2">
        <v>67775.665698893223</v>
      </c>
      <c r="D678" t="s">
        <v>38</v>
      </c>
      <c r="E678" t="s">
        <v>15</v>
      </c>
      <c r="F678" t="s">
        <v>15</v>
      </c>
      <c r="G678" t="s">
        <v>1441</v>
      </c>
      <c r="H678" t="s">
        <v>1448</v>
      </c>
    </row>
    <row r="679" spans="2:8" ht="15" customHeight="1" x14ac:dyDescent="0.25">
      <c r="B679" t="s">
        <v>777</v>
      </c>
      <c r="C679" s="2">
        <v>40586.590505732565</v>
      </c>
      <c r="D679" t="s">
        <v>3</v>
      </c>
      <c r="E679" t="s">
        <v>15</v>
      </c>
      <c r="F679" t="s">
        <v>15</v>
      </c>
      <c r="G679" t="s">
        <v>1441</v>
      </c>
      <c r="H679" t="s">
        <v>1445</v>
      </c>
    </row>
    <row r="680" spans="2:8" ht="15" customHeight="1" x14ac:dyDescent="0.25">
      <c r="B680" t="s">
        <v>778</v>
      </c>
      <c r="C680" s="2">
        <v>50846</v>
      </c>
      <c r="D680" t="s">
        <v>3</v>
      </c>
      <c r="E680" t="s">
        <v>1</v>
      </c>
      <c r="F680" t="s">
        <v>1</v>
      </c>
      <c r="G680" t="s">
        <v>1441</v>
      </c>
      <c r="H680" t="s">
        <v>1448</v>
      </c>
    </row>
    <row r="681" spans="2:8" ht="15" customHeight="1" x14ac:dyDescent="0.25">
      <c r="B681" t="s">
        <v>779</v>
      </c>
      <c r="C681" s="2">
        <v>63000</v>
      </c>
      <c r="D681" t="s">
        <v>31</v>
      </c>
      <c r="E681" t="s">
        <v>1</v>
      </c>
      <c r="F681" t="s">
        <v>1</v>
      </c>
      <c r="G681" t="s">
        <v>1440</v>
      </c>
      <c r="H681" t="s">
        <v>1446</v>
      </c>
    </row>
    <row r="682" spans="2:8" ht="15" customHeight="1" x14ac:dyDescent="0.25">
      <c r="B682" t="s">
        <v>780</v>
      </c>
      <c r="C682" s="2">
        <v>81592.772512210868</v>
      </c>
      <c r="D682" t="s">
        <v>31</v>
      </c>
      <c r="E682" t="s">
        <v>18</v>
      </c>
      <c r="F682" t="s">
        <v>18</v>
      </c>
      <c r="G682" t="s">
        <v>1441</v>
      </c>
      <c r="H682" t="s">
        <v>1445</v>
      </c>
    </row>
    <row r="683" spans="2:8" ht="15" customHeight="1" x14ac:dyDescent="0.25">
      <c r="B683" t="s">
        <v>781</v>
      </c>
      <c r="C683" s="2">
        <v>50700</v>
      </c>
      <c r="D683" t="s">
        <v>3</v>
      </c>
      <c r="E683" t="s">
        <v>22</v>
      </c>
      <c r="F683" t="s">
        <v>1451</v>
      </c>
      <c r="G683" t="s">
        <v>1442</v>
      </c>
      <c r="H683" t="s">
        <v>1446</v>
      </c>
    </row>
    <row r="684" spans="2:8" ht="15" customHeight="1" x14ac:dyDescent="0.25">
      <c r="B684" t="s">
        <v>782</v>
      </c>
      <c r="C684" s="2">
        <v>31523.565441345683</v>
      </c>
      <c r="D684" t="s">
        <v>3</v>
      </c>
      <c r="E684" t="s">
        <v>15</v>
      </c>
      <c r="F684" t="s">
        <v>15</v>
      </c>
      <c r="G684" t="s">
        <v>1441</v>
      </c>
      <c r="H684" t="s">
        <v>1445</v>
      </c>
    </row>
    <row r="685" spans="2:8" ht="15" customHeight="1" x14ac:dyDescent="0.25">
      <c r="B685" t="s">
        <v>783</v>
      </c>
      <c r="C685" s="2">
        <v>70000</v>
      </c>
      <c r="D685" t="s">
        <v>3</v>
      </c>
      <c r="E685" t="s">
        <v>1</v>
      </c>
      <c r="F685" t="s">
        <v>1</v>
      </c>
      <c r="G685" t="s">
        <v>1442</v>
      </c>
      <c r="H685" t="s">
        <v>1447</v>
      </c>
    </row>
    <row r="686" spans="2:8" ht="15" customHeight="1" x14ac:dyDescent="0.25">
      <c r="B686" t="s">
        <v>784</v>
      </c>
      <c r="C686" s="2">
        <v>63918.498996971248</v>
      </c>
      <c r="D686" t="s">
        <v>11</v>
      </c>
      <c r="E686" t="s">
        <v>19</v>
      </c>
      <c r="F686" t="s">
        <v>19</v>
      </c>
      <c r="G686" t="s">
        <v>1443</v>
      </c>
      <c r="H686" t="s">
        <v>1446</v>
      </c>
    </row>
    <row r="687" spans="2:8" ht="15" customHeight="1" x14ac:dyDescent="0.25">
      <c r="B687" t="s">
        <v>785</v>
      </c>
      <c r="C687" s="2">
        <v>7261.724659606657</v>
      </c>
      <c r="D687" t="s">
        <v>3</v>
      </c>
      <c r="E687" t="s">
        <v>78</v>
      </c>
      <c r="F687" t="s">
        <v>1451</v>
      </c>
      <c r="G687" t="s">
        <v>1440</v>
      </c>
      <c r="H687" t="s">
        <v>1445</v>
      </c>
    </row>
    <row r="688" spans="2:8" ht="15" customHeight="1" x14ac:dyDescent="0.25">
      <c r="B688" t="s">
        <v>786</v>
      </c>
      <c r="C688" s="2">
        <v>11404.820437438224</v>
      </c>
      <c r="D688" t="s">
        <v>29</v>
      </c>
      <c r="E688" t="s">
        <v>69</v>
      </c>
      <c r="F688" t="s">
        <v>1454</v>
      </c>
      <c r="G688" t="s">
        <v>1441</v>
      </c>
      <c r="H688" t="s">
        <v>1445</v>
      </c>
    </row>
    <row r="689" spans="2:8" ht="15" customHeight="1" x14ac:dyDescent="0.25">
      <c r="B689" t="s">
        <v>787</v>
      </c>
      <c r="C689" s="2">
        <v>120000</v>
      </c>
      <c r="D689" t="s">
        <v>33</v>
      </c>
      <c r="E689" t="s">
        <v>25</v>
      </c>
      <c r="F689" t="s">
        <v>1454</v>
      </c>
      <c r="G689" t="s">
        <v>1442</v>
      </c>
      <c r="H689" t="s">
        <v>1445</v>
      </c>
    </row>
    <row r="690" spans="2:8" ht="15" customHeight="1" x14ac:dyDescent="0.25">
      <c r="B690" t="s">
        <v>788</v>
      </c>
      <c r="C690" s="2">
        <v>91791.869076237213</v>
      </c>
      <c r="D690" t="s">
        <v>3</v>
      </c>
      <c r="E690" t="s">
        <v>18</v>
      </c>
      <c r="F690" t="s">
        <v>18</v>
      </c>
      <c r="G690" t="s">
        <v>1441</v>
      </c>
      <c r="H690" t="s">
        <v>1445</v>
      </c>
    </row>
    <row r="691" spans="2:8" ht="15" customHeight="1" x14ac:dyDescent="0.25">
      <c r="B691" t="s">
        <v>789</v>
      </c>
      <c r="C691" s="2">
        <v>112190.06220428993</v>
      </c>
      <c r="D691" t="s">
        <v>3</v>
      </c>
      <c r="E691" t="s">
        <v>18</v>
      </c>
      <c r="F691" t="s">
        <v>18</v>
      </c>
      <c r="G691" t="s">
        <v>1443</v>
      </c>
      <c r="H691" t="s">
        <v>1447</v>
      </c>
    </row>
    <row r="692" spans="2:8" ht="15" customHeight="1" x14ac:dyDescent="0.25">
      <c r="B692" t="s">
        <v>790</v>
      </c>
      <c r="C692" s="2">
        <v>40000</v>
      </c>
      <c r="D692" t="s">
        <v>11</v>
      </c>
      <c r="E692" t="s">
        <v>1</v>
      </c>
      <c r="F692" t="s">
        <v>1</v>
      </c>
      <c r="G692" t="s">
        <v>1443</v>
      </c>
      <c r="H692" t="s">
        <v>1446</v>
      </c>
    </row>
    <row r="693" spans="2:8" ht="15" customHeight="1" x14ac:dyDescent="0.25">
      <c r="B693" t="s">
        <v>791</v>
      </c>
      <c r="C693" s="2">
        <v>107000</v>
      </c>
      <c r="D693" t="s">
        <v>31</v>
      </c>
      <c r="E693" t="s">
        <v>1</v>
      </c>
      <c r="F693" t="s">
        <v>1</v>
      </c>
      <c r="G693" t="s">
        <v>1441</v>
      </c>
      <c r="H693" t="s">
        <v>1446</v>
      </c>
    </row>
    <row r="694" spans="2:8" ht="15" customHeight="1" x14ac:dyDescent="0.25">
      <c r="B694" t="s">
        <v>792</v>
      </c>
      <c r="C694" s="2">
        <v>82000</v>
      </c>
      <c r="D694" t="s">
        <v>11</v>
      </c>
      <c r="E694" t="s">
        <v>1</v>
      </c>
      <c r="F694" t="s">
        <v>1</v>
      </c>
      <c r="G694" t="s">
        <v>1441</v>
      </c>
      <c r="H694" t="s">
        <v>1447</v>
      </c>
    </row>
    <row r="695" spans="2:8" ht="15" customHeight="1" x14ac:dyDescent="0.25">
      <c r="B695" t="s">
        <v>793</v>
      </c>
      <c r="C695" s="2">
        <v>101990.96564026357</v>
      </c>
      <c r="D695" t="s">
        <v>33</v>
      </c>
      <c r="E695" t="s">
        <v>18</v>
      </c>
      <c r="F695" t="s">
        <v>18</v>
      </c>
      <c r="G695" t="s">
        <v>1441</v>
      </c>
      <c r="H695" t="s">
        <v>1446</v>
      </c>
    </row>
    <row r="696" spans="2:8" ht="15" customHeight="1" x14ac:dyDescent="0.25">
      <c r="B696" t="s">
        <v>794</v>
      </c>
      <c r="C696" s="2">
        <v>43000</v>
      </c>
      <c r="D696" t="s">
        <v>11</v>
      </c>
      <c r="E696" t="s">
        <v>18</v>
      </c>
      <c r="F696" t="s">
        <v>18</v>
      </c>
      <c r="G696" t="s">
        <v>1443</v>
      </c>
      <c r="H696" t="s">
        <v>1445</v>
      </c>
    </row>
    <row r="697" spans="2:8" ht="15" customHeight="1" x14ac:dyDescent="0.25">
      <c r="B697" t="s">
        <v>795</v>
      </c>
      <c r="C697" s="2">
        <v>69000</v>
      </c>
      <c r="D697" t="s">
        <v>38</v>
      </c>
      <c r="E697" t="s">
        <v>1</v>
      </c>
      <c r="F697" t="s">
        <v>1</v>
      </c>
      <c r="G697" t="s">
        <v>1441</v>
      </c>
      <c r="H697" t="s">
        <v>1446</v>
      </c>
    </row>
    <row r="698" spans="2:8" ht="15" customHeight="1" x14ac:dyDescent="0.25">
      <c r="B698" t="s">
        <v>796</v>
      </c>
      <c r="C698" s="2">
        <v>30000</v>
      </c>
      <c r="D698" t="s">
        <v>11</v>
      </c>
      <c r="E698" t="s">
        <v>0</v>
      </c>
      <c r="F698" t="s">
        <v>0</v>
      </c>
      <c r="G698" t="s">
        <v>1443</v>
      </c>
      <c r="H698" t="s">
        <v>1445</v>
      </c>
    </row>
    <row r="699" spans="2:8" ht="15" customHeight="1" x14ac:dyDescent="0.25">
      <c r="B699" t="s">
        <v>797</v>
      </c>
      <c r="C699" s="2">
        <v>48955.663507326513</v>
      </c>
      <c r="D699" t="s">
        <v>3</v>
      </c>
      <c r="E699" t="s">
        <v>18</v>
      </c>
      <c r="F699" t="s">
        <v>18</v>
      </c>
      <c r="G699" t="s">
        <v>1442</v>
      </c>
      <c r="H699" t="s">
        <v>1445</v>
      </c>
    </row>
    <row r="700" spans="2:8" ht="15" customHeight="1" x14ac:dyDescent="0.25">
      <c r="B700" t="s">
        <v>798</v>
      </c>
      <c r="C700" s="2">
        <v>70000</v>
      </c>
      <c r="D700" t="s">
        <v>11</v>
      </c>
      <c r="E700" t="s">
        <v>1</v>
      </c>
      <c r="F700" t="s">
        <v>1</v>
      </c>
      <c r="G700" t="s">
        <v>1441</v>
      </c>
      <c r="H700" t="s">
        <v>1447</v>
      </c>
    </row>
    <row r="701" spans="2:8" ht="15" customHeight="1" x14ac:dyDescent="0.25">
      <c r="B701" t="s">
        <v>799</v>
      </c>
      <c r="C701" s="2">
        <v>45000</v>
      </c>
      <c r="D701" t="s">
        <v>3</v>
      </c>
      <c r="E701" t="s">
        <v>1</v>
      </c>
      <c r="F701" t="s">
        <v>1</v>
      </c>
      <c r="G701" t="s">
        <v>1441</v>
      </c>
      <c r="H701" t="s">
        <v>1447</v>
      </c>
    </row>
    <row r="702" spans="2:8" ht="15" customHeight="1" x14ac:dyDescent="0.25">
      <c r="B702" t="s">
        <v>800</v>
      </c>
      <c r="C702" s="2">
        <v>35000</v>
      </c>
      <c r="D702" t="s">
        <v>1439</v>
      </c>
      <c r="E702" t="s">
        <v>69</v>
      </c>
      <c r="F702" t="s">
        <v>1454</v>
      </c>
      <c r="G702" t="s">
        <v>1440</v>
      </c>
      <c r="H702" t="s">
        <v>1446</v>
      </c>
    </row>
    <row r="703" spans="2:8" ht="15" customHeight="1" x14ac:dyDescent="0.25">
      <c r="B703" t="s">
        <v>801</v>
      </c>
      <c r="C703" s="2">
        <v>8903.9583437212841</v>
      </c>
      <c r="D703" t="s">
        <v>11</v>
      </c>
      <c r="E703" t="s">
        <v>0</v>
      </c>
      <c r="F703" t="s">
        <v>0</v>
      </c>
      <c r="G703" t="s">
        <v>1443</v>
      </c>
      <c r="H703" t="s">
        <v>1448</v>
      </c>
    </row>
    <row r="704" spans="2:8" ht="15" customHeight="1" x14ac:dyDescent="0.25">
      <c r="B704" t="s">
        <v>802</v>
      </c>
      <c r="C704" s="2">
        <v>28353.650809742252</v>
      </c>
      <c r="D704" t="s">
        <v>11</v>
      </c>
      <c r="E704" t="s">
        <v>69</v>
      </c>
      <c r="F704" t="s">
        <v>1454</v>
      </c>
      <c r="G704" t="s">
        <v>1443</v>
      </c>
      <c r="H704" t="s">
        <v>1446</v>
      </c>
    </row>
    <row r="705" spans="2:8" ht="15" customHeight="1" x14ac:dyDescent="0.25">
      <c r="B705" t="s">
        <v>803</v>
      </c>
      <c r="C705" s="2">
        <v>11800</v>
      </c>
      <c r="D705" t="s">
        <v>3</v>
      </c>
      <c r="E705" t="s">
        <v>0</v>
      </c>
      <c r="F705" t="s">
        <v>0</v>
      </c>
      <c r="G705" t="s">
        <v>1441</v>
      </c>
      <c r="H705" t="s">
        <v>1447</v>
      </c>
    </row>
    <row r="706" spans="2:8" ht="15" customHeight="1" x14ac:dyDescent="0.25">
      <c r="B706" t="s">
        <v>804</v>
      </c>
      <c r="C706" s="2">
        <v>6410.8500074793246</v>
      </c>
      <c r="D706" t="s">
        <v>11</v>
      </c>
      <c r="E706" t="s">
        <v>0</v>
      </c>
      <c r="F706" t="s">
        <v>0</v>
      </c>
      <c r="G706" t="s">
        <v>1440</v>
      </c>
      <c r="H706" t="s">
        <v>1447</v>
      </c>
    </row>
    <row r="707" spans="2:8" ht="15" customHeight="1" x14ac:dyDescent="0.25">
      <c r="B707" t="s">
        <v>805</v>
      </c>
      <c r="C707" s="2">
        <v>50000</v>
      </c>
      <c r="D707" t="s">
        <v>3</v>
      </c>
      <c r="E707" t="s">
        <v>1</v>
      </c>
      <c r="F707" t="s">
        <v>1</v>
      </c>
      <c r="G707" t="s">
        <v>1441</v>
      </c>
      <c r="H707" t="s">
        <v>1445</v>
      </c>
    </row>
    <row r="708" spans="2:8" ht="15" customHeight="1" x14ac:dyDescent="0.25">
      <c r="B708" t="s">
        <v>806</v>
      </c>
      <c r="C708" s="2">
        <v>85000</v>
      </c>
      <c r="D708" t="s">
        <v>11</v>
      </c>
      <c r="E708" t="s">
        <v>48</v>
      </c>
      <c r="F708" t="s">
        <v>1454</v>
      </c>
      <c r="G708" t="s">
        <v>1440</v>
      </c>
      <c r="H708" t="s">
        <v>1447</v>
      </c>
    </row>
    <row r="709" spans="2:8" ht="15" customHeight="1" x14ac:dyDescent="0.25">
      <c r="B709" t="s">
        <v>807</v>
      </c>
      <c r="C709" s="2">
        <v>17807.916687442568</v>
      </c>
      <c r="D709" t="s">
        <v>11</v>
      </c>
      <c r="E709" t="s">
        <v>0</v>
      </c>
      <c r="F709" t="s">
        <v>0</v>
      </c>
      <c r="G709" t="s">
        <v>1443</v>
      </c>
      <c r="H709" t="s">
        <v>1447</v>
      </c>
    </row>
    <row r="710" spans="2:8" ht="15" customHeight="1" x14ac:dyDescent="0.25">
      <c r="B710" t="s">
        <v>808</v>
      </c>
      <c r="C710" s="2">
        <v>16027.125018698311</v>
      </c>
      <c r="D710" t="s">
        <v>38</v>
      </c>
      <c r="E710" t="s">
        <v>0</v>
      </c>
      <c r="F710" t="s">
        <v>0</v>
      </c>
      <c r="G710" t="s">
        <v>1440</v>
      </c>
      <c r="H710" t="s">
        <v>1447</v>
      </c>
    </row>
    <row r="711" spans="2:8" ht="15" customHeight="1" x14ac:dyDescent="0.25">
      <c r="B711" t="s">
        <v>809</v>
      </c>
      <c r="C711" s="2">
        <v>192000</v>
      </c>
      <c r="D711" t="s">
        <v>1439</v>
      </c>
      <c r="E711" t="s">
        <v>1</v>
      </c>
      <c r="F711" t="s">
        <v>1</v>
      </c>
      <c r="G711" t="s">
        <v>1440</v>
      </c>
      <c r="H711" t="s">
        <v>1448</v>
      </c>
    </row>
    <row r="712" spans="2:8" ht="15" customHeight="1" x14ac:dyDescent="0.25">
      <c r="B712" t="s">
        <v>810</v>
      </c>
      <c r="C712" s="2">
        <v>54000</v>
      </c>
      <c r="D712" t="s">
        <v>3</v>
      </c>
      <c r="E712" t="s">
        <v>1</v>
      </c>
      <c r="F712" t="s">
        <v>1</v>
      </c>
      <c r="G712" t="s">
        <v>1440</v>
      </c>
      <c r="H712" t="s">
        <v>1447</v>
      </c>
    </row>
    <row r="713" spans="2:8" ht="15" customHeight="1" x14ac:dyDescent="0.25">
      <c r="B713" t="s">
        <v>811</v>
      </c>
      <c r="C713" s="2">
        <v>18000</v>
      </c>
      <c r="D713" t="s">
        <v>11</v>
      </c>
      <c r="E713" t="s">
        <v>0</v>
      </c>
      <c r="F713" t="s">
        <v>0</v>
      </c>
      <c r="G713" t="s">
        <v>1441</v>
      </c>
      <c r="H713" t="s">
        <v>1446</v>
      </c>
    </row>
    <row r="714" spans="2:8" ht="15" customHeight="1" x14ac:dyDescent="0.25">
      <c r="B714" t="s">
        <v>812</v>
      </c>
      <c r="C714" s="2">
        <v>5342.3750062327708</v>
      </c>
      <c r="D714" t="s">
        <v>1437</v>
      </c>
      <c r="E714" t="s">
        <v>0</v>
      </c>
      <c r="F714" t="s">
        <v>0</v>
      </c>
      <c r="G714" t="s">
        <v>1443</v>
      </c>
      <c r="H714" t="s">
        <v>1445</v>
      </c>
    </row>
    <row r="715" spans="2:8" ht="15" customHeight="1" x14ac:dyDescent="0.25">
      <c r="B715" t="s">
        <v>813</v>
      </c>
      <c r="C715" s="2">
        <v>7123.1666749770275</v>
      </c>
      <c r="D715" t="s">
        <v>11</v>
      </c>
      <c r="E715" t="s">
        <v>0</v>
      </c>
      <c r="F715" t="s">
        <v>0</v>
      </c>
      <c r="G715" t="s">
        <v>1440</v>
      </c>
      <c r="H715" t="s">
        <v>1445</v>
      </c>
    </row>
    <row r="716" spans="2:8" ht="15" customHeight="1" x14ac:dyDescent="0.25">
      <c r="B716" t="s">
        <v>814</v>
      </c>
      <c r="C716" s="2">
        <v>15000</v>
      </c>
      <c r="D716" t="s">
        <v>11</v>
      </c>
      <c r="E716" t="s">
        <v>79</v>
      </c>
      <c r="F716" t="s">
        <v>1454</v>
      </c>
      <c r="G716" t="s">
        <v>1441</v>
      </c>
      <c r="H716" t="s">
        <v>1447</v>
      </c>
    </row>
    <row r="717" spans="2:8" ht="15" customHeight="1" x14ac:dyDescent="0.25">
      <c r="B717" t="s">
        <v>815</v>
      </c>
      <c r="C717" s="2">
        <v>14000</v>
      </c>
      <c r="D717" t="s">
        <v>3</v>
      </c>
      <c r="E717" t="s">
        <v>0</v>
      </c>
      <c r="F717" t="s">
        <v>0</v>
      </c>
      <c r="G717" t="s">
        <v>1441</v>
      </c>
      <c r="H717" t="s">
        <v>1446</v>
      </c>
    </row>
    <row r="718" spans="2:8" ht="15" customHeight="1" x14ac:dyDescent="0.25">
      <c r="B718" t="s">
        <v>816</v>
      </c>
      <c r="C718" s="2">
        <v>8000</v>
      </c>
      <c r="D718" t="s">
        <v>3</v>
      </c>
      <c r="E718" t="s">
        <v>0</v>
      </c>
      <c r="F718" t="s">
        <v>0</v>
      </c>
      <c r="G718" t="s">
        <v>1440</v>
      </c>
      <c r="H718" t="s">
        <v>1445</v>
      </c>
    </row>
    <row r="719" spans="2:8" ht="15" customHeight="1" x14ac:dyDescent="0.25">
      <c r="B719" t="s">
        <v>817</v>
      </c>
      <c r="C719" s="2">
        <v>12500</v>
      </c>
      <c r="D719" t="s">
        <v>14</v>
      </c>
      <c r="E719" t="s">
        <v>32</v>
      </c>
      <c r="F719" t="s">
        <v>1454</v>
      </c>
      <c r="G719" t="s">
        <v>1443</v>
      </c>
      <c r="H719" t="s">
        <v>1447</v>
      </c>
    </row>
    <row r="720" spans="2:8" ht="15" customHeight="1" x14ac:dyDescent="0.25">
      <c r="B720" t="s">
        <v>818</v>
      </c>
      <c r="C720" s="2">
        <v>140000</v>
      </c>
      <c r="D720" t="s">
        <v>31</v>
      </c>
      <c r="E720" t="s">
        <v>1</v>
      </c>
      <c r="F720" t="s">
        <v>1</v>
      </c>
      <c r="G720" t="s">
        <v>1441</v>
      </c>
      <c r="H720" t="s">
        <v>1446</v>
      </c>
    </row>
    <row r="721" spans="2:8" ht="15" customHeight="1" x14ac:dyDescent="0.25">
      <c r="B721" t="s">
        <v>819</v>
      </c>
      <c r="C721" s="2">
        <v>12000</v>
      </c>
      <c r="D721" t="s">
        <v>33</v>
      </c>
      <c r="E721" t="s">
        <v>2</v>
      </c>
      <c r="F721" t="s">
        <v>2</v>
      </c>
      <c r="G721" t="s">
        <v>1441</v>
      </c>
      <c r="H721" t="s">
        <v>1445</v>
      </c>
    </row>
    <row r="722" spans="2:8" ht="15" customHeight="1" x14ac:dyDescent="0.25">
      <c r="B722" t="s">
        <v>820</v>
      </c>
      <c r="C722" s="2">
        <v>38111.983169748237</v>
      </c>
      <c r="D722" t="s">
        <v>3</v>
      </c>
      <c r="E722" t="s">
        <v>12</v>
      </c>
      <c r="F722" t="s">
        <v>1453</v>
      </c>
      <c r="G722" t="s">
        <v>1443</v>
      </c>
      <c r="H722" t="s">
        <v>1446</v>
      </c>
    </row>
    <row r="723" spans="2:8" ht="15" customHeight="1" x14ac:dyDescent="0.25">
      <c r="B723" t="s">
        <v>821</v>
      </c>
      <c r="C723" s="2">
        <v>10684.750012465542</v>
      </c>
      <c r="D723" t="s">
        <v>11</v>
      </c>
      <c r="E723" t="s">
        <v>0</v>
      </c>
      <c r="F723" t="s">
        <v>0</v>
      </c>
      <c r="G723" t="s">
        <v>1443</v>
      </c>
      <c r="H723" t="s">
        <v>1445</v>
      </c>
    </row>
    <row r="724" spans="2:8" ht="15" customHeight="1" x14ac:dyDescent="0.25">
      <c r="B724" t="s">
        <v>822</v>
      </c>
      <c r="C724" s="2">
        <v>6232.7708406048987</v>
      </c>
      <c r="D724" t="s">
        <v>3</v>
      </c>
      <c r="E724" t="s">
        <v>0</v>
      </c>
      <c r="F724" t="s">
        <v>0</v>
      </c>
      <c r="G724" t="s">
        <v>1441</v>
      </c>
      <c r="H724" t="s">
        <v>1445</v>
      </c>
    </row>
    <row r="725" spans="2:8" ht="15" customHeight="1" x14ac:dyDescent="0.25">
      <c r="B725" t="s">
        <v>823</v>
      </c>
      <c r="C725" s="2">
        <v>45000</v>
      </c>
      <c r="D725" t="s">
        <v>3</v>
      </c>
      <c r="E725" t="s">
        <v>2</v>
      </c>
      <c r="F725" t="s">
        <v>2</v>
      </c>
      <c r="G725" t="s">
        <v>1440</v>
      </c>
      <c r="H725" t="s">
        <v>1447</v>
      </c>
    </row>
    <row r="726" spans="2:8" ht="15" customHeight="1" x14ac:dyDescent="0.25">
      <c r="B726" t="s">
        <v>824</v>
      </c>
      <c r="C726" s="2">
        <v>80000</v>
      </c>
      <c r="D726" t="s">
        <v>11</v>
      </c>
      <c r="E726" t="s">
        <v>1</v>
      </c>
      <c r="F726" t="s">
        <v>1</v>
      </c>
      <c r="G726" t="s">
        <v>1442</v>
      </c>
      <c r="H726" t="s">
        <v>1447</v>
      </c>
    </row>
    <row r="727" spans="2:8" ht="15" customHeight="1" x14ac:dyDescent="0.25">
      <c r="B727" t="s">
        <v>825</v>
      </c>
      <c r="C727" s="2">
        <v>26711.875031163851</v>
      </c>
      <c r="D727" t="s">
        <v>3</v>
      </c>
      <c r="E727" t="s">
        <v>0</v>
      </c>
      <c r="F727" t="s">
        <v>0</v>
      </c>
      <c r="G727" t="s">
        <v>1441</v>
      </c>
      <c r="H727" t="s">
        <v>1447</v>
      </c>
    </row>
    <row r="728" spans="2:8" ht="15" customHeight="1" x14ac:dyDescent="0.25">
      <c r="B728" t="s">
        <v>826</v>
      </c>
      <c r="C728" s="2">
        <v>100000</v>
      </c>
      <c r="D728" t="s">
        <v>3</v>
      </c>
      <c r="E728" t="s">
        <v>80</v>
      </c>
      <c r="F728" t="s">
        <v>1451</v>
      </c>
      <c r="G728" t="s">
        <v>1441</v>
      </c>
      <c r="H728" t="s">
        <v>1446</v>
      </c>
    </row>
    <row r="729" spans="2:8" ht="15" customHeight="1" x14ac:dyDescent="0.25">
      <c r="B729" t="s">
        <v>827</v>
      </c>
      <c r="C729" s="2">
        <v>69353.856635379227</v>
      </c>
      <c r="D729" t="s">
        <v>11</v>
      </c>
      <c r="E729" t="s">
        <v>18</v>
      </c>
      <c r="F729" t="s">
        <v>18</v>
      </c>
      <c r="G729" t="s">
        <v>1441</v>
      </c>
      <c r="H729" t="s">
        <v>1447</v>
      </c>
    </row>
    <row r="730" spans="2:8" ht="15" customHeight="1" x14ac:dyDescent="0.25">
      <c r="B730" t="s">
        <v>828</v>
      </c>
      <c r="C730" s="2">
        <v>49975.573163729154</v>
      </c>
      <c r="D730" t="s">
        <v>38</v>
      </c>
      <c r="E730" t="s">
        <v>18</v>
      </c>
      <c r="F730" t="s">
        <v>18</v>
      </c>
      <c r="G730" t="s">
        <v>1441</v>
      </c>
      <c r="H730" t="s">
        <v>1448</v>
      </c>
    </row>
    <row r="731" spans="2:8" ht="15" customHeight="1" x14ac:dyDescent="0.25">
      <c r="B731" t="s">
        <v>829</v>
      </c>
      <c r="C731" s="2">
        <v>10239.552095279476</v>
      </c>
      <c r="D731" t="s">
        <v>11</v>
      </c>
      <c r="E731" t="s">
        <v>0</v>
      </c>
      <c r="F731" t="s">
        <v>0</v>
      </c>
      <c r="G731" t="s">
        <v>1443</v>
      </c>
      <c r="H731" t="s">
        <v>1445</v>
      </c>
    </row>
    <row r="732" spans="2:8" ht="15" customHeight="1" x14ac:dyDescent="0.25">
      <c r="B732" t="s">
        <v>830</v>
      </c>
      <c r="C732" s="2">
        <v>8903.9583437212841</v>
      </c>
      <c r="D732" t="s">
        <v>29</v>
      </c>
      <c r="E732" t="s">
        <v>0</v>
      </c>
      <c r="F732" t="s">
        <v>0</v>
      </c>
      <c r="G732" t="s">
        <v>1441</v>
      </c>
      <c r="H732" t="s">
        <v>1445</v>
      </c>
    </row>
    <row r="733" spans="2:8" ht="15" customHeight="1" x14ac:dyDescent="0.25">
      <c r="B733" t="s">
        <v>831</v>
      </c>
      <c r="C733" s="2">
        <v>36000</v>
      </c>
      <c r="D733" t="s">
        <v>3</v>
      </c>
      <c r="E733" t="s">
        <v>72</v>
      </c>
      <c r="F733" t="s">
        <v>1451</v>
      </c>
      <c r="G733" t="s">
        <v>1443</v>
      </c>
      <c r="H733" t="s">
        <v>1447</v>
      </c>
    </row>
    <row r="734" spans="2:8" ht="15" customHeight="1" x14ac:dyDescent="0.25">
      <c r="B734" t="s">
        <v>832</v>
      </c>
      <c r="C734" s="2">
        <v>3739.6625043629392</v>
      </c>
      <c r="D734" t="s">
        <v>1437</v>
      </c>
      <c r="E734" t="s">
        <v>0</v>
      </c>
      <c r="F734" t="s">
        <v>0</v>
      </c>
      <c r="G734" t="s">
        <v>1442</v>
      </c>
      <c r="H734" t="s">
        <v>1445</v>
      </c>
    </row>
    <row r="735" spans="2:8" ht="15" customHeight="1" x14ac:dyDescent="0.25">
      <c r="B735" t="s">
        <v>833</v>
      </c>
      <c r="C735" s="2">
        <v>61614.372791092981</v>
      </c>
      <c r="D735" t="s">
        <v>3</v>
      </c>
      <c r="E735" t="s">
        <v>43</v>
      </c>
      <c r="F735" t="s">
        <v>1453</v>
      </c>
      <c r="G735" t="s">
        <v>1441</v>
      </c>
      <c r="H735" t="s">
        <v>1447</v>
      </c>
    </row>
    <row r="736" spans="2:8" ht="15" customHeight="1" x14ac:dyDescent="0.25">
      <c r="B736" t="s">
        <v>834</v>
      </c>
      <c r="C736" s="2">
        <v>3561.5833374885137</v>
      </c>
      <c r="D736" t="s">
        <v>1437</v>
      </c>
      <c r="E736" t="s">
        <v>0</v>
      </c>
      <c r="F736" t="s">
        <v>0</v>
      </c>
      <c r="G736" t="s">
        <v>1443</v>
      </c>
      <c r="H736" t="s">
        <v>1445</v>
      </c>
    </row>
    <row r="737" spans="2:8" ht="15" customHeight="1" x14ac:dyDescent="0.25">
      <c r="B737" t="s">
        <v>835</v>
      </c>
      <c r="C737" s="2">
        <v>6410.8500074793246</v>
      </c>
      <c r="D737" t="s">
        <v>3</v>
      </c>
      <c r="E737" t="s">
        <v>0</v>
      </c>
      <c r="F737" t="s">
        <v>0</v>
      </c>
      <c r="G737" t="s">
        <v>1440</v>
      </c>
      <c r="H737" t="s">
        <v>1447</v>
      </c>
    </row>
    <row r="738" spans="2:8" ht="15" customHeight="1" x14ac:dyDescent="0.25">
      <c r="B738" t="s">
        <v>836</v>
      </c>
      <c r="C738" s="2">
        <v>36206.384011260823</v>
      </c>
      <c r="D738" t="s">
        <v>3</v>
      </c>
      <c r="E738" t="s">
        <v>43</v>
      </c>
      <c r="F738" t="s">
        <v>1453</v>
      </c>
      <c r="G738" t="s">
        <v>1442</v>
      </c>
      <c r="H738" t="s">
        <v>1445</v>
      </c>
    </row>
    <row r="739" spans="2:8" ht="15" customHeight="1" x14ac:dyDescent="0.25">
      <c r="B739" t="s">
        <v>837</v>
      </c>
      <c r="C739" s="2">
        <v>13500</v>
      </c>
      <c r="D739" t="s">
        <v>11</v>
      </c>
      <c r="E739" t="s">
        <v>0</v>
      </c>
      <c r="F739" t="s">
        <v>0</v>
      </c>
      <c r="G739" t="s">
        <v>1443</v>
      </c>
      <c r="H739" t="s">
        <v>1446</v>
      </c>
    </row>
    <row r="740" spans="2:8" ht="15" customHeight="1" x14ac:dyDescent="0.25">
      <c r="B740" t="s">
        <v>838</v>
      </c>
      <c r="C740" s="2">
        <v>3000</v>
      </c>
      <c r="D740" t="s">
        <v>31</v>
      </c>
      <c r="E740" t="s">
        <v>48</v>
      </c>
      <c r="F740" t="s">
        <v>1454</v>
      </c>
      <c r="G740" t="s">
        <v>1441</v>
      </c>
      <c r="H740" t="s">
        <v>1445</v>
      </c>
    </row>
    <row r="741" spans="2:8" ht="15" customHeight="1" x14ac:dyDescent="0.25">
      <c r="B741" t="s">
        <v>839</v>
      </c>
      <c r="C741" s="2">
        <v>21369.500024931083</v>
      </c>
      <c r="D741" t="s">
        <v>11</v>
      </c>
      <c r="E741" t="s">
        <v>0</v>
      </c>
      <c r="F741" t="s">
        <v>0</v>
      </c>
      <c r="G741" t="s">
        <v>1441</v>
      </c>
      <c r="H741" t="s">
        <v>1447</v>
      </c>
    </row>
    <row r="742" spans="2:8" ht="15" customHeight="1" x14ac:dyDescent="0.25">
      <c r="B742" t="s">
        <v>840</v>
      </c>
      <c r="C742" s="2">
        <v>10684.750012465542</v>
      </c>
      <c r="D742" t="s">
        <v>11</v>
      </c>
      <c r="E742" t="s">
        <v>0</v>
      </c>
      <c r="F742" t="s">
        <v>0</v>
      </c>
      <c r="G742" t="s">
        <v>1443</v>
      </c>
      <c r="H742" t="s">
        <v>1448</v>
      </c>
    </row>
    <row r="743" spans="2:8" ht="15" customHeight="1" x14ac:dyDescent="0.25">
      <c r="B743" t="s">
        <v>841</v>
      </c>
      <c r="C743" s="2">
        <v>176585.52201983347</v>
      </c>
      <c r="D743" t="s">
        <v>11</v>
      </c>
      <c r="E743" t="s">
        <v>4</v>
      </c>
      <c r="F743" t="s">
        <v>1453</v>
      </c>
      <c r="G743" t="s">
        <v>1442</v>
      </c>
      <c r="H743" t="s">
        <v>1448</v>
      </c>
    </row>
    <row r="744" spans="2:8" ht="15" customHeight="1" x14ac:dyDescent="0.25">
      <c r="B744" t="s">
        <v>842</v>
      </c>
      <c r="C744" s="2">
        <v>54627.175876639136</v>
      </c>
      <c r="D744" t="s">
        <v>11</v>
      </c>
      <c r="E744" t="s">
        <v>20</v>
      </c>
      <c r="F744" t="s">
        <v>1453</v>
      </c>
      <c r="G744" t="s">
        <v>1440</v>
      </c>
      <c r="H744" t="s">
        <v>1447</v>
      </c>
    </row>
    <row r="745" spans="2:8" ht="15" customHeight="1" x14ac:dyDescent="0.25">
      <c r="B745" t="s">
        <v>843</v>
      </c>
      <c r="C745" s="2">
        <v>30489.586535798586</v>
      </c>
      <c r="D745" t="s">
        <v>38</v>
      </c>
      <c r="E745" t="s">
        <v>56</v>
      </c>
      <c r="F745" t="s">
        <v>1453</v>
      </c>
      <c r="G745" t="s">
        <v>1441</v>
      </c>
      <c r="H745" t="s">
        <v>1447</v>
      </c>
    </row>
    <row r="746" spans="2:8" ht="15" customHeight="1" x14ac:dyDescent="0.25">
      <c r="B746" t="s">
        <v>844</v>
      </c>
      <c r="C746" s="2">
        <v>5591.6858398569666</v>
      </c>
      <c r="D746" t="s">
        <v>11</v>
      </c>
      <c r="E746" t="s">
        <v>0</v>
      </c>
      <c r="F746" t="s">
        <v>0</v>
      </c>
      <c r="G746" t="s">
        <v>1442</v>
      </c>
      <c r="H746" t="s">
        <v>1445</v>
      </c>
    </row>
    <row r="747" spans="2:8" ht="15" customHeight="1" x14ac:dyDescent="0.25">
      <c r="B747" t="s">
        <v>845</v>
      </c>
      <c r="C747" s="2">
        <v>82000</v>
      </c>
      <c r="D747" t="s">
        <v>33</v>
      </c>
      <c r="E747" t="s">
        <v>10</v>
      </c>
      <c r="F747" t="s">
        <v>1451</v>
      </c>
      <c r="G747" t="s">
        <v>1441</v>
      </c>
      <c r="H747" t="s">
        <v>1447</v>
      </c>
    </row>
    <row r="748" spans="2:8" ht="15" customHeight="1" x14ac:dyDescent="0.25">
      <c r="B748" t="s">
        <v>846</v>
      </c>
      <c r="C748" s="2">
        <v>10000</v>
      </c>
      <c r="D748" t="s">
        <v>1437</v>
      </c>
      <c r="E748" t="s">
        <v>0</v>
      </c>
      <c r="F748" t="s">
        <v>0</v>
      </c>
      <c r="G748" t="s">
        <v>1442</v>
      </c>
      <c r="H748" t="s">
        <v>1445</v>
      </c>
    </row>
    <row r="749" spans="2:8" ht="15" customHeight="1" x14ac:dyDescent="0.25">
      <c r="B749" t="s">
        <v>847</v>
      </c>
      <c r="C749" s="2">
        <v>9000</v>
      </c>
      <c r="D749" t="s">
        <v>3</v>
      </c>
      <c r="E749" t="s">
        <v>0</v>
      </c>
      <c r="F749" t="s">
        <v>0</v>
      </c>
      <c r="G749" t="s">
        <v>1440</v>
      </c>
      <c r="H749" t="s">
        <v>1445</v>
      </c>
    </row>
    <row r="750" spans="2:8" ht="15" customHeight="1" x14ac:dyDescent="0.25">
      <c r="B750" t="s">
        <v>848</v>
      </c>
      <c r="C750" s="2">
        <v>9000</v>
      </c>
      <c r="D750" t="s">
        <v>3</v>
      </c>
      <c r="E750" t="s">
        <v>0</v>
      </c>
      <c r="F750" t="s">
        <v>0</v>
      </c>
      <c r="G750" t="s">
        <v>1441</v>
      </c>
      <c r="H750" t="s">
        <v>1445</v>
      </c>
    </row>
    <row r="751" spans="2:8" ht="15" customHeight="1" x14ac:dyDescent="0.25">
      <c r="B751" t="s">
        <v>849</v>
      </c>
      <c r="C751" s="2">
        <v>11753.225013712095</v>
      </c>
      <c r="D751" t="s">
        <v>11</v>
      </c>
      <c r="E751" t="s">
        <v>0</v>
      </c>
      <c r="F751" t="s">
        <v>0</v>
      </c>
      <c r="G751" t="s">
        <v>1440</v>
      </c>
      <c r="H751" t="s">
        <v>1447</v>
      </c>
    </row>
    <row r="752" spans="2:8" ht="15" customHeight="1" x14ac:dyDescent="0.25">
      <c r="B752" t="s">
        <v>850</v>
      </c>
      <c r="C752" s="2">
        <v>3632.815004238284</v>
      </c>
      <c r="D752" t="s">
        <v>1437</v>
      </c>
      <c r="E752" t="s">
        <v>0</v>
      </c>
      <c r="F752" t="s">
        <v>0</v>
      </c>
      <c r="G752" t="s">
        <v>1440</v>
      </c>
      <c r="H752" t="s">
        <v>1445</v>
      </c>
    </row>
    <row r="753" spans="2:8" ht="15" customHeight="1" x14ac:dyDescent="0.25">
      <c r="B753" t="s">
        <v>851</v>
      </c>
      <c r="C753" s="2">
        <v>95279.957924370581</v>
      </c>
      <c r="D753" t="s">
        <v>3</v>
      </c>
      <c r="E753" t="s">
        <v>43</v>
      </c>
      <c r="F753" t="s">
        <v>1453</v>
      </c>
      <c r="G753" t="s">
        <v>1440</v>
      </c>
      <c r="H753" t="s">
        <v>1446</v>
      </c>
    </row>
    <row r="754" spans="2:8" ht="15" customHeight="1" x14ac:dyDescent="0.25">
      <c r="B754" t="s">
        <v>852</v>
      </c>
      <c r="C754" s="2">
        <v>70928.022243027779</v>
      </c>
      <c r="D754" t="s">
        <v>33</v>
      </c>
      <c r="E754" t="s">
        <v>15</v>
      </c>
      <c r="F754" t="s">
        <v>15</v>
      </c>
      <c r="G754" t="s">
        <v>1443</v>
      </c>
      <c r="H754" t="s">
        <v>1445</v>
      </c>
    </row>
    <row r="755" spans="2:8" ht="15" customHeight="1" x14ac:dyDescent="0.25">
      <c r="B755" t="s">
        <v>853</v>
      </c>
      <c r="C755" s="2">
        <v>52086.37699865592</v>
      </c>
      <c r="D755" t="s">
        <v>29</v>
      </c>
      <c r="E755" t="s">
        <v>42</v>
      </c>
      <c r="F755" t="s">
        <v>1453</v>
      </c>
      <c r="G755" t="s">
        <v>1441</v>
      </c>
      <c r="H755" t="s">
        <v>1446</v>
      </c>
    </row>
    <row r="756" spans="2:8" ht="15" customHeight="1" x14ac:dyDescent="0.25">
      <c r="B756" t="s">
        <v>854</v>
      </c>
      <c r="C756" s="2">
        <v>4897.177089046706</v>
      </c>
      <c r="D756" t="s">
        <v>11</v>
      </c>
      <c r="E756" t="s">
        <v>0</v>
      </c>
      <c r="F756" t="s">
        <v>0</v>
      </c>
      <c r="G756" t="s">
        <v>1440</v>
      </c>
      <c r="H756" t="s">
        <v>1445</v>
      </c>
    </row>
    <row r="757" spans="2:8" ht="15" customHeight="1" x14ac:dyDescent="0.25">
      <c r="B757" t="s">
        <v>855</v>
      </c>
      <c r="C757" s="2">
        <v>63807.047488395103</v>
      </c>
      <c r="D757" t="s">
        <v>31</v>
      </c>
      <c r="E757" t="s">
        <v>45</v>
      </c>
      <c r="F757" t="s">
        <v>1451</v>
      </c>
      <c r="G757" t="s">
        <v>1440</v>
      </c>
      <c r="H757" t="s">
        <v>1446</v>
      </c>
    </row>
    <row r="758" spans="2:8" ht="15" customHeight="1" x14ac:dyDescent="0.25">
      <c r="B758" t="s">
        <v>856</v>
      </c>
      <c r="C758" s="2">
        <v>24000</v>
      </c>
      <c r="D758" t="s">
        <v>11</v>
      </c>
      <c r="E758" t="s">
        <v>21</v>
      </c>
      <c r="F758" t="s">
        <v>1451</v>
      </c>
      <c r="G758" t="s">
        <v>1441</v>
      </c>
      <c r="H758" t="s">
        <v>1445</v>
      </c>
    </row>
    <row r="759" spans="2:8" ht="15" customHeight="1" x14ac:dyDescent="0.25">
      <c r="B759" t="s">
        <v>857</v>
      </c>
      <c r="C759" s="2">
        <v>60000</v>
      </c>
      <c r="D759" t="s">
        <v>11</v>
      </c>
      <c r="E759" t="s">
        <v>81</v>
      </c>
      <c r="F759" t="s">
        <v>1451</v>
      </c>
      <c r="G759" t="s">
        <v>1440</v>
      </c>
      <c r="H759" t="s">
        <v>1446</v>
      </c>
    </row>
    <row r="760" spans="2:8" ht="15" customHeight="1" x14ac:dyDescent="0.25">
      <c r="B760" t="s">
        <v>858</v>
      </c>
      <c r="C760" s="2">
        <v>5342.3750062327708</v>
      </c>
      <c r="D760" t="s">
        <v>3</v>
      </c>
      <c r="E760" t="s">
        <v>0</v>
      </c>
      <c r="F760" t="s">
        <v>0</v>
      </c>
      <c r="G760" t="s">
        <v>1440</v>
      </c>
      <c r="H760" t="s">
        <v>1445</v>
      </c>
    </row>
    <row r="761" spans="2:8" ht="15" customHeight="1" x14ac:dyDescent="0.25">
      <c r="B761" t="s">
        <v>859</v>
      </c>
      <c r="C761" s="2">
        <v>8903.9583437212841</v>
      </c>
      <c r="D761" t="s">
        <v>11</v>
      </c>
      <c r="E761" t="s">
        <v>0</v>
      </c>
      <c r="F761" t="s">
        <v>0</v>
      </c>
      <c r="G761" t="s">
        <v>1443</v>
      </c>
      <c r="H761" t="s">
        <v>1445</v>
      </c>
    </row>
    <row r="762" spans="2:8" ht="15" customHeight="1" x14ac:dyDescent="0.25">
      <c r="B762" t="s">
        <v>860</v>
      </c>
      <c r="C762" s="2">
        <v>40980.635073749385</v>
      </c>
      <c r="D762" t="s">
        <v>3</v>
      </c>
      <c r="E762" t="s">
        <v>15</v>
      </c>
      <c r="F762" t="s">
        <v>15</v>
      </c>
      <c r="G762" t="s">
        <v>1441</v>
      </c>
      <c r="H762" t="s">
        <v>1445</v>
      </c>
    </row>
    <row r="763" spans="2:8" ht="15" customHeight="1" x14ac:dyDescent="0.25">
      <c r="B763" t="s">
        <v>861</v>
      </c>
      <c r="C763" s="2">
        <v>10684.750012465542</v>
      </c>
      <c r="D763" t="s">
        <v>11</v>
      </c>
      <c r="E763" t="s">
        <v>0</v>
      </c>
      <c r="F763" t="s">
        <v>0</v>
      </c>
      <c r="G763" t="s">
        <v>1442</v>
      </c>
      <c r="H763" t="s">
        <v>1447</v>
      </c>
    </row>
    <row r="764" spans="2:8" ht="15" customHeight="1" x14ac:dyDescent="0.25">
      <c r="B764" t="s">
        <v>862</v>
      </c>
      <c r="C764" s="2">
        <v>21369.500024931083</v>
      </c>
      <c r="D764" t="s">
        <v>33</v>
      </c>
      <c r="E764" t="s">
        <v>0</v>
      </c>
      <c r="F764" t="s">
        <v>0</v>
      </c>
      <c r="G764" t="s">
        <v>1443</v>
      </c>
      <c r="H764" t="s">
        <v>1448</v>
      </c>
    </row>
    <row r="765" spans="2:8" ht="15" customHeight="1" x14ac:dyDescent="0.25">
      <c r="B765" t="s">
        <v>863</v>
      </c>
      <c r="C765" s="2">
        <v>18000</v>
      </c>
      <c r="D765" t="s">
        <v>11</v>
      </c>
      <c r="E765" t="s">
        <v>82</v>
      </c>
      <c r="F765" t="s">
        <v>1451</v>
      </c>
      <c r="G765" t="s">
        <v>1441</v>
      </c>
      <c r="H765" t="s">
        <v>1446</v>
      </c>
    </row>
    <row r="766" spans="2:8" ht="15" customHeight="1" x14ac:dyDescent="0.25">
      <c r="B766" t="s">
        <v>864</v>
      </c>
      <c r="C766" s="2">
        <v>41000</v>
      </c>
      <c r="D766" t="s">
        <v>11</v>
      </c>
      <c r="E766" t="s">
        <v>35</v>
      </c>
      <c r="F766" t="s">
        <v>1451</v>
      </c>
      <c r="G766" t="s">
        <v>1443</v>
      </c>
      <c r="H766" t="s">
        <v>1445</v>
      </c>
    </row>
    <row r="767" spans="2:8" ht="15" customHeight="1" x14ac:dyDescent="0.25">
      <c r="B767" t="s">
        <v>865</v>
      </c>
      <c r="C767" s="2">
        <v>28492.66669990811</v>
      </c>
      <c r="D767" t="s">
        <v>3</v>
      </c>
      <c r="E767" t="s">
        <v>0</v>
      </c>
      <c r="F767" t="s">
        <v>0</v>
      </c>
      <c r="G767" t="s">
        <v>1443</v>
      </c>
      <c r="H767" t="s">
        <v>1445</v>
      </c>
    </row>
    <row r="768" spans="2:8" ht="15" customHeight="1" x14ac:dyDescent="0.25">
      <c r="B768" t="s">
        <v>866</v>
      </c>
      <c r="C768" s="2">
        <v>49500</v>
      </c>
      <c r="D768" t="s">
        <v>3</v>
      </c>
      <c r="E768" t="s">
        <v>1</v>
      </c>
      <c r="F768" t="s">
        <v>1</v>
      </c>
      <c r="G768" t="s">
        <v>1441</v>
      </c>
      <c r="H768" t="s">
        <v>1445</v>
      </c>
    </row>
    <row r="769" spans="2:8" ht="15" customHeight="1" x14ac:dyDescent="0.25">
      <c r="B769" t="s">
        <v>867</v>
      </c>
      <c r="C769" s="2">
        <v>6600</v>
      </c>
      <c r="D769" t="s">
        <v>1437</v>
      </c>
      <c r="E769" t="s">
        <v>0</v>
      </c>
      <c r="F769" t="s">
        <v>0</v>
      </c>
      <c r="G769" t="s">
        <v>1443</v>
      </c>
      <c r="H769" t="s">
        <v>1447</v>
      </c>
    </row>
    <row r="770" spans="2:8" ht="15" customHeight="1" x14ac:dyDescent="0.25">
      <c r="B770" t="s">
        <v>868</v>
      </c>
      <c r="C770" s="2">
        <v>110332.47904470989</v>
      </c>
      <c r="D770" t="s">
        <v>33</v>
      </c>
      <c r="E770" t="s">
        <v>15</v>
      </c>
      <c r="F770" t="s">
        <v>15</v>
      </c>
      <c r="G770" t="s">
        <v>1441</v>
      </c>
      <c r="H770" t="s">
        <v>1446</v>
      </c>
    </row>
    <row r="771" spans="2:8" ht="15" customHeight="1" x14ac:dyDescent="0.25">
      <c r="B771" t="s">
        <v>869</v>
      </c>
      <c r="C771" s="2">
        <v>47285.348162018527</v>
      </c>
      <c r="D771" t="s">
        <v>3</v>
      </c>
      <c r="E771" t="s">
        <v>15</v>
      </c>
      <c r="F771" t="s">
        <v>15</v>
      </c>
      <c r="G771" t="s">
        <v>1440</v>
      </c>
      <c r="H771" t="s">
        <v>1447</v>
      </c>
    </row>
    <row r="772" spans="2:8" ht="15" customHeight="1" x14ac:dyDescent="0.25">
      <c r="B772" t="s">
        <v>870</v>
      </c>
      <c r="C772" s="2">
        <v>5300</v>
      </c>
      <c r="D772" t="s">
        <v>11</v>
      </c>
      <c r="E772" t="s">
        <v>2</v>
      </c>
      <c r="F772" t="s">
        <v>2</v>
      </c>
      <c r="G772" t="s">
        <v>1441</v>
      </c>
      <c r="H772" t="s">
        <v>1445</v>
      </c>
    </row>
    <row r="773" spans="2:8" ht="15" customHeight="1" x14ac:dyDescent="0.25">
      <c r="B773" t="s">
        <v>871</v>
      </c>
      <c r="C773" s="2">
        <v>43828.780645210471</v>
      </c>
      <c r="D773" t="s">
        <v>3</v>
      </c>
      <c r="E773" t="s">
        <v>43</v>
      </c>
      <c r="F773" t="s">
        <v>1453</v>
      </c>
      <c r="G773" t="s">
        <v>1441</v>
      </c>
      <c r="H773" t="s">
        <v>1446</v>
      </c>
    </row>
    <row r="774" spans="2:8" ht="15" customHeight="1" x14ac:dyDescent="0.25">
      <c r="B774" t="s">
        <v>872</v>
      </c>
      <c r="C774" s="2">
        <v>80000</v>
      </c>
      <c r="D774" t="s">
        <v>3</v>
      </c>
      <c r="E774" t="s">
        <v>1</v>
      </c>
      <c r="F774" t="s">
        <v>1</v>
      </c>
      <c r="G774" t="s">
        <v>1442</v>
      </c>
      <c r="H774" t="s">
        <v>1446</v>
      </c>
    </row>
    <row r="775" spans="2:8" ht="15" customHeight="1" x14ac:dyDescent="0.25">
      <c r="B775" t="s">
        <v>873</v>
      </c>
      <c r="C775" s="2">
        <v>11518.711713336908</v>
      </c>
      <c r="D775" t="s">
        <v>3</v>
      </c>
      <c r="E775" t="s">
        <v>8</v>
      </c>
      <c r="F775" t="s">
        <v>1453</v>
      </c>
      <c r="G775" t="s">
        <v>1443</v>
      </c>
      <c r="H775" t="s">
        <v>1445</v>
      </c>
    </row>
    <row r="776" spans="2:8" ht="15" customHeight="1" x14ac:dyDescent="0.25">
      <c r="B776" t="s">
        <v>874</v>
      </c>
      <c r="C776" s="2">
        <v>152986.44846039536</v>
      </c>
      <c r="D776" t="s">
        <v>3</v>
      </c>
      <c r="E776" t="s">
        <v>18</v>
      </c>
      <c r="F776" t="s">
        <v>18</v>
      </c>
      <c r="G776" t="s">
        <v>1442</v>
      </c>
      <c r="H776" t="s">
        <v>1447</v>
      </c>
    </row>
    <row r="777" spans="2:8" ht="15" customHeight="1" x14ac:dyDescent="0.25">
      <c r="B777" t="s">
        <v>875</v>
      </c>
      <c r="C777" s="2">
        <v>125000</v>
      </c>
      <c r="D777" t="s">
        <v>11</v>
      </c>
      <c r="E777" t="s">
        <v>1</v>
      </c>
      <c r="F777" t="s">
        <v>1</v>
      </c>
      <c r="G777" t="s">
        <v>1441</v>
      </c>
      <c r="H777" t="s">
        <v>1445</v>
      </c>
    </row>
    <row r="778" spans="2:8" ht="15" customHeight="1" x14ac:dyDescent="0.25">
      <c r="B778" t="s">
        <v>876</v>
      </c>
      <c r="C778" s="2">
        <v>101990.96564026357</v>
      </c>
      <c r="D778" t="s">
        <v>33</v>
      </c>
      <c r="E778" t="s">
        <v>18</v>
      </c>
      <c r="F778" t="s">
        <v>18</v>
      </c>
      <c r="G778" t="s">
        <v>1442</v>
      </c>
      <c r="H778" t="s">
        <v>1448</v>
      </c>
    </row>
    <row r="779" spans="2:8" ht="15" customHeight="1" x14ac:dyDescent="0.25">
      <c r="B779" t="s">
        <v>877</v>
      </c>
      <c r="C779" s="2">
        <v>105000</v>
      </c>
      <c r="D779" t="s">
        <v>1439</v>
      </c>
      <c r="E779" t="s">
        <v>1</v>
      </c>
      <c r="F779" t="s">
        <v>1</v>
      </c>
      <c r="G779" t="s">
        <v>1442</v>
      </c>
      <c r="H779" t="s">
        <v>1446</v>
      </c>
    </row>
    <row r="780" spans="2:8" ht="15" customHeight="1" x14ac:dyDescent="0.25">
      <c r="B780" t="s">
        <v>878</v>
      </c>
      <c r="C780" s="2">
        <v>50815.977559664309</v>
      </c>
      <c r="D780" t="s">
        <v>11</v>
      </c>
      <c r="E780" t="s">
        <v>83</v>
      </c>
      <c r="F780" t="s">
        <v>1453</v>
      </c>
      <c r="G780" t="s">
        <v>1441</v>
      </c>
      <c r="H780" t="s">
        <v>1446</v>
      </c>
    </row>
    <row r="781" spans="2:8" ht="15" customHeight="1" x14ac:dyDescent="0.25">
      <c r="B781" t="s">
        <v>879</v>
      </c>
      <c r="C781" s="2">
        <v>75000</v>
      </c>
      <c r="D781" t="s">
        <v>3</v>
      </c>
      <c r="E781" t="s">
        <v>1</v>
      </c>
      <c r="F781" t="s">
        <v>1</v>
      </c>
      <c r="G781" t="s">
        <v>1441</v>
      </c>
      <c r="H781" t="s">
        <v>1447</v>
      </c>
    </row>
    <row r="782" spans="2:8" ht="15" customHeight="1" x14ac:dyDescent="0.25">
      <c r="B782" t="s">
        <v>880</v>
      </c>
      <c r="C782" s="2">
        <v>4451.9791718606421</v>
      </c>
      <c r="D782" t="s">
        <v>3</v>
      </c>
      <c r="E782" t="s">
        <v>0</v>
      </c>
      <c r="F782" t="s">
        <v>0</v>
      </c>
      <c r="G782" t="s">
        <v>1440</v>
      </c>
      <c r="H782" t="s">
        <v>1447</v>
      </c>
    </row>
    <row r="783" spans="2:8" ht="15" customHeight="1" x14ac:dyDescent="0.25">
      <c r="B783" t="s">
        <v>881</v>
      </c>
      <c r="C783" s="2">
        <v>110000</v>
      </c>
      <c r="D783" t="s">
        <v>3</v>
      </c>
      <c r="E783" t="s">
        <v>1</v>
      </c>
      <c r="F783" t="s">
        <v>1</v>
      </c>
      <c r="G783" t="s">
        <v>1442</v>
      </c>
      <c r="H783" t="s">
        <v>1447</v>
      </c>
    </row>
    <row r="784" spans="2:8" ht="15" customHeight="1" x14ac:dyDescent="0.25">
      <c r="B784" t="s">
        <v>882</v>
      </c>
      <c r="C784" s="2">
        <v>42556.81334581667</v>
      </c>
      <c r="D784" t="s">
        <v>29</v>
      </c>
      <c r="E784" t="s">
        <v>15</v>
      </c>
      <c r="F784" t="s">
        <v>15</v>
      </c>
      <c r="G784" t="s">
        <v>1441</v>
      </c>
      <c r="H784" t="s">
        <v>1445</v>
      </c>
    </row>
    <row r="785" spans="2:8" ht="15" customHeight="1" x14ac:dyDescent="0.25">
      <c r="B785" t="s">
        <v>883</v>
      </c>
      <c r="C785" s="2">
        <v>8013.5625093491553</v>
      </c>
      <c r="D785" t="s">
        <v>29</v>
      </c>
      <c r="E785" t="s">
        <v>0</v>
      </c>
      <c r="F785" t="s">
        <v>0</v>
      </c>
      <c r="G785" t="s">
        <v>1442</v>
      </c>
      <c r="H785" t="s">
        <v>1447</v>
      </c>
    </row>
    <row r="786" spans="2:8" ht="15" customHeight="1" x14ac:dyDescent="0.25">
      <c r="B786" t="s">
        <v>884</v>
      </c>
      <c r="C786" s="2">
        <v>125000</v>
      </c>
      <c r="D786" t="s">
        <v>11</v>
      </c>
      <c r="E786" t="s">
        <v>1</v>
      </c>
      <c r="F786" t="s">
        <v>1</v>
      </c>
      <c r="G786" t="s">
        <v>1441</v>
      </c>
      <c r="H786" t="s">
        <v>1448</v>
      </c>
    </row>
    <row r="787" spans="2:8" ht="15" customHeight="1" x14ac:dyDescent="0.25">
      <c r="B787" t="s">
        <v>885</v>
      </c>
      <c r="C787" s="2">
        <v>60000</v>
      </c>
      <c r="D787" t="s">
        <v>3</v>
      </c>
      <c r="E787" t="s">
        <v>1</v>
      </c>
      <c r="F787" t="s">
        <v>1</v>
      </c>
      <c r="G787" t="s">
        <v>1440</v>
      </c>
      <c r="H787" t="s">
        <v>1446</v>
      </c>
    </row>
    <row r="788" spans="2:8" ht="15" customHeight="1" x14ac:dyDescent="0.25">
      <c r="B788" t="s">
        <v>886</v>
      </c>
      <c r="C788" s="2">
        <v>39355.495879248076</v>
      </c>
      <c r="D788" t="s">
        <v>3</v>
      </c>
      <c r="E788" t="s">
        <v>0</v>
      </c>
      <c r="F788" t="s">
        <v>0</v>
      </c>
      <c r="G788" t="s">
        <v>1442</v>
      </c>
      <c r="H788" t="s">
        <v>1447</v>
      </c>
    </row>
    <row r="789" spans="2:8" ht="15" customHeight="1" x14ac:dyDescent="0.25">
      <c r="B789" t="s">
        <v>887</v>
      </c>
      <c r="C789" s="2">
        <v>57167.974754622352</v>
      </c>
      <c r="D789" t="s">
        <v>38</v>
      </c>
      <c r="E789" t="s">
        <v>4</v>
      </c>
      <c r="F789" t="s">
        <v>1453</v>
      </c>
      <c r="G789" t="s">
        <v>1441</v>
      </c>
      <c r="H789" t="s">
        <v>1446</v>
      </c>
    </row>
    <row r="790" spans="2:8" ht="15" customHeight="1" x14ac:dyDescent="0.25">
      <c r="B790" t="s">
        <v>888</v>
      </c>
      <c r="C790" s="2">
        <v>50694.322109187968</v>
      </c>
      <c r="D790" t="s">
        <v>3</v>
      </c>
      <c r="E790" t="s">
        <v>44</v>
      </c>
      <c r="F790" t="s">
        <v>1451</v>
      </c>
      <c r="G790" t="s">
        <v>1441</v>
      </c>
      <c r="H790" t="s">
        <v>1447</v>
      </c>
    </row>
    <row r="791" spans="2:8" ht="15" customHeight="1" x14ac:dyDescent="0.25">
      <c r="B791" t="s">
        <v>889</v>
      </c>
      <c r="C791" s="2">
        <v>57500</v>
      </c>
      <c r="D791" t="s">
        <v>11</v>
      </c>
      <c r="E791" t="s">
        <v>1</v>
      </c>
      <c r="F791" t="s">
        <v>1</v>
      </c>
      <c r="G791" t="s">
        <v>1441</v>
      </c>
      <c r="H791" t="s">
        <v>1448</v>
      </c>
    </row>
    <row r="792" spans="2:8" ht="15" customHeight="1" x14ac:dyDescent="0.25">
      <c r="B792" t="s">
        <v>890</v>
      </c>
      <c r="C792" s="2">
        <v>78764.765217479682</v>
      </c>
      <c r="D792" t="s">
        <v>38</v>
      </c>
      <c r="E792" t="s">
        <v>43</v>
      </c>
      <c r="F792" t="s">
        <v>1453</v>
      </c>
      <c r="G792" t="s">
        <v>1441</v>
      </c>
      <c r="H792" t="s">
        <v>1446</v>
      </c>
    </row>
    <row r="793" spans="2:8" ht="15" customHeight="1" x14ac:dyDescent="0.25">
      <c r="B793" t="s">
        <v>891</v>
      </c>
      <c r="C793" s="2">
        <v>80000</v>
      </c>
      <c r="D793" t="s">
        <v>11</v>
      </c>
      <c r="E793" t="s">
        <v>1</v>
      </c>
      <c r="F793" t="s">
        <v>1</v>
      </c>
      <c r="G793" t="s">
        <v>1441</v>
      </c>
      <c r="H793" t="s">
        <v>1447</v>
      </c>
    </row>
    <row r="794" spans="2:8" ht="15" customHeight="1" x14ac:dyDescent="0.25">
      <c r="B794" t="s">
        <v>892</v>
      </c>
      <c r="C794" s="2">
        <v>70928.022243027779</v>
      </c>
      <c r="D794" t="s">
        <v>11</v>
      </c>
      <c r="E794" t="s">
        <v>15</v>
      </c>
      <c r="F794" t="s">
        <v>15</v>
      </c>
      <c r="G794" t="s">
        <v>1443</v>
      </c>
      <c r="H794" t="s">
        <v>1446</v>
      </c>
    </row>
    <row r="795" spans="2:8" ht="15" customHeight="1" x14ac:dyDescent="0.25">
      <c r="B795" t="s">
        <v>893</v>
      </c>
      <c r="C795" s="2">
        <v>33000</v>
      </c>
      <c r="D795" t="s">
        <v>38</v>
      </c>
      <c r="E795" t="s">
        <v>1</v>
      </c>
      <c r="F795" t="s">
        <v>1</v>
      </c>
      <c r="G795" t="s">
        <v>1441</v>
      </c>
      <c r="H795" t="s">
        <v>1445</v>
      </c>
    </row>
    <row r="796" spans="2:8" ht="15" customHeight="1" x14ac:dyDescent="0.25">
      <c r="B796" t="s">
        <v>894</v>
      </c>
      <c r="C796" s="2">
        <v>100000</v>
      </c>
      <c r="D796" t="s">
        <v>3</v>
      </c>
      <c r="E796" t="s">
        <v>1</v>
      </c>
      <c r="F796" t="s">
        <v>1</v>
      </c>
      <c r="G796" t="s">
        <v>1441</v>
      </c>
      <c r="H796" t="s">
        <v>1445</v>
      </c>
    </row>
    <row r="797" spans="2:8" ht="15" customHeight="1" x14ac:dyDescent="0.25">
      <c r="B797" t="s">
        <v>895</v>
      </c>
      <c r="C797" s="2">
        <v>60000</v>
      </c>
      <c r="D797" t="s">
        <v>11</v>
      </c>
      <c r="E797" t="s">
        <v>1</v>
      </c>
      <c r="F797" t="s">
        <v>1</v>
      </c>
      <c r="G797" t="s">
        <v>1443</v>
      </c>
      <c r="H797" t="s">
        <v>1446</v>
      </c>
    </row>
    <row r="798" spans="2:8" ht="15" customHeight="1" x14ac:dyDescent="0.25">
      <c r="B798" t="s">
        <v>896</v>
      </c>
      <c r="C798" s="2">
        <v>95000</v>
      </c>
      <c r="D798" t="s">
        <v>3</v>
      </c>
      <c r="E798" t="s">
        <v>1</v>
      </c>
      <c r="F798" t="s">
        <v>1</v>
      </c>
      <c r="G798" t="s">
        <v>1443</v>
      </c>
      <c r="H798" t="s">
        <v>1447</v>
      </c>
    </row>
    <row r="799" spans="2:8" ht="15" customHeight="1" x14ac:dyDescent="0.25">
      <c r="B799" t="s">
        <v>897</v>
      </c>
      <c r="C799" s="2">
        <v>24000</v>
      </c>
      <c r="D799" t="s">
        <v>3</v>
      </c>
      <c r="E799" t="s">
        <v>1</v>
      </c>
      <c r="F799" t="s">
        <v>1</v>
      </c>
      <c r="G799" t="s">
        <v>1442</v>
      </c>
      <c r="H799" t="s">
        <v>1449</v>
      </c>
    </row>
    <row r="800" spans="2:8" ht="15" customHeight="1" x14ac:dyDescent="0.25">
      <c r="B800" t="s">
        <v>898</v>
      </c>
      <c r="C800" s="2">
        <v>50000</v>
      </c>
      <c r="D800" t="s">
        <v>29</v>
      </c>
      <c r="E800" t="s">
        <v>1</v>
      </c>
      <c r="F800" t="s">
        <v>1</v>
      </c>
      <c r="G800" t="s">
        <v>1441</v>
      </c>
      <c r="H800" t="s">
        <v>1445</v>
      </c>
    </row>
    <row r="801" spans="2:8" ht="15" customHeight="1" x14ac:dyDescent="0.25">
      <c r="B801" t="s">
        <v>899</v>
      </c>
      <c r="C801" s="2">
        <v>103000</v>
      </c>
      <c r="D801" t="s">
        <v>38</v>
      </c>
      <c r="E801" t="s">
        <v>1</v>
      </c>
      <c r="F801" t="s">
        <v>1</v>
      </c>
      <c r="G801" t="s">
        <v>1441</v>
      </c>
      <c r="H801" t="s">
        <v>1448</v>
      </c>
    </row>
    <row r="802" spans="2:8" ht="15" customHeight="1" x14ac:dyDescent="0.25">
      <c r="B802" t="s">
        <v>900</v>
      </c>
      <c r="C802" s="2">
        <v>36000</v>
      </c>
      <c r="D802" t="s">
        <v>14</v>
      </c>
      <c r="E802" t="s">
        <v>1</v>
      </c>
      <c r="F802" t="s">
        <v>1</v>
      </c>
      <c r="G802" t="s">
        <v>1440</v>
      </c>
      <c r="H802" t="s">
        <v>1447</v>
      </c>
    </row>
    <row r="803" spans="2:8" ht="15" customHeight="1" x14ac:dyDescent="0.25">
      <c r="B803" t="s">
        <v>901</v>
      </c>
      <c r="C803" s="2">
        <v>85000</v>
      </c>
      <c r="D803" t="s">
        <v>3</v>
      </c>
      <c r="E803" t="s">
        <v>1</v>
      </c>
      <c r="F803" t="s">
        <v>1</v>
      </c>
      <c r="G803" t="s">
        <v>1441</v>
      </c>
      <c r="H803" t="s">
        <v>1446</v>
      </c>
    </row>
    <row r="804" spans="2:8" ht="15" customHeight="1" x14ac:dyDescent="0.25">
      <c r="B804" t="s">
        <v>902</v>
      </c>
      <c r="C804" s="2">
        <v>100000</v>
      </c>
      <c r="D804" t="s">
        <v>1439</v>
      </c>
      <c r="E804" t="s">
        <v>37</v>
      </c>
      <c r="F804" t="s">
        <v>1453</v>
      </c>
      <c r="G804" t="s">
        <v>1443</v>
      </c>
      <c r="H804" t="s">
        <v>1446</v>
      </c>
    </row>
    <row r="805" spans="2:8" ht="15" customHeight="1" x14ac:dyDescent="0.25">
      <c r="B805" t="s">
        <v>903</v>
      </c>
      <c r="C805" s="2">
        <v>83000</v>
      </c>
      <c r="D805" t="s">
        <v>3</v>
      </c>
      <c r="E805" t="s">
        <v>19</v>
      </c>
      <c r="F805" t="s">
        <v>19</v>
      </c>
      <c r="G805" t="s">
        <v>1441</v>
      </c>
      <c r="H805" t="s">
        <v>1446</v>
      </c>
    </row>
    <row r="806" spans="2:8" ht="15" customHeight="1" x14ac:dyDescent="0.25">
      <c r="B806" t="s">
        <v>904</v>
      </c>
      <c r="C806" s="2">
        <v>85000</v>
      </c>
      <c r="D806" t="s">
        <v>29</v>
      </c>
      <c r="E806" t="s">
        <v>1</v>
      </c>
      <c r="F806" t="s">
        <v>1</v>
      </c>
      <c r="G806" t="s">
        <v>1443</v>
      </c>
      <c r="H806" t="s">
        <v>1448</v>
      </c>
    </row>
    <row r="807" spans="2:8" ht="15" customHeight="1" x14ac:dyDescent="0.25">
      <c r="B807" t="s">
        <v>905</v>
      </c>
      <c r="C807" s="2">
        <v>120000</v>
      </c>
      <c r="D807" t="s">
        <v>11</v>
      </c>
      <c r="E807" t="s">
        <v>1</v>
      </c>
      <c r="F807" t="s">
        <v>1</v>
      </c>
      <c r="G807" t="s">
        <v>1443</v>
      </c>
      <c r="H807" t="s">
        <v>1445</v>
      </c>
    </row>
    <row r="808" spans="2:8" ht="15" customHeight="1" x14ac:dyDescent="0.25">
      <c r="B808" t="s">
        <v>906</v>
      </c>
      <c r="C808" s="2">
        <v>69960</v>
      </c>
      <c r="D808" t="s">
        <v>29</v>
      </c>
      <c r="E808" t="s">
        <v>1</v>
      </c>
      <c r="F808" t="s">
        <v>1</v>
      </c>
      <c r="G808" t="s">
        <v>1443</v>
      </c>
      <c r="H808" t="s">
        <v>1448</v>
      </c>
    </row>
    <row r="809" spans="2:8" ht="15" customHeight="1" x14ac:dyDescent="0.25">
      <c r="B809" t="s">
        <v>907</v>
      </c>
      <c r="C809" s="2">
        <v>97000</v>
      </c>
      <c r="D809" t="s">
        <v>11</v>
      </c>
      <c r="E809" t="s">
        <v>1</v>
      </c>
      <c r="F809" t="s">
        <v>1</v>
      </c>
      <c r="G809" t="s">
        <v>1441</v>
      </c>
      <c r="H809" t="s">
        <v>1446</v>
      </c>
    </row>
    <row r="810" spans="2:8" ht="15" customHeight="1" x14ac:dyDescent="0.25">
      <c r="B810" t="s">
        <v>908</v>
      </c>
      <c r="C810" s="2">
        <v>94570.696324037053</v>
      </c>
      <c r="D810" t="s">
        <v>3</v>
      </c>
      <c r="E810" t="s">
        <v>15</v>
      </c>
      <c r="F810" t="s">
        <v>15</v>
      </c>
      <c r="G810" t="s">
        <v>1441</v>
      </c>
      <c r="H810" t="s">
        <v>1447</v>
      </c>
    </row>
    <row r="811" spans="2:8" ht="15" customHeight="1" x14ac:dyDescent="0.25">
      <c r="B811" t="s">
        <v>909</v>
      </c>
      <c r="C811" s="2">
        <v>39000</v>
      </c>
      <c r="D811" t="s">
        <v>11</v>
      </c>
      <c r="E811" t="s">
        <v>10</v>
      </c>
      <c r="F811" t="s">
        <v>1451</v>
      </c>
      <c r="G811" t="s">
        <v>1440</v>
      </c>
      <c r="H811" t="s">
        <v>1447</v>
      </c>
    </row>
    <row r="812" spans="2:8" ht="15" customHeight="1" x14ac:dyDescent="0.25">
      <c r="B812" t="s">
        <v>910</v>
      </c>
      <c r="C812" s="2">
        <v>4451.9791718606421</v>
      </c>
      <c r="D812" t="s">
        <v>11</v>
      </c>
      <c r="E812" t="s">
        <v>0</v>
      </c>
      <c r="F812" t="s">
        <v>0</v>
      </c>
      <c r="G812" t="s">
        <v>1442</v>
      </c>
      <c r="H812" t="s">
        <v>1446</v>
      </c>
    </row>
    <row r="813" spans="2:8" ht="15" customHeight="1" x14ac:dyDescent="0.25">
      <c r="B813" t="s">
        <v>911</v>
      </c>
      <c r="C813" s="2">
        <v>62000</v>
      </c>
      <c r="D813" t="s">
        <v>14</v>
      </c>
      <c r="E813" t="s">
        <v>1</v>
      </c>
      <c r="F813" t="s">
        <v>1</v>
      </c>
      <c r="G813" t="s">
        <v>1440</v>
      </c>
      <c r="H813" t="s">
        <v>1448</v>
      </c>
    </row>
    <row r="814" spans="2:8" ht="15" customHeight="1" x14ac:dyDescent="0.25">
      <c r="B814" t="s">
        <v>912</v>
      </c>
      <c r="C814" s="2">
        <v>44000</v>
      </c>
      <c r="D814" t="s">
        <v>29</v>
      </c>
      <c r="E814" t="s">
        <v>1</v>
      </c>
      <c r="F814" t="s">
        <v>1</v>
      </c>
      <c r="G814" t="s">
        <v>1441</v>
      </c>
      <c r="H814" t="s">
        <v>1446</v>
      </c>
    </row>
    <row r="815" spans="2:8" ht="15" customHeight="1" x14ac:dyDescent="0.25">
      <c r="B815" t="s">
        <v>913</v>
      </c>
      <c r="C815" s="2">
        <v>150000</v>
      </c>
      <c r="D815" t="s">
        <v>11</v>
      </c>
      <c r="E815" t="s">
        <v>1</v>
      </c>
      <c r="F815" t="s">
        <v>1</v>
      </c>
      <c r="G815" t="s">
        <v>1443</v>
      </c>
      <c r="H815" t="s">
        <v>1448</v>
      </c>
    </row>
    <row r="816" spans="2:8" ht="15" customHeight="1" x14ac:dyDescent="0.25">
      <c r="B816" t="s">
        <v>914</v>
      </c>
      <c r="C816" s="2">
        <v>228671.89901848941</v>
      </c>
      <c r="D816" t="s">
        <v>38</v>
      </c>
      <c r="E816" t="s">
        <v>58</v>
      </c>
      <c r="F816" t="s">
        <v>1453</v>
      </c>
      <c r="G816" t="s">
        <v>1441</v>
      </c>
      <c r="H816" t="s">
        <v>1446</v>
      </c>
    </row>
    <row r="817" spans="2:8" ht="15" customHeight="1" x14ac:dyDescent="0.25">
      <c r="B817" t="s">
        <v>915</v>
      </c>
      <c r="C817" s="2">
        <v>73500</v>
      </c>
      <c r="D817" t="s">
        <v>3</v>
      </c>
      <c r="E817" t="s">
        <v>1</v>
      </c>
      <c r="F817" t="s">
        <v>1</v>
      </c>
      <c r="G817" t="s">
        <v>1440</v>
      </c>
      <c r="H817" t="s">
        <v>1447</v>
      </c>
    </row>
    <row r="818" spans="2:8" ht="15" customHeight="1" x14ac:dyDescent="0.25">
      <c r="B818" t="s">
        <v>916</v>
      </c>
      <c r="C818" s="2">
        <v>77500</v>
      </c>
      <c r="D818" t="s">
        <v>3</v>
      </c>
      <c r="E818" t="s">
        <v>1</v>
      </c>
      <c r="F818" t="s">
        <v>1</v>
      </c>
      <c r="G818" t="s">
        <v>1441</v>
      </c>
      <c r="H818" t="s">
        <v>1447</v>
      </c>
    </row>
    <row r="819" spans="2:8" ht="15" customHeight="1" x14ac:dyDescent="0.25">
      <c r="B819" t="s">
        <v>917</v>
      </c>
      <c r="C819" s="2">
        <v>60800</v>
      </c>
      <c r="D819" t="s">
        <v>3</v>
      </c>
      <c r="E819" t="s">
        <v>1</v>
      </c>
      <c r="F819" t="s">
        <v>1</v>
      </c>
      <c r="G819" t="s">
        <v>1440</v>
      </c>
      <c r="H819" t="s">
        <v>1447</v>
      </c>
    </row>
    <row r="820" spans="2:8" ht="15" customHeight="1" x14ac:dyDescent="0.25">
      <c r="B820" t="s">
        <v>918</v>
      </c>
      <c r="C820" s="2">
        <v>136000</v>
      </c>
      <c r="D820" t="s">
        <v>11</v>
      </c>
      <c r="E820" t="s">
        <v>1</v>
      </c>
      <c r="F820" t="s">
        <v>1</v>
      </c>
      <c r="G820" t="s">
        <v>1441</v>
      </c>
      <c r="H820" t="s">
        <v>1447</v>
      </c>
    </row>
    <row r="821" spans="2:8" ht="15" customHeight="1" x14ac:dyDescent="0.25">
      <c r="B821" t="s">
        <v>919</v>
      </c>
      <c r="C821" s="2">
        <v>20000</v>
      </c>
      <c r="D821" t="s">
        <v>14</v>
      </c>
      <c r="E821" t="s">
        <v>0</v>
      </c>
      <c r="F821" t="s">
        <v>0</v>
      </c>
      <c r="G821" t="s">
        <v>1441</v>
      </c>
      <c r="H821" t="s">
        <v>1447</v>
      </c>
    </row>
    <row r="822" spans="2:8" ht="15" customHeight="1" x14ac:dyDescent="0.25">
      <c r="B822" t="s">
        <v>920</v>
      </c>
      <c r="C822" s="2">
        <v>95000</v>
      </c>
      <c r="D822" t="s">
        <v>29</v>
      </c>
      <c r="E822" t="s">
        <v>1</v>
      </c>
      <c r="F822" t="s">
        <v>1</v>
      </c>
      <c r="G822" t="s">
        <v>1441</v>
      </c>
      <c r="H822" t="s">
        <v>1446</v>
      </c>
    </row>
    <row r="823" spans="2:8" ht="15" customHeight="1" x14ac:dyDescent="0.25">
      <c r="B823" t="s">
        <v>921</v>
      </c>
      <c r="C823" s="2">
        <v>130000</v>
      </c>
      <c r="D823" t="s">
        <v>11</v>
      </c>
      <c r="E823" t="s">
        <v>1</v>
      </c>
      <c r="F823" t="s">
        <v>1</v>
      </c>
      <c r="G823" t="s">
        <v>1442</v>
      </c>
      <c r="H823" t="s">
        <v>1448</v>
      </c>
    </row>
    <row r="824" spans="2:8" ht="15" customHeight="1" x14ac:dyDescent="0.25">
      <c r="B824" t="s">
        <v>922</v>
      </c>
      <c r="C824" s="2">
        <v>65000</v>
      </c>
      <c r="D824" t="s">
        <v>3</v>
      </c>
      <c r="E824" t="s">
        <v>1</v>
      </c>
      <c r="F824" t="s">
        <v>1</v>
      </c>
      <c r="G824" t="s">
        <v>1443</v>
      </c>
      <c r="H824" t="s">
        <v>1447</v>
      </c>
    </row>
    <row r="825" spans="2:8" ht="15" customHeight="1" x14ac:dyDescent="0.25">
      <c r="B825" t="s">
        <v>923</v>
      </c>
      <c r="C825" s="2">
        <v>80000</v>
      </c>
      <c r="D825" t="s">
        <v>33</v>
      </c>
      <c r="E825" t="s">
        <v>1</v>
      </c>
      <c r="F825" t="s">
        <v>1</v>
      </c>
      <c r="G825" t="s">
        <v>1443</v>
      </c>
      <c r="H825" t="s">
        <v>1447</v>
      </c>
    </row>
    <row r="826" spans="2:8" ht="15" customHeight="1" x14ac:dyDescent="0.25">
      <c r="B826" t="s">
        <v>924</v>
      </c>
      <c r="C826" s="2">
        <v>37000</v>
      </c>
      <c r="D826" t="s">
        <v>1437</v>
      </c>
      <c r="E826" t="s">
        <v>1</v>
      </c>
      <c r="F826" t="s">
        <v>1</v>
      </c>
      <c r="G826" t="s">
        <v>1443</v>
      </c>
      <c r="H826" t="s">
        <v>1448</v>
      </c>
    </row>
    <row r="827" spans="2:8" ht="15" customHeight="1" x14ac:dyDescent="0.25">
      <c r="B827" t="s">
        <v>925</v>
      </c>
      <c r="C827" s="2">
        <v>40000</v>
      </c>
      <c r="D827" t="s">
        <v>11</v>
      </c>
      <c r="E827" t="s">
        <v>1</v>
      </c>
      <c r="F827" t="s">
        <v>1</v>
      </c>
      <c r="G827" t="s">
        <v>1442</v>
      </c>
      <c r="H827" t="s">
        <v>1447</v>
      </c>
    </row>
    <row r="828" spans="2:8" ht="15" customHeight="1" x14ac:dyDescent="0.25">
      <c r="B828" t="s">
        <v>926</v>
      </c>
      <c r="C828" s="2">
        <v>49000</v>
      </c>
      <c r="D828" t="s">
        <v>3</v>
      </c>
      <c r="E828" t="s">
        <v>1</v>
      </c>
      <c r="F828" t="s">
        <v>1</v>
      </c>
      <c r="G828" t="s">
        <v>1441</v>
      </c>
      <c r="H828" t="s">
        <v>1447</v>
      </c>
    </row>
    <row r="829" spans="2:8" ht="15" customHeight="1" x14ac:dyDescent="0.25">
      <c r="B829" t="s">
        <v>927</v>
      </c>
      <c r="C829" s="2">
        <v>65000</v>
      </c>
      <c r="D829" t="s">
        <v>3</v>
      </c>
      <c r="E829" t="s">
        <v>1</v>
      </c>
      <c r="F829" t="s">
        <v>1</v>
      </c>
      <c r="G829" t="s">
        <v>1440</v>
      </c>
      <c r="H829" t="s">
        <v>1446</v>
      </c>
    </row>
    <row r="830" spans="2:8" ht="15" customHeight="1" x14ac:dyDescent="0.25">
      <c r="B830" t="s">
        <v>928</v>
      </c>
      <c r="C830" s="2">
        <v>55000</v>
      </c>
      <c r="D830" t="s">
        <v>3</v>
      </c>
      <c r="E830" t="s">
        <v>1</v>
      </c>
      <c r="F830" t="s">
        <v>1</v>
      </c>
      <c r="G830" t="s">
        <v>1440</v>
      </c>
      <c r="H830" t="s">
        <v>1445</v>
      </c>
    </row>
    <row r="831" spans="2:8" ht="15" customHeight="1" x14ac:dyDescent="0.25">
      <c r="B831" t="s">
        <v>929</v>
      </c>
      <c r="C831" s="2">
        <v>40000</v>
      </c>
      <c r="D831" t="s">
        <v>11</v>
      </c>
      <c r="E831" t="s">
        <v>1</v>
      </c>
      <c r="F831" t="s">
        <v>1</v>
      </c>
      <c r="G831" t="s">
        <v>1441</v>
      </c>
      <c r="H831" t="s">
        <v>1445</v>
      </c>
    </row>
    <row r="832" spans="2:8" ht="15" customHeight="1" x14ac:dyDescent="0.25">
      <c r="B832" t="s">
        <v>930</v>
      </c>
      <c r="C832" s="2">
        <v>60000</v>
      </c>
      <c r="D832" t="s">
        <v>3</v>
      </c>
      <c r="E832" t="s">
        <v>1</v>
      </c>
      <c r="F832" t="s">
        <v>1</v>
      </c>
      <c r="G832" t="s">
        <v>1441</v>
      </c>
      <c r="H832" t="s">
        <v>1446</v>
      </c>
    </row>
    <row r="833" spans="2:8" ht="15" customHeight="1" x14ac:dyDescent="0.25">
      <c r="B833" t="s">
        <v>931</v>
      </c>
      <c r="C833" s="2">
        <v>45734.379803697877</v>
      </c>
      <c r="D833" t="s">
        <v>3</v>
      </c>
      <c r="E833" t="s">
        <v>7</v>
      </c>
      <c r="F833" t="s">
        <v>1453</v>
      </c>
      <c r="G833" t="s">
        <v>1443</v>
      </c>
      <c r="H833" t="s">
        <v>1445</v>
      </c>
    </row>
    <row r="834" spans="2:8" ht="15" customHeight="1" x14ac:dyDescent="0.25">
      <c r="B834" t="s">
        <v>932</v>
      </c>
      <c r="C834" s="2">
        <v>150000</v>
      </c>
      <c r="D834" t="s">
        <v>3</v>
      </c>
      <c r="E834" t="s">
        <v>1</v>
      </c>
      <c r="F834" t="s">
        <v>1</v>
      </c>
      <c r="G834" t="s">
        <v>1443</v>
      </c>
      <c r="H834" t="s">
        <v>1448</v>
      </c>
    </row>
    <row r="835" spans="2:8" ht="15" customHeight="1" x14ac:dyDescent="0.25">
      <c r="B835" t="s">
        <v>933</v>
      </c>
      <c r="C835" s="2">
        <v>88000</v>
      </c>
      <c r="D835" t="s">
        <v>11</v>
      </c>
      <c r="E835" t="s">
        <v>1</v>
      </c>
      <c r="F835" t="s">
        <v>1</v>
      </c>
      <c r="G835" t="s">
        <v>1441</v>
      </c>
      <c r="H835" t="s">
        <v>1448</v>
      </c>
    </row>
    <row r="836" spans="2:8" ht="15" customHeight="1" x14ac:dyDescent="0.25">
      <c r="B836" t="s">
        <v>934</v>
      </c>
      <c r="C836" s="2">
        <v>64500</v>
      </c>
      <c r="D836" t="s">
        <v>3</v>
      </c>
      <c r="E836" t="s">
        <v>1</v>
      </c>
      <c r="F836" t="s">
        <v>1</v>
      </c>
      <c r="G836" t="s">
        <v>1441</v>
      </c>
      <c r="H836" t="s">
        <v>1446</v>
      </c>
    </row>
    <row r="837" spans="2:8" ht="15" customHeight="1" x14ac:dyDescent="0.25">
      <c r="B837" t="s">
        <v>935</v>
      </c>
      <c r="C837" s="2">
        <v>57600</v>
      </c>
      <c r="D837" t="s">
        <v>29</v>
      </c>
      <c r="E837" t="s">
        <v>21</v>
      </c>
      <c r="F837" t="s">
        <v>1451</v>
      </c>
      <c r="G837" t="s">
        <v>1441</v>
      </c>
      <c r="H837" t="s">
        <v>1446</v>
      </c>
    </row>
    <row r="838" spans="2:8" ht="15" customHeight="1" x14ac:dyDescent="0.25">
      <c r="B838" t="s">
        <v>936</v>
      </c>
      <c r="C838" s="2">
        <v>50000</v>
      </c>
      <c r="D838" t="s">
        <v>31</v>
      </c>
      <c r="E838" t="s">
        <v>1</v>
      </c>
      <c r="F838" t="s">
        <v>1</v>
      </c>
      <c r="G838" t="s">
        <v>1441</v>
      </c>
      <c r="H838" t="s">
        <v>1446</v>
      </c>
    </row>
    <row r="839" spans="2:8" ht="15" customHeight="1" x14ac:dyDescent="0.25">
      <c r="B839" t="s">
        <v>937</v>
      </c>
      <c r="C839" s="2">
        <v>120000</v>
      </c>
      <c r="D839" t="s">
        <v>11</v>
      </c>
      <c r="E839" t="s">
        <v>1</v>
      </c>
      <c r="F839" t="s">
        <v>1</v>
      </c>
      <c r="G839" t="s">
        <v>1443</v>
      </c>
      <c r="H839" t="s">
        <v>1447</v>
      </c>
    </row>
    <row r="840" spans="2:8" ht="15" customHeight="1" x14ac:dyDescent="0.25">
      <c r="B840" t="s">
        <v>938</v>
      </c>
      <c r="C840" s="2">
        <v>107000</v>
      </c>
      <c r="D840" t="s">
        <v>11</v>
      </c>
      <c r="E840" t="s">
        <v>1</v>
      </c>
      <c r="F840" t="s">
        <v>1</v>
      </c>
      <c r="G840" t="s">
        <v>1440</v>
      </c>
      <c r="H840" t="s">
        <v>1448</v>
      </c>
    </row>
    <row r="841" spans="2:8" ht="15" customHeight="1" x14ac:dyDescent="0.25">
      <c r="B841" t="s">
        <v>939</v>
      </c>
      <c r="C841" s="2">
        <v>40000</v>
      </c>
      <c r="D841" t="s">
        <v>3</v>
      </c>
      <c r="E841" t="s">
        <v>1</v>
      </c>
      <c r="F841" t="s">
        <v>1</v>
      </c>
      <c r="G841" t="s">
        <v>1443</v>
      </c>
      <c r="H841" t="s">
        <v>1447</v>
      </c>
    </row>
    <row r="842" spans="2:8" ht="15" customHeight="1" x14ac:dyDescent="0.25">
      <c r="B842" t="s">
        <v>940</v>
      </c>
      <c r="C842" s="2">
        <v>81000</v>
      </c>
      <c r="D842" t="s">
        <v>11</v>
      </c>
      <c r="E842" t="s">
        <v>1</v>
      </c>
      <c r="F842" t="s">
        <v>1</v>
      </c>
      <c r="G842" t="s">
        <v>1442</v>
      </c>
      <c r="H842" t="s">
        <v>1446</v>
      </c>
    </row>
    <row r="843" spans="2:8" ht="15" customHeight="1" x14ac:dyDescent="0.25">
      <c r="B843" t="s">
        <v>941</v>
      </c>
      <c r="C843" s="2">
        <v>45000</v>
      </c>
      <c r="D843" t="s">
        <v>14</v>
      </c>
      <c r="E843" t="s">
        <v>1</v>
      </c>
      <c r="F843" t="s">
        <v>1</v>
      </c>
      <c r="G843" t="s">
        <v>1441</v>
      </c>
      <c r="H843" t="s">
        <v>1446</v>
      </c>
    </row>
    <row r="844" spans="2:8" ht="15" customHeight="1" x14ac:dyDescent="0.25">
      <c r="B844" t="s">
        <v>942</v>
      </c>
      <c r="C844" s="2">
        <v>49000</v>
      </c>
      <c r="D844" t="s">
        <v>14</v>
      </c>
      <c r="E844" t="s">
        <v>1</v>
      </c>
      <c r="F844" t="s">
        <v>1</v>
      </c>
      <c r="G844" t="s">
        <v>1441</v>
      </c>
      <c r="H844" t="s">
        <v>1445</v>
      </c>
    </row>
    <row r="845" spans="2:8" ht="15" customHeight="1" x14ac:dyDescent="0.25">
      <c r="B845" t="s">
        <v>943</v>
      </c>
      <c r="C845" s="2">
        <v>13355.937515581925</v>
      </c>
      <c r="D845" t="s">
        <v>1439</v>
      </c>
      <c r="E845" t="s">
        <v>0</v>
      </c>
      <c r="F845" t="s">
        <v>0</v>
      </c>
      <c r="G845" t="s">
        <v>1442</v>
      </c>
      <c r="H845" t="s">
        <v>1445</v>
      </c>
    </row>
    <row r="846" spans="2:8" ht="15" customHeight="1" x14ac:dyDescent="0.25">
      <c r="B846" t="s">
        <v>944</v>
      </c>
      <c r="C846" s="2">
        <v>72000</v>
      </c>
      <c r="D846" t="s">
        <v>11</v>
      </c>
      <c r="E846" t="s">
        <v>1</v>
      </c>
      <c r="F846" t="s">
        <v>1</v>
      </c>
      <c r="G846" t="s">
        <v>1442</v>
      </c>
      <c r="H846" t="s">
        <v>1446</v>
      </c>
    </row>
    <row r="847" spans="2:8" ht="15" customHeight="1" x14ac:dyDescent="0.25">
      <c r="B847" t="s">
        <v>945</v>
      </c>
      <c r="C847" s="2">
        <v>50000</v>
      </c>
      <c r="D847" t="s">
        <v>3</v>
      </c>
      <c r="E847" t="s">
        <v>1</v>
      </c>
      <c r="F847" t="s">
        <v>1</v>
      </c>
      <c r="G847" t="s">
        <v>1441</v>
      </c>
      <c r="H847" t="s">
        <v>1447</v>
      </c>
    </row>
    <row r="848" spans="2:8" ht="15" customHeight="1" x14ac:dyDescent="0.25">
      <c r="B848" t="s">
        <v>946</v>
      </c>
      <c r="C848" s="2">
        <v>57678</v>
      </c>
      <c r="D848" t="s">
        <v>3</v>
      </c>
      <c r="E848" t="s">
        <v>1</v>
      </c>
      <c r="F848" t="s">
        <v>1</v>
      </c>
      <c r="G848" t="s">
        <v>1441</v>
      </c>
      <c r="H848" t="s">
        <v>1445</v>
      </c>
    </row>
    <row r="849" spans="2:8" ht="15" customHeight="1" x14ac:dyDescent="0.25">
      <c r="B849" t="s">
        <v>947</v>
      </c>
      <c r="C849" s="2">
        <v>80442</v>
      </c>
      <c r="D849" t="s">
        <v>3</v>
      </c>
      <c r="E849" t="s">
        <v>1</v>
      </c>
      <c r="F849" t="s">
        <v>1</v>
      </c>
      <c r="G849" t="s">
        <v>1441</v>
      </c>
      <c r="H849" t="s">
        <v>1446</v>
      </c>
    </row>
    <row r="850" spans="2:8" ht="15" customHeight="1" x14ac:dyDescent="0.25">
      <c r="B850" t="s">
        <v>948</v>
      </c>
      <c r="C850" s="2">
        <v>75000</v>
      </c>
      <c r="D850" t="s">
        <v>11</v>
      </c>
      <c r="E850" t="s">
        <v>1</v>
      </c>
      <c r="F850" t="s">
        <v>1</v>
      </c>
      <c r="G850" t="s">
        <v>1442</v>
      </c>
      <c r="H850" t="s">
        <v>1447</v>
      </c>
    </row>
    <row r="851" spans="2:8" ht="15" customHeight="1" x14ac:dyDescent="0.25">
      <c r="B851" t="s">
        <v>949</v>
      </c>
      <c r="C851" s="2">
        <v>61000</v>
      </c>
      <c r="D851" t="s">
        <v>3</v>
      </c>
      <c r="E851" t="s">
        <v>1</v>
      </c>
      <c r="F851" t="s">
        <v>1</v>
      </c>
      <c r="G851" t="s">
        <v>1441</v>
      </c>
      <c r="H851" t="s">
        <v>1446</v>
      </c>
    </row>
    <row r="852" spans="2:8" ht="15" customHeight="1" x14ac:dyDescent="0.25">
      <c r="B852" t="s">
        <v>950</v>
      </c>
      <c r="C852" s="2">
        <v>77000</v>
      </c>
      <c r="D852" t="s">
        <v>29</v>
      </c>
      <c r="E852" t="s">
        <v>1</v>
      </c>
      <c r="F852" t="s">
        <v>1</v>
      </c>
      <c r="G852" t="s">
        <v>1441</v>
      </c>
      <c r="H852" t="s">
        <v>1447</v>
      </c>
    </row>
    <row r="853" spans="2:8" ht="15" customHeight="1" x14ac:dyDescent="0.25">
      <c r="B853" t="s">
        <v>951</v>
      </c>
      <c r="C853" s="2">
        <v>92000</v>
      </c>
      <c r="D853" t="s">
        <v>38</v>
      </c>
      <c r="E853" t="s">
        <v>1</v>
      </c>
      <c r="F853" t="s">
        <v>1</v>
      </c>
      <c r="G853" t="s">
        <v>1443</v>
      </c>
      <c r="H853" t="s">
        <v>1447</v>
      </c>
    </row>
    <row r="854" spans="2:8" ht="15" customHeight="1" x14ac:dyDescent="0.25">
      <c r="B854" t="s">
        <v>952</v>
      </c>
      <c r="C854" s="2">
        <v>72000</v>
      </c>
      <c r="D854" t="s">
        <v>3</v>
      </c>
      <c r="E854" t="s">
        <v>1</v>
      </c>
      <c r="F854" t="s">
        <v>1</v>
      </c>
      <c r="G854" t="s">
        <v>1440</v>
      </c>
      <c r="H854" t="s">
        <v>1447</v>
      </c>
    </row>
    <row r="855" spans="2:8" ht="15" customHeight="1" x14ac:dyDescent="0.25">
      <c r="B855" t="s">
        <v>953</v>
      </c>
      <c r="C855" s="2">
        <v>14000</v>
      </c>
      <c r="D855" t="s">
        <v>33</v>
      </c>
      <c r="E855" t="s">
        <v>0</v>
      </c>
      <c r="F855" t="s">
        <v>0</v>
      </c>
      <c r="G855" t="s">
        <v>1441</v>
      </c>
      <c r="H855" t="s">
        <v>1445</v>
      </c>
    </row>
    <row r="856" spans="2:8" ht="15" customHeight="1" x14ac:dyDescent="0.25">
      <c r="B856" t="s">
        <v>954</v>
      </c>
      <c r="C856" s="2">
        <v>111000</v>
      </c>
      <c r="D856" t="s">
        <v>11</v>
      </c>
      <c r="E856" t="s">
        <v>1</v>
      </c>
      <c r="F856" t="s">
        <v>1</v>
      </c>
      <c r="G856" t="s">
        <v>1443</v>
      </c>
      <c r="H856" t="s">
        <v>1447</v>
      </c>
    </row>
    <row r="857" spans="2:8" ht="15" customHeight="1" x14ac:dyDescent="0.25">
      <c r="B857" t="s">
        <v>955</v>
      </c>
      <c r="C857" s="2">
        <v>80000</v>
      </c>
      <c r="D857" t="s">
        <v>3</v>
      </c>
      <c r="E857" t="s">
        <v>1</v>
      </c>
      <c r="F857" t="s">
        <v>1</v>
      </c>
      <c r="G857" t="s">
        <v>1441</v>
      </c>
      <c r="H857" t="s">
        <v>1446</v>
      </c>
    </row>
    <row r="858" spans="2:8" ht="15" customHeight="1" x14ac:dyDescent="0.25">
      <c r="B858" t="s">
        <v>956</v>
      </c>
      <c r="C858" s="2">
        <v>57875.729234188344</v>
      </c>
      <c r="D858" t="s">
        <v>3</v>
      </c>
      <c r="E858" t="s">
        <v>0</v>
      </c>
      <c r="F858" t="s">
        <v>0</v>
      </c>
      <c r="G858" t="s">
        <v>1441</v>
      </c>
      <c r="H858" t="s">
        <v>1447</v>
      </c>
    </row>
    <row r="859" spans="2:8" ht="15" customHeight="1" x14ac:dyDescent="0.25">
      <c r="B859" t="s">
        <v>957</v>
      </c>
      <c r="C859" s="2">
        <v>25000</v>
      </c>
      <c r="D859" t="s">
        <v>31</v>
      </c>
      <c r="E859" t="s">
        <v>0</v>
      </c>
      <c r="F859" t="s">
        <v>0</v>
      </c>
      <c r="G859" t="s">
        <v>1443</v>
      </c>
      <c r="H859" t="s">
        <v>1447</v>
      </c>
    </row>
    <row r="860" spans="2:8" ht="15" customHeight="1" x14ac:dyDescent="0.25">
      <c r="B860" t="s">
        <v>958</v>
      </c>
      <c r="C860" s="2">
        <v>24000</v>
      </c>
      <c r="D860" t="s">
        <v>38</v>
      </c>
      <c r="E860" t="s">
        <v>1</v>
      </c>
      <c r="F860" t="s">
        <v>1</v>
      </c>
      <c r="G860" t="s">
        <v>1442</v>
      </c>
      <c r="H860" t="s">
        <v>1445</v>
      </c>
    </row>
    <row r="861" spans="2:8" ht="15" customHeight="1" x14ac:dyDescent="0.25">
      <c r="B861" t="s">
        <v>959</v>
      </c>
      <c r="C861" s="2">
        <v>61000</v>
      </c>
      <c r="D861" t="s">
        <v>11</v>
      </c>
      <c r="E861" t="s">
        <v>1</v>
      </c>
      <c r="F861" t="s">
        <v>1</v>
      </c>
      <c r="G861" t="s">
        <v>1443</v>
      </c>
      <c r="H861" t="s">
        <v>1448</v>
      </c>
    </row>
    <row r="862" spans="2:8" ht="15" customHeight="1" x14ac:dyDescent="0.25">
      <c r="B862" t="s">
        <v>960</v>
      </c>
      <c r="C862" s="2">
        <v>56095.031102144967</v>
      </c>
      <c r="D862" t="s">
        <v>3</v>
      </c>
      <c r="E862" t="s">
        <v>18</v>
      </c>
      <c r="F862" t="s">
        <v>18</v>
      </c>
      <c r="G862" t="s">
        <v>1443</v>
      </c>
      <c r="H862" t="s">
        <v>1446</v>
      </c>
    </row>
    <row r="863" spans="2:8" ht="15" customHeight="1" x14ac:dyDescent="0.25">
      <c r="B863" t="s">
        <v>961</v>
      </c>
      <c r="C863" s="2">
        <v>71393.675948184507</v>
      </c>
      <c r="D863" t="s">
        <v>31</v>
      </c>
      <c r="E863" t="s">
        <v>18</v>
      </c>
      <c r="F863" t="s">
        <v>18</v>
      </c>
      <c r="G863" t="s">
        <v>1443</v>
      </c>
      <c r="H863" t="s">
        <v>1445</v>
      </c>
    </row>
    <row r="864" spans="2:8" ht="15" customHeight="1" x14ac:dyDescent="0.25">
      <c r="B864" t="s">
        <v>962</v>
      </c>
      <c r="C864" s="2">
        <v>96230</v>
      </c>
      <c r="D864" t="s">
        <v>11</v>
      </c>
      <c r="E864" t="s">
        <v>1</v>
      </c>
      <c r="F864" t="s">
        <v>1</v>
      </c>
      <c r="G864" t="s">
        <v>1441</v>
      </c>
      <c r="H864" t="s">
        <v>1446</v>
      </c>
    </row>
    <row r="865" spans="2:8" ht="15" customHeight="1" x14ac:dyDescent="0.25">
      <c r="B865" t="s">
        <v>963</v>
      </c>
      <c r="C865" s="2">
        <v>75000</v>
      </c>
      <c r="D865" t="s">
        <v>3</v>
      </c>
      <c r="E865" t="s">
        <v>1</v>
      </c>
      <c r="F865" t="s">
        <v>1</v>
      </c>
      <c r="G865" t="s">
        <v>1443</v>
      </c>
      <c r="H865" t="s">
        <v>1445</v>
      </c>
    </row>
    <row r="866" spans="2:8" ht="15" customHeight="1" x14ac:dyDescent="0.25">
      <c r="B866" t="s">
        <v>964</v>
      </c>
      <c r="C866" s="2">
        <v>102000</v>
      </c>
      <c r="D866" t="s">
        <v>3</v>
      </c>
      <c r="E866" t="s">
        <v>1</v>
      </c>
      <c r="F866" t="s">
        <v>1</v>
      </c>
      <c r="G866" t="s">
        <v>1441</v>
      </c>
      <c r="H866" t="s">
        <v>1445</v>
      </c>
    </row>
    <row r="867" spans="2:8" ht="15" customHeight="1" x14ac:dyDescent="0.25">
      <c r="B867" t="s">
        <v>965</v>
      </c>
      <c r="C867" s="2">
        <v>19008.034062397041</v>
      </c>
      <c r="D867" t="s">
        <v>11</v>
      </c>
      <c r="E867" t="s">
        <v>69</v>
      </c>
      <c r="F867" t="s">
        <v>1454</v>
      </c>
      <c r="G867" t="s">
        <v>1441</v>
      </c>
      <c r="H867" t="s">
        <v>1445</v>
      </c>
    </row>
    <row r="868" spans="2:8" ht="15" customHeight="1" x14ac:dyDescent="0.25">
      <c r="B868" t="s">
        <v>966</v>
      </c>
      <c r="C868" s="2">
        <v>4356</v>
      </c>
      <c r="D868" t="s">
        <v>3</v>
      </c>
      <c r="E868" t="s">
        <v>0</v>
      </c>
      <c r="F868" t="s">
        <v>0</v>
      </c>
      <c r="G868" t="s">
        <v>1441</v>
      </c>
      <c r="H868" t="s">
        <v>1445</v>
      </c>
    </row>
    <row r="869" spans="2:8" ht="15" customHeight="1" x14ac:dyDescent="0.25">
      <c r="B869" t="s">
        <v>967</v>
      </c>
      <c r="C869" s="2">
        <v>5342.3750062327708</v>
      </c>
      <c r="D869" t="s">
        <v>31</v>
      </c>
      <c r="E869" t="s">
        <v>0</v>
      </c>
      <c r="F869" t="s">
        <v>0</v>
      </c>
      <c r="G869" t="s">
        <v>1441</v>
      </c>
      <c r="H869" t="s">
        <v>1445</v>
      </c>
    </row>
    <row r="870" spans="2:8" ht="15" customHeight="1" x14ac:dyDescent="0.25">
      <c r="B870" t="s">
        <v>968</v>
      </c>
      <c r="C870" s="2">
        <v>67000</v>
      </c>
      <c r="D870" t="s">
        <v>11</v>
      </c>
      <c r="E870" t="s">
        <v>1</v>
      </c>
      <c r="F870" t="s">
        <v>1</v>
      </c>
      <c r="G870" t="s">
        <v>1443</v>
      </c>
      <c r="H870" t="s">
        <v>1446</v>
      </c>
    </row>
    <row r="871" spans="2:8" ht="15" customHeight="1" x14ac:dyDescent="0.25">
      <c r="B871" t="s">
        <v>969</v>
      </c>
      <c r="C871" s="2">
        <v>8547.8000099724322</v>
      </c>
      <c r="D871" t="s">
        <v>3</v>
      </c>
      <c r="E871" t="s">
        <v>0</v>
      </c>
      <c r="F871" t="s">
        <v>0</v>
      </c>
      <c r="G871" t="s">
        <v>1441</v>
      </c>
      <c r="H871" t="s">
        <v>1447</v>
      </c>
    </row>
    <row r="872" spans="2:8" ht="15" customHeight="1" x14ac:dyDescent="0.25">
      <c r="B872" t="s">
        <v>970</v>
      </c>
      <c r="C872" s="2">
        <v>16027.125018698311</v>
      </c>
      <c r="D872" t="s">
        <v>3</v>
      </c>
      <c r="E872" t="s">
        <v>0</v>
      </c>
      <c r="F872" t="s">
        <v>0</v>
      </c>
      <c r="G872" t="s">
        <v>1441</v>
      </c>
      <c r="H872" t="s">
        <v>1445</v>
      </c>
    </row>
    <row r="873" spans="2:8" ht="15" customHeight="1" x14ac:dyDescent="0.25">
      <c r="B873" t="s">
        <v>971</v>
      </c>
      <c r="C873" s="2">
        <v>10684.750012465542</v>
      </c>
      <c r="D873" t="s">
        <v>33</v>
      </c>
      <c r="E873" t="s">
        <v>0</v>
      </c>
      <c r="F873" t="s">
        <v>0</v>
      </c>
      <c r="G873" t="s">
        <v>1443</v>
      </c>
      <c r="H873" t="s">
        <v>1449</v>
      </c>
    </row>
    <row r="874" spans="2:8" ht="15" customHeight="1" x14ac:dyDescent="0.25">
      <c r="B874" t="s">
        <v>972</v>
      </c>
      <c r="C874" s="2">
        <v>30000</v>
      </c>
      <c r="D874" t="s">
        <v>31</v>
      </c>
      <c r="E874" t="s">
        <v>26</v>
      </c>
      <c r="F874" t="s">
        <v>1451</v>
      </c>
      <c r="G874" t="s">
        <v>1441</v>
      </c>
      <c r="H874" t="s">
        <v>1447</v>
      </c>
    </row>
    <row r="875" spans="2:8" ht="15" customHeight="1" x14ac:dyDescent="0.25">
      <c r="B875" t="s">
        <v>973</v>
      </c>
      <c r="C875" s="2">
        <v>8903.9583437212841</v>
      </c>
      <c r="D875" t="s">
        <v>11</v>
      </c>
      <c r="E875" t="s">
        <v>0</v>
      </c>
      <c r="F875" t="s">
        <v>0</v>
      </c>
      <c r="G875" t="s">
        <v>1443</v>
      </c>
      <c r="H875" t="s">
        <v>1445</v>
      </c>
    </row>
    <row r="876" spans="2:8" ht="15" customHeight="1" x14ac:dyDescent="0.25">
      <c r="B876" t="s">
        <v>974</v>
      </c>
      <c r="C876" s="2">
        <v>87712.230450626681</v>
      </c>
      <c r="D876" t="s">
        <v>3</v>
      </c>
      <c r="E876" t="s">
        <v>18</v>
      </c>
      <c r="F876" t="s">
        <v>18</v>
      </c>
      <c r="G876" t="s">
        <v>1441</v>
      </c>
      <c r="H876" t="s">
        <v>1447</v>
      </c>
    </row>
    <row r="877" spans="2:8" ht="15" customHeight="1" x14ac:dyDescent="0.25">
      <c r="B877" t="s">
        <v>975</v>
      </c>
      <c r="C877" s="2">
        <v>17807.916687442568</v>
      </c>
      <c r="D877" t="s">
        <v>11</v>
      </c>
      <c r="E877" t="s">
        <v>0</v>
      </c>
      <c r="F877" t="s">
        <v>0</v>
      </c>
      <c r="G877" t="s">
        <v>1440</v>
      </c>
      <c r="H877" t="s">
        <v>1447</v>
      </c>
    </row>
    <row r="878" spans="2:8" ht="15" customHeight="1" x14ac:dyDescent="0.25">
      <c r="B878" t="s">
        <v>976</v>
      </c>
      <c r="C878" s="2">
        <v>41000</v>
      </c>
      <c r="D878" t="s">
        <v>3</v>
      </c>
      <c r="E878" t="s">
        <v>44</v>
      </c>
      <c r="F878" t="s">
        <v>1451</v>
      </c>
      <c r="G878" t="s">
        <v>1443</v>
      </c>
      <c r="H878" t="s">
        <v>1445</v>
      </c>
    </row>
    <row r="879" spans="2:8" ht="15" customHeight="1" x14ac:dyDescent="0.25">
      <c r="B879" t="s">
        <v>977</v>
      </c>
      <c r="C879" s="2">
        <v>60000</v>
      </c>
      <c r="D879" t="s">
        <v>11</v>
      </c>
      <c r="E879" t="s">
        <v>1</v>
      </c>
      <c r="F879" t="s">
        <v>1</v>
      </c>
      <c r="G879" t="s">
        <v>1443</v>
      </c>
      <c r="H879" t="s">
        <v>1445</v>
      </c>
    </row>
    <row r="880" spans="2:8" ht="15" customHeight="1" x14ac:dyDescent="0.25">
      <c r="B880" t="s">
        <v>978</v>
      </c>
      <c r="C880" s="2">
        <v>32187.34988380854</v>
      </c>
      <c r="D880" t="s">
        <v>3</v>
      </c>
      <c r="E880" t="s">
        <v>10</v>
      </c>
      <c r="F880" t="s">
        <v>1451</v>
      </c>
      <c r="G880" t="s">
        <v>1440</v>
      </c>
      <c r="H880" t="s">
        <v>1445</v>
      </c>
    </row>
    <row r="881" spans="2:8" ht="15" customHeight="1" x14ac:dyDescent="0.25">
      <c r="B881" t="s">
        <v>979</v>
      </c>
      <c r="C881" s="2">
        <v>39879.404680246938</v>
      </c>
      <c r="D881" t="s">
        <v>29</v>
      </c>
      <c r="E881" t="s">
        <v>45</v>
      </c>
      <c r="F881" t="s">
        <v>1451</v>
      </c>
      <c r="G881" t="s">
        <v>1441</v>
      </c>
      <c r="H881" t="s">
        <v>1445</v>
      </c>
    </row>
    <row r="882" spans="2:8" ht="15" customHeight="1" x14ac:dyDescent="0.25">
      <c r="B882" t="s">
        <v>980</v>
      </c>
      <c r="C882" s="2">
        <v>5698.5333399816218</v>
      </c>
      <c r="D882" t="s">
        <v>3</v>
      </c>
      <c r="E882" t="s">
        <v>0</v>
      </c>
      <c r="F882" t="s">
        <v>0</v>
      </c>
      <c r="G882" t="s">
        <v>1443</v>
      </c>
      <c r="H882" t="s">
        <v>1445</v>
      </c>
    </row>
    <row r="883" spans="2:8" ht="15" customHeight="1" x14ac:dyDescent="0.25">
      <c r="B883" t="s">
        <v>981</v>
      </c>
      <c r="C883" s="2">
        <v>7123.1666749770275</v>
      </c>
      <c r="D883" t="s">
        <v>11</v>
      </c>
      <c r="E883" t="s">
        <v>0</v>
      </c>
      <c r="F883" t="s">
        <v>0</v>
      </c>
      <c r="G883" t="s">
        <v>1441</v>
      </c>
      <c r="H883" t="s">
        <v>1447</v>
      </c>
    </row>
    <row r="884" spans="2:8" ht="15" customHeight="1" x14ac:dyDescent="0.25">
      <c r="B884" t="s">
        <v>982</v>
      </c>
      <c r="C884" s="2">
        <v>4451.9791718606421</v>
      </c>
      <c r="D884" t="s">
        <v>11</v>
      </c>
      <c r="E884" t="s">
        <v>0</v>
      </c>
      <c r="F884" t="s">
        <v>0</v>
      </c>
      <c r="G884" t="s">
        <v>1443</v>
      </c>
      <c r="H884" t="s">
        <v>1446</v>
      </c>
    </row>
    <row r="885" spans="2:8" ht="15" customHeight="1" x14ac:dyDescent="0.25">
      <c r="B885" t="s">
        <v>983</v>
      </c>
      <c r="C885" s="2">
        <v>6410.8500074793246</v>
      </c>
      <c r="D885" t="s">
        <v>3</v>
      </c>
      <c r="E885" t="s">
        <v>0</v>
      </c>
      <c r="F885" t="s">
        <v>0</v>
      </c>
      <c r="G885" t="s">
        <v>1443</v>
      </c>
      <c r="H885" t="s">
        <v>1447</v>
      </c>
    </row>
    <row r="886" spans="2:8" ht="15" customHeight="1" x14ac:dyDescent="0.25">
      <c r="B886" t="s">
        <v>984</v>
      </c>
      <c r="C886" s="2">
        <v>20479.104190558952</v>
      </c>
      <c r="D886" t="s">
        <v>11</v>
      </c>
      <c r="E886" t="s">
        <v>0</v>
      </c>
      <c r="F886" t="s">
        <v>0</v>
      </c>
      <c r="G886" t="s">
        <v>1440</v>
      </c>
      <c r="H886" t="s">
        <v>1446</v>
      </c>
    </row>
    <row r="887" spans="2:8" ht="15" customHeight="1" x14ac:dyDescent="0.25">
      <c r="B887" t="s">
        <v>985</v>
      </c>
      <c r="C887" s="2">
        <v>11040.908346214392</v>
      </c>
      <c r="D887" t="s">
        <v>3</v>
      </c>
      <c r="E887" t="s">
        <v>0</v>
      </c>
      <c r="F887" t="s">
        <v>0</v>
      </c>
      <c r="G887" t="s">
        <v>1442</v>
      </c>
      <c r="H887" t="s">
        <v>1445</v>
      </c>
    </row>
    <row r="888" spans="2:8" ht="15" customHeight="1" x14ac:dyDescent="0.25">
      <c r="B888" t="s">
        <v>986</v>
      </c>
      <c r="C888" s="2">
        <v>17807.916687442568</v>
      </c>
      <c r="D888" t="s">
        <v>14</v>
      </c>
      <c r="E888" t="s">
        <v>0</v>
      </c>
      <c r="F888" t="s">
        <v>0</v>
      </c>
      <c r="G888" t="s">
        <v>1443</v>
      </c>
      <c r="H888" t="s">
        <v>1447</v>
      </c>
    </row>
    <row r="889" spans="2:8" ht="15" customHeight="1" x14ac:dyDescent="0.25">
      <c r="B889" t="s">
        <v>987</v>
      </c>
      <c r="C889" s="2">
        <v>3561.5833374885137</v>
      </c>
      <c r="D889" t="s">
        <v>3</v>
      </c>
      <c r="E889" t="s">
        <v>0</v>
      </c>
      <c r="F889" t="s">
        <v>0</v>
      </c>
      <c r="G889" t="s">
        <v>1441</v>
      </c>
      <c r="H889" t="s">
        <v>1446</v>
      </c>
    </row>
    <row r="890" spans="2:8" ht="15" customHeight="1" x14ac:dyDescent="0.25">
      <c r="B890" t="s">
        <v>988</v>
      </c>
      <c r="C890" s="2">
        <v>26795.030625143831</v>
      </c>
      <c r="D890" t="s">
        <v>3</v>
      </c>
      <c r="E890" t="s">
        <v>15</v>
      </c>
      <c r="F890" t="s">
        <v>15</v>
      </c>
      <c r="G890" t="s">
        <v>1443</v>
      </c>
      <c r="H890" t="s">
        <v>1445</v>
      </c>
    </row>
    <row r="891" spans="2:8" ht="15" customHeight="1" x14ac:dyDescent="0.25">
      <c r="B891" t="s">
        <v>989</v>
      </c>
      <c r="C891" s="2">
        <v>20400</v>
      </c>
      <c r="D891" t="s">
        <v>11</v>
      </c>
      <c r="E891" t="s">
        <v>79</v>
      </c>
      <c r="F891" t="s">
        <v>1454</v>
      </c>
      <c r="G891" t="s">
        <v>1442</v>
      </c>
      <c r="H891" t="s">
        <v>1447</v>
      </c>
    </row>
    <row r="892" spans="2:8" ht="15" customHeight="1" x14ac:dyDescent="0.25">
      <c r="B892" t="s">
        <v>990</v>
      </c>
      <c r="C892" s="2">
        <v>39404.456801682099</v>
      </c>
      <c r="D892" t="s">
        <v>31</v>
      </c>
      <c r="E892" t="s">
        <v>15</v>
      </c>
      <c r="F892" t="s">
        <v>15</v>
      </c>
      <c r="G892" t="s">
        <v>1441</v>
      </c>
      <c r="H892" t="s">
        <v>1449</v>
      </c>
    </row>
    <row r="893" spans="2:8" ht="15" customHeight="1" x14ac:dyDescent="0.25">
      <c r="B893" t="s">
        <v>991</v>
      </c>
      <c r="C893" s="2">
        <v>149907.13380100971</v>
      </c>
      <c r="D893" t="s">
        <v>3</v>
      </c>
      <c r="E893" t="s">
        <v>58</v>
      </c>
      <c r="F893" t="s">
        <v>1453</v>
      </c>
      <c r="G893" t="s">
        <v>1441</v>
      </c>
      <c r="H893" t="s">
        <v>1447</v>
      </c>
    </row>
    <row r="894" spans="2:8" ht="15" customHeight="1" x14ac:dyDescent="0.25">
      <c r="B894" t="s">
        <v>992</v>
      </c>
      <c r="C894" s="2">
        <v>4095.8208381117906</v>
      </c>
      <c r="D894" t="s">
        <v>3</v>
      </c>
      <c r="E894" t="s">
        <v>0</v>
      </c>
      <c r="F894" t="s">
        <v>0</v>
      </c>
      <c r="G894" t="s">
        <v>1441</v>
      </c>
      <c r="H894" t="s">
        <v>1445</v>
      </c>
    </row>
    <row r="895" spans="2:8" ht="15" customHeight="1" x14ac:dyDescent="0.25">
      <c r="B895" t="s">
        <v>993</v>
      </c>
      <c r="C895" s="2">
        <v>127488.70705032947</v>
      </c>
      <c r="D895" t="s">
        <v>31</v>
      </c>
      <c r="E895" t="s">
        <v>18</v>
      </c>
      <c r="F895" t="s">
        <v>18</v>
      </c>
      <c r="G895" t="s">
        <v>1441</v>
      </c>
      <c r="H895" t="s">
        <v>1447</v>
      </c>
    </row>
    <row r="896" spans="2:8" ht="15" customHeight="1" x14ac:dyDescent="0.25">
      <c r="B896" t="s">
        <v>994</v>
      </c>
      <c r="C896" s="2">
        <v>58318.59606648951</v>
      </c>
      <c r="D896" t="s">
        <v>11</v>
      </c>
      <c r="E896" t="s">
        <v>15</v>
      </c>
      <c r="F896" t="s">
        <v>15</v>
      </c>
      <c r="G896" t="s">
        <v>1440</v>
      </c>
      <c r="H896" t="s">
        <v>1446</v>
      </c>
    </row>
    <row r="897" spans="2:8" ht="15" customHeight="1" x14ac:dyDescent="0.25">
      <c r="B897" t="s">
        <v>995</v>
      </c>
      <c r="C897" s="2">
        <v>9509.8988293070688</v>
      </c>
      <c r="D897" t="s">
        <v>38</v>
      </c>
      <c r="E897" t="s">
        <v>10</v>
      </c>
      <c r="F897" t="s">
        <v>1451</v>
      </c>
      <c r="G897" t="s">
        <v>1441</v>
      </c>
      <c r="H897" t="s">
        <v>1445</v>
      </c>
    </row>
    <row r="898" spans="2:8" ht="15" customHeight="1" x14ac:dyDescent="0.25">
      <c r="B898" t="s">
        <v>996</v>
      </c>
      <c r="C898" s="2">
        <v>12821.700014958649</v>
      </c>
      <c r="D898" t="s">
        <v>3</v>
      </c>
      <c r="E898" t="s">
        <v>0</v>
      </c>
      <c r="F898" t="s">
        <v>0</v>
      </c>
      <c r="G898" t="s">
        <v>1441</v>
      </c>
      <c r="H898" t="s">
        <v>1445</v>
      </c>
    </row>
    <row r="899" spans="2:8" ht="15" customHeight="1" x14ac:dyDescent="0.25">
      <c r="B899" t="s">
        <v>997</v>
      </c>
      <c r="C899" s="2">
        <v>4000</v>
      </c>
      <c r="D899" t="s">
        <v>3</v>
      </c>
      <c r="E899" t="s">
        <v>0</v>
      </c>
      <c r="F899" t="s">
        <v>0</v>
      </c>
      <c r="G899" t="s">
        <v>1440</v>
      </c>
      <c r="H899" t="s">
        <v>1447</v>
      </c>
    </row>
    <row r="900" spans="2:8" ht="15" customHeight="1" x14ac:dyDescent="0.25">
      <c r="B900" t="s">
        <v>998</v>
      </c>
      <c r="C900" s="2">
        <v>42000</v>
      </c>
      <c r="D900" t="s">
        <v>3</v>
      </c>
      <c r="E900" t="s">
        <v>1</v>
      </c>
      <c r="F900" t="s">
        <v>1</v>
      </c>
      <c r="G900" t="s">
        <v>1440</v>
      </c>
      <c r="H900" t="s">
        <v>1445</v>
      </c>
    </row>
    <row r="901" spans="2:8" ht="15" customHeight="1" x14ac:dyDescent="0.25">
      <c r="B901" t="s">
        <v>999</v>
      </c>
      <c r="C901" s="2">
        <v>3200</v>
      </c>
      <c r="D901" t="s">
        <v>11</v>
      </c>
      <c r="E901" t="s">
        <v>0</v>
      </c>
      <c r="F901" t="s">
        <v>0</v>
      </c>
      <c r="G901" t="s">
        <v>1440</v>
      </c>
      <c r="H901" t="s">
        <v>1446</v>
      </c>
    </row>
    <row r="902" spans="2:8" ht="15" customHeight="1" x14ac:dyDescent="0.25">
      <c r="B902" t="s">
        <v>1000</v>
      </c>
      <c r="C902" s="2">
        <v>60000</v>
      </c>
      <c r="D902" t="s">
        <v>3</v>
      </c>
      <c r="E902" t="s">
        <v>28</v>
      </c>
      <c r="F902" t="s">
        <v>1453</v>
      </c>
      <c r="G902" t="s">
        <v>1443</v>
      </c>
      <c r="H902" t="s">
        <v>1447</v>
      </c>
    </row>
    <row r="903" spans="2:8" ht="15" customHeight="1" x14ac:dyDescent="0.25">
      <c r="B903" t="s">
        <v>1001</v>
      </c>
      <c r="C903" s="2">
        <v>85000</v>
      </c>
      <c r="D903" t="s">
        <v>3</v>
      </c>
      <c r="E903" t="s">
        <v>1</v>
      </c>
      <c r="F903" t="s">
        <v>1</v>
      </c>
      <c r="G903" t="s">
        <v>1441</v>
      </c>
      <c r="H903" t="s">
        <v>1447</v>
      </c>
    </row>
    <row r="904" spans="2:8" ht="15" customHeight="1" x14ac:dyDescent="0.25">
      <c r="B904" t="s">
        <v>1002</v>
      </c>
      <c r="C904" s="2">
        <v>109000</v>
      </c>
      <c r="D904" t="s">
        <v>11</v>
      </c>
      <c r="E904" t="s">
        <v>1</v>
      </c>
      <c r="F904" t="s">
        <v>1</v>
      </c>
      <c r="G904" t="s">
        <v>1441</v>
      </c>
      <c r="H904" t="s">
        <v>1446</v>
      </c>
    </row>
    <row r="905" spans="2:8" ht="15" customHeight="1" x14ac:dyDescent="0.25">
      <c r="B905" t="s">
        <v>1003</v>
      </c>
      <c r="C905" s="2">
        <v>76223.966339496474</v>
      </c>
      <c r="D905" t="s">
        <v>3</v>
      </c>
      <c r="E905" t="s">
        <v>56</v>
      </c>
      <c r="F905" t="s">
        <v>1453</v>
      </c>
      <c r="G905" t="s">
        <v>1440</v>
      </c>
      <c r="H905" t="s">
        <v>1446</v>
      </c>
    </row>
    <row r="906" spans="2:8" ht="15" customHeight="1" x14ac:dyDescent="0.25">
      <c r="B906" t="s">
        <v>1004</v>
      </c>
      <c r="C906" s="2">
        <v>77000</v>
      </c>
      <c r="D906" t="s">
        <v>29</v>
      </c>
      <c r="E906" t="s">
        <v>1</v>
      </c>
      <c r="F906" t="s">
        <v>1</v>
      </c>
      <c r="G906" t="s">
        <v>1443</v>
      </c>
      <c r="H906" t="s">
        <v>1446</v>
      </c>
    </row>
    <row r="907" spans="2:8" ht="15" customHeight="1" x14ac:dyDescent="0.25">
      <c r="B907" t="s">
        <v>1005</v>
      </c>
      <c r="C907" s="2">
        <v>25000</v>
      </c>
      <c r="D907" t="s">
        <v>3</v>
      </c>
      <c r="E907" t="s">
        <v>0</v>
      </c>
      <c r="F907" t="s">
        <v>0</v>
      </c>
      <c r="G907" t="s">
        <v>1440</v>
      </c>
      <c r="H907" t="s">
        <v>1445</v>
      </c>
    </row>
    <row r="908" spans="2:8" ht="15" customHeight="1" x14ac:dyDescent="0.25">
      <c r="B908" t="s">
        <v>1006</v>
      </c>
      <c r="C908" s="2">
        <v>64000</v>
      </c>
      <c r="D908" t="s">
        <v>11</v>
      </c>
      <c r="E908" t="s">
        <v>1</v>
      </c>
      <c r="F908" t="s">
        <v>1</v>
      </c>
      <c r="G908" t="s">
        <v>1443</v>
      </c>
      <c r="H908" t="s">
        <v>1446</v>
      </c>
    </row>
    <row r="909" spans="2:8" ht="15" customHeight="1" x14ac:dyDescent="0.25">
      <c r="B909" t="s">
        <v>1007</v>
      </c>
      <c r="C909" s="2">
        <v>231119.74856804207</v>
      </c>
      <c r="D909" t="s">
        <v>29</v>
      </c>
      <c r="E909" t="s">
        <v>15</v>
      </c>
      <c r="F909" t="s">
        <v>15</v>
      </c>
      <c r="G909" t="s">
        <v>1443</v>
      </c>
      <c r="H909" t="s">
        <v>1447</v>
      </c>
    </row>
    <row r="910" spans="2:8" ht="15" customHeight="1" x14ac:dyDescent="0.25">
      <c r="B910" t="s">
        <v>1008</v>
      </c>
      <c r="C910" s="2">
        <v>76000</v>
      </c>
      <c r="D910" t="s">
        <v>3</v>
      </c>
      <c r="E910" t="s">
        <v>1</v>
      </c>
      <c r="F910" t="s">
        <v>1</v>
      </c>
      <c r="G910" t="s">
        <v>1440</v>
      </c>
      <c r="H910" t="s">
        <v>1447</v>
      </c>
    </row>
    <row r="911" spans="2:8" ht="15" customHeight="1" x14ac:dyDescent="0.25">
      <c r="B911" t="s">
        <v>1009</v>
      </c>
      <c r="C911" s="2">
        <v>15761.782720672842</v>
      </c>
      <c r="D911" t="s">
        <v>3</v>
      </c>
      <c r="E911" t="s">
        <v>15</v>
      </c>
      <c r="F911" t="s">
        <v>15</v>
      </c>
      <c r="G911" t="s">
        <v>1443</v>
      </c>
      <c r="H911" t="s">
        <v>1447</v>
      </c>
    </row>
    <row r="912" spans="2:8" ht="15" customHeight="1" x14ac:dyDescent="0.25">
      <c r="B912" t="s">
        <v>1010</v>
      </c>
      <c r="C912" s="2">
        <v>168285.09330643489</v>
      </c>
      <c r="D912" t="s">
        <v>29</v>
      </c>
      <c r="E912" t="s">
        <v>18</v>
      </c>
      <c r="F912" t="s">
        <v>18</v>
      </c>
      <c r="G912" t="s">
        <v>1443</v>
      </c>
      <c r="H912" t="s">
        <v>1446</v>
      </c>
    </row>
    <row r="913" spans="2:8" ht="15" customHeight="1" x14ac:dyDescent="0.25">
      <c r="B913" t="s">
        <v>1011</v>
      </c>
      <c r="C913" s="2">
        <v>50000</v>
      </c>
      <c r="D913" t="s">
        <v>3</v>
      </c>
      <c r="E913" t="s">
        <v>72</v>
      </c>
      <c r="F913" t="s">
        <v>1451</v>
      </c>
      <c r="G913" t="s">
        <v>1441</v>
      </c>
      <c r="H913" t="s">
        <v>1446</v>
      </c>
    </row>
    <row r="914" spans="2:8" ht="15" customHeight="1" x14ac:dyDescent="0.25">
      <c r="B914" t="s">
        <v>1012</v>
      </c>
      <c r="C914" s="2">
        <v>7200</v>
      </c>
      <c r="D914" t="s">
        <v>38</v>
      </c>
      <c r="E914" t="s">
        <v>27</v>
      </c>
      <c r="F914" t="s">
        <v>1454</v>
      </c>
      <c r="G914" t="s">
        <v>1441</v>
      </c>
      <c r="H914" t="s">
        <v>1447</v>
      </c>
    </row>
    <row r="915" spans="2:8" ht="15" customHeight="1" x14ac:dyDescent="0.25">
      <c r="B915" t="s">
        <v>1013</v>
      </c>
      <c r="C915" s="2">
        <v>53356.776437647524</v>
      </c>
      <c r="D915" t="s">
        <v>33</v>
      </c>
      <c r="E915" t="s">
        <v>4</v>
      </c>
      <c r="F915" t="s">
        <v>1453</v>
      </c>
      <c r="G915" t="s">
        <v>1440</v>
      </c>
      <c r="H915" t="s">
        <v>1447</v>
      </c>
    </row>
    <row r="916" spans="2:8" ht="15" customHeight="1" x14ac:dyDescent="0.25">
      <c r="B916" t="s">
        <v>1014</v>
      </c>
      <c r="C916" s="2">
        <v>45000</v>
      </c>
      <c r="D916" t="s">
        <v>14</v>
      </c>
      <c r="E916" t="s">
        <v>1</v>
      </c>
      <c r="F916" t="s">
        <v>1</v>
      </c>
      <c r="G916" t="s">
        <v>1443</v>
      </c>
      <c r="H916" t="s">
        <v>1447</v>
      </c>
    </row>
    <row r="917" spans="2:8" ht="15" customHeight="1" x14ac:dyDescent="0.25">
      <c r="B917" t="s">
        <v>1015</v>
      </c>
      <c r="C917" s="2">
        <v>5000</v>
      </c>
      <c r="D917" t="s">
        <v>11</v>
      </c>
      <c r="E917" t="s">
        <v>0</v>
      </c>
      <c r="F917" t="s">
        <v>0</v>
      </c>
      <c r="G917" t="s">
        <v>1440</v>
      </c>
      <c r="H917" t="s">
        <v>1445</v>
      </c>
    </row>
    <row r="918" spans="2:8" ht="15" customHeight="1" x14ac:dyDescent="0.25">
      <c r="B918" t="s">
        <v>1016</v>
      </c>
      <c r="C918" s="2">
        <v>75473.31457379504</v>
      </c>
      <c r="D918" t="s">
        <v>3</v>
      </c>
      <c r="E918" t="s">
        <v>18</v>
      </c>
      <c r="F918" t="s">
        <v>18</v>
      </c>
      <c r="G918" t="s">
        <v>1440</v>
      </c>
      <c r="H918" t="s">
        <v>1446</v>
      </c>
    </row>
    <row r="919" spans="2:8" ht="15" customHeight="1" x14ac:dyDescent="0.25">
      <c r="B919" t="s">
        <v>1017</v>
      </c>
      <c r="C919" s="2">
        <v>15000</v>
      </c>
      <c r="D919" t="s">
        <v>11</v>
      </c>
      <c r="E919" t="s">
        <v>16</v>
      </c>
      <c r="F919" t="s">
        <v>1451</v>
      </c>
      <c r="G919" t="s">
        <v>1443</v>
      </c>
      <c r="H919" t="s">
        <v>1445</v>
      </c>
    </row>
    <row r="920" spans="2:8" ht="15" customHeight="1" x14ac:dyDescent="0.25">
      <c r="B920" t="s">
        <v>1018</v>
      </c>
      <c r="C920" s="2">
        <v>42558.381206218859</v>
      </c>
      <c r="D920" t="s">
        <v>38</v>
      </c>
      <c r="E920" t="s">
        <v>4</v>
      </c>
      <c r="F920" t="s">
        <v>1453</v>
      </c>
      <c r="G920" t="s">
        <v>1440</v>
      </c>
      <c r="H920" t="s">
        <v>1447</v>
      </c>
    </row>
    <row r="921" spans="2:8" ht="15" customHeight="1" x14ac:dyDescent="0.25">
      <c r="B921" t="s">
        <v>1019</v>
      </c>
      <c r="C921" s="2">
        <v>61000</v>
      </c>
      <c r="D921" t="s">
        <v>3</v>
      </c>
      <c r="E921" t="s">
        <v>1</v>
      </c>
      <c r="F921" t="s">
        <v>1</v>
      </c>
      <c r="G921" t="s">
        <v>1441</v>
      </c>
      <c r="H921" t="s">
        <v>1445</v>
      </c>
    </row>
    <row r="922" spans="2:8" ht="15" customHeight="1" x14ac:dyDescent="0.25">
      <c r="B922" t="s">
        <v>1020</v>
      </c>
      <c r="C922" s="2">
        <v>66000</v>
      </c>
      <c r="D922" t="s">
        <v>3</v>
      </c>
      <c r="E922" t="s">
        <v>1</v>
      </c>
      <c r="F922" t="s">
        <v>1</v>
      </c>
      <c r="G922" t="s">
        <v>1441</v>
      </c>
      <c r="H922" t="s">
        <v>1445</v>
      </c>
    </row>
    <row r="923" spans="2:8" ht="15" customHeight="1" x14ac:dyDescent="0.25">
      <c r="B923" t="s">
        <v>1021</v>
      </c>
      <c r="C923" s="2">
        <v>4950.6008391090336</v>
      </c>
      <c r="D923" t="s">
        <v>1437</v>
      </c>
      <c r="E923" t="s">
        <v>0</v>
      </c>
      <c r="F923" t="s">
        <v>0</v>
      </c>
      <c r="G923" t="s">
        <v>1440</v>
      </c>
      <c r="H923" t="s">
        <v>1447</v>
      </c>
    </row>
    <row r="924" spans="2:8" ht="15" customHeight="1" x14ac:dyDescent="0.25">
      <c r="B924" t="s">
        <v>1022</v>
      </c>
      <c r="C924" s="2">
        <v>55000</v>
      </c>
      <c r="D924" t="s">
        <v>11</v>
      </c>
      <c r="E924" t="s">
        <v>1</v>
      </c>
      <c r="F924" t="s">
        <v>1</v>
      </c>
      <c r="G924" t="s">
        <v>1443</v>
      </c>
      <c r="H924" t="s">
        <v>1446</v>
      </c>
    </row>
    <row r="925" spans="2:8" ht="15" customHeight="1" x14ac:dyDescent="0.25">
      <c r="B925" t="s">
        <v>1023</v>
      </c>
      <c r="C925" s="2">
        <v>32000</v>
      </c>
      <c r="D925" t="s">
        <v>1437</v>
      </c>
      <c r="E925" t="s">
        <v>1</v>
      </c>
      <c r="F925" t="s">
        <v>1</v>
      </c>
      <c r="G925" t="s">
        <v>1441</v>
      </c>
      <c r="H925" t="s">
        <v>1447</v>
      </c>
    </row>
    <row r="926" spans="2:8" ht="15" customHeight="1" x14ac:dyDescent="0.25">
      <c r="B926" t="s">
        <v>1024</v>
      </c>
      <c r="C926" s="2">
        <v>18000</v>
      </c>
      <c r="D926" t="s">
        <v>3</v>
      </c>
      <c r="E926" t="s">
        <v>0</v>
      </c>
      <c r="F926" t="s">
        <v>0</v>
      </c>
      <c r="G926" t="s">
        <v>1440</v>
      </c>
      <c r="H926" t="s">
        <v>1447</v>
      </c>
    </row>
    <row r="927" spans="2:8" ht="15" customHeight="1" x14ac:dyDescent="0.25">
      <c r="B927" t="s">
        <v>1025</v>
      </c>
      <c r="C927" s="2">
        <v>11575.14584683767</v>
      </c>
      <c r="D927" t="s">
        <v>3</v>
      </c>
      <c r="E927" t="s">
        <v>0</v>
      </c>
      <c r="F927" t="s">
        <v>0</v>
      </c>
      <c r="G927" t="s">
        <v>1441</v>
      </c>
      <c r="H927" t="s">
        <v>1448</v>
      </c>
    </row>
    <row r="928" spans="2:8" ht="15" customHeight="1" x14ac:dyDescent="0.25">
      <c r="B928" t="s">
        <v>1026</v>
      </c>
      <c r="C928" s="2">
        <v>63519.971949580387</v>
      </c>
      <c r="D928" t="s">
        <v>31</v>
      </c>
      <c r="E928" t="s">
        <v>56</v>
      </c>
      <c r="F928" t="s">
        <v>1453</v>
      </c>
      <c r="G928" t="s">
        <v>1440</v>
      </c>
      <c r="H928" t="s">
        <v>1446</v>
      </c>
    </row>
    <row r="929" spans="2:8" ht="15" customHeight="1" x14ac:dyDescent="0.25">
      <c r="B929" t="s">
        <v>1027</v>
      </c>
      <c r="C929" s="2">
        <v>71231.666749770273</v>
      </c>
      <c r="D929" t="s">
        <v>14</v>
      </c>
      <c r="E929" t="s">
        <v>0</v>
      </c>
      <c r="F929" t="s">
        <v>0</v>
      </c>
      <c r="G929" t="s">
        <v>1440</v>
      </c>
      <c r="H929" t="s">
        <v>1445</v>
      </c>
    </row>
    <row r="930" spans="2:8" ht="15" customHeight="1" x14ac:dyDescent="0.25">
      <c r="B930" t="s">
        <v>1028</v>
      </c>
      <c r="C930" s="2">
        <v>10000</v>
      </c>
      <c r="D930" t="s">
        <v>3</v>
      </c>
      <c r="E930" t="s">
        <v>22</v>
      </c>
      <c r="F930" t="s">
        <v>1451</v>
      </c>
      <c r="G930" t="s">
        <v>1441</v>
      </c>
      <c r="H930" t="s">
        <v>1445</v>
      </c>
    </row>
    <row r="931" spans="2:8" ht="15" customHeight="1" x14ac:dyDescent="0.25">
      <c r="B931" t="s">
        <v>1029</v>
      </c>
      <c r="C931" s="2">
        <v>74300</v>
      </c>
      <c r="D931" t="s">
        <v>3</v>
      </c>
      <c r="E931" t="s">
        <v>1</v>
      </c>
      <c r="F931" t="s">
        <v>1</v>
      </c>
      <c r="G931" t="s">
        <v>1441</v>
      </c>
      <c r="H931" t="s">
        <v>1445</v>
      </c>
    </row>
    <row r="932" spans="2:8" ht="15" customHeight="1" x14ac:dyDescent="0.25">
      <c r="B932" t="s">
        <v>1030</v>
      </c>
      <c r="C932" s="2">
        <v>26711.875031163851</v>
      </c>
      <c r="D932" t="s">
        <v>33</v>
      </c>
      <c r="E932" t="s">
        <v>0</v>
      </c>
      <c r="F932" t="s">
        <v>0</v>
      </c>
      <c r="G932" t="s">
        <v>1441</v>
      </c>
      <c r="H932" t="s">
        <v>1447</v>
      </c>
    </row>
    <row r="933" spans="2:8" ht="15" customHeight="1" x14ac:dyDescent="0.25">
      <c r="B933" t="s">
        <v>1031</v>
      </c>
      <c r="C933" s="2">
        <v>9545.0433444692171</v>
      </c>
      <c r="D933" t="s">
        <v>11</v>
      </c>
      <c r="E933" t="s">
        <v>0</v>
      </c>
      <c r="F933" t="s">
        <v>0</v>
      </c>
      <c r="G933" t="s">
        <v>1441</v>
      </c>
      <c r="H933" t="s">
        <v>1445</v>
      </c>
    </row>
    <row r="934" spans="2:8" ht="15" customHeight="1" x14ac:dyDescent="0.25">
      <c r="B934" t="s">
        <v>1032</v>
      </c>
      <c r="C934" s="2">
        <v>95000</v>
      </c>
      <c r="D934" t="s">
        <v>3</v>
      </c>
      <c r="E934" t="s">
        <v>1</v>
      </c>
      <c r="F934" t="s">
        <v>1</v>
      </c>
      <c r="G934" t="s">
        <v>1441</v>
      </c>
      <c r="H934" t="s">
        <v>1446</v>
      </c>
    </row>
    <row r="935" spans="2:8" ht="15" customHeight="1" x14ac:dyDescent="0.25">
      <c r="B935" t="s">
        <v>1033</v>
      </c>
      <c r="C935" s="2">
        <v>64300</v>
      </c>
      <c r="D935" t="s">
        <v>31</v>
      </c>
      <c r="E935" t="s">
        <v>1</v>
      </c>
      <c r="F935" t="s">
        <v>1</v>
      </c>
      <c r="G935" t="s">
        <v>1441</v>
      </c>
      <c r="H935" t="s">
        <v>1446</v>
      </c>
    </row>
    <row r="936" spans="2:8" ht="15" customHeight="1" x14ac:dyDescent="0.25">
      <c r="B936" t="s">
        <v>1034</v>
      </c>
      <c r="C936" s="2">
        <v>250000</v>
      </c>
      <c r="D936" t="s">
        <v>33</v>
      </c>
      <c r="E936" t="s">
        <v>1</v>
      </c>
      <c r="F936" t="s">
        <v>1</v>
      </c>
      <c r="G936" t="s">
        <v>1440</v>
      </c>
      <c r="H936" t="s">
        <v>1446</v>
      </c>
    </row>
    <row r="937" spans="2:8" ht="15" customHeight="1" x14ac:dyDescent="0.25">
      <c r="B937" t="s">
        <v>1035</v>
      </c>
      <c r="C937" s="2">
        <v>89000</v>
      </c>
      <c r="D937" t="s">
        <v>11</v>
      </c>
      <c r="E937" t="s">
        <v>1</v>
      </c>
      <c r="F937" t="s">
        <v>1</v>
      </c>
      <c r="G937" t="s">
        <v>1443</v>
      </c>
      <c r="H937" t="s">
        <v>1447</v>
      </c>
    </row>
    <row r="938" spans="2:8" ht="15" customHeight="1" x14ac:dyDescent="0.25">
      <c r="B938" t="s">
        <v>1036</v>
      </c>
      <c r="C938" s="2">
        <v>75000</v>
      </c>
      <c r="D938" t="s">
        <v>3</v>
      </c>
      <c r="E938" t="s">
        <v>1</v>
      </c>
      <c r="F938" t="s">
        <v>1</v>
      </c>
      <c r="G938" t="s">
        <v>1440</v>
      </c>
      <c r="H938" t="s">
        <v>1445</v>
      </c>
    </row>
    <row r="939" spans="2:8" ht="15" customHeight="1" x14ac:dyDescent="0.25">
      <c r="B939" t="s">
        <v>1037</v>
      </c>
      <c r="C939" s="2">
        <v>45000</v>
      </c>
      <c r="D939" t="s">
        <v>3</v>
      </c>
      <c r="E939" t="s">
        <v>1</v>
      </c>
      <c r="F939" t="s">
        <v>1</v>
      </c>
      <c r="G939" t="s">
        <v>1440</v>
      </c>
      <c r="H939" t="s">
        <v>1445</v>
      </c>
    </row>
    <row r="940" spans="2:8" ht="15" customHeight="1" x14ac:dyDescent="0.25">
      <c r="B940" t="s">
        <v>1038</v>
      </c>
      <c r="C940" s="2">
        <v>127500</v>
      </c>
      <c r="D940" t="s">
        <v>1439</v>
      </c>
      <c r="E940" t="s">
        <v>1</v>
      </c>
      <c r="F940" t="s">
        <v>1</v>
      </c>
      <c r="G940" t="s">
        <v>1440</v>
      </c>
      <c r="H940" t="s">
        <v>1448</v>
      </c>
    </row>
    <row r="941" spans="2:8" ht="15" customHeight="1" x14ac:dyDescent="0.25">
      <c r="B941" t="s">
        <v>1039</v>
      </c>
      <c r="C941" s="2">
        <v>170000</v>
      </c>
      <c r="D941" t="s">
        <v>1439</v>
      </c>
      <c r="E941" t="s">
        <v>1</v>
      </c>
      <c r="F941" t="s">
        <v>1</v>
      </c>
      <c r="G941" t="s">
        <v>1443</v>
      </c>
      <c r="H941" t="s">
        <v>1446</v>
      </c>
    </row>
    <row r="942" spans="2:8" ht="15" customHeight="1" x14ac:dyDescent="0.25">
      <c r="B942" t="s">
        <v>1040</v>
      </c>
      <c r="C942" s="2">
        <v>9600</v>
      </c>
      <c r="D942" t="s">
        <v>3</v>
      </c>
      <c r="E942" t="s">
        <v>84</v>
      </c>
      <c r="F942" t="s">
        <v>1451</v>
      </c>
      <c r="G942" t="s">
        <v>1440</v>
      </c>
      <c r="H942" t="s">
        <v>1445</v>
      </c>
    </row>
    <row r="943" spans="2:8" ht="15" customHeight="1" x14ac:dyDescent="0.25">
      <c r="B943" t="s">
        <v>1041</v>
      </c>
      <c r="C943" s="2">
        <v>62000</v>
      </c>
      <c r="D943" t="s">
        <v>3</v>
      </c>
      <c r="E943" t="s">
        <v>1</v>
      </c>
      <c r="F943" t="s">
        <v>1</v>
      </c>
      <c r="G943" t="s">
        <v>1440</v>
      </c>
      <c r="H943" t="s">
        <v>1448</v>
      </c>
    </row>
    <row r="944" spans="2:8" ht="15" customHeight="1" x14ac:dyDescent="0.25">
      <c r="B944" t="s">
        <v>1042</v>
      </c>
      <c r="C944" s="2">
        <v>22000</v>
      </c>
      <c r="D944" t="s">
        <v>11</v>
      </c>
      <c r="E944" t="s">
        <v>1</v>
      </c>
      <c r="F944" t="s">
        <v>1</v>
      </c>
      <c r="G944" t="s">
        <v>1441</v>
      </c>
      <c r="H944" t="s">
        <v>1445</v>
      </c>
    </row>
    <row r="945" spans="2:8" ht="15" customHeight="1" x14ac:dyDescent="0.25">
      <c r="B945" t="s">
        <v>1043</v>
      </c>
      <c r="C945" s="2">
        <v>45000</v>
      </c>
      <c r="D945" t="s">
        <v>3</v>
      </c>
      <c r="E945" t="s">
        <v>1</v>
      </c>
      <c r="F945" t="s">
        <v>1</v>
      </c>
      <c r="G945" t="s">
        <v>1441</v>
      </c>
      <c r="H945" t="s">
        <v>1447</v>
      </c>
    </row>
    <row r="946" spans="2:8" ht="15" customHeight="1" x14ac:dyDescent="0.25">
      <c r="B946" t="s">
        <v>1044</v>
      </c>
      <c r="C946" s="2">
        <v>145000</v>
      </c>
      <c r="D946" t="s">
        <v>3</v>
      </c>
      <c r="E946" t="s">
        <v>1</v>
      </c>
      <c r="F946" t="s">
        <v>1</v>
      </c>
      <c r="G946" t="s">
        <v>1441</v>
      </c>
      <c r="H946" t="s">
        <v>1447</v>
      </c>
    </row>
    <row r="947" spans="2:8" ht="15" customHeight="1" x14ac:dyDescent="0.25">
      <c r="B947" t="s">
        <v>1045</v>
      </c>
      <c r="C947" s="2">
        <v>89000</v>
      </c>
      <c r="D947" t="s">
        <v>3</v>
      </c>
      <c r="E947" t="s">
        <v>1</v>
      </c>
      <c r="F947" t="s">
        <v>1</v>
      </c>
      <c r="G947" t="s">
        <v>1440</v>
      </c>
      <c r="H947" t="s">
        <v>1446</v>
      </c>
    </row>
    <row r="948" spans="2:8" ht="15" customHeight="1" x14ac:dyDescent="0.25">
      <c r="B948" t="s">
        <v>1046</v>
      </c>
      <c r="C948" s="2">
        <v>38000</v>
      </c>
      <c r="D948" t="s">
        <v>31</v>
      </c>
      <c r="E948" t="s">
        <v>1</v>
      </c>
      <c r="F948" t="s">
        <v>1</v>
      </c>
      <c r="G948" t="s">
        <v>1441</v>
      </c>
      <c r="H948" t="s">
        <v>1446</v>
      </c>
    </row>
    <row r="949" spans="2:8" ht="15" customHeight="1" x14ac:dyDescent="0.25">
      <c r="B949" t="s">
        <v>1047</v>
      </c>
      <c r="C949" s="2">
        <v>49168.076151516347</v>
      </c>
      <c r="D949" t="s">
        <v>3</v>
      </c>
      <c r="E949" t="s">
        <v>19</v>
      </c>
      <c r="F949" t="s">
        <v>19</v>
      </c>
      <c r="G949" t="s">
        <v>1441</v>
      </c>
      <c r="H949" t="s">
        <v>1445</v>
      </c>
    </row>
    <row r="950" spans="2:8" ht="15" customHeight="1" x14ac:dyDescent="0.25">
      <c r="B950" t="s">
        <v>1048</v>
      </c>
      <c r="C950" s="2">
        <v>8903.9583437212841</v>
      </c>
      <c r="D950" t="s">
        <v>3</v>
      </c>
      <c r="E950" t="s">
        <v>0</v>
      </c>
      <c r="F950" t="s">
        <v>0</v>
      </c>
      <c r="G950" t="s">
        <v>1441</v>
      </c>
      <c r="H950" t="s">
        <v>1447</v>
      </c>
    </row>
    <row r="951" spans="2:8" ht="15" customHeight="1" x14ac:dyDescent="0.25">
      <c r="B951" t="s">
        <v>1049</v>
      </c>
      <c r="C951" s="2">
        <v>10000</v>
      </c>
      <c r="D951" t="s">
        <v>11</v>
      </c>
      <c r="E951" t="s">
        <v>85</v>
      </c>
      <c r="F951" t="s">
        <v>1454</v>
      </c>
      <c r="G951" t="s">
        <v>1443</v>
      </c>
      <c r="H951" t="s">
        <v>1447</v>
      </c>
    </row>
    <row r="952" spans="2:8" ht="15" customHeight="1" x14ac:dyDescent="0.25">
      <c r="B952" t="s">
        <v>1050</v>
      </c>
      <c r="C952" s="2">
        <v>105000</v>
      </c>
      <c r="D952" t="s">
        <v>11</v>
      </c>
      <c r="E952" t="s">
        <v>1</v>
      </c>
      <c r="F952" t="s">
        <v>1</v>
      </c>
      <c r="G952" t="s">
        <v>1442</v>
      </c>
      <c r="H952" t="s">
        <v>1448</v>
      </c>
    </row>
    <row r="953" spans="2:8" ht="15" customHeight="1" x14ac:dyDescent="0.25">
      <c r="B953" t="s">
        <v>1051</v>
      </c>
      <c r="C953" s="2">
        <v>12000</v>
      </c>
      <c r="D953" t="s">
        <v>3</v>
      </c>
      <c r="E953" t="s">
        <v>86</v>
      </c>
      <c r="F953" t="s">
        <v>1451</v>
      </c>
      <c r="G953" t="s">
        <v>1443</v>
      </c>
      <c r="H953" t="s">
        <v>1445</v>
      </c>
    </row>
    <row r="954" spans="2:8" ht="15" customHeight="1" x14ac:dyDescent="0.25">
      <c r="B954" t="s">
        <v>1052</v>
      </c>
      <c r="C954" s="2">
        <v>3561.5833374885137</v>
      </c>
      <c r="D954" t="s">
        <v>31</v>
      </c>
      <c r="E954" t="s">
        <v>0</v>
      </c>
      <c r="F954" t="s">
        <v>0</v>
      </c>
      <c r="G954" t="s">
        <v>1440</v>
      </c>
      <c r="H954" t="s">
        <v>1445</v>
      </c>
    </row>
    <row r="955" spans="2:8" ht="15" customHeight="1" x14ac:dyDescent="0.25">
      <c r="B955" t="s">
        <v>1053</v>
      </c>
      <c r="C955" s="2">
        <v>86692.320794224041</v>
      </c>
      <c r="D955" t="s">
        <v>3</v>
      </c>
      <c r="E955" t="s">
        <v>18</v>
      </c>
      <c r="F955" t="s">
        <v>18</v>
      </c>
      <c r="G955" t="s">
        <v>1442</v>
      </c>
      <c r="H955" t="s">
        <v>1445</v>
      </c>
    </row>
    <row r="956" spans="2:8" ht="15" customHeight="1" x14ac:dyDescent="0.25">
      <c r="B956" t="s">
        <v>1054</v>
      </c>
      <c r="C956" s="2">
        <v>8000</v>
      </c>
      <c r="D956" t="s">
        <v>1439</v>
      </c>
      <c r="E956" t="s">
        <v>0</v>
      </c>
      <c r="F956" t="s">
        <v>0</v>
      </c>
      <c r="G956" t="s">
        <v>1441</v>
      </c>
      <c r="H956" t="s">
        <v>1446</v>
      </c>
    </row>
    <row r="957" spans="2:8" ht="15" customHeight="1" x14ac:dyDescent="0.25">
      <c r="B957" t="s">
        <v>1055</v>
      </c>
      <c r="C957" s="2">
        <v>6767.0083412281756</v>
      </c>
      <c r="D957" t="s">
        <v>3</v>
      </c>
      <c r="E957" t="s">
        <v>0</v>
      </c>
      <c r="F957" t="s">
        <v>0</v>
      </c>
      <c r="G957" t="s">
        <v>1443</v>
      </c>
      <c r="H957" t="s">
        <v>1447</v>
      </c>
    </row>
    <row r="958" spans="2:8" ht="15" customHeight="1" x14ac:dyDescent="0.25">
      <c r="B958" t="s">
        <v>1056</v>
      </c>
      <c r="C958" s="2">
        <v>48073.437298052166</v>
      </c>
      <c r="D958" t="s">
        <v>33</v>
      </c>
      <c r="E958" t="s">
        <v>15</v>
      </c>
      <c r="F958" t="s">
        <v>15</v>
      </c>
      <c r="G958" t="s">
        <v>1441</v>
      </c>
      <c r="H958" t="s">
        <v>1446</v>
      </c>
    </row>
    <row r="959" spans="2:8" ht="15" customHeight="1" x14ac:dyDescent="0.25">
      <c r="B959" t="s">
        <v>1057</v>
      </c>
      <c r="C959" s="2">
        <v>76223.966339496474</v>
      </c>
      <c r="D959" t="s">
        <v>11</v>
      </c>
      <c r="E959" t="s">
        <v>43</v>
      </c>
      <c r="F959" t="s">
        <v>1453</v>
      </c>
      <c r="G959" t="s">
        <v>1443</v>
      </c>
      <c r="H959" t="s">
        <v>1446</v>
      </c>
    </row>
    <row r="960" spans="2:8" ht="15" customHeight="1" x14ac:dyDescent="0.25">
      <c r="B960" t="s">
        <v>1058</v>
      </c>
      <c r="C960" s="2">
        <v>85333.333333333328</v>
      </c>
      <c r="D960" t="s">
        <v>11</v>
      </c>
      <c r="E960" t="s">
        <v>21</v>
      </c>
      <c r="F960" t="s">
        <v>1451</v>
      </c>
      <c r="G960" t="s">
        <v>1443</v>
      </c>
      <c r="H960" t="s">
        <v>1446</v>
      </c>
    </row>
    <row r="961" spans="2:8" ht="15" customHeight="1" x14ac:dyDescent="0.25">
      <c r="B961" t="s">
        <v>1059</v>
      </c>
      <c r="C961" s="2">
        <v>76223.981237173866</v>
      </c>
      <c r="D961" t="s">
        <v>11</v>
      </c>
      <c r="E961" t="s">
        <v>15</v>
      </c>
      <c r="F961" t="s">
        <v>15</v>
      </c>
      <c r="G961" t="s">
        <v>1440</v>
      </c>
      <c r="H961" t="s">
        <v>1447</v>
      </c>
    </row>
    <row r="962" spans="2:8" ht="15" customHeight="1" x14ac:dyDescent="0.25">
      <c r="B962" t="s">
        <v>1060</v>
      </c>
      <c r="C962" s="2">
        <v>30000</v>
      </c>
      <c r="D962" t="s">
        <v>11</v>
      </c>
      <c r="E962" t="s">
        <v>2</v>
      </c>
      <c r="F962" t="s">
        <v>2</v>
      </c>
      <c r="G962" t="s">
        <v>1441</v>
      </c>
      <c r="H962" t="s">
        <v>1445</v>
      </c>
    </row>
    <row r="963" spans="2:8" ht="15" customHeight="1" x14ac:dyDescent="0.25">
      <c r="B963" t="s">
        <v>1061</v>
      </c>
      <c r="C963" s="2">
        <v>34000</v>
      </c>
      <c r="D963" t="s">
        <v>3</v>
      </c>
      <c r="E963" t="s">
        <v>0</v>
      </c>
      <c r="F963" t="s">
        <v>0</v>
      </c>
      <c r="G963" t="s">
        <v>1440</v>
      </c>
      <c r="H963" t="s">
        <v>1445</v>
      </c>
    </row>
    <row r="964" spans="2:8" ht="15" customHeight="1" x14ac:dyDescent="0.25">
      <c r="B964" t="s">
        <v>1062</v>
      </c>
      <c r="C964" s="2">
        <v>3205.4250037396623</v>
      </c>
      <c r="D964" t="s">
        <v>11</v>
      </c>
      <c r="E964" t="s">
        <v>0</v>
      </c>
      <c r="F964" t="s">
        <v>0</v>
      </c>
      <c r="G964" t="s">
        <v>1441</v>
      </c>
      <c r="H964" t="s">
        <v>1445</v>
      </c>
    </row>
    <row r="965" spans="2:8" ht="15" customHeight="1" x14ac:dyDescent="0.25">
      <c r="B965" t="s">
        <v>1063</v>
      </c>
      <c r="C965" s="2">
        <v>45000</v>
      </c>
      <c r="D965" t="s">
        <v>11</v>
      </c>
      <c r="E965" t="s">
        <v>4</v>
      </c>
      <c r="F965" t="s">
        <v>1453</v>
      </c>
      <c r="G965" t="s">
        <v>1443</v>
      </c>
      <c r="H965" t="s">
        <v>1445</v>
      </c>
    </row>
    <row r="966" spans="2:8" ht="15" customHeight="1" x14ac:dyDescent="0.25">
      <c r="B966" t="s">
        <v>1064</v>
      </c>
      <c r="C966" s="2">
        <v>24864</v>
      </c>
      <c r="D966" t="s">
        <v>11</v>
      </c>
      <c r="E966" t="s">
        <v>87</v>
      </c>
      <c r="F966" t="s">
        <v>1451</v>
      </c>
      <c r="G966" t="s">
        <v>1440</v>
      </c>
      <c r="H966" t="s">
        <v>1447</v>
      </c>
    </row>
    <row r="967" spans="2:8" ht="15" customHeight="1" x14ac:dyDescent="0.25">
      <c r="B967" t="s">
        <v>1065</v>
      </c>
      <c r="C967" s="2">
        <v>47285.348162018527</v>
      </c>
      <c r="D967" t="s">
        <v>3</v>
      </c>
      <c r="E967" t="s">
        <v>15</v>
      </c>
      <c r="F967" t="s">
        <v>15</v>
      </c>
      <c r="G967" t="s">
        <v>1441</v>
      </c>
      <c r="H967" t="s">
        <v>1447</v>
      </c>
    </row>
    <row r="968" spans="2:8" ht="15" customHeight="1" x14ac:dyDescent="0.25">
      <c r="B968" t="s">
        <v>1066</v>
      </c>
      <c r="C968" s="2">
        <v>17807.916687442568</v>
      </c>
      <c r="D968" t="s">
        <v>3</v>
      </c>
      <c r="E968" t="s">
        <v>0</v>
      </c>
      <c r="F968" t="s">
        <v>0</v>
      </c>
      <c r="G968" t="s">
        <v>1440</v>
      </c>
      <c r="H968" t="s">
        <v>1447</v>
      </c>
    </row>
    <row r="969" spans="2:8" ht="15" customHeight="1" x14ac:dyDescent="0.25">
      <c r="B969" t="s">
        <v>1067</v>
      </c>
      <c r="C969" s="2">
        <v>55166.239522354947</v>
      </c>
      <c r="D969" t="s">
        <v>3</v>
      </c>
      <c r="E969" t="s">
        <v>15</v>
      </c>
      <c r="F969" t="s">
        <v>15</v>
      </c>
      <c r="G969" t="s">
        <v>1441</v>
      </c>
      <c r="H969" t="s">
        <v>1445</v>
      </c>
    </row>
    <row r="970" spans="2:8" ht="15" customHeight="1" x14ac:dyDescent="0.25">
      <c r="B970" t="s">
        <v>1068</v>
      </c>
      <c r="C970" s="2">
        <v>69871.969144538423</v>
      </c>
      <c r="D970" t="s">
        <v>11</v>
      </c>
      <c r="E970" t="s">
        <v>43</v>
      </c>
      <c r="F970" t="s">
        <v>1453</v>
      </c>
      <c r="G970" t="s">
        <v>1442</v>
      </c>
      <c r="H970" t="s">
        <v>1445</v>
      </c>
    </row>
    <row r="971" spans="2:8" ht="15" customHeight="1" x14ac:dyDescent="0.25">
      <c r="B971" t="s">
        <v>1069</v>
      </c>
      <c r="C971" s="2">
        <v>70970</v>
      </c>
      <c r="D971" t="s">
        <v>3</v>
      </c>
      <c r="E971" t="s">
        <v>1</v>
      </c>
      <c r="F971" t="s">
        <v>1</v>
      </c>
      <c r="G971" t="s">
        <v>1441</v>
      </c>
      <c r="H971" t="s">
        <v>1446</v>
      </c>
    </row>
    <row r="972" spans="2:8" ht="15" customHeight="1" x14ac:dyDescent="0.25">
      <c r="B972" t="s">
        <v>1070</v>
      </c>
      <c r="C972" s="2">
        <v>76223.966339496474</v>
      </c>
      <c r="D972" t="s">
        <v>29</v>
      </c>
      <c r="E972" t="s">
        <v>43</v>
      </c>
      <c r="F972" t="s">
        <v>1453</v>
      </c>
      <c r="G972" t="s">
        <v>1441</v>
      </c>
      <c r="H972" t="s">
        <v>1447</v>
      </c>
    </row>
    <row r="973" spans="2:8" ht="15" customHeight="1" x14ac:dyDescent="0.25">
      <c r="B973" t="s">
        <v>1071</v>
      </c>
      <c r="C973" s="2">
        <v>110000</v>
      </c>
      <c r="D973" t="s">
        <v>38</v>
      </c>
      <c r="E973" t="s">
        <v>41</v>
      </c>
      <c r="F973" t="s">
        <v>1453</v>
      </c>
      <c r="G973" t="s">
        <v>1440</v>
      </c>
      <c r="H973" t="s">
        <v>1445</v>
      </c>
    </row>
    <row r="974" spans="2:8" ht="15" customHeight="1" x14ac:dyDescent="0.25">
      <c r="B974" t="s">
        <v>1072</v>
      </c>
      <c r="C974" s="2">
        <v>14400</v>
      </c>
      <c r="D974" t="s">
        <v>3</v>
      </c>
      <c r="E974" t="s">
        <v>88</v>
      </c>
      <c r="F974" t="s">
        <v>1451</v>
      </c>
      <c r="G974" t="s">
        <v>1440</v>
      </c>
      <c r="H974" t="s">
        <v>1446</v>
      </c>
    </row>
    <row r="975" spans="2:8" ht="15" customHeight="1" x14ac:dyDescent="0.25">
      <c r="B975" t="s">
        <v>1073</v>
      </c>
      <c r="C975" s="2">
        <v>125000</v>
      </c>
      <c r="D975" t="s">
        <v>33</v>
      </c>
      <c r="E975" t="s">
        <v>1</v>
      </c>
      <c r="F975" t="s">
        <v>1</v>
      </c>
      <c r="G975" t="s">
        <v>1440</v>
      </c>
      <c r="H975" t="s">
        <v>1447</v>
      </c>
    </row>
    <row r="976" spans="2:8" ht="15" customHeight="1" x14ac:dyDescent="0.25">
      <c r="B976" t="s">
        <v>1074</v>
      </c>
      <c r="C976" s="2">
        <v>72768.752704244194</v>
      </c>
      <c r="D976" t="s">
        <v>3</v>
      </c>
      <c r="E976" t="s">
        <v>19</v>
      </c>
      <c r="F976" t="s">
        <v>19</v>
      </c>
      <c r="G976" t="s">
        <v>1441</v>
      </c>
      <c r="H976" t="s">
        <v>1447</v>
      </c>
    </row>
    <row r="977" spans="2:8" ht="15" customHeight="1" x14ac:dyDescent="0.25">
      <c r="B977" t="s">
        <v>1075</v>
      </c>
      <c r="C977" s="2">
        <v>59000</v>
      </c>
      <c r="D977" t="s">
        <v>11</v>
      </c>
      <c r="E977" t="s">
        <v>1</v>
      </c>
      <c r="F977" t="s">
        <v>1</v>
      </c>
      <c r="G977" t="s">
        <v>1441</v>
      </c>
      <c r="H977" t="s">
        <v>1446</v>
      </c>
    </row>
    <row r="978" spans="2:8" ht="15" customHeight="1" x14ac:dyDescent="0.25">
      <c r="B978" t="s">
        <v>1076</v>
      </c>
      <c r="C978" s="2">
        <v>71500</v>
      </c>
      <c r="D978" t="s">
        <v>3</v>
      </c>
      <c r="E978" t="s">
        <v>1</v>
      </c>
      <c r="F978" t="s">
        <v>1</v>
      </c>
      <c r="G978" t="s">
        <v>1441</v>
      </c>
      <c r="H978" t="s">
        <v>1445</v>
      </c>
    </row>
    <row r="979" spans="2:8" ht="15" customHeight="1" x14ac:dyDescent="0.25">
      <c r="B979" t="s">
        <v>1077</v>
      </c>
      <c r="C979" s="2">
        <v>39404.456801682099</v>
      </c>
      <c r="D979" t="s">
        <v>1437</v>
      </c>
      <c r="E979" t="s">
        <v>15</v>
      </c>
      <c r="F979" t="s">
        <v>15</v>
      </c>
      <c r="G979" t="s">
        <v>1441</v>
      </c>
      <c r="H979" t="s">
        <v>1445</v>
      </c>
    </row>
    <row r="980" spans="2:8" ht="15" customHeight="1" x14ac:dyDescent="0.25">
      <c r="B980" t="s">
        <v>1078</v>
      </c>
      <c r="C980" s="2">
        <v>88927.960729412545</v>
      </c>
      <c r="D980" t="s">
        <v>14</v>
      </c>
      <c r="E980" t="s">
        <v>4</v>
      </c>
      <c r="F980" t="s">
        <v>1453</v>
      </c>
      <c r="G980" t="s">
        <v>1442</v>
      </c>
      <c r="H980" t="s">
        <v>1445</v>
      </c>
    </row>
    <row r="981" spans="2:8" ht="15" customHeight="1" x14ac:dyDescent="0.25">
      <c r="B981" t="s">
        <v>1079</v>
      </c>
      <c r="C981" s="2">
        <v>90000</v>
      </c>
      <c r="D981" t="s">
        <v>11</v>
      </c>
      <c r="E981" t="s">
        <v>1</v>
      </c>
      <c r="F981" t="s">
        <v>1</v>
      </c>
      <c r="G981" t="s">
        <v>1441</v>
      </c>
      <c r="H981" t="s">
        <v>1448</v>
      </c>
    </row>
    <row r="982" spans="2:8" ht="15" customHeight="1" x14ac:dyDescent="0.25">
      <c r="B982" t="s">
        <v>1080</v>
      </c>
      <c r="C982" s="2">
        <v>12465.541681209797</v>
      </c>
      <c r="D982" t="s">
        <v>11</v>
      </c>
      <c r="E982" t="s">
        <v>0</v>
      </c>
      <c r="F982" t="s">
        <v>0</v>
      </c>
      <c r="G982" t="s">
        <v>1440</v>
      </c>
      <c r="H982" t="s">
        <v>1448</v>
      </c>
    </row>
    <row r="983" spans="2:8" ht="15" customHeight="1" x14ac:dyDescent="0.25">
      <c r="B983" t="s">
        <v>1081</v>
      </c>
      <c r="C983" s="2">
        <v>40000</v>
      </c>
      <c r="D983" t="s">
        <v>3</v>
      </c>
      <c r="E983" t="s">
        <v>1</v>
      </c>
      <c r="F983" t="s">
        <v>1</v>
      </c>
      <c r="G983" t="s">
        <v>1441</v>
      </c>
      <c r="H983" t="s">
        <v>1447</v>
      </c>
    </row>
    <row r="984" spans="2:8" ht="15" customHeight="1" x14ac:dyDescent="0.25">
      <c r="B984" t="s">
        <v>1082</v>
      </c>
      <c r="C984" s="2">
        <v>30000</v>
      </c>
      <c r="D984" t="s">
        <v>3</v>
      </c>
      <c r="E984" t="s">
        <v>0</v>
      </c>
      <c r="F984" t="s">
        <v>0</v>
      </c>
      <c r="G984" t="s">
        <v>1440</v>
      </c>
      <c r="H984" t="s">
        <v>1445</v>
      </c>
    </row>
    <row r="985" spans="2:8" ht="15" customHeight="1" x14ac:dyDescent="0.25">
      <c r="B985" t="s">
        <v>1083</v>
      </c>
      <c r="C985" s="2">
        <v>46325</v>
      </c>
      <c r="D985" t="s">
        <v>38</v>
      </c>
      <c r="E985" t="s">
        <v>1</v>
      </c>
      <c r="F985" t="s">
        <v>1</v>
      </c>
      <c r="G985" t="s">
        <v>1441</v>
      </c>
      <c r="H985" t="s">
        <v>1445</v>
      </c>
    </row>
    <row r="986" spans="2:8" ht="15" customHeight="1" x14ac:dyDescent="0.25">
      <c r="B986" t="s">
        <v>1084</v>
      </c>
      <c r="C986" s="2">
        <v>15000</v>
      </c>
      <c r="D986" t="s">
        <v>3</v>
      </c>
      <c r="E986" t="s">
        <v>1</v>
      </c>
      <c r="F986" t="s">
        <v>1</v>
      </c>
      <c r="G986" t="s">
        <v>1440</v>
      </c>
      <c r="H986" t="s">
        <v>1447</v>
      </c>
    </row>
    <row r="987" spans="2:8" ht="15" customHeight="1" x14ac:dyDescent="0.25">
      <c r="B987" t="s">
        <v>1085</v>
      </c>
      <c r="C987" s="2">
        <v>31200</v>
      </c>
      <c r="D987" t="s">
        <v>3</v>
      </c>
      <c r="E987" t="s">
        <v>1</v>
      </c>
      <c r="F987" t="s">
        <v>1</v>
      </c>
      <c r="G987" t="s">
        <v>1441</v>
      </c>
      <c r="H987" t="s">
        <v>1446</v>
      </c>
    </row>
    <row r="988" spans="2:8" ht="15" customHeight="1" x14ac:dyDescent="0.25">
      <c r="B988" t="s">
        <v>1086</v>
      </c>
      <c r="C988" s="2">
        <v>8903.9583437212841</v>
      </c>
      <c r="D988" t="s">
        <v>3</v>
      </c>
      <c r="E988" t="s">
        <v>0</v>
      </c>
      <c r="F988" t="s">
        <v>0</v>
      </c>
      <c r="G988" t="s">
        <v>1441</v>
      </c>
      <c r="H988" t="s">
        <v>1447</v>
      </c>
    </row>
    <row r="989" spans="2:8" ht="15" customHeight="1" x14ac:dyDescent="0.25">
      <c r="B989" t="s">
        <v>1087</v>
      </c>
      <c r="C989" s="2">
        <v>15840</v>
      </c>
      <c r="D989" t="s">
        <v>3</v>
      </c>
      <c r="E989" t="s">
        <v>89</v>
      </c>
      <c r="F989" t="s">
        <v>1451</v>
      </c>
      <c r="G989" t="s">
        <v>1440</v>
      </c>
      <c r="H989" t="s">
        <v>1447</v>
      </c>
    </row>
    <row r="990" spans="2:8" ht="15" customHeight="1" x14ac:dyDescent="0.25">
      <c r="B990" t="s">
        <v>1088</v>
      </c>
      <c r="C990" s="2">
        <v>15136.729184326183</v>
      </c>
      <c r="D990" t="s">
        <v>3</v>
      </c>
      <c r="E990" t="s">
        <v>0</v>
      </c>
      <c r="F990" t="s">
        <v>0</v>
      </c>
      <c r="G990" t="s">
        <v>1441</v>
      </c>
      <c r="H990" t="s">
        <v>1445</v>
      </c>
    </row>
    <row r="991" spans="2:8" ht="15" customHeight="1" x14ac:dyDescent="0.25">
      <c r="B991" t="s">
        <v>1089</v>
      </c>
      <c r="C991" s="2">
        <v>41000</v>
      </c>
      <c r="D991" t="s">
        <v>33</v>
      </c>
      <c r="E991" t="s">
        <v>1</v>
      </c>
      <c r="F991" t="s">
        <v>1</v>
      </c>
      <c r="G991" t="s">
        <v>1441</v>
      </c>
      <c r="H991" t="s">
        <v>1447</v>
      </c>
    </row>
    <row r="992" spans="2:8" ht="15" customHeight="1" x14ac:dyDescent="0.25">
      <c r="B992" t="s">
        <v>1090</v>
      </c>
      <c r="C992" s="2">
        <v>11000</v>
      </c>
      <c r="D992" t="s">
        <v>11</v>
      </c>
      <c r="E992" t="s">
        <v>23</v>
      </c>
      <c r="F992" t="s">
        <v>1453</v>
      </c>
      <c r="G992" t="s">
        <v>1441</v>
      </c>
      <c r="H992" t="s">
        <v>1445</v>
      </c>
    </row>
    <row r="993" spans="2:8" ht="15" customHeight="1" x14ac:dyDescent="0.25">
      <c r="B993" t="s">
        <v>1091</v>
      </c>
      <c r="C993" s="2">
        <v>55166.239522354947</v>
      </c>
      <c r="D993" t="s">
        <v>1439</v>
      </c>
      <c r="E993" t="s">
        <v>15</v>
      </c>
      <c r="F993" t="s">
        <v>15</v>
      </c>
      <c r="G993" t="s">
        <v>1443</v>
      </c>
      <c r="H993" t="s">
        <v>1448</v>
      </c>
    </row>
    <row r="994" spans="2:8" ht="15" customHeight="1" x14ac:dyDescent="0.25">
      <c r="B994" t="s">
        <v>1092</v>
      </c>
      <c r="C994" s="2">
        <v>5689.2125418690484</v>
      </c>
      <c r="D994" t="s">
        <v>11</v>
      </c>
      <c r="E994" t="s">
        <v>32</v>
      </c>
      <c r="F994" t="s">
        <v>1454</v>
      </c>
      <c r="G994" t="s">
        <v>1441</v>
      </c>
      <c r="H994" t="s">
        <v>1446</v>
      </c>
    </row>
    <row r="995" spans="2:8" ht="15" customHeight="1" x14ac:dyDescent="0.25">
      <c r="B995" t="s">
        <v>1093</v>
      </c>
      <c r="C995" s="2">
        <v>17728</v>
      </c>
      <c r="D995" t="s">
        <v>3</v>
      </c>
      <c r="E995" t="s">
        <v>23</v>
      </c>
      <c r="F995" t="s">
        <v>1453</v>
      </c>
      <c r="G995" t="s">
        <v>1441</v>
      </c>
      <c r="H995" t="s">
        <v>1445</v>
      </c>
    </row>
    <row r="996" spans="2:8" ht="15" customHeight="1" x14ac:dyDescent="0.25">
      <c r="B996" t="s">
        <v>1094</v>
      </c>
      <c r="C996" s="2">
        <v>13745.704467353951</v>
      </c>
      <c r="D996" t="s">
        <v>38</v>
      </c>
      <c r="E996" t="s">
        <v>90</v>
      </c>
      <c r="F996" t="s">
        <v>1451</v>
      </c>
      <c r="G996" t="s">
        <v>1440</v>
      </c>
      <c r="H996" t="s">
        <v>1447</v>
      </c>
    </row>
    <row r="997" spans="2:8" ht="15" customHeight="1" x14ac:dyDescent="0.25">
      <c r="B997" t="s">
        <v>1095</v>
      </c>
      <c r="C997" s="2">
        <v>50000</v>
      </c>
      <c r="D997" t="s">
        <v>31</v>
      </c>
      <c r="E997" t="s">
        <v>1</v>
      </c>
      <c r="F997" t="s">
        <v>1</v>
      </c>
      <c r="G997" t="s">
        <v>1441</v>
      </c>
      <c r="H997" t="s">
        <v>1446</v>
      </c>
    </row>
    <row r="998" spans="2:8" ht="15" customHeight="1" x14ac:dyDescent="0.25">
      <c r="B998" t="s">
        <v>1096</v>
      </c>
      <c r="C998" s="2">
        <v>78668.921842426149</v>
      </c>
      <c r="D998" t="s">
        <v>3</v>
      </c>
      <c r="E998" t="s">
        <v>19</v>
      </c>
      <c r="F998" t="s">
        <v>19</v>
      </c>
      <c r="G998" t="s">
        <v>1441</v>
      </c>
      <c r="H998" t="s">
        <v>1447</v>
      </c>
    </row>
    <row r="999" spans="2:8" ht="15" customHeight="1" x14ac:dyDescent="0.25">
      <c r="B999" t="s">
        <v>1097</v>
      </c>
      <c r="C999" s="2">
        <v>85000</v>
      </c>
      <c r="D999" t="s">
        <v>1437</v>
      </c>
      <c r="E999" t="s">
        <v>1</v>
      </c>
      <c r="F999" t="s">
        <v>1</v>
      </c>
      <c r="G999" t="s">
        <v>1441</v>
      </c>
      <c r="H999" t="s">
        <v>1447</v>
      </c>
    </row>
    <row r="1000" spans="2:8" ht="15" customHeight="1" x14ac:dyDescent="0.25">
      <c r="B1000" t="s">
        <v>1098</v>
      </c>
      <c r="C1000" s="2">
        <v>101990.96564026357</v>
      </c>
      <c r="D1000" t="s">
        <v>11</v>
      </c>
      <c r="E1000" t="s">
        <v>18</v>
      </c>
      <c r="F1000" t="s">
        <v>18</v>
      </c>
      <c r="G1000" t="s">
        <v>1441</v>
      </c>
      <c r="H1000" t="s">
        <v>1446</v>
      </c>
    </row>
    <row r="1001" spans="2:8" ht="15" customHeight="1" x14ac:dyDescent="0.25">
      <c r="B1001" t="s">
        <v>1099</v>
      </c>
      <c r="C1001" s="2">
        <v>100614.72928405051</v>
      </c>
      <c r="D1001" t="s">
        <v>1437</v>
      </c>
      <c r="E1001" t="s">
        <v>0</v>
      </c>
      <c r="F1001" t="s">
        <v>0</v>
      </c>
      <c r="G1001" t="s">
        <v>1443</v>
      </c>
      <c r="H1001" t="s">
        <v>1447</v>
      </c>
    </row>
    <row r="1002" spans="2:8" ht="15" customHeight="1" x14ac:dyDescent="0.25">
      <c r="B1002" t="s">
        <v>1100</v>
      </c>
      <c r="C1002" s="2">
        <v>86692.320794224041</v>
      </c>
      <c r="D1002" t="s">
        <v>3</v>
      </c>
      <c r="E1002" t="s">
        <v>18</v>
      </c>
      <c r="F1002" t="s">
        <v>18</v>
      </c>
      <c r="G1002" t="s">
        <v>1441</v>
      </c>
      <c r="H1002" t="s">
        <v>1448</v>
      </c>
    </row>
    <row r="1003" spans="2:8" ht="15" customHeight="1" x14ac:dyDescent="0.25">
      <c r="B1003" t="s">
        <v>1101</v>
      </c>
      <c r="C1003" s="2">
        <v>122389.15876831629</v>
      </c>
      <c r="D1003" t="s">
        <v>3</v>
      </c>
      <c r="E1003" t="s">
        <v>18</v>
      </c>
      <c r="F1003" t="s">
        <v>18</v>
      </c>
      <c r="G1003" t="s">
        <v>1443</v>
      </c>
      <c r="H1003" t="s">
        <v>1445</v>
      </c>
    </row>
    <row r="1004" spans="2:8" ht="15" customHeight="1" x14ac:dyDescent="0.25">
      <c r="B1004" t="s">
        <v>1102</v>
      </c>
      <c r="C1004" s="2">
        <v>6410.8500074793246</v>
      </c>
      <c r="D1004" t="s">
        <v>11</v>
      </c>
      <c r="E1004" t="s">
        <v>0</v>
      </c>
      <c r="F1004" t="s">
        <v>0</v>
      </c>
      <c r="G1004" t="s">
        <v>1443</v>
      </c>
      <c r="H1004" t="s">
        <v>1447</v>
      </c>
    </row>
    <row r="1005" spans="2:8" ht="15" customHeight="1" x14ac:dyDescent="0.25">
      <c r="B1005" t="s">
        <v>1103</v>
      </c>
      <c r="C1005" s="2">
        <v>44000</v>
      </c>
      <c r="D1005" t="s">
        <v>3</v>
      </c>
      <c r="E1005" t="s">
        <v>1</v>
      </c>
      <c r="F1005" t="s">
        <v>1</v>
      </c>
      <c r="G1005" t="s">
        <v>1441</v>
      </c>
      <c r="H1005" t="s">
        <v>1445</v>
      </c>
    </row>
    <row r="1006" spans="2:8" ht="15" customHeight="1" x14ac:dyDescent="0.25">
      <c r="B1006" t="s">
        <v>1104</v>
      </c>
      <c r="C1006" s="2">
        <v>4451.9791718606421</v>
      </c>
      <c r="D1006" t="s">
        <v>29</v>
      </c>
      <c r="E1006" t="s">
        <v>0</v>
      </c>
      <c r="F1006" t="s">
        <v>0</v>
      </c>
      <c r="G1006" t="s">
        <v>1441</v>
      </c>
      <c r="H1006" t="s">
        <v>1445</v>
      </c>
    </row>
    <row r="1007" spans="2:8" ht="15" customHeight="1" x14ac:dyDescent="0.25">
      <c r="B1007" t="s">
        <v>1105</v>
      </c>
      <c r="C1007" s="2">
        <v>4500</v>
      </c>
      <c r="D1007" t="s">
        <v>3</v>
      </c>
      <c r="E1007" t="s">
        <v>2</v>
      </c>
      <c r="F1007" t="s">
        <v>2</v>
      </c>
      <c r="G1007" t="s">
        <v>1441</v>
      </c>
      <c r="H1007" t="s">
        <v>1447</v>
      </c>
    </row>
    <row r="1008" spans="2:8" ht="15" customHeight="1" x14ac:dyDescent="0.25">
      <c r="B1008" t="s">
        <v>1106</v>
      </c>
      <c r="C1008" s="2">
        <v>30273.458368652366</v>
      </c>
      <c r="D1008" t="s">
        <v>1439</v>
      </c>
      <c r="E1008" t="s">
        <v>0</v>
      </c>
      <c r="F1008" t="s">
        <v>0</v>
      </c>
      <c r="G1008" t="s">
        <v>1441</v>
      </c>
      <c r="H1008" t="s">
        <v>1447</v>
      </c>
    </row>
    <row r="1009" spans="2:8" ht="15" customHeight="1" x14ac:dyDescent="0.25">
      <c r="B1009" t="s">
        <v>1107</v>
      </c>
      <c r="C1009" s="2">
        <v>52000</v>
      </c>
      <c r="D1009" t="s">
        <v>3</v>
      </c>
      <c r="E1009" t="s">
        <v>1</v>
      </c>
      <c r="F1009" t="s">
        <v>1</v>
      </c>
      <c r="G1009" t="s">
        <v>1440</v>
      </c>
      <c r="H1009" t="s">
        <v>1445</v>
      </c>
    </row>
    <row r="1010" spans="2:8" ht="15" customHeight="1" x14ac:dyDescent="0.25">
      <c r="B1010" t="s">
        <v>1108</v>
      </c>
      <c r="C1010" s="2">
        <v>75000</v>
      </c>
      <c r="D1010" t="s">
        <v>33</v>
      </c>
      <c r="E1010" t="s">
        <v>4</v>
      </c>
      <c r="F1010" t="s">
        <v>1453</v>
      </c>
      <c r="G1010" t="s">
        <v>1443</v>
      </c>
      <c r="H1010" t="s">
        <v>1447</v>
      </c>
    </row>
    <row r="1011" spans="2:8" ht="15" customHeight="1" x14ac:dyDescent="0.25">
      <c r="B1011" t="s">
        <v>1109</v>
      </c>
      <c r="C1011" s="2">
        <v>17807.916687442568</v>
      </c>
      <c r="D1011" t="s">
        <v>3</v>
      </c>
      <c r="E1011" t="s">
        <v>0</v>
      </c>
      <c r="F1011" t="s">
        <v>0</v>
      </c>
      <c r="G1011" t="s">
        <v>1440</v>
      </c>
      <c r="H1011" t="s">
        <v>1445</v>
      </c>
    </row>
    <row r="1012" spans="2:8" ht="15" customHeight="1" x14ac:dyDescent="0.25">
      <c r="B1012" t="s">
        <v>1110</v>
      </c>
      <c r="C1012" s="2">
        <v>177600</v>
      </c>
      <c r="D1012" t="s">
        <v>31</v>
      </c>
      <c r="E1012" t="s">
        <v>91</v>
      </c>
      <c r="F1012" t="s">
        <v>1451</v>
      </c>
      <c r="G1012" t="s">
        <v>1441</v>
      </c>
      <c r="H1012" t="s">
        <v>1447</v>
      </c>
    </row>
    <row r="1013" spans="2:8" ht="15" customHeight="1" x14ac:dyDescent="0.25">
      <c r="B1013" t="s">
        <v>1111</v>
      </c>
      <c r="C1013" s="2">
        <v>11575.14584683767</v>
      </c>
      <c r="D1013" t="s">
        <v>3</v>
      </c>
      <c r="E1013" t="s">
        <v>0</v>
      </c>
      <c r="F1013" t="s">
        <v>0</v>
      </c>
      <c r="G1013" t="s">
        <v>1441</v>
      </c>
      <c r="H1013" t="s">
        <v>1445</v>
      </c>
    </row>
    <row r="1014" spans="2:8" ht="15" customHeight="1" x14ac:dyDescent="0.25">
      <c r="B1014" t="s">
        <v>1112</v>
      </c>
      <c r="C1014" s="2">
        <v>26678.388218823762</v>
      </c>
      <c r="D1014" t="s">
        <v>11</v>
      </c>
      <c r="E1014" t="s">
        <v>6</v>
      </c>
      <c r="F1014" t="s">
        <v>1453</v>
      </c>
      <c r="G1014" t="s">
        <v>1441</v>
      </c>
      <c r="H1014" t="s">
        <v>1447</v>
      </c>
    </row>
    <row r="1015" spans="2:8" ht="15" customHeight="1" x14ac:dyDescent="0.25">
      <c r="B1015" t="s">
        <v>1113</v>
      </c>
      <c r="C1015" s="2">
        <v>126094.26176538273</v>
      </c>
      <c r="D1015" t="s">
        <v>33</v>
      </c>
      <c r="E1015" t="s">
        <v>15</v>
      </c>
      <c r="F1015" t="s">
        <v>15</v>
      </c>
      <c r="G1015" t="s">
        <v>1441</v>
      </c>
      <c r="H1015" t="s">
        <v>1446</v>
      </c>
    </row>
    <row r="1016" spans="2:8" ht="15" customHeight="1" x14ac:dyDescent="0.25">
      <c r="B1016" t="s">
        <v>1114</v>
      </c>
      <c r="C1016" s="2">
        <v>6000</v>
      </c>
      <c r="D1016" t="s">
        <v>3</v>
      </c>
      <c r="E1016" t="s">
        <v>0</v>
      </c>
      <c r="F1016" t="s">
        <v>0</v>
      </c>
      <c r="G1016" t="s">
        <v>1441</v>
      </c>
      <c r="H1016" t="s">
        <v>1445</v>
      </c>
    </row>
    <row r="1017" spans="2:8" ht="15" customHeight="1" x14ac:dyDescent="0.25">
      <c r="B1017" t="s">
        <v>1115</v>
      </c>
      <c r="C1017" s="2">
        <v>10000</v>
      </c>
      <c r="D1017" t="s">
        <v>1437</v>
      </c>
      <c r="E1017" t="s">
        <v>0</v>
      </c>
      <c r="F1017" t="s">
        <v>0</v>
      </c>
      <c r="G1017" t="s">
        <v>1440</v>
      </c>
      <c r="H1017" t="s">
        <v>1447</v>
      </c>
    </row>
    <row r="1018" spans="2:8" ht="15" customHeight="1" x14ac:dyDescent="0.25">
      <c r="B1018" t="s">
        <v>1116</v>
      </c>
      <c r="C1018" s="2">
        <v>50000</v>
      </c>
      <c r="D1018" t="s">
        <v>3</v>
      </c>
      <c r="E1018" t="s">
        <v>1</v>
      </c>
      <c r="F1018" t="s">
        <v>1</v>
      </c>
      <c r="G1018" t="s">
        <v>1440</v>
      </c>
      <c r="H1018" t="s">
        <v>1445</v>
      </c>
    </row>
    <row r="1019" spans="2:8" ht="15" customHeight="1" x14ac:dyDescent="0.25">
      <c r="B1019" t="s">
        <v>1117</v>
      </c>
      <c r="C1019" s="2">
        <v>10000</v>
      </c>
      <c r="D1019" t="s">
        <v>11</v>
      </c>
      <c r="E1019" t="s">
        <v>0</v>
      </c>
      <c r="F1019" t="s">
        <v>0</v>
      </c>
      <c r="G1019" t="s">
        <v>1440</v>
      </c>
      <c r="H1019" t="s">
        <v>1446</v>
      </c>
    </row>
    <row r="1020" spans="2:8" ht="15" customHeight="1" x14ac:dyDescent="0.25">
      <c r="B1020" t="s">
        <v>1118</v>
      </c>
      <c r="C1020" s="2">
        <v>50000</v>
      </c>
      <c r="D1020" t="s">
        <v>3</v>
      </c>
      <c r="E1020" t="s">
        <v>1</v>
      </c>
      <c r="F1020" t="s">
        <v>1</v>
      </c>
      <c r="G1020" t="s">
        <v>1440</v>
      </c>
      <c r="H1020" t="s">
        <v>1446</v>
      </c>
    </row>
    <row r="1021" spans="2:8" ht="15" customHeight="1" x14ac:dyDescent="0.25">
      <c r="B1021" t="s">
        <v>1119</v>
      </c>
      <c r="C1021" s="2">
        <v>20000</v>
      </c>
      <c r="D1021" t="s">
        <v>11</v>
      </c>
      <c r="E1021" t="s">
        <v>0</v>
      </c>
      <c r="F1021" t="s">
        <v>0</v>
      </c>
      <c r="G1021" t="s">
        <v>1441</v>
      </c>
      <c r="H1021" t="s">
        <v>1445</v>
      </c>
    </row>
    <row r="1022" spans="2:8" ht="15" customHeight="1" x14ac:dyDescent="0.25">
      <c r="B1022" t="s">
        <v>1120</v>
      </c>
      <c r="C1022" s="2">
        <v>31523.565441345683</v>
      </c>
      <c r="D1022" t="s">
        <v>3</v>
      </c>
      <c r="E1022" t="s">
        <v>15</v>
      </c>
      <c r="F1022" t="s">
        <v>15</v>
      </c>
      <c r="G1022" t="s">
        <v>1440</v>
      </c>
      <c r="H1022" t="s">
        <v>1445</v>
      </c>
    </row>
    <row r="1023" spans="2:8" ht="15" customHeight="1" x14ac:dyDescent="0.25">
      <c r="B1023" t="s">
        <v>1121</v>
      </c>
      <c r="C1023" s="2">
        <v>63519.971949580387</v>
      </c>
      <c r="D1023" t="s">
        <v>38</v>
      </c>
      <c r="E1023" t="s">
        <v>43</v>
      </c>
      <c r="F1023" t="s">
        <v>1453</v>
      </c>
      <c r="G1023" t="s">
        <v>1441</v>
      </c>
      <c r="H1023" t="s">
        <v>1447</v>
      </c>
    </row>
    <row r="1024" spans="2:8" ht="15" customHeight="1" x14ac:dyDescent="0.25">
      <c r="B1024" t="s">
        <v>1122</v>
      </c>
      <c r="C1024" s="2">
        <v>35063.024516168378</v>
      </c>
      <c r="D1024" t="s">
        <v>38</v>
      </c>
      <c r="E1024" t="s">
        <v>8</v>
      </c>
      <c r="F1024" t="s">
        <v>1453</v>
      </c>
      <c r="G1024" t="s">
        <v>1440</v>
      </c>
      <c r="H1024" t="s">
        <v>1446</v>
      </c>
    </row>
    <row r="1025" spans="2:8" ht="15" customHeight="1" x14ac:dyDescent="0.25">
      <c r="B1025" t="s">
        <v>1123</v>
      </c>
      <c r="C1025" s="2">
        <v>55000</v>
      </c>
      <c r="D1025" t="s">
        <v>3</v>
      </c>
      <c r="E1025" t="s">
        <v>1</v>
      </c>
      <c r="F1025" t="s">
        <v>1</v>
      </c>
      <c r="G1025" t="s">
        <v>1441</v>
      </c>
      <c r="H1025" t="s">
        <v>1445</v>
      </c>
    </row>
    <row r="1026" spans="2:8" ht="15" customHeight="1" x14ac:dyDescent="0.25">
      <c r="B1026" t="s">
        <v>1124</v>
      </c>
      <c r="C1026" s="2">
        <v>38000</v>
      </c>
      <c r="D1026" t="s">
        <v>3</v>
      </c>
      <c r="E1026" t="s">
        <v>1</v>
      </c>
      <c r="F1026" t="s">
        <v>1</v>
      </c>
      <c r="G1026" t="s">
        <v>1440</v>
      </c>
      <c r="H1026" t="s">
        <v>1445</v>
      </c>
    </row>
    <row r="1027" spans="2:8" ht="15" customHeight="1" x14ac:dyDescent="0.25">
      <c r="B1027" t="s">
        <v>1125</v>
      </c>
      <c r="C1027" s="2">
        <v>32054.250037396621</v>
      </c>
      <c r="D1027" t="s">
        <v>3</v>
      </c>
      <c r="E1027" t="s">
        <v>0</v>
      </c>
      <c r="F1027" t="s">
        <v>0</v>
      </c>
      <c r="G1027" t="s">
        <v>1440</v>
      </c>
      <c r="H1027" t="s">
        <v>1445</v>
      </c>
    </row>
    <row r="1028" spans="2:8" ht="15" customHeight="1" x14ac:dyDescent="0.25">
      <c r="B1028" t="s">
        <v>1126</v>
      </c>
      <c r="C1028" s="2">
        <v>35500</v>
      </c>
      <c r="D1028" t="s">
        <v>3</v>
      </c>
      <c r="E1028" t="s">
        <v>1</v>
      </c>
      <c r="F1028" t="s">
        <v>1</v>
      </c>
      <c r="G1028" t="s">
        <v>1441</v>
      </c>
      <c r="H1028" t="s">
        <v>1446</v>
      </c>
    </row>
    <row r="1029" spans="2:8" ht="15" customHeight="1" x14ac:dyDescent="0.25">
      <c r="B1029" t="s">
        <v>1127</v>
      </c>
      <c r="C1029" s="2">
        <v>62000</v>
      </c>
      <c r="D1029" t="s">
        <v>3</v>
      </c>
      <c r="E1029" t="s">
        <v>1</v>
      </c>
      <c r="F1029" t="s">
        <v>1</v>
      </c>
      <c r="G1029" t="s">
        <v>1443</v>
      </c>
      <c r="H1029" t="s">
        <v>1445</v>
      </c>
    </row>
    <row r="1030" spans="2:8" ht="15" customHeight="1" x14ac:dyDescent="0.25">
      <c r="B1030" t="s">
        <v>1128</v>
      </c>
      <c r="C1030" s="2">
        <v>33887.832849446611</v>
      </c>
      <c r="D1030" t="s">
        <v>3</v>
      </c>
      <c r="E1030" t="s">
        <v>15</v>
      </c>
      <c r="F1030" t="s">
        <v>15</v>
      </c>
      <c r="G1030" t="s">
        <v>1440</v>
      </c>
      <c r="H1030" t="s">
        <v>1445</v>
      </c>
    </row>
    <row r="1031" spans="2:8" ht="15" customHeight="1" x14ac:dyDescent="0.25">
      <c r="B1031" t="s">
        <v>1129</v>
      </c>
      <c r="C1031" s="2">
        <v>60000</v>
      </c>
      <c r="D1031" t="s">
        <v>3</v>
      </c>
      <c r="E1031" t="s">
        <v>1</v>
      </c>
      <c r="F1031" t="s">
        <v>1</v>
      </c>
      <c r="G1031" t="s">
        <v>1443</v>
      </c>
      <c r="H1031" t="s">
        <v>1445</v>
      </c>
    </row>
    <row r="1032" spans="2:8" ht="15" customHeight="1" x14ac:dyDescent="0.25">
      <c r="B1032" t="s">
        <v>1130</v>
      </c>
      <c r="C1032" s="2">
        <v>32884</v>
      </c>
      <c r="D1032" t="s">
        <v>3</v>
      </c>
      <c r="E1032" t="s">
        <v>1</v>
      </c>
      <c r="F1032" t="s">
        <v>1</v>
      </c>
      <c r="G1032" t="s">
        <v>1440</v>
      </c>
      <c r="H1032" t="s">
        <v>1447</v>
      </c>
    </row>
    <row r="1033" spans="2:8" ht="15" customHeight="1" x14ac:dyDescent="0.25">
      <c r="B1033" t="s">
        <v>1131</v>
      </c>
      <c r="C1033" s="2">
        <v>42000</v>
      </c>
      <c r="D1033" t="s">
        <v>3</v>
      </c>
      <c r="E1033" t="s">
        <v>1</v>
      </c>
      <c r="F1033" t="s">
        <v>1</v>
      </c>
      <c r="G1033" t="s">
        <v>1441</v>
      </c>
      <c r="H1033" t="s">
        <v>1445</v>
      </c>
    </row>
    <row r="1034" spans="2:8" ht="15" customHeight="1" x14ac:dyDescent="0.25">
      <c r="B1034" t="s">
        <v>1132</v>
      </c>
      <c r="C1034" s="2">
        <v>68000</v>
      </c>
      <c r="D1034" t="s">
        <v>3</v>
      </c>
      <c r="E1034" t="s">
        <v>1</v>
      </c>
      <c r="F1034" t="s">
        <v>1</v>
      </c>
      <c r="G1034" t="s">
        <v>1441</v>
      </c>
      <c r="H1034" t="s">
        <v>1446</v>
      </c>
    </row>
    <row r="1035" spans="2:8" ht="15" customHeight="1" x14ac:dyDescent="0.25">
      <c r="B1035" t="s">
        <v>1133</v>
      </c>
      <c r="C1035" s="2">
        <v>85000</v>
      </c>
      <c r="D1035" t="s">
        <v>31</v>
      </c>
      <c r="E1035" t="s">
        <v>1</v>
      </c>
      <c r="F1035" t="s">
        <v>1</v>
      </c>
      <c r="G1035" t="s">
        <v>1443</v>
      </c>
      <c r="H1035" t="s">
        <v>1447</v>
      </c>
    </row>
    <row r="1036" spans="2:8" ht="15" customHeight="1" x14ac:dyDescent="0.25">
      <c r="B1036" t="s">
        <v>1134</v>
      </c>
      <c r="C1036" s="2">
        <v>13000</v>
      </c>
      <c r="D1036" t="s">
        <v>3</v>
      </c>
      <c r="E1036" t="s">
        <v>22</v>
      </c>
      <c r="F1036" t="s">
        <v>1451</v>
      </c>
      <c r="G1036" t="s">
        <v>1440</v>
      </c>
      <c r="H1036" t="s">
        <v>1445</v>
      </c>
    </row>
    <row r="1037" spans="2:8" ht="15" customHeight="1" x14ac:dyDescent="0.25">
      <c r="B1037" t="s">
        <v>1135</v>
      </c>
      <c r="C1037" s="2">
        <v>15000</v>
      </c>
      <c r="D1037" t="s">
        <v>3</v>
      </c>
      <c r="E1037" t="s">
        <v>0</v>
      </c>
      <c r="F1037" t="s">
        <v>0</v>
      </c>
      <c r="G1037" t="s">
        <v>1441</v>
      </c>
      <c r="H1037" t="s">
        <v>1445</v>
      </c>
    </row>
    <row r="1038" spans="2:8" ht="15" customHeight="1" x14ac:dyDescent="0.25">
      <c r="B1038" t="s">
        <v>1136</v>
      </c>
      <c r="C1038" s="2">
        <v>50000</v>
      </c>
      <c r="D1038" t="s">
        <v>1439</v>
      </c>
      <c r="E1038" t="s">
        <v>0</v>
      </c>
      <c r="F1038" t="s">
        <v>0</v>
      </c>
      <c r="G1038" t="s">
        <v>1442</v>
      </c>
      <c r="H1038" t="s">
        <v>1447</v>
      </c>
    </row>
    <row r="1039" spans="2:8" ht="15" customHeight="1" x14ac:dyDescent="0.25">
      <c r="B1039" t="s">
        <v>1137</v>
      </c>
      <c r="C1039" s="2">
        <v>7000</v>
      </c>
      <c r="D1039" t="s">
        <v>1437</v>
      </c>
      <c r="E1039" t="s">
        <v>0</v>
      </c>
      <c r="F1039" t="s">
        <v>0</v>
      </c>
      <c r="G1039" t="s">
        <v>1441</v>
      </c>
      <c r="H1039" t="s">
        <v>1445</v>
      </c>
    </row>
    <row r="1040" spans="2:8" ht="15" customHeight="1" x14ac:dyDescent="0.25">
      <c r="B1040" t="s">
        <v>1138</v>
      </c>
      <c r="C1040" s="2">
        <v>140000</v>
      </c>
      <c r="D1040" t="s">
        <v>11</v>
      </c>
      <c r="E1040" t="s">
        <v>1</v>
      </c>
      <c r="F1040" t="s">
        <v>1</v>
      </c>
      <c r="G1040" t="s">
        <v>1441</v>
      </c>
      <c r="H1040" t="s">
        <v>1446</v>
      </c>
    </row>
    <row r="1041" spans="2:8" ht="15" customHeight="1" x14ac:dyDescent="0.25">
      <c r="B1041" t="s">
        <v>1139</v>
      </c>
      <c r="C1041" s="2">
        <v>7123.1666749770275</v>
      </c>
      <c r="D1041" t="s">
        <v>3</v>
      </c>
      <c r="E1041" t="s">
        <v>0</v>
      </c>
      <c r="F1041" t="s">
        <v>0</v>
      </c>
      <c r="G1041" t="s">
        <v>1442</v>
      </c>
      <c r="H1041" t="s">
        <v>1445</v>
      </c>
    </row>
    <row r="1042" spans="2:8" ht="15" customHeight="1" x14ac:dyDescent="0.25">
      <c r="B1042" t="s">
        <v>1140</v>
      </c>
      <c r="C1042" s="2">
        <v>58318.59606648951</v>
      </c>
      <c r="D1042" t="s">
        <v>3</v>
      </c>
      <c r="E1042" t="s">
        <v>15</v>
      </c>
      <c r="F1042" t="s">
        <v>15</v>
      </c>
      <c r="G1042" t="s">
        <v>1441</v>
      </c>
      <c r="H1042" t="s">
        <v>1447</v>
      </c>
    </row>
    <row r="1043" spans="2:8" ht="15" customHeight="1" x14ac:dyDescent="0.25">
      <c r="B1043" t="s">
        <v>1141</v>
      </c>
      <c r="C1043" s="2">
        <v>12109.383347460946</v>
      </c>
      <c r="D1043" t="s">
        <v>11</v>
      </c>
      <c r="E1043" t="s">
        <v>0</v>
      </c>
      <c r="F1043" t="s">
        <v>0</v>
      </c>
      <c r="G1043" t="s">
        <v>1442</v>
      </c>
      <c r="H1043" t="s">
        <v>1445</v>
      </c>
    </row>
    <row r="1044" spans="2:8" ht="15" customHeight="1" x14ac:dyDescent="0.25">
      <c r="B1044" t="s">
        <v>1142</v>
      </c>
      <c r="C1044" s="2">
        <v>55000</v>
      </c>
      <c r="D1044" t="s">
        <v>3</v>
      </c>
      <c r="E1044" t="s">
        <v>1</v>
      </c>
      <c r="F1044" t="s">
        <v>1</v>
      </c>
      <c r="G1044" t="s">
        <v>1441</v>
      </c>
      <c r="H1044" t="s">
        <v>1445</v>
      </c>
    </row>
    <row r="1045" spans="2:8" ht="15" customHeight="1" x14ac:dyDescent="0.25">
      <c r="B1045" t="s">
        <v>1143</v>
      </c>
      <c r="C1045" s="2">
        <v>60000</v>
      </c>
      <c r="D1045" t="s">
        <v>11</v>
      </c>
      <c r="E1045" t="s">
        <v>49</v>
      </c>
      <c r="F1045" t="s">
        <v>1454</v>
      </c>
      <c r="G1045" t="s">
        <v>1443</v>
      </c>
      <c r="H1045" t="s">
        <v>1446</v>
      </c>
    </row>
    <row r="1046" spans="2:8" ht="15" customHeight="1" x14ac:dyDescent="0.25">
      <c r="B1046" t="s">
        <v>1144</v>
      </c>
      <c r="C1046" s="2">
        <v>5698.5333399816218</v>
      </c>
      <c r="D1046" t="s">
        <v>11</v>
      </c>
      <c r="E1046" t="s">
        <v>0</v>
      </c>
      <c r="F1046" t="s">
        <v>0</v>
      </c>
      <c r="G1046" t="s">
        <v>1441</v>
      </c>
      <c r="H1046" t="s">
        <v>1445</v>
      </c>
    </row>
    <row r="1047" spans="2:8" ht="15" customHeight="1" x14ac:dyDescent="0.25">
      <c r="B1047" t="s">
        <v>1145</v>
      </c>
      <c r="C1047" s="2">
        <v>9376.2513877177607</v>
      </c>
      <c r="D1047" t="s">
        <v>29</v>
      </c>
      <c r="E1047" t="s">
        <v>92</v>
      </c>
      <c r="F1047" t="s">
        <v>1451</v>
      </c>
      <c r="G1047" t="s">
        <v>1441</v>
      </c>
      <c r="H1047" t="s">
        <v>1447</v>
      </c>
    </row>
    <row r="1048" spans="2:8" ht="15" customHeight="1" x14ac:dyDescent="0.25">
      <c r="B1048" t="s">
        <v>1146</v>
      </c>
      <c r="C1048" s="2">
        <v>94570.696324037053</v>
      </c>
      <c r="D1048" t="s">
        <v>3</v>
      </c>
      <c r="E1048" t="s">
        <v>15</v>
      </c>
      <c r="F1048" t="s">
        <v>15</v>
      </c>
      <c r="G1048" t="s">
        <v>1441</v>
      </c>
      <c r="H1048" t="s">
        <v>1445</v>
      </c>
    </row>
    <row r="1049" spans="2:8" ht="15" customHeight="1" x14ac:dyDescent="0.25">
      <c r="B1049" t="s">
        <v>1147</v>
      </c>
      <c r="C1049" s="2">
        <v>36000</v>
      </c>
      <c r="D1049" t="s">
        <v>33</v>
      </c>
      <c r="E1049" t="s">
        <v>93</v>
      </c>
      <c r="F1049" t="s">
        <v>1451</v>
      </c>
      <c r="G1049" t="s">
        <v>1441</v>
      </c>
      <c r="H1049" t="s">
        <v>1445</v>
      </c>
    </row>
    <row r="1050" spans="2:8" ht="15" customHeight="1" x14ac:dyDescent="0.25">
      <c r="B1050" t="s">
        <v>1148</v>
      </c>
      <c r="C1050" s="2">
        <v>65889.291743537498</v>
      </c>
      <c r="D1050" t="s">
        <v>11</v>
      </c>
      <c r="E1050" t="s">
        <v>0</v>
      </c>
      <c r="F1050" t="s">
        <v>0</v>
      </c>
      <c r="G1050" t="s">
        <v>1440</v>
      </c>
      <c r="H1050" t="s">
        <v>1445</v>
      </c>
    </row>
    <row r="1051" spans="2:8" ht="15" customHeight="1" x14ac:dyDescent="0.25">
      <c r="B1051" t="s">
        <v>1149</v>
      </c>
      <c r="C1051" s="2">
        <v>106000</v>
      </c>
      <c r="D1051" t="s">
        <v>3</v>
      </c>
      <c r="E1051" t="s">
        <v>55</v>
      </c>
      <c r="F1051" t="s">
        <v>1453</v>
      </c>
      <c r="G1051" t="s">
        <v>1442</v>
      </c>
      <c r="H1051" t="s">
        <v>1447</v>
      </c>
    </row>
    <row r="1052" spans="2:8" ht="15" customHeight="1" x14ac:dyDescent="0.25">
      <c r="B1052" t="s">
        <v>1150</v>
      </c>
      <c r="C1052" s="2">
        <v>82888.5550559455</v>
      </c>
      <c r="D1052" t="s">
        <v>38</v>
      </c>
      <c r="E1052" t="s">
        <v>55</v>
      </c>
      <c r="F1052" t="s">
        <v>1453</v>
      </c>
      <c r="G1052" t="s">
        <v>1441</v>
      </c>
      <c r="H1052" t="s">
        <v>1446</v>
      </c>
    </row>
    <row r="1053" spans="2:8" ht="15" customHeight="1" x14ac:dyDescent="0.25">
      <c r="B1053" t="s">
        <v>1151</v>
      </c>
      <c r="C1053" s="2">
        <v>59819.107020370408</v>
      </c>
      <c r="D1053" t="s">
        <v>3</v>
      </c>
      <c r="E1053" t="s">
        <v>45</v>
      </c>
      <c r="F1053" t="s">
        <v>1451</v>
      </c>
      <c r="G1053" t="s">
        <v>1443</v>
      </c>
      <c r="H1053" t="s">
        <v>1447</v>
      </c>
    </row>
    <row r="1054" spans="2:8" ht="15" customHeight="1" x14ac:dyDescent="0.25">
      <c r="B1054" t="s">
        <v>1152</v>
      </c>
      <c r="C1054" s="2">
        <v>6545</v>
      </c>
      <c r="D1054" t="s">
        <v>11</v>
      </c>
      <c r="E1054" t="s">
        <v>0</v>
      </c>
      <c r="F1054" t="s">
        <v>0</v>
      </c>
      <c r="G1054" t="s">
        <v>1440</v>
      </c>
      <c r="H1054" t="s">
        <v>1447</v>
      </c>
    </row>
    <row r="1055" spans="2:8" ht="15" customHeight="1" x14ac:dyDescent="0.25">
      <c r="B1055" t="s">
        <v>1153</v>
      </c>
      <c r="C1055" s="2">
        <v>17807.916687442568</v>
      </c>
      <c r="D1055" t="s">
        <v>11</v>
      </c>
      <c r="E1055" t="s">
        <v>0</v>
      </c>
      <c r="F1055" t="s">
        <v>0</v>
      </c>
      <c r="G1055" t="s">
        <v>1443</v>
      </c>
      <c r="H1055" t="s">
        <v>1446</v>
      </c>
    </row>
    <row r="1056" spans="2:8" ht="15" customHeight="1" x14ac:dyDescent="0.25">
      <c r="B1056" t="s">
        <v>1154</v>
      </c>
      <c r="C1056" s="2">
        <v>54000</v>
      </c>
      <c r="D1056" t="s">
        <v>1439</v>
      </c>
      <c r="E1056" t="s">
        <v>1</v>
      </c>
      <c r="F1056" t="s">
        <v>1</v>
      </c>
      <c r="G1056" t="s">
        <v>1441</v>
      </c>
      <c r="H1056" t="s">
        <v>1447</v>
      </c>
    </row>
    <row r="1057" spans="2:8" ht="15" customHeight="1" x14ac:dyDescent="0.25">
      <c r="B1057" t="s">
        <v>1155</v>
      </c>
      <c r="C1057" s="2">
        <v>100000</v>
      </c>
      <c r="D1057" t="s">
        <v>33</v>
      </c>
      <c r="E1057" t="s">
        <v>1</v>
      </c>
      <c r="F1057" t="s">
        <v>1</v>
      </c>
      <c r="G1057" t="s">
        <v>1443</v>
      </c>
      <c r="H1057" t="s">
        <v>1445</v>
      </c>
    </row>
    <row r="1058" spans="2:8" ht="15" customHeight="1" x14ac:dyDescent="0.25">
      <c r="B1058" t="s">
        <v>1156</v>
      </c>
      <c r="C1058" s="2">
        <v>49168.076151516347</v>
      </c>
      <c r="D1058" t="s">
        <v>3</v>
      </c>
      <c r="E1058" t="s">
        <v>19</v>
      </c>
      <c r="F1058" t="s">
        <v>19</v>
      </c>
      <c r="G1058" t="s">
        <v>1441</v>
      </c>
      <c r="H1058" t="s">
        <v>1445</v>
      </c>
    </row>
    <row r="1059" spans="2:8" ht="15" customHeight="1" x14ac:dyDescent="0.25">
      <c r="B1059" t="s">
        <v>1157</v>
      </c>
      <c r="C1059" s="2">
        <v>4019</v>
      </c>
      <c r="D1059" t="s">
        <v>14</v>
      </c>
      <c r="E1059" t="s">
        <v>32</v>
      </c>
      <c r="F1059" t="s">
        <v>1454</v>
      </c>
      <c r="G1059" t="s">
        <v>1443</v>
      </c>
      <c r="H1059" t="s">
        <v>1445</v>
      </c>
    </row>
    <row r="1060" spans="2:8" ht="15" customHeight="1" x14ac:dyDescent="0.25">
      <c r="B1060" t="s">
        <v>1158</v>
      </c>
      <c r="C1060" s="2">
        <v>15000</v>
      </c>
      <c r="D1060" t="s">
        <v>3</v>
      </c>
      <c r="E1060" t="s">
        <v>2</v>
      </c>
      <c r="F1060" t="s">
        <v>2</v>
      </c>
      <c r="G1060" t="s">
        <v>1441</v>
      </c>
      <c r="H1060" t="s">
        <v>1445</v>
      </c>
    </row>
    <row r="1061" spans="2:8" ht="15" customHeight="1" x14ac:dyDescent="0.25">
      <c r="B1061" t="s">
        <v>1159</v>
      </c>
      <c r="C1061" s="2">
        <v>17807.916687442568</v>
      </c>
      <c r="D1061" t="s">
        <v>3</v>
      </c>
      <c r="E1061" t="s">
        <v>0</v>
      </c>
      <c r="F1061" t="s">
        <v>0</v>
      </c>
      <c r="G1061" t="s">
        <v>1440</v>
      </c>
      <c r="H1061" t="s">
        <v>1445</v>
      </c>
    </row>
    <row r="1062" spans="2:8" ht="15" customHeight="1" x14ac:dyDescent="0.25">
      <c r="B1062" t="s">
        <v>1160</v>
      </c>
      <c r="C1062" s="2">
        <v>12000</v>
      </c>
      <c r="D1062" t="s">
        <v>1437</v>
      </c>
      <c r="E1062" t="s">
        <v>0</v>
      </c>
      <c r="F1062" t="s">
        <v>0</v>
      </c>
      <c r="G1062" t="s">
        <v>1440</v>
      </c>
      <c r="H1062" t="s">
        <v>1445</v>
      </c>
    </row>
    <row r="1063" spans="2:8" ht="15" customHeight="1" x14ac:dyDescent="0.25">
      <c r="B1063" t="s">
        <v>1161</v>
      </c>
      <c r="C1063" s="2">
        <v>2225.989585930321</v>
      </c>
      <c r="D1063" t="s">
        <v>3</v>
      </c>
      <c r="E1063" t="s">
        <v>0</v>
      </c>
      <c r="F1063" t="s">
        <v>0</v>
      </c>
      <c r="G1063" t="s">
        <v>1443</v>
      </c>
      <c r="H1063" t="s">
        <v>1445</v>
      </c>
    </row>
    <row r="1064" spans="2:8" ht="15" customHeight="1" x14ac:dyDescent="0.25">
      <c r="B1064" t="s">
        <v>1162</v>
      </c>
      <c r="C1064" s="2">
        <v>86000</v>
      </c>
      <c r="D1064" t="s">
        <v>3</v>
      </c>
      <c r="E1064" t="s">
        <v>32</v>
      </c>
      <c r="F1064" t="s">
        <v>1454</v>
      </c>
      <c r="G1064" t="s">
        <v>1440</v>
      </c>
      <c r="H1064" t="s">
        <v>1445</v>
      </c>
    </row>
    <row r="1065" spans="2:8" ht="15" customHeight="1" x14ac:dyDescent="0.25">
      <c r="B1065" t="s">
        <v>1163</v>
      </c>
      <c r="C1065" s="2">
        <v>6054.6916737304728</v>
      </c>
      <c r="D1065" t="s">
        <v>11</v>
      </c>
      <c r="E1065" t="s">
        <v>0</v>
      </c>
      <c r="F1065" t="s">
        <v>0</v>
      </c>
      <c r="G1065" t="s">
        <v>1441</v>
      </c>
      <c r="H1065" t="s">
        <v>1445</v>
      </c>
    </row>
    <row r="1066" spans="2:8" ht="15" customHeight="1" x14ac:dyDescent="0.25">
      <c r="B1066" t="s">
        <v>1164</v>
      </c>
      <c r="C1066" s="2">
        <v>3360</v>
      </c>
      <c r="D1066" t="s">
        <v>3</v>
      </c>
      <c r="E1066" t="s">
        <v>0</v>
      </c>
      <c r="F1066" t="s">
        <v>0</v>
      </c>
      <c r="G1066" t="s">
        <v>1442</v>
      </c>
      <c r="H1066" t="s">
        <v>1445</v>
      </c>
    </row>
    <row r="1067" spans="2:8" ht="15" customHeight="1" x14ac:dyDescent="0.25">
      <c r="B1067" t="s">
        <v>1165</v>
      </c>
      <c r="C1067" s="2">
        <v>10000</v>
      </c>
      <c r="D1067" t="s">
        <v>1439</v>
      </c>
      <c r="E1067" t="s">
        <v>0</v>
      </c>
      <c r="F1067" t="s">
        <v>0</v>
      </c>
      <c r="G1067" t="s">
        <v>1440</v>
      </c>
      <c r="H1067" t="s">
        <v>1445</v>
      </c>
    </row>
    <row r="1068" spans="2:8" ht="15" customHeight="1" x14ac:dyDescent="0.25">
      <c r="B1068" t="s">
        <v>1166</v>
      </c>
      <c r="C1068" s="2">
        <v>70000</v>
      </c>
      <c r="D1068" t="s">
        <v>3</v>
      </c>
      <c r="E1068" t="s">
        <v>1</v>
      </c>
      <c r="F1068" t="s">
        <v>1</v>
      </c>
      <c r="G1068" t="s">
        <v>1441</v>
      </c>
      <c r="H1068" t="s">
        <v>1447</v>
      </c>
    </row>
    <row r="1069" spans="2:8" ht="15" customHeight="1" x14ac:dyDescent="0.25">
      <c r="B1069" t="s">
        <v>1167</v>
      </c>
      <c r="C1069" s="2">
        <v>155000</v>
      </c>
      <c r="D1069" t="s">
        <v>11</v>
      </c>
      <c r="E1069" t="s">
        <v>1</v>
      </c>
      <c r="F1069" t="s">
        <v>1</v>
      </c>
      <c r="G1069" t="s">
        <v>1442</v>
      </c>
      <c r="H1069" t="s">
        <v>1446</v>
      </c>
    </row>
    <row r="1070" spans="2:8" ht="15" customHeight="1" x14ac:dyDescent="0.25">
      <c r="B1070" t="s">
        <v>1168</v>
      </c>
      <c r="C1070" s="2">
        <v>225000</v>
      </c>
      <c r="D1070" t="s">
        <v>1439</v>
      </c>
      <c r="E1070" t="s">
        <v>1</v>
      </c>
      <c r="F1070" t="s">
        <v>1</v>
      </c>
      <c r="G1070" t="s">
        <v>1441</v>
      </c>
      <c r="H1070" t="s">
        <v>1446</v>
      </c>
    </row>
    <row r="1071" spans="2:8" ht="15" customHeight="1" x14ac:dyDescent="0.25">
      <c r="B1071" t="s">
        <v>1169</v>
      </c>
      <c r="C1071" s="2">
        <v>10000</v>
      </c>
      <c r="D1071" t="s">
        <v>1437</v>
      </c>
      <c r="E1071" t="s">
        <v>0</v>
      </c>
      <c r="F1071" t="s">
        <v>0</v>
      </c>
      <c r="G1071" t="s">
        <v>1440</v>
      </c>
      <c r="H1071" t="s">
        <v>1445</v>
      </c>
    </row>
    <row r="1072" spans="2:8" ht="15" customHeight="1" x14ac:dyDescent="0.25">
      <c r="B1072" t="s">
        <v>1170</v>
      </c>
      <c r="C1072" s="2">
        <v>5342.3750062327708</v>
      </c>
      <c r="D1072" t="s">
        <v>3</v>
      </c>
      <c r="E1072" t="s">
        <v>0</v>
      </c>
      <c r="F1072" t="s">
        <v>0</v>
      </c>
      <c r="G1072" t="s">
        <v>1441</v>
      </c>
      <c r="H1072" t="s">
        <v>1447</v>
      </c>
    </row>
    <row r="1073" spans="2:8" ht="15" customHeight="1" x14ac:dyDescent="0.25">
      <c r="B1073" t="s">
        <v>1171</v>
      </c>
      <c r="C1073" s="2">
        <v>85672.4111378214</v>
      </c>
      <c r="D1073" t="s">
        <v>33</v>
      </c>
      <c r="E1073" t="s">
        <v>18</v>
      </c>
      <c r="F1073" t="s">
        <v>18</v>
      </c>
      <c r="G1073" t="s">
        <v>1441</v>
      </c>
      <c r="H1073" t="s">
        <v>1447</v>
      </c>
    </row>
    <row r="1074" spans="2:8" ht="15" customHeight="1" x14ac:dyDescent="0.25">
      <c r="B1074" t="s">
        <v>1172</v>
      </c>
      <c r="C1074" s="2">
        <v>4273.9000049862161</v>
      </c>
      <c r="D1074" t="s">
        <v>38</v>
      </c>
      <c r="E1074" t="s">
        <v>0</v>
      </c>
      <c r="F1074" t="s">
        <v>0</v>
      </c>
      <c r="G1074" t="s">
        <v>1443</v>
      </c>
      <c r="H1074" t="s">
        <v>1446</v>
      </c>
    </row>
    <row r="1075" spans="2:8" ht="15" customHeight="1" x14ac:dyDescent="0.25">
      <c r="B1075" t="s">
        <v>1173</v>
      </c>
      <c r="C1075" s="2">
        <v>8903.9583437212841</v>
      </c>
      <c r="D1075" t="s">
        <v>11</v>
      </c>
      <c r="E1075" t="s">
        <v>0</v>
      </c>
      <c r="F1075" t="s">
        <v>0</v>
      </c>
      <c r="G1075" t="s">
        <v>1440</v>
      </c>
      <c r="H1075" t="s">
        <v>1446</v>
      </c>
    </row>
    <row r="1076" spans="2:8" ht="15" customHeight="1" x14ac:dyDescent="0.25">
      <c r="B1076" t="s">
        <v>1174</v>
      </c>
      <c r="C1076" s="2">
        <v>66199.48742682593</v>
      </c>
      <c r="D1076" t="s">
        <v>11</v>
      </c>
      <c r="E1076" t="s">
        <v>15</v>
      </c>
      <c r="F1076" t="s">
        <v>15</v>
      </c>
      <c r="G1076" t="s">
        <v>1441</v>
      </c>
      <c r="H1076" t="s">
        <v>1448</v>
      </c>
    </row>
    <row r="1077" spans="2:8" ht="15" customHeight="1" x14ac:dyDescent="0.25">
      <c r="B1077" t="s">
        <v>1175</v>
      </c>
      <c r="C1077" s="2">
        <v>5698.5333399816218</v>
      </c>
      <c r="D1077" t="s">
        <v>3</v>
      </c>
      <c r="E1077" t="s">
        <v>0</v>
      </c>
      <c r="F1077" t="s">
        <v>0</v>
      </c>
      <c r="G1077" t="s">
        <v>1441</v>
      </c>
      <c r="H1077" t="s">
        <v>1445</v>
      </c>
    </row>
    <row r="1078" spans="2:8" ht="15" customHeight="1" x14ac:dyDescent="0.25">
      <c r="B1078" t="s">
        <v>1176</v>
      </c>
      <c r="C1078" s="2">
        <v>34675.92198548025</v>
      </c>
      <c r="D1078" t="s">
        <v>11</v>
      </c>
      <c r="E1078" t="s">
        <v>15</v>
      </c>
      <c r="F1078" t="s">
        <v>15</v>
      </c>
      <c r="G1078" t="s">
        <v>1441</v>
      </c>
      <c r="H1078" t="s">
        <v>1446</v>
      </c>
    </row>
    <row r="1079" spans="2:8" ht="15" customHeight="1" x14ac:dyDescent="0.25">
      <c r="B1079" t="s">
        <v>1177</v>
      </c>
      <c r="C1079" s="2">
        <v>31200</v>
      </c>
      <c r="D1079" t="s">
        <v>1437</v>
      </c>
      <c r="E1079" t="s">
        <v>35</v>
      </c>
      <c r="F1079" t="s">
        <v>1451</v>
      </c>
      <c r="G1079" t="s">
        <v>1440</v>
      </c>
      <c r="H1079" t="s">
        <v>1446</v>
      </c>
    </row>
    <row r="1080" spans="2:8" ht="15" customHeight="1" x14ac:dyDescent="0.25">
      <c r="B1080" t="s">
        <v>1178</v>
      </c>
      <c r="C1080" s="2">
        <v>55068.245289698301</v>
      </c>
      <c r="D1080" t="s">
        <v>33</v>
      </c>
      <c r="E1080" t="s">
        <v>19</v>
      </c>
      <c r="F1080" t="s">
        <v>19</v>
      </c>
      <c r="G1080" t="s">
        <v>1440</v>
      </c>
      <c r="H1080" t="s">
        <v>1445</v>
      </c>
    </row>
    <row r="1081" spans="2:8" ht="15" customHeight="1" x14ac:dyDescent="0.25">
      <c r="B1081" t="s">
        <v>1179</v>
      </c>
      <c r="C1081" s="2">
        <v>13000</v>
      </c>
      <c r="D1081" t="s">
        <v>3</v>
      </c>
      <c r="E1081" t="s">
        <v>94</v>
      </c>
      <c r="F1081" t="s">
        <v>1453</v>
      </c>
      <c r="G1081" t="s">
        <v>1440</v>
      </c>
      <c r="H1081" t="s">
        <v>1447</v>
      </c>
    </row>
    <row r="1082" spans="2:8" ht="15" customHeight="1" x14ac:dyDescent="0.25">
      <c r="B1082" t="s">
        <v>1180</v>
      </c>
      <c r="C1082" s="2">
        <v>92000</v>
      </c>
      <c r="D1082" t="s">
        <v>1437</v>
      </c>
      <c r="E1082" t="s">
        <v>1</v>
      </c>
      <c r="F1082" t="s">
        <v>1</v>
      </c>
      <c r="G1082" t="s">
        <v>1443</v>
      </c>
      <c r="H1082" t="s">
        <v>1446</v>
      </c>
    </row>
    <row r="1083" spans="2:8" ht="15" customHeight="1" x14ac:dyDescent="0.25">
      <c r="B1083" t="s">
        <v>1181</v>
      </c>
      <c r="C1083" s="2">
        <v>85000</v>
      </c>
      <c r="D1083" t="s">
        <v>11</v>
      </c>
      <c r="E1083" t="s">
        <v>1</v>
      </c>
      <c r="F1083" t="s">
        <v>1</v>
      </c>
      <c r="G1083" t="s">
        <v>1440</v>
      </c>
      <c r="H1083" t="s">
        <v>1447</v>
      </c>
    </row>
    <row r="1084" spans="2:8" ht="15" customHeight="1" x14ac:dyDescent="0.25">
      <c r="B1084" t="s">
        <v>1182</v>
      </c>
      <c r="C1084" s="2">
        <v>11000</v>
      </c>
      <c r="D1084" t="s">
        <v>3</v>
      </c>
      <c r="E1084" t="s">
        <v>95</v>
      </c>
      <c r="F1084" t="s">
        <v>1451</v>
      </c>
      <c r="G1084" t="s">
        <v>1441</v>
      </c>
      <c r="H1084" t="s">
        <v>1447</v>
      </c>
    </row>
    <row r="1085" spans="2:8" ht="15" customHeight="1" x14ac:dyDescent="0.25">
      <c r="B1085" t="s">
        <v>1183</v>
      </c>
      <c r="C1085" s="2">
        <v>38111.983169748237</v>
      </c>
      <c r="D1085" t="s">
        <v>3</v>
      </c>
      <c r="E1085" t="s">
        <v>42</v>
      </c>
      <c r="F1085" t="s">
        <v>1453</v>
      </c>
      <c r="G1085" t="s">
        <v>1442</v>
      </c>
      <c r="H1085" t="s">
        <v>1446</v>
      </c>
    </row>
    <row r="1086" spans="2:8" ht="15" customHeight="1" x14ac:dyDescent="0.25">
      <c r="B1086" t="s">
        <v>1184</v>
      </c>
      <c r="C1086" s="2">
        <v>49000</v>
      </c>
      <c r="D1086" t="s">
        <v>3</v>
      </c>
      <c r="E1086" t="s">
        <v>1</v>
      </c>
      <c r="F1086" t="s">
        <v>1</v>
      </c>
      <c r="G1086" t="s">
        <v>1443</v>
      </c>
      <c r="H1086" t="s">
        <v>1445</v>
      </c>
    </row>
    <row r="1087" spans="2:8" ht="15" customHeight="1" x14ac:dyDescent="0.25">
      <c r="B1087" t="s">
        <v>1185</v>
      </c>
      <c r="C1087" s="2">
        <v>59000</v>
      </c>
      <c r="D1087" t="s">
        <v>11</v>
      </c>
      <c r="E1087" t="s">
        <v>1</v>
      </c>
      <c r="F1087" t="s">
        <v>1</v>
      </c>
      <c r="G1087" t="s">
        <v>1442</v>
      </c>
      <c r="H1087" t="s">
        <v>1445</v>
      </c>
    </row>
    <row r="1088" spans="2:8" ht="15" customHeight="1" x14ac:dyDescent="0.25">
      <c r="B1088" t="s">
        <v>1186</v>
      </c>
      <c r="C1088" s="2">
        <v>55000</v>
      </c>
      <c r="D1088" t="s">
        <v>3</v>
      </c>
      <c r="E1088" t="s">
        <v>1</v>
      </c>
      <c r="F1088" t="s">
        <v>1</v>
      </c>
      <c r="G1088" t="s">
        <v>1441</v>
      </c>
      <c r="H1088" t="s">
        <v>1446</v>
      </c>
    </row>
    <row r="1089" spans="2:8" ht="15" customHeight="1" x14ac:dyDescent="0.25">
      <c r="B1089" t="s">
        <v>1187</v>
      </c>
      <c r="C1089" s="2">
        <v>75000</v>
      </c>
      <c r="D1089" t="s">
        <v>31</v>
      </c>
      <c r="E1089" t="s">
        <v>1</v>
      </c>
      <c r="F1089" t="s">
        <v>1</v>
      </c>
      <c r="G1089" t="s">
        <v>1441</v>
      </c>
      <c r="H1089" t="s">
        <v>1447</v>
      </c>
    </row>
    <row r="1090" spans="2:8" ht="15" customHeight="1" x14ac:dyDescent="0.25">
      <c r="B1090" t="s">
        <v>1188</v>
      </c>
      <c r="C1090" s="2">
        <v>50307.817784067665</v>
      </c>
      <c r="D1090" t="s">
        <v>11</v>
      </c>
      <c r="E1090" t="s">
        <v>58</v>
      </c>
      <c r="F1090" t="s">
        <v>1453</v>
      </c>
      <c r="G1090" t="s">
        <v>1442</v>
      </c>
      <c r="H1090" t="s">
        <v>1445</v>
      </c>
    </row>
    <row r="1091" spans="2:8" ht="15" customHeight="1" x14ac:dyDescent="0.25">
      <c r="B1091" t="s">
        <v>1189</v>
      </c>
      <c r="C1091" s="2">
        <v>30500</v>
      </c>
      <c r="D1091" t="s">
        <v>3</v>
      </c>
      <c r="E1091" t="s">
        <v>22</v>
      </c>
      <c r="F1091" t="s">
        <v>1451</v>
      </c>
      <c r="G1091" t="s">
        <v>1440</v>
      </c>
      <c r="H1091" t="s">
        <v>1447</v>
      </c>
    </row>
    <row r="1092" spans="2:8" ht="15" customHeight="1" x14ac:dyDescent="0.25">
      <c r="B1092" t="s">
        <v>1190</v>
      </c>
      <c r="C1092" s="2">
        <v>80000</v>
      </c>
      <c r="D1092" t="s">
        <v>14</v>
      </c>
      <c r="E1092" t="s">
        <v>1</v>
      </c>
      <c r="F1092" t="s">
        <v>1</v>
      </c>
      <c r="G1092" t="s">
        <v>1443</v>
      </c>
      <c r="H1092" t="s">
        <v>1445</v>
      </c>
    </row>
    <row r="1093" spans="2:8" ht="15" customHeight="1" x14ac:dyDescent="0.25">
      <c r="B1093" t="s">
        <v>1191</v>
      </c>
      <c r="C1093" s="2">
        <v>12000</v>
      </c>
      <c r="D1093" t="s">
        <v>3</v>
      </c>
      <c r="E1093" t="s">
        <v>1</v>
      </c>
      <c r="F1093" t="s">
        <v>1</v>
      </c>
      <c r="G1093" t="s">
        <v>1443</v>
      </c>
      <c r="H1093" t="s">
        <v>1445</v>
      </c>
    </row>
    <row r="1094" spans="2:8" ht="15" customHeight="1" x14ac:dyDescent="0.25">
      <c r="B1094" t="s">
        <v>1192</v>
      </c>
      <c r="C1094" s="2">
        <v>48500</v>
      </c>
      <c r="D1094" t="s">
        <v>3</v>
      </c>
      <c r="E1094" t="s">
        <v>1</v>
      </c>
      <c r="F1094" t="s">
        <v>1</v>
      </c>
      <c r="G1094" t="s">
        <v>1441</v>
      </c>
      <c r="H1094" t="s">
        <v>1447</v>
      </c>
    </row>
    <row r="1095" spans="2:8" ht="15" customHeight="1" x14ac:dyDescent="0.25">
      <c r="B1095" t="s">
        <v>1193</v>
      </c>
      <c r="C1095" s="2">
        <v>63047.130882691366</v>
      </c>
      <c r="D1095" t="s">
        <v>14</v>
      </c>
      <c r="E1095" t="s">
        <v>15</v>
      </c>
      <c r="F1095" t="s">
        <v>15</v>
      </c>
      <c r="G1095" t="s">
        <v>1443</v>
      </c>
      <c r="H1095" t="s">
        <v>1448</v>
      </c>
    </row>
    <row r="1096" spans="2:8" ht="15" customHeight="1" x14ac:dyDescent="0.25">
      <c r="B1096" t="s">
        <v>1194</v>
      </c>
      <c r="C1096" s="2">
        <v>3419.1200039889732</v>
      </c>
      <c r="D1096" t="s">
        <v>3</v>
      </c>
      <c r="E1096" t="s">
        <v>0</v>
      </c>
      <c r="F1096" t="s">
        <v>0</v>
      </c>
      <c r="G1096" t="s">
        <v>1441</v>
      </c>
      <c r="H1096" t="s">
        <v>1445</v>
      </c>
    </row>
    <row r="1097" spans="2:8" ht="15" customHeight="1" x14ac:dyDescent="0.25">
      <c r="B1097" t="s">
        <v>1195</v>
      </c>
      <c r="C1097" s="2">
        <v>87734.690296543267</v>
      </c>
      <c r="D1097" t="s">
        <v>11</v>
      </c>
      <c r="E1097" t="s">
        <v>45</v>
      </c>
      <c r="F1097" t="s">
        <v>1451</v>
      </c>
      <c r="G1097" t="s">
        <v>1441</v>
      </c>
      <c r="H1097" t="s">
        <v>1447</v>
      </c>
    </row>
    <row r="1098" spans="2:8" ht="15" customHeight="1" x14ac:dyDescent="0.25">
      <c r="B1098" t="s">
        <v>1196</v>
      </c>
      <c r="C1098" s="2">
        <v>56628.754645950656</v>
      </c>
      <c r="D1098" t="s">
        <v>3</v>
      </c>
      <c r="E1098" t="s">
        <v>45</v>
      </c>
      <c r="F1098" t="s">
        <v>1451</v>
      </c>
      <c r="G1098" t="s">
        <v>1440</v>
      </c>
      <c r="H1098" t="s">
        <v>1447</v>
      </c>
    </row>
    <row r="1099" spans="2:8" ht="15" customHeight="1" x14ac:dyDescent="0.25">
      <c r="B1099" t="s">
        <v>1197</v>
      </c>
      <c r="C1099" s="2">
        <v>8013.5625093491553</v>
      </c>
      <c r="D1099" t="s">
        <v>1437</v>
      </c>
      <c r="E1099" t="s">
        <v>0</v>
      </c>
      <c r="F1099" t="s">
        <v>0</v>
      </c>
      <c r="G1099" t="s">
        <v>1440</v>
      </c>
      <c r="H1099" t="s">
        <v>1445</v>
      </c>
    </row>
    <row r="1100" spans="2:8" ht="15" customHeight="1" x14ac:dyDescent="0.25">
      <c r="B1100" t="s">
        <v>1198</v>
      </c>
      <c r="C1100" s="2">
        <v>3561.5833374885137</v>
      </c>
      <c r="D1100" t="s">
        <v>3</v>
      </c>
      <c r="E1100" t="s">
        <v>0</v>
      </c>
      <c r="F1100" t="s">
        <v>0</v>
      </c>
      <c r="G1100" t="s">
        <v>1442</v>
      </c>
      <c r="H1100" t="s">
        <v>1446</v>
      </c>
    </row>
    <row r="1101" spans="2:8" ht="15" customHeight="1" x14ac:dyDescent="0.25">
      <c r="B1101" t="s">
        <v>1199</v>
      </c>
      <c r="C1101" s="2">
        <v>62000</v>
      </c>
      <c r="D1101" t="s">
        <v>29</v>
      </c>
      <c r="E1101" t="s">
        <v>1</v>
      </c>
      <c r="F1101" t="s">
        <v>1</v>
      </c>
      <c r="G1101" t="s">
        <v>1443</v>
      </c>
      <c r="H1101" t="s">
        <v>1446</v>
      </c>
    </row>
    <row r="1102" spans="2:8" ht="15" customHeight="1" x14ac:dyDescent="0.25">
      <c r="B1102" t="s">
        <v>1200</v>
      </c>
      <c r="C1102" s="2">
        <v>26678.388218823762</v>
      </c>
      <c r="D1102" t="s">
        <v>3</v>
      </c>
      <c r="E1102" t="s">
        <v>6</v>
      </c>
      <c r="F1102" t="s">
        <v>1453</v>
      </c>
      <c r="G1102" t="s">
        <v>1441</v>
      </c>
      <c r="H1102" t="s">
        <v>1445</v>
      </c>
    </row>
    <row r="1103" spans="2:8" ht="15" customHeight="1" x14ac:dyDescent="0.25">
      <c r="B1103" t="s">
        <v>1201</v>
      </c>
      <c r="C1103" s="2">
        <v>70928.022243027779</v>
      </c>
      <c r="D1103" t="s">
        <v>3</v>
      </c>
      <c r="E1103" t="s">
        <v>15</v>
      </c>
      <c r="F1103" t="s">
        <v>15</v>
      </c>
      <c r="G1103" t="s">
        <v>1440</v>
      </c>
      <c r="H1103" t="s">
        <v>1445</v>
      </c>
    </row>
    <row r="1104" spans="2:8" ht="15" customHeight="1" x14ac:dyDescent="0.25">
      <c r="B1104" t="s">
        <v>1202</v>
      </c>
      <c r="C1104" s="2">
        <v>41923.181486723057</v>
      </c>
      <c r="D1104" t="s">
        <v>3</v>
      </c>
      <c r="E1104" t="s">
        <v>20</v>
      </c>
      <c r="F1104" t="s">
        <v>1453</v>
      </c>
      <c r="G1104" t="s">
        <v>1441</v>
      </c>
      <c r="H1104" t="s">
        <v>1447</v>
      </c>
    </row>
    <row r="1105" spans="2:8" ht="15" customHeight="1" x14ac:dyDescent="0.25">
      <c r="B1105" t="s">
        <v>1203</v>
      </c>
      <c r="C1105" s="2">
        <v>90000</v>
      </c>
      <c r="D1105" t="s">
        <v>3</v>
      </c>
      <c r="E1105" t="s">
        <v>1</v>
      </c>
      <c r="F1105" t="s">
        <v>1</v>
      </c>
      <c r="G1105" t="s">
        <v>1443</v>
      </c>
      <c r="H1105" t="s">
        <v>1447</v>
      </c>
    </row>
    <row r="1106" spans="2:8" ht="15" customHeight="1" x14ac:dyDescent="0.25">
      <c r="B1106" t="s">
        <v>1204</v>
      </c>
      <c r="C1106" s="2">
        <v>67700.452577525488</v>
      </c>
      <c r="D1106" t="s">
        <v>3</v>
      </c>
      <c r="E1106" t="s">
        <v>41</v>
      </c>
      <c r="F1106" t="s">
        <v>1453</v>
      </c>
      <c r="G1106" t="s">
        <v>1440</v>
      </c>
      <c r="H1106" t="s">
        <v>1445</v>
      </c>
    </row>
    <row r="1107" spans="2:8" ht="15" customHeight="1" x14ac:dyDescent="0.25">
      <c r="B1107" t="s">
        <v>1205</v>
      </c>
      <c r="C1107" s="2">
        <v>85000</v>
      </c>
      <c r="D1107" t="s">
        <v>3</v>
      </c>
      <c r="E1107" t="s">
        <v>1</v>
      </c>
      <c r="F1107" t="s">
        <v>1</v>
      </c>
      <c r="G1107" t="s">
        <v>1441</v>
      </c>
      <c r="H1107" t="s">
        <v>1446</v>
      </c>
    </row>
    <row r="1108" spans="2:8" ht="15" customHeight="1" x14ac:dyDescent="0.25">
      <c r="B1108" t="s">
        <v>1206</v>
      </c>
      <c r="C1108" s="2">
        <v>78808.913603364199</v>
      </c>
      <c r="D1108" t="s">
        <v>1439</v>
      </c>
      <c r="E1108" t="s">
        <v>15</v>
      </c>
      <c r="F1108" t="s">
        <v>15</v>
      </c>
      <c r="G1108" t="s">
        <v>1441</v>
      </c>
      <c r="H1108" t="s">
        <v>1447</v>
      </c>
    </row>
    <row r="1109" spans="2:8" ht="15" customHeight="1" x14ac:dyDescent="0.25">
      <c r="B1109" t="s">
        <v>1207</v>
      </c>
      <c r="C1109" s="2">
        <v>65000</v>
      </c>
      <c r="D1109" t="s">
        <v>3</v>
      </c>
      <c r="E1109" t="s">
        <v>1</v>
      </c>
      <c r="F1109" t="s">
        <v>1</v>
      </c>
      <c r="G1109" t="s">
        <v>1441</v>
      </c>
      <c r="H1109" t="s">
        <v>1447</v>
      </c>
    </row>
    <row r="1110" spans="2:8" ht="15" customHeight="1" x14ac:dyDescent="0.25">
      <c r="B1110" t="s">
        <v>1208</v>
      </c>
      <c r="C1110" s="2">
        <v>75000</v>
      </c>
      <c r="D1110" t="s">
        <v>1439</v>
      </c>
      <c r="E1110" t="s">
        <v>1</v>
      </c>
      <c r="F1110" t="s">
        <v>1</v>
      </c>
      <c r="G1110" t="s">
        <v>1443</v>
      </c>
      <c r="H1110" t="s">
        <v>1445</v>
      </c>
    </row>
    <row r="1111" spans="2:8" ht="15" customHeight="1" x14ac:dyDescent="0.25">
      <c r="B1111" t="s">
        <v>1209</v>
      </c>
      <c r="C1111" s="2">
        <v>92000</v>
      </c>
      <c r="D1111" t="s">
        <v>3</v>
      </c>
      <c r="E1111" t="s">
        <v>1</v>
      </c>
      <c r="F1111" t="s">
        <v>1</v>
      </c>
      <c r="G1111" t="s">
        <v>1441</v>
      </c>
      <c r="H1111" t="s">
        <v>1447</v>
      </c>
    </row>
    <row r="1112" spans="2:8" ht="15" customHeight="1" x14ac:dyDescent="0.25">
      <c r="B1112" t="s">
        <v>1210</v>
      </c>
      <c r="C1112" s="2">
        <v>50815.977559664309</v>
      </c>
      <c r="D1112" t="s">
        <v>3</v>
      </c>
      <c r="E1112" t="s">
        <v>4</v>
      </c>
      <c r="F1112" t="s">
        <v>1453</v>
      </c>
      <c r="G1112" t="s">
        <v>1443</v>
      </c>
      <c r="H1112" t="s">
        <v>1445</v>
      </c>
    </row>
    <row r="1113" spans="2:8" ht="15" customHeight="1" x14ac:dyDescent="0.25">
      <c r="B1113" t="s">
        <v>1211</v>
      </c>
      <c r="C1113" s="2">
        <v>55954.328658388586</v>
      </c>
      <c r="D1113" t="s">
        <v>31</v>
      </c>
      <c r="E1113" t="s">
        <v>15</v>
      </c>
      <c r="F1113" t="s">
        <v>15</v>
      </c>
      <c r="G1113" t="s">
        <v>1441</v>
      </c>
      <c r="H1113" t="s">
        <v>1447</v>
      </c>
    </row>
    <row r="1114" spans="2:8" ht="15" customHeight="1" x14ac:dyDescent="0.25">
      <c r="B1114" t="s">
        <v>1212</v>
      </c>
      <c r="C1114" s="2">
        <v>45000</v>
      </c>
      <c r="D1114" t="s">
        <v>3</v>
      </c>
      <c r="E1114" t="s">
        <v>1</v>
      </c>
      <c r="F1114" t="s">
        <v>1</v>
      </c>
      <c r="G1114" t="s">
        <v>1443</v>
      </c>
      <c r="H1114" t="s">
        <v>1445</v>
      </c>
    </row>
    <row r="1115" spans="2:8" ht="15" customHeight="1" x14ac:dyDescent="0.25">
      <c r="B1115" t="s">
        <v>1213</v>
      </c>
      <c r="C1115" s="2">
        <v>7123.1666749770275</v>
      </c>
      <c r="D1115" t="s">
        <v>3</v>
      </c>
      <c r="E1115" t="s">
        <v>0</v>
      </c>
      <c r="F1115" t="s">
        <v>0</v>
      </c>
      <c r="G1115" t="s">
        <v>1441</v>
      </c>
      <c r="H1115" t="s">
        <v>1445</v>
      </c>
    </row>
    <row r="1116" spans="2:8" ht="15" customHeight="1" x14ac:dyDescent="0.25">
      <c r="B1116" t="s">
        <v>1214</v>
      </c>
      <c r="C1116" s="2">
        <v>49443.946165553374</v>
      </c>
      <c r="D1116" t="s">
        <v>3</v>
      </c>
      <c r="E1116" t="s">
        <v>12</v>
      </c>
      <c r="F1116" t="s">
        <v>1453</v>
      </c>
      <c r="G1116" t="s">
        <v>1441</v>
      </c>
      <c r="H1116" t="s">
        <v>1445</v>
      </c>
    </row>
    <row r="1117" spans="2:8" ht="15" customHeight="1" x14ac:dyDescent="0.25">
      <c r="B1117" t="s">
        <v>1215</v>
      </c>
      <c r="C1117" s="2">
        <v>45000</v>
      </c>
      <c r="D1117" t="s">
        <v>1439</v>
      </c>
      <c r="E1117" t="s">
        <v>23</v>
      </c>
      <c r="F1117" t="s">
        <v>1453</v>
      </c>
      <c r="G1117" t="s">
        <v>1441</v>
      </c>
      <c r="H1117" t="s">
        <v>1445</v>
      </c>
    </row>
    <row r="1118" spans="2:8" ht="15" customHeight="1" x14ac:dyDescent="0.25">
      <c r="B1118" t="s">
        <v>1216</v>
      </c>
      <c r="C1118" s="2">
        <v>60000</v>
      </c>
      <c r="D1118" t="s">
        <v>3</v>
      </c>
      <c r="E1118" t="s">
        <v>1</v>
      </c>
      <c r="F1118" t="s">
        <v>1</v>
      </c>
      <c r="G1118" t="s">
        <v>1440</v>
      </c>
      <c r="H1118" t="s">
        <v>1445</v>
      </c>
    </row>
    <row r="1119" spans="2:8" ht="15" customHeight="1" x14ac:dyDescent="0.25">
      <c r="B1119" t="s">
        <v>1217</v>
      </c>
      <c r="C1119" s="2">
        <v>65000</v>
      </c>
      <c r="D1119" t="s">
        <v>3</v>
      </c>
      <c r="E1119" t="s">
        <v>1</v>
      </c>
      <c r="F1119" t="s">
        <v>1</v>
      </c>
      <c r="G1119" t="s">
        <v>1440</v>
      </c>
      <c r="H1119" t="s">
        <v>1445</v>
      </c>
    </row>
    <row r="1120" spans="2:8" ht="15" customHeight="1" x14ac:dyDescent="0.25">
      <c r="B1120" t="s">
        <v>1218</v>
      </c>
      <c r="C1120" s="2">
        <v>73000</v>
      </c>
      <c r="D1120" t="s">
        <v>11</v>
      </c>
      <c r="E1120" t="s">
        <v>1</v>
      </c>
      <c r="F1120" t="s">
        <v>1</v>
      </c>
      <c r="G1120" t="s">
        <v>1443</v>
      </c>
      <c r="H1120" t="s">
        <v>1447</v>
      </c>
    </row>
    <row r="1121" spans="2:8" ht="15" customHeight="1" x14ac:dyDescent="0.25">
      <c r="B1121" t="s">
        <v>1219</v>
      </c>
      <c r="C1121" s="2">
        <v>54000</v>
      </c>
      <c r="D1121" t="s">
        <v>3</v>
      </c>
      <c r="E1121" t="s">
        <v>1</v>
      </c>
      <c r="F1121" t="s">
        <v>1</v>
      </c>
      <c r="G1121" t="s">
        <v>1440</v>
      </c>
      <c r="H1121" t="s">
        <v>1447</v>
      </c>
    </row>
    <row r="1122" spans="2:8" ht="15" customHeight="1" x14ac:dyDescent="0.25">
      <c r="B1122" t="s">
        <v>1220</v>
      </c>
      <c r="C1122" s="2">
        <v>81000</v>
      </c>
      <c r="D1122" t="s">
        <v>3</v>
      </c>
      <c r="E1122" t="s">
        <v>1</v>
      </c>
      <c r="F1122" t="s">
        <v>1</v>
      </c>
      <c r="G1122" t="s">
        <v>1441</v>
      </c>
      <c r="H1122" t="s">
        <v>1447</v>
      </c>
    </row>
    <row r="1123" spans="2:8" ht="15" customHeight="1" x14ac:dyDescent="0.25">
      <c r="B1123" t="s">
        <v>1221</v>
      </c>
      <c r="C1123" s="2">
        <v>10000</v>
      </c>
      <c r="D1123" t="s">
        <v>3</v>
      </c>
      <c r="E1123" t="s">
        <v>1</v>
      </c>
      <c r="F1123" t="s">
        <v>1</v>
      </c>
      <c r="G1123" t="s">
        <v>1441</v>
      </c>
      <c r="H1123" t="s">
        <v>1445</v>
      </c>
    </row>
    <row r="1124" spans="2:8" ht="15" customHeight="1" x14ac:dyDescent="0.25">
      <c r="B1124" t="s">
        <v>1222</v>
      </c>
      <c r="C1124" s="2">
        <v>42000</v>
      </c>
      <c r="D1124" t="s">
        <v>31</v>
      </c>
      <c r="E1124" t="s">
        <v>1</v>
      </c>
      <c r="F1124" t="s">
        <v>1</v>
      </c>
      <c r="G1124" t="s">
        <v>1441</v>
      </c>
      <c r="H1124" t="s">
        <v>1445</v>
      </c>
    </row>
    <row r="1125" spans="2:8" ht="15" customHeight="1" x14ac:dyDescent="0.25">
      <c r="B1125" t="s">
        <v>1223</v>
      </c>
      <c r="C1125" s="2">
        <v>81592.772512210868</v>
      </c>
      <c r="D1125" t="s">
        <v>14</v>
      </c>
      <c r="E1125" t="s">
        <v>18</v>
      </c>
      <c r="F1125" t="s">
        <v>18</v>
      </c>
      <c r="G1125" t="s">
        <v>1441</v>
      </c>
      <c r="H1125" t="s">
        <v>1445</v>
      </c>
    </row>
    <row r="1126" spans="2:8" ht="15" customHeight="1" x14ac:dyDescent="0.25">
      <c r="B1126" t="s">
        <v>1224</v>
      </c>
      <c r="C1126" s="2">
        <v>35401.014829091764</v>
      </c>
      <c r="D1126" t="s">
        <v>3</v>
      </c>
      <c r="E1126" t="s">
        <v>19</v>
      </c>
      <c r="F1126" t="s">
        <v>19</v>
      </c>
      <c r="G1126" t="s">
        <v>1440</v>
      </c>
      <c r="H1126" t="s">
        <v>1445</v>
      </c>
    </row>
    <row r="1127" spans="2:8" ht="15" customHeight="1" x14ac:dyDescent="0.25">
      <c r="B1127" t="s">
        <v>1225</v>
      </c>
      <c r="C1127" s="2">
        <v>8903.9583437212841</v>
      </c>
      <c r="D1127" t="s">
        <v>3</v>
      </c>
      <c r="E1127" t="s">
        <v>0</v>
      </c>
      <c r="F1127" t="s">
        <v>0</v>
      </c>
      <c r="G1127" t="s">
        <v>1441</v>
      </c>
      <c r="H1127" t="s">
        <v>1445</v>
      </c>
    </row>
    <row r="1128" spans="2:8" ht="15" customHeight="1" x14ac:dyDescent="0.25">
      <c r="B1128" t="s">
        <v>1226</v>
      </c>
      <c r="C1128" s="2">
        <v>10684.750012465542</v>
      </c>
      <c r="D1128" t="s">
        <v>3</v>
      </c>
      <c r="E1128" t="s">
        <v>0</v>
      </c>
      <c r="F1128" t="s">
        <v>0</v>
      </c>
      <c r="G1128" t="s">
        <v>1440</v>
      </c>
      <c r="H1128" t="s">
        <v>1445</v>
      </c>
    </row>
    <row r="1129" spans="2:8" ht="15" customHeight="1" x14ac:dyDescent="0.25">
      <c r="B1129" t="s">
        <v>1227</v>
      </c>
      <c r="C1129" s="2">
        <v>8400</v>
      </c>
      <c r="D1129" t="s">
        <v>3</v>
      </c>
      <c r="E1129" t="s">
        <v>49</v>
      </c>
      <c r="F1129" t="s">
        <v>1454</v>
      </c>
      <c r="G1129" t="s">
        <v>1441</v>
      </c>
      <c r="H1129" t="s">
        <v>1446</v>
      </c>
    </row>
    <row r="1130" spans="2:8" ht="15" customHeight="1" x14ac:dyDescent="0.25">
      <c r="B1130" t="s">
        <v>1228</v>
      </c>
      <c r="C1130" s="2">
        <v>9794.354178093412</v>
      </c>
      <c r="D1130" t="s">
        <v>11</v>
      </c>
      <c r="E1130" t="s">
        <v>0</v>
      </c>
      <c r="F1130" t="s">
        <v>0</v>
      </c>
      <c r="G1130" t="s">
        <v>1441</v>
      </c>
      <c r="H1130" t="s">
        <v>1446</v>
      </c>
    </row>
    <row r="1131" spans="2:8" ht="15" customHeight="1" x14ac:dyDescent="0.25">
      <c r="B1131" t="s">
        <v>1229</v>
      </c>
      <c r="C1131" s="2">
        <v>14400</v>
      </c>
      <c r="D1131" t="s">
        <v>29</v>
      </c>
      <c r="E1131" t="s">
        <v>0</v>
      </c>
      <c r="F1131" t="s">
        <v>0</v>
      </c>
      <c r="G1131" t="s">
        <v>1442</v>
      </c>
      <c r="H1131" t="s">
        <v>1447</v>
      </c>
    </row>
    <row r="1132" spans="2:8" ht="15" customHeight="1" x14ac:dyDescent="0.25">
      <c r="B1132" t="s">
        <v>1230</v>
      </c>
      <c r="C1132" s="2">
        <v>2671.1875031163854</v>
      </c>
      <c r="D1132" t="s">
        <v>1437</v>
      </c>
      <c r="E1132" t="s">
        <v>0</v>
      </c>
      <c r="F1132" t="s">
        <v>0</v>
      </c>
      <c r="G1132" t="s">
        <v>1440</v>
      </c>
      <c r="H1132" t="s">
        <v>1445</v>
      </c>
    </row>
    <row r="1133" spans="2:8" ht="15" customHeight="1" x14ac:dyDescent="0.25">
      <c r="B1133" t="s">
        <v>1231</v>
      </c>
      <c r="C1133" s="2">
        <v>22000</v>
      </c>
      <c r="D1133" t="s">
        <v>11</v>
      </c>
      <c r="E1133" t="s">
        <v>0</v>
      </c>
      <c r="F1133" t="s">
        <v>0</v>
      </c>
      <c r="G1133" t="s">
        <v>1440</v>
      </c>
      <c r="H1133" t="s">
        <v>1447</v>
      </c>
    </row>
    <row r="1134" spans="2:8" ht="15" customHeight="1" x14ac:dyDescent="0.25">
      <c r="B1134" t="s">
        <v>1232</v>
      </c>
      <c r="C1134" s="2">
        <v>100000</v>
      </c>
      <c r="D1134" t="s">
        <v>3</v>
      </c>
      <c r="E1134" t="s">
        <v>13</v>
      </c>
      <c r="F1134" t="s">
        <v>1451</v>
      </c>
      <c r="G1134" t="s">
        <v>1440</v>
      </c>
      <c r="H1134" t="s">
        <v>1447</v>
      </c>
    </row>
    <row r="1135" spans="2:8" ht="15" customHeight="1" x14ac:dyDescent="0.25">
      <c r="B1135" t="s">
        <v>1233</v>
      </c>
      <c r="C1135" s="2">
        <v>63047.130882691366</v>
      </c>
      <c r="D1135" t="s">
        <v>11</v>
      </c>
      <c r="E1135" t="s">
        <v>15</v>
      </c>
      <c r="F1135" t="s">
        <v>15</v>
      </c>
      <c r="G1135" t="s">
        <v>1441</v>
      </c>
      <c r="H1135" t="s">
        <v>1446</v>
      </c>
    </row>
    <row r="1136" spans="2:8" ht="15" customHeight="1" x14ac:dyDescent="0.25">
      <c r="B1136" t="s">
        <v>1234</v>
      </c>
      <c r="C1136" s="2">
        <v>56742.417794422225</v>
      </c>
      <c r="D1136" t="s">
        <v>11</v>
      </c>
      <c r="E1136" t="s">
        <v>15</v>
      </c>
      <c r="F1136" t="s">
        <v>15</v>
      </c>
      <c r="G1136" t="s">
        <v>1442</v>
      </c>
      <c r="H1136" t="s">
        <v>1448</v>
      </c>
    </row>
    <row r="1137" spans="2:8" ht="15" customHeight="1" x14ac:dyDescent="0.25">
      <c r="B1137" t="s">
        <v>1235</v>
      </c>
      <c r="C1137" s="2">
        <v>25000</v>
      </c>
      <c r="D1137" t="s">
        <v>3</v>
      </c>
      <c r="E1137" t="s">
        <v>0</v>
      </c>
      <c r="F1137" t="s">
        <v>0</v>
      </c>
      <c r="G1137" t="s">
        <v>1440</v>
      </c>
      <c r="H1137" t="s">
        <v>1447</v>
      </c>
    </row>
    <row r="1138" spans="2:8" ht="15" customHeight="1" x14ac:dyDescent="0.25">
      <c r="B1138" t="s">
        <v>1236</v>
      </c>
      <c r="C1138" s="2">
        <v>8903.9583437212841</v>
      </c>
      <c r="D1138" t="s">
        <v>3</v>
      </c>
      <c r="E1138" t="s">
        <v>0</v>
      </c>
      <c r="F1138" t="s">
        <v>0</v>
      </c>
      <c r="G1138" t="s">
        <v>1441</v>
      </c>
      <c r="H1138" t="s">
        <v>1445</v>
      </c>
    </row>
    <row r="1139" spans="2:8" ht="15" customHeight="1" x14ac:dyDescent="0.25">
      <c r="B1139" t="s">
        <v>1237</v>
      </c>
      <c r="C1139" s="2">
        <v>42556.81334581667</v>
      </c>
      <c r="D1139" t="s">
        <v>3</v>
      </c>
      <c r="E1139" t="s">
        <v>15</v>
      </c>
      <c r="F1139" t="s">
        <v>15</v>
      </c>
      <c r="G1139" t="s">
        <v>1441</v>
      </c>
      <c r="H1139" t="s">
        <v>1445</v>
      </c>
    </row>
    <row r="1140" spans="2:8" ht="15" customHeight="1" x14ac:dyDescent="0.25">
      <c r="B1140" t="s">
        <v>1238</v>
      </c>
      <c r="C1140" s="2">
        <v>131770.4440860638</v>
      </c>
      <c r="D1140" t="s">
        <v>31</v>
      </c>
      <c r="E1140" t="s">
        <v>19</v>
      </c>
      <c r="F1140" t="s">
        <v>19</v>
      </c>
      <c r="G1140" t="s">
        <v>1440</v>
      </c>
      <c r="H1140" t="s">
        <v>1446</v>
      </c>
    </row>
    <row r="1141" spans="2:8" ht="15" customHeight="1" x14ac:dyDescent="0.25">
      <c r="B1141" t="s">
        <v>1239</v>
      </c>
      <c r="C1141" s="2">
        <v>68835.306612122877</v>
      </c>
      <c r="D1141" t="s">
        <v>3</v>
      </c>
      <c r="E1141" t="s">
        <v>19</v>
      </c>
      <c r="F1141" t="s">
        <v>19</v>
      </c>
      <c r="G1141" t="s">
        <v>1440</v>
      </c>
      <c r="H1141" t="s">
        <v>1445</v>
      </c>
    </row>
    <row r="1142" spans="2:8" ht="15" customHeight="1" x14ac:dyDescent="0.25">
      <c r="B1142" t="s">
        <v>1240</v>
      </c>
      <c r="C1142" s="2">
        <v>6000</v>
      </c>
      <c r="D1142" t="s">
        <v>1437</v>
      </c>
      <c r="E1142" t="s">
        <v>96</v>
      </c>
      <c r="F1142" t="s">
        <v>1451</v>
      </c>
      <c r="G1142" t="s">
        <v>1440</v>
      </c>
      <c r="H1142" t="s">
        <v>1445</v>
      </c>
    </row>
    <row r="1143" spans="2:8" ht="15" customHeight="1" x14ac:dyDescent="0.25">
      <c r="B1143" t="s">
        <v>1241</v>
      </c>
      <c r="C1143" s="2">
        <v>78808.913603364199</v>
      </c>
      <c r="D1143" t="s">
        <v>3</v>
      </c>
      <c r="E1143" t="s">
        <v>15</v>
      </c>
      <c r="F1143" t="s">
        <v>15</v>
      </c>
      <c r="G1143" t="s">
        <v>1443</v>
      </c>
      <c r="H1143" t="s">
        <v>1445</v>
      </c>
    </row>
    <row r="1144" spans="2:8" ht="15" customHeight="1" x14ac:dyDescent="0.25">
      <c r="B1144" t="s">
        <v>1242</v>
      </c>
      <c r="C1144" s="2">
        <v>7497.1329254133216</v>
      </c>
      <c r="D1144" t="s">
        <v>3</v>
      </c>
      <c r="E1144" t="s">
        <v>0</v>
      </c>
      <c r="F1144" t="s">
        <v>0</v>
      </c>
      <c r="G1144" t="s">
        <v>1441</v>
      </c>
      <c r="H1144" t="s">
        <v>1445</v>
      </c>
    </row>
    <row r="1145" spans="2:8" ht="15" customHeight="1" x14ac:dyDescent="0.25">
      <c r="B1145" t="s">
        <v>1243</v>
      </c>
      <c r="C1145" s="2">
        <v>10000</v>
      </c>
      <c r="D1145" t="s">
        <v>11</v>
      </c>
      <c r="E1145" t="s">
        <v>0</v>
      </c>
      <c r="F1145" t="s">
        <v>0</v>
      </c>
      <c r="G1145" t="s">
        <v>1441</v>
      </c>
      <c r="H1145" t="s">
        <v>1446</v>
      </c>
    </row>
    <row r="1146" spans="2:8" ht="15" customHeight="1" x14ac:dyDescent="0.25">
      <c r="B1146" t="s">
        <v>1244</v>
      </c>
      <c r="C1146" s="2">
        <v>6410.8500074793246</v>
      </c>
      <c r="D1146" t="s">
        <v>33</v>
      </c>
      <c r="E1146" t="s">
        <v>0</v>
      </c>
      <c r="F1146" t="s">
        <v>0</v>
      </c>
      <c r="G1146" t="s">
        <v>1442</v>
      </c>
      <c r="H1146" t="s">
        <v>1445</v>
      </c>
    </row>
    <row r="1147" spans="2:8" ht="15" customHeight="1" x14ac:dyDescent="0.25">
      <c r="B1147" t="s">
        <v>1245</v>
      </c>
      <c r="C1147" s="2">
        <v>63047.130882691366</v>
      </c>
      <c r="D1147" t="s">
        <v>3</v>
      </c>
      <c r="E1147" t="s">
        <v>15</v>
      </c>
      <c r="F1147" t="s">
        <v>15</v>
      </c>
      <c r="G1147" t="s">
        <v>1441</v>
      </c>
      <c r="H1147" t="s">
        <v>1445</v>
      </c>
    </row>
    <row r="1148" spans="2:8" ht="15" customHeight="1" x14ac:dyDescent="0.25">
      <c r="B1148" t="s">
        <v>1246</v>
      </c>
      <c r="C1148" s="2">
        <v>61194.579384158147</v>
      </c>
      <c r="D1148" t="s">
        <v>3</v>
      </c>
      <c r="E1148" t="s">
        <v>18</v>
      </c>
      <c r="F1148" t="s">
        <v>18</v>
      </c>
      <c r="G1148" t="s">
        <v>1443</v>
      </c>
      <c r="H1148" t="s">
        <v>1445</v>
      </c>
    </row>
    <row r="1149" spans="2:8" ht="15" customHeight="1" x14ac:dyDescent="0.25">
      <c r="B1149" t="s">
        <v>1247</v>
      </c>
      <c r="C1149" s="2">
        <v>115061.01386091174</v>
      </c>
      <c r="D1149" t="s">
        <v>38</v>
      </c>
      <c r="E1149" t="s">
        <v>15</v>
      </c>
      <c r="F1149" t="s">
        <v>15</v>
      </c>
      <c r="G1149" t="s">
        <v>1441</v>
      </c>
      <c r="H1149" t="s">
        <v>1447</v>
      </c>
    </row>
    <row r="1150" spans="2:8" ht="15" customHeight="1" x14ac:dyDescent="0.25">
      <c r="B1150" t="s">
        <v>1248</v>
      </c>
      <c r="C1150" s="2">
        <v>45000</v>
      </c>
      <c r="D1150" t="s">
        <v>3</v>
      </c>
      <c r="E1150" t="s">
        <v>1</v>
      </c>
      <c r="F1150" t="s">
        <v>1</v>
      </c>
      <c r="G1150" t="s">
        <v>1440</v>
      </c>
      <c r="H1150" t="s">
        <v>1445</v>
      </c>
    </row>
    <row r="1151" spans="2:8" ht="15" customHeight="1" x14ac:dyDescent="0.25">
      <c r="B1151" t="s">
        <v>1249</v>
      </c>
      <c r="C1151" s="2">
        <v>36000</v>
      </c>
      <c r="D1151" t="s">
        <v>3</v>
      </c>
      <c r="E1151" t="s">
        <v>1</v>
      </c>
      <c r="F1151" t="s">
        <v>1</v>
      </c>
      <c r="G1151" t="s">
        <v>1441</v>
      </c>
      <c r="H1151" t="s">
        <v>1445</v>
      </c>
    </row>
    <row r="1152" spans="2:8" ht="15" customHeight="1" x14ac:dyDescent="0.25">
      <c r="B1152" t="s">
        <v>1250</v>
      </c>
      <c r="C1152" s="2">
        <v>68000</v>
      </c>
      <c r="D1152" t="s">
        <v>3</v>
      </c>
      <c r="E1152" t="s">
        <v>1</v>
      </c>
      <c r="F1152" t="s">
        <v>1</v>
      </c>
      <c r="G1152" t="s">
        <v>1441</v>
      </c>
      <c r="H1152" t="s">
        <v>1445</v>
      </c>
    </row>
    <row r="1153" spans="2:8" ht="15" customHeight="1" x14ac:dyDescent="0.25">
      <c r="B1153" t="s">
        <v>1251</v>
      </c>
      <c r="C1153" s="2">
        <v>75000</v>
      </c>
      <c r="D1153" t="s">
        <v>3</v>
      </c>
      <c r="E1153" t="s">
        <v>1</v>
      </c>
      <c r="F1153" t="s">
        <v>1</v>
      </c>
      <c r="G1153" t="s">
        <v>1440</v>
      </c>
      <c r="H1153" t="s">
        <v>1445</v>
      </c>
    </row>
    <row r="1154" spans="2:8" ht="15" customHeight="1" x14ac:dyDescent="0.25">
      <c r="B1154" t="s">
        <v>1252</v>
      </c>
      <c r="C1154" s="2">
        <v>88000</v>
      </c>
      <c r="D1154" t="s">
        <v>3</v>
      </c>
      <c r="E1154" t="s">
        <v>1</v>
      </c>
      <c r="F1154" t="s">
        <v>1</v>
      </c>
      <c r="G1154" t="s">
        <v>1440</v>
      </c>
      <c r="H1154" t="s">
        <v>1447</v>
      </c>
    </row>
    <row r="1155" spans="2:8" ht="15" customHeight="1" x14ac:dyDescent="0.25">
      <c r="B1155" t="s">
        <v>1253</v>
      </c>
      <c r="C1155" s="2">
        <v>4594.4425053601826</v>
      </c>
      <c r="D1155" t="s">
        <v>3</v>
      </c>
      <c r="E1155" t="s">
        <v>0</v>
      </c>
      <c r="F1155" t="s">
        <v>0</v>
      </c>
      <c r="G1155" t="s">
        <v>1441</v>
      </c>
      <c r="H1155" t="s">
        <v>1445</v>
      </c>
    </row>
    <row r="1156" spans="2:8" ht="15" customHeight="1" x14ac:dyDescent="0.25">
      <c r="B1156" t="s">
        <v>1254</v>
      </c>
      <c r="C1156" s="2">
        <v>69000</v>
      </c>
      <c r="D1156" t="s">
        <v>3</v>
      </c>
      <c r="E1156" t="s">
        <v>1</v>
      </c>
      <c r="F1156" t="s">
        <v>1</v>
      </c>
      <c r="G1156" t="s">
        <v>1440</v>
      </c>
      <c r="H1156" t="s">
        <v>1446</v>
      </c>
    </row>
    <row r="1157" spans="2:8" ht="15" customHeight="1" x14ac:dyDescent="0.25">
      <c r="B1157" t="s">
        <v>1255</v>
      </c>
      <c r="C1157" s="2">
        <v>30000</v>
      </c>
      <c r="D1157" t="s">
        <v>11</v>
      </c>
      <c r="E1157" t="s">
        <v>1</v>
      </c>
      <c r="F1157" t="s">
        <v>1</v>
      </c>
      <c r="G1157" t="s">
        <v>1441</v>
      </c>
      <c r="H1157" t="s">
        <v>1445</v>
      </c>
    </row>
    <row r="1158" spans="2:8" ht="15" customHeight="1" x14ac:dyDescent="0.25">
      <c r="B1158" t="s">
        <v>1256</v>
      </c>
      <c r="C1158" s="2">
        <v>80000</v>
      </c>
      <c r="D1158" t="s">
        <v>11</v>
      </c>
      <c r="E1158" t="s">
        <v>1</v>
      </c>
      <c r="F1158" t="s">
        <v>1</v>
      </c>
      <c r="G1158" t="s">
        <v>1441</v>
      </c>
      <c r="H1158" t="s">
        <v>1447</v>
      </c>
    </row>
    <row r="1159" spans="2:8" ht="15" customHeight="1" x14ac:dyDescent="0.25">
      <c r="B1159" t="s">
        <v>1257</v>
      </c>
      <c r="C1159" s="2">
        <v>75000</v>
      </c>
      <c r="D1159" t="s">
        <v>31</v>
      </c>
      <c r="E1159" t="s">
        <v>1</v>
      </c>
      <c r="F1159" t="s">
        <v>1</v>
      </c>
      <c r="G1159" t="s">
        <v>1440</v>
      </c>
      <c r="H1159" t="s">
        <v>1445</v>
      </c>
    </row>
    <row r="1160" spans="2:8" ht="15" customHeight="1" x14ac:dyDescent="0.25">
      <c r="B1160" t="s">
        <v>1258</v>
      </c>
      <c r="C1160" s="2">
        <v>31200</v>
      </c>
      <c r="D1160" t="s">
        <v>3</v>
      </c>
      <c r="E1160" t="s">
        <v>22</v>
      </c>
      <c r="F1160" t="s">
        <v>1451</v>
      </c>
      <c r="G1160" t="s">
        <v>1441</v>
      </c>
      <c r="H1160" t="s">
        <v>1445</v>
      </c>
    </row>
    <row r="1161" spans="2:8" ht="15" customHeight="1" x14ac:dyDescent="0.25">
      <c r="B1161" t="s">
        <v>1259</v>
      </c>
      <c r="C1161" s="2">
        <v>85000</v>
      </c>
      <c r="D1161" t="s">
        <v>31</v>
      </c>
      <c r="E1161" t="s">
        <v>1</v>
      </c>
      <c r="F1161" t="s">
        <v>1</v>
      </c>
      <c r="G1161" t="s">
        <v>1441</v>
      </c>
      <c r="H1161" t="s">
        <v>1446</v>
      </c>
    </row>
    <row r="1162" spans="2:8" ht="15" customHeight="1" x14ac:dyDescent="0.25">
      <c r="B1162" t="s">
        <v>1260</v>
      </c>
      <c r="C1162" s="2">
        <v>16917.52085307044</v>
      </c>
      <c r="D1162" t="s">
        <v>11</v>
      </c>
      <c r="E1162" t="s">
        <v>0</v>
      </c>
      <c r="F1162" t="s">
        <v>0</v>
      </c>
      <c r="G1162" t="s">
        <v>1443</v>
      </c>
      <c r="H1162" t="s">
        <v>1447</v>
      </c>
    </row>
    <row r="1163" spans="2:8" ht="15" customHeight="1" x14ac:dyDescent="0.25">
      <c r="B1163" t="s">
        <v>1261</v>
      </c>
      <c r="C1163" s="2">
        <v>3205.4250037396623</v>
      </c>
      <c r="D1163" t="s">
        <v>1437</v>
      </c>
      <c r="E1163" t="s">
        <v>0</v>
      </c>
      <c r="F1163" t="s">
        <v>0</v>
      </c>
      <c r="G1163" t="s">
        <v>1441</v>
      </c>
      <c r="H1163" t="s">
        <v>1445</v>
      </c>
    </row>
    <row r="1164" spans="2:8" ht="15" customHeight="1" x14ac:dyDescent="0.25">
      <c r="B1164" t="s">
        <v>1262</v>
      </c>
      <c r="C1164" s="2">
        <v>60000</v>
      </c>
      <c r="D1164" t="s">
        <v>11</v>
      </c>
      <c r="E1164" t="s">
        <v>1</v>
      </c>
      <c r="F1164" t="s">
        <v>1</v>
      </c>
      <c r="G1164" t="s">
        <v>1440</v>
      </c>
      <c r="H1164" t="s">
        <v>1445</v>
      </c>
    </row>
    <row r="1165" spans="2:8" ht="15" customHeight="1" x14ac:dyDescent="0.25">
      <c r="B1165" t="s">
        <v>1263</v>
      </c>
      <c r="C1165" s="2">
        <v>60000</v>
      </c>
      <c r="D1165" t="s">
        <v>11</v>
      </c>
      <c r="E1165" t="s">
        <v>1</v>
      </c>
      <c r="F1165" t="s">
        <v>1</v>
      </c>
      <c r="G1165" t="s">
        <v>1440</v>
      </c>
      <c r="H1165" t="s">
        <v>1445</v>
      </c>
    </row>
    <row r="1166" spans="2:8" ht="15" customHeight="1" x14ac:dyDescent="0.25">
      <c r="B1166" t="s">
        <v>1264</v>
      </c>
      <c r="C1166" s="2">
        <v>14246.333349954055</v>
      </c>
      <c r="D1166" t="s">
        <v>11</v>
      </c>
      <c r="E1166" t="s">
        <v>0</v>
      </c>
      <c r="F1166" t="s">
        <v>0</v>
      </c>
      <c r="G1166" t="s">
        <v>1443</v>
      </c>
      <c r="H1166" t="s">
        <v>1445</v>
      </c>
    </row>
    <row r="1167" spans="2:8" ht="15" customHeight="1" x14ac:dyDescent="0.25">
      <c r="B1167" t="s">
        <v>1265</v>
      </c>
      <c r="C1167" s="2">
        <v>14246.333349954055</v>
      </c>
      <c r="D1167" t="s">
        <v>11</v>
      </c>
      <c r="E1167" t="s">
        <v>0</v>
      </c>
      <c r="F1167" t="s">
        <v>0</v>
      </c>
      <c r="G1167" t="s">
        <v>1443</v>
      </c>
      <c r="H1167" t="s">
        <v>1445</v>
      </c>
    </row>
    <row r="1168" spans="2:8" ht="15" customHeight="1" x14ac:dyDescent="0.25">
      <c r="B1168" t="s">
        <v>1266</v>
      </c>
      <c r="C1168" s="2">
        <v>28995</v>
      </c>
      <c r="D1168" t="s">
        <v>11</v>
      </c>
      <c r="E1168" t="s">
        <v>0</v>
      </c>
      <c r="F1168" t="s">
        <v>0</v>
      </c>
      <c r="G1168" t="s">
        <v>1441</v>
      </c>
      <c r="H1168" t="s">
        <v>1447</v>
      </c>
    </row>
    <row r="1169" spans="2:8" ht="15" customHeight="1" x14ac:dyDescent="0.25">
      <c r="B1169" t="s">
        <v>1267</v>
      </c>
      <c r="C1169" s="2">
        <v>21903.737525554359</v>
      </c>
      <c r="D1169" t="s">
        <v>3</v>
      </c>
      <c r="E1169" t="s">
        <v>0</v>
      </c>
      <c r="F1169" t="s">
        <v>0</v>
      </c>
      <c r="G1169" t="s">
        <v>1440</v>
      </c>
      <c r="H1169" t="s">
        <v>1445</v>
      </c>
    </row>
    <row r="1170" spans="2:8" ht="15" customHeight="1" x14ac:dyDescent="0.25">
      <c r="B1170" t="s">
        <v>1268</v>
      </c>
      <c r="C1170" s="2">
        <v>20122.945856810104</v>
      </c>
      <c r="D1170" t="s">
        <v>3</v>
      </c>
      <c r="E1170" t="s">
        <v>0</v>
      </c>
      <c r="F1170" t="s">
        <v>0</v>
      </c>
      <c r="G1170" t="s">
        <v>1440</v>
      </c>
      <c r="H1170" t="s">
        <v>1445</v>
      </c>
    </row>
    <row r="1171" spans="2:8" ht="15" customHeight="1" x14ac:dyDescent="0.25">
      <c r="B1171" t="s">
        <v>1269</v>
      </c>
      <c r="C1171" s="2">
        <v>70928.022243027779</v>
      </c>
      <c r="D1171" t="s">
        <v>3</v>
      </c>
      <c r="E1171" t="s">
        <v>15</v>
      </c>
      <c r="F1171" t="s">
        <v>15</v>
      </c>
      <c r="G1171" t="s">
        <v>1440</v>
      </c>
      <c r="H1171" t="s">
        <v>1446</v>
      </c>
    </row>
    <row r="1172" spans="2:8" ht="15" customHeight="1" x14ac:dyDescent="0.25">
      <c r="B1172" t="s">
        <v>1270</v>
      </c>
      <c r="C1172" s="2">
        <v>67000</v>
      </c>
      <c r="D1172" t="s">
        <v>11</v>
      </c>
      <c r="E1172" t="s">
        <v>1</v>
      </c>
      <c r="F1172" t="s">
        <v>1</v>
      </c>
      <c r="G1172" t="s">
        <v>1441</v>
      </c>
      <c r="H1172" t="s">
        <v>1446</v>
      </c>
    </row>
    <row r="1173" spans="2:8" ht="15" customHeight="1" x14ac:dyDescent="0.25">
      <c r="B1173" t="s">
        <v>1271</v>
      </c>
      <c r="C1173" s="2">
        <v>30000</v>
      </c>
      <c r="D1173" t="s">
        <v>3</v>
      </c>
      <c r="E1173" t="s">
        <v>1</v>
      </c>
      <c r="F1173" t="s">
        <v>1</v>
      </c>
      <c r="G1173" t="s">
        <v>1443</v>
      </c>
      <c r="H1173" t="s">
        <v>1445</v>
      </c>
    </row>
    <row r="1174" spans="2:8" ht="15" customHeight="1" x14ac:dyDescent="0.25">
      <c r="B1174" t="s">
        <v>1272</v>
      </c>
      <c r="C1174" s="2">
        <v>148102.22862117883</v>
      </c>
      <c r="D1174" t="s">
        <v>11</v>
      </c>
      <c r="E1174" t="s">
        <v>9</v>
      </c>
      <c r="F1174" t="s">
        <v>1453</v>
      </c>
      <c r="G1174" t="s">
        <v>1443</v>
      </c>
      <c r="H1174" t="s">
        <v>1447</v>
      </c>
    </row>
    <row r="1175" spans="2:8" ht="15" customHeight="1" x14ac:dyDescent="0.25">
      <c r="B1175" t="s">
        <v>1273</v>
      </c>
      <c r="C1175" s="2">
        <v>71500</v>
      </c>
      <c r="D1175" t="s">
        <v>11</v>
      </c>
      <c r="E1175" t="s">
        <v>1</v>
      </c>
      <c r="F1175" t="s">
        <v>1</v>
      </c>
      <c r="G1175" t="s">
        <v>1440</v>
      </c>
      <c r="H1175" t="s">
        <v>1446</v>
      </c>
    </row>
    <row r="1176" spans="2:8" ht="15" customHeight="1" x14ac:dyDescent="0.25">
      <c r="B1176" t="s">
        <v>1274</v>
      </c>
      <c r="C1176" s="2">
        <v>40000</v>
      </c>
      <c r="D1176" t="s">
        <v>3</v>
      </c>
      <c r="E1176" t="s">
        <v>1</v>
      </c>
      <c r="F1176" t="s">
        <v>1</v>
      </c>
      <c r="G1176" t="s">
        <v>1441</v>
      </c>
      <c r="H1176" t="s">
        <v>1445</v>
      </c>
    </row>
    <row r="1177" spans="2:8" ht="15" customHeight="1" x14ac:dyDescent="0.25">
      <c r="B1177" t="s">
        <v>1275</v>
      </c>
      <c r="C1177" s="2">
        <v>65000</v>
      </c>
      <c r="D1177" t="s">
        <v>11</v>
      </c>
      <c r="E1177" t="s">
        <v>1</v>
      </c>
      <c r="F1177" t="s">
        <v>1</v>
      </c>
      <c r="G1177" t="s">
        <v>1441</v>
      </c>
      <c r="H1177" t="s">
        <v>1445</v>
      </c>
    </row>
    <row r="1178" spans="2:8" ht="15" customHeight="1" x14ac:dyDescent="0.25">
      <c r="B1178" t="s">
        <v>1276</v>
      </c>
      <c r="C1178" s="2">
        <v>72000</v>
      </c>
      <c r="D1178" t="s">
        <v>33</v>
      </c>
      <c r="E1178" t="s">
        <v>1</v>
      </c>
      <c r="F1178" t="s">
        <v>1</v>
      </c>
      <c r="G1178" t="s">
        <v>1443</v>
      </c>
      <c r="H1178" t="s">
        <v>1446</v>
      </c>
    </row>
    <row r="1179" spans="2:8" ht="15" customHeight="1" x14ac:dyDescent="0.25">
      <c r="B1179" t="s">
        <v>1277</v>
      </c>
      <c r="C1179" s="2">
        <v>52500</v>
      </c>
      <c r="D1179" t="s">
        <v>11</v>
      </c>
      <c r="E1179" t="s">
        <v>1</v>
      </c>
      <c r="F1179" t="s">
        <v>1</v>
      </c>
      <c r="G1179" t="s">
        <v>1440</v>
      </c>
      <c r="H1179" t="s">
        <v>1445</v>
      </c>
    </row>
    <row r="1180" spans="2:8" ht="15" customHeight="1" x14ac:dyDescent="0.25">
      <c r="B1180" t="s">
        <v>1278</v>
      </c>
      <c r="C1180" s="2">
        <v>5320</v>
      </c>
      <c r="D1180" t="s">
        <v>11</v>
      </c>
      <c r="E1180" t="s">
        <v>0</v>
      </c>
      <c r="F1180" t="s">
        <v>0</v>
      </c>
      <c r="G1180" t="s">
        <v>1443</v>
      </c>
      <c r="H1180" t="s">
        <v>1445</v>
      </c>
    </row>
    <row r="1181" spans="2:8" ht="15" customHeight="1" x14ac:dyDescent="0.25">
      <c r="B1181" t="s">
        <v>1279</v>
      </c>
      <c r="C1181" s="2">
        <v>18000</v>
      </c>
      <c r="D1181" t="s">
        <v>31</v>
      </c>
      <c r="E1181" t="s">
        <v>26</v>
      </c>
      <c r="F1181" t="s">
        <v>1451</v>
      </c>
      <c r="G1181" t="s">
        <v>1440</v>
      </c>
      <c r="H1181" t="s">
        <v>1445</v>
      </c>
    </row>
    <row r="1182" spans="2:8" ht="15" customHeight="1" x14ac:dyDescent="0.25">
      <c r="B1182" t="s">
        <v>1280</v>
      </c>
      <c r="C1182" s="2">
        <v>2493.1083362419595</v>
      </c>
      <c r="D1182" t="s">
        <v>1438</v>
      </c>
      <c r="E1182" t="s">
        <v>0</v>
      </c>
      <c r="F1182" t="s">
        <v>0</v>
      </c>
      <c r="G1182" t="s">
        <v>1441</v>
      </c>
      <c r="H1182" t="s">
        <v>1445</v>
      </c>
    </row>
    <row r="1183" spans="2:8" ht="15" customHeight="1" x14ac:dyDescent="0.25">
      <c r="B1183" t="s">
        <v>1281</v>
      </c>
      <c r="C1183" s="2">
        <v>21342.710575059013</v>
      </c>
      <c r="D1183" t="s">
        <v>31</v>
      </c>
      <c r="E1183" t="s">
        <v>6</v>
      </c>
      <c r="F1183" t="s">
        <v>1453</v>
      </c>
      <c r="G1183" t="s">
        <v>1441</v>
      </c>
      <c r="H1183" t="s">
        <v>1446</v>
      </c>
    </row>
    <row r="1184" spans="2:8" ht="15" customHeight="1" x14ac:dyDescent="0.25">
      <c r="B1184" t="s">
        <v>1282</v>
      </c>
      <c r="C1184" s="2">
        <v>85000</v>
      </c>
      <c r="D1184" t="s">
        <v>11</v>
      </c>
      <c r="E1184" t="s">
        <v>1</v>
      </c>
      <c r="F1184" t="s">
        <v>1</v>
      </c>
      <c r="G1184" t="s">
        <v>1443</v>
      </c>
      <c r="H1184" t="s">
        <v>1446</v>
      </c>
    </row>
    <row r="1185" spans="2:8" ht="15" customHeight="1" x14ac:dyDescent="0.25">
      <c r="B1185" t="s">
        <v>1283</v>
      </c>
      <c r="C1185" s="2">
        <v>80000</v>
      </c>
      <c r="D1185" t="s">
        <v>29</v>
      </c>
      <c r="E1185" t="s">
        <v>22</v>
      </c>
      <c r="F1185" t="s">
        <v>1451</v>
      </c>
      <c r="G1185" t="s">
        <v>1442</v>
      </c>
      <c r="H1185" t="s">
        <v>1447</v>
      </c>
    </row>
    <row r="1186" spans="2:8" ht="15" customHeight="1" x14ac:dyDescent="0.25">
      <c r="B1186" t="s">
        <v>1284</v>
      </c>
      <c r="C1186" s="2">
        <v>8903.9583437212841</v>
      </c>
      <c r="D1186" t="s">
        <v>3</v>
      </c>
      <c r="E1186" t="s">
        <v>0</v>
      </c>
      <c r="F1186" t="s">
        <v>0</v>
      </c>
      <c r="G1186" t="s">
        <v>1440</v>
      </c>
      <c r="H1186" t="s">
        <v>1445</v>
      </c>
    </row>
    <row r="1187" spans="2:8" ht="15" customHeight="1" x14ac:dyDescent="0.25">
      <c r="B1187" t="s">
        <v>1285</v>
      </c>
      <c r="C1187" s="2">
        <v>125000</v>
      </c>
      <c r="D1187" t="s">
        <v>11</v>
      </c>
      <c r="E1187" t="s">
        <v>1</v>
      </c>
      <c r="F1187" t="s">
        <v>1</v>
      </c>
      <c r="G1187" t="s">
        <v>1440</v>
      </c>
      <c r="H1187" t="s">
        <v>1447</v>
      </c>
    </row>
    <row r="1188" spans="2:8" ht="15" customHeight="1" x14ac:dyDescent="0.25">
      <c r="B1188" t="s">
        <v>1286</v>
      </c>
      <c r="C1188" s="2">
        <v>23150.291693675339</v>
      </c>
      <c r="D1188" t="s">
        <v>11</v>
      </c>
      <c r="E1188" t="s">
        <v>0</v>
      </c>
      <c r="F1188" t="s">
        <v>0</v>
      </c>
      <c r="G1188" t="s">
        <v>1440</v>
      </c>
      <c r="H1188" t="s">
        <v>1447</v>
      </c>
    </row>
    <row r="1189" spans="2:8" ht="15" customHeight="1" x14ac:dyDescent="0.25">
      <c r="B1189" t="s">
        <v>1287</v>
      </c>
      <c r="C1189" s="2">
        <v>12000</v>
      </c>
      <c r="D1189" t="s">
        <v>29</v>
      </c>
      <c r="E1189" t="s">
        <v>0</v>
      </c>
      <c r="F1189" t="s">
        <v>0</v>
      </c>
      <c r="G1189" t="s">
        <v>1443</v>
      </c>
      <c r="H1189" t="s">
        <v>1447</v>
      </c>
    </row>
    <row r="1190" spans="2:8" ht="15" customHeight="1" x14ac:dyDescent="0.25">
      <c r="B1190" t="s">
        <v>1288</v>
      </c>
      <c r="C1190" s="2">
        <v>30000</v>
      </c>
      <c r="D1190" t="s">
        <v>3</v>
      </c>
      <c r="E1190" t="s">
        <v>69</v>
      </c>
      <c r="F1190" t="s">
        <v>1454</v>
      </c>
      <c r="G1190" t="s">
        <v>1442</v>
      </c>
      <c r="H1190" t="s">
        <v>1446</v>
      </c>
    </row>
    <row r="1191" spans="2:8" ht="15" customHeight="1" x14ac:dyDescent="0.25">
      <c r="B1191" t="s">
        <v>1289</v>
      </c>
      <c r="C1191" s="2">
        <v>91468.759607395754</v>
      </c>
      <c r="D1191" t="s">
        <v>11</v>
      </c>
      <c r="E1191" t="s">
        <v>57</v>
      </c>
      <c r="F1191" t="s">
        <v>1453</v>
      </c>
      <c r="G1191" t="s">
        <v>1442</v>
      </c>
      <c r="H1191" t="s">
        <v>1445</v>
      </c>
    </row>
    <row r="1192" spans="2:8" ht="15" customHeight="1" x14ac:dyDescent="0.25">
      <c r="B1192" t="s">
        <v>1290</v>
      </c>
      <c r="C1192" s="2">
        <v>35148.775467100437</v>
      </c>
      <c r="D1192" t="s">
        <v>3</v>
      </c>
      <c r="E1192" t="s">
        <v>15</v>
      </c>
      <c r="F1192" t="s">
        <v>15</v>
      </c>
      <c r="G1192" t="s">
        <v>1440</v>
      </c>
      <c r="H1192" t="s">
        <v>1445</v>
      </c>
    </row>
    <row r="1193" spans="2:8" ht="15" customHeight="1" x14ac:dyDescent="0.25">
      <c r="B1193" t="s">
        <v>1291</v>
      </c>
      <c r="C1193" s="2">
        <v>49153.119414418252</v>
      </c>
      <c r="D1193" t="s">
        <v>11</v>
      </c>
      <c r="E1193" t="s">
        <v>15</v>
      </c>
      <c r="F1193" t="s">
        <v>15</v>
      </c>
      <c r="G1193" t="s">
        <v>1441</v>
      </c>
      <c r="H1193" t="s">
        <v>1447</v>
      </c>
    </row>
    <row r="1194" spans="2:8" ht="15" customHeight="1" x14ac:dyDescent="0.25">
      <c r="B1194" t="s">
        <v>1292</v>
      </c>
      <c r="C1194" s="2">
        <v>2671.1875031163854</v>
      </c>
      <c r="D1194" t="s">
        <v>29</v>
      </c>
      <c r="E1194" t="s">
        <v>0</v>
      </c>
      <c r="F1194" t="s">
        <v>0</v>
      </c>
      <c r="G1194" t="s">
        <v>1443</v>
      </c>
      <c r="H1194" t="s">
        <v>1445</v>
      </c>
    </row>
    <row r="1195" spans="2:8" ht="15" customHeight="1" x14ac:dyDescent="0.25">
      <c r="B1195" t="s">
        <v>1293</v>
      </c>
      <c r="C1195" s="2">
        <v>42556.81334581667</v>
      </c>
      <c r="D1195" t="s">
        <v>11</v>
      </c>
      <c r="E1195" t="s">
        <v>15</v>
      </c>
      <c r="F1195" t="s">
        <v>15</v>
      </c>
      <c r="G1195" t="s">
        <v>1441</v>
      </c>
      <c r="H1195" t="s">
        <v>1445</v>
      </c>
    </row>
    <row r="1196" spans="2:8" ht="15" customHeight="1" x14ac:dyDescent="0.25">
      <c r="B1196" t="s">
        <v>1294</v>
      </c>
      <c r="C1196" s="2">
        <v>42556.81334581667</v>
      </c>
      <c r="D1196" t="s">
        <v>11</v>
      </c>
      <c r="E1196" t="s">
        <v>15</v>
      </c>
      <c r="F1196" t="s">
        <v>15</v>
      </c>
      <c r="G1196" t="s">
        <v>1441</v>
      </c>
      <c r="H1196" t="s">
        <v>1445</v>
      </c>
    </row>
    <row r="1197" spans="2:8" ht="15" customHeight="1" x14ac:dyDescent="0.25">
      <c r="B1197" t="s">
        <v>1295</v>
      </c>
      <c r="C1197" s="2">
        <v>74461</v>
      </c>
      <c r="D1197" t="s">
        <v>1438</v>
      </c>
      <c r="E1197" t="s">
        <v>1</v>
      </c>
      <c r="F1197" t="s">
        <v>1</v>
      </c>
      <c r="G1197" t="s">
        <v>1442</v>
      </c>
      <c r="H1197" t="s">
        <v>1447</v>
      </c>
    </row>
    <row r="1198" spans="2:8" ht="15" customHeight="1" x14ac:dyDescent="0.25">
      <c r="B1198" t="s">
        <v>1296</v>
      </c>
      <c r="C1198" s="2">
        <v>41768.724209783031</v>
      </c>
      <c r="D1198" t="s">
        <v>11</v>
      </c>
      <c r="E1198" t="s">
        <v>15</v>
      </c>
      <c r="F1198" t="s">
        <v>15</v>
      </c>
      <c r="G1198" t="s">
        <v>1441</v>
      </c>
      <c r="H1198" t="s">
        <v>1446</v>
      </c>
    </row>
    <row r="1199" spans="2:8" ht="15" customHeight="1" x14ac:dyDescent="0.25">
      <c r="B1199" t="s">
        <v>1297</v>
      </c>
      <c r="C1199" s="2">
        <v>8547.8000099724322</v>
      </c>
      <c r="D1199" t="s">
        <v>3</v>
      </c>
      <c r="E1199" t="s">
        <v>0</v>
      </c>
      <c r="F1199" t="s">
        <v>0</v>
      </c>
      <c r="G1199" t="s">
        <v>1441</v>
      </c>
      <c r="H1199" t="s">
        <v>1445</v>
      </c>
    </row>
    <row r="1200" spans="2:8" ht="15" customHeight="1" x14ac:dyDescent="0.25">
      <c r="B1200" t="s">
        <v>1298</v>
      </c>
      <c r="C1200" s="2">
        <v>2400</v>
      </c>
      <c r="D1200" t="s">
        <v>3</v>
      </c>
      <c r="E1200" t="s">
        <v>0</v>
      </c>
      <c r="F1200" t="s">
        <v>0</v>
      </c>
      <c r="G1200" t="s">
        <v>1443</v>
      </c>
      <c r="H1200" t="s">
        <v>1445</v>
      </c>
    </row>
    <row r="1201" spans="2:8" ht="15" customHeight="1" x14ac:dyDescent="0.25">
      <c r="B1201" t="s">
        <v>1299</v>
      </c>
      <c r="C1201" s="2">
        <v>3000</v>
      </c>
      <c r="D1201" t="s">
        <v>3</v>
      </c>
      <c r="E1201" t="s">
        <v>36</v>
      </c>
      <c r="F1201" t="s">
        <v>1454</v>
      </c>
      <c r="G1201" t="s">
        <v>1442</v>
      </c>
      <c r="H1201" t="s">
        <v>1446</v>
      </c>
    </row>
    <row r="1202" spans="2:8" ht="15" customHeight="1" x14ac:dyDescent="0.25">
      <c r="B1202" t="s">
        <v>1300</v>
      </c>
      <c r="C1202" s="2">
        <v>11000</v>
      </c>
      <c r="D1202" t="s">
        <v>3</v>
      </c>
      <c r="E1202" t="s">
        <v>0</v>
      </c>
      <c r="F1202" t="s">
        <v>0</v>
      </c>
      <c r="G1202" t="s">
        <v>1441</v>
      </c>
      <c r="H1202" t="s">
        <v>1445</v>
      </c>
    </row>
    <row r="1203" spans="2:8" ht="15" customHeight="1" x14ac:dyDescent="0.25">
      <c r="B1203" t="s">
        <v>1301</v>
      </c>
      <c r="C1203" s="2">
        <v>40000</v>
      </c>
      <c r="D1203" t="s">
        <v>3</v>
      </c>
      <c r="E1203" t="s">
        <v>1</v>
      </c>
      <c r="F1203" t="s">
        <v>1</v>
      </c>
      <c r="G1203" t="s">
        <v>1443</v>
      </c>
      <c r="H1203" t="s">
        <v>1445</v>
      </c>
    </row>
    <row r="1204" spans="2:8" ht="15" customHeight="1" x14ac:dyDescent="0.25">
      <c r="B1204" t="s">
        <v>1302</v>
      </c>
      <c r="C1204" s="2">
        <v>3600</v>
      </c>
      <c r="D1204" t="s">
        <v>3</v>
      </c>
      <c r="E1204" t="s">
        <v>0</v>
      </c>
      <c r="F1204" t="s">
        <v>0</v>
      </c>
      <c r="G1204" t="s">
        <v>1441</v>
      </c>
      <c r="H1204" t="s">
        <v>1445</v>
      </c>
    </row>
    <row r="1205" spans="2:8" ht="15" customHeight="1" x14ac:dyDescent="0.25">
      <c r="B1205" t="s">
        <v>1303</v>
      </c>
      <c r="C1205" s="2">
        <v>56600</v>
      </c>
      <c r="D1205" t="s">
        <v>11</v>
      </c>
      <c r="E1205" t="s">
        <v>1</v>
      </c>
      <c r="F1205" t="s">
        <v>1</v>
      </c>
      <c r="G1205" t="s">
        <v>1441</v>
      </c>
      <c r="H1205" t="s">
        <v>1446</v>
      </c>
    </row>
    <row r="1206" spans="2:8" ht="15" customHeight="1" x14ac:dyDescent="0.25">
      <c r="B1206" t="s">
        <v>1304</v>
      </c>
      <c r="C1206" s="2">
        <v>33600</v>
      </c>
      <c r="D1206" t="s">
        <v>3</v>
      </c>
      <c r="E1206" t="s">
        <v>25</v>
      </c>
      <c r="F1206" t="s">
        <v>1454</v>
      </c>
      <c r="G1206" t="s">
        <v>1440</v>
      </c>
      <c r="H1206" t="s">
        <v>1445</v>
      </c>
    </row>
    <row r="1207" spans="2:8" ht="15" customHeight="1" x14ac:dyDescent="0.25">
      <c r="B1207" t="s">
        <v>1305</v>
      </c>
      <c r="C1207" s="2">
        <v>33600</v>
      </c>
      <c r="D1207" t="s">
        <v>3</v>
      </c>
      <c r="E1207" t="s">
        <v>25</v>
      </c>
      <c r="F1207" t="s">
        <v>1454</v>
      </c>
      <c r="G1207" t="s">
        <v>1440</v>
      </c>
      <c r="H1207" t="s">
        <v>1445</v>
      </c>
    </row>
    <row r="1208" spans="2:8" ht="15" customHeight="1" x14ac:dyDescent="0.25">
      <c r="B1208" t="s">
        <v>1306</v>
      </c>
      <c r="C1208" s="2">
        <v>100000</v>
      </c>
      <c r="D1208" t="s">
        <v>3</v>
      </c>
      <c r="E1208" t="s">
        <v>1</v>
      </c>
      <c r="F1208" t="s">
        <v>1</v>
      </c>
      <c r="G1208" t="s">
        <v>1440</v>
      </c>
      <c r="H1208" t="s">
        <v>1446</v>
      </c>
    </row>
    <row r="1209" spans="2:8" ht="15" customHeight="1" x14ac:dyDescent="0.25">
      <c r="B1209" t="s">
        <v>1307</v>
      </c>
      <c r="C1209" s="2">
        <v>39334.460921213074</v>
      </c>
      <c r="D1209" t="s">
        <v>3</v>
      </c>
      <c r="E1209" t="s">
        <v>19</v>
      </c>
      <c r="F1209" t="s">
        <v>19</v>
      </c>
      <c r="G1209" t="s">
        <v>1442</v>
      </c>
      <c r="H1209" t="s">
        <v>1445</v>
      </c>
    </row>
    <row r="1210" spans="2:8" ht="15" customHeight="1" x14ac:dyDescent="0.25">
      <c r="B1210" t="s">
        <v>1308</v>
      </c>
      <c r="C1210" s="2">
        <v>7123.1666749770275</v>
      </c>
      <c r="D1210" t="s">
        <v>3</v>
      </c>
      <c r="E1210" t="s">
        <v>0</v>
      </c>
      <c r="F1210" t="s">
        <v>0</v>
      </c>
      <c r="G1210" t="s">
        <v>1443</v>
      </c>
      <c r="H1210" t="s">
        <v>1445</v>
      </c>
    </row>
    <row r="1211" spans="2:8" ht="15" customHeight="1" x14ac:dyDescent="0.25">
      <c r="B1211" t="s">
        <v>1309</v>
      </c>
      <c r="C1211" s="2">
        <v>65000</v>
      </c>
      <c r="D1211" t="s">
        <v>3</v>
      </c>
      <c r="E1211" t="s">
        <v>1</v>
      </c>
      <c r="F1211" t="s">
        <v>1</v>
      </c>
      <c r="G1211" t="s">
        <v>1441</v>
      </c>
      <c r="H1211" t="s">
        <v>1446</v>
      </c>
    </row>
    <row r="1212" spans="2:8" ht="15" customHeight="1" x14ac:dyDescent="0.25">
      <c r="B1212" t="s">
        <v>1310</v>
      </c>
      <c r="C1212" s="2">
        <v>65000</v>
      </c>
      <c r="D1212" t="s">
        <v>3</v>
      </c>
      <c r="E1212" t="s">
        <v>1</v>
      </c>
      <c r="F1212" t="s">
        <v>1</v>
      </c>
      <c r="G1212" t="s">
        <v>1443</v>
      </c>
      <c r="H1212" t="s">
        <v>1447</v>
      </c>
    </row>
    <row r="1213" spans="2:8" ht="15" customHeight="1" x14ac:dyDescent="0.25">
      <c r="B1213" t="s">
        <v>1311</v>
      </c>
      <c r="C1213" s="2">
        <v>65000</v>
      </c>
      <c r="D1213" t="s">
        <v>38</v>
      </c>
      <c r="E1213" t="s">
        <v>1</v>
      </c>
      <c r="F1213" t="s">
        <v>1</v>
      </c>
      <c r="G1213" t="s">
        <v>1443</v>
      </c>
      <c r="H1213" t="s">
        <v>1446</v>
      </c>
    </row>
    <row r="1214" spans="2:8" ht="15" customHeight="1" x14ac:dyDescent="0.25">
      <c r="B1214" t="s">
        <v>1312</v>
      </c>
      <c r="C1214" s="2">
        <v>76702.198796365497</v>
      </c>
      <c r="D1214" t="s">
        <v>3</v>
      </c>
      <c r="E1214" t="s">
        <v>19</v>
      </c>
      <c r="F1214" t="s">
        <v>19</v>
      </c>
      <c r="G1214" t="s">
        <v>1440</v>
      </c>
      <c r="H1214" t="s">
        <v>1445</v>
      </c>
    </row>
    <row r="1215" spans="2:8" ht="15" customHeight="1" x14ac:dyDescent="0.25">
      <c r="B1215" t="s">
        <v>1313</v>
      </c>
      <c r="C1215" s="2">
        <v>63000</v>
      </c>
      <c r="D1215" t="s">
        <v>3</v>
      </c>
      <c r="E1215" t="s">
        <v>1</v>
      </c>
      <c r="F1215" t="s">
        <v>1</v>
      </c>
      <c r="G1215" t="s">
        <v>1440</v>
      </c>
      <c r="H1215" t="s">
        <v>1447</v>
      </c>
    </row>
    <row r="1216" spans="2:8" ht="15" customHeight="1" x14ac:dyDescent="0.25">
      <c r="B1216" t="s">
        <v>1314</v>
      </c>
      <c r="C1216" s="2">
        <v>87000</v>
      </c>
      <c r="D1216" t="s">
        <v>1438</v>
      </c>
      <c r="E1216" t="s">
        <v>1</v>
      </c>
      <c r="F1216" t="s">
        <v>1</v>
      </c>
      <c r="G1216" t="s">
        <v>1441</v>
      </c>
      <c r="H1216" t="s">
        <v>1445</v>
      </c>
    </row>
    <row r="1217" spans="2:8" ht="15" customHeight="1" x14ac:dyDescent="0.25">
      <c r="B1217" t="s">
        <v>1315</v>
      </c>
      <c r="C1217" s="2">
        <v>45000</v>
      </c>
      <c r="D1217" t="s">
        <v>3</v>
      </c>
      <c r="E1217" t="s">
        <v>1</v>
      </c>
      <c r="F1217" t="s">
        <v>1</v>
      </c>
      <c r="G1217" t="s">
        <v>1441</v>
      </c>
      <c r="H1217" t="s">
        <v>1445</v>
      </c>
    </row>
    <row r="1218" spans="2:8" ht="15" customHeight="1" x14ac:dyDescent="0.25">
      <c r="B1218" t="s">
        <v>1316</v>
      </c>
      <c r="C1218" s="2">
        <v>85000</v>
      </c>
      <c r="D1218" t="s">
        <v>3</v>
      </c>
      <c r="E1218" t="s">
        <v>1</v>
      </c>
      <c r="F1218" t="s">
        <v>1</v>
      </c>
      <c r="G1218" t="s">
        <v>1440</v>
      </c>
      <c r="H1218" t="s">
        <v>1445</v>
      </c>
    </row>
    <row r="1219" spans="2:8" ht="15" customHeight="1" x14ac:dyDescent="0.25">
      <c r="B1219" t="s">
        <v>1317</v>
      </c>
      <c r="C1219" s="2">
        <v>159105.90639881117</v>
      </c>
      <c r="D1219" t="s">
        <v>29</v>
      </c>
      <c r="E1219" t="s">
        <v>18</v>
      </c>
      <c r="F1219" t="s">
        <v>18</v>
      </c>
      <c r="G1219" t="s">
        <v>1443</v>
      </c>
      <c r="H1219" t="s">
        <v>1446</v>
      </c>
    </row>
    <row r="1220" spans="2:8" ht="15" customHeight="1" x14ac:dyDescent="0.25">
      <c r="B1220" t="s">
        <v>1318</v>
      </c>
      <c r="C1220" s="2">
        <v>9972.4333449678379</v>
      </c>
      <c r="D1220" t="s">
        <v>11</v>
      </c>
      <c r="E1220" t="s">
        <v>0</v>
      </c>
      <c r="F1220" t="s">
        <v>0</v>
      </c>
      <c r="G1220" t="s">
        <v>1443</v>
      </c>
      <c r="H1220" t="s">
        <v>1445</v>
      </c>
    </row>
    <row r="1221" spans="2:8" ht="15" customHeight="1" x14ac:dyDescent="0.25">
      <c r="B1221" t="s">
        <v>1319</v>
      </c>
      <c r="C1221" s="2">
        <v>14000</v>
      </c>
      <c r="D1221" t="s">
        <v>11</v>
      </c>
      <c r="E1221" t="s">
        <v>0</v>
      </c>
      <c r="F1221" t="s">
        <v>0</v>
      </c>
      <c r="G1221" t="s">
        <v>1441</v>
      </c>
      <c r="H1221" t="s">
        <v>1445</v>
      </c>
    </row>
    <row r="1222" spans="2:8" ht="15" customHeight="1" x14ac:dyDescent="0.25">
      <c r="B1222" t="s">
        <v>1320</v>
      </c>
      <c r="C1222" s="2">
        <v>50437.70470615309</v>
      </c>
      <c r="D1222" t="s">
        <v>3</v>
      </c>
      <c r="E1222" t="s">
        <v>15</v>
      </c>
      <c r="F1222" t="s">
        <v>15</v>
      </c>
      <c r="G1222" t="s">
        <v>1441</v>
      </c>
      <c r="H1222" t="s">
        <v>1446</v>
      </c>
    </row>
    <row r="1223" spans="2:8" ht="15" customHeight="1" x14ac:dyDescent="0.25">
      <c r="B1223" t="s">
        <v>1321</v>
      </c>
      <c r="C1223" s="2">
        <v>50437.70470615309</v>
      </c>
      <c r="D1223" t="s">
        <v>3</v>
      </c>
      <c r="E1223" t="s">
        <v>15</v>
      </c>
      <c r="F1223" t="s">
        <v>15</v>
      </c>
      <c r="G1223" t="s">
        <v>1440</v>
      </c>
      <c r="H1223" t="s">
        <v>1445</v>
      </c>
    </row>
    <row r="1224" spans="2:8" ht="15" customHeight="1" x14ac:dyDescent="0.25">
      <c r="B1224" t="s">
        <v>1322</v>
      </c>
      <c r="C1224" s="2">
        <v>13603.016099449767</v>
      </c>
      <c r="D1224" t="s">
        <v>11</v>
      </c>
      <c r="E1224" t="s">
        <v>2</v>
      </c>
      <c r="F1224" t="s">
        <v>2</v>
      </c>
      <c r="G1224" t="s">
        <v>1440</v>
      </c>
      <c r="H1224" t="s">
        <v>1447</v>
      </c>
    </row>
    <row r="1225" spans="2:8" ht="15" customHeight="1" x14ac:dyDescent="0.25">
      <c r="B1225" t="s">
        <v>1323</v>
      </c>
      <c r="C1225" s="2">
        <v>147886.90017838217</v>
      </c>
      <c r="D1225" t="s">
        <v>38</v>
      </c>
      <c r="E1225" t="s">
        <v>18</v>
      </c>
      <c r="F1225" t="s">
        <v>18</v>
      </c>
      <c r="G1225" t="s">
        <v>1443</v>
      </c>
      <c r="H1225" t="s">
        <v>1446</v>
      </c>
    </row>
    <row r="1226" spans="2:8" ht="15" customHeight="1" x14ac:dyDescent="0.25">
      <c r="B1226" t="s">
        <v>1324</v>
      </c>
      <c r="C1226" s="2">
        <v>4986.216672483919</v>
      </c>
      <c r="D1226" t="s">
        <v>3</v>
      </c>
      <c r="E1226" t="s">
        <v>0</v>
      </c>
      <c r="F1226" t="s">
        <v>0</v>
      </c>
      <c r="G1226" t="s">
        <v>1440</v>
      </c>
      <c r="H1226" t="s">
        <v>1447</v>
      </c>
    </row>
    <row r="1227" spans="2:8" ht="15" customHeight="1" x14ac:dyDescent="0.25">
      <c r="B1227" t="s">
        <v>1325</v>
      </c>
      <c r="C1227" s="2">
        <v>4800</v>
      </c>
      <c r="D1227" t="s">
        <v>11</v>
      </c>
      <c r="E1227" t="s">
        <v>0</v>
      </c>
      <c r="F1227" t="s">
        <v>0</v>
      </c>
      <c r="G1227" t="s">
        <v>1440</v>
      </c>
      <c r="H1227" t="s">
        <v>1445</v>
      </c>
    </row>
    <row r="1228" spans="2:8" ht="15" customHeight="1" x14ac:dyDescent="0.25">
      <c r="B1228" t="s">
        <v>1326</v>
      </c>
      <c r="C1228" s="2">
        <v>8013.5625093491553</v>
      </c>
      <c r="D1228" t="s">
        <v>1437</v>
      </c>
      <c r="E1228" t="s">
        <v>0</v>
      </c>
      <c r="F1228" t="s">
        <v>0</v>
      </c>
      <c r="G1228" t="s">
        <v>1441</v>
      </c>
      <c r="H1228" t="s">
        <v>1445</v>
      </c>
    </row>
    <row r="1229" spans="2:8" ht="15" customHeight="1" x14ac:dyDescent="0.25">
      <c r="B1229" t="s">
        <v>1327</v>
      </c>
      <c r="C1229" s="2">
        <v>80000</v>
      </c>
      <c r="D1229" t="s">
        <v>11</v>
      </c>
      <c r="E1229" t="s">
        <v>1</v>
      </c>
      <c r="F1229" t="s">
        <v>1</v>
      </c>
      <c r="G1229" t="s">
        <v>1441</v>
      </c>
      <c r="H1229" t="s">
        <v>1445</v>
      </c>
    </row>
    <row r="1230" spans="2:8" ht="15" customHeight="1" x14ac:dyDescent="0.25">
      <c r="B1230" t="s">
        <v>1328</v>
      </c>
      <c r="C1230" s="2">
        <v>57167.974754622352</v>
      </c>
      <c r="D1230" t="s">
        <v>3</v>
      </c>
      <c r="E1230" t="s">
        <v>43</v>
      </c>
      <c r="F1230" t="s">
        <v>1453</v>
      </c>
      <c r="G1230" t="s">
        <v>1443</v>
      </c>
      <c r="H1230" t="s">
        <v>1446</v>
      </c>
    </row>
    <row r="1231" spans="2:8" ht="15" customHeight="1" x14ac:dyDescent="0.25">
      <c r="B1231" t="s">
        <v>1329</v>
      </c>
      <c r="C1231" s="2">
        <v>20000</v>
      </c>
      <c r="D1231" t="s">
        <v>3</v>
      </c>
      <c r="E1231" t="s">
        <v>19</v>
      </c>
      <c r="F1231" t="s">
        <v>19</v>
      </c>
      <c r="G1231" t="s">
        <v>1443</v>
      </c>
      <c r="H1231" t="s">
        <v>1445</v>
      </c>
    </row>
    <row r="1232" spans="2:8" ht="15" customHeight="1" x14ac:dyDescent="0.25">
      <c r="B1232" t="s">
        <v>1330</v>
      </c>
      <c r="C1232" s="2">
        <v>70000</v>
      </c>
      <c r="D1232" t="s">
        <v>3</v>
      </c>
      <c r="E1232" t="s">
        <v>1</v>
      </c>
      <c r="F1232" t="s">
        <v>1</v>
      </c>
      <c r="G1232" t="s">
        <v>1443</v>
      </c>
      <c r="H1232" t="s">
        <v>1445</v>
      </c>
    </row>
    <row r="1233" spans="2:8" ht="15" customHeight="1" x14ac:dyDescent="0.25">
      <c r="B1233" t="s">
        <v>1331</v>
      </c>
      <c r="C1233" s="2">
        <v>214000</v>
      </c>
      <c r="D1233" t="s">
        <v>38</v>
      </c>
      <c r="E1233" t="s">
        <v>1</v>
      </c>
      <c r="F1233" t="s">
        <v>1</v>
      </c>
      <c r="G1233" t="s">
        <v>1440</v>
      </c>
      <c r="H1233" t="s">
        <v>1446</v>
      </c>
    </row>
    <row r="1234" spans="2:8" ht="15" customHeight="1" x14ac:dyDescent="0.25">
      <c r="B1234" t="s">
        <v>1332</v>
      </c>
      <c r="C1234" s="2">
        <v>78000</v>
      </c>
      <c r="D1234" t="s">
        <v>29</v>
      </c>
      <c r="E1234" t="s">
        <v>1</v>
      </c>
      <c r="F1234" t="s">
        <v>1</v>
      </c>
      <c r="G1234" t="s">
        <v>1440</v>
      </c>
      <c r="H1234" t="s">
        <v>1445</v>
      </c>
    </row>
    <row r="1235" spans="2:8" ht="15" customHeight="1" x14ac:dyDescent="0.25">
      <c r="B1235" t="s">
        <v>1333</v>
      </c>
      <c r="C1235" s="2">
        <v>42307</v>
      </c>
      <c r="D1235" t="s">
        <v>3</v>
      </c>
      <c r="E1235" t="s">
        <v>1</v>
      </c>
      <c r="F1235" t="s">
        <v>1</v>
      </c>
      <c r="G1235" t="s">
        <v>1443</v>
      </c>
      <c r="H1235" t="s">
        <v>1448</v>
      </c>
    </row>
    <row r="1236" spans="2:8" ht="15" customHeight="1" x14ac:dyDescent="0.25">
      <c r="B1236" t="s">
        <v>1334</v>
      </c>
      <c r="C1236" s="2">
        <v>33250</v>
      </c>
      <c r="D1236" t="s">
        <v>11</v>
      </c>
      <c r="E1236" t="s">
        <v>1</v>
      </c>
      <c r="F1236" t="s">
        <v>1</v>
      </c>
      <c r="G1236" t="s">
        <v>1440</v>
      </c>
      <c r="H1236" t="s">
        <v>1446</v>
      </c>
    </row>
    <row r="1237" spans="2:8" ht="15" customHeight="1" x14ac:dyDescent="0.25">
      <c r="B1237" t="s">
        <v>1335</v>
      </c>
      <c r="C1237" s="2">
        <v>24391.669228638868</v>
      </c>
      <c r="D1237" t="s">
        <v>3</v>
      </c>
      <c r="E1237" t="s">
        <v>56</v>
      </c>
      <c r="F1237" t="s">
        <v>1453</v>
      </c>
      <c r="G1237" t="s">
        <v>1441</v>
      </c>
      <c r="H1237" t="s">
        <v>1447</v>
      </c>
    </row>
    <row r="1238" spans="2:8" ht="15" customHeight="1" x14ac:dyDescent="0.25">
      <c r="B1238" t="s">
        <v>1336</v>
      </c>
      <c r="C1238" s="2">
        <v>120000</v>
      </c>
      <c r="D1238" t="s">
        <v>31</v>
      </c>
      <c r="E1238" t="s">
        <v>1</v>
      </c>
      <c r="F1238" t="s">
        <v>1</v>
      </c>
      <c r="G1238" t="s">
        <v>1441</v>
      </c>
      <c r="H1238" t="s">
        <v>1446</v>
      </c>
    </row>
    <row r="1239" spans="2:8" ht="15" customHeight="1" x14ac:dyDescent="0.25">
      <c r="B1239" t="s">
        <v>1337</v>
      </c>
      <c r="C1239" s="2">
        <v>20000</v>
      </c>
      <c r="D1239" t="s">
        <v>3</v>
      </c>
      <c r="E1239" t="s">
        <v>97</v>
      </c>
      <c r="F1239" t="s">
        <v>1454</v>
      </c>
      <c r="G1239" t="s">
        <v>1442</v>
      </c>
      <c r="H1239" t="s">
        <v>1445</v>
      </c>
    </row>
    <row r="1240" spans="2:8" ht="15" customHeight="1" x14ac:dyDescent="0.25">
      <c r="B1240" t="s">
        <v>1338</v>
      </c>
      <c r="C1240" s="2">
        <v>15000</v>
      </c>
      <c r="D1240" t="s">
        <v>3</v>
      </c>
      <c r="E1240" t="s">
        <v>0</v>
      </c>
      <c r="F1240" t="s">
        <v>0</v>
      </c>
      <c r="G1240" t="s">
        <v>1443</v>
      </c>
      <c r="H1240" t="s">
        <v>1445</v>
      </c>
    </row>
    <row r="1241" spans="2:8" ht="15" customHeight="1" x14ac:dyDescent="0.25">
      <c r="B1241" t="s">
        <v>1339</v>
      </c>
      <c r="C1241" s="2">
        <v>17807.916687442568</v>
      </c>
      <c r="D1241" t="s">
        <v>11</v>
      </c>
      <c r="E1241" t="s">
        <v>0</v>
      </c>
      <c r="F1241" t="s">
        <v>0</v>
      </c>
      <c r="G1241" t="s">
        <v>1443</v>
      </c>
      <c r="H1241" t="s">
        <v>1447</v>
      </c>
    </row>
    <row r="1242" spans="2:8" ht="15" customHeight="1" x14ac:dyDescent="0.25">
      <c r="B1242" t="s">
        <v>1340</v>
      </c>
      <c r="C1242" s="2">
        <v>16027.125018698311</v>
      </c>
      <c r="D1242" t="s">
        <v>11</v>
      </c>
      <c r="E1242" t="s">
        <v>0</v>
      </c>
      <c r="F1242" t="s">
        <v>0</v>
      </c>
      <c r="G1242" t="s">
        <v>1443</v>
      </c>
      <c r="H1242" t="s">
        <v>1447</v>
      </c>
    </row>
    <row r="1243" spans="2:8" ht="15" customHeight="1" x14ac:dyDescent="0.25">
      <c r="B1243" t="s">
        <v>1341</v>
      </c>
      <c r="C1243" s="2">
        <v>56742.417794422225</v>
      </c>
      <c r="D1243" t="s">
        <v>11</v>
      </c>
      <c r="E1243" t="s">
        <v>15</v>
      </c>
      <c r="F1243" t="s">
        <v>15</v>
      </c>
      <c r="G1243" t="s">
        <v>1440</v>
      </c>
      <c r="H1243" t="s">
        <v>1447</v>
      </c>
    </row>
    <row r="1244" spans="2:8" ht="15" customHeight="1" x14ac:dyDescent="0.25">
      <c r="B1244" t="s">
        <v>1342</v>
      </c>
      <c r="C1244" s="2">
        <v>21369.500024931083</v>
      </c>
      <c r="D1244" t="s">
        <v>11</v>
      </c>
      <c r="E1244" t="s">
        <v>0</v>
      </c>
      <c r="F1244" t="s">
        <v>0</v>
      </c>
      <c r="G1244" t="s">
        <v>1441</v>
      </c>
      <c r="H1244" t="s">
        <v>1447</v>
      </c>
    </row>
    <row r="1245" spans="2:8" ht="15" customHeight="1" x14ac:dyDescent="0.25">
      <c r="B1245" t="s">
        <v>1343</v>
      </c>
      <c r="C1245" s="2">
        <v>7568.3645921630914</v>
      </c>
      <c r="D1245" t="s">
        <v>31</v>
      </c>
      <c r="E1245" t="s">
        <v>0</v>
      </c>
      <c r="F1245" t="s">
        <v>0</v>
      </c>
      <c r="G1245" t="s">
        <v>1443</v>
      </c>
      <c r="H1245" t="s">
        <v>1447</v>
      </c>
    </row>
    <row r="1246" spans="2:8" ht="15" customHeight="1" x14ac:dyDescent="0.25">
      <c r="B1246" t="s">
        <v>1344</v>
      </c>
      <c r="C1246" s="2">
        <v>78808.913603364199</v>
      </c>
      <c r="D1246" t="s">
        <v>31</v>
      </c>
      <c r="E1246" t="s">
        <v>15</v>
      </c>
      <c r="F1246" t="s">
        <v>15</v>
      </c>
      <c r="G1246" t="s">
        <v>1443</v>
      </c>
      <c r="H1246" t="s">
        <v>1447</v>
      </c>
    </row>
    <row r="1247" spans="2:8" ht="15" customHeight="1" x14ac:dyDescent="0.25">
      <c r="B1247" t="s">
        <v>1345</v>
      </c>
      <c r="C1247" s="2">
        <v>60000</v>
      </c>
      <c r="D1247" t="s">
        <v>3</v>
      </c>
      <c r="E1247" t="s">
        <v>1</v>
      </c>
      <c r="F1247" t="s">
        <v>1</v>
      </c>
      <c r="G1247" t="s">
        <v>1441</v>
      </c>
      <c r="H1247" t="s">
        <v>1446</v>
      </c>
    </row>
    <row r="1248" spans="2:8" ht="15" customHeight="1" x14ac:dyDescent="0.25">
      <c r="B1248" t="s">
        <v>1346</v>
      </c>
      <c r="C1248" s="2">
        <v>57000</v>
      </c>
      <c r="D1248" t="s">
        <v>31</v>
      </c>
      <c r="E1248" t="s">
        <v>1</v>
      </c>
      <c r="F1248" t="s">
        <v>1</v>
      </c>
      <c r="G1248" t="s">
        <v>1441</v>
      </c>
      <c r="H1248" t="s">
        <v>1447</v>
      </c>
    </row>
    <row r="1249" spans="2:8" ht="15" customHeight="1" x14ac:dyDescent="0.25">
      <c r="B1249" t="s">
        <v>1347</v>
      </c>
      <c r="C1249" s="2">
        <v>40000</v>
      </c>
      <c r="D1249" t="s">
        <v>3</v>
      </c>
      <c r="E1249" t="s">
        <v>1</v>
      </c>
      <c r="F1249" t="s">
        <v>1</v>
      </c>
      <c r="G1249" t="s">
        <v>1443</v>
      </c>
      <c r="H1249" t="s">
        <v>1445</v>
      </c>
    </row>
    <row r="1250" spans="2:8" ht="15" customHeight="1" x14ac:dyDescent="0.25">
      <c r="B1250" t="s">
        <v>1348</v>
      </c>
      <c r="C1250" s="2">
        <v>80000</v>
      </c>
      <c r="D1250" t="s">
        <v>38</v>
      </c>
      <c r="E1250" t="s">
        <v>1</v>
      </c>
      <c r="F1250" t="s">
        <v>1</v>
      </c>
      <c r="G1250" t="s">
        <v>1441</v>
      </c>
      <c r="H1250" t="s">
        <v>1447</v>
      </c>
    </row>
    <row r="1251" spans="2:8" ht="15" customHeight="1" x14ac:dyDescent="0.25">
      <c r="B1251" t="s">
        <v>1349</v>
      </c>
      <c r="C1251" s="2">
        <v>118000</v>
      </c>
      <c r="D1251" t="s">
        <v>1439</v>
      </c>
      <c r="E1251" t="s">
        <v>1</v>
      </c>
      <c r="F1251" t="s">
        <v>1</v>
      </c>
      <c r="G1251" t="s">
        <v>1441</v>
      </c>
      <c r="H1251" t="s">
        <v>1447</v>
      </c>
    </row>
    <row r="1252" spans="2:8" ht="15" customHeight="1" x14ac:dyDescent="0.25">
      <c r="B1252" t="s">
        <v>1350</v>
      </c>
      <c r="C1252" s="2">
        <v>60000</v>
      </c>
      <c r="D1252" t="s">
        <v>3</v>
      </c>
      <c r="E1252" t="s">
        <v>26</v>
      </c>
      <c r="F1252" t="s">
        <v>1451</v>
      </c>
      <c r="G1252" t="s">
        <v>1441</v>
      </c>
      <c r="H1252" t="s">
        <v>1445</v>
      </c>
    </row>
    <row r="1253" spans="2:8" ht="15" customHeight="1" x14ac:dyDescent="0.25">
      <c r="B1253" t="s">
        <v>1351</v>
      </c>
      <c r="C1253" s="2">
        <v>6720</v>
      </c>
      <c r="D1253" t="s">
        <v>31</v>
      </c>
      <c r="E1253" t="s">
        <v>0</v>
      </c>
      <c r="F1253" t="s">
        <v>0</v>
      </c>
      <c r="G1253" t="s">
        <v>1441</v>
      </c>
      <c r="H1253" t="s">
        <v>1445</v>
      </c>
    </row>
    <row r="1254" spans="2:8" ht="15" customHeight="1" x14ac:dyDescent="0.25">
      <c r="B1254" t="s">
        <v>1352</v>
      </c>
      <c r="C1254" s="2">
        <v>20640</v>
      </c>
      <c r="D1254" t="s">
        <v>11</v>
      </c>
      <c r="E1254" t="s">
        <v>25</v>
      </c>
      <c r="F1254" t="s">
        <v>1454</v>
      </c>
      <c r="G1254" t="s">
        <v>1441</v>
      </c>
      <c r="H1254" t="s">
        <v>1445</v>
      </c>
    </row>
    <row r="1255" spans="2:8" ht="15" customHeight="1" x14ac:dyDescent="0.25">
      <c r="B1255" t="s">
        <v>1353</v>
      </c>
      <c r="C1255" s="2">
        <v>50000</v>
      </c>
      <c r="D1255" t="s">
        <v>3</v>
      </c>
      <c r="E1255" t="s">
        <v>1</v>
      </c>
      <c r="F1255" t="s">
        <v>1</v>
      </c>
      <c r="G1255" t="s">
        <v>1440</v>
      </c>
      <c r="H1255" t="s">
        <v>1446</v>
      </c>
    </row>
    <row r="1256" spans="2:8" ht="15" customHeight="1" x14ac:dyDescent="0.25">
      <c r="B1256" t="s">
        <v>1354</v>
      </c>
      <c r="C1256" s="2">
        <v>24000</v>
      </c>
      <c r="D1256" t="s">
        <v>38</v>
      </c>
      <c r="E1256" t="s">
        <v>13</v>
      </c>
      <c r="F1256" t="s">
        <v>1451</v>
      </c>
      <c r="G1256" t="s">
        <v>1440</v>
      </c>
      <c r="H1256" t="s">
        <v>1448</v>
      </c>
    </row>
    <row r="1257" spans="2:8" ht="15" customHeight="1" x14ac:dyDescent="0.25">
      <c r="B1257" t="s">
        <v>1355</v>
      </c>
      <c r="C1257" s="2">
        <v>60000</v>
      </c>
      <c r="D1257" t="s">
        <v>3</v>
      </c>
      <c r="E1257" t="s">
        <v>1</v>
      </c>
      <c r="F1257" t="s">
        <v>1</v>
      </c>
      <c r="G1257" t="s">
        <v>1443</v>
      </c>
      <c r="H1257" t="s">
        <v>1445</v>
      </c>
    </row>
    <row r="1258" spans="2:8" ht="15" customHeight="1" x14ac:dyDescent="0.25">
      <c r="B1258" t="s">
        <v>1356</v>
      </c>
      <c r="C1258" s="2">
        <v>37500</v>
      </c>
      <c r="D1258" t="s">
        <v>33</v>
      </c>
      <c r="E1258" t="s">
        <v>0</v>
      </c>
      <c r="F1258" t="s">
        <v>0</v>
      </c>
      <c r="G1258" t="s">
        <v>1440</v>
      </c>
      <c r="H1258" t="s">
        <v>1445</v>
      </c>
    </row>
    <row r="1259" spans="2:8" ht="15" customHeight="1" x14ac:dyDescent="0.25">
      <c r="B1259" t="s">
        <v>1357</v>
      </c>
      <c r="C1259" s="2">
        <v>40000</v>
      </c>
      <c r="D1259" t="s">
        <v>14</v>
      </c>
      <c r="E1259" t="s">
        <v>1</v>
      </c>
      <c r="F1259" t="s">
        <v>1</v>
      </c>
      <c r="G1259" t="s">
        <v>1441</v>
      </c>
      <c r="H1259" t="s">
        <v>1445</v>
      </c>
    </row>
    <row r="1260" spans="2:8" ht="15" customHeight="1" x14ac:dyDescent="0.25">
      <c r="B1260" t="s">
        <v>1358</v>
      </c>
      <c r="C1260" s="2">
        <v>85000</v>
      </c>
      <c r="D1260" t="s">
        <v>1439</v>
      </c>
      <c r="E1260" t="s">
        <v>1</v>
      </c>
      <c r="F1260" t="s">
        <v>1</v>
      </c>
      <c r="G1260" t="s">
        <v>1443</v>
      </c>
      <c r="H1260" t="s">
        <v>1446</v>
      </c>
    </row>
    <row r="1261" spans="2:8" ht="15" customHeight="1" x14ac:dyDescent="0.25">
      <c r="B1261" t="s">
        <v>1359</v>
      </c>
      <c r="C1261" s="2">
        <v>30000</v>
      </c>
      <c r="D1261" t="s">
        <v>3</v>
      </c>
      <c r="E1261" t="s">
        <v>22</v>
      </c>
      <c r="F1261" t="s">
        <v>1451</v>
      </c>
      <c r="G1261" t="s">
        <v>1443</v>
      </c>
      <c r="H1261" t="s">
        <v>1445</v>
      </c>
    </row>
    <row r="1262" spans="2:8" ht="15" customHeight="1" x14ac:dyDescent="0.25">
      <c r="B1262" t="s">
        <v>1360</v>
      </c>
      <c r="C1262" s="2">
        <v>52801.972114254015</v>
      </c>
      <c r="D1262" t="s">
        <v>29</v>
      </c>
      <c r="E1262" t="s">
        <v>15</v>
      </c>
      <c r="F1262" t="s">
        <v>15</v>
      </c>
      <c r="G1262" t="s">
        <v>1443</v>
      </c>
      <c r="H1262" t="s">
        <v>1447</v>
      </c>
    </row>
    <row r="1263" spans="2:8" ht="15" customHeight="1" x14ac:dyDescent="0.25">
      <c r="B1263" t="s">
        <v>1361</v>
      </c>
      <c r="C1263" s="2">
        <v>29000</v>
      </c>
      <c r="D1263" t="s">
        <v>29</v>
      </c>
      <c r="E1263" t="s">
        <v>1</v>
      </c>
      <c r="F1263" t="s">
        <v>1</v>
      </c>
      <c r="G1263" t="s">
        <v>1440</v>
      </c>
      <c r="H1263" t="s">
        <v>1445</v>
      </c>
    </row>
    <row r="1264" spans="2:8" ht="15" customHeight="1" x14ac:dyDescent="0.25">
      <c r="B1264" t="s">
        <v>1362</v>
      </c>
      <c r="C1264" s="2">
        <v>48000</v>
      </c>
      <c r="D1264" t="s">
        <v>31</v>
      </c>
      <c r="E1264" t="s">
        <v>1</v>
      </c>
      <c r="F1264" t="s">
        <v>1</v>
      </c>
      <c r="G1264" t="s">
        <v>1441</v>
      </c>
      <c r="H1264" t="s">
        <v>1445</v>
      </c>
    </row>
    <row r="1265" spans="2:8" ht="15" customHeight="1" x14ac:dyDescent="0.25">
      <c r="B1265" t="s">
        <v>1363</v>
      </c>
      <c r="C1265" s="2">
        <v>48000</v>
      </c>
      <c r="D1265" t="s">
        <v>31</v>
      </c>
      <c r="E1265" t="s">
        <v>1</v>
      </c>
      <c r="F1265" t="s">
        <v>1</v>
      </c>
      <c r="G1265" t="s">
        <v>1441</v>
      </c>
      <c r="H1265" t="s">
        <v>1445</v>
      </c>
    </row>
    <row r="1266" spans="2:8" ht="15" customHeight="1" x14ac:dyDescent="0.25">
      <c r="B1266" t="s">
        <v>1364</v>
      </c>
      <c r="C1266" s="2">
        <v>8400</v>
      </c>
      <c r="D1266" t="s">
        <v>3</v>
      </c>
      <c r="E1266" t="s">
        <v>98</v>
      </c>
      <c r="F1266" t="s">
        <v>1451</v>
      </c>
      <c r="G1266" t="s">
        <v>1440</v>
      </c>
      <c r="H1266" t="s">
        <v>1445</v>
      </c>
    </row>
    <row r="1267" spans="2:8" ht="15" customHeight="1" x14ac:dyDescent="0.25">
      <c r="B1267" t="s">
        <v>1365</v>
      </c>
      <c r="C1267" s="2">
        <v>4808.137505609493</v>
      </c>
      <c r="D1267" t="s">
        <v>11</v>
      </c>
      <c r="E1267" t="s">
        <v>0</v>
      </c>
      <c r="F1267" t="s">
        <v>0</v>
      </c>
      <c r="G1267" t="s">
        <v>1443</v>
      </c>
      <c r="H1267" t="s">
        <v>1445</v>
      </c>
    </row>
    <row r="1268" spans="2:8" ht="15" customHeight="1" x14ac:dyDescent="0.25">
      <c r="B1268" t="s">
        <v>1366</v>
      </c>
      <c r="C1268" s="2">
        <v>24931.083362419595</v>
      </c>
      <c r="D1268" t="s">
        <v>11</v>
      </c>
      <c r="E1268" t="s">
        <v>0</v>
      </c>
      <c r="F1268" t="s">
        <v>0</v>
      </c>
      <c r="G1268" t="s">
        <v>1441</v>
      </c>
      <c r="H1268" t="s">
        <v>1447</v>
      </c>
    </row>
    <row r="1269" spans="2:8" ht="15" customHeight="1" x14ac:dyDescent="0.25">
      <c r="B1269" t="s">
        <v>1367</v>
      </c>
      <c r="C1269" s="2">
        <v>12465.541681209797</v>
      </c>
      <c r="D1269" t="s">
        <v>3</v>
      </c>
      <c r="E1269" t="s">
        <v>0</v>
      </c>
      <c r="F1269" t="s">
        <v>0</v>
      </c>
      <c r="G1269" t="s">
        <v>1443</v>
      </c>
      <c r="H1269" t="s">
        <v>1445</v>
      </c>
    </row>
    <row r="1270" spans="2:8" ht="15" customHeight="1" x14ac:dyDescent="0.25">
      <c r="B1270" t="s">
        <v>1368</v>
      </c>
      <c r="C1270" s="2">
        <v>31523.565441345683</v>
      </c>
      <c r="D1270" t="s">
        <v>31</v>
      </c>
      <c r="E1270" t="s">
        <v>15</v>
      </c>
      <c r="F1270" t="s">
        <v>15</v>
      </c>
      <c r="G1270" t="s">
        <v>1443</v>
      </c>
      <c r="H1270" t="s">
        <v>1447</v>
      </c>
    </row>
    <row r="1271" spans="2:8" ht="15" customHeight="1" x14ac:dyDescent="0.25">
      <c r="B1271" t="s">
        <v>1369</v>
      </c>
      <c r="C1271" s="2">
        <v>17807.916687442568</v>
      </c>
      <c r="D1271" t="s">
        <v>11</v>
      </c>
      <c r="E1271" t="s">
        <v>0</v>
      </c>
      <c r="F1271" t="s">
        <v>0</v>
      </c>
      <c r="G1271" t="s">
        <v>1440</v>
      </c>
      <c r="H1271" t="s">
        <v>1447</v>
      </c>
    </row>
    <row r="1272" spans="2:8" ht="15" customHeight="1" x14ac:dyDescent="0.25">
      <c r="B1272" t="s">
        <v>1370</v>
      </c>
      <c r="C1272" s="2">
        <v>112000</v>
      </c>
      <c r="D1272" t="s">
        <v>11</v>
      </c>
      <c r="E1272" t="s">
        <v>1</v>
      </c>
      <c r="F1272" t="s">
        <v>1</v>
      </c>
      <c r="G1272" t="s">
        <v>1443</v>
      </c>
      <c r="H1272" t="s">
        <v>1447</v>
      </c>
    </row>
    <row r="1273" spans="2:8" ht="15" customHeight="1" x14ac:dyDescent="0.25">
      <c r="B1273" t="s">
        <v>1371</v>
      </c>
      <c r="C1273" s="2">
        <v>11000</v>
      </c>
      <c r="D1273" t="s">
        <v>11</v>
      </c>
      <c r="E1273" t="s">
        <v>0</v>
      </c>
      <c r="F1273" t="s">
        <v>0</v>
      </c>
      <c r="G1273" t="s">
        <v>1440</v>
      </c>
      <c r="H1273" t="s">
        <v>1447</v>
      </c>
    </row>
    <row r="1274" spans="2:8" ht="15" customHeight="1" x14ac:dyDescent="0.25">
      <c r="B1274" t="s">
        <v>1372</v>
      </c>
      <c r="C1274" s="2">
        <v>114335.9495092447</v>
      </c>
      <c r="D1274" t="s">
        <v>38</v>
      </c>
      <c r="E1274" t="s">
        <v>58</v>
      </c>
      <c r="F1274" t="s">
        <v>1453</v>
      </c>
      <c r="G1274" t="s">
        <v>1443</v>
      </c>
      <c r="H1274" t="s">
        <v>1446</v>
      </c>
    </row>
    <row r="1275" spans="2:8" ht="15" customHeight="1" x14ac:dyDescent="0.25">
      <c r="B1275" t="s">
        <v>1373</v>
      </c>
      <c r="C1275" s="2">
        <v>16110</v>
      </c>
      <c r="D1275" t="s">
        <v>3</v>
      </c>
      <c r="E1275" t="s">
        <v>27</v>
      </c>
      <c r="F1275" t="s">
        <v>1454</v>
      </c>
      <c r="G1275" t="s">
        <v>1440</v>
      </c>
      <c r="H1275" t="s">
        <v>1447</v>
      </c>
    </row>
    <row r="1276" spans="2:8" ht="15" customHeight="1" x14ac:dyDescent="0.25">
      <c r="B1276" t="s">
        <v>1374</v>
      </c>
      <c r="C1276" s="2">
        <v>72000</v>
      </c>
      <c r="D1276" t="s">
        <v>11</v>
      </c>
      <c r="E1276" t="s">
        <v>1</v>
      </c>
      <c r="F1276" t="s">
        <v>1</v>
      </c>
      <c r="G1276" t="s">
        <v>1441</v>
      </c>
      <c r="H1276" t="s">
        <v>1447</v>
      </c>
    </row>
    <row r="1277" spans="2:8" ht="15" customHeight="1" x14ac:dyDescent="0.25">
      <c r="B1277" t="s">
        <v>1375</v>
      </c>
      <c r="C1277" s="2">
        <v>60000</v>
      </c>
      <c r="D1277" t="s">
        <v>3</v>
      </c>
      <c r="E1277" t="s">
        <v>1</v>
      </c>
      <c r="F1277" t="s">
        <v>1</v>
      </c>
      <c r="G1277" t="s">
        <v>1440</v>
      </c>
      <c r="H1277" t="s">
        <v>1447</v>
      </c>
    </row>
    <row r="1278" spans="2:8" ht="15" customHeight="1" x14ac:dyDescent="0.25">
      <c r="B1278" t="s">
        <v>1376</v>
      </c>
      <c r="C1278" s="2">
        <v>67000</v>
      </c>
      <c r="D1278" t="s">
        <v>3</v>
      </c>
      <c r="E1278" t="s">
        <v>1</v>
      </c>
      <c r="F1278" t="s">
        <v>1</v>
      </c>
      <c r="G1278" t="s">
        <v>1441</v>
      </c>
      <c r="H1278" t="s">
        <v>1447</v>
      </c>
    </row>
    <row r="1279" spans="2:8" ht="15" customHeight="1" x14ac:dyDescent="0.25">
      <c r="B1279" t="s">
        <v>1377</v>
      </c>
      <c r="C1279" s="2">
        <v>54000</v>
      </c>
      <c r="D1279" t="s">
        <v>3</v>
      </c>
      <c r="E1279" t="s">
        <v>1</v>
      </c>
      <c r="F1279" t="s">
        <v>1</v>
      </c>
      <c r="G1279" t="s">
        <v>1441</v>
      </c>
      <c r="H1279" t="s">
        <v>1446</v>
      </c>
    </row>
    <row r="1280" spans="2:8" ht="15" customHeight="1" x14ac:dyDescent="0.25">
      <c r="B1280" t="s">
        <v>1378</v>
      </c>
      <c r="C1280" s="2">
        <v>38666</v>
      </c>
      <c r="D1280" t="s">
        <v>14</v>
      </c>
      <c r="E1280" t="s">
        <v>10</v>
      </c>
      <c r="F1280" t="s">
        <v>1451</v>
      </c>
      <c r="G1280" t="s">
        <v>1440</v>
      </c>
      <c r="H1280" t="s">
        <v>1447</v>
      </c>
    </row>
    <row r="1281" spans="2:8" ht="15" customHeight="1" x14ac:dyDescent="0.25">
      <c r="B1281" t="s">
        <v>1379</v>
      </c>
      <c r="C1281" s="2">
        <v>63000</v>
      </c>
      <c r="D1281" t="s">
        <v>3</v>
      </c>
      <c r="E1281" t="s">
        <v>1</v>
      </c>
      <c r="F1281" t="s">
        <v>1</v>
      </c>
      <c r="G1281" t="s">
        <v>1441</v>
      </c>
      <c r="H1281" t="s">
        <v>1447</v>
      </c>
    </row>
    <row r="1282" spans="2:8" ht="15" customHeight="1" x14ac:dyDescent="0.25">
      <c r="B1282" t="s">
        <v>1380</v>
      </c>
      <c r="C1282" s="2">
        <v>63000</v>
      </c>
      <c r="D1282" t="s">
        <v>3</v>
      </c>
      <c r="E1282" t="s">
        <v>1</v>
      </c>
      <c r="F1282" t="s">
        <v>1</v>
      </c>
      <c r="G1282" t="s">
        <v>1440</v>
      </c>
      <c r="H1282" t="s">
        <v>1445</v>
      </c>
    </row>
    <row r="1283" spans="2:8" ht="15" customHeight="1" x14ac:dyDescent="0.25">
      <c r="B1283" t="s">
        <v>1381</v>
      </c>
      <c r="C1283" s="2">
        <v>6410.8500074793246</v>
      </c>
      <c r="D1283" t="s">
        <v>3</v>
      </c>
      <c r="E1283" t="s">
        <v>0</v>
      </c>
      <c r="F1283" t="s">
        <v>0</v>
      </c>
      <c r="G1283" t="s">
        <v>1440</v>
      </c>
      <c r="H1283" t="s">
        <v>1445</v>
      </c>
    </row>
    <row r="1284" spans="2:8" ht="15" customHeight="1" x14ac:dyDescent="0.25">
      <c r="B1284" t="s">
        <v>1382</v>
      </c>
      <c r="C1284" s="2">
        <v>10684.750012465542</v>
      </c>
      <c r="D1284" t="s">
        <v>11</v>
      </c>
      <c r="E1284" t="s">
        <v>0</v>
      </c>
      <c r="F1284" t="s">
        <v>0</v>
      </c>
      <c r="G1284" t="s">
        <v>1441</v>
      </c>
      <c r="H1284" t="s">
        <v>1446</v>
      </c>
    </row>
    <row r="1285" spans="2:8" ht="15" customHeight="1" x14ac:dyDescent="0.25">
      <c r="B1285" t="s">
        <v>1383</v>
      </c>
      <c r="C1285" s="2">
        <v>40000</v>
      </c>
      <c r="D1285" t="s">
        <v>11</v>
      </c>
      <c r="E1285" t="s">
        <v>0</v>
      </c>
      <c r="F1285" t="s">
        <v>0</v>
      </c>
      <c r="G1285" t="s">
        <v>1441</v>
      </c>
      <c r="H1285" t="s">
        <v>1445</v>
      </c>
    </row>
    <row r="1286" spans="2:8" ht="15" customHeight="1" x14ac:dyDescent="0.25">
      <c r="B1286" t="s">
        <v>1384</v>
      </c>
      <c r="C1286" s="2">
        <v>6232.7708406048987</v>
      </c>
      <c r="D1286" t="s">
        <v>3</v>
      </c>
      <c r="E1286" t="s">
        <v>0</v>
      </c>
      <c r="F1286" t="s">
        <v>0</v>
      </c>
      <c r="G1286" t="s">
        <v>1441</v>
      </c>
      <c r="H1286" t="s">
        <v>1447</v>
      </c>
    </row>
    <row r="1287" spans="2:8" ht="15" customHeight="1" x14ac:dyDescent="0.25">
      <c r="B1287" t="s">
        <v>1385</v>
      </c>
      <c r="C1287" s="2">
        <v>41712.231189497601</v>
      </c>
      <c r="D1287" t="s">
        <v>1438</v>
      </c>
      <c r="E1287" t="s">
        <v>0</v>
      </c>
      <c r="F1287" t="s">
        <v>0</v>
      </c>
      <c r="G1287" t="s">
        <v>1443</v>
      </c>
      <c r="H1287" t="s">
        <v>1446</v>
      </c>
    </row>
    <row r="1288" spans="2:8" ht="15" customHeight="1" x14ac:dyDescent="0.25">
      <c r="B1288" t="s">
        <v>1386</v>
      </c>
      <c r="C1288" s="2">
        <v>12465.541681209797</v>
      </c>
      <c r="D1288" t="s">
        <v>11</v>
      </c>
      <c r="E1288" t="s">
        <v>0</v>
      </c>
      <c r="F1288" t="s">
        <v>0</v>
      </c>
      <c r="G1288" t="s">
        <v>1443</v>
      </c>
      <c r="H1288" t="s">
        <v>1447</v>
      </c>
    </row>
    <row r="1289" spans="2:8" ht="15" customHeight="1" x14ac:dyDescent="0.25">
      <c r="B1289" t="s">
        <v>1387</v>
      </c>
      <c r="C1289" s="2">
        <v>32311.654577379326</v>
      </c>
      <c r="D1289" t="s">
        <v>3</v>
      </c>
      <c r="E1289" t="s">
        <v>15</v>
      </c>
      <c r="F1289" t="s">
        <v>15</v>
      </c>
      <c r="G1289" t="s">
        <v>1441</v>
      </c>
      <c r="H1289" t="s">
        <v>1446</v>
      </c>
    </row>
    <row r="1290" spans="2:8" ht="15" customHeight="1" x14ac:dyDescent="0.25">
      <c r="B1290" t="s">
        <v>1388</v>
      </c>
      <c r="C1290" s="2">
        <v>7123.1666749770275</v>
      </c>
      <c r="D1290" t="s">
        <v>3</v>
      </c>
      <c r="E1290" t="s">
        <v>0</v>
      </c>
      <c r="F1290" t="s">
        <v>0</v>
      </c>
      <c r="G1290" t="s">
        <v>1442</v>
      </c>
      <c r="H1290" t="s">
        <v>1445</v>
      </c>
    </row>
    <row r="1291" spans="2:8" ht="15" customHeight="1" x14ac:dyDescent="0.25">
      <c r="B1291" t="s">
        <v>1389</v>
      </c>
      <c r="C1291" s="2">
        <v>100000</v>
      </c>
      <c r="D1291" t="s">
        <v>11</v>
      </c>
      <c r="E1291" t="s">
        <v>26</v>
      </c>
      <c r="F1291" t="s">
        <v>1451</v>
      </c>
      <c r="G1291" t="s">
        <v>1440</v>
      </c>
      <c r="H1291" t="s">
        <v>1446</v>
      </c>
    </row>
    <row r="1292" spans="2:8" ht="15" customHeight="1" x14ac:dyDescent="0.25">
      <c r="B1292" t="s">
        <v>1390</v>
      </c>
      <c r="C1292" s="2">
        <v>59819.107020370408</v>
      </c>
      <c r="D1292" t="s">
        <v>31</v>
      </c>
      <c r="E1292" t="s">
        <v>45</v>
      </c>
      <c r="F1292" t="s">
        <v>1451</v>
      </c>
      <c r="G1292" t="s">
        <v>1441</v>
      </c>
      <c r="H1292" t="s">
        <v>1445</v>
      </c>
    </row>
    <row r="1293" spans="2:8" ht="15" customHeight="1" x14ac:dyDescent="0.25">
      <c r="B1293" t="s">
        <v>1391</v>
      </c>
      <c r="C1293" s="2">
        <v>25000</v>
      </c>
      <c r="D1293" t="s">
        <v>3</v>
      </c>
      <c r="E1293" t="s">
        <v>0</v>
      </c>
      <c r="F1293" t="s">
        <v>0</v>
      </c>
      <c r="G1293" t="s">
        <v>1440</v>
      </c>
      <c r="H1293" t="s">
        <v>1445</v>
      </c>
    </row>
    <row r="1294" spans="2:8" ht="15" customHeight="1" x14ac:dyDescent="0.25">
      <c r="B1294" t="s">
        <v>1392</v>
      </c>
      <c r="C1294" s="2">
        <v>5000</v>
      </c>
      <c r="D1294" t="s">
        <v>3</v>
      </c>
      <c r="E1294" t="s">
        <v>0</v>
      </c>
      <c r="F1294" t="s">
        <v>0</v>
      </c>
      <c r="G1294" t="s">
        <v>1443</v>
      </c>
      <c r="H1294" t="s">
        <v>1447</v>
      </c>
    </row>
    <row r="1295" spans="2:8" ht="15" customHeight="1" x14ac:dyDescent="0.25">
      <c r="B1295" t="s">
        <v>1393</v>
      </c>
      <c r="C1295" s="2">
        <v>64254.308353366054</v>
      </c>
      <c r="D1295" t="s">
        <v>31</v>
      </c>
      <c r="E1295" t="s">
        <v>18</v>
      </c>
      <c r="F1295" t="s">
        <v>18</v>
      </c>
      <c r="G1295" t="s">
        <v>1440</v>
      </c>
      <c r="H1295" t="s">
        <v>1445</v>
      </c>
    </row>
    <row r="1296" spans="2:8" ht="15" customHeight="1" x14ac:dyDescent="0.25">
      <c r="B1296" t="s">
        <v>1394</v>
      </c>
      <c r="C1296" s="2">
        <v>76223.966339496474</v>
      </c>
      <c r="D1296" t="s">
        <v>11</v>
      </c>
      <c r="E1296" t="s">
        <v>4</v>
      </c>
      <c r="F1296" t="s">
        <v>1453</v>
      </c>
      <c r="G1296" t="s">
        <v>1441</v>
      </c>
      <c r="H1296" t="s">
        <v>1447</v>
      </c>
    </row>
    <row r="1297" spans="2:8" ht="15" customHeight="1" x14ac:dyDescent="0.25">
      <c r="B1297" t="s">
        <v>1395</v>
      </c>
      <c r="C1297" s="2">
        <v>102542.54233725216</v>
      </c>
      <c r="D1297" t="s">
        <v>29</v>
      </c>
      <c r="E1297" t="s">
        <v>55</v>
      </c>
      <c r="F1297" t="s">
        <v>1453</v>
      </c>
      <c r="G1297" t="s">
        <v>1443</v>
      </c>
      <c r="H1297" t="s">
        <v>1446</v>
      </c>
    </row>
    <row r="1298" spans="2:8" ht="15" customHeight="1" x14ac:dyDescent="0.25">
      <c r="B1298" t="s">
        <v>1396</v>
      </c>
      <c r="C1298" s="2">
        <v>46000</v>
      </c>
      <c r="D1298" t="s">
        <v>3</v>
      </c>
      <c r="E1298" t="s">
        <v>1</v>
      </c>
      <c r="F1298" t="s">
        <v>1</v>
      </c>
      <c r="G1298" t="s">
        <v>1440</v>
      </c>
      <c r="H1298" t="s">
        <v>1445</v>
      </c>
    </row>
    <row r="1299" spans="2:8" ht="15" customHeight="1" x14ac:dyDescent="0.25">
      <c r="B1299" t="s">
        <v>1397</v>
      </c>
      <c r="C1299" s="2">
        <v>5000</v>
      </c>
      <c r="D1299" t="s">
        <v>3</v>
      </c>
      <c r="E1299" t="s">
        <v>0</v>
      </c>
      <c r="F1299" t="s">
        <v>0</v>
      </c>
      <c r="G1299" t="s">
        <v>1440</v>
      </c>
      <c r="H1299" t="s">
        <v>1445</v>
      </c>
    </row>
    <row r="1300" spans="2:8" ht="15" customHeight="1" x14ac:dyDescent="0.25">
      <c r="B1300" t="s">
        <v>1398</v>
      </c>
      <c r="C1300" s="2">
        <v>77819.106783521114</v>
      </c>
      <c r="D1300" t="s">
        <v>3</v>
      </c>
      <c r="E1300" t="s">
        <v>18</v>
      </c>
      <c r="F1300" t="s">
        <v>18</v>
      </c>
      <c r="G1300" t="s">
        <v>1440</v>
      </c>
      <c r="H1300" t="s">
        <v>1445</v>
      </c>
    </row>
    <row r="1301" spans="2:8" ht="15" customHeight="1" x14ac:dyDescent="0.25">
      <c r="B1301" t="s">
        <v>1399</v>
      </c>
      <c r="C1301" s="2">
        <v>6232.7708406048987</v>
      </c>
      <c r="D1301" t="s">
        <v>11</v>
      </c>
      <c r="E1301" t="s">
        <v>0</v>
      </c>
      <c r="F1301" t="s">
        <v>0</v>
      </c>
      <c r="G1301" t="s">
        <v>1443</v>
      </c>
      <c r="H1301" t="s">
        <v>1448</v>
      </c>
    </row>
    <row r="1302" spans="2:8" ht="15" customHeight="1" x14ac:dyDescent="0.25">
      <c r="B1302" t="s">
        <v>1400</v>
      </c>
      <c r="C1302" s="2">
        <v>55166.239522354947</v>
      </c>
      <c r="D1302" t="s">
        <v>3</v>
      </c>
      <c r="E1302" t="s">
        <v>15</v>
      </c>
      <c r="F1302" t="s">
        <v>15</v>
      </c>
      <c r="G1302" t="s">
        <v>1440</v>
      </c>
      <c r="H1302" t="s">
        <v>1449</v>
      </c>
    </row>
    <row r="1303" spans="2:8" ht="15" customHeight="1" x14ac:dyDescent="0.25">
      <c r="B1303" t="s">
        <v>1401</v>
      </c>
      <c r="C1303" s="2">
        <v>45000</v>
      </c>
      <c r="D1303" t="s">
        <v>31</v>
      </c>
      <c r="E1303" t="s">
        <v>1</v>
      </c>
      <c r="F1303" t="s">
        <v>1</v>
      </c>
      <c r="G1303" t="s">
        <v>1443</v>
      </c>
      <c r="H1303" t="s">
        <v>1445</v>
      </c>
    </row>
    <row r="1304" spans="2:8" ht="15" customHeight="1" x14ac:dyDescent="0.25">
      <c r="B1304" t="s">
        <v>1402</v>
      </c>
      <c r="C1304" s="2">
        <v>60000</v>
      </c>
      <c r="D1304" t="s">
        <v>11</v>
      </c>
      <c r="E1304" t="s">
        <v>19</v>
      </c>
      <c r="F1304" t="s">
        <v>19</v>
      </c>
      <c r="G1304" t="s">
        <v>1443</v>
      </c>
      <c r="H1304" t="s">
        <v>1447</v>
      </c>
    </row>
    <row r="1305" spans="2:8" ht="15" customHeight="1" x14ac:dyDescent="0.25">
      <c r="B1305" t="s">
        <v>1403</v>
      </c>
      <c r="C1305" s="2">
        <v>43000</v>
      </c>
      <c r="D1305" t="s">
        <v>3</v>
      </c>
      <c r="E1305" t="s">
        <v>1</v>
      </c>
      <c r="F1305" t="s">
        <v>1</v>
      </c>
      <c r="G1305" t="s">
        <v>1441</v>
      </c>
      <c r="H1305" t="s">
        <v>1445</v>
      </c>
    </row>
    <row r="1306" spans="2:8" ht="15" customHeight="1" x14ac:dyDescent="0.25">
      <c r="B1306" t="s">
        <v>1404</v>
      </c>
      <c r="C1306" s="2">
        <v>35571.184291765021</v>
      </c>
      <c r="D1306" t="s">
        <v>38</v>
      </c>
      <c r="E1306" t="s">
        <v>42</v>
      </c>
      <c r="F1306" t="s">
        <v>1453</v>
      </c>
      <c r="G1306" t="s">
        <v>1441</v>
      </c>
      <c r="H1306" t="s">
        <v>1447</v>
      </c>
    </row>
    <row r="1307" spans="2:8" ht="15" customHeight="1" x14ac:dyDescent="0.25">
      <c r="B1307" t="s">
        <v>1405</v>
      </c>
      <c r="C1307" s="2">
        <v>48000</v>
      </c>
      <c r="D1307" t="s">
        <v>3</v>
      </c>
      <c r="E1307" t="s">
        <v>1</v>
      </c>
      <c r="F1307" t="s">
        <v>1</v>
      </c>
      <c r="G1307" t="s">
        <v>1441</v>
      </c>
      <c r="H1307" t="s">
        <v>1446</v>
      </c>
    </row>
    <row r="1308" spans="2:8" ht="15" customHeight="1" x14ac:dyDescent="0.25">
      <c r="B1308" t="s">
        <v>1406</v>
      </c>
      <c r="C1308" s="2">
        <v>122389.15876831629</v>
      </c>
      <c r="D1308" t="s">
        <v>11</v>
      </c>
      <c r="E1308" t="s">
        <v>18</v>
      </c>
      <c r="F1308" t="s">
        <v>18</v>
      </c>
      <c r="G1308" t="s">
        <v>1442</v>
      </c>
      <c r="H1308" t="s">
        <v>1447</v>
      </c>
    </row>
    <row r="1309" spans="2:8" ht="15" customHeight="1" x14ac:dyDescent="0.25">
      <c r="B1309" t="s">
        <v>1407</v>
      </c>
      <c r="C1309" s="2">
        <v>4000</v>
      </c>
      <c r="D1309" t="s">
        <v>3</v>
      </c>
      <c r="E1309" t="s">
        <v>0</v>
      </c>
      <c r="F1309" t="s">
        <v>0</v>
      </c>
      <c r="G1309" t="s">
        <v>1443</v>
      </c>
      <c r="H1309" t="s">
        <v>1445</v>
      </c>
    </row>
    <row r="1310" spans="2:8" ht="15" customHeight="1" x14ac:dyDescent="0.25">
      <c r="B1310" t="s">
        <v>1408</v>
      </c>
      <c r="C1310" s="2">
        <v>4451.9791718606421</v>
      </c>
      <c r="D1310" t="s">
        <v>1437</v>
      </c>
      <c r="E1310" t="s">
        <v>0</v>
      </c>
      <c r="F1310" t="s">
        <v>0</v>
      </c>
      <c r="G1310" t="s">
        <v>1441</v>
      </c>
      <c r="H1310" t="s">
        <v>1445</v>
      </c>
    </row>
    <row r="1311" spans="2:8" ht="15" customHeight="1" x14ac:dyDescent="0.25">
      <c r="B1311" t="s">
        <v>1409</v>
      </c>
      <c r="C1311" s="2">
        <v>2953.8461538461538</v>
      </c>
      <c r="D1311" t="s">
        <v>1437</v>
      </c>
      <c r="E1311" t="s">
        <v>99</v>
      </c>
      <c r="F1311" t="s">
        <v>1451</v>
      </c>
      <c r="G1311" t="s">
        <v>1441</v>
      </c>
      <c r="H1311" t="s">
        <v>1445</v>
      </c>
    </row>
    <row r="1312" spans="2:8" ht="15" customHeight="1" x14ac:dyDescent="0.25">
      <c r="B1312" t="s">
        <v>1410</v>
      </c>
      <c r="C1312" s="2">
        <v>39404.456801682099</v>
      </c>
      <c r="D1312" t="s">
        <v>3</v>
      </c>
      <c r="E1312" t="s">
        <v>15</v>
      </c>
      <c r="F1312" t="s">
        <v>15</v>
      </c>
      <c r="G1312" t="s">
        <v>1441</v>
      </c>
      <c r="H1312" t="s">
        <v>1445</v>
      </c>
    </row>
    <row r="1313" spans="2:8" ht="15" customHeight="1" x14ac:dyDescent="0.25">
      <c r="B1313" t="s">
        <v>1411</v>
      </c>
      <c r="C1313" s="2">
        <v>75473.31457379504</v>
      </c>
      <c r="D1313" t="s">
        <v>3</v>
      </c>
      <c r="E1313" t="s">
        <v>18</v>
      </c>
      <c r="F1313" t="s">
        <v>18</v>
      </c>
      <c r="G1313" t="s">
        <v>1441</v>
      </c>
      <c r="H1313" t="s">
        <v>1447</v>
      </c>
    </row>
    <row r="1314" spans="2:8" ht="15" customHeight="1" x14ac:dyDescent="0.25">
      <c r="B1314" t="s">
        <v>1412</v>
      </c>
      <c r="C1314" s="2">
        <v>13355.937515581925</v>
      </c>
      <c r="D1314" t="s">
        <v>3</v>
      </c>
      <c r="E1314" t="s">
        <v>0</v>
      </c>
      <c r="F1314" t="s">
        <v>0</v>
      </c>
      <c r="G1314" t="s">
        <v>1441</v>
      </c>
      <c r="H1314" t="s">
        <v>1445</v>
      </c>
    </row>
    <row r="1315" spans="2:8" ht="15" customHeight="1" x14ac:dyDescent="0.25">
      <c r="B1315" t="s">
        <v>1413</v>
      </c>
      <c r="C1315" s="2">
        <v>25000</v>
      </c>
      <c r="D1315" t="s">
        <v>11</v>
      </c>
      <c r="E1315" t="s">
        <v>0</v>
      </c>
      <c r="F1315" t="s">
        <v>0</v>
      </c>
      <c r="G1315" t="s">
        <v>1441</v>
      </c>
      <c r="H1315" t="s">
        <v>1447</v>
      </c>
    </row>
    <row r="1316" spans="2:8" ht="15" customHeight="1" x14ac:dyDescent="0.25">
      <c r="B1316" t="s">
        <v>1414</v>
      </c>
      <c r="C1316" s="2">
        <v>7479.3250087258784</v>
      </c>
      <c r="D1316" t="s">
        <v>3</v>
      </c>
      <c r="E1316" t="s">
        <v>0</v>
      </c>
      <c r="F1316" t="s">
        <v>0</v>
      </c>
      <c r="G1316" t="s">
        <v>1441</v>
      </c>
      <c r="H1316" t="s">
        <v>1445</v>
      </c>
    </row>
    <row r="1317" spans="2:8" ht="15" customHeight="1" x14ac:dyDescent="0.25">
      <c r="B1317" t="s">
        <v>1415</v>
      </c>
      <c r="C1317" s="2">
        <v>62000</v>
      </c>
      <c r="D1317" t="s">
        <v>3</v>
      </c>
      <c r="E1317" t="s">
        <v>1</v>
      </c>
      <c r="F1317" t="s">
        <v>1</v>
      </c>
      <c r="G1317" t="s">
        <v>1441</v>
      </c>
      <c r="H1317" t="s">
        <v>1445</v>
      </c>
    </row>
    <row r="1318" spans="2:8" ht="15" customHeight="1" x14ac:dyDescent="0.25">
      <c r="B1318" t="s">
        <v>1416</v>
      </c>
      <c r="C1318" s="2">
        <v>48000</v>
      </c>
      <c r="D1318" t="s">
        <v>3</v>
      </c>
      <c r="E1318" t="s">
        <v>1</v>
      </c>
      <c r="F1318" t="s">
        <v>1</v>
      </c>
      <c r="G1318" t="s">
        <v>1441</v>
      </c>
      <c r="H1318" t="s">
        <v>1445</v>
      </c>
    </row>
    <row r="1319" spans="2:8" ht="15" customHeight="1" x14ac:dyDescent="0.25">
      <c r="B1319" t="s">
        <v>1417</v>
      </c>
      <c r="C1319" s="2">
        <v>5000</v>
      </c>
      <c r="D1319" t="s">
        <v>1438</v>
      </c>
      <c r="E1319" t="s">
        <v>0</v>
      </c>
      <c r="F1319" t="s">
        <v>0</v>
      </c>
      <c r="G1319" t="s">
        <v>1441</v>
      </c>
      <c r="H1319" t="s">
        <v>1445</v>
      </c>
    </row>
    <row r="1320" spans="2:8" ht="15" customHeight="1" x14ac:dyDescent="0.25">
      <c r="B1320" t="s">
        <v>1418</v>
      </c>
      <c r="C1320" s="2">
        <v>4914.9850057341491</v>
      </c>
      <c r="D1320" t="s">
        <v>1437</v>
      </c>
      <c r="E1320" t="s">
        <v>0</v>
      </c>
      <c r="F1320" t="s">
        <v>0</v>
      </c>
      <c r="G1320" t="s">
        <v>1440</v>
      </c>
      <c r="H1320" t="s">
        <v>1447</v>
      </c>
    </row>
    <row r="1321" spans="2:8" ht="15" customHeight="1" x14ac:dyDescent="0.25">
      <c r="B1321" t="s">
        <v>1419</v>
      </c>
      <c r="C1321" s="2">
        <v>75000</v>
      </c>
      <c r="D1321" t="s">
        <v>3</v>
      </c>
      <c r="E1321" t="s">
        <v>1</v>
      </c>
      <c r="F1321" t="s">
        <v>1</v>
      </c>
      <c r="G1321" t="s">
        <v>1442</v>
      </c>
      <c r="H1321" t="s">
        <v>1445</v>
      </c>
    </row>
    <row r="1322" spans="2:8" ht="15" customHeight="1" x14ac:dyDescent="0.25">
      <c r="B1322" t="s">
        <v>1420</v>
      </c>
      <c r="C1322" s="2">
        <v>8400</v>
      </c>
      <c r="D1322" t="s">
        <v>1437</v>
      </c>
      <c r="E1322" t="s">
        <v>0</v>
      </c>
      <c r="F1322" t="s">
        <v>0</v>
      </c>
      <c r="G1322" t="s">
        <v>1440</v>
      </c>
      <c r="H1322" t="s">
        <v>1447</v>
      </c>
    </row>
    <row r="1323" spans="2:8" ht="15" customHeight="1" x14ac:dyDescent="0.25">
      <c r="B1323" t="s">
        <v>1421</v>
      </c>
      <c r="C1323" s="2">
        <v>20000</v>
      </c>
      <c r="D1323" t="s">
        <v>11</v>
      </c>
      <c r="E1323" t="s">
        <v>0</v>
      </c>
      <c r="F1323" t="s">
        <v>0</v>
      </c>
      <c r="G1323" t="s">
        <v>1443</v>
      </c>
      <c r="H1323" t="s">
        <v>1445</v>
      </c>
    </row>
    <row r="1324" spans="2:8" ht="15" customHeight="1" x14ac:dyDescent="0.25">
      <c r="B1324" t="s">
        <v>1422</v>
      </c>
      <c r="C1324" s="2">
        <v>110000</v>
      </c>
      <c r="D1324" t="s">
        <v>1439</v>
      </c>
      <c r="E1324" t="s">
        <v>1</v>
      </c>
      <c r="F1324" t="s">
        <v>1</v>
      </c>
      <c r="G1324" t="s">
        <v>1441</v>
      </c>
      <c r="H1324" t="s">
        <v>1447</v>
      </c>
    </row>
    <row r="1325" spans="2:8" ht="15" customHeight="1" x14ac:dyDescent="0.25">
      <c r="B1325" t="s">
        <v>1423</v>
      </c>
      <c r="C1325" s="2">
        <v>50000</v>
      </c>
      <c r="D1325" t="s">
        <v>3</v>
      </c>
      <c r="E1325" t="s">
        <v>1</v>
      </c>
      <c r="F1325" t="s">
        <v>1</v>
      </c>
      <c r="G1325" t="s">
        <v>1440</v>
      </c>
      <c r="H1325" t="s">
        <v>1445</v>
      </c>
    </row>
    <row r="1326" spans="2:8" ht="15" customHeight="1" x14ac:dyDescent="0.25">
      <c r="B1326" t="s">
        <v>1424</v>
      </c>
      <c r="C1326" s="2">
        <v>46000</v>
      </c>
      <c r="D1326" t="s">
        <v>3</v>
      </c>
      <c r="E1326" t="s">
        <v>1</v>
      </c>
      <c r="F1326" t="s">
        <v>1</v>
      </c>
      <c r="G1326" t="s">
        <v>1441</v>
      </c>
      <c r="H1326" t="s">
        <v>1447</v>
      </c>
    </row>
    <row r="1327" spans="2:8" ht="15" customHeight="1" x14ac:dyDescent="0.25">
      <c r="B1327" t="s">
        <v>1425</v>
      </c>
      <c r="C1327" s="2">
        <v>115000</v>
      </c>
      <c r="D1327" t="s">
        <v>3</v>
      </c>
      <c r="E1327" t="s">
        <v>1</v>
      </c>
      <c r="F1327" t="s">
        <v>1</v>
      </c>
      <c r="G1327" t="s">
        <v>1440</v>
      </c>
      <c r="H1327" t="s">
        <v>1446</v>
      </c>
    </row>
    <row r="1328" spans="2:8" ht="15" customHeight="1" x14ac:dyDescent="0.25">
      <c r="B1328" t="s">
        <v>1426</v>
      </c>
      <c r="C1328" s="2">
        <v>3205.4250037396623</v>
      </c>
      <c r="D1328" t="s">
        <v>3</v>
      </c>
      <c r="E1328" t="s">
        <v>0</v>
      </c>
      <c r="F1328" t="s">
        <v>0</v>
      </c>
      <c r="G1328" t="s">
        <v>1441</v>
      </c>
      <c r="H1328" t="s">
        <v>1445</v>
      </c>
    </row>
    <row r="1329" spans="2:8" ht="15" customHeight="1" x14ac:dyDescent="0.25">
      <c r="B1329" t="s">
        <v>1427</v>
      </c>
      <c r="C1329" s="2">
        <v>76223.966339496474</v>
      </c>
      <c r="D1329" t="s">
        <v>11</v>
      </c>
      <c r="E1329" t="s">
        <v>58</v>
      </c>
      <c r="F1329" t="s">
        <v>1453</v>
      </c>
      <c r="G1329" t="s">
        <v>1443</v>
      </c>
      <c r="H1329" t="s">
        <v>1446</v>
      </c>
    </row>
    <row r="1330" spans="2:8" ht="15" customHeight="1" x14ac:dyDescent="0.25">
      <c r="B1330" t="s">
        <v>1428</v>
      </c>
      <c r="C1330" s="2">
        <v>52500</v>
      </c>
      <c r="D1330" t="s">
        <v>3</v>
      </c>
      <c r="E1330" t="s">
        <v>10</v>
      </c>
      <c r="F1330" t="s">
        <v>1451</v>
      </c>
      <c r="G1330" t="s">
        <v>1441</v>
      </c>
      <c r="H1330" t="s">
        <v>1448</v>
      </c>
    </row>
    <row r="1331" spans="2:8" ht="15" customHeight="1" x14ac:dyDescent="0.25">
      <c r="B1331" t="s">
        <v>1429</v>
      </c>
      <c r="C1331" s="2">
        <v>100800</v>
      </c>
      <c r="D1331" t="s">
        <v>1439</v>
      </c>
      <c r="E1331" t="s">
        <v>100</v>
      </c>
      <c r="F1331" t="s">
        <v>1451</v>
      </c>
      <c r="G1331" t="s">
        <v>1441</v>
      </c>
      <c r="H1331" t="s">
        <v>1445</v>
      </c>
    </row>
    <row r="1332" spans="2:8" ht="15" customHeight="1" x14ac:dyDescent="0.25">
      <c r="B1332" t="s">
        <v>1430</v>
      </c>
      <c r="C1332" s="2">
        <v>21000</v>
      </c>
      <c r="D1332" t="s">
        <v>1438</v>
      </c>
      <c r="E1332" t="s">
        <v>0</v>
      </c>
      <c r="F1332" t="s">
        <v>0</v>
      </c>
      <c r="G1332" t="s">
        <v>1440</v>
      </c>
      <c r="H1332" t="s">
        <v>1445</v>
      </c>
    </row>
    <row r="1333" spans="2:8" ht="15" customHeight="1" x14ac:dyDescent="0.25">
      <c r="B1333" t="s">
        <v>1431</v>
      </c>
      <c r="C1333" s="2">
        <v>40000</v>
      </c>
      <c r="D1333" t="s">
        <v>3</v>
      </c>
      <c r="E1333" t="s">
        <v>1</v>
      </c>
      <c r="F1333" t="s">
        <v>1</v>
      </c>
      <c r="G1333" t="s">
        <v>1442</v>
      </c>
      <c r="H1333" t="s">
        <v>1445</v>
      </c>
    </row>
    <row r="1334" spans="2:8" ht="15" customHeight="1" x14ac:dyDescent="0.25">
      <c r="B1334" t="s">
        <v>1432</v>
      </c>
      <c r="C1334" s="2">
        <v>46359</v>
      </c>
      <c r="D1334" t="s">
        <v>3</v>
      </c>
      <c r="E1334" t="s">
        <v>1</v>
      </c>
      <c r="F1334" t="s">
        <v>1</v>
      </c>
      <c r="G1334" t="s">
        <v>1440</v>
      </c>
      <c r="H1334" t="s">
        <v>1445</v>
      </c>
    </row>
    <row r="1335" spans="2:8" ht="15" customHeight="1" x14ac:dyDescent="0.25">
      <c r="B1335" t="s">
        <v>1433</v>
      </c>
      <c r="C1335" s="2">
        <v>70000</v>
      </c>
      <c r="D1335" t="s">
        <v>3</v>
      </c>
      <c r="E1335" t="s">
        <v>1</v>
      </c>
      <c r="F1335" t="s">
        <v>1</v>
      </c>
      <c r="G1335" t="s">
        <v>1441</v>
      </c>
      <c r="H1335" t="s">
        <v>1447</v>
      </c>
    </row>
  </sheetData>
  <conditionalFormatting sqref="B4:H1335">
    <cfRule type="expression" dxfId="5" priority="2">
      <formula>#REF!="ERR"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J96"/>
  <sheetViews>
    <sheetView topLeftCell="A6" workbookViewId="0">
      <selection activeCell="D9" sqref="D9:E9"/>
    </sheetView>
  </sheetViews>
  <sheetFormatPr defaultRowHeight="15" x14ac:dyDescent="0.25"/>
  <cols>
    <col min="9" max="9" width="20.85546875" bestFit="1" customWidth="1"/>
  </cols>
  <sheetData>
    <row r="3" spans="4:10" x14ac:dyDescent="0.25">
      <c r="I3" t="s">
        <v>0</v>
      </c>
      <c r="J3" t="s">
        <v>0</v>
      </c>
    </row>
    <row r="4" spans="4:10" x14ac:dyDescent="0.25">
      <c r="I4" t="s">
        <v>1</v>
      </c>
      <c r="J4" t="s">
        <v>1</v>
      </c>
    </row>
    <row r="5" spans="4:10" x14ac:dyDescent="0.25">
      <c r="I5" t="s">
        <v>15</v>
      </c>
      <c r="J5" t="s">
        <v>15</v>
      </c>
    </row>
    <row r="6" spans="4:10" x14ac:dyDescent="0.25">
      <c r="I6" t="s">
        <v>18</v>
      </c>
      <c r="J6" t="s">
        <v>18</v>
      </c>
    </row>
    <row r="7" spans="4:10" x14ac:dyDescent="0.25">
      <c r="I7" t="s">
        <v>2</v>
      </c>
      <c r="J7" t="s">
        <v>2</v>
      </c>
    </row>
    <row r="8" spans="4:10" x14ac:dyDescent="0.25">
      <c r="I8" t="s">
        <v>19</v>
      </c>
      <c r="J8" t="s">
        <v>19</v>
      </c>
    </row>
    <row r="9" spans="4:10" x14ac:dyDescent="0.25">
      <c r="D9" s="32"/>
      <c r="I9" t="s">
        <v>43</v>
      </c>
      <c r="J9" t="s">
        <v>58</v>
      </c>
    </row>
    <row r="10" spans="4:10" x14ac:dyDescent="0.25">
      <c r="I10" t="s">
        <v>10</v>
      </c>
      <c r="J10" t="s">
        <v>1451</v>
      </c>
    </row>
    <row r="11" spans="4:10" x14ac:dyDescent="0.25">
      <c r="I11" t="s">
        <v>45</v>
      </c>
      <c r="J11" t="s">
        <v>1451</v>
      </c>
    </row>
    <row r="12" spans="4:10" x14ac:dyDescent="0.25">
      <c r="I12" t="s">
        <v>26</v>
      </c>
      <c r="J12" t="s">
        <v>1451</v>
      </c>
    </row>
    <row r="13" spans="4:10" x14ac:dyDescent="0.25">
      <c r="I13" t="s">
        <v>4</v>
      </c>
      <c r="J13" t="s">
        <v>58</v>
      </c>
    </row>
    <row r="14" spans="4:10" x14ac:dyDescent="0.25">
      <c r="I14" t="s">
        <v>22</v>
      </c>
      <c r="J14" t="s">
        <v>1451</v>
      </c>
    </row>
    <row r="15" spans="4:10" x14ac:dyDescent="0.25">
      <c r="I15" t="s">
        <v>25</v>
      </c>
      <c r="J15" t="s">
        <v>70</v>
      </c>
    </row>
    <row r="16" spans="4:10" x14ac:dyDescent="0.25">
      <c r="I16" t="s">
        <v>21</v>
      </c>
      <c r="J16" t="s">
        <v>1451</v>
      </c>
    </row>
    <row r="17" spans="9:10" x14ac:dyDescent="0.25">
      <c r="I17" t="s">
        <v>32</v>
      </c>
      <c r="J17" t="s">
        <v>70</v>
      </c>
    </row>
    <row r="18" spans="9:10" x14ac:dyDescent="0.25">
      <c r="I18" t="s">
        <v>42</v>
      </c>
      <c r="J18" t="s">
        <v>58</v>
      </c>
    </row>
    <row r="19" spans="9:10" x14ac:dyDescent="0.25">
      <c r="I19" t="s">
        <v>49</v>
      </c>
      <c r="J19" t="s">
        <v>70</v>
      </c>
    </row>
    <row r="20" spans="9:10" x14ac:dyDescent="0.25">
      <c r="I20" t="s">
        <v>6</v>
      </c>
      <c r="J20" t="s">
        <v>58</v>
      </c>
    </row>
    <row r="21" spans="9:10" x14ac:dyDescent="0.25">
      <c r="I21" t="s">
        <v>69</v>
      </c>
      <c r="J21" t="s">
        <v>70</v>
      </c>
    </row>
    <row r="22" spans="9:10" x14ac:dyDescent="0.25">
      <c r="I22" t="s">
        <v>55</v>
      </c>
      <c r="J22" t="s">
        <v>58</v>
      </c>
    </row>
    <row r="23" spans="9:10" x14ac:dyDescent="0.25">
      <c r="I23" t="s">
        <v>56</v>
      </c>
      <c r="J23" t="s">
        <v>58</v>
      </c>
    </row>
    <row r="24" spans="9:10" x14ac:dyDescent="0.25">
      <c r="I24" t="s">
        <v>48</v>
      </c>
      <c r="J24" t="s">
        <v>70</v>
      </c>
    </row>
    <row r="25" spans="9:10" x14ac:dyDescent="0.25">
      <c r="I25" t="s">
        <v>41</v>
      </c>
      <c r="J25" t="s">
        <v>58</v>
      </c>
    </row>
    <row r="26" spans="9:10" x14ac:dyDescent="0.25">
      <c r="I26" t="s">
        <v>23</v>
      </c>
      <c r="J26" t="s">
        <v>58</v>
      </c>
    </row>
    <row r="27" spans="9:10" x14ac:dyDescent="0.25">
      <c r="I27" t="s">
        <v>58</v>
      </c>
      <c r="J27" t="s">
        <v>58</v>
      </c>
    </row>
    <row r="28" spans="9:10" x14ac:dyDescent="0.25">
      <c r="I28" t="s">
        <v>13</v>
      </c>
      <c r="J28" t="s">
        <v>1451</v>
      </c>
    </row>
    <row r="29" spans="9:10" x14ac:dyDescent="0.25">
      <c r="I29" t="s">
        <v>17</v>
      </c>
      <c r="J29" t="s">
        <v>58</v>
      </c>
    </row>
    <row r="30" spans="9:10" x14ac:dyDescent="0.25">
      <c r="I30" t="s">
        <v>20</v>
      </c>
      <c r="J30" t="s">
        <v>58</v>
      </c>
    </row>
    <row r="31" spans="9:10" x14ac:dyDescent="0.25">
      <c r="I31" t="s">
        <v>34</v>
      </c>
      <c r="J31" t="s">
        <v>1451</v>
      </c>
    </row>
    <row r="32" spans="9:10" x14ac:dyDescent="0.25">
      <c r="I32" t="s">
        <v>54</v>
      </c>
      <c r="J32" t="s">
        <v>1451</v>
      </c>
    </row>
    <row r="33" spans="9:10" x14ac:dyDescent="0.25">
      <c r="I33" t="s">
        <v>27</v>
      </c>
      <c r="J33" t="s">
        <v>70</v>
      </c>
    </row>
    <row r="34" spans="9:10" x14ac:dyDescent="0.25">
      <c r="I34" t="s">
        <v>61</v>
      </c>
      <c r="J34" t="s">
        <v>1451</v>
      </c>
    </row>
    <row r="35" spans="9:10" x14ac:dyDescent="0.25">
      <c r="I35" t="s">
        <v>72</v>
      </c>
      <c r="J35" t="s">
        <v>1451</v>
      </c>
    </row>
    <row r="36" spans="9:10" x14ac:dyDescent="0.25">
      <c r="I36" t="s">
        <v>35</v>
      </c>
      <c r="J36" t="s">
        <v>1451</v>
      </c>
    </row>
    <row r="37" spans="9:10" x14ac:dyDescent="0.25">
      <c r="I37" t="s">
        <v>12</v>
      </c>
      <c r="J37" t="s">
        <v>58</v>
      </c>
    </row>
    <row r="38" spans="9:10" x14ac:dyDescent="0.25">
      <c r="I38" t="s">
        <v>7</v>
      </c>
      <c r="J38" t="s">
        <v>58</v>
      </c>
    </row>
    <row r="39" spans="9:10" x14ac:dyDescent="0.25">
      <c r="I39" t="s">
        <v>47</v>
      </c>
      <c r="J39" t="s">
        <v>70</v>
      </c>
    </row>
    <row r="40" spans="9:10" x14ac:dyDescent="0.25">
      <c r="I40" t="s">
        <v>57</v>
      </c>
      <c r="J40" t="s">
        <v>58</v>
      </c>
    </row>
    <row r="41" spans="9:10" x14ac:dyDescent="0.25">
      <c r="I41" t="s">
        <v>16</v>
      </c>
      <c r="J41" t="s">
        <v>1451</v>
      </c>
    </row>
    <row r="42" spans="9:10" x14ac:dyDescent="0.25">
      <c r="I42" t="s">
        <v>39</v>
      </c>
      <c r="J42" t="s">
        <v>1451</v>
      </c>
    </row>
    <row r="43" spans="9:10" x14ac:dyDescent="0.25">
      <c r="I43" t="s">
        <v>68</v>
      </c>
      <c r="J43" t="s">
        <v>1451</v>
      </c>
    </row>
    <row r="44" spans="9:10" x14ac:dyDescent="0.25">
      <c r="I44" t="s">
        <v>9</v>
      </c>
      <c r="J44" t="s">
        <v>58</v>
      </c>
    </row>
    <row r="45" spans="9:10" x14ac:dyDescent="0.25">
      <c r="I45" t="s">
        <v>40</v>
      </c>
      <c r="J45" t="s">
        <v>58</v>
      </c>
    </row>
    <row r="46" spans="9:10" x14ac:dyDescent="0.25">
      <c r="I46" t="s">
        <v>24</v>
      </c>
      <c r="J46" t="s">
        <v>58</v>
      </c>
    </row>
    <row r="47" spans="9:10" x14ac:dyDescent="0.25">
      <c r="I47" t="s">
        <v>81</v>
      </c>
      <c r="J47" t="s">
        <v>1451</v>
      </c>
    </row>
    <row r="48" spans="9:10" x14ac:dyDescent="0.25">
      <c r="I48" t="s">
        <v>79</v>
      </c>
      <c r="J48" t="s">
        <v>70</v>
      </c>
    </row>
    <row r="49" spans="9:10" x14ac:dyDescent="0.25">
      <c r="I49" t="s">
        <v>8</v>
      </c>
      <c r="J49" t="s">
        <v>58</v>
      </c>
    </row>
    <row r="50" spans="9:10" x14ac:dyDescent="0.25">
      <c r="I50" t="s">
        <v>44</v>
      </c>
      <c r="J50" t="s">
        <v>1451</v>
      </c>
    </row>
    <row r="51" spans="9:10" x14ac:dyDescent="0.25">
      <c r="I51" t="s">
        <v>46</v>
      </c>
      <c r="J51" t="s">
        <v>1451</v>
      </c>
    </row>
    <row r="52" spans="9:10" x14ac:dyDescent="0.25">
      <c r="I52" t="s">
        <v>30</v>
      </c>
      <c r="J52" t="s">
        <v>70</v>
      </c>
    </row>
    <row r="53" spans="9:10" x14ac:dyDescent="0.25">
      <c r="I53" t="s">
        <v>50</v>
      </c>
      <c r="J53" t="s">
        <v>70</v>
      </c>
    </row>
    <row r="54" spans="9:10" x14ac:dyDescent="0.25">
      <c r="I54" t="s">
        <v>51</v>
      </c>
      <c r="J54" t="s">
        <v>1451</v>
      </c>
    </row>
    <row r="55" spans="9:10" x14ac:dyDescent="0.25">
      <c r="I55" t="s">
        <v>52</v>
      </c>
      <c r="J55" t="s">
        <v>1451</v>
      </c>
    </row>
    <row r="56" spans="9:10" x14ac:dyDescent="0.25">
      <c r="I56" t="s">
        <v>53</v>
      </c>
      <c r="J56" t="s">
        <v>70</v>
      </c>
    </row>
    <row r="57" spans="9:10" x14ac:dyDescent="0.25">
      <c r="I57" t="s">
        <v>5</v>
      </c>
      <c r="J57" t="s">
        <v>1451</v>
      </c>
    </row>
    <row r="58" spans="9:10" x14ac:dyDescent="0.25">
      <c r="I58" t="s">
        <v>59</v>
      </c>
      <c r="J58" t="s">
        <v>1451</v>
      </c>
    </row>
    <row r="59" spans="9:10" x14ac:dyDescent="0.25">
      <c r="I59" t="s">
        <v>60</v>
      </c>
      <c r="J59" t="s">
        <v>1451</v>
      </c>
    </row>
    <row r="60" spans="9:10" x14ac:dyDescent="0.25">
      <c r="I60" t="s">
        <v>62</v>
      </c>
      <c r="J60" t="s">
        <v>70</v>
      </c>
    </row>
    <row r="61" spans="9:10" x14ac:dyDescent="0.25">
      <c r="I61" t="s">
        <v>63</v>
      </c>
      <c r="J61" t="s">
        <v>1451</v>
      </c>
    </row>
    <row r="62" spans="9:10" x14ac:dyDescent="0.25">
      <c r="I62" t="s">
        <v>64</v>
      </c>
      <c r="J62" t="s">
        <v>58</v>
      </c>
    </row>
    <row r="63" spans="9:10" x14ac:dyDescent="0.25">
      <c r="I63" t="s">
        <v>65</v>
      </c>
      <c r="J63" t="s">
        <v>1451</v>
      </c>
    </row>
    <row r="64" spans="9:10" x14ac:dyDescent="0.25">
      <c r="I64" t="s">
        <v>66</v>
      </c>
      <c r="J64" t="s">
        <v>58</v>
      </c>
    </row>
    <row r="65" spans="9:10" x14ac:dyDescent="0.25">
      <c r="I65" t="s">
        <v>67</v>
      </c>
      <c r="J65" t="s">
        <v>1451</v>
      </c>
    </row>
    <row r="66" spans="9:10" x14ac:dyDescent="0.25">
      <c r="I66" t="s">
        <v>70</v>
      </c>
      <c r="J66" t="s">
        <v>70</v>
      </c>
    </row>
    <row r="67" spans="9:10" x14ac:dyDescent="0.25">
      <c r="I67" t="s">
        <v>71</v>
      </c>
      <c r="J67" t="s">
        <v>1451</v>
      </c>
    </row>
    <row r="68" spans="9:10" x14ac:dyDescent="0.25">
      <c r="I68" t="s">
        <v>73</v>
      </c>
      <c r="J68" t="s">
        <v>1451</v>
      </c>
    </row>
    <row r="69" spans="9:10" x14ac:dyDescent="0.25">
      <c r="I69" t="s">
        <v>74</v>
      </c>
      <c r="J69" t="s">
        <v>1451</v>
      </c>
    </row>
    <row r="70" spans="9:10" x14ac:dyDescent="0.25">
      <c r="I70" t="s">
        <v>75</v>
      </c>
      <c r="J70" t="s">
        <v>1451</v>
      </c>
    </row>
    <row r="71" spans="9:10" x14ac:dyDescent="0.25">
      <c r="I71" t="s">
        <v>76</v>
      </c>
      <c r="J71" t="s">
        <v>1451</v>
      </c>
    </row>
    <row r="72" spans="9:10" x14ac:dyDescent="0.25">
      <c r="I72" t="s">
        <v>77</v>
      </c>
      <c r="J72" t="s">
        <v>1451</v>
      </c>
    </row>
    <row r="73" spans="9:10" x14ac:dyDescent="0.25">
      <c r="I73" t="s">
        <v>78</v>
      </c>
      <c r="J73" t="s">
        <v>1451</v>
      </c>
    </row>
    <row r="74" spans="9:10" x14ac:dyDescent="0.25">
      <c r="I74" t="s">
        <v>80</v>
      </c>
      <c r="J74" t="s">
        <v>1451</v>
      </c>
    </row>
    <row r="75" spans="9:10" x14ac:dyDescent="0.25">
      <c r="I75" t="s">
        <v>82</v>
      </c>
      <c r="J75" t="s">
        <v>1451</v>
      </c>
    </row>
    <row r="76" spans="9:10" x14ac:dyDescent="0.25">
      <c r="I76" t="s">
        <v>83</v>
      </c>
      <c r="J76" t="s">
        <v>58</v>
      </c>
    </row>
    <row r="77" spans="9:10" x14ac:dyDescent="0.25">
      <c r="I77" t="s">
        <v>37</v>
      </c>
      <c r="J77" t="s">
        <v>58</v>
      </c>
    </row>
    <row r="78" spans="9:10" x14ac:dyDescent="0.25">
      <c r="I78" t="s">
        <v>28</v>
      </c>
      <c r="J78" t="s">
        <v>58</v>
      </c>
    </row>
    <row r="79" spans="9:10" x14ac:dyDescent="0.25">
      <c r="I79" t="s">
        <v>84</v>
      </c>
      <c r="J79" t="s">
        <v>1451</v>
      </c>
    </row>
    <row r="80" spans="9:10" x14ac:dyDescent="0.25">
      <c r="I80" t="s">
        <v>85</v>
      </c>
      <c r="J80" t="s">
        <v>70</v>
      </c>
    </row>
    <row r="81" spans="9:10" x14ac:dyDescent="0.25">
      <c r="I81" t="s">
        <v>86</v>
      </c>
      <c r="J81" t="s">
        <v>1451</v>
      </c>
    </row>
    <row r="82" spans="9:10" x14ac:dyDescent="0.25">
      <c r="I82" t="s">
        <v>87</v>
      </c>
      <c r="J82" t="s">
        <v>1451</v>
      </c>
    </row>
    <row r="83" spans="9:10" x14ac:dyDescent="0.25">
      <c r="I83" t="s">
        <v>88</v>
      </c>
      <c r="J83" t="s">
        <v>1451</v>
      </c>
    </row>
    <row r="84" spans="9:10" x14ac:dyDescent="0.25">
      <c r="I84" t="s">
        <v>89</v>
      </c>
      <c r="J84" t="s">
        <v>1451</v>
      </c>
    </row>
    <row r="85" spans="9:10" x14ac:dyDescent="0.25">
      <c r="I85" t="s">
        <v>90</v>
      </c>
      <c r="J85" t="s">
        <v>1451</v>
      </c>
    </row>
    <row r="86" spans="9:10" x14ac:dyDescent="0.25">
      <c r="I86" t="s">
        <v>91</v>
      </c>
      <c r="J86" t="s">
        <v>1451</v>
      </c>
    </row>
    <row r="87" spans="9:10" x14ac:dyDescent="0.25">
      <c r="I87" t="s">
        <v>92</v>
      </c>
      <c r="J87" t="s">
        <v>1451</v>
      </c>
    </row>
    <row r="88" spans="9:10" x14ac:dyDescent="0.25">
      <c r="I88" t="s">
        <v>93</v>
      </c>
      <c r="J88" t="s">
        <v>1451</v>
      </c>
    </row>
    <row r="89" spans="9:10" x14ac:dyDescent="0.25">
      <c r="I89" t="s">
        <v>94</v>
      </c>
      <c r="J89" t="s">
        <v>58</v>
      </c>
    </row>
    <row r="90" spans="9:10" x14ac:dyDescent="0.25">
      <c r="I90" t="s">
        <v>95</v>
      </c>
      <c r="J90" t="s">
        <v>1451</v>
      </c>
    </row>
    <row r="91" spans="9:10" x14ac:dyDescent="0.25">
      <c r="I91" t="s">
        <v>96</v>
      </c>
      <c r="J91" t="s">
        <v>1451</v>
      </c>
    </row>
    <row r="92" spans="9:10" x14ac:dyDescent="0.25">
      <c r="I92" t="s">
        <v>36</v>
      </c>
      <c r="J92" t="s">
        <v>70</v>
      </c>
    </row>
    <row r="93" spans="9:10" x14ac:dyDescent="0.25">
      <c r="I93" t="s">
        <v>97</v>
      </c>
      <c r="J93" t="s">
        <v>70</v>
      </c>
    </row>
    <row r="94" spans="9:10" x14ac:dyDescent="0.25">
      <c r="I94" t="s">
        <v>98</v>
      </c>
      <c r="J94" t="s">
        <v>1451</v>
      </c>
    </row>
    <row r="95" spans="9:10" x14ac:dyDescent="0.25">
      <c r="I95" t="s">
        <v>99</v>
      </c>
      <c r="J95" t="s">
        <v>1451</v>
      </c>
    </row>
    <row r="96" spans="9:10" x14ac:dyDescent="0.25">
      <c r="I96" t="s">
        <v>100</v>
      </c>
      <c r="J96" t="s">
        <v>1451</v>
      </c>
    </row>
  </sheetData>
  <sortState ref="I3:J96">
    <sortCondition descending="1" ref="J3:J96"/>
  </sortState>
  <dataConsolidate>
    <dataRefs count="1">
      <dataRef ref="G3:H1334" sheet="Country to Region"/>
    </dataRefs>
  </dataConsolid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Analysis</vt:lpstr>
      <vt:lpstr>Data</vt:lpstr>
      <vt:lpstr>Country to Region</vt:lpstr>
      <vt:lpstr>plstRegions</vt:lpstr>
      <vt:lpstr>valRegionPicked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NITIN BINDAL</cp:lastModifiedBy>
  <dcterms:created xsi:type="dcterms:W3CDTF">2012-06-21T06:10:20Z</dcterms:created>
  <dcterms:modified xsi:type="dcterms:W3CDTF">2012-07-06T11:30:16Z</dcterms:modified>
</cp:coreProperties>
</file>